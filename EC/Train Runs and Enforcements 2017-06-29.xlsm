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Trips'!$A$2:$J$52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S41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16" i="3" s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36" i="3" s="1"/>
  <c r="AF40" i="1"/>
  <c r="AH40" i="1"/>
  <c r="AM40" i="1"/>
  <c r="AN40" i="1"/>
  <c r="K41" i="1"/>
  <c r="L41" i="1"/>
  <c r="M41" i="1"/>
  <c r="N41" i="1" s="1"/>
  <c r="V41" i="1"/>
  <c r="S8" i="3" s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43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18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R19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R33" i="3" s="1"/>
  <c r="AF88" i="1"/>
  <c r="AH88" i="1"/>
  <c r="AM88" i="1"/>
  <c r="AN88" i="1"/>
  <c r="K89" i="1"/>
  <c r="L89" i="1"/>
  <c r="M89" i="1"/>
  <c r="N89" i="1" s="1"/>
  <c r="V89" i="1"/>
  <c r="S23" i="3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46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10" i="3" s="1"/>
  <c r="AF100" i="1"/>
  <c r="AH100" i="1"/>
  <c r="AM100" i="1"/>
  <c r="AN100" i="1"/>
  <c r="K101" i="1"/>
  <c r="L101" i="1"/>
  <c r="M101" i="1"/>
  <c r="N101" i="1" s="1"/>
  <c r="V101" i="1"/>
  <c r="S14" i="3" s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R21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R30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48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R32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49" i="3" s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40" i="3" s="1"/>
  <c r="AF128" i="1"/>
  <c r="AH128" i="1"/>
  <c r="AM128" i="1"/>
  <c r="AN128" i="1"/>
  <c r="K129" i="1"/>
  <c r="L129" i="1"/>
  <c r="M129" i="1"/>
  <c r="N129" i="1" s="1"/>
  <c r="V129" i="1"/>
  <c r="S24" i="3" s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S26" i="3" s="1"/>
  <c r="Y132" i="1"/>
  <c r="Z132" i="1"/>
  <c r="AB132" i="1"/>
  <c r="AC132" i="1"/>
  <c r="AD132" i="1"/>
  <c r="T132" i="1" s="1"/>
  <c r="AE132" i="1"/>
  <c r="R26" i="3" s="1"/>
  <c r="AF132" i="1"/>
  <c r="AH132" i="1"/>
  <c r="AM132" i="1"/>
  <c r="AN132" i="1"/>
  <c r="K133" i="1"/>
  <c r="L133" i="1"/>
  <c r="M133" i="1"/>
  <c r="P133" i="1" s="1"/>
  <c r="V133" i="1"/>
  <c r="S35" i="3" s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12" i="3" s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50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S17" i="3" s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S13" i="3" s="1"/>
  <c r="Y148" i="1"/>
  <c r="Z148" i="1"/>
  <c r="AB148" i="1"/>
  <c r="AC148" i="1"/>
  <c r="AD148" i="1"/>
  <c r="T148" i="1" s="1"/>
  <c r="AE148" i="1"/>
  <c r="R11" i="3" s="1"/>
  <c r="AF148" i="1"/>
  <c r="AH148" i="1"/>
  <c r="AM148" i="1"/>
  <c r="AN148" i="1"/>
  <c r="K149" i="1"/>
  <c r="L149" i="1"/>
  <c r="M149" i="1"/>
  <c r="N149" i="1" s="1"/>
  <c r="V149" i="1"/>
  <c r="S22" i="3" s="1"/>
  <c r="Y149" i="1"/>
  <c r="Z149" i="1"/>
  <c r="AB149" i="1"/>
  <c r="AC149" i="1"/>
  <c r="AD149" i="1"/>
  <c r="AE149" i="1"/>
  <c r="R22" i="3" s="1"/>
  <c r="AF149" i="1"/>
  <c r="AH149" i="1"/>
  <c r="AM149" i="1"/>
  <c r="AN149" i="1"/>
  <c r="K150" i="1"/>
  <c r="L150" i="1"/>
  <c r="M150" i="1"/>
  <c r="P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S25" i="3" s="1"/>
  <c r="Y155" i="1"/>
  <c r="Z155" i="1"/>
  <c r="AB155" i="1"/>
  <c r="AC155" i="1"/>
  <c r="AD155" i="1"/>
  <c r="T155" i="1" s="1"/>
  <c r="AE155" i="1"/>
  <c r="R2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R31" i="3" s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R61" i="3" s="1"/>
  <c r="AF208" i="1"/>
  <c r="AH160" i="1"/>
  <c r="AM160" i="1"/>
  <c r="AN160" i="1"/>
  <c r="K209" i="1"/>
  <c r="L209" i="1"/>
  <c r="M209" i="1"/>
  <c r="N209" i="1" s="1"/>
  <c r="V209" i="1"/>
  <c r="S62" i="3" s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AA217" i="1" s="1"/>
  <c r="Z217" i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S70" i="3" s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S67" i="3" s="1"/>
  <c r="Y233" i="1"/>
  <c r="Z233" i="1"/>
  <c r="AB233" i="1"/>
  <c r="AC233" i="1"/>
  <c r="AD233" i="1"/>
  <c r="T233" i="1" s="1"/>
  <c r="AE233" i="1"/>
  <c r="R76" i="3" s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4" i="1"/>
  <c r="AM194" i="1"/>
  <c r="AN194" i="1"/>
  <c r="K249" i="1"/>
  <c r="L249" i="1"/>
  <c r="M249" i="1"/>
  <c r="N249" i="1" s="1"/>
  <c r="V249" i="1"/>
  <c r="S66" i="3" s="1"/>
  <c r="Y249" i="1"/>
  <c r="Z249" i="1"/>
  <c r="AB249" i="1"/>
  <c r="AC249" i="1"/>
  <c r="AD249" i="1"/>
  <c r="T249" i="1" s="1"/>
  <c r="AE249" i="1"/>
  <c r="R66" i="3" s="1"/>
  <c r="AF249" i="1"/>
  <c r="AH195" i="1"/>
  <c r="AM195" i="1"/>
  <c r="AN195" i="1"/>
  <c r="K159" i="1"/>
  <c r="L159" i="1"/>
  <c r="M159" i="1"/>
  <c r="N159" i="1" s="1"/>
  <c r="V159" i="1"/>
  <c r="S54" i="3" s="1"/>
  <c r="Y159" i="1"/>
  <c r="Z159" i="1"/>
  <c r="AB159" i="1"/>
  <c r="AC159" i="1"/>
  <c r="AD159" i="1"/>
  <c r="T159" i="1" s="1"/>
  <c r="AE159" i="1"/>
  <c r="R54" i="3" s="1"/>
  <c r="AF159" i="1"/>
  <c r="AH196" i="1"/>
  <c r="AM196" i="1"/>
  <c r="AN196" i="1"/>
  <c r="K160" i="1"/>
  <c r="L160" i="1"/>
  <c r="M160" i="1"/>
  <c r="N160" i="1" s="1"/>
  <c r="V160" i="1"/>
  <c r="S51" i="3" s="1"/>
  <c r="Y160" i="1"/>
  <c r="Z160" i="1"/>
  <c r="AB160" i="1"/>
  <c r="AC160" i="1"/>
  <c r="AD160" i="1"/>
  <c r="T160" i="1" s="1"/>
  <c r="AE160" i="1"/>
  <c r="R51" i="3" s="1"/>
  <c r="AF160" i="1"/>
  <c r="AH197" i="1"/>
  <c r="AM197" i="1"/>
  <c r="AN197" i="1"/>
  <c r="K161" i="1"/>
  <c r="L161" i="1"/>
  <c r="M161" i="1"/>
  <c r="N161" i="1" s="1"/>
  <c r="V161" i="1"/>
  <c r="S55" i="3" s="1"/>
  <c r="Y161" i="1"/>
  <c r="Z161" i="1"/>
  <c r="AB161" i="1"/>
  <c r="AC161" i="1"/>
  <c r="AD161" i="1"/>
  <c r="AE161" i="1"/>
  <c r="R55" i="3" s="1"/>
  <c r="AF161" i="1"/>
  <c r="AH198" i="1"/>
  <c r="AM198" i="1"/>
  <c r="AN1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4" i="1"/>
  <c r="AM204" i="1"/>
  <c r="AN204" i="1"/>
  <c r="K168" i="1"/>
  <c r="L168" i="1"/>
  <c r="M168" i="1"/>
  <c r="N168" i="1" s="1"/>
  <c r="V168" i="1"/>
  <c r="S59" i="3" s="1"/>
  <c r="Y168" i="1"/>
  <c r="Z168" i="1"/>
  <c r="AA168" i="1" s="1"/>
  <c r="AB168" i="1"/>
  <c r="AC168" i="1"/>
  <c r="AD168" i="1"/>
  <c r="T168" i="1" s="1"/>
  <c r="AE168" i="1"/>
  <c r="R59" i="3" s="1"/>
  <c r="AF168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P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V174" i="1"/>
  <c r="Y174" i="1"/>
  <c r="Z174" i="1"/>
  <c r="AB174" i="1"/>
  <c r="AC174" i="1"/>
  <c r="AD174" i="1"/>
  <c r="T174" i="1" s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56" i="3" s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4" i="1"/>
  <c r="AM224" i="1"/>
  <c r="AN224" i="1"/>
  <c r="K188" i="1"/>
  <c r="L188" i="1"/>
  <c r="M188" i="1"/>
  <c r="N188" i="1" s="1"/>
  <c r="V188" i="1"/>
  <c r="S57" i="3" s="1"/>
  <c r="Y188" i="1"/>
  <c r="Z188" i="1"/>
  <c r="AB188" i="1"/>
  <c r="AC188" i="1"/>
  <c r="AD188" i="1"/>
  <c r="T188" i="1" s="1"/>
  <c r="AE188" i="1"/>
  <c r="R57" i="3" s="1"/>
  <c r="AF188" i="1"/>
  <c r="AH225" i="1"/>
  <c r="AM225" i="1"/>
  <c r="AN225" i="1"/>
  <c r="K189" i="1"/>
  <c r="L189" i="1"/>
  <c r="M189" i="1"/>
  <c r="N189" i="1" s="1"/>
  <c r="V189" i="1"/>
  <c r="S52" i="3" s="1"/>
  <c r="Y189" i="1"/>
  <c r="Z189" i="1"/>
  <c r="AB189" i="1"/>
  <c r="AC189" i="1"/>
  <c r="AD189" i="1"/>
  <c r="AE189" i="1"/>
  <c r="R52" i="3" s="1"/>
  <c r="AF189" i="1"/>
  <c r="AH226" i="1"/>
  <c r="AM226" i="1"/>
  <c r="AN2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S58" i="3" s="1"/>
  <c r="Y192" i="1"/>
  <c r="Z192" i="1"/>
  <c r="AB192" i="1"/>
  <c r="AC192" i="1"/>
  <c r="AD192" i="1"/>
  <c r="T192" i="1" s="1"/>
  <c r="AE192" i="1"/>
  <c r="R58" i="3" s="1"/>
  <c r="AF192" i="1"/>
  <c r="AH229" i="1"/>
  <c r="AM229" i="1"/>
  <c r="AN229" i="1"/>
  <c r="K193" i="1"/>
  <c r="L193" i="1"/>
  <c r="M193" i="1"/>
  <c r="N193" i="1" s="1"/>
  <c r="V193" i="1"/>
  <c r="Y193" i="1"/>
  <c r="Z193" i="1"/>
  <c r="AB193" i="1"/>
  <c r="AC193" i="1"/>
  <c r="AD193" i="1"/>
  <c r="AE193" i="1"/>
  <c r="R53" i="3" s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5" i="1"/>
  <c r="AM235" i="1"/>
  <c r="AN23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7" i="1"/>
  <c r="AM237" i="1"/>
  <c r="AN237" i="1"/>
  <c r="K201" i="1"/>
  <c r="L201" i="1"/>
  <c r="M201" i="1"/>
  <c r="N201" i="1" s="1"/>
  <c r="V201" i="1"/>
  <c r="S60" i="3" s="1"/>
  <c r="Y201" i="1"/>
  <c r="Z201" i="1"/>
  <c r="AB201" i="1"/>
  <c r="AC201" i="1"/>
  <c r="AD201" i="1"/>
  <c r="T201" i="1" s="1"/>
  <c r="AE201" i="1"/>
  <c r="R60" i="3" s="1"/>
  <c r="AF201" i="1"/>
  <c r="AH238" i="1"/>
  <c r="AM238" i="1"/>
  <c r="AN23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9" i="1"/>
  <c r="AM239" i="1"/>
  <c r="AN239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0" i="1"/>
  <c r="AM240" i="1"/>
  <c r="AN24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1" i="1"/>
  <c r="AM241" i="1"/>
  <c r="AN24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2" i="1"/>
  <c r="AM242" i="1"/>
  <c r="AN242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3" i="1"/>
  <c r="AM243" i="1"/>
  <c r="AN243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44" i="1"/>
  <c r="AM244" i="1"/>
  <c r="AN244" i="1"/>
  <c r="K221" i="1"/>
  <c r="L221" i="1"/>
  <c r="M221" i="1"/>
  <c r="N221" i="1" s="1"/>
  <c r="V221" i="1"/>
  <c r="S65" i="3" s="1"/>
  <c r="Y221" i="1"/>
  <c r="Z221" i="1"/>
  <c r="AB221" i="1"/>
  <c r="AC221" i="1"/>
  <c r="AD221" i="1"/>
  <c r="T221" i="1" s="1"/>
  <c r="AE221" i="1"/>
  <c r="R65" i="3" s="1"/>
  <c r="AF221" i="1"/>
  <c r="AH245" i="1"/>
  <c r="AM245" i="1"/>
  <c r="AN24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6" i="1"/>
  <c r="AM246" i="1"/>
  <c r="AN24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7" i="1"/>
  <c r="AM247" i="1"/>
  <c r="AN247" i="1"/>
  <c r="K224" i="1"/>
  <c r="L224" i="1"/>
  <c r="M224" i="1"/>
  <c r="N224" i="1" s="1"/>
  <c r="V224" i="1"/>
  <c r="S64" i="3" s="1"/>
  <c r="Y224" i="1"/>
  <c r="Z224" i="1"/>
  <c r="AB224" i="1"/>
  <c r="AC224" i="1"/>
  <c r="AD224" i="1"/>
  <c r="AE224" i="1"/>
  <c r="R64" i="3" s="1"/>
  <c r="AF224" i="1"/>
  <c r="AH248" i="1"/>
  <c r="AM248" i="1"/>
  <c r="AN24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9" i="1"/>
  <c r="AM249" i="1"/>
  <c r="AN24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0" i="1"/>
  <c r="AM250" i="1"/>
  <c r="AN250" i="1"/>
  <c r="M62" i="3"/>
  <c r="R62" i="3"/>
  <c r="U62" i="3"/>
  <c r="T62" i="3" s="1"/>
  <c r="V62" i="3"/>
  <c r="X62" i="3"/>
  <c r="M65" i="3"/>
  <c r="U65" i="3"/>
  <c r="AC65" i="3" s="1"/>
  <c r="V65" i="3"/>
  <c r="X65" i="3"/>
  <c r="M54" i="3"/>
  <c r="U54" i="3"/>
  <c r="AC54" i="3" s="1"/>
  <c r="V54" i="3"/>
  <c r="X54" i="3"/>
  <c r="M41" i="3"/>
  <c r="R41" i="3"/>
  <c r="U41" i="3"/>
  <c r="AC41" i="3" s="1"/>
  <c r="V41" i="3"/>
  <c r="X41" i="3"/>
  <c r="M51" i="3"/>
  <c r="U51" i="3"/>
  <c r="T51" i="3" s="1"/>
  <c r="V51" i="3"/>
  <c r="X51" i="3"/>
  <c r="M16" i="3"/>
  <c r="R16" i="3"/>
  <c r="U16" i="3"/>
  <c r="AD16" i="3" s="1"/>
  <c r="V16" i="3"/>
  <c r="X16" i="3"/>
  <c r="M55" i="3"/>
  <c r="U55" i="3"/>
  <c r="AC55" i="3" s="1"/>
  <c r="V55" i="3"/>
  <c r="X55" i="3"/>
  <c r="M9" i="3"/>
  <c r="R9" i="3"/>
  <c r="S9" i="3"/>
  <c r="U9" i="3"/>
  <c r="AC9" i="3" s="1"/>
  <c r="V9" i="3"/>
  <c r="X9" i="3"/>
  <c r="M27" i="3"/>
  <c r="R27" i="3"/>
  <c r="S27" i="3"/>
  <c r="U27" i="3"/>
  <c r="T27" i="3" s="1"/>
  <c r="V27" i="3"/>
  <c r="X27" i="3"/>
  <c r="M8" i="3"/>
  <c r="R8" i="3"/>
  <c r="U8" i="3"/>
  <c r="V8" i="3"/>
  <c r="X8" i="3"/>
  <c r="M42" i="3"/>
  <c r="R42" i="3"/>
  <c r="U42" i="3"/>
  <c r="AC42" i="3" s="1"/>
  <c r="V42" i="3"/>
  <c r="X42" i="3"/>
  <c r="M59" i="3"/>
  <c r="U59" i="3"/>
  <c r="AC59" i="3" s="1"/>
  <c r="V59" i="3"/>
  <c r="X59" i="3"/>
  <c r="M36" i="3"/>
  <c r="S36" i="3"/>
  <c r="U36" i="3"/>
  <c r="T36" i="3" s="1"/>
  <c r="V36" i="3"/>
  <c r="X36" i="3"/>
  <c r="M37" i="3"/>
  <c r="R37" i="3"/>
  <c r="S37" i="3"/>
  <c r="U37" i="3"/>
  <c r="AC37" i="3" s="1"/>
  <c r="V37" i="3"/>
  <c r="X37" i="3"/>
  <c r="M29" i="3"/>
  <c r="R29" i="3"/>
  <c r="S29" i="3"/>
  <c r="U29" i="3"/>
  <c r="V29" i="3"/>
  <c r="X29" i="3"/>
  <c r="M70" i="3"/>
  <c r="R70" i="3"/>
  <c r="U70" i="3"/>
  <c r="AC70" i="3" s="1"/>
  <c r="V70" i="3"/>
  <c r="X70" i="3"/>
  <c r="AD23" i="3"/>
  <c r="M43" i="3"/>
  <c r="S43" i="3"/>
  <c r="U43" i="3"/>
  <c r="T43" i="3" s="1"/>
  <c r="V43" i="3"/>
  <c r="X43" i="3"/>
  <c r="M18" i="3"/>
  <c r="R18" i="3"/>
  <c r="U18" i="3"/>
  <c r="AC18" i="3" s="1"/>
  <c r="V18" i="3"/>
  <c r="X18" i="3"/>
  <c r="M15" i="3"/>
  <c r="R15" i="3"/>
  <c r="S15" i="3"/>
  <c r="U15" i="3"/>
  <c r="T15" i="3" s="1"/>
  <c r="V15" i="3"/>
  <c r="X15" i="3"/>
  <c r="M44" i="3"/>
  <c r="R44" i="3"/>
  <c r="S44" i="3"/>
  <c r="U44" i="3"/>
  <c r="AC44" i="3" s="1"/>
  <c r="V44" i="3"/>
  <c r="X44" i="3"/>
  <c r="M23" i="3"/>
  <c r="R23" i="3"/>
  <c r="U23" i="3"/>
  <c r="T23" i="3" s="1"/>
  <c r="V23" i="3"/>
  <c r="X23" i="3"/>
  <c r="M71" i="3"/>
  <c r="R71" i="3"/>
  <c r="U71" i="3"/>
  <c r="AC71" i="3" s="1"/>
  <c r="V71" i="3"/>
  <c r="X71" i="3"/>
  <c r="M72" i="3"/>
  <c r="R72" i="3"/>
  <c r="U72" i="3"/>
  <c r="AD72" i="3" s="1"/>
  <c r="V72" i="3"/>
  <c r="X72" i="3"/>
  <c r="M19" i="3"/>
  <c r="S19" i="3"/>
  <c r="U19" i="3"/>
  <c r="AC19" i="3" s="1"/>
  <c r="V19" i="3"/>
  <c r="X19" i="3"/>
  <c r="M34" i="3"/>
  <c r="S34" i="3"/>
  <c r="U34" i="3"/>
  <c r="T34" i="3" s="1"/>
  <c r="V34" i="3"/>
  <c r="X34" i="3"/>
  <c r="M38" i="3"/>
  <c r="S38" i="3"/>
  <c r="U38" i="3"/>
  <c r="AC38" i="3" s="1"/>
  <c r="V38" i="3"/>
  <c r="X38" i="3"/>
  <c r="M33" i="3"/>
  <c r="S33" i="3"/>
  <c r="U33" i="3"/>
  <c r="T33" i="3" s="1"/>
  <c r="V33" i="3"/>
  <c r="X33" i="3"/>
  <c r="M20" i="3"/>
  <c r="R20" i="3"/>
  <c r="U20" i="3"/>
  <c r="AC20" i="3" s="1"/>
  <c r="V20" i="3"/>
  <c r="X20" i="3"/>
  <c r="M75" i="3"/>
  <c r="R75" i="3"/>
  <c r="S75" i="3"/>
  <c r="U75" i="3"/>
  <c r="T75" i="3" s="1"/>
  <c r="V75" i="3"/>
  <c r="X75" i="3"/>
  <c r="M76" i="3"/>
  <c r="U76" i="3"/>
  <c r="AC76" i="3" s="1"/>
  <c r="V76" i="3"/>
  <c r="X76" i="3"/>
  <c r="M45" i="3"/>
  <c r="R45" i="3"/>
  <c r="S45" i="3"/>
  <c r="U45" i="3"/>
  <c r="T45" i="3" s="1"/>
  <c r="V45" i="3"/>
  <c r="X45" i="3"/>
  <c r="M68" i="3"/>
  <c r="S68" i="3"/>
  <c r="U68" i="3"/>
  <c r="AC68" i="3" s="1"/>
  <c r="V68" i="3"/>
  <c r="X68" i="3"/>
  <c r="M14" i="3"/>
  <c r="R14" i="3"/>
  <c r="U14" i="3"/>
  <c r="T14" i="3" s="1"/>
  <c r="V14" i="3"/>
  <c r="X14" i="3"/>
  <c r="M28" i="3"/>
  <c r="R28" i="3"/>
  <c r="U28" i="3"/>
  <c r="AD28" i="3" s="1"/>
  <c r="V28" i="3"/>
  <c r="X28" i="3"/>
  <c r="AC28" i="3"/>
  <c r="M67" i="3"/>
  <c r="R67" i="3"/>
  <c r="U67" i="3"/>
  <c r="AD41" i="3" s="1"/>
  <c r="V67" i="3"/>
  <c r="X67" i="3"/>
  <c r="M46" i="3"/>
  <c r="R46" i="3"/>
  <c r="U46" i="3"/>
  <c r="AC46" i="3" s="1"/>
  <c r="V46" i="3"/>
  <c r="X46" i="3"/>
  <c r="M64" i="3"/>
  <c r="U64" i="3"/>
  <c r="T64" i="3" s="1"/>
  <c r="V64" i="3"/>
  <c r="X64" i="3"/>
  <c r="M73" i="3"/>
  <c r="U73" i="3"/>
  <c r="AC73" i="3" s="1"/>
  <c r="V73" i="3"/>
  <c r="X73" i="3"/>
  <c r="M69" i="3"/>
  <c r="R69" i="3"/>
  <c r="U69" i="3"/>
  <c r="V69" i="3"/>
  <c r="X69" i="3"/>
  <c r="M10" i="3"/>
  <c r="S10" i="3"/>
  <c r="U10" i="3"/>
  <c r="AC10" i="3" s="1"/>
  <c r="V10" i="3"/>
  <c r="X10" i="3"/>
  <c r="M56" i="3"/>
  <c r="S56" i="3"/>
  <c r="U56" i="3"/>
  <c r="T56" i="3" s="1"/>
  <c r="V56" i="3"/>
  <c r="X56" i="3"/>
  <c r="M30" i="3"/>
  <c r="S30" i="3"/>
  <c r="U30" i="3"/>
  <c r="V30" i="3"/>
  <c r="X30" i="3"/>
  <c r="AC30" i="3"/>
  <c r="M74" i="3"/>
  <c r="R74" i="3"/>
  <c r="U74" i="3"/>
  <c r="V74" i="3"/>
  <c r="X74" i="3"/>
  <c r="M21" i="3"/>
  <c r="S21" i="3"/>
  <c r="U21" i="3"/>
  <c r="AC21" i="3" s="1"/>
  <c r="V21" i="3"/>
  <c r="X21" i="3"/>
  <c r="M57" i="3"/>
  <c r="U57" i="3"/>
  <c r="T57" i="3" s="1"/>
  <c r="V57" i="3"/>
  <c r="X57" i="3"/>
  <c r="M52" i="3"/>
  <c r="U52" i="3"/>
  <c r="AC52" i="3" s="1"/>
  <c r="V52" i="3"/>
  <c r="X52" i="3"/>
  <c r="M47" i="3"/>
  <c r="R47" i="3"/>
  <c r="S47" i="3"/>
  <c r="U47" i="3"/>
  <c r="V47" i="3"/>
  <c r="X47" i="3"/>
  <c r="M58" i="3"/>
  <c r="U58" i="3"/>
  <c r="AC58" i="3" s="1"/>
  <c r="V58" i="3"/>
  <c r="X58" i="3"/>
  <c r="M53" i="3"/>
  <c r="S53" i="3"/>
  <c r="U53" i="3"/>
  <c r="T53" i="3" s="1"/>
  <c r="V53" i="3"/>
  <c r="X53" i="3"/>
  <c r="M48" i="3"/>
  <c r="R48" i="3"/>
  <c r="U48" i="3"/>
  <c r="AD48" i="3" s="1"/>
  <c r="V48" i="3"/>
  <c r="X48" i="3"/>
  <c r="AD56" i="3"/>
  <c r="M66" i="3"/>
  <c r="U66" i="3"/>
  <c r="V66" i="3"/>
  <c r="X66" i="3"/>
  <c r="M32" i="3"/>
  <c r="S32" i="3"/>
  <c r="U32" i="3"/>
  <c r="AC32" i="3" s="1"/>
  <c r="V32" i="3"/>
  <c r="X32" i="3"/>
  <c r="AD58" i="3"/>
  <c r="AD59" i="3"/>
  <c r="AE59" i="3"/>
  <c r="M39" i="3"/>
  <c r="S39" i="3"/>
  <c r="U39" i="3"/>
  <c r="AD39" i="3" s="1"/>
  <c r="V39" i="3"/>
  <c r="X39" i="3"/>
  <c r="M49" i="3"/>
  <c r="R49" i="3"/>
  <c r="U49" i="3"/>
  <c r="V49" i="3"/>
  <c r="X49" i="3"/>
  <c r="M24" i="3"/>
  <c r="R24" i="3"/>
  <c r="U24" i="3"/>
  <c r="AC24" i="3" s="1"/>
  <c r="V24" i="3"/>
  <c r="X24" i="3"/>
  <c r="M61" i="3"/>
  <c r="S61" i="3"/>
  <c r="U61" i="3"/>
  <c r="T61" i="3" s="1"/>
  <c r="V61" i="3"/>
  <c r="X61" i="3"/>
  <c r="M35" i="3"/>
  <c r="R35" i="3"/>
  <c r="U35" i="3"/>
  <c r="AD35" i="3" s="1"/>
  <c r="V35" i="3"/>
  <c r="X35" i="3"/>
  <c r="M40" i="3"/>
  <c r="S40" i="3"/>
  <c r="U40" i="3"/>
  <c r="AD65" i="3" s="1"/>
  <c r="V40" i="3"/>
  <c r="AE65" i="3" s="1"/>
  <c r="X40" i="3"/>
  <c r="M60" i="3"/>
  <c r="U60" i="3"/>
  <c r="AC60" i="3" s="1"/>
  <c r="V60" i="3"/>
  <c r="X60" i="3"/>
  <c r="M26" i="3"/>
  <c r="U26" i="3"/>
  <c r="T26" i="3" s="1"/>
  <c r="V26" i="3"/>
  <c r="X26" i="3"/>
  <c r="AE67" i="3"/>
  <c r="M7" i="3"/>
  <c r="S7" i="3"/>
  <c r="U7" i="3"/>
  <c r="T7" i="3" s="1"/>
  <c r="V7" i="3"/>
  <c r="X7" i="3"/>
  <c r="AD68" i="3"/>
  <c r="M50" i="3"/>
  <c r="S50" i="3"/>
  <c r="U50" i="3"/>
  <c r="AD69" i="3" s="1"/>
  <c r="V50" i="3"/>
  <c r="X50" i="3"/>
  <c r="M12" i="3"/>
  <c r="R12" i="3"/>
  <c r="U12" i="3"/>
  <c r="AC12" i="3" s="1"/>
  <c r="V12" i="3"/>
  <c r="X12" i="3"/>
  <c r="M17" i="3"/>
  <c r="R17" i="3"/>
  <c r="U17" i="3"/>
  <c r="V17" i="3"/>
  <c r="X17" i="3"/>
  <c r="M11" i="3"/>
  <c r="U11" i="3"/>
  <c r="T11" i="3" s="1"/>
  <c r="V11" i="3"/>
  <c r="X11" i="3"/>
  <c r="M13" i="3"/>
  <c r="U13" i="3"/>
  <c r="AD73" i="3" s="1"/>
  <c r="V13" i="3"/>
  <c r="X13" i="3"/>
  <c r="M22" i="3"/>
  <c r="U22" i="3"/>
  <c r="AC22" i="3" s="1"/>
  <c r="V22" i="3"/>
  <c r="X22" i="3"/>
  <c r="M25" i="3"/>
  <c r="U25" i="3"/>
  <c r="T25" i="3" s="1"/>
  <c r="V25" i="3"/>
  <c r="X25" i="3"/>
  <c r="M31" i="3"/>
  <c r="S31" i="3"/>
  <c r="U31" i="3"/>
  <c r="T31" i="3" s="1"/>
  <c r="V31" i="3"/>
  <c r="X31" i="3"/>
  <c r="AD76" i="3"/>
  <c r="W58" i="3"/>
  <c r="W36" i="3"/>
  <c r="W31" i="3"/>
  <c r="W8" i="3"/>
  <c r="W38" i="3"/>
  <c r="W42" i="3"/>
  <c r="W33" i="3"/>
  <c r="W74" i="3"/>
  <c r="W40" i="3"/>
  <c r="W70" i="3"/>
  <c r="W43" i="3"/>
  <c r="W48" i="3"/>
  <c r="W14" i="3"/>
  <c r="W53" i="3"/>
  <c r="W13" i="3"/>
  <c r="W7" i="3"/>
  <c r="W52" i="3"/>
  <c r="W19" i="3"/>
  <c r="W21" i="3"/>
  <c r="W60" i="3"/>
  <c r="W37" i="3"/>
  <c r="W76" i="3"/>
  <c r="W29" i="3"/>
  <c r="W45" i="3"/>
  <c r="W47" i="3"/>
  <c r="W41" i="3"/>
  <c r="W62" i="3"/>
  <c r="W20" i="3"/>
  <c r="W11" i="3"/>
  <c r="W10" i="3"/>
  <c r="W24" i="3"/>
  <c r="W12" i="3"/>
  <c r="W44" i="3"/>
  <c r="W39" i="3"/>
  <c r="W75" i="3"/>
  <c r="W57" i="3"/>
  <c r="W26" i="3"/>
  <c r="W16" i="3"/>
  <c r="W71" i="3"/>
  <c r="W55" i="3"/>
  <c r="W72" i="3"/>
  <c r="W69" i="3"/>
  <c r="W49" i="3"/>
  <c r="W59" i="3"/>
  <c r="W27" i="3"/>
  <c r="W30" i="3"/>
  <c r="W50" i="3"/>
  <c r="W35" i="3"/>
  <c r="W73" i="3"/>
  <c r="W64" i="3"/>
  <c r="W65" i="3"/>
  <c r="W18" i="3"/>
  <c r="W54" i="3"/>
  <c r="W15" i="3"/>
  <c r="W67" i="3"/>
  <c r="W66" i="3"/>
  <c r="W9" i="3"/>
  <c r="W51" i="3"/>
  <c r="W28" i="3"/>
  <c r="W23" i="3"/>
  <c r="W56" i="3"/>
  <c r="W61" i="3"/>
  <c r="W22" i="3"/>
  <c r="W34" i="3"/>
  <c r="W17" i="3"/>
  <c r="W46" i="3"/>
  <c r="W32" i="3"/>
  <c r="W25" i="3"/>
  <c r="W68" i="3"/>
  <c r="AG19" i="1"/>
  <c r="AG21" i="1"/>
  <c r="AG74" i="1"/>
  <c r="AG15" i="1"/>
  <c r="AG38" i="1"/>
  <c r="AG64" i="1"/>
  <c r="AG70" i="1"/>
  <c r="AG93" i="1"/>
  <c r="AG108" i="1"/>
  <c r="AG131" i="1"/>
  <c r="AG148" i="1"/>
  <c r="AG155" i="1"/>
  <c r="AG210" i="1"/>
  <c r="AG227" i="1"/>
  <c r="AG198" i="1"/>
  <c r="AG201" i="1"/>
  <c r="AG204" i="1"/>
  <c r="AG250" i="1"/>
  <c r="AG32" i="1"/>
  <c r="AG44" i="1"/>
  <c r="AG57" i="1"/>
  <c r="AG88" i="1"/>
  <c r="AG90" i="1"/>
  <c r="AG220" i="1"/>
  <c r="AG142" i="1"/>
  <c r="AG231" i="1"/>
  <c r="AG161" i="1"/>
  <c r="AG184" i="1"/>
  <c r="AG224" i="1"/>
  <c r="AG168" i="1"/>
  <c r="AG39" i="1"/>
  <c r="AG87" i="1"/>
  <c r="AG84" i="1"/>
  <c r="AG116" i="1"/>
  <c r="AG114" i="1"/>
  <c r="AG143" i="1"/>
  <c r="AG137" i="1"/>
  <c r="AG206" i="1"/>
  <c r="AG171" i="1"/>
  <c r="AG145" i="1"/>
  <c r="AG246" i="1"/>
  <c r="AG215" i="1"/>
  <c r="AG196" i="1"/>
  <c r="AG14" i="1"/>
  <c r="AG63" i="1"/>
  <c r="AG89" i="1"/>
  <c r="AG128" i="1"/>
  <c r="AG126" i="1"/>
  <c r="AG151" i="1"/>
  <c r="AG236" i="1"/>
  <c r="AG174" i="1"/>
  <c r="AG197" i="1"/>
  <c r="AG163" i="1"/>
  <c r="AG47" i="1"/>
  <c r="AG60" i="1"/>
  <c r="AG86" i="1"/>
  <c r="AG103" i="1"/>
  <c r="AG140" i="1"/>
  <c r="AG190" i="1"/>
  <c r="AG35" i="1"/>
  <c r="AG37" i="1"/>
  <c r="AG73" i="1"/>
  <c r="AG31" i="1"/>
  <c r="AG17" i="1"/>
  <c r="AG79" i="1"/>
  <c r="AG85" i="1"/>
  <c r="AG109" i="1"/>
  <c r="AG124" i="1"/>
  <c r="AG102" i="1"/>
  <c r="AG219" i="1"/>
  <c r="AG232" i="1"/>
  <c r="AG243" i="1"/>
  <c r="AG244" i="1"/>
  <c r="AG247" i="1"/>
  <c r="AG52" i="1"/>
  <c r="AG27" i="1"/>
  <c r="AG76" i="1"/>
  <c r="AG110" i="1"/>
  <c r="AG214" i="1"/>
  <c r="AG181" i="1"/>
  <c r="AG211" i="1"/>
  <c r="AG30" i="1"/>
  <c r="AG101" i="1"/>
  <c r="AG136" i="1"/>
  <c r="AG209" i="1"/>
  <c r="AG69" i="1"/>
  <c r="AG199" i="1"/>
  <c r="AG179" i="1"/>
  <c r="AG62" i="1"/>
  <c r="AG107" i="1"/>
  <c r="AG229" i="1"/>
  <c r="AG194" i="1"/>
  <c r="AG183" i="1"/>
  <c r="AG51" i="1"/>
  <c r="AG123" i="1"/>
  <c r="AG173" i="1"/>
  <c r="AG24" i="1"/>
  <c r="AG50" i="1"/>
  <c r="AG68" i="1"/>
  <c r="AG20" i="1"/>
  <c r="AG46" i="1"/>
  <c r="AG33" i="1"/>
  <c r="AG55" i="1"/>
  <c r="AG65" i="1"/>
  <c r="AG125" i="1"/>
  <c r="AG118" i="1"/>
  <c r="AG212" i="1"/>
  <c r="AG159" i="1"/>
  <c r="AG75" i="1"/>
  <c r="AG112" i="1"/>
  <c r="AG135" i="1"/>
  <c r="AG249" i="1"/>
  <c r="AG221" i="1"/>
  <c r="AG225" i="1"/>
  <c r="AG78" i="1"/>
  <c r="AG95" i="1"/>
  <c r="AG237" i="1"/>
  <c r="AG165" i="1"/>
  <c r="AG239" i="1"/>
  <c r="AG228" i="1"/>
  <c r="AG45" i="1"/>
  <c r="AG113" i="1"/>
  <c r="AG144" i="1"/>
  <c r="AG149" i="1"/>
  <c r="AG160" i="1"/>
  <c r="AG42" i="1"/>
  <c r="AG105" i="1"/>
  <c r="AG208" i="1"/>
  <c r="AG83" i="1"/>
  <c r="AG54" i="1"/>
  <c r="AG115" i="1"/>
  <c r="AG241" i="1"/>
  <c r="AG166" i="1"/>
  <c r="AG172" i="1"/>
  <c r="AG59" i="1"/>
  <c r="AG67" i="1"/>
  <c r="AG91" i="1"/>
  <c r="AG207" i="1"/>
  <c r="AG178" i="1"/>
  <c r="AG167" i="1"/>
  <c r="AG195" i="1"/>
  <c r="AG77" i="1"/>
  <c r="AG119" i="1"/>
  <c r="AG150" i="1"/>
  <c r="AG222" i="1"/>
  <c r="AG223" i="1"/>
  <c r="AG170" i="1"/>
  <c r="AG41" i="1"/>
  <c r="AG133" i="1"/>
  <c r="AG216" i="1"/>
  <c r="AG217" i="1"/>
  <c r="AG180" i="1"/>
  <c r="AG34" i="1"/>
  <c r="AG129" i="1"/>
  <c r="AG154" i="1"/>
  <c r="AG40" i="1"/>
  <c r="AG22" i="1"/>
  <c r="AG92" i="1"/>
  <c r="AG234" i="1"/>
  <c r="AG141" i="1"/>
  <c r="AG169" i="1"/>
  <c r="AG175" i="1"/>
  <c r="AG18" i="1"/>
  <c r="AG97" i="1"/>
  <c r="AG130" i="1"/>
  <c r="AG240" i="1"/>
  <c r="AG205" i="1"/>
  <c r="AG186" i="1"/>
  <c r="AG121" i="1"/>
  <c r="AG156" i="1"/>
  <c r="AG235" i="1"/>
  <c r="AG147" i="1"/>
  <c r="AG100" i="1"/>
  <c r="AG28" i="1"/>
  <c r="AG53" i="1"/>
  <c r="AG138" i="1"/>
  <c r="AG248" i="1"/>
  <c r="AG98" i="1"/>
  <c r="AG26" i="1"/>
  <c r="AG99" i="1"/>
  <c r="AG139" i="1"/>
  <c r="AG157" i="1"/>
  <c r="AG185" i="1"/>
  <c r="AG191" i="1"/>
  <c r="AG117" i="1"/>
  <c r="AG152" i="1"/>
  <c r="AG164" i="1"/>
  <c r="AG189" i="1"/>
  <c r="AG96" i="1"/>
  <c r="AG162" i="1"/>
  <c r="AG238" i="1"/>
  <c r="AG72" i="1"/>
  <c r="AG158" i="1"/>
  <c r="AG16" i="1"/>
  <c r="AG122" i="1"/>
  <c r="AG36" i="1"/>
  <c r="AG80" i="1"/>
  <c r="AG132" i="1"/>
  <c r="AG146" i="1"/>
  <c r="AG182" i="1"/>
  <c r="AG188" i="1"/>
  <c r="AG58" i="1"/>
  <c r="AG66" i="1"/>
  <c r="AG111" i="1"/>
  <c r="AG233" i="1"/>
  <c r="AG202" i="1"/>
  <c r="AG187" i="1"/>
  <c r="AG43" i="1"/>
  <c r="AG61" i="1"/>
  <c r="AG94" i="1"/>
  <c r="AG218" i="1"/>
  <c r="AG192" i="1"/>
  <c r="AG176" i="1"/>
  <c r="AG193" i="1"/>
  <c r="AG71" i="1"/>
  <c r="AG104" i="1"/>
  <c r="AG242" i="1"/>
  <c r="AG245" i="1"/>
  <c r="AG200" i="1"/>
  <c r="AG29" i="1"/>
  <c r="AG120" i="1"/>
  <c r="AG213" i="1"/>
  <c r="AG82" i="1"/>
  <c r="AG48" i="1"/>
  <c r="AG49" i="1"/>
  <c r="AG153" i="1"/>
  <c r="AG56" i="1"/>
  <c r="AG230" i="1"/>
  <c r="AG134" i="1"/>
  <c r="AG23" i="1"/>
  <c r="AG106" i="1"/>
  <c r="AG177" i="1"/>
  <c r="AG81" i="1"/>
  <c r="AG25" i="1"/>
  <c r="AG127" i="1"/>
  <c r="AG203" i="1"/>
  <c r="AG226" i="1"/>
  <c r="S69" i="3" l="1"/>
  <c r="S76" i="3"/>
  <c r="S72" i="3"/>
  <c r="T181" i="1"/>
  <c r="AA184" i="1"/>
  <c r="X172" i="1"/>
  <c r="AA220" i="1"/>
  <c r="AA208" i="1"/>
  <c r="AA158" i="1"/>
  <c r="S73" i="3"/>
  <c r="S71" i="3"/>
  <c r="AA221" i="1"/>
  <c r="AA192" i="1"/>
  <c r="AA232" i="1"/>
  <c r="S11" i="3"/>
  <c r="S42" i="3"/>
  <c r="R39" i="3"/>
  <c r="R73" i="3"/>
  <c r="R68" i="3"/>
  <c r="X248" i="1"/>
  <c r="AA242" i="1"/>
  <c r="X133" i="1"/>
  <c r="X131" i="1"/>
  <c r="X115" i="1"/>
  <c r="AA239" i="1"/>
  <c r="R13" i="3"/>
  <c r="AA206" i="1"/>
  <c r="AA69" i="1"/>
  <c r="R7" i="3"/>
  <c r="AA167" i="1"/>
  <c r="X236" i="1"/>
  <c r="X217" i="1"/>
  <c r="AA97" i="1"/>
  <c r="X70" i="1"/>
  <c r="X193" i="1"/>
  <c r="T193" i="1"/>
  <c r="AA36" i="1"/>
  <c r="AA32" i="1"/>
  <c r="W32" i="1" s="1"/>
  <c r="AA28" i="1"/>
  <c r="X42" i="1"/>
  <c r="AA161" i="1"/>
  <c r="AA237" i="1"/>
  <c r="AA134" i="1"/>
  <c r="X102" i="1"/>
  <c r="X73" i="1"/>
  <c r="AA89" i="1"/>
  <c r="W89" i="1" s="1"/>
  <c r="AA87" i="1"/>
  <c r="X28" i="1"/>
  <c r="X72" i="1"/>
  <c r="AA160" i="1"/>
  <c r="AA238" i="1"/>
  <c r="X44" i="1"/>
  <c r="AD71" i="3"/>
  <c r="AE51" i="3"/>
  <c r="X164" i="1"/>
  <c r="X218" i="1"/>
  <c r="T217" i="1"/>
  <c r="X213" i="1"/>
  <c r="S28" i="3"/>
  <c r="S20" i="3"/>
  <c r="X205" i="1"/>
  <c r="X189" i="1"/>
  <c r="X114" i="1"/>
  <c r="X58" i="1"/>
  <c r="X17" i="1"/>
  <c r="AD51" i="3"/>
  <c r="S74" i="3"/>
  <c r="R38" i="3"/>
  <c r="R34" i="3"/>
  <c r="AE27" i="3"/>
  <c r="AE43" i="3"/>
  <c r="AC62" i="3"/>
  <c r="X169" i="1"/>
  <c r="AA247" i="1"/>
  <c r="AA216" i="1"/>
  <c r="AA212" i="1"/>
  <c r="AA149" i="1"/>
  <c r="AA147" i="1"/>
  <c r="AA115" i="1"/>
  <c r="T115" i="1"/>
  <c r="AA113" i="1"/>
  <c r="AA112" i="1"/>
  <c r="W112" i="1" s="1"/>
  <c r="AA110" i="1"/>
  <c r="AA106" i="1"/>
  <c r="AA100" i="1"/>
  <c r="X99" i="1"/>
  <c r="AA83" i="1"/>
  <c r="AA47" i="1"/>
  <c r="AA16" i="1"/>
  <c r="AA14" i="1"/>
  <c r="X43" i="1"/>
  <c r="AE71" i="3"/>
  <c r="AD55" i="3"/>
  <c r="AC34" i="3"/>
  <c r="AE41" i="3"/>
  <c r="AA223" i="1"/>
  <c r="AA246" i="1"/>
  <c r="AA215" i="1"/>
  <c r="AA209" i="1"/>
  <c r="AA130" i="1"/>
  <c r="AA126" i="1"/>
  <c r="X113" i="1"/>
  <c r="AA109" i="1"/>
  <c r="AA101" i="1"/>
  <c r="AA84" i="1"/>
  <c r="AA63" i="1"/>
  <c r="X47" i="1"/>
  <c r="AA15" i="1"/>
  <c r="X45" i="1"/>
  <c r="X41" i="1"/>
  <c r="AC17" i="3"/>
  <c r="T17" i="3"/>
  <c r="AD67" i="3"/>
  <c r="T46" i="3"/>
  <c r="AA196" i="1"/>
  <c r="T189" i="1"/>
  <c r="AA172" i="1"/>
  <c r="AA169" i="1"/>
  <c r="W169" i="1" s="1"/>
  <c r="X165" i="1"/>
  <c r="AA159" i="1"/>
  <c r="AA140" i="1"/>
  <c r="X139" i="1"/>
  <c r="X137" i="1"/>
  <c r="AA131" i="1"/>
  <c r="T131" i="1"/>
  <c r="AA129" i="1"/>
  <c r="AA116" i="1"/>
  <c r="X109" i="1"/>
  <c r="X101" i="1"/>
  <c r="X98" i="1"/>
  <c r="AA94" i="1"/>
  <c r="AA90" i="1"/>
  <c r="AA77" i="1"/>
  <c r="AA74" i="1"/>
  <c r="AA61" i="1"/>
  <c r="AA50" i="1"/>
  <c r="X29" i="1"/>
  <c r="X25" i="1"/>
  <c r="AD49" i="3"/>
  <c r="AE57" i="3"/>
  <c r="AE38" i="3"/>
  <c r="T32" i="3"/>
  <c r="AE42" i="3"/>
  <c r="T70" i="3"/>
  <c r="AE16" i="3"/>
  <c r="AC50" i="3"/>
  <c r="AD64" i="3"/>
  <c r="AD43" i="3"/>
  <c r="T41" i="3"/>
  <c r="AA225" i="1"/>
  <c r="W225" i="1" s="1"/>
  <c r="X222" i="1"/>
  <c r="AD75" i="3"/>
  <c r="AC40" i="3"/>
  <c r="AC35" i="3"/>
  <c r="AE58" i="3"/>
  <c r="AC48" i="3"/>
  <c r="AD53" i="3"/>
  <c r="AE30" i="3"/>
  <c r="AC56" i="3"/>
  <c r="AC23" i="3"/>
  <c r="AE15" i="3"/>
  <c r="AC27" i="3"/>
  <c r="AA200" i="1"/>
  <c r="AA177" i="1"/>
  <c r="T165" i="1"/>
  <c r="AA249" i="1"/>
  <c r="W249" i="1" s="1"/>
  <c r="AA243" i="1"/>
  <c r="AA227" i="1"/>
  <c r="AA156" i="1"/>
  <c r="X154" i="1"/>
  <c r="X150" i="1"/>
  <c r="X145" i="1"/>
  <c r="X127" i="1"/>
  <c r="X85" i="1"/>
  <c r="AA80" i="1"/>
  <c r="X78" i="1"/>
  <c r="X62" i="1"/>
  <c r="AA53" i="1"/>
  <c r="X48" i="1"/>
  <c r="AA43" i="1"/>
  <c r="X37" i="1"/>
  <c r="AA29" i="1"/>
  <c r="AA27" i="1"/>
  <c r="X185" i="1"/>
  <c r="T248" i="1"/>
  <c r="T218" i="1"/>
  <c r="U218" i="1" s="1"/>
  <c r="S218" i="1" s="1"/>
  <c r="X214" i="1"/>
  <c r="T213" i="1"/>
  <c r="X209" i="1"/>
  <c r="X51" i="1"/>
  <c r="X40" i="1"/>
  <c r="AA24" i="1"/>
  <c r="X243" i="1"/>
  <c r="X138" i="1"/>
  <c r="T138" i="1"/>
  <c r="X54" i="1"/>
  <c r="T54" i="1"/>
  <c r="T52" i="1"/>
  <c r="U52" i="1" s="1"/>
  <c r="S52" i="1" s="1"/>
  <c r="X52" i="1"/>
  <c r="T232" i="1"/>
  <c r="U232" i="1" s="1"/>
  <c r="S232" i="1" s="1"/>
  <c r="X232" i="1"/>
  <c r="X146" i="1"/>
  <c r="T146" i="1"/>
  <c r="T53" i="1"/>
  <c r="X53" i="1"/>
  <c r="T185" i="1"/>
  <c r="U185" i="1" s="1"/>
  <c r="S185" i="1" s="1"/>
  <c r="X177" i="1"/>
  <c r="X160" i="1"/>
  <c r="X235" i="1"/>
  <c r="T154" i="1"/>
  <c r="U154" i="1" s="1"/>
  <c r="S154" i="1" s="1"/>
  <c r="AA204" i="1"/>
  <c r="AA202" i="1"/>
  <c r="X201" i="1"/>
  <c r="AA194" i="1"/>
  <c r="AA190" i="1"/>
  <c r="AA180" i="1"/>
  <c r="AA178" i="1"/>
  <c r="AA176" i="1"/>
  <c r="X173" i="1"/>
  <c r="AA166" i="1"/>
  <c r="AA162" i="1"/>
  <c r="X161" i="1"/>
  <c r="T161" i="1"/>
  <c r="AA236" i="1"/>
  <c r="AA234" i="1"/>
  <c r="X231" i="1"/>
  <c r="AA207" i="1"/>
  <c r="AA157" i="1"/>
  <c r="T153" i="1"/>
  <c r="X153" i="1"/>
  <c r="AA153" i="1"/>
  <c r="AA148" i="1"/>
  <c r="W148" i="1" s="1"/>
  <c r="X119" i="1"/>
  <c r="T119" i="1"/>
  <c r="U119" i="1" s="1"/>
  <c r="S119" i="1" s="1"/>
  <c r="T106" i="1"/>
  <c r="X106" i="1"/>
  <c r="T87" i="1"/>
  <c r="X87" i="1"/>
  <c r="T82" i="1"/>
  <c r="X82" i="1"/>
  <c r="T70" i="1"/>
  <c r="T32" i="1"/>
  <c r="X32" i="1"/>
  <c r="X226" i="1"/>
  <c r="AA198" i="1"/>
  <c r="X197" i="1"/>
  <c r="AA248" i="1"/>
  <c r="W248" i="1" s="1"/>
  <c r="T247" i="1"/>
  <c r="U247" i="1" s="1"/>
  <c r="S247" i="1" s="1"/>
  <c r="X247" i="1"/>
  <c r="AA231" i="1"/>
  <c r="AA213" i="1"/>
  <c r="X210" i="1"/>
  <c r="T210" i="1"/>
  <c r="AA152" i="1"/>
  <c r="W152" i="1" s="1"/>
  <c r="T149" i="1"/>
  <c r="X149" i="1"/>
  <c r="X135" i="1"/>
  <c r="T135" i="1"/>
  <c r="U135" i="1" s="1"/>
  <c r="S135" i="1" s="1"/>
  <c r="T107" i="1"/>
  <c r="U107" i="1" s="1"/>
  <c r="S107" i="1" s="1"/>
  <c r="X107" i="1"/>
  <c r="T105" i="1"/>
  <c r="X105" i="1"/>
  <c r="T94" i="1"/>
  <c r="U94" i="1" s="1"/>
  <c r="S94" i="1" s="1"/>
  <c r="X95" i="1"/>
  <c r="X94" i="1"/>
  <c r="T81" i="1"/>
  <c r="U81" i="1" s="1"/>
  <c r="S81" i="1" s="1"/>
  <c r="X81" i="1"/>
  <c r="T65" i="1"/>
  <c r="X66" i="1"/>
  <c r="T33" i="1"/>
  <c r="X33" i="1"/>
  <c r="AA188" i="1"/>
  <c r="AA186" i="1"/>
  <c r="AA183" i="1"/>
  <c r="AA175" i="1"/>
  <c r="AA165" i="1"/>
  <c r="AA163" i="1"/>
  <c r="X244" i="1"/>
  <c r="X240" i="1"/>
  <c r="AA240" i="1"/>
  <c r="AA235" i="1"/>
  <c r="AA230" i="1"/>
  <c r="W230" i="1" s="1"/>
  <c r="AA214" i="1"/>
  <c r="AA155" i="1"/>
  <c r="AA145" i="1"/>
  <c r="AA144" i="1"/>
  <c r="AA142" i="1"/>
  <c r="AA137" i="1"/>
  <c r="AA136" i="1"/>
  <c r="AA124" i="1"/>
  <c r="AA122" i="1"/>
  <c r="X110" i="1"/>
  <c r="AA108" i="1"/>
  <c r="X97" i="1"/>
  <c r="X89" i="1"/>
  <c r="AA85" i="1"/>
  <c r="X84" i="1"/>
  <c r="X77" i="1"/>
  <c r="AA72" i="1"/>
  <c r="AA62" i="1"/>
  <c r="AA60" i="1"/>
  <c r="AA57" i="1"/>
  <c r="W57" i="1" s="1"/>
  <c r="AA46" i="1"/>
  <c r="AA42" i="1"/>
  <c r="AA39" i="1"/>
  <c r="X36" i="1"/>
  <c r="AA25" i="1"/>
  <c r="AA20" i="1"/>
  <c r="AA19" i="1"/>
  <c r="AA17" i="1"/>
  <c r="W17" i="1" s="1"/>
  <c r="T17" i="1"/>
  <c r="AA143" i="1"/>
  <c r="AA141" i="1"/>
  <c r="AA139" i="1"/>
  <c r="AA135" i="1"/>
  <c r="W135" i="1" s="1"/>
  <c r="X134" i="1"/>
  <c r="AA118" i="1"/>
  <c r="AA99" i="1"/>
  <c r="AA96" i="1"/>
  <c r="AA93" i="1"/>
  <c r="AA79" i="1"/>
  <c r="AA40" i="1"/>
  <c r="AA37" i="1"/>
  <c r="AA35" i="1"/>
  <c r="AA119" i="1"/>
  <c r="AA107" i="1"/>
  <c r="W107" i="1" s="1"/>
  <c r="AA105" i="1"/>
  <c r="AA104" i="1"/>
  <c r="AA102" i="1"/>
  <c r="AA81" i="1"/>
  <c r="AA75" i="1"/>
  <c r="AA70" i="1"/>
  <c r="AA68" i="1"/>
  <c r="AA65" i="1"/>
  <c r="AA54" i="1"/>
  <c r="AA33" i="1"/>
  <c r="AA31" i="1"/>
  <c r="AA23" i="1"/>
  <c r="X20" i="1"/>
  <c r="AA18" i="1"/>
  <c r="T203" i="1"/>
  <c r="U203" i="1" s="1"/>
  <c r="S203" i="1" s="1"/>
  <c r="X204" i="1"/>
  <c r="T224" i="1"/>
  <c r="U224" i="1" s="1"/>
  <c r="S224" i="1" s="1"/>
  <c r="X225" i="1"/>
  <c r="AA226" i="1"/>
  <c r="AA224" i="1"/>
  <c r="W224" i="1" s="1"/>
  <c r="X221" i="1"/>
  <c r="AA205" i="1"/>
  <c r="AA203" i="1"/>
  <c r="X200" i="1"/>
  <c r="AA197" i="1"/>
  <c r="AA195" i="1"/>
  <c r="X192" i="1"/>
  <c r="AA189" i="1"/>
  <c r="W189" i="1" s="1"/>
  <c r="AA187" i="1"/>
  <c r="W187" i="1" s="1"/>
  <c r="X184" i="1"/>
  <c r="AA181" i="1"/>
  <c r="AA179" i="1"/>
  <c r="X176" i="1"/>
  <c r="AA173" i="1"/>
  <c r="AA171" i="1"/>
  <c r="X168" i="1"/>
  <c r="X167" i="1"/>
  <c r="X239" i="1"/>
  <c r="AA229" i="1"/>
  <c r="X227" i="1"/>
  <c r="AA218" i="1"/>
  <c r="T177" i="1"/>
  <c r="AA174" i="1"/>
  <c r="T169" i="1"/>
  <c r="U169" i="1" s="1"/>
  <c r="S169" i="1" s="1"/>
  <c r="T240" i="1"/>
  <c r="U240" i="1" s="1"/>
  <c r="S240" i="1" s="1"/>
  <c r="T235" i="1"/>
  <c r="AA233" i="1"/>
  <c r="AA222" i="1"/>
  <c r="AA250" i="1"/>
  <c r="AA201" i="1"/>
  <c r="AA199" i="1"/>
  <c r="X196" i="1"/>
  <c r="AA193" i="1"/>
  <c r="W193" i="1" s="1"/>
  <c r="AA191" i="1"/>
  <c r="X188" i="1"/>
  <c r="AA185" i="1"/>
  <c r="W185" i="1" s="1"/>
  <c r="X180" i="1"/>
  <c r="AA245" i="1"/>
  <c r="AA244" i="1"/>
  <c r="AA241" i="1"/>
  <c r="X228" i="1"/>
  <c r="AA228" i="1"/>
  <c r="X158" i="1"/>
  <c r="AA146" i="1"/>
  <c r="W146" i="1" s="1"/>
  <c r="T145" i="1"/>
  <c r="U145" i="1" s="1"/>
  <c r="S145" i="1" s="1"/>
  <c r="X142" i="1"/>
  <c r="AA138" i="1"/>
  <c r="T137" i="1"/>
  <c r="U137" i="1" s="1"/>
  <c r="S137" i="1" s="1"/>
  <c r="T134" i="1"/>
  <c r="AA133" i="1"/>
  <c r="AA132" i="1"/>
  <c r="X122" i="1"/>
  <c r="AA117" i="1"/>
  <c r="T110" i="1"/>
  <c r="T102" i="1"/>
  <c r="T89" i="1"/>
  <c r="U89" i="1" s="1"/>
  <c r="S89" i="1" s="1"/>
  <c r="X65" i="1"/>
  <c r="X57" i="1"/>
  <c r="AA219" i="1"/>
  <c r="AA210" i="1"/>
  <c r="X157" i="1"/>
  <c r="AA150" i="1"/>
  <c r="X141" i="1"/>
  <c r="AA128" i="1"/>
  <c r="W128" i="1" s="1"/>
  <c r="X123" i="1"/>
  <c r="X118" i="1"/>
  <c r="X111" i="1"/>
  <c r="T109" i="1"/>
  <c r="U109" i="1" s="1"/>
  <c r="S109" i="1" s="1"/>
  <c r="X103" i="1"/>
  <c r="T101" i="1"/>
  <c r="X93" i="1"/>
  <c r="X91" i="1"/>
  <c r="X90" i="1"/>
  <c r="T84" i="1"/>
  <c r="AA78" i="1"/>
  <c r="X76" i="1"/>
  <c r="X74" i="1"/>
  <c r="AA67" i="1"/>
  <c r="AA59" i="1"/>
  <c r="AA38" i="1"/>
  <c r="W38" i="1" s="1"/>
  <c r="AA34" i="1"/>
  <c r="AA30" i="1"/>
  <c r="AA26" i="1"/>
  <c r="W26" i="1" s="1"/>
  <c r="AA22" i="1"/>
  <c r="X21" i="1"/>
  <c r="X16" i="1"/>
  <c r="AA211" i="1"/>
  <c r="W211" i="1" s="1"/>
  <c r="AA154" i="1"/>
  <c r="W154" i="1" s="1"/>
  <c r="AA151" i="1"/>
  <c r="X130" i="1"/>
  <c r="AA127" i="1"/>
  <c r="AA125" i="1"/>
  <c r="AA120" i="1"/>
  <c r="AA98" i="1"/>
  <c r="AA95" i="1"/>
  <c r="W95" i="1" s="1"/>
  <c r="AA86" i="1"/>
  <c r="AA82" i="1"/>
  <c r="X80" i="1"/>
  <c r="X69" i="1"/>
  <c r="AA66" i="1"/>
  <c r="X61" i="1"/>
  <c r="AA58" i="1"/>
  <c r="AA52" i="1"/>
  <c r="T51" i="1"/>
  <c r="AA49" i="1"/>
  <c r="AA48" i="1"/>
  <c r="AA45" i="1"/>
  <c r="AA44" i="1"/>
  <c r="W44" i="1" s="1"/>
  <c r="AA41" i="1"/>
  <c r="X126" i="1"/>
  <c r="AA123" i="1"/>
  <c r="AA121" i="1"/>
  <c r="W121" i="1" s="1"/>
  <c r="AA111" i="1"/>
  <c r="AA103" i="1"/>
  <c r="AA91" i="1"/>
  <c r="AA73" i="1"/>
  <c r="AA71" i="1"/>
  <c r="AA64" i="1"/>
  <c r="AA56" i="1"/>
  <c r="X24" i="1"/>
  <c r="AA21" i="1"/>
  <c r="AI248" i="1"/>
  <c r="AI244" i="1"/>
  <c r="U250" i="1"/>
  <c r="S250" i="1" s="1"/>
  <c r="AI240" i="1"/>
  <c r="AI236" i="1"/>
  <c r="U199" i="1"/>
  <c r="S199" i="1" s="1"/>
  <c r="AI232" i="1"/>
  <c r="U195" i="1"/>
  <c r="S195" i="1" s="1"/>
  <c r="AI228" i="1"/>
  <c r="U191" i="1"/>
  <c r="S191" i="1" s="1"/>
  <c r="AI224" i="1"/>
  <c r="U187" i="1"/>
  <c r="S187" i="1" s="1"/>
  <c r="AI220" i="1"/>
  <c r="U183" i="1"/>
  <c r="S183" i="1" s="1"/>
  <c r="AI216" i="1"/>
  <c r="U179" i="1"/>
  <c r="S179" i="1" s="1"/>
  <c r="AI212" i="1"/>
  <c r="U175" i="1"/>
  <c r="S175" i="1" s="1"/>
  <c r="AI208" i="1"/>
  <c r="U171" i="1"/>
  <c r="S171" i="1" s="1"/>
  <c r="AI204" i="1"/>
  <c r="U167" i="1"/>
  <c r="S167" i="1" s="1"/>
  <c r="AI200" i="1"/>
  <c r="U163" i="1"/>
  <c r="S163" i="1" s="1"/>
  <c r="AI196" i="1"/>
  <c r="U159" i="1"/>
  <c r="S159" i="1" s="1"/>
  <c r="AI192" i="1"/>
  <c r="U246" i="1"/>
  <c r="S246" i="1" s="1"/>
  <c r="AI249" i="1"/>
  <c r="U225" i="1"/>
  <c r="S225" i="1" s="1"/>
  <c r="AI245" i="1"/>
  <c r="U221" i="1"/>
  <c r="S221" i="1" s="1"/>
  <c r="AI241" i="1"/>
  <c r="U204" i="1"/>
  <c r="S204" i="1" s="1"/>
  <c r="AI237" i="1"/>
  <c r="U200" i="1"/>
  <c r="S200" i="1" s="1"/>
  <c r="AI233" i="1"/>
  <c r="U196" i="1"/>
  <c r="S196" i="1" s="1"/>
  <c r="AI229" i="1"/>
  <c r="U192" i="1"/>
  <c r="S192" i="1" s="1"/>
  <c r="AI225" i="1"/>
  <c r="U188" i="1"/>
  <c r="S188" i="1" s="1"/>
  <c r="AI221" i="1"/>
  <c r="U184" i="1"/>
  <c r="S184" i="1" s="1"/>
  <c r="AI217" i="1"/>
  <c r="U180" i="1"/>
  <c r="S180" i="1" s="1"/>
  <c r="AI213" i="1"/>
  <c r="U176" i="1"/>
  <c r="S176" i="1" s="1"/>
  <c r="AI209" i="1"/>
  <c r="U172" i="1"/>
  <c r="S172" i="1" s="1"/>
  <c r="AI205" i="1"/>
  <c r="U168" i="1"/>
  <c r="S168" i="1" s="1"/>
  <c r="AI201" i="1"/>
  <c r="U164" i="1"/>
  <c r="S164" i="1" s="1"/>
  <c r="AI197" i="1"/>
  <c r="U160" i="1"/>
  <c r="S160" i="1" s="1"/>
  <c r="AI193" i="1"/>
  <c r="U226" i="1"/>
  <c r="S226" i="1" s="1"/>
  <c r="AI250" i="1"/>
  <c r="U222" i="1"/>
  <c r="S222" i="1" s="1"/>
  <c r="AI246" i="1"/>
  <c r="U205" i="1"/>
  <c r="S205" i="1" s="1"/>
  <c r="AI242" i="1"/>
  <c r="U201" i="1"/>
  <c r="S201" i="1" s="1"/>
  <c r="AI238" i="1"/>
  <c r="U197" i="1"/>
  <c r="S197" i="1" s="1"/>
  <c r="AI234" i="1"/>
  <c r="U193" i="1"/>
  <c r="S193" i="1" s="1"/>
  <c r="AI230" i="1"/>
  <c r="U189" i="1"/>
  <c r="S189" i="1" s="1"/>
  <c r="AI226" i="1"/>
  <c r="AI222" i="1"/>
  <c r="U181" i="1"/>
  <c r="S181" i="1" s="1"/>
  <c r="AI218" i="1"/>
  <c r="U177" i="1"/>
  <c r="S177" i="1" s="1"/>
  <c r="AI214" i="1"/>
  <c r="U173" i="1"/>
  <c r="S173" i="1" s="1"/>
  <c r="AI210" i="1"/>
  <c r="AI206" i="1"/>
  <c r="U165" i="1"/>
  <c r="S165" i="1" s="1"/>
  <c r="AI202" i="1"/>
  <c r="U161" i="1"/>
  <c r="S161" i="1" s="1"/>
  <c r="AI198" i="1"/>
  <c r="U248" i="1"/>
  <c r="S248" i="1" s="1"/>
  <c r="AI194" i="1"/>
  <c r="U244" i="1"/>
  <c r="S244" i="1" s="1"/>
  <c r="AI190" i="1"/>
  <c r="U223" i="1"/>
  <c r="S223" i="1" s="1"/>
  <c r="AI247" i="1"/>
  <c r="U206" i="1"/>
  <c r="S206" i="1" s="1"/>
  <c r="AI243" i="1"/>
  <c r="U202" i="1"/>
  <c r="S202" i="1" s="1"/>
  <c r="AI239" i="1"/>
  <c r="U198" i="1"/>
  <c r="S198" i="1" s="1"/>
  <c r="AI235" i="1"/>
  <c r="U194" i="1"/>
  <c r="S194" i="1" s="1"/>
  <c r="AI231" i="1"/>
  <c r="U190" i="1"/>
  <c r="S190" i="1" s="1"/>
  <c r="AI227" i="1"/>
  <c r="U186" i="1"/>
  <c r="S186" i="1" s="1"/>
  <c r="AI223" i="1"/>
  <c r="U182" i="1"/>
  <c r="S182" i="1" s="1"/>
  <c r="AI219" i="1"/>
  <c r="U178" i="1"/>
  <c r="S178" i="1" s="1"/>
  <c r="AI215" i="1"/>
  <c r="U174" i="1"/>
  <c r="AI211" i="1"/>
  <c r="U170" i="1"/>
  <c r="S170" i="1" s="1"/>
  <c r="AI207" i="1"/>
  <c r="AI203" i="1"/>
  <c r="U162" i="1"/>
  <c r="S162" i="1" s="1"/>
  <c r="AI199" i="1"/>
  <c r="U249" i="1"/>
  <c r="S249" i="1" s="1"/>
  <c r="AI195" i="1"/>
  <c r="U245" i="1"/>
  <c r="S245" i="1" s="1"/>
  <c r="AI191" i="1"/>
  <c r="U243" i="1"/>
  <c r="S243" i="1" s="1"/>
  <c r="AI189" i="1"/>
  <c r="AI185" i="1"/>
  <c r="U239" i="1"/>
  <c r="S239" i="1" s="1"/>
  <c r="AI181" i="1"/>
  <c r="U235" i="1"/>
  <c r="S235" i="1" s="1"/>
  <c r="AI177" i="1"/>
  <c r="U231" i="1"/>
  <c r="S231" i="1" s="1"/>
  <c r="AI173" i="1"/>
  <c r="U227" i="1"/>
  <c r="S227" i="1" s="1"/>
  <c r="AI169" i="1"/>
  <c r="U217" i="1"/>
  <c r="S217" i="1" s="1"/>
  <c r="AI165" i="1"/>
  <c r="U213" i="1"/>
  <c r="S213" i="1" s="1"/>
  <c r="AI161" i="1"/>
  <c r="U209" i="1"/>
  <c r="S209" i="1" s="1"/>
  <c r="AI157" i="1"/>
  <c r="U157" i="1"/>
  <c r="S157" i="1" s="1"/>
  <c r="AI153" i="1"/>
  <c r="U153" i="1"/>
  <c r="S153" i="1" s="1"/>
  <c r="AI149" i="1"/>
  <c r="U149" i="1"/>
  <c r="S149" i="1" s="1"/>
  <c r="AI145" i="1"/>
  <c r="AI141" i="1"/>
  <c r="U141" i="1"/>
  <c r="S141" i="1" s="1"/>
  <c r="AI137" i="1"/>
  <c r="AI186" i="1"/>
  <c r="AI182" i="1"/>
  <c r="U236" i="1"/>
  <c r="S236" i="1" s="1"/>
  <c r="AI178" i="1"/>
  <c r="AI174" i="1"/>
  <c r="U228" i="1"/>
  <c r="S228" i="1" s="1"/>
  <c r="AI170" i="1"/>
  <c r="AI166" i="1"/>
  <c r="U214" i="1"/>
  <c r="S214" i="1" s="1"/>
  <c r="AI162" i="1"/>
  <c r="U210" i="1"/>
  <c r="S210" i="1" s="1"/>
  <c r="AI158" i="1"/>
  <c r="U158" i="1"/>
  <c r="S158" i="1" s="1"/>
  <c r="AI154" i="1"/>
  <c r="AI150" i="1"/>
  <c r="U150" i="1"/>
  <c r="AI146" i="1"/>
  <c r="U146" i="1"/>
  <c r="S146" i="1" s="1"/>
  <c r="AI142" i="1"/>
  <c r="U142" i="1"/>
  <c r="S142" i="1" s="1"/>
  <c r="AI138" i="1"/>
  <c r="U138" i="1"/>
  <c r="S138" i="1" s="1"/>
  <c r="AI134" i="1"/>
  <c r="U134" i="1"/>
  <c r="U241" i="1"/>
  <c r="S241" i="1" s="1"/>
  <c r="AI187" i="1"/>
  <c r="U237" i="1"/>
  <c r="S237" i="1" s="1"/>
  <c r="AI183" i="1"/>
  <c r="U233" i="1"/>
  <c r="S233" i="1" s="1"/>
  <c r="AI179" i="1"/>
  <c r="U229" i="1"/>
  <c r="S229" i="1" s="1"/>
  <c r="AI175" i="1"/>
  <c r="U219" i="1"/>
  <c r="S219" i="1" s="1"/>
  <c r="AI171" i="1"/>
  <c r="U215" i="1"/>
  <c r="S215" i="1" s="1"/>
  <c r="AI167" i="1"/>
  <c r="U211" i="1"/>
  <c r="S211" i="1" s="1"/>
  <c r="AI163" i="1"/>
  <c r="U207" i="1"/>
  <c r="S207" i="1" s="1"/>
  <c r="AI159" i="1"/>
  <c r="U155" i="1"/>
  <c r="S155" i="1" s="1"/>
  <c r="AI155" i="1"/>
  <c r="U151" i="1"/>
  <c r="AI151" i="1"/>
  <c r="U147" i="1"/>
  <c r="S147" i="1" s="1"/>
  <c r="AI147" i="1"/>
  <c r="U143" i="1"/>
  <c r="S143" i="1" s="1"/>
  <c r="AI143" i="1"/>
  <c r="U139" i="1"/>
  <c r="S139" i="1" s="1"/>
  <c r="AI139" i="1"/>
  <c r="AI135" i="1"/>
  <c r="U242" i="1"/>
  <c r="S242" i="1" s="1"/>
  <c r="AI188" i="1"/>
  <c r="U238" i="1"/>
  <c r="S238" i="1" s="1"/>
  <c r="AI184" i="1"/>
  <c r="U234" i="1"/>
  <c r="S234" i="1" s="1"/>
  <c r="AI180" i="1"/>
  <c r="U230" i="1"/>
  <c r="S230" i="1" s="1"/>
  <c r="AI176" i="1"/>
  <c r="U220" i="1"/>
  <c r="S220" i="1" s="1"/>
  <c r="AI172" i="1"/>
  <c r="U216" i="1"/>
  <c r="S216" i="1" s="1"/>
  <c r="AI168" i="1"/>
  <c r="U212" i="1"/>
  <c r="S212" i="1" s="1"/>
  <c r="AI164" i="1"/>
  <c r="U208" i="1"/>
  <c r="S208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AI132" i="1"/>
  <c r="U132" i="1"/>
  <c r="S132" i="1" s="1"/>
  <c r="U130" i="1"/>
  <c r="S130" i="1" s="1"/>
  <c r="AI130" i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AI90" i="1"/>
  <c r="U90" i="1"/>
  <c r="S90" i="1" s="1"/>
  <c r="AI131" i="1"/>
  <c r="U131" i="1"/>
  <c r="S131" i="1" s="1"/>
  <c r="AI127" i="1"/>
  <c r="U127" i="1"/>
  <c r="S127" i="1" s="1"/>
  <c r="AI123" i="1"/>
  <c r="U123" i="1"/>
  <c r="S123" i="1" s="1"/>
  <c r="AI119" i="1"/>
  <c r="AI115" i="1"/>
  <c r="U115" i="1"/>
  <c r="S115" i="1" s="1"/>
  <c r="AI111" i="1"/>
  <c r="U111" i="1"/>
  <c r="S111" i="1" s="1"/>
  <c r="AI107" i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U128" i="1"/>
  <c r="S128" i="1" s="1"/>
  <c r="AI128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8" i="1"/>
  <c r="S88" i="1" s="1"/>
  <c r="AI88" i="1"/>
  <c r="AI133" i="1"/>
  <c r="AI129" i="1"/>
  <c r="AI125" i="1"/>
  <c r="AI121" i="1"/>
  <c r="AI117" i="1"/>
  <c r="U113" i="1"/>
  <c r="S113" i="1" s="1"/>
  <c r="AI113" i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AI89" i="1"/>
  <c r="AI86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85" i="1"/>
  <c r="U85" i="1"/>
  <c r="S85" i="1" s="1"/>
  <c r="AI81" i="1"/>
  <c r="AI77" i="1"/>
  <c r="U77" i="1"/>
  <c r="S77" i="1" s="1"/>
  <c r="AI73" i="1"/>
  <c r="U73" i="1"/>
  <c r="S73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2" i="1"/>
  <c r="S82" i="1" s="1"/>
  <c r="AI82" i="1"/>
  <c r="U78" i="1"/>
  <c r="S78" i="1" s="1"/>
  <c r="AI78" i="1"/>
  <c r="U74" i="1"/>
  <c r="S74" i="1" s="1"/>
  <c r="AI74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51" i="1"/>
  <c r="S51" i="1" s="1"/>
  <c r="AI51" i="1"/>
  <c r="U87" i="1"/>
  <c r="S87" i="1" s="1"/>
  <c r="AI87" i="1"/>
  <c r="U83" i="1"/>
  <c r="S83" i="1" s="1"/>
  <c r="AI83" i="1"/>
  <c r="AI79" i="1"/>
  <c r="AI75" i="1"/>
  <c r="AI71" i="1"/>
  <c r="AI68" i="1"/>
  <c r="AI64" i="1"/>
  <c r="AI60" i="1"/>
  <c r="AI56" i="1"/>
  <c r="AI52" i="1"/>
  <c r="AI48" i="1"/>
  <c r="U48" i="1"/>
  <c r="S48" i="1" s="1"/>
  <c r="AI44" i="1"/>
  <c r="U44" i="1"/>
  <c r="S44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W50" i="1"/>
  <c r="AI50" i="1"/>
  <c r="U46" i="1"/>
  <c r="S46" i="1" s="1"/>
  <c r="AI46" i="1"/>
  <c r="U42" i="1"/>
  <c r="S42" i="1" s="1"/>
  <c r="AI42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7" i="1"/>
  <c r="S47" i="1" s="1"/>
  <c r="AI47" i="1"/>
  <c r="U43" i="1"/>
  <c r="S43" i="1" s="1"/>
  <c r="AI43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2" i="1"/>
  <c r="W250" i="1"/>
  <c r="W201" i="1"/>
  <c r="W199" i="1"/>
  <c r="W191" i="1"/>
  <c r="W183" i="1"/>
  <c r="W177" i="1"/>
  <c r="W175" i="1"/>
  <c r="W167" i="1"/>
  <c r="W165" i="1"/>
  <c r="W164" i="1"/>
  <c r="W161" i="1"/>
  <c r="W160" i="1"/>
  <c r="W247" i="1"/>
  <c r="W243" i="1"/>
  <c r="W223" i="1"/>
  <c r="W204" i="1"/>
  <c r="W202" i="1"/>
  <c r="W196" i="1"/>
  <c r="W194" i="1"/>
  <c r="W188" i="1"/>
  <c r="W186" i="1"/>
  <c r="W180" i="1"/>
  <c r="W178" i="1"/>
  <c r="W172" i="1"/>
  <c r="W170" i="1"/>
  <c r="W166" i="1"/>
  <c r="W163" i="1"/>
  <c r="W162" i="1"/>
  <c r="W159" i="1"/>
  <c r="W246" i="1"/>
  <c r="W245" i="1"/>
  <c r="W226" i="1"/>
  <c r="W205" i="1"/>
  <c r="W197" i="1"/>
  <c r="W195" i="1"/>
  <c r="W181" i="1"/>
  <c r="W179" i="1"/>
  <c r="W173" i="1"/>
  <c r="W171" i="1"/>
  <c r="W203" i="1"/>
  <c r="W221" i="1"/>
  <c r="W206" i="1"/>
  <c r="W200" i="1"/>
  <c r="W198" i="1"/>
  <c r="W192" i="1"/>
  <c r="W190" i="1"/>
  <c r="W184" i="1"/>
  <c r="W182" i="1"/>
  <c r="W176" i="1"/>
  <c r="W174" i="1"/>
  <c r="W168" i="1"/>
  <c r="X223" i="1"/>
  <c r="X206" i="1"/>
  <c r="X202" i="1"/>
  <c r="X198" i="1"/>
  <c r="X194" i="1"/>
  <c r="X190" i="1"/>
  <c r="X186" i="1"/>
  <c r="X182" i="1"/>
  <c r="X178" i="1"/>
  <c r="X174" i="1"/>
  <c r="X170" i="1"/>
  <c r="X166" i="1"/>
  <c r="T166" i="1"/>
  <c r="U166" i="1" s="1"/>
  <c r="S166" i="1" s="1"/>
  <c r="X162" i="1"/>
  <c r="X249" i="1"/>
  <c r="X245" i="1"/>
  <c r="W240" i="1"/>
  <c r="W238" i="1"/>
  <c r="W237" i="1"/>
  <c r="W227" i="1"/>
  <c r="W218" i="1"/>
  <c r="W216" i="1"/>
  <c r="W215" i="1"/>
  <c r="W209" i="1"/>
  <c r="W207" i="1"/>
  <c r="W156" i="1"/>
  <c r="W149" i="1"/>
  <c r="W143" i="1"/>
  <c r="W140" i="1"/>
  <c r="W138" i="1"/>
  <c r="W133" i="1"/>
  <c r="X224" i="1"/>
  <c r="X250" i="1"/>
  <c r="X203" i="1"/>
  <c r="X199" i="1"/>
  <c r="X195" i="1"/>
  <c r="X191" i="1"/>
  <c r="X187" i="1"/>
  <c r="X183" i="1"/>
  <c r="X179" i="1"/>
  <c r="X175" i="1"/>
  <c r="X171" i="1"/>
  <c r="X163" i="1"/>
  <c r="X159" i="1"/>
  <c r="X246" i="1"/>
  <c r="W244" i="1"/>
  <c r="W242" i="1"/>
  <c r="W241" i="1"/>
  <c r="W231" i="1"/>
  <c r="W228" i="1"/>
  <c r="W220" i="1"/>
  <c r="W219" i="1"/>
  <c r="W210" i="1"/>
  <c r="W208" i="1"/>
  <c r="W153" i="1"/>
  <c r="W150" i="1"/>
  <c r="W147" i="1"/>
  <c r="W144" i="1"/>
  <c r="W136" i="1"/>
  <c r="W134" i="1"/>
  <c r="W235" i="1"/>
  <c r="W232" i="1"/>
  <c r="W229" i="1"/>
  <c r="W213" i="1"/>
  <c r="W157" i="1"/>
  <c r="W151" i="1"/>
  <c r="W141" i="1"/>
  <c r="W239" i="1"/>
  <c r="W236" i="1"/>
  <c r="W234" i="1"/>
  <c r="W233" i="1"/>
  <c r="W217" i="1"/>
  <c r="W214" i="1"/>
  <c r="W212" i="1"/>
  <c r="W158" i="1"/>
  <c r="W155" i="1"/>
  <c r="W145" i="1"/>
  <c r="W142" i="1"/>
  <c r="W139" i="1"/>
  <c r="W137" i="1"/>
  <c r="X242" i="1"/>
  <c r="X238" i="1"/>
  <c r="X234" i="1"/>
  <c r="X230" i="1"/>
  <c r="X220" i="1"/>
  <c r="X216" i="1"/>
  <c r="X212" i="1"/>
  <c r="X208" i="1"/>
  <c r="X156" i="1"/>
  <c r="X152" i="1"/>
  <c r="X148" i="1"/>
  <c r="X144" i="1"/>
  <c r="X140" i="1"/>
  <c r="X136" i="1"/>
  <c r="W131" i="1"/>
  <c r="W119" i="1"/>
  <c r="W118" i="1"/>
  <c r="W117" i="1"/>
  <c r="W116" i="1"/>
  <c r="W109" i="1"/>
  <c r="W104" i="1"/>
  <c r="W101" i="1"/>
  <c r="W92" i="1"/>
  <c r="W90" i="1"/>
  <c r="W130" i="1"/>
  <c r="W129" i="1"/>
  <c r="W124" i="1"/>
  <c r="W115" i="1"/>
  <c r="W114" i="1"/>
  <c r="W106" i="1"/>
  <c r="W99" i="1"/>
  <c r="W97" i="1"/>
  <c r="W88" i="1"/>
  <c r="W87" i="1"/>
  <c r="T133" i="1"/>
  <c r="U133" i="1" s="1"/>
  <c r="S133" i="1" s="1"/>
  <c r="W132" i="1"/>
  <c r="W127" i="1"/>
  <c r="W126" i="1"/>
  <c r="W125" i="1"/>
  <c r="W120" i="1"/>
  <c r="W113" i="1"/>
  <c r="W108" i="1"/>
  <c r="W105" i="1"/>
  <c r="W100" i="1"/>
  <c r="W98" i="1"/>
  <c r="W93" i="1"/>
  <c r="X241" i="1"/>
  <c r="X237" i="1"/>
  <c r="X233" i="1"/>
  <c r="X229" i="1"/>
  <c r="X219" i="1"/>
  <c r="X215" i="1"/>
  <c r="X211" i="1"/>
  <c r="X207" i="1"/>
  <c r="X155" i="1"/>
  <c r="X151" i="1"/>
  <c r="X147" i="1"/>
  <c r="X143" i="1"/>
  <c r="W123" i="1"/>
  <c r="W122" i="1"/>
  <c r="W111" i="1"/>
  <c r="W110" i="1"/>
  <c r="W103" i="1"/>
  <c r="W102" i="1"/>
  <c r="W96" i="1"/>
  <c r="W94" i="1"/>
  <c r="W91" i="1"/>
  <c r="X129" i="1"/>
  <c r="T129" i="1"/>
  <c r="U129" i="1" s="1"/>
  <c r="S129" i="1" s="1"/>
  <c r="X125" i="1"/>
  <c r="T125" i="1"/>
  <c r="U125" i="1" s="1"/>
  <c r="S125" i="1" s="1"/>
  <c r="X121" i="1"/>
  <c r="T121" i="1"/>
  <c r="U121" i="1" s="1"/>
  <c r="S121" i="1" s="1"/>
  <c r="X117" i="1"/>
  <c r="T117" i="1"/>
  <c r="U117" i="1" s="1"/>
  <c r="S117" i="1" s="1"/>
  <c r="W85" i="1"/>
  <c r="W84" i="1"/>
  <c r="W77" i="1"/>
  <c r="W76" i="1"/>
  <c r="W75" i="1"/>
  <c r="W74" i="1"/>
  <c r="W70" i="1"/>
  <c r="W62" i="1"/>
  <c r="W54" i="1"/>
  <c r="W51" i="1"/>
  <c r="W86" i="1"/>
  <c r="W83" i="1"/>
  <c r="W81" i="1"/>
  <c r="W80" i="1"/>
  <c r="W79" i="1"/>
  <c r="W78" i="1"/>
  <c r="W69" i="1"/>
  <c r="W68" i="1"/>
  <c r="W67" i="1"/>
  <c r="W61" i="1"/>
  <c r="W60" i="1"/>
  <c r="W59" i="1"/>
  <c r="W53" i="1"/>
  <c r="T86" i="1"/>
  <c r="U86" i="1" s="1"/>
  <c r="S86" i="1" s="1"/>
  <c r="X86" i="1"/>
  <c r="W82" i="1"/>
  <c r="W66" i="1"/>
  <c r="W58" i="1"/>
  <c r="W52" i="1"/>
  <c r="X132" i="1"/>
  <c r="X128" i="1"/>
  <c r="X124" i="1"/>
  <c r="X120" i="1"/>
  <c r="X116" i="1"/>
  <c r="X112" i="1"/>
  <c r="X108" i="1"/>
  <c r="X104" i="1"/>
  <c r="X100" i="1"/>
  <c r="X96" i="1"/>
  <c r="X92" i="1"/>
  <c r="X88" i="1"/>
  <c r="W73" i="1"/>
  <c r="W72" i="1"/>
  <c r="W71" i="1"/>
  <c r="W65" i="1"/>
  <c r="W64" i="1"/>
  <c r="W63" i="1"/>
  <c r="W56" i="1"/>
  <c r="W55" i="1"/>
  <c r="X83" i="1"/>
  <c r="X79" i="1"/>
  <c r="T79" i="1"/>
  <c r="U79" i="1" s="1"/>
  <c r="S79" i="1" s="1"/>
  <c r="X75" i="1"/>
  <c r="T75" i="1"/>
  <c r="U75" i="1" s="1"/>
  <c r="S75" i="1" s="1"/>
  <c r="T71" i="1"/>
  <c r="U71" i="1" s="1"/>
  <c r="S71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W37" i="1"/>
  <c r="W36" i="1"/>
  <c r="W33" i="1"/>
  <c r="W29" i="1"/>
  <c r="W28" i="1"/>
  <c r="W25" i="1"/>
  <c r="W24" i="1"/>
  <c r="W19" i="1"/>
  <c r="W18" i="1"/>
  <c r="T50" i="1"/>
  <c r="U50" i="1" s="1"/>
  <c r="S50" i="1" s="1"/>
  <c r="X50" i="1"/>
  <c r="W47" i="1"/>
  <c r="W43" i="1"/>
  <c r="W40" i="1"/>
  <c r="W35" i="1"/>
  <c r="W34" i="1"/>
  <c r="W31" i="1"/>
  <c r="W30" i="1"/>
  <c r="W27" i="1"/>
  <c r="W23" i="1"/>
  <c r="W22" i="1"/>
  <c r="W49" i="1"/>
  <c r="W48" i="1"/>
  <c r="W46" i="1"/>
  <c r="W45" i="1"/>
  <c r="W42" i="1"/>
  <c r="W41" i="1"/>
  <c r="W39" i="1"/>
  <c r="W16" i="1"/>
  <c r="W14" i="1"/>
  <c r="X67" i="1"/>
  <c r="X63" i="1"/>
  <c r="X59" i="1"/>
  <c r="X55" i="1"/>
  <c r="W21" i="1"/>
  <c r="W20" i="1"/>
  <c r="W15" i="1"/>
  <c r="X49" i="1"/>
  <c r="X38" i="1"/>
  <c r="X34" i="1"/>
  <c r="X30" i="1"/>
  <c r="X26" i="1"/>
  <c r="X22" i="1"/>
  <c r="X18" i="1"/>
  <c r="X46" i="1"/>
  <c r="X39" i="1"/>
  <c r="X35" i="1"/>
  <c r="X31" i="1"/>
  <c r="X27" i="1"/>
  <c r="X23" i="1"/>
  <c r="X19" i="1"/>
  <c r="X15" i="1"/>
  <c r="AD61" i="3"/>
  <c r="AD57" i="3"/>
  <c r="AE50" i="3"/>
  <c r="T21" i="3"/>
  <c r="AD45" i="3"/>
  <c r="AC14" i="3"/>
  <c r="AC75" i="3"/>
  <c r="AE33" i="3"/>
  <c r="AD32" i="3"/>
  <c r="AC36" i="3"/>
  <c r="AE12" i="3"/>
  <c r="AD47" i="3"/>
  <c r="AE23" i="3"/>
  <c r="AD17" i="3"/>
  <c r="AD13" i="3"/>
  <c r="AC31" i="3"/>
  <c r="AE66" i="3"/>
  <c r="AE49" i="3"/>
  <c r="AD40" i="3"/>
  <c r="AE34" i="3"/>
  <c r="AE26" i="3"/>
  <c r="AD21" i="3"/>
  <c r="AE19" i="3"/>
  <c r="AD12" i="3"/>
  <c r="AE11" i="3"/>
  <c r="AD9" i="3"/>
  <c r="AE8" i="3"/>
  <c r="AE31" i="3"/>
  <c r="AD24" i="3"/>
  <c r="AD20" i="3"/>
  <c r="AD11" i="3"/>
  <c r="AD8" i="3"/>
  <c r="AD66" i="3"/>
  <c r="T60" i="3"/>
  <c r="AC53" i="3"/>
  <c r="AC11" i="3"/>
  <c r="AD62" i="3"/>
  <c r="AC66" i="3"/>
  <c r="T66" i="3"/>
  <c r="AD54" i="3"/>
  <c r="AC47" i="3"/>
  <c r="AC74" i="3"/>
  <c r="T74" i="3"/>
  <c r="AD46" i="3"/>
  <c r="AC69" i="3"/>
  <c r="AC67" i="3"/>
  <c r="T67" i="3"/>
  <c r="AC43" i="3"/>
  <c r="AD15" i="3"/>
  <c r="T9" i="3"/>
  <c r="AC16" i="3"/>
  <c r="AC61" i="3"/>
  <c r="AE75" i="3"/>
  <c r="AC26" i="3"/>
  <c r="AE55" i="3"/>
  <c r="AC57" i="3"/>
  <c r="AE47" i="3"/>
  <c r="AC64" i="3"/>
  <c r="AE39" i="3"/>
  <c r="AD38" i="3"/>
  <c r="AE37" i="3"/>
  <c r="AE35" i="3"/>
  <c r="AD34" i="3"/>
  <c r="T20" i="3"/>
  <c r="AE32" i="3"/>
  <c r="AD31" i="3"/>
  <c r="T19" i="3"/>
  <c r="AE28" i="3"/>
  <c r="AD27" i="3"/>
  <c r="T44" i="3"/>
  <c r="AE20" i="3"/>
  <c r="AD19" i="3"/>
  <c r="T59" i="3"/>
  <c r="AC8" i="3"/>
  <c r="AC51" i="3"/>
  <c r="AE24" i="3"/>
  <c r="AC25" i="3"/>
  <c r="AC13" i="3"/>
  <c r="AC7" i="3"/>
  <c r="Y31" i="3"/>
  <c r="Y25" i="3"/>
  <c r="Y26" i="3"/>
  <c r="Y60" i="3"/>
  <c r="Y32" i="3"/>
  <c r="Y57" i="3"/>
  <c r="Y21" i="3"/>
  <c r="Y64" i="3"/>
  <c r="Y46" i="3"/>
  <c r="Y75" i="3"/>
  <c r="Y19" i="3"/>
  <c r="Y36" i="3"/>
  <c r="Y17" i="3"/>
  <c r="Y39" i="3"/>
  <c r="Y52" i="3"/>
  <c r="Y73" i="3"/>
  <c r="Y34" i="3"/>
  <c r="Y44" i="3"/>
  <c r="Y7" i="3"/>
  <c r="Y35" i="3"/>
  <c r="Y22" i="3"/>
  <c r="Y12" i="3"/>
  <c r="Y13" i="3"/>
  <c r="Y50" i="3"/>
  <c r="Y61" i="3"/>
  <c r="Y24" i="3"/>
  <c r="Y53" i="3"/>
  <c r="Y58" i="3"/>
  <c r="Y56" i="3"/>
  <c r="Y10" i="3"/>
  <c r="Y14" i="3"/>
  <c r="Y68" i="3"/>
  <c r="Y23" i="3"/>
  <c r="Y11" i="3"/>
  <c r="Y48" i="3"/>
  <c r="Y30" i="3"/>
  <c r="Y28" i="3"/>
  <c r="Y20" i="3"/>
  <c r="Y43" i="3"/>
  <c r="Y27" i="3"/>
  <c r="Y51" i="3"/>
  <c r="Y62" i="3"/>
  <c r="Y70" i="3"/>
  <c r="Y59" i="3"/>
  <c r="Y9" i="3"/>
  <c r="Y41" i="3"/>
  <c r="Y40" i="3"/>
  <c r="Y49" i="3"/>
  <c r="Y66" i="3"/>
  <c r="Y47" i="3"/>
  <c r="Y74" i="3"/>
  <c r="Y69" i="3"/>
  <c r="Y67" i="3"/>
  <c r="Y45" i="3"/>
  <c r="Y33" i="3"/>
  <c r="Y72" i="3"/>
  <c r="Y15" i="3"/>
  <c r="Y29" i="3"/>
  <c r="Y42" i="3"/>
  <c r="Y55" i="3"/>
  <c r="Y54" i="3"/>
  <c r="Y76" i="3"/>
  <c r="Y38" i="3"/>
  <c r="Y71" i="3"/>
  <c r="Y18" i="3"/>
  <c r="Y37" i="3"/>
  <c r="Y8" i="3"/>
  <c r="Y16" i="3"/>
  <c r="Y65" i="3"/>
  <c r="T39" i="3"/>
  <c r="AE60" i="3"/>
  <c r="AE74" i="3"/>
  <c r="T22" i="3"/>
  <c r="T49" i="3"/>
  <c r="T47" i="3"/>
  <c r="T69" i="3"/>
  <c r="AD36" i="3"/>
  <c r="T76" i="3"/>
  <c r="AE36" i="3"/>
  <c r="AC72" i="3"/>
  <c r="AD30" i="3"/>
  <c r="AC29" i="3"/>
  <c r="AD22" i="3"/>
  <c r="T29" i="3"/>
  <c r="AE22" i="3"/>
  <c r="AC49" i="3"/>
  <c r="AE70" i="3"/>
  <c r="T12" i="3"/>
  <c r="AD70" i="3"/>
  <c r="T35" i="3"/>
  <c r="AE64" i="3"/>
  <c r="T24" i="3"/>
  <c r="AD60" i="3"/>
  <c r="T48" i="3"/>
  <c r="AE56" i="3"/>
  <c r="T58" i="3"/>
  <c r="AD52" i="3"/>
  <c r="AD50" i="3"/>
  <c r="T30" i="3"/>
  <c r="AE48" i="3"/>
  <c r="T10" i="3"/>
  <c r="AD44" i="3"/>
  <c r="AD42" i="3"/>
  <c r="T28" i="3"/>
  <c r="AE40" i="3"/>
  <c r="T68" i="3"/>
  <c r="T38" i="3"/>
  <c r="T72" i="3"/>
  <c r="AC15" i="3"/>
  <c r="AD26" i="3"/>
  <c r="AD74" i="3"/>
  <c r="AE73" i="3"/>
  <c r="T13" i="3"/>
  <c r="AE69" i="3"/>
  <c r="T50" i="3"/>
  <c r="AE76" i="3"/>
  <c r="AE72" i="3"/>
  <c r="AE68" i="3"/>
  <c r="T40" i="3"/>
  <c r="AE62" i="3"/>
  <c r="AE61" i="3"/>
  <c r="AC39" i="3"/>
  <c r="AE54" i="3"/>
  <c r="AE53" i="3"/>
  <c r="AE46" i="3"/>
  <c r="AE45" i="3"/>
  <c r="AC45" i="3"/>
  <c r="AD37" i="3"/>
  <c r="AD29" i="3"/>
  <c r="T71" i="3"/>
  <c r="AE29" i="3"/>
  <c r="T52" i="3"/>
  <c r="AE52" i="3"/>
  <c r="T73" i="3"/>
  <c r="AE44" i="3"/>
  <c r="AC33" i="3"/>
  <c r="AD33" i="3"/>
  <c r="AD25" i="3"/>
  <c r="T18" i="3"/>
  <c r="AE25" i="3"/>
  <c r="AE18" i="3"/>
  <c r="T42" i="3"/>
  <c r="AE14" i="3"/>
  <c r="T55" i="3"/>
  <c r="AE10" i="3"/>
  <c r="T54" i="3"/>
  <c r="AE21" i="3"/>
  <c r="T37" i="3"/>
  <c r="AD18" i="3"/>
  <c r="AE17" i="3"/>
  <c r="T8" i="3"/>
  <c r="AD14" i="3"/>
  <c r="AE13" i="3"/>
  <c r="T16" i="3"/>
  <c r="AD10" i="3"/>
  <c r="AE9" i="3"/>
  <c r="T65" i="3"/>
  <c r="M63" i="3"/>
  <c r="R63" i="3"/>
  <c r="S63" i="3"/>
  <c r="U63" i="3"/>
  <c r="AD63" i="3" s="1"/>
  <c r="V63" i="3"/>
  <c r="X63" i="3"/>
  <c r="W63" i="3"/>
  <c r="S150" i="1" l="1"/>
  <c r="AE63" i="3"/>
  <c r="AC63" i="3"/>
  <c r="T63" i="3"/>
  <c r="Y63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L13" i="1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43" i="3" s="1"/>
  <c r="G99" i="4"/>
  <c r="G100" i="4"/>
  <c r="G101" i="4"/>
  <c r="G102" i="4"/>
  <c r="G103" i="4"/>
  <c r="G104" i="4"/>
  <c r="N70" i="3" s="1"/>
  <c r="G105" i="4"/>
  <c r="G106" i="4"/>
  <c r="G107" i="4"/>
  <c r="G108" i="4"/>
  <c r="N18" i="3" s="1"/>
  <c r="G109" i="4"/>
  <c r="G110" i="4"/>
  <c r="G111" i="4"/>
  <c r="G112" i="4"/>
  <c r="G113" i="4"/>
  <c r="G114" i="4"/>
  <c r="G115" i="4"/>
  <c r="G116" i="4"/>
  <c r="G117" i="4"/>
  <c r="G118" i="4"/>
  <c r="N15" i="3" s="1"/>
  <c r="G119" i="4"/>
  <c r="G120" i="4"/>
  <c r="G121" i="4"/>
  <c r="G122" i="4"/>
  <c r="N44" i="3" s="1"/>
  <c r="G123" i="4"/>
  <c r="G124" i="4"/>
  <c r="G125" i="4"/>
  <c r="G126" i="4"/>
  <c r="G127" i="4"/>
  <c r="G128" i="4"/>
  <c r="G129" i="4"/>
  <c r="G130" i="4"/>
  <c r="N23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N45" i="3" s="1"/>
  <c r="G143" i="4"/>
  <c r="G144" i="4"/>
  <c r="G145" i="4"/>
  <c r="G146" i="4"/>
  <c r="G147" i="4"/>
  <c r="G148" i="4"/>
  <c r="G149" i="4"/>
  <c r="G150" i="4"/>
  <c r="G151" i="4"/>
  <c r="N14" i="3" s="1"/>
  <c r="G152" i="4"/>
  <c r="G153" i="4"/>
  <c r="G154" i="4"/>
  <c r="G155" i="4"/>
  <c r="G156" i="4"/>
  <c r="G157" i="4"/>
  <c r="G158" i="4"/>
  <c r="N64" i="3" s="1"/>
  <c r="G159" i="4"/>
  <c r="G160" i="4"/>
  <c r="N10" i="3" s="1"/>
  <c r="G161" i="4"/>
  <c r="G162" i="4"/>
  <c r="G163" i="4"/>
  <c r="G164" i="4"/>
  <c r="N21" i="3" s="1"/>
  <c r="G165" i="4"/>
  <c r="N56" i="3" s="1"/>
  <c r="G166" i="4"/>
  <c r="G167" i="4"/>
  <c r="N30" i="3" s="1"/>
  <c r="G168" i="4"/>
  <c r="G169" i="4"/>
  <c r="G170" i="4"/>
  <c r="G171" i="4"/>
  <c r="G172" i="4"/>
  <c r="G173" i="4"/>
  <c r="G174" i="4"/>
  <c r="G175" i="4"/>
  <c r="N47" i="3" s="1"/>
  <c r="G176" i="4"/>
  <c r="G177" i="4"/>
  <c r="N57" i="3" s="1"/>
  <c r="G178" i="4"/>
  <c r="N52" i="3" s="1"/>
  <c r="G179" i="4"/>
  <c r="G180" i="4"/>
  <c r="G181" i="4"/>
  <c r="G182" i="4"/>
  <c r="G183" i="4"/>
  <c r="G184" i="4"/>
  <c r="G185" i="4"/>
  <c r="G186" i="4"/>
  <c r="G187" i="4"/>
  <c r="N48" i="3" s="1"/>
  <c r="G188" i="4"/>
  <c r="G189" i="4"/>
  <c r="G190" i="4"/>
  <c r="N58" i="3" s="1"/>
  <c r="G191" i="4"/>
  <c r="G192" i="4"/>
  <c r="N53" i="3" s="1"/>
  <c r="G193" i="4"/>
  <c r="G194" i="4"/>
  <c r="G195" i="4"/>
  <c r="G196" i="4"/>
  <c r="G197" i="4"/>
  <c r="G198" i="4"/>
  <c r="G199" i="4"/>
  <c r="G200" i="4"/>
  <c r="G201" i="4"/>
  <c r="N66" i="3" s="1"/>
  <c r="G202" i="4"/>
  <c r="G203" i="4"/>
  <c r="N49" i="3" s="1"/>
  <c r="G204" i="4"/>
  <c r="G205" i="4"/>
  <c r="G206" i="4"/>
  <c r="G207" i="4"/>
  <c r="N24" i="3" s="1"/>
  <c r="G208" i="4"/>
  <c r="G209" i="4"/>
  <c r="G210" i="4"/>
  <c r="G211" i="4"/>
  <c r="G212" i="4"/>
  <c r="G213" i="4"/>
  <c r="G214" i="4"/>
  <c r="N61" i="3" s="1"/>
  <c r="G215" i="4"/>
  <c r="N40" i="3" s="1"/>
  <c r="G216" i="4"/>
  <c r="G217" i="4"/>
  <c r="N35" i="3" s="1"/>
  <c r="G218" i="4"/>
  <c r="G219" i="4"/>
  <c r="G220" i="4"/>
  <c r="G221" i="4"/>
  <c r="N60" i="3" s="1"/>
  <c r="G222" i="4"/>
  <c r="G223" i="4"/>
  <c r="N26" i="3" s="1"/>
  <c r="G224" i="4"/>
  <c r="G225" i="4"/>
  <c r="G226" i="4"/>
  <c r="G227" i="4"/>
  <c r="G228" i="4"/>
  <c r="G229" i="4"/>
  <c r="G230" i="4"/>
  <c r="N12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9" i="3" l="1"/>
  <c r="N11" i="3"/>
  <c r="N13" i="3"/>
  <c r="N17" i="3"/>
  <c r="N36" i="3"/>
  <c r="N9" i="3"/>
  <c r="N16" i="3"/>
  <c r="N62" i="3"/>
  <c r="N32" i="3"/>
  <c r="N39" i="3"/>
  <c r="N28" i="3"/>
  <c r="N46" i="3"/>
  <c r="N20" i="3"/>
  <c r="N34" i="3"/>
  <c r="N33" i="3"/>
  <c r="N37" i="3"/>
  <c r="N27" i="3"/>
  <c r="N55" i="3"/>
  <c r="N65" i="3"/>
  <c r="N7" i="3"/>
  <c r="N50" i="3"/>
  <c r="N76" i="3"/>
  <c r="N68" i="3"/>
  <c r="N73" i="3"/>
  <c r="N71" i="3"/>
  <c r="N72" i="3"/>
  <c r="N75" i="3"/>
  <c r="N67" i="3"/>
  <c r="N74" i="3"/>
  <c r="N69" i="3"/>
  <c r="N29" i="3"/>
  <c r="N31" i="3"/>
  <c r="N25" i="3"/>
  <c r="N42" i="3"/>
  <c r="N8" i="3"/>
  <c r="N41" i="3"/>
  <c r="N22" i="3"/>
  <c r="N19" i="3"/>
  <c r="N38" i="3"/>
  <c r="N51" i="3"/>
  <c r="N54" i="3"/>
  <c r="N63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<sst xmlns="http://schemas.openxmlformats.org/spreadsheetml/2006/main" count="3180" uniqueCount="1060">
  <si>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</si>
  <si>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</si>
  <si>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</si>
  <si>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</si>
  <si>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</si>
  <si>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</si>
  <si>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</si>
  <si>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</si>
  <si>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</si>
  <si>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</si>
  <si>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</si>
  <si>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</si>
  <si>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</si>
  <si>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</si>
  <si>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</si>
  <si>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</si>
  <si>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</si>
  <si>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</si>
  <si>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</si>
  <si>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</si>
  <si>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</si>
  <si>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</si>
  <si>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</si>
  <si>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</si>
  <si>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</si>
  <si>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</si>
  <si>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</si>
  <si>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</si>
  <si>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</si>
  <si>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</si>
  <si>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</si>
  <si>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</si>
  <si>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</si>
  <si>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</si>
  <si>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</si>
  <si>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</si>
  <si>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</si>
  <si>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</si>
  <si>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</si>
  <si>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</si>
  <si>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</si>
  <si>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</si>
  <si>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</si>
  <si>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</si>
  <si>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</si>
  <si>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</si>
  <si>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</si>
  <si>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</si>
  <si>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</si>
  <si>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</si>
  <si>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</si>
  <si>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</si>
  <si>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</si>
  <si>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</si>
  <si>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</si>
  <si>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</si>
  <si>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</si>
  <si>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</si>
  <si>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</si>
  <si>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</si>
  <si>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</si>
  <si>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</si>
  <si>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</si>
  <si>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</si>
  <si>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</si>
  <si>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</si>
  <si>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</si>
  <si>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</si>
  <si>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</si>
  <si>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</si>
  <si>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</si>
  <si>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</si>
  <si>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</si>
  <si>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</si>
  <si>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</si>
  <si>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</si>
  <si>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</si>
  <si>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</si>
  <si>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</si>
  <si>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</si>
  <si>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</si>
  <si>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</si>
  <si>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</si>
  <si>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</si>
  <si>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</si>
  <si>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</si>
  <si>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</si>
  <si>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</si>
  <si>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</si>
  <si>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</si>
  <si>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</si>
  <si>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</si>
  <si>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</si>
  <si>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</si>
  <si>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</si>
  <si>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</si>
  <si>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</si>
  <si>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</si>
  <si>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</si>
  <si>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</si>
  <si>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</si>
  <si>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</si>
  <si>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</si>
  <si>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</si>
  <si>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</si>
  <si>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</si>
  <si>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</si>
  <si>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</si>
  <si>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</si>
  <si>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</si>
  <si>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</si>
  <si>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</si>
  <si>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</si>
  <si>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</si>
  <si>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</si>
  <si>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</si>
  <si>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</si>
  <si>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</si>
  <si>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</si>
  <si>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</si>
  <si>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</si>
  <si>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</si>
  <si>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</si>
  <si>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</si>
  <si>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</si>
  <si>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</si>
  <si>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</si>
  <si>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</si>
  <si>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</si>
  <si>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</si>
  <si>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</si>
  <si>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</si>
  <si>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</si>
  <si>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</si>
  <si>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</si>
  <si>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</si>
  <si>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</si>
  <si>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</si>
  <si>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</si>
  <si>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</si>
  <si>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</si>
  <si>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</si>
  <si>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</si>
  <si>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</si>
  <si>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</si>
  <si>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</si>
  <si>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</si>
  <si>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</si>
  <si>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</si>
  <si>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</si>
  <si>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</si>
  <si>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</si>
  <si>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</si>
  <si>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</si>
  <si>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</si>
  <si>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</si>
  <si>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</si>
  <si>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</si>
  <si>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</si>
  <si>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</si>
  <si>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</si>
  <si>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</si>
  <si>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</si>
  <si>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</si>
  <si>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</si>
  <si>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</si>
  <si>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</si>
  <si>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</si>
  <si>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</si>
  <si>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</si>
  <si>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</si>
  <si>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</si>
  <si>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</si>
  <si>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</si>
  <si>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</si>
  <si>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</si>
  <si>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</si>
  <si>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</si>
  <si>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</si>
  <si>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</si>
  <si>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</si>
  <si>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</si>
  <si>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</si>
  <si>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</si>
  <si>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</si>
  <si>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</si>
  <si>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</si>
  <si>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</si>
  <si>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</si>
  <si>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</si>
  <si>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</si>
  <si>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</si>
  <si>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</si>
  <si>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</si>
  <si>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</si>
  <si>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</si>
  <si>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</si>
  <si>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</si>
  <si>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</si>
  <si>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</si>
  <si>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</si>
  <si>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</si>
  <si>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</si>
  <si>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</si>
  <si>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</si>
  <si>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</si>
  <si>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</si>
  <si>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</si>
  <si>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</si>
  <si>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</si>
  <si>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</si>
  <si>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</si>
  <si>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</si>
  <si>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</si>
  <si>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</si>
  <si>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</si>
  <si>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</si>
  <si>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</si>
  <si>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</si>
  <si>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</si>
  <si>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</si>
  <si>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</si>
  <si>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</si>
  <si>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</si>
  <si>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</si>
  <si>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</si>
  <si>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</si>
  <si>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</si>
  <si>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</si>
  <si>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</si>
  <si>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</si>
  <si>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</si>
  <si>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</si>
  <si>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</si>
  <si>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</si>
  <si>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</si>
  <si>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</si>
  <si>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</si>
  <si>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</si>
  <si>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</si>
  <si>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</si>
  <si>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</si>
  <si>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</si>
  <si>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</si>
  <si>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</si>
  <si>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</si>
  <si>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</si>
  <si>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</si>
  <si>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</si>
  <si>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</si>
  <si>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</si>
  <si>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</si>
  <si>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</si>
  <si>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</si>
  <si>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</si>
  <si>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</si>
  <si>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</si>
  <si>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</si>
  <si>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</si>
  <si>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</si>
  <si>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</si>
  <si>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</si>
  <si>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</si>
  <si>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</si>
  <si>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</si>
  <si>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</si>
  <si>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</si>
  <si>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</si>
  <si>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</si>
  <si>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</si>
  <si>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</si>
  <si>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</si>
  <si>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</si>
  <si>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</si>
  <si>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</si>
  <si>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</si>
  <si>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</si>
  <si>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</si>
  <si>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</si>
  <si>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</si>
  <si>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</si>
  <si>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</si>
  <si>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</si>
  <si>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</si>
  <si>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</si>
  <si>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</si>
  <si>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</si>
  <si>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</si>
  <si>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</si>
  <si>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</si>
  <si>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</si>
  <si>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</si>
  <si>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</si>
  <si>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</si>
  <si>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</si>
  <si>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</si>
  <si>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</si>
  <si>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</si>
  <si>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</si>
  <si>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</si>
  <si>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</si>
  <si>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</si>
  <si>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</si>
  <si>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</si>
  <si>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</si>
  <si>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</si>
  <si>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</si>
  <si>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</si>
  <si>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</si>
  <si>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</si>
  <si>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</si>
  <si>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</si>
  <si>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</si>
  <si>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</si>
  <si>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</si>
  <si>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</si>
  <si>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</si>
  <si>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</si>
  <si>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</si>
  <si>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</si>
  <si>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</si>
  <si>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</si>
  <si>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</si>
  <si>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</si>
  <si>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</si>
  <si>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</si>
  <si>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</si>
  <si>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</si>
  <si>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</si>
  <si>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</si>
  <si>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</si>
  <si>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</si>
  <si>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</si>
  <si>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</si>
  <si>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</si>
  <si>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</si>
  <si>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</si>
  <si>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</si>
  <si>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</si>
  <si>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</si>
  <si>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</si>
  <si>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</si>
  <si>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</si>
  <si>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</si>
  <si>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</si>
  <si>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</si>
  <si>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</si>
  <si>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</si>
  <si>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</si>
  <si>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</si>
  <si>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</si>
  <si>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</si>
  <si>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</si>
  <si>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</si>
  <si>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</si>
  <si>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</si>
  <si>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</si>
  <si>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</si>
  <si>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</si>
  <si>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</si>
  <si>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</si>
  <si>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</si>
  <si>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</si>
  <si>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</si>
  <si>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</si>
  <si>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</si>
  <si>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</si>
  <si>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</si>
  <si>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</si>
  <si>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</si>
  <si>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</si>
  <si>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</si>
  <si>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</si>
  <si>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</si>
  <si>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</si>
  <si>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</si>
  <si>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</si>
  <si>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</si>
  <si>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</si>
  <si>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</si>
  <si>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</si>
  <si>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</si>
  <si>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</si>
  <si>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</si>
  <si>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</si>
  <si>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</si>
  <si>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</si>
  <si>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</si>
  <si>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</si>
  <si>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</si>
  <si>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</si>
  <si>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</si>
  <si>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</si>
  <si>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</si>
  <si>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</si>
  <si>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</si>
  <si>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</si>
  <si>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</si>
  <si>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</si>
  <si>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</si>
  <si>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</si>
  <si>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</si>
  <si>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</si>
  <si>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</si>
  <si>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</si>
  <si>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</si>
  <si>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</si>
  <si>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</si>
  <si>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</si>
  <si>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</si>
  <si>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</si>
  <si>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</si>
  <si>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</si>
  <si>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</si>
  <si>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</si>
  <si>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</si>
  <si>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</si>
  <si>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</si>
  <si>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</si>
  <si>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</si>
  <si>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</si>
  <si>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</si>
  <si>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</si>
  <si>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</si>
  <si>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</si>
  <si>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</si>
  <si>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</si>
  <si>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</si>
  <si>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</si>
  <si>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</si>
  <si>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</si>
  <si>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</si>
  <si>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</si>
  <si>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</si>
  <si>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</si>
  <si>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rtdc.l.rtdc.4002:itc</t>
  </si>
  <si>
    <t>rtdc.l.rtdc.4046:itc</t>
  </si>
  <si>
    <t>rtdc.l.rtdc.4045:itc</t>
  </si>
  <si>
    <t>204:232971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</si>
  <si>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</si>
  <si>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</si>
  <si>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</si>
  <si>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</si>
  <si>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</si>
  <si>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</si>
  <si>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</si>
  <si>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</si>
  <si>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</si>
  <si>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</si>
  <si>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</si>
  <si>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</si>
  <si>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</si>
  <si>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</si>
  <si>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</si>
  <si>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</si>
  <si>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</si>
  <si>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</si>
  <si>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</si>
  <si>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</si>
  <si>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</si>
  <si>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</si>
  <si>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</si>
  <si>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</si>
  <si>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</si>
  <si>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</si>
  <si>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204:161</t>
  </si>
  <si>
    <t>204:233305</t>
  </si>
  <si>
    <t>204:232977</t>
  </si>
  <si>
    <t>rtdc.l.rtdc.4018:itc</t>
  </si>
  <si>
    <t>204:232978</t>
  </si>
  <si>
    <t>rtdc.l.rtdc.4010:itc</t>
  </si>
  <si>
    <t>204:233308</t>
  </si>
  <si>
    <t>rtdc.l.rtdc.4017:itc</t>
  </si>
  <si>
    <t>rtdc.l.rtdc.4009:itc</t>
  </si>
  <si>
    <t>204:444</t>
  </si>
  <si>
    <t>204:232984</t>
  </si>
  <si>
    <t>204:440</t>
  </si>
  <si>
    <t>204:163</t>
  </si>
  <si>
    <t>204:233301</t>
  </si>
  <si>
    <t>204:233289</t>
  </si>
  <si>
    <t>204:232973</t>
  </si>
  <si>
    <t>rtdc.l.rtdc.4031:itc</t>
  </si>
  <si>
    <t>rtdc.l.rtdc.4057:itc</t>
  </si>
  <si>
    <t>204:233293</t>
  </si>
  <si>
    <t>Onboard in-route failure</t>
  </si>
  <si>
    <t>BONDS</t>
  </si>
  <si>
    <t>REYNALDO</t>
  </si>
  <si>
    <t>STARKS</t>
  </si>
  <si>
    <t>ANGELINA</t>
  </si>
  <si>
    <t>HELVIE</t>
  </si>
  <si>
    <t>ADAM</t>
  </si>
  <si>
    <t>LEVERE</t>
  </si>
  <si>
    <t>CRAIG</t>
  </si>
  <si>
    <t>MOSES</t>
  </si>
  <si>
    <t>BRADLEY</t>
  </si>
  <si>
    <t>204:136</t>
  </si>
  <si>
    <t>204:233291</t>
  </si>
  <si>
    <t>204:232980</t>
  </si>
  <si>
    <t>204:232982</t>
  </si>
  <si>
    <t>204:689</t>
  </si>
  <si>
    <t>rtdc.l.rtdc.4011:itc</t>
  </si>
  <si>
    <t>SPECTOR</t>
  </si>
  <si>
    <t>rtdc.l.rtdc.4012:itc</t>
  </si>
  <si>
    <t>YANG</t>
  </si>
  <si>
    <t>JAN</t>
  </si>
  <si>
    <t>SANTIZO</t>
  </si>
  <si>
    <t>D. EDY</t>
  </si>
  <si>
    <t>STEWART</t>
  </si>
  <si>
    <t>LEVIN</t>
  </si>
  <si>
    <t>SCOTT</t>
  </si>
  <si>
    <t>313-27</t>
  </si>
  <si>
    <t>300-28</t>
  </si>
  <si>
    <t>precipType</t>
  </si>
  <si>
    <t>rain</t>
  </si>
  <si>
    <t>204:232992</t>
  </si>
  <si>
    <t>204:233297</t>
  </si>
  <si>
    <t>204:232976</t>
  </si>
  <si>
    <t>204:435</t>
  </si>
  <si>
    <t>204:232998</t>
  </si>
  <si>
    <t>204:486</t>
  </si>
  <si>
    <t>204:233304</t>
  </si>
  <si>
    <t>300:23308</t>
  </si>
  <si>
    <t>300:58928</t>
  </si>
  <si>
    <t>204:976</t>
  </si>
  <si>
    <t>204:691</t>
  </si>
  <si>
    <t>rtdc.l.rtdc.4061:itc</t>
  </si>
  <si>
    <t>rtdc.l.rtdc.4062:itc</t>
  </si>
  <si>
    <t>244-28</t>
  </si>
  <si>
    <t>WENDY</t>
  </si>
  <si>
    <t>GEBRETEKLE</t>
  </si>
  <si>
    <t>DAGNEW</t>
  </si>
  <si>
    <t>DELGADO</t>
  </si>
  <si>
    <t>DIANAH</t>
  </si>
  <si>
    <t>HOLCOMB</t>
  </si>
  <si>
    <t>KAMDEN</t>
  </si>
  <si>
    <t>ARVIDSON</t>
  </si>
  <si>
    <t>DANIEL</t>
  </si>
  <si>
    <t>rtdc.l.rtdc.4056:itc</t>
  </si>
  <si>
    <t>307-28</t>
  </si>
  <si>
    <t>242-28</t>
  </si>
  <si>
    <t>309-28</t>
  </si>
  <si>
    <t>311-28</t>
  </si>
  <si>
    <t>313-28</t>
  </si>
  <si>
    <t>Mostly Cloudy</t>
  </si>
  <si>
    <t>Light Rain</t>
  </si>
  <si>
    <t>partly-cloudy-night</t>
  </si>
  <si>
    <t>204:232979</t>
  </si>
  <si>
    <t>204:232993</t>
  </si>
  <si>
    <t>204:232981</t>
  </si>
  <si>
    <t>204:232994</t>
  </si>
  <si>
    <t>204:232983</t>
  </si>
  <si>
    <t>204:478</t>
  </si>
  <si>
    <t>204:233332</t>
  </si>
  <si>
    <t>204:160</t>
  </si>
  <si>
    <t>204:233276</t>
  </si>
  <si>
    <t>204:165</t>
  </si>
  <si>
    <t>204:471</t>
  </si>
  <si>
    <t>204:131</t>
  </si>
  <si>
    <t>300:58611</t>
  </si>
  <si>
    <t>204:705</t>
  </si>
  <si>
    <t>204:986</t>
  </si>
  <si>
    <t>300:58613</t>
  </si>
  <si>
    <t>204:675</t>
  </si>
  <si>
    <t>300:58626</t>
  </si>
  <si>
    <t>204:964</t>
  </si>
  <si>
    <t>204:904</t>
  </si>
  <si>
    <t>start /low /b %USERPROFILE%\Documents\GitHub\eaglep3\Utilities\DownloadLogsFromS3.py --loco 4062 --day 2017-06-29</t>
  </si>
  <si>
    <t>300-29</t>
  </si>
  <si>
    <t>302-29</t>
  </si>
  <si>
    <t>SWITCH UNKNOWN</t>
  </si>
  <si>
    <t>Track device (7)</t>
  </si>
  <si>
    <t>901-29</t>
  </si>
  <si>
    <t>rtdc.l.rtdc.4041:itc</t>
  </si>
  <si>
    <t>800-29</t>
  </si>
  <si>
    <t>113-29</t>
  </si>
  <si>
    <t>801-29</t>
  </si>
  <si>
    <t>119-29</t>
  </si>
  <si>
    <t>802-29</t>
  </si>
  <si>
    <t>116-29</t>
  </si>
  <si>
    <t>123-29</t>
  </si>
  <si>
    <t>129-29</t>
  </si>
  <si>
    <t>809-29</t>
  </si>
  <si>
    <t>rtdc.l.rtdc.4055:itc</t>
  </si>
  <si>
    <t>128-29</t>
  </si>
  <si>
    <t>134-29</t>
  </si>
  <si>
    <t>143-29</t>
  </si>
  <si>
    <t>rtdc.l.rtdc.4023:itc</t>
  </si>
  <si>
    <t>54-29</t>
  </si>
  <si>
    <t>155-29</t>
  </si>
  <si>
    <t>161-29</t>
  </si>
  <si>
    <t>164-29</t>
  </si>
  <si>
    <t>171-29</t>
  </si>
  <si>
    <t>177-29</t>
  </si>
  <si>
    <t>57-29</t>
  </si>
  <si>
    <t>rtdc.l.rtdc.4005:itc</t>
  </si>
  <si>
    <t>174-29</t>
  </si>
  <si>
    <t>176-29</t>
  </si>
  <si>
    <t>rtdc.l.rtdc.4006:itc</t>
  </si>
  <si>
    <t>187-29</t>
  </si>
  <si>
    <t>185-29</t>
  </si>
  <si>
    <t>189-29</t>
  </si>
  <si>
    <t>904-29</t>
  </si>
  <si>
    <t>188-29</t>
  </si>
  <si>
    <t>826-29</t>
  </si>
  <si>
    <t>192-29</t>
  </si>
  <si>
    <t>190-29</t>
  </si>
  <si>
    <t>828-29</t>
  </si>
  <si>
    <t>829-29</t>
  </si>
  <si>
    <t>201-29</t>
  </si>
  <si>
    <t>832-29</t>
  </si>
  <si>
    <t>833-29</t>
  </si>
  <si>
    <t>207-29</t>
  </si>
  <si>
    <t>78-29</t>
  </si>
  <si>
    <t>208-29</t>
  </si>
  <si>
    <t>215-29</t>
  </si>
  <si>
    <t>217-29</t>
  </si>
  <si>
    <t>301-29</t>
  </si>
  <si>
    <t>221-29</t>
  </si>
  <si>
    <t>216-29</t>
  </si>
  <si>
    <t>841-29</t>
  </si>
  <si>
    <t>220-29</t>
  </si>
  <si>
    <t>225-29</t>
  </si>
  <si>
    <t>224-29</t>
  </si>
  <si>
    <t>230-29</t>
  </si>
  <si>
    <t>235-29</t>
  </si>
  <si>
    <t>236-29</t>
  </si>
  <si>
    <t>241-29</t>
  </si>
  <si>
    <t>242-29</t>
  </si>
  <si>
    <t>101-29</t>
  </si>
  <si>
    <t>51-29</t>
  </si>
  <si>
    <t>CUSHING</t>
  </si>
  <si>
    <t>HARRY</t>
  </si>
  <si>
    <t>YANAI</t>
  </si>
  <si>
    <t>IAN</t>
  </si>
  <si>
    <t>52-29</t>
  </si>
  <si>
    <t>103-29</t>
  </si>
  <si>
    <t>304-29</t>
  </si>
  <si>
    <t>306-29</t>
  </si>
  <si>
    <t>105-29</t>
  </si>
  <si>
    <t>102-29</t>
  </si>
  <si>
    <t>308-29</t>
  </si>
  <si>
    <t>107-29</t>
  </si>
  <si>
    <t>104-29</t>
  </si>
  <si>
    <t>109-29</t>
  </si>
  <si>
    <t>310-29</t>
  </si>
  <si>
    <t>111-29</t>
  </si>
  <si>
    <t>106-29</t>
  </si>
  <si>
    <t>108-29</t>
  </si>
  <si>
    <t>312-29</t>
  </si>
  <si>
    <t>110-29</t>
  </si>
  <si>
    <t>115-29</t>
  </si>
  <si>
    <t>117-29</t>
  </si>
  <si>
    <t>114-29</t>
  </si>
  <si>
    <t>112-29</t>
  </si>
  <si>
    <t>902-29</t>
  </si>
  <si>
    <t>121-29</t>
  </si>
  <si>
    <t>803-29</t>
  </si>
  <si>
    <t>50-29</t>
  </si>
  <si>
    <t>118-29</t>
  </si>
  <si>
    <t>804-29</t>
  </si>
  <si>
    <t>125-29</t>
  </si>
  <si>
    <t>805-29</t>
  </si>
  <si>
    <t>127-29</t>
  </si>
  <si>
    <t>122-29</t>
  </si>
  <si>
    <t>120-29</t>
  </si>
  <si>
    <t>807-29</t>
  </si>
  <si>
    <t>806-29</t>
  </si>
  <si>
    <t>124-29</t>
  </si>
  <si>
    <t>131-29</t>
  </si>
  <si>
    <t>808-29</t>
  </si>
  <si>
    <t>133-29</t>
  </si>
  <si>
    <t>126-29</t>
  </si>
  <si>
    <t>130-29</t>
  </si>
  <si>
    <t>135-29</t>
  </si>
  <si>
    <t>811-29</t>
  </si>
  <si>
    <t>810-29</t>
  </si>
  <si>
    <t>137-29</t>
  </si>
  <si>
    <t>132-29</t>
  </si>
  <si>
    <t>139-29</t>
  </si>
  <si>
    <t>903-29</t>
  </si>
  <si>
    <t>59-29</t>
  </si>
  <si>
    <t>BEAM</t>
  </si>
  <si>
    <t>ROSS</t>
  </si>
  <si>
    <t>141-29</t>
  </si>
  <si>
    <t>136-29</t>
  </si>
  <si>
    <t>812-29</t>
  </si>
  <si>
    <t>138-29</t>
  </si>
  <si>
    <t>rtdc.l.rtdc.4024:itc</t>
  </si>
  <si>
    <t>813-29</t>
  </si>
  <si>
    <t>145-29</t>
  </si>
  <si>
    <t>142-29</t>
  </si>
  <si>
    <t>147-29</t>
  </si>
  <si>
    <t>140-29</t>
  </si>
  <si>
    <t>814-29</t>
  </si>
  <si>
    <t>149-29</t>
  </si>
  <si>
    <t>144-29</t>
  </si>
  <si>
    <t>151-29</t>
  </si>
  <si>
    <t>146-29</t>
  </si>
  <si>
    <t>153-29</t>
  </si>
  <si>
    <t>815-29</t>
  </si>
  <si>
    <t>148-29</t>
  </si>
  <si>
    <t>150-29</t>
  </si>
  <si>
    <t>816-29</t>
  </si>
  <si>
    <t>157-29</t>
  </si>
  <si>
    <t>152-29</t>
  </si>
  <si>
    <t>159-29</t>
  </si>
  <si>
    <t>156-29</t>
  </si>
  <si>
    <t>154-29</t>
  </si>
  <si>
    <t>817-29</t>
  </si>
  <si>
    <t>55-29</t>
  </si>
  <si>
    <t>163-29</t>
  </si>
  <si>
    <t>158-29</t>
  </si>
  <si>
    <t>818-29</t>
  </si>
  <si>
    <t>165-29</t>
  </si>
  <si>
    <t>160-29</t>
  </si>
  <si>
    <t>167-29</t>
  </si>
  <si>
    <t>162-29</t>
  </si>
  <si>
    <t>169-29</t>
  </si>
  <si>
    <t>819-29</t>
  </si>
  <si>
    <t>820-29</t>
  </si>
  <si>
    <t>173-29</t>
  </si>
  <si>
    <t>166-29</t>
  </si>
  <si>
    <t>168-29</t>
  </si>
  <si>
    <t>175-29</t>
  </si>
  <si>
    <t>821-29</t>
  </si>
  <si>
    <t>170-29</t>
  </si>
  <si>
    <t>172-29</t>
  </si>
  <si>
    <t>LOPES</t>
  </si>
  <si>
    <t>KIMBERLY</t>
  </si>
  <si>
    <t>179-29</t>
  </si>
  <si>
    <t>823-29</t>
  </si>
  <si>
    <t>181-29</t>
  </si>
  <si>
    <t>822-29</t>
  </si>
  <si>
    <t>183-29</t>
  </si>
  <si>
    <t>178-29</t>
  </si>
  <si>
    <t>180-29</t>
  </si>
  <si>
    <t>182-29</t>
  </si>
  <si>
    <t>824-29</t>
  </si>
  <si>
    <t>184-29</t>
  </si>
  <si>
    <t>191-29</t>
  </si>
  <si>
    <t>186-29</t>
  </si>
  <si>
    <t>193-29</t>
  </si>
  <si>
    <t>825-29</t>
  </si>
  <si>
    <t>195-29</t>
  </si>
  <si>
    <t>827-29</t>
  </si>
  <si>
    <t>197-29</t>
  </si>
  <si>
    <t>199-29</t>
  </si>
  <si>
    <t>194-29</t>
  </si>
  <si>
    <t>196-29</t>
  </si>
  <si>
    <t>203-29</t>
  </si>
  <si>
    <t>831-29</t>
  </si>
  <si>
    <t>198-29</t>
  </si>
  <si>
    <t>830-29</t>
  </si>
  <si>
    <t>205-29</t>
  </si>
  <si>
    <t>200-29</t>
  </si>
  <si>
    <t>61-29</t>
  </si>
  <si>
    <t>202-29</t>
  </si>
  <si>
    <t>209-29</t>
  </si>
  <si>
    <t>204-29</t>
  </si>
  <si>
    <t>63-29</t>
  </si>
  <si>
    <t>206-29</t>
  </si>
  <si>
    <t>211-29</t>
  </si>
  <si>
    <t>835-29</t>
  </si>
  <si>
    <t>76-29</t>
  </si>
  <si>
    <t>834-29</t>
  </si>
  <si>
    <t>213-29</t>
  </si>
  <si>
    <t>210-29</t>
  </si>
  <si>
    <t>837-29</t>
  </si>
  <si>
    <t>SAFIEF</t>
  </si>
  <si>
    <t>AEIMEN</t>
  </si>
  <si>
    <t>836-29</t>
  </si>
  <si>
    <t>PERKINS</t>
  </si>
  <si>
    <t>DARREN</t>
  </si>
  <si>
    <t>77-29</t>
  </si>
  <si>
    <t>212-29</t>
  </si>
  <si>
    <t>219-29</t>
  </si>
  <si>
    <t>214-29</t>
  </si>
  <si>
    <t>839-29</t>
  </si>
  <si>
    <t>838-29</t>
  </si>
  <si>
    <t>218-29</t>
  </si>
  <si>
    <t>906-29</t>
  </si>
  <si>
    <t>303-29</t>
  </si>
  <si>
    <t>223-29</t>
  </si>
  <si>
    <t>840-29</t>
  </si>
  <si>
    <t>305-29</t>
  </si>
  <si>
    <t>222-29</t>
  </si>
  <si>
    <t>843-29</t>
  </si>
  <si>
    <t>227-29</t>
  </si>
  <si>
    <t>842-29</t>
  </si>
  <si>
    <t>226-29</t>
  </si>
  <si>
    <t>229-29</t>
  </si>
  <si>
    <t>845-29</t>
  </si>
  <si>
    <t>231-29</t>
  </si>
  <si>
    <t>228-29</t>
  </si>
  <si>
    <t>844-29</t>
  </si>
  <si>
    <t>233-29</t>
  </si>
  <si>
    <t>847-29</t>
  </si>
  <si>
    <t>232-29</t>
  </si>
  <si>
    <t>908-29</t>
  </si>
  <si>
    <t>234-29</t>
  </si>
  <si>
    <t>237-29</t>
  </si>
  <si>
    <t>89-29</t>
  </si>
  <si>
    <t>239-29</t>
  </si>
  <si>
    <t>238-29</t>
  </si>
  <si>
    <t>240-29</t>
  </si>
  <si>
    <t>243-29</t>
  </si>
  <si>
    <t>307-29</t>
  </si>
  <si>
    <t>244-29</t>
  </si>
  <si>
    <t>309-29</t>
  </si>
  <si>
    <t>311-29</t>
  </si>
  <si>
    <t>313-29</t>
  </si>
  <si>
    <t>rtdc.l.rtdc.4025:itc</t>
  </si>
  <si>
    <t>50-30</t>
  </si>
  <si>
    <t>Drizzle</t>
  </si>
  <si>
    <t>204:748</t>
  </si>
  <si>
    <t>204:134</t>
  </si>
  <si>
    <t>204:233298</t>
  </si>
  <si>
    <t>204:232969</t>
  </si>
  <si>
    <t>204:233351</t>
  </si>
  <si>
    <t>204:233034</t>
  </si>
  <si>
    <t>204:233336</t>
  </si>
  <si>
    <t>204:233030</t>
  </si>
  <si>
    <t>204:233302</t>
  </si>
  <si>
    <t>204:232991</t>
  </si>
  <si>
    <t>204:233408</t>
  </si>
  <si>
    <t>204:232934</t>
  </si>
  <si>
    <t>204:232957</t>
  </si>
  <si>
    <t>204:233017</t>
  </si>
  <si>
    <t>204:233249</t>
  </si>
  <si>
    <t>204:232985</t>
  </si>
  <si>
    <t>204:233299</t>
  </si>
  <si>
    <t>204:178</t>
  </si>
  <si>
    <t>204:233346</t>
  </si>
  <si>
    <t>204:233019</t>
  </si>
  <si>
    <t>204:232988</t>
  </si>
  <si>
    <t>204:232965</t>
  </si>
  <si>
    <t>204:489</t>
  </si>
  <si>
    <t>204:233278</t>
  </si>
  <si>
    <t>204:232975</t>
  </si>
  <si>
    <t>204:233389</t>
  </si>
  <si>
    <t>204:154413</t>
  </si>
  <si>
    <t>204:62111</t>
  </si>
  <si>
    <t>204:233309</t>
  </si>
  <si>
    <t>204:433</t>
  </si>
  <si>
    <t>204:169</t>
  </si>
  <si>
    <t>300:20066</t>
  </si>
  <si>
    <t>300:23508</t>
  </si>
  <si>
    <t>300:23523</t>
  </si>
  <si>
    <t>300:23783</t>
  </si>
  <si>
    <t>300:23301</t>
  </si>
  <si>
    <t>300:23440</t>
  </si>
  <si>
    <t>300:25455</t>
  </si>
  <si>
    <t>300:23100</t>
  </si>
  <si>
    <t>300:23125</t>
  </si>
  <si>
    <t>204:1477</t>
  </si>
  <si>
    <t>204:3864</t>
  </si>
  <si>
    <t>204:1164</t>
  </si>
  <si>
    <t>204:593</t>
  </si>
  <si>
    <t>204:3849</t>
  </si>
  <si>
    <t>204:3572</t>
  </si>
  <si>
    <t>204:1158</t>
  </si>
  <si>
    <t>300:21992</t>
  </si>
  <si>
    <t>300:24191</t>
  </si>
  <si>
    <t>300:22000</t>
  </si>
  <si>
    <t>300:24254</t>
  </si>
  <si>
    <t>300:58702</t>
  </si>
  <si>
    <t>204:649</t>
  </si>
  <si>
    <t>204:916</t>
  </si>
  <si>
    <t>300:59016</t>
  </si>
  <si>
    <t>300:58698</t>
  </si>
  <si>
    <t>204:969</t>
  </si>
  <si>
    <t>300:58931</t>
  </si>
  <si>
    <t>300:59018</t>
  </si>
  <si>
    <t>300:58700</t>
  </si>
  <si>
    <t>204:638</t>
  </si>
  <si>
    <t>300:58933</t>
  </si>
  <si>
    <t>300:59014</t>
  </si>
  <si>
    <t>300:58681</t>
  </si>
  <si>
    <t>204:962</t>
  </si>
  <si>
    <t>300:58929</t>
  </si>
  <si>
    <t>300:58617</t>
  </si>
  <si>
    <t>204:1150</t>
  </si>
  <si>
    <t>204:1396</t>
  </si>
  <si>
    <t>300:30267</t>
  </si>
  <si>
    <t>300:58971</t>
  </si>
  <si>
    <t>300:23588</t>
  </si>
  <si>
    <t>204:684</t>
  </si>
  <si>
    <t>204:417</t>
  </si>
  <si>
    <t>300:24267</t>
  </si>
  <si>
    <t>300:21322</t>
  </si>
  <si>
    <t>start /low /b %USERPROFILE%\Documents\GitHub\eaglep3\Utilities\DownloadLogsFromS3.py --loco 4050 --day 2017-06-29</t>
  </si>
  <si>
    <t>start /low /b %USERPROFILE%\Documents\GitHub\eaglep3\Utilities\DownloadLogsFromS3.py --loco 4017 --day 2017-06-29</t>
  </si>
  <si>
    <t>start /low /b %USERPROFILE%\Documents\GitHub\eaglep3\Utilities\DownloadLogsFromS3.py --loco 4060 --day 2017-06-30</t>
  </si>
  <si>
    <t>start /low /b %USERPROFILE%\Documents\GitHub\eaglep3\Utilities\DownloadLogsFromS3.py --loco 4010 --day 2017-06-29</t>
  </si>
  <si>
    <t>start /low /b %USERPROFILE%\Documents\GitHub\eaglep3\Utilities\DownloadLogsFromS3.py --loco 4009 --day 2017-06-29</t>
  </si>
  <si>
    <t>start /low /b %USERPROFILE%\Documents\GitHub\eaglep3\Utilities\DownloadLogsFromS3.py --loco 4005 --day 2017-06-29</t>
  </si>
  <si>
    <t>start /low /b %USERPROFILE%\Documents\GitHub\eaglep3\Utilities\DownloadLogsFromS3.py --loco 4062 --day 2017-06-30</t>
  </si>
  <si>
    <t>start /low /b %USERPROFILE%\Documents\GitHub\eaglep3\Utilities\DownloadLogsFromS3.py --loco 4009 --day 2017-06-30</t>
  </si>
  <si>
    <t>start /low /b %USERPROFILE%\Documents\GitHub\eaglep3\Utilities\DownloadLogsFromS3.py --loco 4060 --day 2017-06-29</t>
  </si>
  <si>
    <t>start /low /b %USERPROFILE%\Documents\GitHub\eaglep3\Utilities\DownloadLogsFromS3.py --loco 4061 --day 2017-06-29</t>
  </si>
  <si>
    <t>start /low /b %USERPROFILE%\Documents\GitHub\eaglep3\Utilities\DownloadLogsFromS3.py --loco 4049 --day 2017-06-30</t>
  </si>
  <si>
    <t>start /low /b %USERPROFILE%\Documents\GitHub\eaglep3\Utilities\DownloadLogsFromS3.py --loco 4006 --day 2017-06-29</t>
  </si>
  <si>
    <t>start /low /b %USERPROFILE%\Documents\GitHub\eaglep3\Utilities\DownloadLogsFromS3.py --loco 4059 --day 2017-06-29</t>
  </si>
  <si>
    <t>start /low /b %USERPROFILE%\Documents\GitHub\eaglep3\Utilities\DownloadLogsFromS3.py --loco 4061 --day 2017-06-30</t>
  </si>
  <si>
    <t>start /low /b %USERPROFILE%\Documents\GitHub\eaglep3\Utilities\DownloadLogsFromS3.py --loco 4028 --day 2017-06-29</t>
  </si>
  <si>
    <t>start /low /b %USERPROFILE%\Documents\GitHub\eaglep3\Utilities\DownloadLogsFromS3.py --loco 4059 --day 2017-06-30</t>
  </si>
  <si>
    <t>start /low /b %USERPROFILE%\Documents\GitHub\eaglep3\Utilities\DownloadLogsFromS3.py --loco 4027 --day 2017-06-30</t>
  </si>
  <si>
    <t>start /low /b %USERPROFILE%\Documents\GitHub\eaglep3\Utilities\DownloadLogsFromS3.py --loco 4050 --day 2017-06-30</t>
  </si>
  <si>
    <t>start /low /b %USERPROFILE%\Documents\GitHub\eaglep3\Utilities\DownloadLogsFromS3.py --loco 4055 --day 2017-06-29</t>
  </si>
  <si>
    <t>start /low /b %USERPROFILE%\Documents\GitHub\eaglep3\Utilities\DownloadLogsFromS3.py --loco 4005 --day 2017-06-30</t>
  </si>
  <si>
    <t>start /low /b %USERPROFILE%\Documents\GitHub\eaglep3\Utilities\DownloadLogsFromS3.py --loco 4056 --day 2017-06-29</t>
  </si>
  <si>
    <t>start /low /b %USERPROFILE%\Documents\GitHub\eaglep3\Utilities\DownloadLogsFromS3.py --loco 4006 --day 2017-06-30</t>
  </si>
  <si>
    <t>start /low /b %USERPROFILE%\Documents\GitHub\eaglep3\Utilities\DownloadLogsFromS3.py --loco 4042 --day 2017-06-29</t>
  </si>
  <si>
    <t>start /low /b %USERPROFILE%\Documents\GitHub\eaglep3\Utilities\DownloadLogsFromS3.py --loco 4018 --day 2017-06-29</t>
  </si>
  <si>
    <t>start /low /b %USERPROFILE%\Documents\GitHub\eaglep3\Utilities\DownloadLogsFromS3.py --loco 4041 --day 2017-06-29</t>
  </si>
  <si>
    <t>start /low /b %USERPROFILE%\Documents\GitHub\eaglep3\Utilities\DownloadLogsFromS3.py --loco 4018 --day 2017-06-30</t>
  </si>
  <si>
    <t>204:232986</t>
  </si>
  <si>
    <t>204:233027</t>
  </si>
  <si>
    <t>204:233320</t>
  </si>
  <si>
    <t>204:158</t>
  </si>
  <si>
    <t>204:233310</t>
  </si>
  <si>
    <t>204:233000</t>
  </si>
  <si>
    <t>204:458</t>
  </si>
  <si>
    <t>204:233433</t>
  </si>
  <si>
    <t>204:233028</t>
  </si>
  <si>
    <t>204:233312</t>
  </si>
  <si>
    <t>204:446</t>
  </si>
  <si>
    <t>204:233083</t>
  </si>
  <si>
    <t>204:233428</t>
  </si>
  <si>
    <t>204:233086</t>
  </si>
  <si>
    <t>204:233387</t>
  </si>
  <si>
    <t>204:233089</t>
  </si>
  <si>
    <t>204:174</t>
  </si>
  <si>
    <t>204:233330</t>
  </si>
  <si>
    <t>204:233013</t>
  </si>
  <si>
    <t>204:233295</t>
  </si>
  <si>
    <t>204:427</t>
  </si>
  <si>
    <t>204:233370</t>
  </si>
  <si>
    <t>204:233069</t>
  </si>
  <si>
    <t>204:127</t>
  </si>
  <si>
    <t>204:233419</t>
  </si>
  <si>
    <t>204:233125</t>
  </si>
  <si>
    <t>204:130</t>
  </si>
  <si>
    <t>204:233401</t>
  </si>
  <si>
    <t>204:233107</t>
  </si>
  <si>
    <t>204:233314</t>
  </si>
  <si>
    <t>204:233004</t>
  </si>
  <si>
    <t>204:233353</t>
  </si>
  <si>
    <t>204:418</t>
  </si>
  <si>
    <t>204:233011</t>
  </si>
  <si>
    <t>204:180</t>
  </si>
  <si>
    <t>204:233300</t>
  </si>
  <si>
    <t>204:233355</t>
  </si>
  <si>
    <t>204:233047</t>
  </si>
  <si>
    <t>204:233418</t>
  </si>
  <si>
    <t>204:233078</t>
  </si>
  <si>
    <t>204:473</t>
  </si>
  <si>
    <t>204:233111</t>
  </si>
  <si>
    <t>204:232996</t>
  </si>
  <si>
    <t>204:233368</t>
  </si>
  <si>
    <t>204:233064</t>
  </si>
  <si>
    <t>204:497</t>
  </si>
  <si>
    <t>204:233264</t>
  </si>
  <si>
    <t>204:232946</t>
  </si>
  <si>
    <t>204:232974</t>
  </si>
  <si>
    <t>204:233044</t>
  </si>
  <si>
    <t>204:429</t>
  </si>
  <si>
    <t>204:233349</t>
  </si>
  <si>
    <t>204:233072</t>
  </si>
  <si>
    <t>204:233074</t>
  </si>
  <si>
    <t>204:233331</t>
  </si>
  <si>
    <t>204:232990</t>
  </si>
  <si>
    <t>204:420</t>
  </si>
  <si>
    <t>204:233323</t>
  </si>
  <si>
    <t>204:154424</t>
  </si>
  <si>
    <t>204:416</t>
  </si>
  <si>
    <t>204:127837</t>
  </si>
  <si>
    <t>204:431</t>
  </si>
  <si>
    <t>204:233311</t>
  </si>
  <si>
    <t>204:1399</t>
  </si>
  <si>
    <t>300:23306</t>
  </si>
  <si>
    <t>204:475</t>
  </si>
  <si>
    <t>300:23297</t>
  </si>
  <si>
    <t>300:21735</t>
  </si>
  <si>
    <t>204:1001</t>
  </si>
  <si>
    <t>204:1307</t>
  </si>
  <si>
    <t>300:24203</t>
  </si>
  <si>
    <t>300:112193</t>
  </si>
  <si>
    <t>300:69056</t>
  </si>
  <si>
    <t>300:112199</t>
  </si>
  <si>
    <t>300:69285</t>
  </si>
  <si>
    <t>300:112202</t>
  </si>
  <si>
    <t>300:21543</t>
  </si>
  <si>
    <t>300:112262</t>
  </si>
  <si>
    <t>300:68813</t>
  </si>
  <si>
    <t>300:29710</t>
  </si>
  <si>
    <t>300:98679</t>
  </si>
  <si>
    <t>300:69141</t>
  </si>
  <si>
    <t>300:112477</t>
  </si>
  <si>
    <t>300:69381</t>
  </si>
  <si>
    <t>300:112423</t>
  </si>
  <si>
    <t>300:69609</t>
  </si>
  <si>
    <t>300:112578</t>
  </si>
  <si>
    <t>300:98674</t>
  </si>
  <si>
    <t>300:112513</t>
  </si>
  <si>
    <t>300:23299</t>
  </si>
  <si>
    <t>204:1148</t>
  </si>
  <si>
    <t>300:23310</t>
  </si>
  <si>
    <t>300:22340</t>
  </si>
  <si>
    <t>204:133</t>
  </si>
  <si>
    <t>204:423</t>
  </si>
  <si>
    <t>300:23282</t>
  </si>
  <si>
    <t>300:23203</t>
  </si>
  <si>
    <t>204:1775</t>
  </si>
  <si>
    <t>204:965</t>
  </si>
  <si>
    <t>300:58926</t>
  </si>
  <si>
    <t>300:58608</t>
  </si>
  <si>
    <t>300:58615</t>
  </si>
  <si>
    <t>204:692</t>
  </si>
  <si>
    <t>300:58609</t>
  </si>
  <si>
    <t>204:696</t>
  </si>
  <si>
    <t>204:971</t>
  </si>
  <si>
    <t>300:58914</t>
  </si>
  <si>
    <t>300:58596</t>
  </si>
  <si>
    <t>204:960</t>
  </si>
  <si>
    <t>300:58920</t>
  </si>
  <si>
    <t>204:682</t>
  </si>
  <si>
    <t>204:948</t>
  </si>
  <si>
    <t>300:58918</t>
  </si>
  <si>
    <t>300:58602</t>
  </si>
  <si>
    <t>204:967</t>
  </si>
  <si>
    <t>204:671</t>
  </si>
  <si>
    <t>300:58922</t>
  </si>
  <si>
    <t>204:629</t>
  </si>
  <si>
    <t>204:979</t>
  </si>
  <si>
    <t>300:58606</t>
  </si>
  <si>
    <t>204:925</t>
  </si>
  <si>
    <t>300:58916</t>
  </si>
  <si>
    <t>204:727</t>
  </si>
  <si>
    <t>204:985</t>
  </si>
  <si>
    <t>300:58948</t>
  </si>
  <si>
    <t>204:678</t>
  </si>
  <si>
    <t>204:1030</t>
  </si>
  <si>
    <t>300:58598</t>
  </si>
  <si>
    <t>204:974</t>
  </si>
  <si>
    <t>204:677</t>
  </si>
  <si>
    <t>300:58912</t>
  </si>
  <si>
    <t>300:58651</t>
  </si>
  <si>
    <t>204:666</t>
  </si>
  <si>
    <t>300:58967</t>
  </si>
  <si>
    <t>300:23355</t>
  </si>
  <si>
    <t>204:664</t>
  </si>
  <si>
    <t>300:21397</t>
  </si>
  <si>
    <t>Wi-MAX data drop</t>
  </si>
  <si>
    <t>Improper execution of bulletin</t>
  </si>
  <si>
    <t>Delayed by car collision with XING arm incident @ York &amp; Josephine</t>
  </si>
  <si>
    <t>Early arrival</t>
  </si>
  <si>
    <t>Form C</t>
  </si>
  <si>
    <t>Delayed by poor GPS at DUS</t>
  </si>
  <si>
    <t>Delayed due to cancelling departure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</si>
</sst>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3"/>
  <sheetViews>
    <sheetView tabSelected="1" zoomScaleNormal="100" workbookViewId="0">
      <selection activeCell="R14" sqref="R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COUNTIFS($N$13:$N$9317,"&gt;0",$AG$13:$AG$9317,I1)</f>
        <v>141</v>
      </c>
      <c r="K5" s="39"/>
      <c r="L5" s="39"/>
      <c r="M5" s="40">
        <f>AVERAGEIFS($N$13:$N$9317,$AG$13:$AG$9317,I1)</f>
        <v>38.344562647893945</v>
      </c>
      <c r="N5" s="38">
        <f t="array" ref="N5">MIN(IF($AG$13:$AG$9317=I1,IF(ISNUMBER($N$13:$N$9317),IF($N$13:$N$9317&gt;0,$N$13:$N$9317))))</f>
        <v>34.73333333269693</v>
      </c>
      <c r="O5" s="3">
        <f t="array" ref="O5">MAX(IF($AG$13:$AG$9317=I1,IF(ISNUMBER($N$13:$N$9317),IF($N$13:$N$9317&gt;0,$N$13:$N$9317))))</f>
        <v>61.833333328831941</v>
      </c>
      <c r="P5" s="2"/>
      <c r="R5" s="166" t="s">
        <v>17</v>
      </c>
      <c r="S5" s="186">
        <f>COUNTIFS($N$13:$N$9317,"&gt;0",$AG$13:$AG$9317,R1)</f>
        <v>46</v>
      </c>
      <c r="T5" s="187"/>
      <c r="U5" s="187"/>
      <c r="V5" s="183">
        <f>AVERAGEIFS($N$13:$N$9317,$AG$13:$AG$9317,R1)</f>
        <v>14.856884058149856</v>
      </c>
      <c r="W5" s="184">
        <f t="array" ref="W5">MIN(IF($AG$13:$AG$9317=R1,IF(ISNUMBER($N$13:$N$9317),IF($N$13:$N$9317&gt;0,$N$13:$N$9317))))</f>
        <v>12.816666676662862</v>
      </c>
      <c r="X5" s="185">
        <f t="array" ref="X5">MAX(IF($AG$13:$AG$9317=R1,IF(ISNUMBER($N$13:$N$9317),IF($N$13:$N$9317&gt;0,$N$13:$N$9317))))</f>
        <v>18.999999999068677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COUNT($O$13:$O$115)</f>
        <v>0</v>
      </c>
      <c r="K6" s="39"/>
      <c r="L6" s="39"/>
      <c r="M6" s="40">
        <f>IFERROR(AVERAGE($O$13:$O$115),0)</f>
        <v>0</v>
      </c>
      <c r="N6" s="38">
        <f>MIN($O$13:$O$115)</f>
        <v>0</v>
      </c>
      <c r="O6" s="3">
        <f>MAX($O$13:$O$115)</f>
        <v>0</v>
      </c>
      <c r="P6" s="2"/>
      <c r="R6" s="167" t="s">
        <v>43</v>
      </c>
      <c r="S6" s="186">
        <f>COUNT($O$13:$O$115)</f>
        <v>0</v>
      </c>
      <c r="T6" s="187"/>
      <c r="U6" s="187"/>
      <c r="V6" s="183">
        <f>IFERROR(AVERAGE($O$13:$O$115),0)</f>
        <v>0</v>
      </c>
      <c r="W6" s="184">
        <f>MIN($O$13:$O$115)</f>
        <v>0</v>
      </c>
      <c r="X6" s="185">
        <f>MAX($O$13:$O$115)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COUNTIFS($P$13:$P$9317,"&gt;0",$AG$13:$AG$9317,I1)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COUNTIFS($P$13:$P$9317,"&gt;0",$AG$13:$AG$9317,R1)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38.344562647893945</v>
      </c>
      <c r="N8" s="38">
        <f>N5</f>
        <v>34.73333333269693</v>
      </c>
      <c r="O8" s="3">
        <f>O5</f>
        <v>61.833333328831941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14.856884058149856</v>
      </c>
      <c r="W8" s="184">
        <f>W5</f>
        <v>12.816666676662862</v>
      </c>
      <c r="X8" s="185">
        <f>X5</f>
        <v>18.999999999068677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343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628</v>
      </c>
      <c r="B13" s="7">
        <v>4032</v>
      </c>
      <c r="C13" s="21" t="s">
        <v>201</v>
      </c>
      <c r="D13" s="21" t="s">
        <v>814</v>
      </c>
      <c r="E13" s="13">
        <v>42915.131388888891</v>
      </c>
      <c r="F13" s="13">
        <v>42915.135601851849</v>
      </c>
      <c r="G13" s="7">
        <v>1</v>
      </c>
      <c r="H13" s="21" t="s">
        <v>552</v>
      </c>
      <c r="I13" s="13">
        <v>42915.16201388889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 t="shared" ref="M13:M76" si="1">I13-F13</f>
        <v>2.641203704115469E-2</v>
      </c>
      <c r="N13" s="7">
        <f t="shared" ref="N13:N23" si="2">24*60*SUM($M13:$M13)</f>
        <v>38.033333339262754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-29T02:09:12-0600',mode:absolute,to:'2017-06-29T04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 t="shared" ref="X13:X40" si="6">VALUE(LEFT(AD13,4))-VALUE(LEFT(AD12,4))</f>
        <v>#VALUE!</v>
      </c>
      <c r="Y13" s="197">
        <f t="shared" ref="Y13:Y76" si="7">RIGHT(D13,LEN(D13)-4)/10000</f>
        <v>7.4800000000000005E-2</v>
      </c>
      <c r="Z13" s="197">
        <f t="shared" ref="Z13:Z76" si="8">RIGHT(H13,LEN(H13)-4)/10000</f>
        <v>23.333200000000001</v>
      </c>
      <c r="AA13" s="197">
        <f t="shared" ref="AA13:AA76" si="9">ABS(Z13-Y13)</f>
        <v>23.258400000000002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/stypes="app*4032*20170629*"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4032 --swversion DE.1.0.9.0 --startMP 204:748 --initTime 2017-06-29T03:09:12 --startdatetime 2017-06-29T03:15:16 --delay 1 --endMP 204:233332 --enddatetime 2017-06-29T03:53:18 --enforcementcount 0 &gt;&gt;C:\Users\stu\Documents\GitHub\eaglep3-reporting\EC\2017-06-29-refined-times.txt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{"issue":{"subject":"","project_id":79,"tracker_id":40,"status_id":1,"priority_id":2,"assigned_to_id":23,"start_date":"2017-06-29","description":"","custom_fields":[{"id":1,"name":"Subdivision","value":"EC"},{"id":4,"name":"Milepost","value":"23.3332"},{"id":17,"name":"Train ID","value":"101-29"},{"id":16,"name":"Locomotive ID","value":"4032"},{"id":130,"name":"Impact","value":""},{"id":150,"name":"Time of Event (Mountain Time)","value":"03:53:18"},{"id":151,"name":"Denver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2017-06-29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639</v>
      </c>
      <c r="B14" s="7">
        <v>4031</v>
      </c>
      <c r="C14" s="21" t="s">
        <v>201</v>
      </c>
      <c r="D14" s="21" t="s">
        <v>518</v>
      </c>
      <c r="E14" s="13">
        <v>42915.172662037039</v>
      </c>
      <c r="F14" s="13">
        <v>42915.175185185188</v>
      </c>
      <c r="G14" s="7">
        <v>1</v>
      </c>
      <c r="H14" s="21" t="s">
        <v>815</v>
      </c>
      <c r="I14" s="13">
        <v>42915.202291666668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STARKS ANGELINA</v>
      </c>
      <c r="M14" s="6">
        <f t="shared" si="1"/>
        <v>2.7106481480586808E-2</v>
      </c>
      <c r="N14" s="7">
        <f t="shared" si="2"/>
        <v>39.033333332045004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-29T03:08:38-0600',mode:absolute,to:'2017-06-29T05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23.299800000000001</v>
      </c>
      <c r="Z14" s="197">
        <f t="shared" si="8"/>
        <v>1.34E-2</v>
      </c>
      <c r="AA14" s="197">
        <f t="shared" si="9"/>
        <v>23.2864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 &amp; 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</v>
      </c>
      <c r="AF14" s="74" t="str">
        <f t="shared" si="12"/>
        <v>"C:\Program Files (x86)\AstroGrep\AstroGrep.exe" /e /r /s /spath="%USERPROFILE%\AppData\Local\Temp\OnboardLogs" /stypes="app*4031*20170629*"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4031 --swversion DE.1.0.9.0 --startMP 204:232998 --initTime 2017-06-29T04:08:38 --startdatetime 2017-06-29T04:12:16 --delay 1 --endMP 204:134 --enddatetime 2017-06-29T04:51:18 --enforcementcount 0 &gt;&gt;C:\Users\stu\Documents\GitHub\eaglep3-reporting\EC\2017-06-29-refined-times.txt</v>
      </c>
      <c r="AI14" s="96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{"issue":{"subject":"","project_id":79,"tracker_id":40,"status_id":1,"priority_id":2,"assigned_to_id":23,"start_date":"2017-06-29","description":"","custom_fields":[{"id":1,"name":"Subdivision","value":"EC"},{"id":4,"name":"Milepost","value":"0.0134"},{"id":17,"name":"Train ID","value":"102-29"},{"id":16,"name":"Locomotive ID","value":"4031"},{"id":130,"name":"Impact","value":""},{"id":150,"name":"Time of Event (Mountain Time)","value":"04:51:18"},{"id":151,"name":"Denver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5" si="20">"start /low /b "&amp;dls3logs&amp;" --loco "&amp;B14&amp;" --day "&amp;TEXT(F14,"YYYY-MM-DD")</f>
        <v>start /low /b %USERPROFILE%\Documents\GitHub\eaglep3\Utilities\DownloadLogsFromS3.py --loco 4031 --day 2017-06-29</v>
      </c>
      <c r="AN14" s="151" t="str">
        <f t="shared" ref="AN14:AN75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635</v>
      </c>
      <c r="B15" s="7">
        <v>4010</v>
      </c>
      <c r="C15" s="21" t="s">
        <v>201</v>
      </c>
      <c r="D15" s="21" t="s">
        <v>349</v>
      </c>
      <c r="E15" s="13">
        <v>42915.150023148148</v>
      </c>
      <c r="F15" s="13">
        <v>42915.156423611108</v>
      </c>
      <c r="G15" s="7">
        <v>1</v>
      </c>
      <c r="H15" s="21" t="s">
        <v>816</v>
      </c>
      <c r="I15" s="13">
        <v>42915.182291666664</v>
      </c>
      <c r="J15" s="7">
        <v>0</v>
      </c>
      <c r="K15" s="89" t="str">
        <f t="shared" si="0"/>
        <v>4009/4010</v>
      </c>
      <c r="L15" s="21" t="str">
        <f>VLOOKUP(A15,'Trips&amp;Operators'!$C$1:$G$99999,5,FALSE)</f>
        <v>YANAI IAN</v>
      </c>
      <c r="M15" s="6">
        <f t="shared" si="1"/>
        <v>2.5868055556202307E-2</v>
      </c>
      <c r="N15" s="7">
        <f t="shared" si="2"/>
        <v>37.250000000931323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-29T02:36:02-0600',mode:absolute,to:'2017-06-29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4.6600000000000003E-2</v>
      </c>
      <c r="Z15" s="197">
        <f t="shared" si="8"/>
        <v>23.329799999999999</v>
      </c>
      <c r="AA15" s="197">
        <f t="shared" si="9"/>
        <v>23.283199999999997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5" s="74" t="str">
        <f t="shared" si="12"/>
        <v>"C:\Program Files (x86)\AstroGrep\AstroGrep.exe" /e /r /s /spath="%USERPROFILE%\AppData\Local\Temp\OnboardLogs" /stypes="app*4010*20170629*"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103-29 --locoid 4010 --swversion DE.1.0.9.0 --startMP 204:466 --initTime 2017-06-29T03:36:02 --startdatetime 2017-06-29T03:45:15 --delay 1 --endMP 204:233298 --enddatetime 2017-06-29T04:22:30 --enforcementcount 0 &gt;&gt;C:\Users\stu\Documents\GitHub\eaglep3-reporting\EC\2017-06-29-refined-times.txt</v>
      </c>
      <c r="AI1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ID","value":"103-29"},{"id":16,"name":"Locomotive ID","value":"4010"},{"id":130,"name":"Impact","value":""},{"id":150,"name":"Time of Event (Mountain Time)","value":"04:22:30"},{"id":151,"name":"Denver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4010 --day 2017-06-29</v>
      </c>
      <c r="AN1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4009</v>
      </c>
      <c r="C16" s="21" t="s">
        <v>201</v>
      </c>
      <c r="D16" s="21" t="s">
        <v>549</v>
      </c>
      <c r="E16" s="13">
        <v>42915.183900462966</v>
      </c>
      <c r="F16" s="13">
        <v>42915.196053240739</v>
      </c>
      <c r="G16" s="7">
        <v>1</v>
      </c>
      <c r="H16" s="21" t="s">
        <v>357</v>
      </c>
      <c r="I16" s="13">
        <v>42915.222800925927</v>
      </c>
      <c r="J16" s="7">
        <v>0</v>
      </c>
      <c r="K16" s="89" t="str">
        <f t="shared" si="0"/>
        <v>4009/4010</v>
      </c>
      <c r="L16" s="21" t="str">
        <f>VLOOKUP(A16,'Trips&amp;Operators'!$C$1:$G$99999,5,FALSE)</f>
        <v>YANAI IAN</v>
      </c>
      <c r="M16" s="6">
        <f t="shared" si="1"/>
        <v>2.6747685187729076E-2</v>
      </c>
      <c r="N16" s="7">
        <f t="shared" si="2"/>
        <v>38.516666670329869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-29T03:24:49-0600',mode:absolute,to:'2017-06-29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23.299399999999999</v>
      </c>
      <c r="Z16" s="197">
        <f t="shared" si="8"/>
        <v>1.47E-2</v>
      </c>
      <c r="AA16" s="197">
        <f t="shared" si="9"/>
        <v>23.284699999999997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6" s="74" t="str">
        <f t="shared" si="12"/>
        <v>"C:\Program Files (x86)\AstroGrep\AstroGrep.exe" /e /r /s /spath="%USERPROFILE%\AppData\Local\Temp\OnboardLogs" /stypes="app*4009*20170629*"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104-29 --locoid 4009 --swversion DE.1.0.9.0 --startMP 204:232994 --initTime 2017-06-29T04:24:49 --startdatetime 2017-06-29T04:42:19 --delay 1 --endMP 204:147 --enddatetime 2017-06-29T05:20:50 --enforcementcount 0 &gt;&gt;C:\Users\stu\Documents\GitHub\eaglep3-reporting\EC\2017-06-29-refined-times.txt</v>
      </c>
      <c r="AI1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ID","value":"104-29"},{"id":16,"name":"Locomotive ID","value":"4009"},{"id":130,"name":"Impact","value":""},{"id":150,"name":"Time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4009 --day 2017-06-29</v>
      </c>
      <c r="AN1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638</v>
      </c>
      <c r="B17" s="7">
        <v>4060</v>
      </c>
      <c r="C17" s="21" t="s">
        <v>201</v>
      </c>
      <c r="D17" s="21" t="s">
        <v>452</v>
      </c>
      <c r="E17" s="13">
        <v>42915.168449074074</v>
      </c>
      <c r="F17" s="13">
        <v>42915.177303240744</v>
      </c>
      <c r="G17" s="7">
        <v>1</v>
      </c>
      <c r="H17" s="21" t="s">
        <v>479</v>
      </c>
      <c r="I17" s="13">
        <v>42915.203402777777</v>
      </c>
      <c r="J17" s="7">
        <v>0</v>
      </c>
      <c r="K17" s="89" t="str">
        <f t="shared" si="0"/>
        <v>4059/4060</v>
      </c>
      <c r="L17" s="21" t="str">
        <f>VLOOKUP(A17,'Trips&amp;Operators'!$C$1:$G$99999,5,FALSE)</f>
        <v>BONDS REYNALDO</v>
      </c>
      <c r="M17" s="6">
        <f t="shared" si="1"/>
        <v>2.6099537033587694E-2</v>
      </c>
      <c r="N17" s="7">
        <f t="shared" si="2"/>
        <v>37.58333332836628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-29T03:02:34-0600',mode:absolute,to:'2017-06-29T05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4.6399999999999997E-2</v>
      </c>
      <c r="Z17" s="197">
        <f t="shared" si="8"/>
        <v>23.328900000000001</v>
      </c>
      <c r="AA17" s="197">
        <f t="shared" si="9"/>
        <v>23.282500000000002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7" s="74" t="str">
        <f t="shared" si="12"/>
        <v>"C:\Program Files (x86)\AstroGrep\AstroGrep.exe" /e /r /s /spath="%USERPROFILE%\AppData\Local\Temp\OnboardLogs" /stypes="app*4060*20170629*"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105-29 --locoid 4060 --swversion DE.1.0.9.0 --startMP 204:464 --initTime 2017-06-29T04:02:34 --startdatetime 2017-06-29T04:15:19 --delay 1 --endMP 204:233289 --enddatetime 2017-06-29T04:52:54 --enforcementcount 0 &gt;&gt;C:\Users\stu\Documents\GitHub\eaglep3-reporting\EC\2017-06-29-refined-times.txt</v>
      </c>
      <c r="AI1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ID","value":"105-29"},{"id":16,"name":"Locomotive ID","value":"4060"},{"id":130,"name":"Impact","value":""},{"id":150,"name":"Time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4060 --day 2017-06-29</v>
      </c>
      <c r="AN1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4059</v>
      </c>
      <c r="C18" s="21" t="s">
        <v>201</v>
      </c>
      <c r="D18" s="21" t="s">
        <v>817</v>
      </c>
      <c r="E18" s="13">
        <v>42915.212326388886</v>
      </c>
      <c r="F18" s="13">
        <v>42915.216863425929</v>
      </c>
      <c r="G18" s="7">
        <v>1</v>
      </c>
      <c r="H18" s="21" t="s">
        <v>346</v>
      </c>
      <c r="I18" s="13">
        <v>42915.24428240741</v>
      </c>
      <c r="J18" s="7">
        <v>0</v>
      </c>
      <c r="K18" s="89" t="str">
        <f t="shared" si="0"/>
        <v>4059/4060</v>
      </c>
      <c r="L18" s="21" t="str">
        <f>VLOOKUP(A18,'Trips&amp;Operators'!$C$1:$G$99999,5,FALSE)</f>
        <v>BONDS REYNALDO</v>
      </c>
      <c r="M18" s="6">
        <f t="shared" si="1"/>
        <v>2.7418981480877846E-2</v>
      </c>
      <c r="N18" s="7">
        <f t="shared" si="2"/>
        <v>39.483333332464099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-29T04:05:45-0600',mode:absolute,to:'2017-06-29T06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23.296900000000001</v>
      </c>
      <c r="Z18" s="197">
        <f t="shared" si="8"/>
        <v>1.4999999999999999E-2</v>
      </c>
      <c r="AA18" s="197">
        <f t="shared" si="9"/>
        <v>23.2819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8" s="74" t="str">
        <f t="shared" si="12"/>
        <v>"C:\Program Files (x86)\AstroGrep\AstroGrep.exe" /e /r /s /spath="%USERPROFILE%\AppData\Local\Temp\OnboardLogs" /stypes="app*4059*20170629*"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106-29 --locoid 4059 --swversion DE.1.0.9.0 --startMP 204:232969 --initTime 2017-06-29T05:05:45 --startdatetime 2017-06-29T05:12:17 --delay 1 --endMP 204:150 --enddatetime 2017-06-29T05:51:46 --enforcementcount 0 &gt;&gt;C:\Users\stu\Documents\GitHub\eaglep3-reporting\EC\2017-06-29-refined-times.txt</v>
      </c>
      <c r="AI1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ID","value":"106-29"},{"id":16,"name":"Locomotive ID","value":"4059"},{"id":130,"name":"Impact","value":""},{"id":150,"name":"Time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4059 --day 2017-06-29</v>
      </c>
      <c r="AN1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641</v>
      </c>
      <c r="B19" s="7">
        <v>4062</v>
      </c>
      <c r="C19" s="21" t="s">
        <v>201</v>
      </c>
      <c r="D19" s="21" t="s">
        <v>519</v>
      </c>
      <c r="E19" s="13">
        <v>42915.182604166665</v>
      </c>
      <c r="F19" s="13">
        <v>42915.187685185185</v>
      </c>
      <c r="G19" s="7">
        <v>1</v>
      </c>
      <c r="H19" s="21" t="s">
        <v>818</v>
      </c>
      <c r="I19" s="13">
        <v>42915.212488425925</v>
      </c>
      <c r="J19" s="7">
        <v>0</v>
      </c>
      <c r="K19" s="89" t="str">
        <f t="shared" si="0"/>
        <v>4061/4062</v>
      </c>
      <c r="L19" s="21" t="str">
        <f>VLOOKUP(A19,'Trips&amp;Operators'!$C$1:$G$99999,5,FALSE)</f>
        <v>GEBRETEKLE DAGNEW</v>
      </c>
      <c r="M19" s="6">
        <f t="shared" si="1"/>
        <v>2.4803240739856847E-2</v>
      </c>
      <c r="N19" s="7">
        <f t="shared" si="2"/>
        <v>35.716666665393859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-29T03:22:57-0600',mode:absolute,to:'2017-06-29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4.8599999999999997E-2</v>
      </c>
      <c r="Z19" s="197">
        <f t="shared" si="8"/>
        <v>23.335100000000001</v>
      </c>
      <c r="AA19" s="197">
        <f t="shared" si="9"/>
        <v>23.2865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9" s="74" t="str">
        <f t="shared" si="12"/>
        <v>"C:\Program Files (x86)\AstroGrep\AstroGrep.exe" /e /r /s /spath="%USERPROFILE%\AppData\Local\Temp\OnboardLogs" /stypes="app*4062*20170629*"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107-29 --locoid 4062 --swversion DE.1.0.9.0 --startMP 204:486 --initTime 2017-06-29T04:22:57 --startdatetime 2017-06-29T04:30:16 --delay 1 --endMP 204:233351 --enddatetime 2017-06-29T05:05:59 --enforcementcount 0 &gt;&gt;C:\Users\stu\Documents\GitHub\eaglep3-reporting\EC\2017-06-29-refined-times.txt</v>
      </c>
      <c r="AI1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{"issue":{"subject":"","project_id":79,"tracker_id":40,"status_id":1,"priority_id":2,"assigned_to_id":23,"start_date":"2017-06-29","description":"","custom_fields":[{"id":1,"name":"Subdivision","value":"EC"},{"id":4,"name":"Milepost","value":"23.3351"},{"id":17,"name":"Train ID","value":"107-29"},{"id":16,"name":"Locomotive ID","value":"4062"},{"id":130,"name":"Impact","value":""},{"id":150,"name":"Time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4062 --day 2017-06-29</v>
      </c>
      <c r="AN1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647</v>
      </c>
      <c r="B20" s="7">
        <v>4061</v>
      </c>
      <c r="C20" s="21" t="s">
        <v>201</v>
      </c>
      <c r="D20" s="21" t="s">
        <v>819</v>
      </c>
      <c r="E20" s="13">
        <v>42915.214155092595</v>
      </c>
      <c r="F20" s="13">
        <v>42915.227268518516</v>
      </c>
      <c r="G20" s="7">
        <v>1</v>
      </c>
      <c r="H20" s="21" t="s">
        <v>348</v>
      </c>
      <c r="I20" s="13">
        <v>42915.254074074073</v>
      </c>
      <c r="J20" s="7">
        <v>0</v>
      </c>
      <c r="K20" s="89" t="str">
        <f t="shared" si="0"/>
        <v>4061/4062</v>
      </c>
      <c r="L20" s="21" t="str">
        <f>VLOOKUP(A20,'Trips&amp;Operators'!$C$1:$G$99999,5,FALSE)</f>
        <v>GEBRETEKLE DAGNEW</v>
      </c>
      <c r="M20" s="6">
        <f t="shared" si="1"/>
        <v>2.6805555557075422E-2</v>
      </c>
      <c r="N20" s="7">
        <f t="shared" si="2"/>
        <v>38.600000002188608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-29T04:08:23-0600',mode:absolute,to:'2017-06-29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23.3034</v>
      </c>
      <c r="Z20" s="197">
        <f t="shared" si="8"/>
        <v>1.43E-2</v>
      </c>
      <c r="AA20" s="197">
        <f t="shared" si="9"/>
        <v>23.289100000000001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20" s="74" t="str">
        <f t="shared" si="12"/>
        <v>"C:\Program Files (x86)\AstroGrep\AstroGrep.exe" /e /r /s /spath="%USERPROFILE%\AppData\Local\Temp\OnboardLogs" /stypes="app*4061*20170629*"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108-29 --locoid 4061 --swversion DE.1.0.9.0 --startMP 204:233034 --initTime 2017-06-29T05:08:23 --startdatetime 2017-06-29T05:27:16 --delay 1 --endMP 204:143 --enddatetime 2017-06-29T06:05:52 --enforcementcount 0 &gt;&gt;C:\Users\stu\Documents\GitHub\eaglep3-reporting\EC\2017-06-29-refined-times.txt</v>
      </c>
      <c r="AI2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ID","value":"108-29"},{"id":16,"name":"Locomotive ID","value":"4061"},{"id":130,"name":"Impact","value":""},{"id":150,"name":"Time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4061 --day 2017-06-29</v>
      </c>
      <c r="AN2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643</v>
      </c>
      <c r="B21" s="7">
        <v>4028</v>
      </c>
      <c r="C21" s="21" t="s">
        <v>201</v>
      </c>
      <c r="D21" s="21" t="s">
        <v>342</v>
      </c>
      <c r="E21" s="13">
        <v>42915.192152777781</v>
      </c>
      <c r="F21" s="13">
        <v>42915.198171296295</v>
      </c>
      <c r="G21" s="7">
        <v>1</v>
      </c>
      <c r="H21" s="21" t="s">
        <v>820</v>
      </c>
      <c r="I21" s="13">
        <v>42915.223310185182</v>
      </c>
      <c r="J21" s="7">
        <v>0</v>
      </c>
      <c r="K21" s="89" t="str">
        <f t="shared" si="0"/>
        <v>4027/4028</v>
      </c>
      <c r="L21" s="21" t="str">
        <f>VLOOKUP(A21,'Trips&amp;Operators'!$C$1:$G$99999,5,FALSE)</f>
        <v>GUZMAN DANNY</v>
      </c>
      <c r="M21" s="6">
        <f t="shared" si="1"/>
        <v>2.5138888886431232E-2</v>
      </c>
      <c r="N21" s="7">
        <f t="shared" si="2"/>
        <v>36.199999996460974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-29T03:36:42-0600',mode:absolute,to:'2017-06-29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23.333600000000001</v>
      </c>
      <c r="AA21" s="197">
        <f t="shared" si="9"/>
        <v>23.288700000000002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21" s="74" t="str">
        <f t="shared" si="12"/>
        <v>"C:\Program Files (x86)\AstroGrep\AstroGrep.exe" /e /r /s /spath="%USERPROFILE%\AppData\Local\Temp\OnboardLogs" /stypes="app*4028*20170629*"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109-29 --locoid 4028 --swversion DE.1.0.9.0 --startMP 204:449 --initTime 2017-06-29T04:36:42 --startdatetime 2017-06-29T04:45:22 --delay 1 --endMP 204:233336 --enddatetime 2017-06-29T05:21:34 --enforcementcount 0 &gt;&gt;C:\Users\stu\Documents\GitHub\eaglep3-reporting\EC\2017-06-29-refined-times.txt</v>
      </c>
      <c r="AI2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ID","value":"109-29"},{"id":16,"name":"Locomotive ID","value":"4028"},{"id":130,"name":"Impact","value":""},{"id":150,"name":"Time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4028 --day 2017-06-29</v>
      </c>
      <c r="AN2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649</v>
      </c>
      <c r="B22" s="7">
        <v>4027</v>
      </c>
      <c r="C22" s="21" t="s">
        <v>201</v>
      </c>
      <c r="D22" s="21" t="s">
        <v>821</v>
      </c>
      <c r="E22" s="13">
        <v>42915.225601851853</v>
      </c>
      <c r="F22" s="13">
        <v>42915.237673611111</v>
      </c>
      <c r="G22" s="7">
        <v>1</v>
      </c>
      <c r="H22" s="21" t="s">
        <v>445</v>
      </c>
      <c r="I22" s="13">
        <v>42915.264548611114</v>
      </c>
      <c r="J22" s="7">
        <v>0</v>
      </c>
      <c r="K22" s="89" t="str">
        <f t="shared" si="0"/>
        <v>4027/4028</v>
      </c>
      <c r="L22" s="21" t="str">
        <f>VLOOKUP(A22,'Trips&amp;Operators'!$C$1:$G$99999,5,FALSE)</f>
        <v>GUZMAN DANNY</v>
      </c>
      <c r="M22" s="6">
        <f t="shared" si="1"/>
        <v>2.6875000003201421E-2</v>
      </c>
      <c r="N22" s="7">
        <f t="shared" si="2"/>
        <v>38.700000004610047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-29T04:24:52-0600',mode:absolute,to:'2017-06-29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23.303000000000001</v>
      </c>
      <c r="Z22" s="197">
        <f t="shared" si="8"/>
        <v>1.38E-2</v>
      </c>
      <c r="AA22" s="197">
        <f t="shared" si="9"/>
        <v>23.289200000000001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22" s="74" t="str">
        <f t="shared" si="12"/>
        <v>"C:\Program Files (x86)\AstroGrep\AstroGrep.exe" /e /r /s /spath="%USERPROFILE%\AppData\Local\Temp\OnboardLogs" /stypes="app*4027*20170629*"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110-29 --locoid 4027 --swversion DE.1.0.9.0 --startMP 204:233030 --initTime 2017-06-29T05:24:52 --startdatetime 2017-06-29T05:42:15 --delay 1 --endMP 204:138 --enddatetime 2017-06-29T06:20:57 --enforcementcount 0 &gt;&gt;C:\Users\stu\Documents\GitHub\eaglep3-reporting\EC\2017-06-29-refined-times.txt</v>
      </c>
      <c r="AI2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ID","value":"110-29"},{"id":16,"name":"Locomotive ID","value":"4027"},{"id":130,"name":"Impact","value":""},{"id":150,"name":"Time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4027 --day 2017-06-29</v>
      </c>
      <c r="AN2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4032</v>
      </c>
      <c r="C23" s="21" t="s">
        <v>201</v>
      </c>
      <c r="D23" s="21" t="s">
        <v>198</v>
      </c>
      <c r="E23" s="13">
        <v>42915.204548611109</v>
      </c>
      <c r="F23" s="13">
        <v>42915.208715277775</v>
      </c>
      <c r="G23" s="7">
        <v>1</v>
      </c>
      <c r="H23" s="21" t="s">
        <v>822</v>
      </c>
      <c r="I23" s="13">
        <v>42915.234409722223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STARKS ANGELINA</v>
      </c>
      <c r="M23" s="6">
        <f t="shared" si="1"/>
        <v>2.5694444448163267E-2</v>
      </c>
      <c r="N23" s="7">
        <f t="shared" si="2"/>
        <v>37.000000005355105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-29T03:54:33-0600',mode:absolute,to:'2017-06-29T06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4.5999999999999999E-2</v>
      </c>
      <c r="Z23" s="197">
        <f t="shared" si="8"/>
        <v>23.330200000000001</v>
      </c>
      <c r="AA23" s="197">
        <f t="shared" si="9"/>
        <v>23.284200000000002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23" s="74" t="str">
        <f t="shared" si="12"/>
        <v>"C:\Program Files (x86)\AstroGrep\AstroGrep.exe" /e /r /s /spath="%USERPROFILE%\AppData\Local\Temp\OnboardLogs" /stypes="app*4032*20170629*"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111-29 --locoid 4032 --swversion DE.1.0.9.0 --startMP 204:460 --initTime 2017-06-29T04:54:33 --startdatetime 2017-06-29T05:00:33 --delay 1 --endMP 204:233302 --enddatetime 2017-06-29T05:37:33 --enforcementcount 0 &gt;&gt;C:\Users\stu\Documents\GitHub\eaglep3-reporting\EC\2017-06-29-refined-times.txt</v>
      </c>
      <c r="AI2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{"issue":{"subject":"","project_id":79,"tracker_id":40,"status_id":1,"priority_id":2,"assigned_to_id":23,"start_date":"2017-06-29","description":"","custom_fields":[{"id":1,"name":"Subdivision","value":"EC"},{"id":4,"name":"Milepost","value":"23.3302"},{"id":17,"name":"Train ID","value":"111-29"},{"id":16,"name":"Locomotive ID","value":"4032"},{"id":130,"name":"Impact","value":""},{"id":150,"name":"Time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4032 --day 2017-06-29</v>
      </c>
      <c r="AN2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653</v>
      </c>
      <c r="B24" s="7">
        <v>4031</v>
      </c>
      <c r="C24" s="21" t="s">
        <v>201</v>
      </c>
      <c r="D24" s="21" t="s">
        <v>823</v>
      </c>
      <c r="E24" s="13">
        <v>42915.246111111112</v>
      </c>
      <c r="F24" s="13">
        <v>42915.247083333335</v>
      </c>
      <c r="G24" s="7">
        <v>1</v>
      </c>
      <c r="H24" s="21" t="s">
        <v>356</v>
      </c>
      <c r="I24" s="13">
        <v>42915.247916666667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STARKS ANGELINA</v>
      </c>
      <c r="M24" s="6">
        <f t="shared" si="1"/>
        <v>8.3333333168411627E-4</v>
      </c>
      <c r="N24" s="7"/>
      <c r="O24" s="7"/>
      <c r="P24" s="7">
        <f>24*60*SUM($M24:$M24)</f>
        <v>1.1999999976251274</v>
      </c>
      <c r="Q24" s="22"/>
      <c r="R24" s="170" t="s">
        <v>484</v>
      </c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-29T04:54:24-0600',mode:absolute,to:'2017-06-29T06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23.299099999999999</v>
      </c>
      <c r="Z24" s="197">
        <f t="shared" si="8"/>
        <v>1.41E-2</v>
      </c>
      <c r="AA24" s="197">
        <f t="shared" si="9"/>
        <v>23.285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 &amp; 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</v>
      </c>
      <c r="AF24" s="74" t="str">
        <f t="shared" si="12"/>
        <v>"C:\Program Files (x86)\AstroGrep\AstroGrep.exe" /e /r /s /spath="%USERPROFILE%\AppData\Local\Temp\OnboardLogs" /stypes="app*4031*20170629*"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112-29 --locoid 4031 --swversion DE.1.0.9.0 --startMP 204:232991 --initTime 2017-06-29T05:54:24 --startdatetime 2017-06-29T05:55:48 --delay 1 --endMP 204:141 --enddatetime 2017-06-29T05:57:00 --enforcementcount 0 &gt;&gt;C:\Users\stu\Documents\GitHub\eaglep3-reporting\EC\2017-06-29-refined-times.txt</v>
      </c>
      <c r="AI24" s="96" t="str">
        <f t="shared" si="19"/>
        <v>echo {"issue":{"subject":"Onboard in-route failure","project_id":79,"tracker_id":40,"status_id":1,"priority_id":2,"assigned_to_id":23,"start_date":"2017-06-29","description":"","custom_fields":[{"id":1,"name":"Subdivision","value":"EC"},{"id":4,"name":"Milepost","value":"0.0141"},{"id":17,"name":"Train ID","value":"112-29"},{"id":16,"name":"Locomotive ID","value":"4031"},{"id":130,"name":"Impact","value":""},{"id":150,"name":"Time of Event (Mountain Time)","value":"05:57:00"},{"id":151,"name":"Denver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4031 --day 2017-06-29</v>
      </c>
      <c r="AN24" s="151" t="str">
        <f t="shared" si="21"/>
        <v>echo {"issue":{"subject":"Onboard in-route failure","project_id":30,"tracker_id":4,"status_id":1,"priority_id":1,"assigned_to_id":10,"start_date":"2017-06-29","description":"","custom_fields":[{"id":30,"name":"Category","value":"Issue"},{"id":3,"name":"Functional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574</v>
      </c>
      <c r="B25" s="7">
        <v>4056</v>
      </c>
      <c r="C25" s="21" t="s">
        <v>201</v>
      </c>
      <c r="D25" s="21" t="s">
        <v>451</v>
      </c>
      <c r="E25" s="13">
        <v>42915.212881944448</v>
      </c>
      <c r="F25" s="13">
        <v>42915.219270833331</v>
      </c>
      <c r="G25" s="7">
        <v>2</v>
      </c>
      <c r="H25" s="21" t="s">
        <v>824</v>
      </c>
      <c r="I25" s="13">
        <v>42915.243923611109</v>
      </c>
      <c r="J25" s="7">
        <v>0</v>
      </c>
      <c r="K25" s="89" t="str">
        <f t="shared" si="0"/>
        <v>4055/4056</v>
      </c>
      <c r="L25" s="21" t="str">
        <f>VLOOKUP(A25,'Trips&amp;Operators'!$C$1:$G$99999,5,FALSE)</f>
        <v>SANTIZO D. EDY</v>
      </c>
      <c r="M25" s="6">
        <f t="shared" si="1"/>
        <v>2.4652777778101154E-2</v>
      </c>
      <c r="N25" s="7">
        <f t="shared" ref="N25:N56" si="22">24*60*SUM($M25:$M25)</f>
        <v>35.500000000465661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-29T04:06:33-0600',mode:absolute,to:'2017-06-29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4.5499999999999999E-2</v>
      </c>
      <c r="Z25" s="197">
        <f t="shared" si="8"/>
        <v>23.340800000000002</v>
      </c>
      <c r="AA25" s="197">
        <f t="shared" si="9"/>
        <v>23.295300000000001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25" s="74" t="str">
        <f t="shared" si="12"/>
        <v>"C:\Program Files (x86)\AstroGrep\AstroGrep.exe" /e /r /s /spath="%USERPROFILE%\AppData\Local\Temp\OnboardLogs" /stypes="app*4056*20170629*"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113-29 --locoid 4056 --swversion DE.1.0.9.0 --startMP 204:455 --initTime 2017-06-29T05:06:33 --startdatetime 2017-06-29T05:15:45 --delay 2 --endMP 204:233408 --enddatetime 2017-06-29T05:51:15 --enforcementcount 0 &gt;&gt;C:\Users\stu\Documents\GitHub\eaglep3-reporting\EC\2017-06-29-refined-times.txt</v>
      </c>
      <c r="AI2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{"issue":{"subject":"","project_id":79,"tracker_id":40,"status_id":1,"priority_id":2,"assigned_to_id":23,"start_date":"2017-06-29","description":"","custom_fields":[{"id":1,"name":"Subdivision","value":"EC"},{"id":4,"name":"Milepost","value":"23.3408"},{"id":17,"name":"Train ID","value":"113-29"},{"id":16,"name":"Locomotive ID","value":"4056"},{"id":130,"name":"Impact","value":""},{"id":150,"name":"Time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4056 --day 2017-06-29</v>
      </c>
      <c r="AN2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652</v>
      </c>
      <c r="B26" s="7">
        <v>4055</v>
      </c>
      <c r="C26" s="21" t="s">
        <v>201</v>
      </c>
      <c r="D26" s="21" t="s">
        <v>825</v>
      </c>
      <c r="E26" s="13">
        <v>42915.245011574072</v>
      </c>
      <c r="F26" s="13">
        <v>42915.25849537037</v>
      </c>
      <c r="G26" s="7">
        <v>0</v>
      </c>
      <c r="H26" s="21" t="s">
        <v>193</v>
      </c>
      <c r="I26" s="13">
        <v>42915.284791666665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SANTIZO D. EDY</v>
      </c>
      <c r="M26" s="6">
        <f t="shared" si="1"/>
        <v>2.6296296295186039E-2</v>
      </c>
      <c r="N26" s="7">
        <f t="shared" si="22"/>
        <v>37.866666665067896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-29T04:52:49-0600',mode:absolute,to:'2017-06-29T07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23.293399999999998</v>
      </c>
      <c r="Z26" s="197">
        <f t="shared" si="8"/>
        <v>1.52E-2</v>
      </c>
      <c r="AA26" s="197">
        <f t="shared" si="9"/>
        <v>23.278199999999998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26" s="74" t="str">
        <f t="shared" si="12"/>
        <v>"C:\Program Files (x86)\AstroGrep\AstroGrep.exe" /e /r /s /spath="%USERPROFILE%\AppData\Local\Temp\OnboardLogs" /stypes="app*4055*20170629*"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114-29 --locoid 4055 --swversion DE.1.0.9.0 --startMP 204:232934 --initTime 2017-06-29T05:52:49 --startdatetime 2017-06-29T06:12:14 --delay 0 --endMP 204:152 --enddatetime 2017-06-29T06:50:06 --enforcementcount 0 &gt;&gt;C:\Users\stu\Documents\GitHub\eaglep3-reporting\EC\2017-06-29-refined-times.txt</v>
      </c>
      <c r="AI2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ID","value":"114-29"},{"id":16,"name":"Locomotive ID","value":"4055"},{"id":130,"name":"Impact","value":""},{"id":150,"name":"Time of Event (Mountain Time)","value":"06:50:06"},{"id":151,"name":"Denver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4055 --day 2017-06-29</v>
      </c>
      <c r="AN2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650</v>
      </c>
      <c r="B27" s="7">
        <v>4010</v>
      </c>
      <c r="C27" s="21" t="s">
        <v>201</v>
      </c>
      <c r="D27" s="21" t="s">
        <v>389</v>
      </c>
      <c r="E27" s="13">
        <v>42915.225405092591</v>
      </c>
      <c r="F27" s="13">
        <v>42915.229317129626</v>
      </c>
      <c r="G27" s="7">
        <v>1</v>
      </c>
      <c r="H27" s="21" t="s">
        <v>496</v>
      </c>
      <c r="I27" s="13">
        <v>42915.254849537036</v>
      </c>
      <c r="J27" s="7">
        <v>0</v>
      </c>
      <c r="K27" s="89" t="str">
        <f t="shared" si="0"/>
        <v>4009/4010</v>
      </c>
      <c r="L27" s="21" t="str">
        <f>VLOOKUP(A27,'Trips&amp;Operators'!$C$1:$G$99999,5,FALSE)</f>
        <v>YANAI IAN</v>
      </c>
      <c r="M27" s="6">
        <f t="shared" si="1"/>
        <v>2.5532407409627922E-2</v>
      </c>
      <c r="N27" s="7">
        <f t="shared" si="22"/>
        <v>36.766666669864208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-29T04:24:35-0600',mode:absolute,to:'2017-06-29T07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4.6199999999999998E-2</v>
      </c>
      <c r="Z27" s="197">
        <f t="shared" si="8"/>
        <v>23.3291</v>
      </c>
      <c r="AA27" s="197">
        <f t="shared" si="9"/>
        <v>23.282900000000001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27" s="74" t="str">
        <f t="shared" si="12"/>
        <v>"C:\Program Files (x86)\AstroGrep\AstroGrep.exe" /e /r /s /spath="%USERPROFILE%\AppData\Local\Temp\OnboardLogs" /stypes="app*4010*20170629*"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115-29 --locoid 4010 --swversion DE.1.0.9.0 --startMP 204:462 --initTime 2017-06-29T05:24:35 --startdatetime 2017-06-29T05:30:13 --delay 1 --endMP 204:233291 --enddatetime 2017-06-29T06:06:59 --enforcementcount 0 &gt;&gt;C:\Users\stu\Documents\GitHub\eaglep3-reporting\EC\2017-06-29-refined-times.txt</v>
      </c>
      <c r="AI2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{"issue":{"subject":"","project_id":79,"tracker_id":40,"status_id":1,"priority_id":2,"assigned_to_id":23,"start_date":"2017-06-29","description":"","custom_fields":[{"id":1,"name":"Subdivision","value":"EC"},{"id":4,"name":"Milepost","value":"23.3291"},{"id":17,"name":"Train ID","value":"115-29"},{"id":16,"name":"Locomotive ID","value":"4010"},{"id":130,"name":"Impact","value":""},{"id":150,"name":"Time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4010 --day 2017-06-29</v>
      </c>
      <c r="AN2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578</v>
      </c>
      <c r="B28" s="7">
        <v>4009</v>
      </c>
      <c r="C28" s="21" t="s">
        <v>201</v>
      </c>
      <c r="D28" s="21" t="s">
        <v>550</v>
      </c>
      <c r="E28" s="13">
        <v>42915.256076388891</v>
      </c>
      <c r="F28" s="13">
        <v>42915.268935185188</v>
      </c>
      <c r="G28" s="7">
        <v>1</v>
      </c>
      <c r="H28" s="21" t="s">
        <v>553</v>
      </c>
      <c r="I28" s="13">
        <v>42915.295185185183</v>
      </c>
      <c r="J28" s="7">
        <v>0</v>
      </c>
      <c r="K28" s="89" t="str">
        <f t="shared" si="0"/>
        <v>4009/4010</v>
      </c>
      <c r="L28" s="21" t="str">
        <f>VLOOKUP(A28,'Trips&amp;Operators'!$C$1:$G$99999,5,FALSE)</f>
        <v>YANAI IAN</v>
      </c>
      <c r="M28" s="6">
        <f t="shared" si="1"/>
        <v>2.6249999995343387E-2</v>
      </c>
      <c r="N28" s="7">
        <f t="shared" si="22"/>
        <v>37.799999993294477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-29T05:08:45-0600',mode:absolute,to:'2017-06-29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23.298300000000001</v>
      </c>
      <c r="Z28" s="197">
        <f t="shared" si="8"/>
        <v>1.6E-2</v>
      </c>
      <c r="AA28" s="197">
        <f t="shared" si="9"/>
        <v>23.282300000000003</v>
      </c>
      <c r="AB28" s="54" t="str">
        <f>VLOOKUP(A28,Enforcements!$C$7:$K$13,8,0)</f>
        <v>Bulletin (2)</v>
      </c>
      <c r="AC28" s="51" t="str">
        <f>VLOOKUP(A28,Enforcements!$C$7:$E$13,3,0)</f>
        <v>GRADE CROSSING</v>
      </c>
      <c r="AD28" s="206">
        <f t="shared" si="10"/>
        <v>116</v>
      </c>
      <c r="AE28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28" s="74" t="str">
        <f t="shared" si="12"/>
        <v>"C:\Program Files (x86)\AstroGrep\AstroGrep.exe" /e /r /s /spath="%USERPROFILE%\AppData\Local\Temp\OnboardLogs" /stypes="app*4009*20170629*"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116-29 --locoid 4009 --swversion DE.1.0.9.0 --startMP 204:232983 --initTime 2017-06-29T06:08:45 --startdatetime 2017-06-29T06:27:16 --delay 1 --endMP 204:160 --enddatetime 2017-06-29T07:05:04 --enforcementcount 0 &gt;&gt;C:\Users\stu\Documents\GitHub\eaglep3-reporting\EC\2017-06-29-refined-times.txt</v>
      </c>
      <c r="AI2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ID","value":"116-29"},{"id":16,"name":"Locomotive ID","value":"4009"},{"id":130,"name":"Impact","value":""},{"id":150,"name":"Time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4009 --day 2017-06-29</v>
      </c>
      <c r="AN2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4006</v>
      </c>
      <c r="C29" s="21" t="s">
        <v>201</v>
      </c>
      <c r="D29" s="21" t="s">
        <v>198</v>
      </c>
      <c r="E29" s="13">
        <v>42915.236817129633</v>
      </c>
      <c r="F29" s="13">
        <v>42915.239837962959</v>
      </c>
      <c r="G29" s="7">
        <v>1</v>
      </c>
      <c r="H29" s="21" t="s">
        <v>483</v>
      </c>
      <c r="I29" s="13">
        <v>42915.264479166668</v>
      </c>
      <c r="J29" s="7">
        <v>0</v>
      </c>
      <c r="K29" s="89" t="str">
        <f t="shared" si="0"/>
        <v>4005/4006</v>
      </c>
      <c r="L29" s="21" t="str">
        <f>VLOOKUP(A29,'Trips&amp;Operators'!$C$1:$G$99999,5,FALSE)</f>
        <v>HELVIE ADAM</v>
      </c>
      <c r="M29" s="6">
        <f t="shared" si="1"/>
        <v>2.4641203708597459E-2</v>
      </c>
      <c r="N29" s="7">
        <f t="shared" si="22"/>
        <v>35.483333340380341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-29T04:41:01-0600',mode:absolute,to:'2017-06-29T07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4.5999999999999999E-2</v>
      </c>
      <c r="Z29" s="197">
        <f t="shared" si="8"/>
        <v>23.3293</v>
      </c>
      <c r="AA29" s="197">
        <f t="shared" si="9"/>
        <v>23.283300000000001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29" s="74" t="str">
        <f t="shared" si="12"/>
        <v>"C:\Program Files (x86)\AstroGrep\AstroGrep.exe" /e /r /s /spath="%USERPROFILE%\AppData\Local\Temp\OnboardLogs" /stypes="app*4006*20170629*"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117-29 --locoid 4006 --swversion DE.1.0.9.0 --startMP 204:460 --initTime 2017-06-29T05:41:01 --startdatetime 2017-06-29T05:45:22 --delay 1 --endMP 204:233293 --enddatetime 2017-06-29T06:20:51 --enforcementcount 0 &gt;&gt;C:\Users\stu\Documents\GitHub\eaglep3-reporting\EC\2017-06-29-refined-times.txt</v>
      </c>
      <c r="AI2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{"issue":{"subject":"","project_id":79,"tracker_id":40,"status_id":1,"priority_id":2,"assigned_to_id":23,"start_date":"2017-06-29","description":"","custom_fields":[{"id":1,"name":"Subdivision","value":"EC"},{"id":4,"name":"Milepost","value":"23.3293"},{"id":17,"name":"Train ID","value":"117-29"},{"id":16,"name":"Locomotive ID","value":"4006"},{"id":130,"name":"Impact","value":""},{"id":150,"name":"Time of Event (Mountain Time)","value":"06:20:51"},{"id":151,"name":"Denver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4006 --day 2017-06-29</v>
      </c>
      <c r="AN2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658</v>
      </c>
      <c r="B30" s="7">
        <v>4005</v>
      </c>
      <c r="C30" s="21" t="s">
        <v>201</v>
      </c>
      <c r="D30" s="21" t="s">
        <v>826</v>
      </c>
      <c r="E30" s="13">
        <v>42915.27542824074</v>
      </c>
      <c r="F30" s="13">
        <v>42915.279467592591</v>
      </c>
      <c r="G30" s="7">
        <v>1</v>
      </c>
      <c r="H30" s="21" t="s">
        <v>193</v>
      </c>
      <c r="I30" s="13">
        <v>42915.30846064815</v>
      </c>
      <c r="J30" s="7">
        <v>0</v>
      </c>
      <c r="K30" s="89" t="str">
        <f t="shared" si="0"/>
        <v>4005/4006</v>
      </c>
      <c r="L30" s="21" t="str">
        <f>VLOOKUP(A30,'Trips&amp;Operators'!$C$1:$G$99999,5,FALSE)</f>
        <v>HELVIE ADAM</v>
      </c>
      <c r="M30" s="6">
        <f t="shared" si="1"/>
        <v>2.899305555911269E-2</v>
      </c>
      <c r="N30" s="7">
        <f t="shared" si="22"/>
        <v>41.750000005122274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-29T05:36:37-0600',mode:absolute,to:'2017-06-29T08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23.2957</v>
      </c>
      <c r="Z30" s="197">
        <f t="shared" si="8"/>
        <v>1.52E-2</v>
      </c>
      <c r="AA30" s="197">
        <f t="shared" si="9"/>
        <v>23.2805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30" s="74" t="str">
        <f t="shared" si="12"/>
        <v>"C:\Program Files (x86)\AstroGrep\AstroGrep.exe" /e /r /s /spath="%USERPROFILE%\AppData\Local\Temp\OnboardLogs" /stypes="app*4005*20170629*"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118-29 --locoid 4005 --swversion DE.1.0.9.0 --startMP 204:232957 --initTime 2017-06-29T06:36:37 --startdatetime 2017-06-29T06:42:26 --delay 1 --endMP 204:152 --enddatetime 2017-06-29T07:24:11 --enforcementcount 0 &gt;&gt;C:\Users\stu\Documents\GitHub\eaglep3-reporting\EC\2017-06-29-refined-times.txt</v>
      </c>
      <c r="AI3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ID","value":"118-29"},{"id":16,"name":"Locomotive ID","value":"4005"},{"id":130,"name":"Impact","value":""},{"id":150,"name":"Time of Event (Mountain Time)","value":"07:24:11"},{"id":151,"name":"Denver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4005 --day 2017-06-29</v>
      </c>
      <c r="AN3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576</v>
      </c>
      <c r="B31" s="7">
        <v>4060</v>
      </c>
      <c r="C31" s="21" t="s">
        <v>201</v>
      </c>
      <c r="D31" s="21" t="s">
        <v>439</v>
      </c>
      <c r="E31" s="13">
        <v>42915.246134259258</v>
      </c>
      <c r="F31" s="13">
        <v>42915.250185185185</v>
      </c>
      <c r="G31" s="7">
        <v>1</v>
      </c>
      <c r="H31" s="21" t="s">
        <v>554</v>
      </c>
      <c r="I31" s="13">
        <v>42915.276469907411</v>
      </c>
      <c r="J31" s="7">
        <v>0</v>
      </c>
      <c r="K31" s="89" t="str">
        <f t="shared" si="0"/>
        <v>4059/4060</v>
      </c>
      <c r="L31" s="21" t="str">
        <f>VLOOKUP(A31,'Trips&amp;Operators'!$C$1:$G$99999,5,FALSE)</f>
        <v>BONDS REYNALDO</v>
      </c>
      <c r="M31" s="6">
        <f t="shared" si="1"/>
        <v>2.6284722225682344E-2</v>
      </c>
      <c r="N31" s="7">
        <f t="shared" si="22"/>
        <v>37.850000004982576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-29T04:54:26-0600',mode:absolute,to:'2017-06-29T07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4.6899999999999997E-2</v>
      </c>
      <c r="Z31" s="197">
        <f t="shared" si="8"/>
        <v>23.3276</v>
      </c>
      <c r="AA31" s="197">
        <f t="shared" si="9"/>
        <v>23.2807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31" s="74" t="str">
        <f t="shared" si="12"/>
        <v>"C:\Program Files (x86)\AstroGrep\AstroGrep.exe" /e /r /s /spath="%USERPROFILE%\AppData\Local\Temp\OnboardLogs" /stypes="app*4060*20170629*"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119-29 --locoid 4060 --swversion DE.1.0.9.0 --startMP 204:469 --initTime 2017-06-29T05:54:26 --startdatetime 2017-06-29T06:00:16 --delay 1 --endMP 204:233276 --enddatetime 2017-06-29T06:38:07 --enforcementcount 0 &gt;&gt;C:\Users\stu\Documents\GitHub\eaglep3-reporting\EC\2017-06-29-refined-times.txt</v>
      </c>
      <c r="AI3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ID","value":"119-29"},{"id":16,"name":"Locomotive ID","value":"4060"},{"id":130,"name":"Impact","value":""},{"id":150,"name":"Time of Event (Mountain Time)","value":"06:38:07"},{"id":151,"name":"Denver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4060 --day 2017-06-29</v>
      </c>
      <c r="AN3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664</v>
      </c>
      <c r="B32" s="7">
        <v>4059</v>
      </c>
      <c r="C32" s="21" t="s">
        <v>201</v>
      </c>
      <c r="D32" s="21" t="s">
        <v>547</v>
      </c>
      <c r="E32" s="13">
        <v>42915.286979166667</v>
      </c>
      <c r="F32" s="13">
        <v>42915.289756944447</v>
      </c>
      <c r="G32" s="7">
        <v>1</v>
      </c>
      <c r="H32" s="21" t="s">
        <v>193</v>
      </c>
      <c r="I32" s="13">
        <v>42915.317291666666</v>
      </c>
      <c r="J32" s="7">
        <v>0</v>
      </c>
      <c r="K32" s="89" t="str">
        <f t="shared" si="0"/>
        <v>4059/4060</v>
      </c>
      <c r="L32" s="21" t="str">
        <f>VLOOKUP(A32,'Trips&amp;Operators'!$C$1:$G$99999,5,FALSE)</f>
        <v>BONDS REYNALDO</v>
      </c>
      <c r="M32" s="6">
        <f t="shared" si="1"/>
        <v>2.753472221957054E-2</v>
      </c>
      <c r="N32" s="7">
        <f t="shared" si="22"/>
        <v>39.649999996181577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-29T05:53:15-0600',mode:absolute,to:'2017-06-29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23.299299999999999</v>
      </c>
      <c r="Z32" s="197">
        <f t="shared" si="8"/>
        <v>1.52E-2</v>
      </c>
      <c r="AA32" s="197">
        <f t="shared" si="9"/>
        <v>23.284099999999999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32" s="74" t="str">
        <f t="shared" si="12"/>
        <v>"C:\Program Files (x86)\AstroGrep\AstroGrep.exe" /e /r /s /spath="%USERPROFILE%\AppData\Local\Temp\OnboardLogs" /stypes="app*4059*20170629*"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120-29 --locoid 4059 --swversion DE.1.0.9.0 --startMP 204:232993 --initTime 2017-06-29T06:53:15 --startdatetime 2017-06-29T06:57:15 --delay 1 --endMP 204:152 --enddatetime 2017-06-29T07:36:54 --enforcementcount 0 &gt;&gt;C:\Users\stu\Documents\GitHub\eaglep3-reporting\EC\2017-06-29-refined-times.txt</v>
      </c>
      <c r="AI3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ID","value":"120-29"},{"id":16,"name":"Locomotive ID","value":"4059"},{"id":130,"name":"Impact","value":""},{"id":150,"name":"Time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4059 --day 2017-06-29</v>
      </c>
      <c r="AN3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655</v>
      </c>
      <c r="B33" s="7">
        <v>4062</v>
      </c>
      <c r="C33" s="21" t="s">
        <v>201</v>
      </c>
      <c r="D33" s="21" t="s">
        <v>474</v>
      </c>
      <c r="E33" s="13">
        <v>42915.256562499999</v>
      </c>
      <c r="F33" s="13">
        <v>42915.260625000003</v>
      </c>
      <c r="G33" s="7">
        <v>1</v>
      </c>
      <c r="H33" s="21" t="s">
        <v>820</v>
      </c>
      <c r="I33" s="13">
        <v>42915.285138888888</v>
      </c>
      <c r="J33" s="7">
        <v>0</v>
      </c>
      <c r="K33" s="89" t="str">
        <f t="shared" si="0"/>
        <v>4061/4062</v>
      </c>
      <c r="L33" s="21" t="str">
        <f>VLOOKUP(A33,'Trips&amp;Operators'!$C$1:$G$99999,5,FALSE)</f>
        <v>GEBRETEKLE DAGNEW</v>
      </c>
      <c r="M33" s="6">
        <f t="shared" si="1"/>
        <v>2.4513888885849155E-2</v>
      </c>
      <c r="N33" s="7">
        <f t="shared" si="22"/>
        <v>35.299999995622784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-29T05:09:27-0600',mode:absolute,to:'2017-06-29T07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4.4400000000000002E-2</v>
      </c>
      <c r="Z33" s="197">
        <f t="shared" si="8"/>
        <v>23.333600000000001</v>
      </c>
      <c r="AA33" s="197">
        <f t="shared" si="9"/>
        <v>23.289200000000001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33" s="74" t="str">
        <f t="shared" si="12"/>
        <v>"C:\Program Files (x86)\AstroGrep\AstroGrep.exe" /e /r /s /spath="%USERPROFILE%\AppData\Local\Temp\OnboardLogs" /stypes="app*4062*20170629*"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121-29 --locoid 4062 --swversion DE.1.0.9.0 --startMP 204:444 --initTime 2017-06-29T06:09:27 --startdatetime 2017-06-29T06:15:18 --delay 1 --endMP 204:233336 --enddatetime 2017-06-29T06:50:36 --enforcementcount 0 &gt;&gt;C:\Users\stu\Documents\GitHub\eaglep3-reporting\EC\2017-06-29-refined-times.txt</v>
      </c>
      <c r="AI3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ID","value":"121-29"},{"id":16,"name":"Locomotive ID","value":"4062"},{"id":130,"name":"Impact","value":""},{"id":150,"name":"Time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4062 --day 2017-06-29</v>
      </c>
      <c r="AN3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663</v>
      </c>
      <c r="B34" s="7">
        <v>4061</v>
      </c>
      <c r="C34" s="21" t="s">
        <v>201</v>
      </c>
      <c r="D34" s="21" t="s">
        <v>827</v>
      </c>
      <c r="E34" s="13">
        <v>42915.286759259259</v>
      </c>
      <c r="F34" s="13">
        <v>42915.30023148148</v>
      </c>
      <c r="G34" s="7">
        <v>1</v>
      </c>
      <c r="H34" s="21" t="s">
        <v>346</v>
      </c>
      <c r="I34" s="13">
        <v>42915.327326388891</v>
      </c>
      <c r="J34" s="7">
        <v>0</v>
      </c>
      <c r="K34" s="89" t="str">
        <f t="shared" si="0"/>
        <v>4061/4062</v>
      </c>
      <c r="L34" s="21" t="str">
        <f>VLOOKUP(A34,'Trips&amp;Operators'!$C$1:$G$99999,5,FALSE)</f>
        <v>GEBRETEKLE DAGNEW</v>
      </c>
      <c r="M34" s="6">
        <f t="shared" si="1"/>
        <v>2.7094907411083113E-2</v>
      </c>
      <c r="N34" s="7">
        <f t="shared" si="22"/>
        <v>39.016666671959683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-29T05:52:56-0600',mode:absolute,to:'2017-06-29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23.3017</v>
      </c>
      <c r="Z34" s="197">
        <f t="shared" si="8"/>
        <v>1.4999999999999999E-2</v>
      </c>
      <c r="AA34" s="197">
        <f t="shared" si="9"/>
        <v>23.2867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34" s="74" t="str">
        <f t="shared" si="12"/>
        <v>"C:\Program Files (x86)\AstroGrep\AstroGrep.exe" /e /r /s /spath="%USERPROFILE%\AppData\Local\Temp\OnboardLogs" /stypes="app*4061*20170629*"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122-29 --locoid 4061 --swversion DE.1.0.9.0 --startMP 204:233017 --initTime 2017-06-29T06:52:56 --startdatetime 2017-06-29T07:12:20 --delay 1 --endMP 204:150 --enddatetime 2017-06-29T07:51:21 --enforcementcount 0 &gt;&gt;C:\Users\stu\Documents\GitHub\eaglep3-reporting\EC\2017-06-29-refined-times.txt</v>
      </c>
      <c r="AI3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ID","value":"122-29"},{"id":16,"name":"Locomotive ID","value":"4061"},{"id":130,"name":"Impact","value":""},{"id":150,"name":"Time of Event (Mountain Time)","value":"07:51:21"},{"id":151,"name":"Denver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4061 --day 2017-06-29</v>
      </c>
      <c r="AN3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579</v>
      </c>
      <c r="B35" s="7">
        <v>4028</v>
      </c>
      <c r="C35" s="21" t="s">
        <v>201</v>
      </c>
      <c r="D35" s="21" t="s">
        <v>441</v>
      </c>
      <c r="E35" s="13">
        <v>42915.266168981485</v>
      </c>
      <c r="F35" s="13">
        <v>42915.271979166668</v>
      </c>
      <c r="G35" s="7">
        <v>1</v>
      </c>
      <c r="H35" s="21" t="s">
        <v>828</v>
      </c>
      <c r="I35" s="13">
        <v>42915.297534722224</v>
      </c>
      <c r="J35" s="7">
        <v>0</v>
      </c>
      <c r="K35" s="89" t="str">
        <f t="shared" si="0"/>
        <v>4027/4028</v>
      </c>
      <c r="L35" s="21" t="str">
        <f>VLOOKUP(A35,'Trips&amp;Operators'!$C$1:$G$99999,5,FALSE)</f>
        <v>GUZMAN DANNY</v>
      </c>
      <c r="M35" s="6">
        <f t="shared" si="1"/>
        <v>2.5555555555911269E-2</v>
      </c>
      <c r="N35" s="7">
        <f t="shared" si="22"/>
        <v>36.800000000512227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-29T05:23:17-0600',mode:absolute,to:'2017-06-29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4.4200000000000003E-2</v>
      </c>
      <c r="Z35" s="197">
        <f t="shared" si="8"/>
        <v>23.3249</v>
      </c>
      <c r="AA35" s="197">
        <f t="shared" si="9"/>
        <v>23.2807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35" s="74" t="str">
        <f t="shared" si="12"/>
        <v>"C:\Program Files (x86)\AstroGrep\AstroGrep.exe" /e /r /s /spath="%USERPROFILE%\AppData\Local\Temp\OnboardLogs" /stypes="app*4028*20170629*"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123-29 --locoid 4028 --swversion DE.1.0.9.0 --startMP 204:442 --initTime 2017-06-29T06:23:17 --startdatetime 2017-06-29T06:31:39 --delay 1 --endMP 204:233249 --enddatetime 2017-06-29T07:08:27 --enforcementcount 0 &gt;&gt;C:\Users\stu\Documents\GitHub\eaglep3-reporting\EC\2017-06-29-refined-times.txt</v>
      </c>
      <c r="AI3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{"issue":{"subject":"","project_id":79,"tracker_id":40,"status_id":1,"priority_id":2,"assigned_to_id":23,"start_date":"2017-06-29","description":"","custom_fields":[{"id":1,"name":"Subdivision","value":"EC"},{"id":4,"name":"Milepost","value":"23.3249"},{"id":17,"name":"Train ID","value":"123-29"},{"id":16,"name":"Locomotive ID","value":"4028"},{"id":130,"name":"Impact","value":""},{"id":150,"name":"Time of Event (Mountain Time)","value":"07:08:27"},{"id":151,"name":"Denver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4028 --day 2017-06-29</v>
      </c>
      <c r="AN3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667</v>
      </c>
      <c r="B36" s="7">
        <v>4027</v>
      </c>
      <c r="C36" s="21" t="s">
        <v>201</v>
      </c>
      <c r="D36" s="21" t="s">
        <v>829</v>
      </c>
      <c r="E36" s="13">
        <v>42915.300474537034</v>
      </c>
      <c r="F36" s="13">
        <v>42915.310590277775</v>
      </c>
      <c r="G36" s="7">
        <v>1</v>
      </c>
      <c r="H36" s="21" t="s">
        <v>348</v>
      </c>
      <c r="I36" s="13">
        <v>42915.338576388887</v>
      </c>
      <c r="J36" s="7">
        <v>0</v>
      </c>
      <c r="K36" s="89" t="str">
        <f t="shared" si="0"/>
        <v>4027/4028</v>
      </c>
      <c r="L36" s="21" t="str">
        <f>VLOOKUP(A36,'Trips&amp;Operators'!$C$1:$G$99999,5,FALSE)</f>
        <v>GUZMAN DANNY</v>
      </c>
      <c r="M36" s="6">
        <f t="shared" si="1"/>
        <v>2.7986111112113576E-2</v>
      </c>
      <c r="N36" s="7">
        <f t="shared" si="22"/>
        <v>40.30000000144355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-29T06:12:41-0600',mode:absolute,to:'2017-06-29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23.298500000000001</v>
      </c>
      <c r="Z36" s="197">
        <f t="shared" si="8"/>
        <v>1.43E-2</v>
      </c>
      <c r="AA36" s="197">
        <f t="shared" si="9"/>
        <v>23.284200000000002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36" s="74" t="str">
        <f t="shared" si="12"/>
        <v>"C:\Program Files (x86)\AstroGrep\AstroGrep.exe" /e /r /s /spath="%USERPROFILE%\AppData\Local\Temp\OnboardLogs" /stypes="app*4027*20170629*"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124-29 --locoid 4027 --swversion DE.1.0.9.0 --startMP 204:232985 --initTime 2017-06-29T07:12:41 --startdatetime 2017-06-29T07:27:15 --delay 1 --endMP 204:143 --enddatetime 2017-06-29T08:07:33 --enforcementcount 0 &gt;&gt;C:\Users\stu\Documents\GitHub\eaglep3-reporting\EC\2017-06-29-refined-times.txt</v>
      </c>
      <c r="AI3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ID","value":"124-29"},{"id":16,"name":"Locomotive ID","value":"4027"},{"id":130,"name":"Impact","value":""},{"id":150,"name":"Time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4027 --day 2017-06-29</v>
      </c>
      <c r="AN3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660</v>
      </c>
      <c r="B37" s="7">
        <v>4050</v>
      </c>
      <c r="C37" s="21" t="s">
        <v>201</v>
      </c>
      <c r="D37" s="21" t="s">
        <v>350</v>
      </c>
      <c r="E37" s="13">
        <v>42915.275335648148</v>
      </c>
      <c r="F37" s="13">
        <v>42915.282326388886</v>
      </c>
      <c r="G37" s="7">
        <v>9</v>
      </c>
      <c r="H37" s="21" t="s">
        <v>479</v>
      </c>
      <c r="I37" s="13">
        <v>42915.307708333334</v>
      </c>
      <c r="J37" s="7">
        <v>0</v>
      </c>
      <c r="K37" s="89" t="str">
        <f t="shared" si="0"/>
        <v>4049/4050</v>
      </c>
      <c r="L37" s="21" t="str">
        <f>VLOOKUP(A37,'Trips&amp;Operators'!$C$1:$G$99999,5,FALSE)</f>
        <v>STARKS ANGELINA</v>
      </c>
      <c r="M37" s="6">
        <f t="shared" si="1"/>
        <v>2.5381944447872229E-2</v>
      </c>
      <c r="N37" s="7">
        <f t="shared" si="22"/>
        <v>36.55000000493601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-29T05:36:29-0600',mode:absolute,to:'2017-06-29T08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4.5100000000000001E-2</v>
      </c>
      <c r="Z37" s="197">
        <f t="shared" si="8"/>
        <v>23.328900000000001</v>
      </c>
      <c r="AA37" s="197">
        <f t="shared" si="9"/>
        <v>23.283799999999999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37" s="74" t="str">
        <f t="shared" si="12"/>
        <v>"C:\Program Files (x86)\AstroGrep\AstroGrep.exe" /e /r /s /spath="%USERPROFILE%\AppData\Local\Temp\OnboardLogs" /stypes="app*4050*20170629*"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125-29 --locoid 4050 --swversion DE.1.0.9.0 --startMP 204:451 --initTime 2017-06-29T06:36:29 --startdatetime 2017-06-29T06:46:33 --delay 9 --endMP 204:233289 --enddatetime 2017-06-29T07:23:06 --enforcementcount 0 &gt;&gt;C:\Users\stu\Documents\GitHub\eaglep3-reporting\EC\2017-06-29-refined-times.txt</v>
      </c>
      <c r="AI3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ID","value":"125-29"},{"id":16,"name":"Locomotive ID","value":"4050"},{"id":130,"name":"Impact","value":""},{"id":150,"name":"Time of Event (Mountain Time)","value":"07:23:06"},{"id":151,"name":"Denver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2017-06-29</v>
      </c>
      <c r="AN3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671</v>
      </c>
      <c r="B38" s="7">
        <v>4049</v>
      </c>
      <c r="C38" s="21" t="s">
        <v>201</v>
      </c>
      <c r="D38" s="21" t="s">
        <v>438</v>
      </c>
      <c r="E38" s="13">
        <v>42915.320092592592</v>
      </c>
      <c r="F38" s="13">
        <v>42915.321192129632</v>
      </c>
      <c r="G38" s="7">
        <v>1</v>
      </c>
      <c r="H38" s="21" t="s">
        <v>445</v>
      </c>
      <c r="I38" s="13">
        <v>42915.348356481481</v>
      </c>
      <c r="J38" s="7">
        <v>0</v>
      </c>
      <c r="K38" s="89" t="str">
        <f t="shared" si="0"/>
        <v>4049/4050</v>
      </c>
      <c r="L38" s="21" t="str">
        <f>VLOOKUP(A38,'Trips&amp;Operators'!$C$1:$G$99999,5,FALSE)</f>
        <v>STARKS ANGELINA</v>
      </c>
      <c r="M38" s="6">
        <f t="shared" si="1"/>
        <v>2.7164351849933155E-2</v>
      </c>
      <c r="N38" s="7">
        <f t="shared" si="22"/>
        <v>39.116666663903743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-29T06:40:56-0600',mode:absolute,to:'2017-06-29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23.2971</v>
      </c>
      <c r="Z38" s="197">
        <f t="shared" si="8"/>
        <v>1.38E-2</v>
      </c>
      <c r="AA38" s="197">
        <f t="shared" si="9"/>
        <v>23.283300000000001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38" s="74" t="str">
        <f t="shared" si="12"/>
        <v>"C:\Program Files (x86)\AstroGrep\AstroGrep.exe" /e /r /s /spath="%USERPROFILE%\AppData\Local\Temp\OnboardLogs" /stypes="app*4049*20170629*"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126-29 --locoid 4049 --swversion DE.1.0.9.0 --startMP 204:232971 --initTime 2017-06-29T07:40:56 --startdatetime 2017-06-29T07:42:31 --delay 1 --endMP 204:138 --enddatetime 2017-06-29T08:21:38 --enforcementcount 0 &gt;&gt;C:\Users\stu\Documents\GitHub\eaglep3-reporting\EC\2017-06-29-refined-times.txt</v>
      </c>
      <c r="AI3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ID","value":"126-29"},{"id":16,"name":"Locomotive ID","value":"4049"},{"id":130,"name":"Impact","value":""},{"id":150,"name":"Time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2017-06-29</v>
      </c>
      <c r="AN3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4056</v>
      </c>
      <c r="C39" s="21" t="s">
        <v>201</v>
      </c>
      <c r="D39" s="21" t="s">
        <v>198</v>
      </c>
      <c r="E39" s="13">
        <v>42915.287314814814</v>
      </c>
      <c r="F39" s="13">
        <v>42915.292025462964</v>
      </c>
      <c r="G39" s="7">
        <v>1</v>
      </c>
      <c r="H39" s="21" t="s">
        <v>520</v>
      </c>
      <c r="I39" s="13">
        <v>42915.319409722222</v>
      </c>
      <c r="J39" s="7">
        <v>0</v>
      </c>
      <c r="K39" s="89" t="str">
        <f t="shared" si="0"/>
        <v>4055/4056</v>
      </c>
      <c r="L39" s="21" t="str">
        <f>VLOOKUP(A39,'Trips&amp;Operators'!$C$1:$G$99999,5,FALSE)</f>
        <v>SANTIZO D. EDY</v>
      </c>
      <c r="M39" s="6">
        <f t="shared" si="1"/>
        <v>2.7384259257814847E-2</v>
      </c>
      <c r="N39" s="7">
        <f t="shared" si="22"/>
        <v>39.43333333125338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-29T05:53:44-0600',mode:absolute,to:'2017-06-29T08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4.5999999999999999E-2</v>
      </c>
      <c r="Z39" s="197">
        <f t="shared" si="8"/>
        <v>23.330400000000001</v>
      </c>
      <c r="AA39" s="197">
        <f t="shared" si="9"/>
        <v>23.284400000000002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39" s="74" t="str">
        <f t="shared" si="12"/>
        <v>"C:\Program Files (x86)\AstroGrep\AstroGrep.exe" /e /r /s /spath="%USERPROFILE%\AppData\Local\Temp\OnboardLogs" /stypes="app*4056*20170629*"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127-29 --locoid 4056 --swversion DE.1.0.9.0 --startMP 204:460 --initTime 2017-06-29T06:53:44 --startdatetime 2017-06-29T07:00:31 --delay 1 --endMP 204:233304 --enddatetime 2017-06-29T07:39:57 --enforcementcount 0 &gt;&gt;C:\Users\stu\Documents\GitHub\eaglep3-reporting\EC\2017-06-29-refined-times.txt</v>
      </c>
      <c r="AI3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{"issue":{"subject":"","project_id":79,"tracker_id":40,"status_id":1,"priority_id":2,"assigned_to_id":23,"start_date":"2017-06-29","description":"","custom_fields":[{"id":1,"name":"Subdivision","value":"EC"},{"id":4,"name":"Milepost","value":"23.3304"},{"id":17,"name":"Train ID","value":"127-29"},{"id":16,"name":"Locomotive ID","value":"4056"},{"id":130,"name":"Impact","value":""},{"id":150,"name":"Time of Event (Mountain Time)","value":"07:39:57"},{"id":151,"name":"Denver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4056 --day 2017-06-29</v>
      </c>
      <c r="AN3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583</v>
      </c>
      <c r="B40" s="7">
        <v>4055</v>
      </c>
      <c r="C40" s="21" t="s">
        <v>201</v>
      </c>
      <c r="D40" s="21" t="s">
        <v>548</v>
      </c>
      <c r="E40" s="13">
        <v>42915.320428240739</v>
      </c>
      <c r="F40" s="13">
        <v>42915.331412037034</v>
      </c>
      <c r="G40" s="7">
        <v>0</v>
      </c>
      <c r="H40" s="21" t="s">
        <v>348</v>
      </c>
      <c r="I40" s="13">
        <v>42915.357523148145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SANTIZO D. EDY</v>
      </c>
      <c r="M40" s="6">
        <f t="shared" si="1"/>
        <v>2.6111111110367347E-2</v>
      </c>
      <c r="N40" s="7">
        <f t="shared" si="22"/>
        <v>37.599999998928979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-29T06:41:25-0600',mode:absolute,to:'2017-06-29T09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23.298100000000002</v>
      </c>
      <c r="Z40" s="197">
        <f t="shared" si="8"/>
        <v>1.43E-2</v>
      </c>
      <c r="AA40" s="197">
        <f t="shared" si="9"/>
        <v>23.283800000000003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40" s="74" t="str">
        <f t="shared" si="12"/>
        <v>"C:\Program Files (x86)\AstroGrep\AstroGrep.exe" /e /r /s /spath="%USERPROFILE%\AppData\Local\Temp\OnboardLogs" /stypes="app*4055*20170629*"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128-29 --locoid 4055 --swversion DE.1.0.9.0 --startMP 204:232981 --initTime 2017-06-29T07:41:25 --startdatetime 2017-06-29T07:57:14 --delay 0 --endMP 204:143 --enddatetime 2017-06-29T08:34:50 --enforcementcount 0 &gt;&gt;C:\Users\stu\Documents\GitHub\eaglep3-reporting\EC\2017-06-29-refined-times.txt</v>
      </c>
      <c r="AI4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ID","value":"128-29"},{"id":16,"name":"Locomotive ID","value":"4055"},{"id":130,"name":"Impact","value":""},{"id":150,"name":"Time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4055 --day 2017-06-29</v>
      </c>
      <c r="AN4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580</v>
      </c>
      <c r="B41" s="7">
        <v>4010</v>
      </c>
      <c r="C41" s="21" t="s">
        <v>201</v>
      </c>
      <c r="D41" s="21" t="s">
        <v>389</v>
      </c>
      <c r="E41" s="13">
        <v>42915.296909722223</v>
      </c>
      <c r="F41" s="13">
        <v>42915.30228009259</v>
      </c>
      <c r="G41" s="7">
        <v>1</v>
      </c>
      <c r="H41" s="21" t="s">
        <v>554</v>
      </c>
      <c r="I41" s="13">
        <v>42915.328055555554</v>
      </c>
      <c r="J41" s="7">
        <v>0</v>
      </c>
      <c r="K41" s="89" t="str">
        <f t="shared" si="0"/>
        <v>4009/4010</v>
      </c>
      <c r="L41" s="21" t="str">
        <f>VLOOKUP(A41,'Trips&amp;Operators'!$C$1:$G$99999,5,FALSE)</f>
        <v>YANAI IAN</v>
      </c>
      <c r="M41" s="6">
        <f t="shared" si="1"/>
        <v>2.5775462963792961E-2</v>
      </c>
      <c r="N41" s="7">
        <f t="shared" si="22"/>
        <v>37.116666667861864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97" t="str">
        <f>IF(AA41&lt;VLOOKUP(AG41,Variables!$AC$3:$AD$8,2,FALSE),"Y","N")</f>
        <v>N</v>
      </c>
      <c r="X41" s="197">
        <f t="shared" ref="X41:X45" si="23">VALUE(LEFT(AD41,4))-VALUE(LEFT(AD40,4))</f>
        <v>1</v>
      </c>
      <c r="Y41" s="197">
        <f t="shared" si="7"/>
        <v>4.6199999999999998E-2</v>
      </c>
      <c r="Z41" s="197">
        <f t="shared" si="8"/>
        <v>23.3276</v>
      </c>
      <c r="AA41" s="197">
        <f t="shared" si="9"/>
        <v>23.281400000000001</v>
      </c>
      <c r="AB41" s="54" t="str">
        <f>VLOOKUP(A41,Enforcements!$C$7:$K$13,8,0)</f>
        <v>Bulletin (2)</v>
      </c>
      <c r="AC41" s="51" t="str">
        <f>VLOOKUP(A41,Enforcements!$C$7:$E$13,3,0)</f>
        <v>GRADE CROSSING</v>
      </c>
      <c r="AD41" s="206">
        <f t="shared" si="10"/>
        <v>129</v>
      </c>
      <c r="AE41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41" s="74" t="str">
        <f t="shared" si="12"/>
        <v>"C:\Program Files (x86)\AstroGrep\AstroGrep.exe" /e /r /s /spath="%USERPROFILE%\AppData\Local\Temp\OnboardLogs" /stypes="app*4010*20170629*"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129-29 --locoid 4010 --swversion DE.1.0.9.0 --startMP 204:462 --initTime 2017-06-29T07:07:33 --startdatetime 2017-06-29T07:15:17 --delay 1 --endMP 204:233276 --enddatetime 2017-06-29T07:52:24 --enforcementcount 0 &gt;&gt;C:\Users\stu\Documents\GitHub\eaglep3-reporting\EC\2017-06-29-refined-times.txt</v>
      </c>
      <c r="AI4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ID","value":"129-29"},{"id":16,"name":"Locomotive ID","value":"4010"},{"id":130,"name":"Impact","value":""},{"id":150,"name":"Time of Event (Mountain Time)","value":"07:52:24"},{"id":151,"name":"Denver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4010 --day 2017-06-29</v>
      </c>
      <c r="AN4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672</v>
      </c>
      <c r="B42" s="7">
        <v>4009</v>
      </c>
      <c r="C42" s="21" t="s">
        <v>201</v>
      </c>
      <c r="D42" s="21" t="s">
        <v>480</v>
      </c>
      <c r="E42" s="13">
        <v>42915.328819444447</v>
      </c>
      <c r="F42" s="13">
        <v>42915.341817129629</v>
      </c>
      <c r="G42" s="7">
        <v>1</v>
      </c>
      <c r="H42" s="21" t="s">
        <v>555</v>
      </c>
      <c r="I42" s="13">
        <v>42915.368020833332</v>
      </c>
      <c r="J42" s="7">
        <v>0</v>
      </c>
      <c r="K42" s="89" t="str">
        <f t="shared" si="0"/>
        <v>4009/4010</v>
      </c>
      <c r="L42" s="21" t="str">
        <f>VLOOKUP(A42,'Trips&amp;Operators'!$C$1:$G$99999,5,FALSE)</f>
        <v>YANAI IAN</v>
      </c>
      <c r="M42" s="6">
        <f t="shared" si="1"/>
        <v>2.6203703702776693E-2</v>
      </c>
      <c r="N42" s="7">
        <f t="shared" si="22"/>
        <v>37.733333331998438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-29T06:53:30-0600',mode:absolute,to:'2017-06-29T09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7"/>
        <v>23.2973</v>
      </c>
      <c r="Z42" s="197">
        <f t="shared" si="8"/>
        <v>1.6500000000000001E-2</v>
      </c>
      <c r="AA42" s="197">
        <f t="shared" si="9"/>
        <v>23.280799999999999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42" s="74" t="str">
        <f t="shared" si="12"/>
        <v>"C:\Program Files (x86)\AstroGrep\AstroGrep.exe" /e /r /s /spath="%USERPROFILE%\AppData\Local\Temp\OnboardLogs" /stypes="app*4009*20170629*"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130-29 --locoid 4009 --swversion DE.1.0.9.0 --startMP 204:232973 --initTime 2017-06-29T07:53:30 --startdatetime 2017-06-29T08:12:13 --delay 1 --endMP 204:165 --enddatetime 2017-06-29T08:49:57 --enforcementcount 0 &gt;&gt;C:\Users\stu\Documents\GitHub\eaglep3-reporting\EC\2017-06-29-refined-times.txt</v>
      </c>
      <c r="AI4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{"issue":{"subject":"","project_id":79,"tracker_id":40,"status_id":1,"priority_id":2,"assigned_to_id":23,"start_date":"2017-06-29","description":"","custom_fields":[{"id":1,"name":"Subdivision","value":"EC"},{"id":4,"name":"Milepost","value":"0.0165"},{"id":17,"name":"Train ID","value":"130-29"},{"id":16,"name":"Locomotive ID","value":"4009"},{"id":130,"name":"Impact","value":""},{"id":150,"name":"Time of Event (Mountain Time)","value":"08:49:57"},{"id":151,"name":"Denver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4009 --day 2017-06-29</v>
      </c>
      <c r="AN4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4006</v>
      </c>
      <c r="C43" s="21" t="s">
        <v>201</v>
      </c>
      <c r="D43" s="21" t="s">
        <v>439</v>
      </c>
      <c r="E43" s="13">
        <v>42915.311041666668</v>
      </c>
      <c r="F43" s="13">
        <v>42915.312893518516</v>
      </c>
      <c r="G43" s="7">
        <v>1</v>
      </c>
      <c r="H43" s="21" t="s">
        <v>816</v>
      </c>
      <c r="I43" s="13">
        <v>42915.337465277778</v>
      </c>
      <c r="J43" s="7">
        <v>0</v>
      </c>
      <c r="K43" s="89" t="str">
        <f t="shared" si="0"/>
        <v>4005/4006</v>
      </c>
      <c r="L43" s="21" t="str">
        <f>VLOOKUP(A43,'Trips&amp;Operators'!$C$1:$G$99999,5,FALSE)</f>
        <v>HELVIE ADAM</v>
      </c>
      <c r="M43" s="6">
        <f t="shared" si="1"/>
        <v>2.457175926247146E-2</v>
      </c>
      <c r="N43" s="7">
        <f t="shared" si="22"/>
        <v>35.383333337958902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-29T06:27:54-0600',mode:absolute,to:'2017-06-29T09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7"/>
        <v>4.6899999999999997E-2</v>
      </c>
      <c r="Z43" s="197">
        <f t="shared" si="8"/>
        <v>23.329799999999999</v>
      </c>
      <c r="AA43" s="197">
        <f t="shared" si="9"/>
        <v>23.282899999999998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43" s="74" t="str">
        <f t="shared" si="12"/>
        <v>"C:\Program Files (x86)\AstroGrep\AstroGrep.exe" /e /r /s /spath="%USERPROFILE%\AppData\Local\Temp\OnboardLogs" /stypes="app*4006*20170629*"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131-29 --locoid 4006 --swversion DE.1.0.9.0 --startMP 204:469 --initTime 2017-06-29T07:27:54 --startdatetime 2017-06-29T07:30:34 --delay 1 --endMP 204:233298 --enddatetime 2017-06-29T08:05:57 --enforcementcount 0 &gt;&gt;C:\Users\stu\Documents\GitHub\eaglep3-reporting\EC\2017-06-29-refined-times.txt</v>
      </c>
      <c r="AI4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ID","value":"131-29"},{"id":16,"name":"Locomotive ID","value":"4006"},{"id":130,"name":"Impact","value":""},{"id":150,"name":"Time of Event (Mountain Time)","value":"08:05:57"},{"id":151,"name":"Denver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4006 --day 2017-06-29</v>
      </c>
      <c r="AN4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677</v>
      </c>
      <c r="B44" s="7">
        <v>4005</v>
      </c>
      <c r="C44" s="21" t="s">
        <v>201</v>
      </c>
      <c r="D44" s="21" t="s">
        <v>546</v>
      </c>
      <c r="E44" s="13">
        <v>42915.350358796299</v>
      </c>
      <c r="F44" s="13">
        <v>42915.352349537039</v>
      </c>
      <c r="G44" s="7">
        <v>0</v>
      </c>
      <c r="H44" s="21" t="s">
        <v>346</v>
      </c>
      <c r="I44" s="13">
        <v>42915.378275462965</v>
      </c>
      <c r="J44" s="7">
        <v>0</v>
      </c>
      <c r="K44" s="89" t="str">
        <f t="shared" si="0"/>
        <v>4005/4006</v>
      </c>
      <c r="L44" s="21" t="str">
        <f>VLOOKUP(A44,'Trips&amp;Operators'!$C$1:$G$99999,5,FALSE)</f>
        <v>HELVIE ADAM</v>
      </c>
      <c r="M44" s="6">
        <f t="shared" si="1"/>
        <v>2.5925925925548654E-2</v>
      </c>
      <c r="N44" s="7">
        <f t="shared" si="22"/>
        <v>37.333333332790062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-29T07:24:31-0600',mode:absolute,to:'2017-06-29T10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7"/>
        <v>23.297899999999998</v>
      </c>
      <c r="Z44" s="197">
        <f t="shared" si="8"/>
        <v>1.4999999999999999E-2</v>
      </c>
      <c r="AA44" s="197">
        <f t="shared" si="9"/>
        <v>23.282899999999998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44" s="74" t="str">
        <f t="shared" si="12"/>
        <v>"C:\Program Files (x86)\AstroGrep\AstroGrep.exe" /e /r /s /spath="%USERPROFILE%\AppData\Local\Temp\OnboardLogs" /stypes="app*4005*20170629*"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132-29 --locoid 4005 --swversion DE.1.0.9.0 --startMP 204:232979 --initTime 2017-06-29T08:24:31 --startdatetime 2017-06-29T08:27:23 --delay 0 --endMP 204:150 --enddatetime 2017-06-29T09:04:43 --enforcementcount 0 &gt;&gt;C:\Users\stu\Documents\GitHub\eaglep3-reporting\EC\2017-06-29-refined-times.txt</v>
      </c>
      <c r="AI4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ID","value":"132-29"},{"id":16,"name":"Locomotive ID","value":"4005"},{"id":130,"name":"Impact","value":""},{"id":150,"name":"Time of Event (Mountain Time)","value":"09:04:43"},{"id":151,"name":"Denver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4005 --day 2017-06-29</v>
      </c>
      <c r="AN4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670</v>
      </c>
      <c r="B45" s="7">
        <v>4060</v>
      </c>
      <c r="C45" s="21" t="s">
        <v>201</v>
      </c>
      <c r="D45" s="21" t="s">
        <v>353</v>
      </c>
      <c r="E45" s="13">
        <v>42915.318819444445</v>
      </c>
      <c r="F45" s="13">
        <v>42915.323101851849</v>
      </c>
      <c r="G45" s="7">
        <v>1</v>
      </c>
      <c r="H45" s="21" t="s">
        <v>830</v>
      </c>
      <c r="I45" s="13">
        <v>42915.348611111112</v>
      </c>
      <c r="J45" s="7">
        <v>0</v>
      </c>
      <c r="K45" s="89" t="str">
        <f t="shared" si="0"/>
        <v>4059/4060</v>
      </c>
      <c r="L45" s="21" t="str">
        <f>VLOOKUP(A45,'Trips&amp;Operators'!$C$1:$G$99999,5,FALSE)</f>
        <v>BONDS REYNALDO</v>
      </c>
      <c r="M45" s="6">
        <f t="shared" si="1"/>
        <v>2.5509259263344575E-2</v>
      </c>
      <c r="N45" s="7">
        <f t="shared" si="22"/>
        <v>36.733333339216188</v>
      </c>
      <c r="O45" s="7"/>
      <c r="P45" s="7"/>
      <c r="Q45" s="22"/>
      <c r="R45" s="170"/>
      <c r="S45" s="213">
        <f t="shared" ref="S45:S76" si="24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-29T06:39:06-0600',mode:absolute,to:'2017-06-29T09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7"/>
        <v>4.4699999999999997E-2</v>
      </c>
      <c r="Z45" s="197">
        <f t="shared" si="8"/>
        <v>23.329899999999999</v>
      </c>
      <c r="AA45" s="197">
        <f t="shared" si="9"/>
        <v>23.2852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45" s="74" t="str">
        <f t="shared" si="12"/>
        <v>"C:\Program Files (x86)\AstroGrep\AstroGrep.exe" /e /r /s /spath="%USERPROFILE%\AppData\Local\Temp\OnboardLogs" /stypes="app*4060*20170629*"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133-29 --locoid 4060 --swversion DE.1.0.9.0 --startMP 204:447 --initTime 2017-06-29T07:39:06 --startdatetime 2017-06-29T07:45:16 --delay 1 --endMP 204:233299 --enddatetime 2017-06-29T08:22:00 --enforcementcount 0 &gt;&gt;C:\Users\stu\Documents\GitHub\eaglep3-reporting\EC\2017-06-29-refined-times.txt</v>
      </c>
      <c r="AI4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{"issue":{"subject":"","project_id":79,"tracker_id":40,"status_id":1,"priority_id":2,"assigned_to_id":23,"start_date":"2017-06-29","description":"","custom_fields":[{"id":1,"name":"Subdivision","value":"EC"},{"id":4,"name":"Milepost","value":"23.3299"},{"id":17,"name":"Train ID","value":"133-29"},{"id":16,"name":"Locomotive ID","value":"4060"},{"id":130,"name":"Impact","value":""},{"id":150,"name":"Time of Event (Mountain Time)","value":"08:22:00"},{"id":151,"name":"Denver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4060 --day 2017-06-29</v>
      </c>
      <c r="AN4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584</v>
      </c>
      <c r="B46" s="7">
        <v>4059</v>
      </c>
      <c r="C46" s="21" t="s">
        <v>201</v>
      </c>
      <c r="D46" s="21" t="s">
        <v>497</v>
      </c>
      <c r="E46" s="13">
        <v>42915.360439814816</v>
      </c>
      <c r="F46" s="13">
        <v>42915.362673611111</v>
      </c>
      <c r="G46" s="7">
        <v>2</v>
      </c>
      <c r="H46" s="21" t="s">
        <v>831</v>
      </c>
      <c r="I46" s="13">
        <v>42915.38962962963</v>
      </c>
      <c r="J46" s="7">
        <v>0</v>
      </c>
      <c r="K46" s="89" t="str">
        <f t="shared" si="0"/>
        <v>4059/4060</v>
      </c>
      <c r="L46" s="21" t="str">
        <f>VLOOKUP(A46,'Trips&amp;Operators'!$C$1:$G$99999,5,FALSE)</f>
        <v>BONDS REYNALDO</v>
      </c>
      <c r="M46" s="6">
        <f t="shared" si="1"/>
        <v>2.6956018518831115E-2</v>
      </c>
      <c r="N46" s="7">
        <f t="shared" si="22"/>
        <v>38.816666667116806</v>
      </c>
      <c r="O46" s="7"/>
      <c r="P46" s="7"/>
      <c r="Q46" s="22"/>
      <c r="R46" s="170"/>
      <c r="S46" s="213">
        <f t="shared" si="24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-29T07:39:02-0600',mode:absolute,to:'2017-06-29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197" t="str">
        <f>IF(AA46&lt;VLOOKUP(AG46,Variables!$AC$3:$AD$8,2,FALSE),"Y","N")</f>
        <v>N</v>
      </c>
      <c r="X46" s="197">
        <f t="shared" ref="X46:X69" si="25">VALUE(LEFT(AD46,4))-VALUE(LEFT(AD45,4))</f>
        <v>1</v>
      </c>
      <c r="Y46" s="197">
        <f t="shared" si="7"/>
        <v>23.297999999999998</v>
      </c>
      <c r="Z46" s="197">
        <f t="shared" si="8"/>
        <v>1.78E-2</v>
      </c>
      <c r="AA46" s="197">
        <f t="shared" si="9"/>
        <v>23.280199999999997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46" s="74" t="str">
        <f t="shared" si="12"/>
        <v>"C:\Program Files (x86)\AstroGrep\AstroGrep.exe" /e /r /s /spath="%USERPROFILE%\AppData\Local\Temp\OnboardLogs" /stypes="app*4059*20170629*"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134-29 --locoid 4059 --swversion DE.1.0.9.0 --startMP 204:232980 --initTime 2017-06-29T08:39:02 --startdatetime 2017-06-29T08:42:15 --delay 2 --endMP 204:178 --enddatetime 2017-06-29T09:21:04 --enforcementcount 0 &gt;&gt;C:\Users\stu\Documents\GitHub\eaglep3-reporting\EC\2017-06-29-refined-times.txt</v>
      </c>
      <c r="AI4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{"issue":{"subject":"","project_id":79,"tracker_id":40,"status_id":1,"priority_id":2,"assigned_to_id":23,"start_date":"2017-06-29","description":"","custom_fields":[{"id":1,"name":"Subdivision","value":"EC"},{"id":4,"name":"Milepost","value":"0.0178"},{"id":17,"name":"Train ID","value":"134-29"},{"id":16,"name":"Locomotive ID","value":"4059"},{"id":130,"name":"Impact","value":""},{"id":150,"name":"Time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4059 --day 2017-06-29</v>
      </c>
      <c r="AN4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673</v>
      </c>
      <c r="B47" s="7">
        <v>4062</v>
      </c>
      <c r="C47" s="21" t="s">
        <v>201</v>
      </c>
      <c r="D47" s="21" t="s">
        <v>197</v>
      </c>
      <c r="E47" s="13">
        <v>42915.329386574071</v>
      </c>
      <c r="F47" s="13">
        <v>42915.333668981482</v>
      </c>
      <c r="G47" s="7">
        <v>1</v>
      </c>
      <c r="H47" s="21" t="s">
        <v>832</v>
      </c>
      <c r="I47" s="13">
        <v>42915.358460648145</v>
      </c>
      <c r="J47" s="7">
        <v>0</v>
      </c>
      <c r="K47" s="89" t="str">
        <f t="shared" si="0"/>
        <v>4061/4062</v>
      </c>
      <c r="L47" s="21" t="str">
        <f>VLOOKUP(A47,'Trips&amp;Operators'!$C$1:$G$99999,5,FALSE)</f>
        <v>GEBRETEKLE DAGNEW</v>
      </c>
      <c r="M47" s="6">
        <f t="shared" si="1"/>
        <v>2.4791666663077194E-2</v>
      </c>
      <c r="N47" s="7">
        <f t="shared" si="22"/>
        <v>35.69999999483116</v>
      </c>
      <c r="O47" s="7"/>
      <c r="P47" s="7"/>
      <c r="Q47" s="22"/>
      <c r="R47" s="170"/>
      <c r="S47" s="213">
        <f t="shared" si="24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-29T06:54:19-0600',mode:absolute,to:'2017-06-29T09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7" s="197" t="str">
        <f>IF(AA47&lt;VLOOKUP(AG47,Variables!$AC$3:$AD$8,2,FALSE),"Y","N")</f>
        <v>N</v>
      </c>
      <c r="X47" s="197">
        <f t="shared" si="25"/>
        <v>1</v>
      </c>
      <c r="Y47" s="197">
        <f t="shared" si="7"/>
        <v>4.5699999999999998E-2</v>
      </c>
      <c r="Z47" s="197">
        <f t="shared" si="8"/>
        <v>23.334599999999998</v>
      </c>
      <c r="AA47" s="197">
        <f t="shared" si="9"/>
        <v>23.288899999999998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47" s="74" t="str">
        <f t="shared" si="12"/>
        <v>"C:\Program Files (x86)\AstroGrep\AstroGrep.exe" /e /r /s /spath="%USERPROFILE%\AppData\Local\Temp\OnboardLogs" /stypes="app*4062*20170629*"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135-29 --locoid 4062 --swversion DE.1.0.9.0 --startMP 204:457 --initTime 2017-06-29T07:54:19 --startdatetime 2017-06-29T08:00:29 --delay 1 --endMP 204:233346 --enddatetime 2017-06-29T08:36:11 --enforcementcount 0 &gt;&gt;C:\Users\stu\Documents\GitHub\eaglep3-reporting\EC\2017-06-29-refined-times.txt</v>
      </c>
      <c r="AI4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{"issue":{"subject":"","project_id":79,"tracker_id":40,"status_id":1,"priority_id":2,"assigned_to_id":23,"start_date":"2017-06-29","description":"","custom_fields":[{"id":1,"name":"Subdivision","value":"EC"},{"id":4,"name":"Milepost","value":"23.3346"},{"id":17,"name":"Train ID","value":"135-29"},{"id":16,"name":"Locomotive ID","value":"4062"},{"id":130,"name":"Impact","value":""},{"id":150,"name":"Time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4062 --day 2017-06-29</v>
      </c>
      <c r="AN4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684</v>
      </c>
      <c r="B48" s="7">
        <v>4061</v>
      </c>
      <c r="C48" s="21" t="s">
        <v>201</v>
      </c>
      <c r="D48" s="21" t="s">
        <v>833</v>
      </c>
      <c r="E48" s="13">
        <v>42915.359814814816</v>
      </c>
      <c r="F48" s="13">
        <v>42915.373159722221</v>
      </c>
      <c r="G48" s="7">
        <v>0</v>
      </c>
      <c r="H48" s="21" t="s">
        <v>553</v>
      </c>
      <c r="I48" s="13">
        <v>42915.401307870372</v>
      </c>
      <c r="J48" s="7">
        <v>0</v>
      </c>
      <c r="K48" s="89" t="str">
        <f t="shared" si="0"/>
        <v>4061/4062</v>
      </c>
      <c r="L48" s="21" t="str">
        <f>VLOOKUP(A48,'Trips&amp;Operators'!$C$1:$G$99999,5,FALSE)</f>
        <v>GEBRETEKLE DAGNEW</v>
      </c>
      <c r="M48" s="6">
        <f t="shared" si="1"/>
        <v>2.8148148150648922E-2</v>
      </c>
      <c r="N48" s="7">
        <f t="shared" si="22"/>
        <v>40.533333336934447</v>
      </c>
      <c r="O48" s="7"/>
      <c r="P48" s="7"/>
      <c r="Q48" s="22"/>
      <c r="R48" s="170"/>
      <c r="S48" s="213">
        <f t="shared" si="24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-29T07:38:08-0600',mode:absolute,to:'2017-06-29T10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8" s="197" t="str">
        <f>IF(AA48&lt;VLOOKUP(AG48,Variables!$AC$3:$AD$8,2,FALSE),"Y","N")</f>
        <v>N</v>
      </c>
      <c r="X48" s="197">
        <f t="shared" si="25"/>
        <v>1</v>
      </c>
      <c r="Y48" s="197">
        <f t="shared" si="7"/>
        <v>23.3019</v>
      </c>
      <c r="Z48" s="197">
        <f t="shared" si="8"/>
        <v>1.6E-2</v>
      </c>
      <c r="AA48" s="197">
        <f t="shared" si="9"/>
        <v>23.285900000000002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48" s="74" t="str">
        <f t="shared" si="12"/>
        <v>"C:\Program Files (x86)\AstroGrep\AstroGrep.exe" /e /r /s /spath="%USERPROFILE%\AppData\Local\Temp\OnboardLogs" /stypes="app*4061*20170629*"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136-29 --locoid 4061 --swversion DE.1.0.9.0 --startMP 204:233019 --initTime 2017-06-29T08:38:08 --startdatetime 2017-06-29T08:57:21 --delay 0 --endMP 204:160 --enddatetime 2017-06-29T09:37:53 --enforcementcount 0 &gt;&gt;C:\Users\stu\Documents\GitHub\eaglep3-reporting\EC\2017-06-29-refined-times.txt</v>
      </c>
      <c r="AI4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ID","value":"136-29"},{"id":16,"name":"Locomotive ID","value":"4061"},{"id":130,"name":"Impact","value":""},{"id":150,"name":"Time of Event (Mountain Time)","value":"09:37:53"},{"id":151,"name":"Denver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4061 --day 2017-06-29</v>
      </c>
      <c r="AN4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676</v>
      </c>
      <c r="B49" s="7">
        <v>4028</v>
      </c>
      <c r="C49" s="21" t="s">
        <v>201</v>
      </c>
      <c r="D49" s="21" t="s">
        <v>517</v>
      </c>
      <c r="E49" s="13">
        <v>42915.340162037035</v>
      </c>
      <c r="F49" s="13">
        <v>42915.343981481485</v>
      </c>
      <c r="G49" s="7">
        <v>1</v>
      </c>
      <c r="H49" s="21" t="s">
        <v>466</v>
      </c>
      <c r="I49" s="13">
        <v>42915.368692129632</v>
      </c>
      <c r="J49" s="7">
        <v>0</v>
      </c>
      <c r="K49" s="89" t="str">
        <f t="shared" si="0"/>
        <v>4027/4028</v>
      </c>
      <c r="L49" s="21" t="str">
        <f>VLOOKUP(A49,'Trips&amp;Operators'!$C$1:$G$99999,5,FALSE)</f>
        <v>GUZMAN DANNY</v>
      </c>
      <c r="M49" s="6">
        <f t="shared" si="1"/>
        <v>2.47106481474475E-2</v>
      </c>
      <c r="N49" s="7">
        <f t="shared" si="22"/>
        <v>35.583333332324401</v>
      </c>
      <c r="O49" s="7"/>
      <c r="P49" s="7"/>
      <c r="Q49" s="22"/>
      <c r="R49" s="170"/>
      <c r="S49" s="213">
        <f t="shared" si="24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-29T07:09:50-0600',mode:absolute,to:'2017-06-29T09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197" t="str">
        <f>IF(AA49&lt;VLOOKUP(AG49,Variables!$AC$3:$AD$8,2,FALSE),"Y","N")</f>
        <v>N</v>
      </c>
      <c r="X49" s="197">
        <f t="shared" si="25"/>
        <v>1</v>
      </c>
      <c r="Y49" s="197">
        <f t="shared" si="7"/>
        <v>4.3499999999999997E-2</v>
      </c>
      <c r="Z49" s="197">
        <f t="shared" si="8"/>
        <v>23.330500000000001</v>
      </c>
      <c r="AA49" s="197">
        <f t="shared" si="9"/>
        <v>23.286999999999999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49" s="74" t="str">
        <f t="shared" si="12"/>
        <v>"C:\Program Files (x86)\AstroGrep\AstroGrep.exe" /e /r /s /spath="%USERPROFILE%\AppData\Local\Temp\OnboardLogs" /stypes="app*4028*20170629*"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137-29 --locoid 4028 --swversion DE.1.0.9.0 --startMP 204:435 --initTime 2017-06-29T08:09:50 --startdatetime 2017-06-29T08:15:20 --delay 1 --endMP 204:233305 --enddatetime 2017-06-29T08:50:55 --enforcementcount 0 &gt;&gt;C:\Users\stu\Documents\GitHub\eaglep3-reporting\EC\2017-06-29-refined-times.txt</v>
      </c>
      <c r="AI4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{"issue":{"subject":"","project_id":79,"tracker_id":40,"status_id":1,"priority_id":2,"assigned_to_id":23,"start_date":"2017-06-29","description":"","custom_fields":[{"id":1,"name":"Subdivision","value":"EC"},{"id":4,"name":"Milepost","value":"23.3305"},{"id":17,"name":"Train ID","value":"137-29"},{"id":16,"name":"Locomotive ID","value":"4028"},{"id":130,"name":"Impact","value":""},{"id":150,"name":"Time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4028 --day 2017-06-29</v>
      </c>
      <c r="AN4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686</v>
      </c>
      <c r="B50" s="7">
        <v>4027</v>
      </c>
      <c r="C50" s="21" t="s">
        <v>201</v>
      </c>
      <c r="D50" s="21" t="s">
        <v>834</v>
      </c>
      <c r="E50" s="13">
        <v>42915.371759259258</v>
      </c>
      <c r="F50" s="13">
        <v>42915.383506944447</v>
      </c>
      <c r="G50" s="7">
        <v>1</v>
      </c>
      <c r="H50" s="21" t="s">
        <v>553</v>
      </c>
      <c r="I50" s="13">
        <v>42915.410462962966</v>
      </c>
      <c r="J50" s="7">
        <v>0</v>
      </c>
      <c r="K50" s="89" t="str">
        <f t="shared" si="0"/>
        <v>4027/4028</v>
      </c>
      <c r="L50" s="21" t="str">
        <f>VLOOKUP(A50,'Trips&amp;Operators'!$C$1:$G$99999,5,FALSE)</f>
        <v>GUZMAN DANNY</v>
      </c>
      <c r="M50" s="6">
        <f t="shared" si="1"/>
        <v>2.6956018518831115E-2</v>
      </c>
      <c r="N50" s="7">
        <f t="shared" si="22"/>
        <v>38.816666667116806</v>
      </c>
      <c r="O50" s="7"/>
      <c r="P50" s="7"/>
      <c r="Q50" s="22"/>
      <c r="R50" s="170"/>
      <c r="S50" s="213">
        <f t="shared" si="24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-29T07:55:20-0600',mode:absolute,to:'2017-06-29T10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197" t="str">
        <f>IF(AA50&lt;VLOOKUP(AG50,Variables!$AC$3:$AD$8,2,FALSE),"Y","N")</f>
        <v>N</v>
      </c>
      <c r="X50" s="197">
        <f t="shared" si="25"/>
        <v>1</v>
      </c>
      <c r="Y50" s="197">
        <f t="shared" si="7"/>
        <v>23.2988</v>
      </c>
      <c r="Z50" s="197">
        <f t="shared" si="8"/>
        <v>1.6E-2</v>
      </c>
      <c r="AA50" s="197">
        <f t="shared" si="9"/>
        <v>23.282800000000002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50" s="74" t="str">
        <f t="shared" si="12"/>
        <v>"C:\Program Files (x86)\AstroGrep\AstroGrep.exe" /e /r /s /spath="%USERPROFILE%\AppData\Local\Temp\OnboardLogs" /stypes="app*4027*20170629*"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138-29 --locoid 4027 --swversion DE.1.0.9.0 --startMP 204:232988 --initTime 2017-06-29T08:55:20 --startdatetime 2017-06-29T09:12:15 --delay 1 --endMP 204:160 --enddatetime 2017-06-29T09:51:04 --enforcementcount 0 &gt;&gt;C:\Users\stu\Documents\GitHub\eaglep3-reporting\EC\2017-06-29-refined-times.txt</v>
      </c>
      <c r="AI5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ID","value":"138-29"},{"id":16,"name":"Locomotive ID","value":"4027"},{"id":130,"name":"Impact","value":""},{"id":150,"name":"Time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4027 --day 2017-06-29</v>
      </c>
      <c r="AN5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678</v>
      </c>
      <c r="B51" s="7">
        <v>4050</v>
      </c>
      <c r="C51" s="21" t="s">
        <v>201</v>
      </c>
      <c r="D51" s="21" t="s">
        <v>476</v>
      </c>
      <c r="E51" s="13">
        <v>42915.350798611114</v>
      </c>
      <c r="F51" s="13">
        <v>42915.354594907411</v>
      </c>
      <c r="G51" s="7">
        <v>1</v>
      </c>
      <c r="H51" s="21" t="s">
        <v>822</v>
      </c>
      <c r="I51" s="13">
        <v>42915.379687499997</v>
      </c>
      <c r="J51" s="7">
        <v>0</v>
      </c>
      <c r="K51" s="89" t="str">
        <f t="shared" si="0"/>
        <v>4049/4050</v>
      </c>
      <c r="L51" s="21" t="str">
        <f>VLOOKUP(A51,'Trips&amp;Operators'!$C$1:$G$99999,5,FALSE)</f>
        <v>STARKS ANGELINA</v>
      </c>
      <c r="M51" s="6">
        <f t="shared" si="1"/>
        <v>2.509259258658858E-2</v>
      </c>
      <c r="N51" s="7">
        <f t="shared" si="22"/>
        <v>36.133333324687555</v>
      </c>
      <c r="O51" s="7"/>
      <c r="P51" s="7"/>
      <c r="Q51" s="22"/>
      <c r="R51" s="170"/>
      <c r="S51" s="213">
        <f t="shared" si="24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-29T07:25:09-0600',mode:absolute,to:'2017-06-29T10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197" t="str">
        <f>IF(AA51&lt;VLOOKUP(AG51,Variables!$AC$3:$AD$8,2,FALSE),"Y","N")</f>
        <v>N</v>
      </c>
      <c r="X51" s="197">
        <f t="shared" si="25"/>
        <v>1</v>
      </c>
      <c r="Y51" s="197">
        <f t="shared" si="7"/>
        <v>4.3999999999999997E-2</v>
      </c>
      <c r="Z51" s="197">
        <f t="shared" si="8"/>
        <v>23.330200000000001</v>
      </c>
      <c r="AA51" s="197">
        <f t="shared" si="9"/>
        <v>23.286200000000001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51" s="74" t="str">
        <f t="shared" si="12"/>
        <v>"C:\Program Files (x86)\AstroGrep\AstroGrep.exe" /e /r /s /spath="%USERPROFILE%\AppData\Local\Temp\OnboardLogs" /stypes="app*4050*20170629*"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139-29 --locoid 4050 --swversion DE.1.0.9.0 --startMP 204:440 --initTime 2017-06-29T08:25:09 --startdatetime 2017-06-29T08:30:37 --delay 1 --endMP 204:233302 --enddatetime 2017-06-29T09:06:45 --enforcementcount 0 &gt;&gt;C:\Users\stu\Documents\GitHub\eaglep3-reporting\EC\2017-06-29-refined-times.txt</v>
      </c>
      <c r="AI5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{"issue":{"subject":"","project_id":79,"tracker_id":40,"status_id":1,"priority_id":2,"assigned_to_id":23,"start_date":"2017-06-29","description":"","custom_fields":[{"id":1,"name":"Subdivision","value":"EC"},{"id":4,"name":"Milepost","value":"23.3302"},{"id":17,"name":"Train ID","value":"139-29"},{"id":16,"name":"Locomotive ID","value":"4050"},{"id":130,"name":"Impact","value":""},{"id":150,"name":"Time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2017-06-29</v>
      </c>
      <c r="AN5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692</v>
      </c>
      <c r="B52" s="7">
        <v>4049</v>
      </c>
      <c r="C52" s="21" t="s">
        <v>201</v>
      </c>
      <c r="D52" s="21" t="s">
        <v>546</v>
      </c>
      <c r="E52" s="13">
        <v>42915.392835648148</v>
      </c>
      <c r="F52" s="13">
        <v>42915.394178240742</v>
      </c>
      <c r="G52" s="7">
        <v>1</v>
      </c>
      <c r="H52" s="21" t="s">
        <v>357</v>
      </c>
      <c r="I52" s="13">
        <v>42915.421678240738</v>
      </c>
      <c r="J52" s="7">
        <v>0</v>
      </c>
      <c r="K52" s="89" t="str">
        <f t="shared" si="0"/>
        <v>4049/4050</v>
      </c>
      <c r="L52" s="21" t="str">
        <f>VLOOKUP(A52,'Trips&amp;Operators'!$C$1:$G$99999,5,FALSE)</f>
        <v>STARKS ANGELINA</v>
      </c>
      <c r="M52" s="6">
        <f t="shared" si="1"/>
        <v>2.749999999650754E-2</v>
      </c>
      <c r="N52" s="7">
        <f t="shared" si="22"/>
        <v>39.599999994970858</v>
      </c>
      <c r="O52" s="7"/>
      <c r="P52" s="7"/>
      <c r="Q52" s="22"/>
      <c r="R52" s="170"/>
      <c r="S52" s="213">
        <f t="shared" si="24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-29T08:25:41-0600',mode:absolute,to:'2017-06-29T11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197" t="str">
        <f>IF(AA52&lt;VLOOKUP(AG52,Variables!$AC$3:$AD$8,2,FALSE),"Y","N")</f>
        <v>N</v>
      </c>
      <c r="X52" s="197">
        <f t="shared" si="25"/>
        <v>1</v>
      </c>
      <c r="Y52" s="197">
        <f t="shared" si="7"/>
        <v>23.297899999999998</v>
      </c>
      <c r="Z52" s="197">
        <f t="shared" si="8"/>
        <v>1.47E-2</v>
      </c>
      <c r="AA52" s="197">
        <f t="shared" si="9"/>
        <v>23.283199999999997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52" s="74" t="str">
        <f t="shared" si="12"/>
        <v>"C:\Program Files (x86)\AstroGrep\AstroGrep.exe" /e /r /s /spath="%USERPROFILE%\AppData\Local\Temp\OnboardLogs" /stypes="app*4049*20170629*"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140-29 --locoid 4049 --swversion DE.1.0.9.0 --startMP 204:232979 --initTime 2017-06-29T09:25:41 --startdatetime 2017-06-29T09:27:37 --delay 1 --endMP 204:147 --enddatetime 2017-06-29T10:07:13 --enforcementcount 0 &gt;&gt;C:\Users\stu\Documents\GitHub\eaglep3-reporting\EC\2017-06-29-refined-times.txt</v>
      </c>
      <c r="AI5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ID","value":"140-29"},{"id":16,"name":"Locomotive ID","value":"4049"},{"id":130,"name":"Impact","value":""},{"id":150,"name":"Time of Event (Mountain Time)","value":"10:07:13"},{"id":151,"name":"Denver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2017-06-29</v>
      </c>
      <c r="AN5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683</v>
      </c>
      <c r="B53" s="7">
        <v>4056</v>
      </c>
      <c r="C53" s="21" t="s">
        <v>201</v>
      </c>
      <c r="D53" s="21" t="s">
        <v>353</v>
      </c>
      <c r="E53" s="13">
        <v>42915.358437499999</v>
      </c>
      <c r="F53" s="13">
        <v>42915.36482638889</v>
      </c>
      <c r="G53" s="7">
        <v>1</v>
      </c>
      <c r="H53" s="21" t="s">
        <v>483</v>
      </c>
      <c r="I53" s="13">
        <v>42915.389340277776</v>
      </c>
      <c r="J53" s="7">
        <v>0</v>
      </c>
      <c r="K53" s="89" t="str">
        <f t="shared" si="0"/>
        <v>4055/4056</v>
      </c>
      <c r="L53" s="21" t="str">
        <f>VLOOKUP(A53,'Trips&amp;Operators'!$C$1:$G$99999,5,FALSE)</f>
        <v>SANTIZO D. EDY</v>
      </c>
      <c r="M53" s="6">
        <f t="shared" si="1"/>
        <v>2.4513888885849155E-2</v>
      </c>
      <c r="N53" s="7">
        <f t="shared" si="22"/>
        <v>35.299999995622784</v>
      </c>
      <c r="O53" s="7"/>
      <c r="P53" s="7"/>
      <c r="Q53" s="22"/>
      <c r="R53" s="170"/>
      <c r="S53" s="213">
        <f t="shared" si="24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-29T07:36:09-0600',mode:absolute,to:'2017-06-29T10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197" t="str">
        <f>IF(AA53&lt;VLOOKUP(AG53,Variables!$AC$3:$AD$8,2,FALSE),"Y","N")</f>
        <v>N</v>
      </c>
      <c r="X53" s="197">
        <f t="shared" si="25"/>
        <v>1</v>
      </c>
      <c r="Y53" s="197">
        <f t="shared" si="7"/>
        <v>4.4699999999999997E-2</v>
      </c>
      <c r="Z53" s="197">
        <f t="shared" si="8"/>
        <v>23.3293</v>
      </c>
      <c r="AA53" s="197">
        <f t="shared" si="9"/>
        <v>23.284600000000001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53" s="74" t="str">
        <f t="shared" si="12"/>
        <v>"C:\Program Files (x86)\AstroGrep\AstroGrep.exe" /e /r /s /spath="%USERPROFILE%\AppData\Local\Temp\OnboardLogs" /stypes="app*4056*20170629*"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141-29 --locoid 4056 --swversion DE.1.0.9.0 --startMP 204:447 --initTime 2017-06-29T08:36:09 --startdatetime 2017-06-29T08:45:21 --delay 1 --endMP 204:233293 --enddatetime 2017-06-29T09:20:39 --enforcementcount 0 &gt;&gt;C:\Users\stu\Documents\GitHub\eaglep3-reporting\EC\2017-06-29-refined-times.txt</v>
      </c>
      <c r="AI5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{"issue":{"subject":"","project_id":79,"tracker_id":40,"status_id":1,"priority_id":2,"assigned_to_id":23,"start_date":"2017-06-29","description":"","custom_fields":[{"id":1,"name":"Subdivision","value":"EC"},{"id":4,"name":"Milepost","value":"23.3293"},{"id":17,"name":"Train ID","value":"141-29"},{"id":16,"name":"Locomotive ID","value":"4056"},{"id":130,"name":"Impact","value":""},{"id":150,"name":"Time of Event (Mountain Time)","value":"09:20:39"},{"id":151,"name":"Denver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4056 --day 2017-06-29</v>
      </c>
      <c r="AN5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690</v>
      </c>
      <c r="B54" s="7">
        <v>4055</v>
      </c>
      <c r="C54" s="21" t="s">
        <v>201</v>
      </c>
      <c r="D54" s="21" t="s">
        <v>835</v>
      </c>
      <c r="E54" s="13">
        <v>42915.3903125</v>
      </c>
      <c r="F54" s="13">
        <v>42915.404351851852</v>
      </c>
      <c r="G54" s="7">
        <v>1</v>
      </c>
      <c r="H54" s="21" t="s">
        <v>465</v>
      </c>
      <c r="I54" s="13">
        <v>42915.430150462962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SANTIZO D. EDY</v>
      </c>
      <c r="M54" s="6">
        <f t="shared" si="1"/>
        <v>2.5798611110076308E-2</v>
      </c>
      <c r="N54" s="7">
        <f t="shared" si="22"/>
        <v>37.149999998509884</v>
      </c>
      <c r="O54" s="7"/>
      <c r="P54" s="7"/>
      <c r="Q54" s="22"/>
      <c r="R54" s="170"/>
      <c r="S54" s="213">
        <f t="shared" si="24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-29T08:22:03-0600',mode:absolute,to:'2017-06-29T11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197" t="str">
        <f>IF(AA54&lt;VLOOKUP(AG54,Variables!$AC$3:$AD$8,2,FALSE),"Y","N")</f>
        <v>N</v>
      </c>
      <c r="X54" s="197">
        <f t="shared" si="25"/>
        <v>1</v>
      </c>
      <c r="Y54" s="197">
        <f t="shared" si="7"/>
        <v>23.296500000000002</v>
      </c>
      <c r="Z54" s="197">
        <f t="shared" si="8"/>
        <v>1.61E-2</v>
      </c>
      <c r="AA54" s="197">
        <f t="shared" si="9"/>
        <v>23.2804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54" s="74" t="str">
        <f t="shared" si="12"/>
        <v>"C:\Program Files (x86)\AstroGrep\AstroGrep.exe" /e /r /s /spath="%USERPROFILE%\AppData\Local\Temp\OnboardLogs" /stypes="app*4055*20170629*"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142-29 --locoid 4055 --swversion DE.1.0.9.0 --startMP 204:232965 --initTime 2017-06-29T09:22:03 --startdatetime 2017-06-29T09:42:16 --delay 1 --endMP 204:161 --enddatetime 2017-06-29T10:19:25 --enforcementcount 0 &gt;&gt;C:\Users\stu\Documents\GitHub\eaglep3-reporting\EC\2017-06-29-refined-times.txt</v>
      </c>
      <c r="AI5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{"issue":{"subject":"","project_id":79,"tracker_id":40,"status_id":1,"priority_id":2,"assigned_to_id":23,"start_date":"2017-06-29","description":"","custom_fields":[{"id":1,"name":"Subdivision","value":"EC"},{"id":4,"name":"Milepost","value":"0.0161"},{"id":17,"name":"Train ID","value":"142-29"},{"id":16,"name":"Locomotive ID","value":"4055"},{"id":130,"name":"Impact","value":""},{"id":150,"name":"Time of Event (Mountain Time)","value":"10:19:25"},{"id":151,"name":"Denver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4055 --day 2017-06-29</v>
      </c>
      <c r="AN5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585</v>
      </c>
      <c r="B55" s="7">
        <v>4010</v>
      </c>
      <c r="C55" s="21" t="s">
        <v>201</v>
      </c>
      <c r="D55" s="21" t="s">
        <v>551</v>
      </c>
      <c r="E55" s="13">
        <v>42915.368900462963</v>
      </c>
      <c r="F55" s="13">
        <v>42915.375185185185</v>
      </c>
      <c r="G55" s="7">
        <v>1</v>
      </c>
      <c r="H55" s="21" t="s">
        <v>515</v>
      </c>
      <c r="I55" s="13">
        <v>42915.401817129627</v>
      </c>
      <c r="J55" s="7">
        <v>0</v>
      </c>
      <c r="K55" s="89" t="str">
        <f t="shared" si="0"/>
        <v>4009/4010</v>
      </c>
      <c r="L55" s="21" t="str">
        <f>VLOOKUP(A55,'Trips&amp;Operators'!$C$1:$G$99999,5,FALSE)</f>
        <v>YANAI IAN</v>
      </c>
      <c r="M55" s="6">
        <f t="shared" si="1"/>
        <v>2.6631944441760425E-2</v>
      </c>
      <c r="N55" s="7">
        <f t="shared" si="22"/>
        <v>38.349999996135011</v>
      </c>
      <c r="O55" s="7"/>
      <c r="P55" s="7"/>
      <c r="Q55" s="22"/>
      <c r="R55" s="170"/>
      <c r="S55" s="213">
        <f t="shared" si="24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-29T07:51:13-0600',mode:absolute,to:'2017-06-29T10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7" t="str">
        <f>IF(AA55&lt;VLOOKUP(AG55,Variables!$AC$3:$AD$8,2,FALSE),"Y","N")</f>
        <v>N</v>
      </c>
      <c r="X55" s="197">
        <f t="shared" si="25"/>
        <v>1</v>
      </c>
      <c r="Y55" s="197">
        <f t="shared" si="7"/>
        <v>4.7800000000000002E-2</v>
      </c>
      <c r="Z55" s="197">
        <f t="shared" si="8"/>
        <v>23.329699999999999</v>
      </c>
      <c r="AA55" s="197">
        <f t="shared" si="9"/>
        <v>23.2819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55" s="74" t="str">
        <f t="shared" si="12"/>
        <v>"C:\Program Files (x86)\AstroGrep\AstroGrep.exe" /e /r /s /spath="%USERPROFILE%\AppData\Local\Temp\OnboardLogs" /stypes="app*4010*20170629*"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143-29 --locoid 4010 --swversion DE.1.0.9.0 --startMP 204:478 --initTime 2017-06-29T08:51:13 --startdatetime 2017-06-29T09:00:16 --delay 1 --endMP 204:233297 --enddatetime 2017-06-29T09:38:37 --enforcementcount 0 &gt;&gt;C:\Users\stu\Documents\GitHub\eaglep3-reporting\EC\2017-06-29-refined-times.txt</v>
      </c>
      <c r="AI5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ID","value":"143-29"},{"id":16,"name":"Locomotive ID","value":"4010"},{"id":130,"name":"Impact","value":""},{"id":150,"name":"Time of Event (Mountain Time)","value":"09:38:37"},{"id":151,"name":"Denver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4010 --day 2017-06-29</v>
      </c>
      <c r="AN5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695</v>
      </c>
      <c r="B56" s="7">
        <v>4009</v>
      </c>
      <c r="C56" s="21" t="s">
        <v>201</v>
      </c>
      <c r="D56" s="21" t="s">
        <v>516</v>
      </c>
      <c r="E56" s="13">
        <v>42915.403703703705</v>
      </c>
      <c r="F56" s="13">
        <v>42915.414826388886</v>
      </c>
      <c r="G56" s="7">
        <v>1</v>
      </c>
      <c r="H56" s="21" t="s">
        <v>445</v>
      </c>
      <c r="I56" s="13">
        <v>42915.441018518519</v>
      </c>
      <c r="J56" s="7">
        <v>0</v>
      </c>
      <c r="K56" s="89" t="str">
        <f t="shared" si="0"/>
        <v>4009/4010</v>
      </c>
      <c r="L56" s="21" t="str">
        <f>VLOOKUP(A56,'Trips&amp;Operators'!$C$1:$G$99999,5,FALSE)</f>
        <v>YANAI IAN</v>
      </c>
      <c r="M56" s="6">
        <f t="shared" si="1"/>
        <v>2.6192129633272998E-2</v>
      </c>
      <c r="N56" s="7">
        <f t="shared" si="22"/>
        <v>37.716666671913117</v>
      </c>
      <c r="O56" s="7"/>
      <c r="P56" s="7"/>
      <c r="Q56" s="22"/>
      <c r="R56" s="170"/>
      <c r="S56" s="213">
        <f t="shared" si="24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-29T08:41:20-0600',mode:absolute,to:'2017-06-29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7" t="str">
        <f>IF(AA56&lt;VLOOKUP(AG56,Variables!$AC$3:$AD$8,2,FALSE),"Y","N")</f>
        <v>N</v>
      </c>
      <c r="X56" s="197">
        <f t="shared" si="25"/>
        <v>1</v>
      </c>
      <c r="Y56" s="197">
        <f t="shared" si="7"/>
        <v>23.297599999999999</v>
      </c>
      <c r="Z56" s="197">
        <f t="shared" si="8"/>
        <v>1.38E-2</v>
      </c>
      <c r="AA56" s="197">
        <f t="shared" si="9"/>
        <v>23.283799999999999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56" s="74" t="str">
        <f t="shared" si="12"/>
        <v>"C:\Program Files (x86)\AstroGrep\AstroGrep.exe" /e /r /s /spath="%USERPROFILE%\AppData\Local\Temp\OnboardLogs" /stypes="app*4009*20170629*"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144-29 --locoid 4009 --swversion DE.1.0.9.0 --startMP 204:232976 --initTime 2017-06-29T09:41:20 --startdatetime 2017-06-29T09:57:21 --delay 1 --endMP 204:138 --enddatetime 2017-06-29T10:35:04 --enforcementcount 0 &gt;&gt;C:\Users\stu\Documents\GitHub\eaglep3-reporting\EC\2017-06-29-refined-times.txt</v>
      </c>
      <c r="AI5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ID","value":"144-29"},{"id":16,"name":"Locomotive ID","value":"4009"},{"id":130,"name":"Impact","value":""},{"id":150,"name":"Time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4009 --day 2017-06-29</v>
      </c>
      <c r="AN5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4006</v>
      </c>
      <c r="C57" s="21" t="s">
        <v>201</v>
      </c>
      <c r="D57" s="21" t="s">
        <v>451</v>
      </c>
      <c r="E57" s="13">
        <v>42915.384236111109</v>
      </c>
      <c r="F57" s="13">
        <v>42915.385636574072</v>
      </c>
      <c r="G57" s="7">
        <v>1</v>
      </c>
      <c r="H57" s="21" t="s">
        <v>466</v>
      </c>
      <c r="I57" s="13">
        <v>42915.409884259258</v>
      </c>
      <c r="J57" s="7">
        <v>0</v>
      </c>
      <c r="K57" s="89" t="str">
        <f t="shared" si="0"/>
        <v>4005/4006</v>
      </c>
      <c r="L57" s="21" t="str">
        <f>VLOOKUP(A57,'Trips&amp;Operators'!$C$1:$G$99999,5,FALSE)</f>
        <v>HELVIE ADAM</v>
      </c>
      <c r="M57" s="6">
        <f t="shared" si="1"/>
        <v>2.4247685185400769E-2</v>
      </c>
      <c r="N57" s="7">
        <f t="shared" ref="N57:N88" si="26">24*60*SUM($M57:$M57)</f>
        <v>34.916666666977108</v>
      </c>
      <c r="O57" s="7"/>
      <c r="P57" s="7"/>
      <c r="Q57" s="22"/>
      <c r="R57" s="170"/>
      <c r="S57" s="213">
        <f t="shared" si="24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-29T08:13:18-0600',mode:absolute,to:'2017-06-29T10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97" t="str">
        <f>IF(AA57&lt;VLOOKUP(AG57,Variables!$AC$3:$AD$8,2,FALSE),"Y","N")</f>
        <v>N</v>
      </c>
      <c r="X57" s="197">
        <f t="shared" si="25"/>
        <v>1</v>
      </c>
      <c r="Y57" s="197">
        <f t="shared" si="7"/>
        <v>4.5499999999999999E-2</v>
      </c>
      <c r="Z57" s="197">
        <f t="shared" si="8"/>
        <v>23.330500000000001</v>
      </c>
      <c r="AA57" s="197">
        <f t="shared" si="9"/>
        <v>23.285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57" s="74" t="str">
        <f t="shared" si="12"/>
        <v>"C:\Program Files (x86)\AstroGrep\AstroGrep.exe" /e /r /s /spath="%USERPROFILE%\AppData\Local\Temp\OnboardLogs" /stypes="app*4006*20170629*"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145-29 --locoid 4006 --swversion DE.1.0.9.0 --startMP 204:455 --initTime 2017-06-29T09:13:18 --startdatetime 2017-06-29T09:15:19 --delay 1 --endMP 204:233305 --enddatetime 2017-06-29T09:50:14 --enforcementcount 0 &gt;&gt;C:\Users\stu\Documents\GitHub\eaglep3-reporting\EC\2017-06-29-refined-times.txt</v>
      </c>
      <c r="AI5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{"issue":{"subject":"","project_id":79,"tracker_id":40,"status_id":1,"priority_id":2,"assigned_to_id":23,"start_date":"2017-06-29","description":"","custom_fields":[{"id":1,"name":"Subdivision","value":"EC"},{"id":4,"name":"Milepost","value":"23.3305"},{"id":17,"name":"Train ID","value":"145-29"},{"id":16,"name":"Locomotive ID","value":"4006"},{"id":130,"name":"Impact","value":""},{"id":150,"name":"Time of Event (Mountain Time)","value":"09:50:14"},{"id":151,"name":"Denver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4006 --day 2017-06-29</v>
      </c>
      <c r="AN5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697</v>
      </c>
      <c r="B58" s="7">
        <v>4005</v>
      </c>
      <c r="C58" s="21" t="s">
        <v>201</v>
      </c>
      <c r="D58" s="21" t="s">
        <v>480</v>
      </c>
      <c r="E58" s="13">
        <v>42915.423611111109</v>
      </c>
      <c r="F58" s="13">
        <v>42915.425405092596</v>
      </c>
      <c r="G58" s="7">
        <v>1</v>
      </c>
      <c r="H58" s="21" t="s">
        <v>357</v>
      </c>
      <c r="I58" s="13">
        <v>42915.450983796298</v>
      </c>
      <c r="J58" s="7">
        <v>0</v>
      </c>
      <c r="K58" s="89" t="str">
        <f t="shared" si="0"/>
        <v>4005/4006</v>
      </c>
      <c r="L58" s="21" t="str">
        <f>VLOOKUP(A58,'Trips&amp;Operators'!$C$1:$G$99999,5,FALSE)</f>
        <v>HELVIE ADAM</v>
      </c>
      <c r="M58" s="6">
        <f t="shared" si="1"/>
        <v>2.5578703702194616E-2</v>
      </c>
      <c r="N58" s="7">
        <f t="shared" si="26"/>
        <v>36.833333331160247</v>
      </c>
      <c r="O58" s="7"/>
      <c r="P58" s="7"/>
      <c r="Q58" s="22"/>
      <c r="R58" s="170"/>
      <c r="S58" s="213">
        <f t="shared" si="24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-29T09:10:00-0600',mode:absolute,to:'2017-06-29T11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97" t="str">
        <f>IF(AA58&lt;VLOOKUP(AG58,Variables!$AC$3:$AD$8,2,FALSE),"Y","N")</f>
        <v>N</v>
      </c>
      <c r="X58" s="197">
        <f t="shared" si="25"/>
        <v>1</v>
      </c>
      <c r="Y58" s="197">
        <f t="shared" si="7"/>
        <v>23.2973</v>
      </c>
      <c r="Z58" s="197">
        <f t="shared" si="8"/>
        <v>1.47E-2</v>
      </c>
      <c r="AA58" s="197">
        <f t="shared" si="9"/>
        <v>23.282599999999999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58" s="74" t="str">
        <f t="shared" si="12"/>
        <v>"C:\Program Files (x86)\AstroGrep\AstroGrep.exe" /e /r /s /spath="%USERPROFILE%\AppData\Local\Temp\OnboardLogs" /stypes="app*4005*20170629*"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146-29 --locoid 4005 --swversion DE.1.0.9.0 --startMP 204:232973 --initTime 2017-06-29T10:10:00 --startdatetime 2017-06-29T10:12:35 --delay 1 --endMP 204:147 --enddatetime 2017-06-29T10:49:25 --enforcementcount 0 &gt;&gt;C:\Users\stu\Documents\GitHub\eaglep3-reporting\EC\2017-06-29-refined-times.txt</v>
      </c>
      <c r="AI5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ID","value":"146-29"},{"id":16,"name":"Locomotive ID","value":"4005"},{"id":130,"name":"Impact","value":""},{"id":150,"name":"Time of Event (Mountain Time)","value":"10:49:25"},{"id":151,"name":"Denver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4005 --day 2017-06-29</v>
      </c>
      <c r="AN5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691</v>
      </c>
      <c r="B59" s="7">
        <v>4060</v>
      </c>
      <c r="C59" s="21" t="s">
        <v>201</v>
      </c>
      <c r="D59" s="21" t="s">
        <v>836</v>
      </c>
      <c r="E59" s="13">
        <v>42915.391712962963</v>
      </c>
      <c r="F59" s="13">
        <v>42915.396145833336</v>
      </c>
      <c r="G59" s="7">
        <v>1</v>
      </c>
      <c r="H59" s="21" t="s">
        <v>471</v>
      </c>
      <c r="I59" s="13">
        <v>42915.422013888892</v>
      </c>
      <c r="J59" s="7">
        <v>0</v>
      </c>
      <c r="K59" s="89" t="str">
        <f t="shared" si="0"/>
        <v>4059/4060</v>
      </c>
      <c r="L59" s="21" t="str">
        <f>VLOOKUP(A59,'Trips&amp;Operators'!$C$1:$G$99999,5,FALSE)</f>
        <v>BONDS REYNALDO</v>
      </c>
      <c r="M59" s="6">
        <f t="shared" si="1"/>
        <v>2.5868055556202307E-2</v>
      </c>
      <c r="N59" s="7">
        <f t="shared" si="26"/>
        <v>37.250000000931323</v>
      </c>
      <c r="O59" s="7"/>
      <c r="P59" s="7"/>
      <c r="Q59" s="22"/>
      <c r="R59" s="170"/>
      <c r="S59" s="213">
        <f t="shared" si="24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-29T08:24:04-0600',mode:absolute,to:'2017-06-29T11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197" t="str">
        <f>IF(AA59&lt;VLOOKUP(AG59,Variables!$AC$3:$AD$8,2,FALSE),"Y","N")</f>
        <v>N</v>
      </c>
      <c r="X59" s="197">
        <f t="shared" si="25"/>
        <v>1</v>
      </c>
      <c r="Y59" s="197">
        <f t="shared" si="7"/>
        <v>4.8899999999999999E-2</v>
      </c>
      <c r="Z59" s="197">
        <f t="shared" si="8"/>
        <v>23.3308</v>
      </c>
      <c r="AA59" s="197">
        <f t="shared" si="9"/>
        <v>23.2819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59" s="74" t="str">
        <f t="shared" si="12"/>
        <v>"C:\Program Files (x86)\AstroGrep\AstroGrep.exe" /e /r /s /spath="%USERPROFILE%\AppData\Local\Temp\OnboardLogs" /stypes="app*4060*20170629*"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147-29 --locoid 4060 --swversion DE.1.0.9.0 --startMP 204:489 --initTime 2017-06-29T09:24:04 --startdatetime 2017-06-29T09:30:27 --delay 1 --endMP 204:233308 --enddatetime 2017-06-29T10:07:42 --enforcementcount 0 &gt;&gt;C:\Users\stu\Documents\GitHub\eaglep3-reporting\EC\2017-06-29-refined-times.txt</v>
      </c>
      <c r="AI5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{"issue":{"subject":"","project_id":79,"tracker_id":40,"status_id":1,"priority_id":2,"assigned_to_id":23,"start_date":"2017-06-29","description":"","custom_fields":[{"id":1,"name":"Subdivision","value":"EC"},{"id":4,"name":"Milepost","value":"23.3308"},{"id":17,"name":"Train ID","value":"147-29"},{"id":16,"name":"Locomotive ID","value":"4060"},{"id":130,"name":"Impact","value":""},{"id":150,"name":"Time of Event (Mountain Time)","value":"10:07:42"},{"id":151,"name":"Denver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4060 --day 2017-06-29</v>
      </c>
      <c r="AN5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700</v>
      </c>
      <c r="B60" s="7">
        <v>4059</v>
      </c>
      <c r="C60" s="21" t="s">
        <v>201</v>
      </c>
      <c r="D60" s="21" t="s">
        <v>823</v>
      </c>
      <c r="E60" s="13">
        <v>42915.431840277779</v>
      </c>
      <c r="F60" s="13">
        <v>42915.435925925929</v>
      </c>
      <c r="G60" s="7">
        <v>1</v>
      </c>
      <c r="H60" s="21" t="s">
        <v>844</v>
      </c>
      <c r="I60" s="13">
        <v>42915.462581018517</v>
      </c>
      <c r="J60" s="7">
        <v>0</v>
      </c>
      <c r="K60" s="89" t="str">
        <f t="shared" si="0"/>
        <v>4059/4060</v>
      </c>
      <c r="L60" s="21" t="str">
        <f>VLOOKUP(A60,'Trips&amp;Operators'!$C$1:$G$99999,5,FALSE)</f>
        <v>BONDS REYNALDO</v>
      </c>
      <c r="M60" s="6">
        <f t="shared" si="1"/>
        <v>2.6655092588043772E-2</v>
      </c>
      <c r="N60" s="7">
        <f t="shared" si="26"/>
        <v>38.383333326783031</v>
      </c>
      <c r="O60" s="7"/>
      <c r="P60" s="7"/>
      <c r="Q60" s="22"/>
      <c r="R60" s="170"/>
      <c r="S60" s="213">
        <f t="shared" si="24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-29T09:21:51-0600',mode:absolute,to:'2017-06-29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197" t="str">
        <f>IF(AA60&lt;VLOOKUP(AG60,Variables!$AC$3:$AD$8,2,FALSE),"Y","N")</f>
        <v>N</v>
      </c>
      <c r="X60" s="197">
        <f t="shared" si="25"/>
        <v>1</v>
      </c>
      <c r="Y60" s="197">
        <f t="shared" si="7"/>
        <v>23.299099999999999</v>
      </c>
      <c r="Z60" s="197">
        <f t="shared" si="8"/>
        <v>1.6899999999999998E-2</v>
      </c>
      <c r="AA60" s="197">
        <f t="shared" si="9"/>
        <v>23.2822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60" s="74" t="str">
        <f t="shared" si="12"/>
        <v>"C:\Program Files (x86)\AstroGrep\AstroGrep.exe" /e /r /s /spath="%USERPROFILE%\AppData\Local\Temp\OnboardLogs" /stypes="app*4059*20170629*"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148-29 --locoid 4059 --swversion DE.1.0.9.0 --startMP 204:232991 --initTime 2017-06-29T10:21:51 --startdatetime 2017-06-29T10:27:44 --delay 1 --endMP 204:169 --enddatetime 2017-06-29T11:06:07 --enforcementcount 0 &gt;&gt;C:\Users\stu\Documents\GitHub\eaglep3-reporting\EC\2017-06-29-refined-times.txt</v>
      </c>
      <c r="AI6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{"issue":{"subject":"","project_id":79,"tracker_id":40,"status_id":1,"priority_id":2,"assigned_to_id":23,"start_date":"2017-06-29","description":"","custom_fields":[{"id":1,"name":"Subdivision","value":"EC"},{"id":4,"name":"Milepost","value":"0.0169"},{"id":17,"name":"Train ID","value":"148-29"},{"id":16,"name":"Locomotive ID","value":"4059"},{"id":130,"name":"Impact","value":""},{"id":150,"name":"Time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4059 --day 2017-06-29</v>
      </c>
      <c r="AN6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4062</v>
      </c>
      <c r="C61" s="21" t="s">
        <v>201</v>
      </c>
      <c r="D61" s="21" t="s">
        <v>452</v>
      </c>
      <c r="E61" s="13">
        <v>42915.403020833335</v>
      </c>
      <c r="F61" s="13">
        <v>42915.406527777777</v>
      </c>
      <c r="G61" s="7">
        <v>1</v>
      </c>
      <c r="H61" s="21" t="s">
        <v>837</v>
      </c>
      <c r="I61" s="13">
        <v>42915.43173611111</v>
      </c>
      <c r="J61" s="7">
        <v>0</v>
      </c>
      <c r="K61" s="89" t="str">
        <f t="shared" si="0"/>
        <v>4061/4062</v>
      </c>
      <c r="L61" s="21" t="str">
        <f>VLOOKUP(A61,'Trips&amp;Operators'!$C$1:$G$99999,5,FALSE)</f>
        <v>GEBRETEKLE DAGNEW</v>
      </c>
      <c r="M61" s="6">
        <f t="shared" si="1"/>
        <v>2.5208333332557231E-2</v>
      </c>
      <c r="N61" s="7">
        <f t="shared" si="26"/>
        <v>36.299999998882413</v>
      </c>
      <c r="O61" s="7"/>
      <c r="P61" s="7"/>
      <c r="Q61" s="22"/>
      <c r="R61" s="170"/>
      <c r="S61" s="213">
        <f t="shared" si="24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-29T08:40:21-0600',mode:absolute,to:'2017-06-29T11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1" s="197" t="str">
        <f>IF(AA61&lt;VLOOKUP(AG61,Variables!$AC$3:$AD$8,2,FALSE),"Y","N")</f>
        <v>N</v>
      </c>
      <c r="X61" s="197">
        <f t="shared" si="25"/>
        <v>1</v>
      </c>
      <c r="Y61" s="197">
        <f t="shared" si="7"/>
        <v>4.6399999999999997E-2</v>
      </c>
      <c r="Z61" s="197">
        <f t="shared" si="8"/>
        <v>23.3278</v>
      </c>
      <c r="AA61" s="197">
        <f t="shared" si="9"/>
        <v>23.281400000000001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61" s="74" t="str">
        <f t="shared" si="12"/>
        <v>"C:\Program Files (x86)\AstroGrep\AstroGrep.exe" /e /r /s /spath="%USERPROFILE%\AppData\Local\Temp\OnboardLogs" /stypes="app*4062*20170629*"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149-29 --locoid 4062 --swversion DE.1.0.9.0 --startMP 204:464 --initTime 2017-06-29T09:40:21 --startdatetime 2017-06-29T09:45:24 --delay 1 --endMP 204:233278 --enddatetime 2017-06-29T10:21:42 --enforcementcount 0 &gt;&gt;C:\Users\stu\Documents\GitHub\eaglep3-reporting\EC\2017-06-29-refined-times.txt</v>
      </c>
      <c r="AI6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{"issue":{"subject":"","project_id":79,"tracker_id":40,"status_id":1,"priority_id":2,"assigned_to_id":23,"start_date":"2017-06-29","description":"","custom_fields":[{"id":1,"name":"Subdivision","value":"EC"},{"id":4,"name":"Milepost","value":"23.3278"},{"id":17,"name":"Train ID","value":"149-29"},{"id":16,"name":"Locomotive ID","value":"4062"},{"id":130,"name":"Impact","value":""},{"id":150,"name":"Time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4062 --day 2017-06-29</v>
      </c>
      <c r="AN6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4061</v>
      </c>
      <c r="C62" s="21" t="s">
        <v>201</v>
      </c>
      <c r="D62" s="21" t="s">
        <v>916</v>
      </c>
      <c r="E62" s="13">
        <v>42915.433368055557</v>
      </c>
      <c r="F62" s="13">
        <v>42915.446076388886</v>
      </c>
      <c r="G62" s="7">
        <v>0</v>
      </c>
      <c r="H62" s="21" t="s">
        <v>348</v>
      </c>
      <c r="I62" s="13">
        <v>42915.472002314818</v>
      </c>
      <c r="J62" s="7">
        <v>0</v>
      </c>
      <c r="K62" s="89" t="str">
        <f t="shared" si="0"/>
        <v>4061/4062</v>
      </c>
      <c r="L62" s="21" t="str">
        <f>VLOOKUP(A62,'Trips&amp;Operators'!$C$1:$G$99999,5,FALSE)</f>
        <v>GEBRETEKLE DAGNEW</v>
      </c>
      <c r="M62" s="6">
        <f t="shared" si="1"/>
        <v>2.5925925932824612E-2</v>
      </c>
      <c r="N62" s="7">
        <f t="shared" si="26"/>
        <v>37.333333343267441</v>
      </c>
      <c r="O62" s="7"/>
      <c r="P62" s="7"/>
      <c r="Q62" s="22"/>
      <c r="R62" s="170"/>
      <c r="S62" s="213">
        <f t="shared" si="24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-29T09:24:03-0600',mode:absolute,to:'2017-06-29T12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2" s="197" t="str">
        <f>IF(AA62&lt;VLOOKUP(AG62,Variables!$AC$3:$AD$8,2,FALSE),"Y","N")</f>
        <v>N</v>
      </c>
      <c r="X62" s="197">
        <f t="shared" si="25"/>
        <v>1</v>
      </c>
      <c r="Y62" s="197">
        <f t="shared" si="7"/>
        <v>23.2986</v>
      </c>
      <c r="Z62" s="197">
        <f t="shared" si="8"/>
        <v>1.43E-2</v>
      </c>
      <c r="AA62" s="197">
        <f t="shared" si="9"/>
        <v>23.284300000000002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62" s="74" t="str">
        <f t="shared" si="12"/>
        <v>"C:\Program Files (x86)\AstroGrep\AstroGrep.exe" /e /r /s /spath="%USERPROFILE%\AppData\Local\Temp\OnboardLogs" /stypes="app*4061*20170629*"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150-29 --locoid 4061 --swversion DE.1.0.9.0 --startMP 204:232986 --initTime 2017-06-29T10:24:03 --startdatetime 2017-06-29T10:42:21 --delay 0 --endMP 204:143 --enddatetime 2017-06-29T11:19:41 --enforcementcount 0 &gt;&gt;C:\Users\stu\Documents\GitHub\eaglep3-reporting\EC\2017-06-29-refined-times.txt</v>
      </c>
      <c r="AI6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ID","value":"150-29"},{"id":16,"name":"Locomotive ID","value":"4061"},{"id":130,"name":"Impact","value":""},{"id":150,"name":"Time of Event (Mountain Time)","value":"11:19:41"},{"id":151,"name":"Denver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4061 --day 2017-06-29</v>
      </c>
      <c r="AN6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696</v>
      </c>
      <c r="B63" s="7">
        <v>4028</v>
      </c>
      <c r="C63" s="21" t="s">
        <v>201</v>
      </c>
      <c r="D63" s="21" t="s">
        <v>198</v>
      </c>
      <c r="E63" s="13">
        <v>42915.412685185183</v>
      </c>
      <c r="F63" s="13">
        <v>42915.416828703703</v>
      </c>
      <c r="G63" s="7">
        <v>1</v>
      </c>
      <c r="H63" s="21" t="s">
        <v>520</v>
      </c>
      <c r="I63" s="13">
        <v>42915.442025462966</v>
      </c>
      <c r="J63" s="7">
        <v>0</v>
      </c>
      <c r="K63" s="89" t="str">
        <f t="shared" si="0"/>
        <v>4027/4028</v>
      </c>
      <c r="L63" s="21" t="str">
        <f>VLOOKUP(A63,'Trips&amp;Operators'!$C$1:$G$99999,5,FALSE)</f>
        <v>GUZMAN DANNY</v>
      </c>
      <c r="M63" s="6">
        <f t="shared" si="1"/>
        <v>2.5196759263053536E-2</v>
      </c>
      <c r="N63" s="7">
        <f t="shared" si="26"/>
        <v>36.283333338797092</v>
      </c>
      <c r="O63" s="7"/>
      <c r="P63" s="7"/>
      <c r="Q63" s="22"/>
      <c r="R63" s="170"/>
      <c r="S63" s="213">
        <f t="shared" si="24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-29T08:54:16-0600',mode:absolute,to:'2017-06-29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197" t="str">
        <f>IF(AA63&lt;VLOOKUP(AG63,Variables!$AC$3:$AD$8,2,FALSE),"Y","N")</f>
        <v>N</v>
      </c>
      <c r="X63" s="197">
        <f t="shared" si="25"/>
        <v>1</v>
      </c>
      <c r="Y63" s="197">
        <f t="shared" si="7"/>
        <v>4.5999999999999999E-2</v>
      </c>
      <c r="Z63" s="197">
        <f t="shared" si="8"/>
        <v>23.330400000000001</v>
      </c>
      <c r="AA63" s="197">
        <f t="shared" si="9"/>
        <v>23.284400000000002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63" s="74" t="str">
        <f t="shared" si="12"/>
        <v>"C:\Program Files (x86)\AstroGrep\AstroGrep.exe" /e /r /s /spath="%USERPROFILE%\AppData\Local\Temp\OnboardLogs" /stypes="app*4028*20170629*"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151-29 --locoid 4028 --swversion DE.1.0.9.0 --startMP 204:460 --initTime 2017-06-29T09:54:16 --startdatetime 2017-06-29T10:00:14 --delay 1 --endMP 204:233304 --enddatetime 2017-06-29T10:36:31 --enforcementcount 0 &gt;&gt;C:\Users\stu\Documents\GitHub\eaglep3-reporting\EC\2017-06-29-refined-times.txt</v>
      </c>
      <c r="AI6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{"issue":{"subject":"","project_id":79,"tracker_id":40,"status_id":1,"priority_id":2,"assigned_to_id":23,"start_date":"2017-06-29","description":"","custom_fields":[{"id":1,"name":"Subdivision","value":"EC"},{"id":4,"name":"Milepost","value":"23.3304"},{"id":17,"name":"Train ID","value":"151-29"},{"id":16,"name":"Locomotive ID","value":"4028"},{"id":130,"name":"Impact","value":""},{"id":150,"name":"Time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4028 --day 2017-06-29</v>
      </c>
      <c r="AN6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4027</v>
      </c>
      <c r="C64" s="21" t="s">
        <v>201</v>
      </c>
      <c r="D64" s="21" t="s">
        <v>917</v>
      </c>
      <c r="E64" s="13">
        <v>42915.443854166668</v>
      </c>
      <c r="F64" s="13">
        <v>42915.456412037034</v>
      </c>
      <c r="G64" s="7">
        <v>1</v>
      </c>
      <c r="H64" s="21" t="s">
        <v>495</v>
      </c>
      <c r="I64" s="13">
        <v>42915.483414351853</v>
      </c>
      <c r="J64" s="7">
        <v>0</v>
      </c>
      <c r="K64" s="89" t="str">
        <f t="shared" si="0"/>
        <v>4027/4028</v>
      </c>
      <c r="L64" s="21" t="str">
        <f>VLOOKUP(A64,'Trips&amp;Operators'!$C$1:$G$99999,5,FALSE)</f>
        <v>GUZMAN DANNY</v>
      </c>
      <c r="M64" s="6">
        <f t="shared" si="1"/>
        <v>2.7002314818673767E-2</v>
      </c>
      <c r="N64" s="7">
        <f t="shared" si="26"/>
        <v>38.883333338890225</v>
      </c>
      <c r="O64" s="7"/>
      <c r="P64" s="7"/>
      <c r="Q64" s="22"/>
      <c r="R64" s="170"/>
      <c r="S64" s="213">
        <f t="shared" si="24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-29T09:39:09-0600',mode:absolute,to:'2017-06-29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197" t="str">
        <f>IF(AA64&lt;VLOOKUP(AG64,Variables!$AC$3:$AD$8,2,FALSE),"Y","N")</f>
        <v>N</v>
      </c>
      <c r="X64" s="197">
        <f t="shared" si="25"/>
        <v>1</v>
      </c>
      <c r="Y64" s="197">
        <f t="shared" si="7"/>
        <v>23.302700000000002</v>
      </c>
      <c r="Z64" s="197">
        <f t="shared" si="8"/>
        <v>1.3599999999999999E-2</v>
      </c>
      <c r="AA64" s="197">
        <f t="shared" si="9"/>
        <v>23.289100000000001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64" s="74" t="str">
        <f t="shared" si="12"/>
        <v>"C:\Program Files (x86)\AstroGrep\AstroGrep.exe" /e /r /s /spath="%USERPROFILE%\AppData\Local\Temp\OnboardLogs" /stypes="app*4027*20170629*"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152-29 --locoid 4027 --swversion DE.1.0.9.0 --startMP 204:233027 --initTime 2017-06-29T10:39:09 --startdatetime 2017-06-29T10:57:14 --delay 1 --endMP 204:136 --enddatetime 2017-06-29T11:36:07 --enforcementcount 0 &gt;&gt;C:\Users\stu\Documents\GitHub\eaglep3-reporting\EC\2017-06-29-refined-times.txt</v>
      </c>
      <c r="AI6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{"issue":{"subject":"","project_id":79,"tracker_id":40,"status_id":1,"priority_id":2,"assigned_to_id":23,"start_date":"2017-06-29","description":"","custom_fields":[{"id":1,"name":"Subdivision","value":"EC"},{"id":4,"name":"Milepost","value":"0.0136"},{"id":17,"name":"Train ID","value":"152-29"},{"id":16,"name":"Locomotive ID","value":"4027"},{"id":130,"name":"Impact","value":""},{"id":150,"name":"Time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4027 --day 2017-06-29</v>
      </c>
      <c r="AN6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698</v>
      </c>
      <c r="B65" s="7">
        <v>4050</v>
      </c>
      <c r="C65" s="21" t="s">
        <v>201</v>
      </c>
      <c r="D65" s="21" t="s">
        <v>197</v>
      </c>
      <c r="E65" s="13">
        <v>42915.424143518518</v>
      </c>
      <c r="F65" s="13">
        <v>42915.427268518521</v>
      </c>
      <c r="G65" s="7">
        <v>1</v>
      </c>
      <c r="H65" s="21" t="s">
        <v>918</v>
      </c>
      <c r="I65" s="13">
        <v>42915.453425925924</v>
      </c>
      <c r="J65" s="7">
        <v>0</v>
      </c>
      <c r="K65" s="89" t="str">
        <f t="shared" si="0"/>
        <v>4049/4050</v>
      </c>
      <c r="L65" s="21" t="str">
        <f>VLOOKUP(A65,'Trips&amp;Operators'!$C$1:$G$99999,5,FALSE)</f>
        <v>DAVIS WENDY</v>
      </c>
      <c r="M65" s="6">
        <f t="shared" si="1"/>
        <v>2.6157407402934041E-2</v>
      </c>
      <c r="N65" s="7">
        <f t="shared" si="26"/>
        <v>37.666666660225019</v>
      </c>
      <c r="O65" s="7"/>
      <c r="P65" s="7"/>
      <c r="Q65" s="22"/>
      <c r="R65" s="170"/>
      <c r="S65" s="213">
        <f t="shared" si="24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-29T09:10:46-0600',mode:absolute,to:'2017-06-29T11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7" t="str">
        <f>IF(AA65&lt;VLOOKUP(AG65,Variables!$AC$3:$AD$8,2,FALSE),"Y","N")</f>
        <v>N</v>
      </c>
      <c r="X65" s="197">
        <f t="shared" si="25"/>
        <v>1</v>
      </c>
      <c r="Y65" s="197">
        <f t="shared" si="7"/>
        <v>4.5699999999999998E-2</v>
      </c>
      <c r="Z65" s="197">
        <f t="shared" si="8"/>
        <v>23.332000000000001</v>
      </c>
      <c r="AA65" s="197">
        <f t="shared" si="9"/>
        <v>23.286300000000001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65" s="74" t="str">
        <f t="shared" si="12"/>
        <v>"C:\Program Files (x86)\AstroGrep\AstroGrep.exe" /e /r /s /spath="%USERPROFILE%\AppData\Local\Temp\OnboardLogs" /stypes="app*4050*20170629*"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153-29 --locoid 4050 --swversion DE.1.0.9.0 --startMP 204:457 --initTime 2017-06-29T10:10:46 --startdatetime 2017-06-29T10:15:16 --delay 1 --endMP 204:233320 --enddatetime 2017-06-29T10:52:56 --enforcementcount 0 &gt;&gt;C:\Users\stu\Documents\GitHub\eaglep3-reporting\EC\2017-06-29-refined-times.txt</v>
      </c>
      <c r="AI6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{"issue":{"subject":"","project_id":79,"tracker_id":40,"status_id":1,"priority_id":2,"assigned_to_id":23,"start_date":"2017-06-29","description":"","custom_fields":[{"id":1,"name":"Subdivision","value":"EC"},{"id":4,"name":"Milepost","value":"23.332"},{"id":17,"name":"Train ID","value":"153-29"},{"id":16,"name":"Locomotive ID","value":"4050"},{"id":130,"name":"Impact","value":""},{"id":150,"name":"Time of Event (Mountain Time)","value":"10:52:56"},{"id":151,"name":"Denver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2017-06-29</v>
      </c>
      <c r="AN6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4049</v>
      </c>
      <c r="C66" s="21" t="s">
        <v>201</v>
      </c>
      <c r="D66" s="21" t="s">
        <v>549</v>
      </c>
      <c r="E66" s="13">
        <v>42915.463229166664</v>
      </c>
      <c r="F66" s="13">
        <v>42915.466840277775</v>
      </c>
      <c r="G66" s="7">
        <v>1</v>
      </c>
      <c r="H66" s="21" t="s">
        <v>919</v>
      </c>
      <c r="I66" s="13">
        <v>42915.493773148148</v>
      </c>
      <c r="J66" s="7">
        <v>0</v>
      </c>
      <c r="K66" s="89" t="str">
        <f t="shared" si="0"/>
        <v>4049/4050</v>
      </c>
      <c r="L66" s="21" t="str">
        <f>VLOOKUP(A66,'Trips&amp;Operators'!$C$1:$G$99999,5,FALSE)</f>
        <v>DAVIS WENDY</v>
      </c>
      <c r="M66" s="6">
        <f t="shared" si="1"/>
        <v>2.6932870372547768E-2</v>
      </c>
      <c r="N66" s="7">
        <f t="shared" si="26"/>
        <v>38.783333336468786</v>
      </c>
      <c r="O66" s="7"/>
      <c r="P66" s="7"/>
      <c r="Q66" s="22"/>
      <c r="R66" s="170"/>
      <c r="S66" s="213">
        <f t="shared" si="24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-29T10:07:03-0600',mode:absolute,to:'2017-06-29T12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7"/>
        <v>23.299399999999999</v>
      </c>
      <c r="Z66" s="197">
        <f t="shared" si="8"/>
        <v>1.5800000000000002E-2</v>
      </c>
      <c r="AA66" s="197">
        <f t="shared" si="9"/>
        <v>23.2836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66" s="74" t="str">
        <f t="shared" si="12"/>
        <v>"C:\Program Files (x86)\AstroGrep\AstroGrep.exe" /e /r /s /spath="%USERPROFILE%\AppData\Local\Temp\OnboardLogs" /stypes="app*4049*20170629*"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154-29 --locoid 4049 --swversion DE.1.0.9.0 --startMP 204:232994 --initTime 2017-06-29T11:07:03 --startdatetime 2017-06-29T11:12:15 --delay 1 --endMP 204:158 --enddatetime 2017-06-29T11:51:02 --enforcementcount 0 &gt;&gt;C:\Users\stu\Documents\GitHub\eaglep3-reporting\EC\2017-06-29-refined-times.txt</v>
      </c>
      <c r="AI6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ID","value":"154-29"},{"id":16,"name":"Locomotive ID","value":"4049"},{"id":130,"name":"Impact","value":""},{"id":150,"name":"Time of Event (Mountain Time)","value":"11:51:02"},{"id":151,"name":"Denver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2017-06-29</v>
      </c>
      <c r="AN6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588</v>
      </c>
      <c r="B67" s="7">
        <v>4056</v>
      </c>
      <c r="C67" s="21" t="s">
        <v>201</v>
      </c>
      <c r="D67" s="21" t="s">
        <v>452</v>
      </c>
      <c r="E67" s="13">
        <v>42915.431076388886</v>
      </c>
      <c r="F67" s="13">
        <v>42915.437685185185</v>
      </c>
      <c r="G67" s="7">
        <v>1</v>
      </c>
      <c r="H67" s="21" t="s">
        <v>920</v>
      </c>
      <c r="I67" s="13">
        <v>42915.462465277778</v>
      </c>
      <c r="J67" s="7">
        <v>0</v>
      </c>
      <c r="K67" s="89" t="str">
        <f t="shared" si="0"/>
        <v>4055/4056</v>
      </c>
      <c r="L67" s="21" t="str">
        <f>VLOOKUP(A67,'Trips&amp;Operators'!$C$1:$G$99999,5,FALSE)</f>
        <v>SANTIZO D. EDY</v>
      </c>
      <c r="M67" s="6">
        <f t="shared" si="1"/>
        <v>2.4780092593573499E-2</v>
      </c>
      <c r="N67" s="7">
        <f t="shared" si="26"/>
        <v>35.683333334745839</v>
      </c>
      <c r="O67" s="7"/>
      <c r="P67" s="7"/>
      <c r="Q67" s="22"/>
      <c r="R67" s="170"/>
      <c r="S67" s="213">
        <f t="shared" si="24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-29T09:20:45-0600',mode:absolute,to:'2017-06-29T12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7"/>
        <v>4.6399999999999997E-2</v>
      </c>
      <c r="Z67" s="197">
        <f t="shared" si="8"/>
        <v>23.331</v>
      </c>
      <c r="AA67" s="197">
        <f t="shared" si="9"/>
        <v>23.284600000000001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67" s="74" t="str">
        <f t="shared" si="12"/>
        <v>"C:\Program Files (x86)\AstroGrep\AstroGrep.exe" /e /r /s /spath="%USERPROFILE%\AppData\Local\Temp\OnboardLogs" /stypes="app*4056*20170629*"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155-29 --locoid 4056 --swversion DE.1.0.9.0 --startMP 204:464 --initTime 2017-06-29T10:20:45 --startdatetime 2017-06-29T10:30:16 --delay 1 --endMP 204:233310 --enddatetime 2017-06-29T11:05:57 --enforcementcount 0 &gt;&gt;C:\Users\stu\Documents\GitHub\eaglep3-reporting\EC\2017-06-29-refined-times.txt</v>
      </c>
      <c r="AI6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{"issue":{"subject":"","project_id":79,"tracker_id":40,"status_id":1,"priority_id":2,"assigned_to_id":23,"start_date":"2017-06-29","description":"","custom_fields":[{"id":1,"name":"Subdivision","value":"EC"},{"id":4,"name":"Milepost","value":"23.331"},{"id":17,"name":"Train ID","value":"155-29"},{"id":16,"name":"Locomotive ID","value":"4056"},{"id":130,"name":"Impact","value":""},{"id":150,"name":"Time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4056 --day 2017-06-29</v>
      </c>
      <c r="AN6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4055</v>
      </c>
      <c r="C68" s="21" t="s">
        <v>201</v>
      </c>
      <c r="D68" s="21" t="s">
        <v>921</v>
      </c>
      <c r="E68" s="13">
        <v>42915.463263888887</v>
      </c>
      <c r="F68" s="13">
        <v>42915.477407407408</v>
      </c>
      <c r="G68" s="7">
        <v>1</v>
      </c>
      <c r="H68" s="21" t="s">
        <v>346</v>
      </c>
      <c r="I68" s="13">
        <v>42915.503252314818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SANTIZO D. EDY</v>
      </c>
      <c r="M68" s="6">
        <f t="shared" si="1"/>
        <v>2.584490740991896E-2</v>
      </c>
      <c r="N68" s="7">
        <f t="shared" si="26"/>
        <v>37.216666670283303</v>
      </c>
      <c r="O68" s="7"/>
      <c r="P68" s="7"/>
      <c r="Q68" s="22"/>
      <c r="R68" s="170"/>
      <c r="S68" s="213">
        <f t="shared" si="24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-29T10:07:06-0600',mode:absolute,to:'2017-06-29T13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f t="shared" si="7"/>
        <v>23.3</v>
      </c>
      <c r="Z68" s="197">
        <f t="shared" si="8"/>
        <v>1.4999999999999999E-2</v>
      </c>
      <c r="AA68" s="197">
        <f t="shared" si="9"/>
        <v>23.285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68" s="74" t="str">
        <f t="shared" si="12"/>
        <v>"C:\Program Files (x86)\AstroGrep\AstroGrep.exe" /e /r /s /spath="%USERPROFILE%\AppData\Local\Temp\OnboardLogs" /stypes="app*4055*20170629*"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156-29 --locoid 4055 --swversion DE.1.0.9.0 --startMP 204:233000 --initTime 2017-06-29T11:07:06 --startdatetime 2017-06-29T11:27:28 --delay 1 --endMP 204:150 --enddatetime 2017-06-29T12:04:41 --enforcementcount 0 &gt;&gt;C:\Users\stu\Documents\GitHub\eaglep3-reporting\EC\2017-06-29-refined-times.txt</v>
      </c>
      <c r="AI6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ID","value":"156-29"},{"id":16,"name":"Locomotive ID","value":"4055"},{"id":130,"name":"Impact","value":""},{"id":150,"name":"Time of Event (Mountain Time)","value":"12:04:41"},{"id":151,"name":"Denver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4055 --day 2017-06-29</v>
      </c>
      <c r="AN6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703</v>
      </c>
      <c r="B69" s="7">
        <v>4010</v>
      </c>
      <c r="C69" s="21" t="s">
        <v>201</v>
      </c>
      <c r="D69" s="21" t="s">
        <v>922</v>
      </c>
      <c r="E69" s="13">
        <v>42915.443252314813</v>
      </c>
      <c r="F69" s="13">
        <v>42915.448125000003</v>
      </c>
      <c r="G69" s="7">
        <v>1</v>
      </c>
      <c r="H69" s="21" t="s">
        <v>923</v>
      </c>
      <c r="I69" s="13">
        <v>42915.473969907405</v>
      </c>
      <c r="J69" s="7">
        <v>0</v>
      </c>
      <c r="K69" s="89" t="str">
        <f t="shared" si="0"/>
        <v>4009/4010</v>
      </c>
      <c r="L69" s="21" t="str">
        <f>VLOOKUP(A69,'Trips&amp;Operators'!$C$1:$G$99999,5,FALSE)</f>
        <v>SULLIVAN BRANDON</v>
      </c>
      <c r="M69" s="6">
        <f t="shared" si="1"/>
        <v>2.5844907402643003E-2</v>
      </c>
      <c r="N69" s="7">
        <f t="shared" si="26"/>
        <v>37.216666659805924</v>
      </c>
      <c r="O69" s="7"/>
      <c r="P69" s="7"/>
      <c r="Q69" s="22"/>
      <c r="R69" s="170"/>
      <c r="S69" s="213">
        <f t="shared" si="24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-29T09:38:17-0600',mode:absolute,to:'2017-06-29T12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si="7"/>
        <v>4.58E-2</v>
      </c>
      <c r="Z69" s="197">
        <f t="shared" si="8"/>
        <v>23.343299999999999</v>
      </c>
      <c r="AA69" s="197">
        <f t="shared" si="9"/>
        <v>23.297499999999999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69" s="74" t="str">
        <f t="shared" si="12"/>
        <v>"C:\Program Files (x86)\AstroGrep\AstroGrep.exe" /e /r /s /spath="%USERPROFILE%\AppData\Local\Temp\OnboardLogs" /stypes="app*4010*20170629*"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157-29 --locoid 4010 --swversion DE.1.0.9.0 --startMP 204:458 --initTime 2017-06-29T10:38:17 --startdatetime 2017-06-29T10:45:18 --delay 1 --endMP 204:233433 --enddatetime 2017-06-29T11:22:31 --enforcementcount 0 &gt;&gt;C:\Users\stu\Documents\GitHub\eaglep3-reporting\EC\2017-06-29-refined-times.txt</v>
      </c>
      <c r="AI6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{"issue":{"subject":"","project_id":79,"tracker_id":40,"status_id":1,"priority_id":2,"assigned_to_id":23,"start_date":"2017-06-29","description":"","custom_fields":[{"id":1,"name":"Subdivision","value":"EC"},{"id":4,"name":"Milepost","value":"23.3433"},{"id":17,"name":"Train ID","value":"157-29"},{"id":16,"name":"Locomotive ID","value":"4010"},{"id":130,"name":"Impact","value":""},{"id":150,"name":"Time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4010 --day 2017-06-29</v>
      </c>
      <c r="AN6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4009</v>
      </c>
      <c r="C70" s="21" t="s">
        <v>201</v>
      </c>
      <c r="D70" s="21" t="s">
        <v>924</v>
      </c>
      <c r="E70" s="13">
        <v>42915.483703703707</v>
      </c>
      <c r="F70" s="13">
        <v>42915.487662037034</v>
      </c>
      <c r="G70" s="7">
        <v>1</v>
      </c>
      <c r="H70" s="21" t="s">
        <v>392</v>
      </c>
      <c r="I70" s="13">
        <v>42915.514768518522</v>
      </c>
      <c r="J70" s="7">
        <v>0</v>
      </c>
      <c r="K70" s="89" t="str">
        <f t="shared" si="0"/>
        <v>4009/4010</v>
      </c>
      <c r="L70" s="21" t="str">
        <f>VLOOKUP(A70,'Trips&amp;Operators'!$C$1:$G$99999,5,FALSE)</f>
        <v>SULLIVAN BRANDON</v>
      </c>
      <c r="M70" s="6">
        <f t="shared" si="1"/>
        <v>2.7106481487862766E-2</v>
      </c>
      <c r="N70" s="7">
        <f t="shared" si="26"/>
        <v>39.033333342522383</v>
      </c>
      <c r="O70" s="7"/>
      <c r="P70" s="7"/>
      <c r="Q70" s="22"/>
      <c r="R70" s="170"/>
      <c r="S70" s="213">
        <f t="shared" si="24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-29T10:36:32-0600',mode:absolute,to:'2017-06-29T13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7" t="str">
        <f>IF(AA70&lt;VLOOKUP(AG70,Variables!$AC$3:$AD$8,2,FALSE),"Y","N")</f>
        <v>N</v>
      </c>
      <c r="X70" s="197">
        <f t="shared" ref="X70:X73" si="27">VALUE(LEFT(AD70,4))-VALUE(LEFT(AD69,4))</f>
        <v>1</v>
      </c>
      <c r="Y70" s="197">
        <f t="shared" si="7"/>
        <v>23.302800000000001</v>
      </c>
      <c r="Z70" s="197">
        <f t="shared" si="8"/>
        <v>1.54E-2</v>
      </c>
      <c r="AA70" s="197">
        <f t="shared" si="9"/>
        <v>23.287400000000002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70" s="74" t="str">
        <f t="shared" si="12"/>
        <v>"C:\Program Files (x86)\AstroGrep\AstroGrep.exe" /e /r /s /spath="%USERPROFILE%\AppData\Local\Temp\OnboardLogs" /stypes="app*4009*20170629*"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158-29 --locoid 4009 --swversion DE.1.0.9.0 --startMP 204:233028 --initTime 2017-06-29T11:36:32 --startdatetime 2017-06-29T11:42:14 --delay 1 --endMP 204:154 --enddatetime 2017-06-29T12:21:16 --enforcementcount 0 &gt;&gt;C:\Users\stu\Documents\GitHub\eaglep3-reporting\EC\2017-06-29-refined-times.txt</v>
      </c>
      <c r="AI7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ID","value":"158-29"},{"id":16,"name":"Locomotive ID","value":"4009"},{"id":130,"name":"Impact","value":""},{"id":150,"name":"Time of Event (Mountain Time)","value":"12:21:16"},{"id":151,"name":"Denver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4009 --day 2017-06-29</v>
      </c>
      <c r="AN7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4006</v>
      </c>
      <c r="C71" s="21" t="s">
        <v>201</v>
      </c>
      <c r="D71" s="21" t="s">
        <v>451</v>
      </c>
      <c r="E71" s="13">
        <v>42915.456250000003</v>
      </c>
      <c r="F71" s="13">
        <v>42915.458564814813</v>
      </c>
      <c r="G71" s="7">
        <v>1</v>
      </c>
      <c r="H71" s="21" t="s">
        <v>816</v>
      </c>
      <c r="I71" s="13">
        <v>42915.483263888891</v>
      </c>
      <c r="J71" s="7">
        <v>0</v>
      </c>
      <c r="K71" s="89" t="str">
        <f t="shared" si="0"/>
        <v>4005/4006</v>
      </c>
      <c r="L71" s="21" t="str">
        <f>VLOOKUP(A71,'Trips&amp;Operators'!$C$1:$G$99999,5,FALSE)</f>
        <v>HELVIE ADAM</v>
      </c>
      <c r="M71" s="6">
        <f t="shared" si="1"/>
        <v>2.4699074077943806E-2</v>
      </c>
      <c r="N71" s="7">
        <f t="shared" si="26"/>
        <v>35.56666667223908</v>
      </c>
      <c r="O71" s="7"/>
      <c r="P71" s="7"/>
      <c r="Q71" s="22"/>
      <c r="R71" s="170"/>
      <c r="S71" s="213">
        <f t="shared" si="24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-29T09:57:00-0600',mode:absolute,to:'2017-06-29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97" t="str">
        <f>IF(AA71&lt;VLOOKUP(AG71,Variables!$AC$3:$AD$8,2,FALSE),"Y","N")</f>
        <v>N</v>
      </c>
      <c r="X71" s="197">
        <f t="shared" si="27"/>
        <v>1</v>
      </c>
      <c r="Y71" s="197">
        <f t="shared" si="7"/>
        <v>4.5499999999999999E-2</v>
      </c>
      <c r="Z71" s="197">
        <f t="shared" si="8"/>
        <v>23.329799999999999</v>
      </c>
      <c r="AA71" s="197">
        <f t="shared" si="9"/>
        <v>23.284299999999998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71" s="74" t="str">
        <f t="shared" si="12"/>
        <v>"C:\Program Files (x86)\AstroGrep\AstroGrep.exe" /e /r /s /spath="%USERPROFILE%\AppData\Local\Temp\OnboardLogs" /stypes="app*4006*20170629*"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159-29 --locoid 4006 --swversion DE.1.0.9.0 --startMP 204:455 --initTime 2017-06-29T10:57:00 --startdatetime 2017-06-29T11:00:20 --delay 1 --endMP 204:233298 --enddatetime 2017-06-29T11:35:54 --enforcementcount 0 &gt;&gt;C:\Users\stu\Documents\GitHub\eaglep3-reporting\EC\2017-06-29-refined-times.txt</v>
      </c>
      <c r="AI7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ID","value":"159-29"},{"id":16,"name":"Locomotive ID","value":"4006"},{"id":130,"name":"Impact","value":""},{"id":150,"name":"Time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4006 --day 2017-06-29</v>
      </c>
      <c r="AN7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714</v>
      </c>
      <c r="B72" s="7">
        <v>4005</v>
      </c>
      <c r="C72" s="21" t="s">
        <v>201</v>
      </c>
      <c r="D72" s="21" t="s">
        <v>547</v>
      </c>
      <c r="E72" s="13">
        <v>42915.494814814818</v>
      </c>
      <c r="F72" s="13">
        <v>42915.498090277775</v>
      </c>
      <c r="G72" s="7">
        <v>1</v>
      </c>
      <c r="H72" s="21" t="s">
        <v>392</v>
      </c>
      <c r="I72" s="13">
        <v>42915.523530092592</v>
      </c>
      <c r="J72" s="7">
        <v>0</v>
      </c>
      <c r="K72" s="89" t="str">
        <f t="shared" si="0"/>
        <v>4005/4006</v>
      </c>
      <c r="L72" s="21" t="str">
        <f>VLOOKUP(A72,'Trips&amp;Operators'!$C$1:$G$99999,5,FALSE)</f>
        <v>HELVIE ADAM</v>
      </c>
      <c r="M72" s="6">
        <f t="shared" si="1"/>
        <v>2.5439814817218576E-2</v>
      </c>
      <c r="N72" s="7">
        <f t="shared" si="26"/>
        <v>36.633333336794749</v>
      </c>
      <c r="O72" s="7"/>
      <c r="P72" s="7"/>
      <c r="Q72" s="22"/>
      <c r="R72" s="170"/>
      <c r="S72" s="213">
        <f t="shared" si="24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-29T10:52:32-0600',mode:absolute,to:'2017-06-29T13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97" t="str">
        <f>IF(AA72&lt;VLOOKUP(AG72,Variables!$AC$3:$AD$8,2,FALSE),"Y","N")</f>
        <v>N</v>
      </c>
      <c r="X72" s="197">
        <f t="shared" si="27"/>
        <v>1</v>
      </c>
      <c r="Y72" s="197">
        <f t="shared" si="7"/>
        <v>23.299299999999999</v>
      </c>
      <c r="Z72" s="197">
        <f t="shared" si="8"/>
        <v>1.54E-2</v>
      </c>
      <c r="AA72" s="197">
        <f t="shared" si="9"/>
        <v>23.283899999999999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72" s="74" t="str">
        <f t="shared" si="12"/>
        <v>"C:\Program Files (x86)\AstroGrep\AstroGrep.exe" /e /r /s /spath="%USERPROFILE%\AppData\Local\Temp\OnboardLogs" /stypes="app*4005*20170629*"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160-29 --locoid 4005 --swversion DE.1.0.9.0 --startMP 204:232993 --initTime 2017-06-29T11:52:32 --startdatetime 2017-06-29T11:57:15 --delay 1 --endMP 204:154 --enddatetime 2017-06-29T12:33:53 --enforcementcount 0 &gt;&gt;C:\Users\stu\Documents\GitHub\eaglep3-reporting\EC\2017-06-29-refined-times.txt</v>
      </c>
      <c r="AI7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ID","value":"160-29"},{"id":16,"name":"Locomotive ID","value":"4005"},{"id":130,"name":"Impact","value":""},{"id":150,"name":"Time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4005 --day 2017-06-29</v>
      </c>
      <c r="AN7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589</v>
      </c>
      <c r="B73" s="7">
        <v>4060</v>
      </c>
      <c r="C73" s="21" t="s">
        <v>201</v>
      </c>
      <c r="D73" s="21" t="s">
        <v>922</v>
      </c>
      <c r="E73" s="13">
        <v>42915.46539351852</v>
      </c>
      <c r="F73" s="13">
        <v>42915.469143518516</v>
      </c>
      <c r="G73" s="7">
        <v>2</v>
      </c>
      <c r="H73" s="21" t="s">
        <v>925</v>
      </c>
      <c r="I73" s="13">
        <v>42915.495451388888</v>
      </c>
      <c r="J73" s="7">
        <v>0</v>
      </c>
      <c r="K73" s="89" t="str">
        <f t="shared" si="0"/>
        <v>4059/4060</v>
      </c>
      <c r="L73" s="21" t="str">
        <f>VLOOKUP(A73,'Trips&amp;Operators'!$C$1:$G$99999,5,FALSE)</f>
        <v>STEWART MICHAEL</v>
      </c>
      <c r="M73" s="6">
        <f t="shared" si="1"/>
        <v>2.6307870371965691E-2</v>
      </c>
      <c r="N73" s="7">
        <f t="shared" si="26"/>
        <v>37.883333335630596</v>
      </c>
      <c r="O73" s="7"/>
      <c r="P73" s="7"/>
      <c r="Q73" s="22"/>
      <c r="R73" s="170"/>
      <c r="S73" s="213">
        <f t="shared" si="24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-29T10:10:10-0600',mode:absolute,to:'2017-06-29T12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197" t="str">
        <f>IF(AA73&lt;VLOOKUP(AG73,Variables!$AC$3:$AD$8,2,FALSE),"Y","N")</f>
        <v>N</v>
      </c>
      <c r="X73" s="197">
        <f t="shared" si="27"/>
        <v>1</v>
      </c>
      <c r="Y73" s="197">
        <f t="shared" si="7"/>
        <v>4.58E-2</v>
      </c>
      <c r="Z73" s="197">
        <f t="shared" si="8"/>
        <v>23.331199999999999</v>
      </c>
      <c r="AA73" s="197">
        <f t="shared" si="9"/>
        <v>23.285399999999999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73" s="74" t="str">
        <f t="shared" si="12"/>
        <v>"C:\Program Files (x86)\AstroGrep\AstroGrep.exe" /e /r /s /spath="%USERPROFILE%\AppData\Local\Temp\OnboardLogs" /stypes="app*4060*20170629*"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161-29 --locoid 4060 --swversion DE.1.0.9.0 --startMP 204:458 --initTime 2017-06-29T11:10:10 --startdatetime 2017-06-29T11:15:34 --delay 2 --endMP 204:233312 --enddatetime 2017-06-29T11:53:27 --enforcementcount 0 &gt;&gt;C:\Users\stu\Documents\GitHub\eaglep3-reporting\EC\2017-06-29-refined-times.txt</v>
      </c>
      <c r="AI7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{"issue":{"subject":"","project_id":79,"tracker_id":40,"status_id":1,"priority_id":2,"assigned_to_id":23,"start_date":"2017-06-29","description":"","custom_fields":[{"id":1,"name":"Subdivision","value":"EC"},{"id":4,"name":"Milepost","value":"23.3312"},{"id":17,"name":"Train ID","value":"161-29"},{"id":16,"name":"Locomotive ID","value":"4060"},{"id":130,"name":"Impact","value":""},{"id":150,"name":"Time of Event (Mountain Time)","value":"11:53:27"},{"id":151,"name":"Denver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4060 --day 2017-06-29</v>
      </c>
      <c r="AN7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4059</v>
      </c>
      <c r="C74" s="21" t="s">
        <v>201</v>
      </c>
      <c r="D74" s="21" t="s">
        <v>838</v>
      </c>
      <c r="E74" s="13">
        <v>42915.505335648151</v>
      </c>
      <c r="F74" s="13">
        <v>42915.508564814816</v>
      </c>
      <c r="G74" s="7">
        <v>1</v>
      </c>
      <c r="H74" s="21" t="s">
        <v>347</v>
      </c>
      <c r="I74" s="13">
        <v>42915.53528935185</v>
      </c>
      <c r="J74" s="7">
        <v>0</v>
      </c>
      <c r="K74" s="89" t="str">
        <f t="shared" si="0"/>
        <v>4059/4060</v>
      </c>
      <c r="L74" s="21" t="str">
        <f>VLOOKUP(A74,'Trips&amp;Operators'!$C$1:$G$99999,5,FALSE)</f>
        <v>STEWART MICHAEL</v>
      </c>
      <c r="M74" s="6">
        <f t="shared" si="1"/>
        <v>2.6724537034169771E-2</v>
      </c>
      <c r="N74" s="7">
        <f t="shared" si="26"/>
        <v>38.48333332920447</v>
      </c>
      <c r="O74" s="7"/>
      <c r="P74" s="7"/>
      <c r="Q74" s="22"/>
      <c r="R74" s="170"/>
      <c r="S74" s="213">
        <f t="shared" si="24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-29T11:07:41-0600',mode:absolute,to:'2017-06-29T13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197" t="str">
        <f>IF(AA74&lt;VLOOKUP(AG74,Variables!$AC$3:$AD$8,2,FALSE),"Y","N")</f>
        <v>N</v>
      </c>
      <c r="X74" s="197">
        <f t="shared" ref="X74:X105" si="28">VALUE(LEFT(AD74,4))-VALUE(LEFT(AD73,4))</f>
        <v>1</v>
      </c>
      <c r="Y74" s="197">
        <f t="shared" si="7"/>
        <v>23.297499999999999</v>
      </c>
      <c r="Z74" s="197">
        <f t="shared" si="8"/>
        <v>1.49E-2</v>
      </c>
      <c r="AA74" s="197">
        <f t="shared" si="9"/>
        <v>23.282599999999999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74" s="74" t="str">
        <f t="shared" si="12"/>
        <v>"C:\Program Files (x86)\AstroGrep\AstroGrep.exe" /e /r /s /spath="%USERPROFILE%\AppData\Local\Temp\OnboardLogs" /stypes="app*4059*20170629*"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162-29 --locoid 4059 --swversion DE.1.0.9.0 --startMP 204:232975 --initTime 2017-06-29T12:07:41 --startdatetime 2017-06-29T12:12:20 --delay 1 --endMP 204:149 --enddatetime 2017-06-29T12:50:49 --enforcementcount 0 &gt;&gt;C:\Users\stu\Documents\GitHub\eaglep3-reporting\EC\2017-06-29-refined-times.txt</v>
      </c>
      <c r="AI7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ID","value":"162-29"},{"id":16,"name":"Locomotive ID","value":"4059"},{"id":130,"name":"Impact","value":""},{"id":150,"name":"Time of Event (Mountain Time)","value":"12:50:49"},{"id":151,"name":"Denver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4059 --day 2017-06-29</v>
      </c>
      <c r="AN7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710</v>
      </c>
      <c r="B75" s="7">
        <v>4062</v>
      </c>
      <c r="C75" s="21" t="s">
        <v>201</v>
      </c>
      <c r="D75" s="21" t="s">
        <v>926</v>
      </c>
      <c r="E75" s="13">
        <v>42915.474606481483</v>
      </c>
      <c r="F75" s="13">
        <v>42915.479317129626</v>
      </c>
      <c r="G75" s="7">
        <v>2</v>
      </c>
      <c r="H75" s="21" t="s">
        <v>839</v>
      </c>
      <c r="I75" s="13">
        <v>42915.503784722219</v>
      </c>
      <c r="J75" s="7">
        <v>0</v>
      </c>
      <c r="K75" s="89" t="str">
        <f t="shared" si="0"/>
        <v>4061/4062</v>
      </c>
      <c r="L75" s="21" t="str">
        <f>VLOOKUP(A75,'Trips&amp;Operators'!$C$1:$G$99999,5,FALSE)</f>
        <v>ROMERO CHAD</v>
      </c>
      <c r="M75" s="6">
        <f t="shared" si="1"/>
        <v>2.4467592593282461E-2</v>
      </c>
      <c r="N75" s="7">
        <f t="shared" si="26"/>
        <v>35.233333334326744</v>
      </c>
      <c r="O75" s="7"/>
      <c r="P75" s="7"/>
      <c r="Q75" s="22"/>
      <c r="R75" s="170"/>
      <c r="S75" s="213">
        <f t="shared" si="24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-29T10:23:26-0600',mode:absolute,to:'2017-06-29T13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5" s="197" t="str">
        <f>IF(AA75&lt;VLOOKUP(AG75,Variables!$AC$3:$AD$8,2,FALSE),"Y","N")</f>
        <v>N</v>
      </c>
      <c r="X75" s="197">
        <f t="shared" si="28"/>
        <v>1</v>
      </c>
      <c r="Y75" s="197">
        <f t="shared" si="7"/>
        <v>4.4600000000000001E-2</v>
      </c>
      <c r="Z75" s="197">
        <f t="shared" si="8"/>
        <v>23.338899999999999</v>
      </c>
      <c r="AA75" s="197">
        <f t="shared" si="9"/>
        <v>23.2943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75" s="74" t="str">
        <f t="shared" si="12"/>
        <v>"C:\Program Files (x86)\AstroGrep\AstroGrep.exe" /e /r /s /spath="%USERPROFILE%\AppData\Local\Temp\OnboardLogs" /stypes="app*4062*20170629*"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163-29 --locoid 4062 --swversion DE.1.0.9.0 --startMP 204:446 --initTime 2017-06-29T11:23:26 --startdatetime 2017-06-29T11:30:13 --delay 2 --endMP 204:233389 --enddatetime 2017-06-29T12:05:27 --enforcementcount 0 &gt;&gt;C:\Users\stu\Documents\GitHub\eaglep3-reporting\EC\2017-06-29-refined-times.txt</v>
      </c>
      <c r="AI7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{"issue":{"subject":"","project_id":79,"tracker_id":40,"status_id":1,"priority_id":2,"assigned_to_id":23,"start_date":"2017-06-29","description":"","custom_fields":[{"id":1,"name":"Subdivision","value":"EC"},{"id":4,"name":"Milepost","value":"23.3389"},{"id":17,"name":"Train ID","value":"163-29"},{"id":16,"name":"Locomotive ID","value":"4062"},{"id":130,"name":"Impact","value":""},{"id":150,"name":"Time of Event (Mountain Time)","value":"12:05:27"},{"id":151,"name":"Denver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4062 --day 2017-06-29</v>
      </c>
      <c r="AN7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590</v>
      </c>
      <c r="B76" s="7">
        <v>4061</v>
      </c>
      <c r="C76" s="21" t="s">
        <v>201</v>
      </c>
      <c r="D76" s="21" t="s">
        <v>927</v>
      </c>
      <c r="E76" s="13">
        <v>42915.504953703705</v>
      </c>
      <c r="F76" s="13">
        <v>42915.51902777778</v>
      </c>
      <c r="G76" s="7">
        <v>1</v>
      </c>
      <c r="H76" s="21" t="s">
        <v>357</v>
      </c>
      <c r="I76" s="13">
        <v>42915.545868055553</v>
      </c>
      <c r="J76" s="7">
        <v>0</v>
      </c>
      <c r="K76" s="89" t="str">
        <f t="shared" si="0"/>
        <v>4061/4062</v>
      </c>
      <c r="L76" s="21" t="str">
        <f>VLOOKUP(A76,'Trips&amp;Operators'!$C$1:$G$99999,5,FALSE)</f>
        <v>ROMERO CHAD</v>
      </c>
      <c r="M76" s="6">
        <f t="shared" si="1"/>
        <v>2.6840277772862464E-2</v>
      </c>
      <c r="N76" s="7">
        <f t="shared" si="26"/>
        <v>38.649999992921948</v>
      </c>
      <c r="O76" s="7"/>
      <c r="P76" s="7"/>
      <c r="Q76" s="22"/>
      <c r="R76" s="170"/>
      <c r="S76" s="213">
        <f t="shared" si="24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-29T11:07:08-0600',mode:absolute,to:'2017-06-29T14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6" s="197" t="str">
        <f>IF(AA76&lt;VLOOKUP(AG76,Variables!$AC$3:$AD$8,2,FALSE),"Y","N")</f>
        <v>N</v>
      </c>
      <c r="X76" s="197">
        <f t="shared" si="28"/>
        <v>1</v>
      </c>
      <c r="Y76" s="197">
        <f t="shared" si="7"/>
        <v>23.308299999999999</v>
      </c>
      <c r="Z76" s="197">
        <f t="shared" si="8"/>
        <v>1.47E-2</v>
      </c>
      <c r="AA76" s="197">
        <f t="shared" si="9"/>
        <v>23.293599999999998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76" s="74" t="str">
        <f t="shared" si="12"/>
        <v>"C:\Program Files (x86)\AstroGrep\AstroGrep.exe" /e /r /s /spath="%USERPROFILE%\AppData\Local\Temp\OnboardLogs" /stypes="app*4061*20170629*"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ref="AH76:AH139" si="2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164-29 --locoid 4061 --swversion DE.1.0.9.0 --startMP 204:233083 --initTime 2017-06-29T12:07:08 --startdatetime 2017-06-29T12:27:24 --delay 1 --endMP 204:147 --enddatetime 2017-06-29T13:06:03 --enforcementcount 0 &gt;&gt;C:\Users\stu\Documents\GitHub\eaglep3-reporting\EC\2017-06-29-refined-times.txt</v>
      </c>
      <c r="AI76" s="96" t="str">
        <f t="shared" ref="AI76:AI139" si="30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ID","value":"164-29"},{"id":16,"name":"Locomotive ID","value":"4061"},{"id":130,"name":"Impact","value":""},{"id":150,"name":"Time of Event (Mountain Time)","value":"13:06:03"},{"id":151,"name":"Denver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ref="AM76:AM139" si="31">"start /low /b "&amp;dls3logs&amp;" --loco "&amp;B76&amp;" --day "&amp;TEXT(F76,"YYYY-MM-DD")</f>
        <v>start /low /b %USERPROFILE%\Documents\GitHub\eaglep3\Utilities\DownloadLogsFromS3.py --loco 4061 --day 2017-06-29</v>
      </c>
      <c r="AN76" s="151" t="str">
        <f t="shared" ref="AN76:AN139" si="32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713</v>
      </c>
      <c r="B77" s="7">
        <v>4028</v>
      </c>
      <c r="C77" s="21" t="s">
        <v>201</v>
      </c>
      <c r="D77" s="21" t="s">
        <v>452</v>
      </c>
      <c r="E77" s="13">
        <v>42915.485520833332</v>
      </c>
      <c r="F77" s="13">
        <v>42915.489745370367</v>
      </c>
      <c r="G77" s="7">
        <v>1</v>
      </c>
      <c r="H77" s="21" t="s">
        <v>928</v>
      </c>
      <c r="I77" s="13">
        <v>42915.515173611115</v>
      </c>
      <c r="J77" s="7">
        <v>0</v>
      </c>
      <c r="K77" s="89" t="str">
        <f t="shared" ref="K77:K140" si="33">IF(ISEVEN(B77),(B77-1)&amp;"/"&amp;B77,B77&amp;"/"&amp;(B77+1))</f>
        <v>4027/4028</v>
      </c>
      <c r="L77" s="21" t="str">
        <f>VLOOKUP(A77,'Trips&amp;Operators'!$C$1:$G$99999,5,FALSE)</f>
        <v>LEVIN SCOTT</v>
      </c>
      <c r="M77" s="6">
        <f t="shared" ref="M77:M140" si="34">I77-F77</f>
        <v>2.5428240747714881E-2</v>
      </c>
      <c r="N77" s="7">
        <f t="shared" si="26"/>
        <v>36.616666676709428</v>
      </c>
      <c r="O77" s="7"/>
      <c r="P77" s="7"/>
      <c r="Q77" s="22"/>
      <c r="R77" s="170"/>
      <c r="S77" s="213">
        <f t="shared" ref="S77:S108" si="35">SUM(U77:U77)/IF(AG77="EC",12,1)</f>
        <v>1</v>
      </c>
      <c r="T77" s="195" t="str">
        <f t="shared" ref="T77:T140" si="3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-29T10:39:09-0600',mode:absolute,to:'2017-06-29T13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97" t="str">
        <f>IF(AA77&lt;VLOOKUP(AG77,Variables!$AC$3:$AD$8,2,FALSE),"Y","N")</f>
        <v>N</v>
      </c>
      <c r="X77" s="197">
        <f t="shared" si="28"/>
        <v>1</v>
      </c>
      <c r="Y77" s="197">
        <f t="shared" ref="Y77:Y140" si="38">RIGHT(D77,LEN(D77)-4)/10000</f>
        <v>4.6399999999999997E-2</v>
      </c>
      <c r="Z77" s="197">
        <f t="shared" ref="Z77:Z140" si="39">RIGHT(H77,LEN(H77)-4)/10000</f>
        <v>23.3428</v>
      </c>
      <c r="AA77" s="197">
        <f t="shared" ref="AA77:AA140" si="40">ABS(Z77-Y77)</f>
        <v>23.296400000000002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1">VALUE(LEFT(A77,LEN(A77)-3))</f>
        <v>165</v>
      </c>
      <c r="AE77" s="7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77" s="74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/stypes="app*4028*20170629*"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4">DetSubdiv(A77)</f>
        <v>EC</v>
      </c>
      <c r="AH77" s="78" t="str">
        <f t="shared" si="29"/>
        <v>"%USERPROFILE%\Documents\GitHub\eaglep3\Utilities\RefineRTDCRunTimes.py" --tripid 165-29 --locoid 4028 --swversion DE.1.0.9.0 --startMP 204:464 --initTime 2017-06-29T11:39:09 --startdatetime 2017-06-29T11:45:14 --delay 1 --endMP 204:233428 --enddatetime 2017-06-29T12:21:51 --enforcementcount 0 &gt;&gt;C:\Users\stu\Documents\GitHub\eaglep3-reporting\EC\2017-06-29-refined-times.txt</v>
      </c>
      <c r="AI7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{"issue":{"subject":"","project_id":79,"tracker_id":40,"status_id":1,"priority_id":2,"assigned_to_id":23,"start_date":"2017-06-29","description":"","custom_fields":[{"id":1,"name":"Subdivision","value":"EC"},{"id":4,"name":"Milepost","value":"23.3428"},{"id":17,"name":"Train ID","value":"165-29"},{"id":16,"name":"Locomotive ID","value":"4028"},{"id":130,"name":"Impact","value":""},{"id":150,"name":"Time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1"/>
        <v>start /low /b %USERPROFILE%\Documents\GitHub\eaglep3\Utilities\DownloadLogsFromS3.py --loco 4028 --day 2017-06-29</v>
      </c>
      <c r="AN7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721</v>
      </c>
      <c r="B78" s="7">
        <v>4027</v>
      </c>
      <c r="C78" s="21" t="s">
        <v>201</v>
      </c>
      <c r="D78" s="21" t="s">
        <v>929</v>
      </c>
      <c r="E78" s="13">
        <v>42915.527141203704</v>
      </c>
      <c r="F78" s="13">
        <v>42915.529328703706</v>
      </c>
      <c r="G78" s="7">
        <v>1</v>
      </c>
      <c r="H78" s="21" t="s">
        <v>354</v>
      </c>
      <c r="I78" s="13">
        <v>42915.554965277777</v>
      </c>
      <c r="J78" s="7">
        <v>0</v>
      </c>
      <c r="K78" s="89" t="str">
        <f t="shared" si="33"/>
        <v>4027/4028</v>
      </c>
      <c r="L78" s="21" t="str">
        <f>VLOOKUP(A78,'Trips&amp;Operators'!$C$1:$G$99999,5,FALSE)</f>
        <v>LEVIN SCOTT</v>
      </c>
      <c r="M78" s="6">
        <f t="shared" si="34"/>
        <v>2.5636574071540963E-2</v>
      </c>
      <c r="N78" s="7">
        <f t="shared" si="26"/>
        <v>36.916666663018987</v>
      </c>
      <c r="O78" s="7"/>
      <c r="P78" s="7"/>
      <c r="Q78" s="22"/>
      <c r="R78" s="170"/>
      <c r="S78" s="213">
        <f t="shared" si="35"/>
        <v>1</v>
      </c>
      <c r="T78" s="195" t="str">
        <f t="shared" si="3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7"/>
        <v>https://d0f6bd738d7f1b3e5a7ca70fe4ff75f0.us-east-1.aws.found.io/app/kibana#/discover/Steve-Slow-Train-Analysis-(2080s-and-2083s)?_g=(refreshInterval:(display:Off,pause:!f,section:0,value:0),time:(from:'2017-06-29T11:39:05-0600',mode:absolute,to:'2017-06-29T14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38"/>
        <v>23.308599999999998</v>
      </c>
      <c r="Z78" s="197">
        <f t="shared" si="39"/>
        <v>1.3899999999999999E-2</v>
      </c>
      <c r="AA78" s="197">
        <f t="shared" si="40"/>
        <v>23.294699999999999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1"/>
        <v>166</v>
      </c>
      <c r="AE78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78" s="74" t="str">
        <f t="shared" si="43"/>
        <v>"C:\Program Files (x86)\AstroGrep\AstroGrep.exe" /e /r /s /spath="%USERPROFILE%\AppData\Local\Temp\OnboardLogs" /stypes="app*4027*20170629*" /stext=" 19:.+((SYSTEM_STATE.+slice.+state.+changed )|(ment ac)|(multiple cpu faults)|(system.+state.+changed )|(\[timeout)|(PRM\|1\|D)|(kpr)|(kdp)|(train st.+moving)|(\|lc)|(penalty))"</v>
      </c>
      <c r="AG78" s="209" t="str">
        <f t="shared" si="44"/>
        <v>EC</v>
      </c>
      <c r="AH78" s="78" t="str">
        <f t="shared" si="29"/>
        <v>"%USERPROFILE%\Documents\GitHub\eaglep3\Utilities\RefineRTDCRunTimes.py" --tripid 166-29 --locoid 4027 --swversion DE.1.0.9.0 --startMP 204:233086 --initTime 2017-06-29T12:39:05 --startdatetime 2017-06-29T12:42:14 --delay 1 --endMP 204:139 --enddatetime 2017-06-29T13:19:09 --enforcementcount 0 &gt;&gt;C:\Users\stu\Documents\GitHub\eaglep3-reporting\EC\2017-06-29-refined-times.txt</v>
      </c>
      <c r="AI7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{"issue":{"subject":"","project_id":79,"tracker_id":40,"status_id":1,"priority_id":2,"assigned_to_id":23,"start_date":"2017-06-29","description":"","custom_fields":[{"id":1,"name":"Subdivision","value":"EC"},{"id":4,"name":"Milepost","value":"0.0139"},{"id":17,"name":"Train ID","value":"166-29"},{"id":16,"name":"Locomotive ID","value":"4027"},{"id":130,"name":"Impact","value":""},{"id":150,"name":"Time of Event (Mountain Time)","value":"13:19:09"},{"id":151,"name":"Denver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1"/>
        <v>start /low /b %USERPROFILE%\Documents\GitHub\eaglep3\Utilities\DownloadLogsFromS3.py --loco 4027 --day 2017-06-29</v>
      </c>
      <c r="AN7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4050</v>
      </c>
      <c r="C79" s="21" t="s">
        <v>201</v>
      </c>
      <c r="D79" s="21" t="s">
        <v>352</v>
      </c>
      <c r="E79" s="13">
        <v>42915.496886574074</v>
      </c>
      <c r="F79" s="13">
        <v>42915.500567129631</v>
      </c>
      <c r="G79" s="7">
        <v>2</v>
      </c>
      <c r="H79" s="21" t="s">
        <v>930</v>
      </c>
      <c r="I79" s="13">
        <v>42915.524687500001</v>
      </c>
      <c r="J79" s="7">
        <v>0</v>
      </c>
      <c r="K79" s="89" t="str">
        <f t="shared" si="33"/>
        <v>4049/4050</v>
      </c>
      <c r="L79" s="21" t="str">
        <f>VLOOKUP(A79,'Trips&amp;Operators'!$C$1:$G$99999,5,FALSE)</f>
        <v>DELGADO DIANAH</v>
      </c>
      <c r="M79" s="6">
        <f t="shared" si="34"/>
        <v>2.4120370369928423E-2</v>
      </c>
      <c r="N79" s="7">
        <f t="shared" si="26"/>
        <v>34.73333333269693</v>
      </c>
      <c r="O79" s="7"/>
      <c r="P79" s="7"/>
      <c r="Q79" s="22"/>
      <c r="R79" s="170"/>
      <c r="S79" s="213">
        <f t="shared" si="35"/>
        <v>1</v>
      </c>
      <c r="T79" s="195" t="str">
        <f t="shared" si="3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7"/>
        <v>https://d0f6bd738d7f1b3e5a7ca70fe4ff75f0.us-east-1.aws.found.io/app/kibana#/discover/Steve-Slow-Train-Analysis-(2080s-and-2083s)?_g=(refreshInterval:(display:Off,pause:!f,section:0,value:0),time:(from:'2017-06-29T10:55:31-0600',mode:absolute,to:'2017-06-29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38"/>
        <v>4.53E-2</v>
      </c>
      <c r="Z79" s="197">
        <f t="shared" si="39"/>
        <v>23.338699999999999</v>
      </c>
      <c r="AA79" s="197">
        <f t="shared" si="40"/>
        <v>23.293399999999998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1"/>
        <v>167</v>
      </c>
      <c r="AE79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79" s="74" t="str">
        <f t="shared" si="43"/>
        <v>"C:\Program Files (x86)\AstroGrep\AstroGrep.exe" /e /r /s /spath="%USERPROFILE%\AppData\Local\Temp\OnboardLogs" /stypes="app*4050*20170629*" /stext=" 18:.+((SYSTEM_STATE.+slice.+state.+changed )|(ment ac)|(multiple cpu faults)|(system.+state.+changed )|(\[timeout)|(PRM\|1\|D)|(kpr)|(kdp)|(train st.+moving)|(\|lc)|(penalty))"</v>
      </c>
      <c r="AG79" s="209" t="str">
        <f t="shared" si="44"/>
        <v>EC</v>
      </c>
      <c r="AH79" s="78" t="str">
        <f t="shared" si="29"/>
        <v>"%USERPROFILE%\Documents\GitHub\eaglep3\Utilities\RefineRTDCRunTimes.py" --tripid 167-29 --locoid 4050 --swversion DE.1.0.9.0 --startMP 204:453 --initTime 2017-06-29T11:55:31 --startdatetime 2017-06-29T12:00:49 --delay 2 --endMP 204:233387 --enddatetime 2017-06-29T12:35:33 --enforcementcount 0 &gt;&gt;C:\Users\stu\Documents\GitHub\eaglep3-reporting\EC\2017-06-29-refined-times.txt</v>
      </c>
      <c r="AI7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{"issue":{"subject":"","project_id":79,"tracker_id":40,"status_id":1,"priority_id":2,"assigned_to_id":23,"start_date":"2017-06-29","description":"","custom_fields":[{"id":1,"name":"Subdivision","value":"EC"},{"id":4,"name":"Milepost","value":"23.3387"},{"id":17,"name":"Train ID","value":"167-29"},{"id":16,"name":"Locomotive ID","value":"4050"},{"id":130,"name":"Impact","value":""},{"id":150,"name":"Time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1"/>
        <v>start /low /b %USERPROFILE%\Documents\GitHub\eaglep3\Utilities\DownloadLogsFromS3.py --loco 4050 --day 2017-06-29</v>
      </c>
      <c r="AN7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722</v>
      </c>
      <c r="B80" s="7">
        <v>4049</v>
      </c>
      <c r="C80" s="21" t="s">
        <v>201</v>
      </c>
      <c r="D80" s="21" t="s">
        <v>931</v>
      </c>
      <c r="E80" s="13">
        <v>42915.536504629628</v>
      </c>
      <c r="F80" s="13">
        <v>42915.539768518516</v>
      </c>
      <c r="G80" s="7">
        <v>1</v>
      </c>
      <c r="H80" s="21" t="s">
        <v>434</v>
      </c>
      <c r="I80" s="13">
        <v>42915.565312500003</v>
      </c>
      <c r="J80" s="7">
        <v>0</v>
      </c>
      <c r="K80" s="89" t="str">
        <f t="shared" si="33"/>
        <v>4049/4050</v>
      </c>
      <c r="L80" s="21" t="str">
        <f>VLOOKUP(A80,'Trips&amp;Operators'!$C$1:$G$99999,5,FALSE)</f>
        <v>DELGADO DIANAH</v>
      </c>
      <c r="M80" s="6">
        <f t="shared" si="34"/>
        <v>2.5543981486407574E-2</v>
      </c>
      <c r="N80" s="7">
        <f t="shared" si="26"/>
        <v>36.783333340426907</v>
      </c>
      <c r="O80" s="7"/>
      <c r="P80" s="7"/>
      <c r="Q80" s="22"/>
      <c r="R80" s="170"/>
      <c r="S80" s="213">
        <f t="shared" si="35"/>
        <v>1</v>
      </c>
      <c r="T80" s="195" t="str">
        <f t="shared" si="3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7"/>
        <v>https://d0f6bd738d7f1b3e5a7ca70fe4ff75f0.us-east-1.aws.found.io/app/kibana#/discover/Steve-Slow-Train-Analysis-(2080s-and-2083s)?_g=(refreshInterval:(display:Off,pause:!f,section:0,value:0),time:(from:'2017-06-29T11:52:34-0600',mode:absolute,to:'2017-06-29T14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38"/>
        <v>23.308900000000001</v>
      </c>
      <c r="Z80" s="197">
        <f t="shared" si="39"/>
        <v>1.5599999999999999E-2</v>
      </c>
      <c r="AA80" s="197">
        <f t="shared" si="40"/>
        <v>23.293300000000002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1"/>
        <v>168</v>
      </c>
      <c r="AE80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80" s="74" t="str">
        <f t="shared" si="43"/>
        <v>"C:\Program Files (x86)\AstroGrep\AstroGrep.exe" /e /r /s /spath="%USERPROFILE%\AppData\Local\Temp\OnboardLogs" /stypes="app*4049*20170629*" /stext=" 19:.+((SYSTEM_STATE.+slice.+state.+changed )|(ment ac)|(multiple cpu faults)|(system.+state.+changed )|(\[timeout)|(PRM\|1\|D)|(kpr)|(kdp)|(train st.+moving)|(\|lc)|(penalty))"</v>
      </c>
      <c r="AG80" s="209" t="str">
        <f t="shared" si="44"/>
        <v>EC</v>
      </c>
      <c r="AH80" s="78" t="str">
        <f t="shared" si="29"/>
        <v>"%USERPROFILE%\Documents\GitHub\eaglep3\Utilities\RefineRTDCRunTimes.py" --tripid 168-29 --locoid 4049 --swversion DE.1.0.9.0 --startMP 204:233089 --initTime 2017-06-29T12:52:34 --startdatetime 2017-06-29T12:57:16 --delay 1 --endMP 204:156 --enddatetime 2017-06-29T13:34:03 --enforcementcount 0 &gt;&gt;C:\Users\stu\Documents\GitHub\eaglep3-reporting\EC\2017-06-29-refined-times.txt</v>
      </c>
      <c r="AI8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{"issue":{"subject":"","project_id":79,"tracker_id":40,"status_id":1,"priority_id":2,"assigned_to_id":23,"start_date":"2017-06-29","description":"","custom_fields":[{"id":1,"name":"Subdivision","value":"EC"},{"id":4,"name":"Milepost","value":"0.0156"},{"id":17,"name":"Train ID","value":"168-29"},{"id":16,"name":"Locomotive ID","value":"4049"},{"id":130,"name":"Impact","value":""},{"id":150,"name":"Time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1"/>
        <v>start /low /b %USERPROFILE%\Documents\GitHub\eaglep3\Utilities\DownloadLogsFromS3.py --loco 4049 --day 2017-06-29</v>
      </c>
      <c r="AN8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4056</v>
      </c>
      <c r="C81" s="21" t="s">
        <v>201</v>
      </c>
      <c r="D81" s="21" t="s">
        <v>389</v>
      </c>
      <c r="E81" s="13">
        <v>42915.506099537037</v>
      </c>
      <c r="F81" s="13">
        <v>42915.510810185187</v>
      </c>
      <c r="G81" s="7">
        <v>1</v>
      </c>
      <c r="H81" s="21" t="s">
        <v>478</v>
      </c>
      <c r="I81" s="13">
        <v>42915.537245370368</v>
      </c>
      <c r="J81" s="7">
        <v>0</v>
      </c>
      <c r="K81" s="89" t="str">
        <f t="shared" si="33"/>
        <v>4055/4056</v>
      </c>
      <c r="L81" s="21" t="str">
        <f>VLOOKUP(A81,'Trips&amp;Operators'!$C$1:$G$99999,5,FALSE)</f>
        <v>LEVERE CRAIG</v>
      </c>
      <c r="M81" s="6">
        <f t="shared" si="34"/>
        <v>2.643518518016208E-2</v>
      </c>
      <c r="N81" s="7">
        <f t="shared" si="26"/>
        <v>38.066666659433395</v>
      </c>
      <c r="O81" s="7"/>
      <c r="P81" s="7"/>
      <c r="Q81" s="22"/>
      <c r="R81" s="170"/>
      <c r="S81" s="213">
        <f t="shared" si="35"/>
        <v>1</v>
      </c>
      <c r="T81" s="195" t="str">
        <f t="shared" si="3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7"/>
        <v>https://d0f6bd738d7f1b3e5a7ca70fe4ff75f0.us-east-1.aws.found.io/app/kibana#/discover/Steve-Slow-Train-Analysis-(2080s-and-2083s)?_g=(refreshInterval:(display:Off,pause:!f,section:0,value:0),time:(from:'2017-06-29T11:08:47-0600',mode:absolute,to:'2017-06-29T13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38"/>
        <v>4.6199999999999998E-2</v>
      </c>
      <c r="Z81" s="197">
        <f t="shared" si="39"/>
        <v>23.330100000000002</v>
      </c>
      <c r="AA81" s="197">
        <f t="shared" si="40"/>
        <v>23.283900000000003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1"/>
        <v>169</v>
      </c>
      <c r="AE81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81" s="74" t="str">
        <f t="shared" si="43"/>
        <v>"C:\Program Files (x86)\AstroGrep\AstroGrep.exe" /e /r /s /spath="%USERPROFILE%\AppData\Local\Temp\OnboardLogs" /stypes="app*4056*20170629*" /stext=" 18:.+((SYSTEM_STATE.+slice.+state.+changed )|(ment ac)|(multiple cpu faults)|(system.+state.+changed )|(\[timeout)|(PRM\|1\|D)|(kpr)|(kdp)|(train st.+moving)|(\|lc)|(penalty))"</v>
      </c>
      <c r="AG81" s="209" t="str">
        <f t="shared" si="44"/>
        <v>EC</v>
      </c>
      <c r="AH81" s="78" t="str">
        <f t="shared" si="29"/>
        <v>"%USERPROFILE%\Documents\GitHub\eaglep3\Utilities\RefineRTDCRunTimes.py" --tripid 169-29 --locoid 4056 --swversion DE.1.0.9.0 --startMP 204:462 --initTime 2017-06-29T12:08:47 --startdatetime 2017-06-29T12:15:34 --delay 1 --endMP 204:233301 --enddatetime 2017-06-29T12:53:38 --enforcementcount 0 &gt;&gt;C:\Users\stu\Documents\GitHub\eaglep3-reporting\EC\2017-06-29-refined-times.txt</v>
      </c>
      <c r="AI8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ID","value":"169-29"},{"id":16,"name":"Locomotive ID","value":"4056"},{"id":130,"name":"Impact","value":""},{"id":150,"name":"Time of Event (Mountain Time)","value":"12:53:38"},{"id":151,"name":"Denver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1"/>
        <v>start /low /b %USERPROFILE%\Documents\GitHub\eaglep3\Utilities\DownloadLogsFromS3.py --loco 4056 --day 2017-06-29</v>
      </c>
      <c r="AN8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725</v>
      </c>
      <c r="B82" s="7">
        <v>4055</v>
      </c>
      <c r="C82" s="21" t="s">
        <v>201</v>
      </c>
      <c r="D82" s="21" t="s">
        <v>514</v>
      </c>
      <c r="E82" s="13">
        <v>42915.544050925928</v>
      </c>
      <c r="F82" s="13">
        <v>42915.550196759257</v>
      </c>
      <c r="G82" s="7">
        <v>1</v>
      </c>
      <c r="H82" s="21" t="s">
        <v>932</v>
      </c>
      <c r="I82" s="13">
        <v>42915.577465277776</v>
      </c>
      <c r="J82" s="7">
        <v>0</v>
      </c>
      <c r="K82" s="89" t="str">
        <f t="shared" si="33"/>
        <v>4055/4056</v>
      </c>
      <c r="L82" s="21" t="str">
        <f>VLOOKUP(A82,'Trips&amp;Operators'!$C$1:$G$99999,5,FALSE)</f>
        <v>LEVERE CRAIG</v>
      </c>
      <c r="M82" s="6">
        <f t="shared" si="34"/>
        <v>2.7268518519122154E-2</v>
      </c>
      <c r="N82" s="7">
        <f t="shared" si="26"/>
        <v>39.266666667535901</v>
      </c>
      <c r="O82" s="7"/>
      <c r="P82" s="7"/>
      <c r="Q82" s="22"/>
      <c r="R82" s="170"/>
      <c r="S82" s="213">
        <f t="shared" si="35"/>
        <v>1</v>
      </c>
      <c r="T82" s="195" t="str">
        <f t="shared" si="3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7"/>
        <v>https://d0f6bd738d7f1b3e5a7ca70fe4ff75f0.us-east-1.aws.found.io/app/kibana#/discover/Steve-Slow-Train-Analysis-(2080s-and-2083s)?_g=(refreshInterval:(display:Off,pause:!f,section:0,value:0),time:(from:'2017-06-29T12:03:26-0600',mode:absolute,to:'2017-06-29T14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38"/>
        <v>23.299199999999999</v>
      </c>
      <c r="Z82" s="197">
        <f t="shared" si="39"/>
        <v>1.7399999999999999E-2</v>
      </c>
      <c r="AA82" s="197">
        <f t="shared" si="40"/>
        <v>23.2818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1"/>
        <v>170</v>
      </c>
      <c r="AE82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82" s="74" t="str">
        <f t="shared" si="43"/>
        <v>"C:\Program Files (x86)\AstroGrep\AstroGrep.exe" /e /r /s /spath="%USERPROFILE%\AppData\Local\Temp\OnboardLogs" /stypes="app*4055*20170629*" /stext=" 19:.+((SYSTEM_STATE.+slice.+state.+changed )|(ment ac)|(multiple cpu faults)|(system.+state.+changed )|(\[timeout)|(PRM\|1\|D)|(kpr)|(kdp)|(train st.+moving)|(\|lc)|(penalty))"</v>
      </c>
      <c r="AG82" s="209" t="str">
        <f t="shared" si="44"/>
        <v>EC</v>
      </c>
      <c r="AH82" s="78" t="str">
        <f t="shared" si="29"/>
        <v>"%USERPROFILE%\Documents\GitHub\eaglep3\Utilities\RefineRTDCRunTimes.py" --tripid 170-29 --locoid 4055 --swversion DE.1.0.9.0 --startMP 204:232992 --initTime 2017-06-29T13:03:26 --startdatetime 2017-06-29T13:12:17 --delay 1 --endMP 204:174 --enddatetime 2017-06-29T13:51:33 --enforcementcount 0 &gt;&gt;C:\Users\stu\Documents\GitHub\eaglep3-reporting\EC\2017-06-29-refined-times.txt</v>
      </c>
      <c r="AI8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{"issue":{"subject":"","project_id":79,"tracker_id":40,"status_id":1,"priority_id":2,"assigned_to_id":23,"start_date":"2017-06-29","description":"","custom_fields":[{"id":1,"name":"Subdivision","value":"EC"},{"id":4,"name":"Milepost","value":"0.0174"},{"id":17,"name":"Train ID","value":"170-29"},{"id":16,"name":"Locomotive ID","value":"4055"},{"id":130,"name":"Impact","value":""},{"id":150,"name":"Time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1"/>
        <v>start /low /b %USERPROFILE%\Documents\GitHub\eaglep3\Utilities\DownloadLogsFromS3.py --loco 4055 --day 2017-06-29</v>
      </c>
      <c r="AN8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591</v>
      </c>
      <c r="B83" s="7">
        <v>4010</v>
      </c>
      <c r="C83" s="21" t="s">
        <v>201</v>
      </c>
      <c r="D83" s="21" t="s">
        <v>197</v>
      </c>
      <c r="E83" s="13">
        <v>42915.516388888886</v>
      </c>
      <c r="F83" s="13">
        <v>42915.521041666667</v>
      </c>
      <c r="G83" s="7">
        <v>1</v>
      </c>
      <c r="H83" s="21" t="s">
        <v>820</v>
      </c>
      <c r="I83" s="13">
        <v>42915.546215277776</v>
      </c>
      <c r="J83" s="7">
        <v>0</v>
      </c>
      <c r="K83" s="89" t="str">
        <f t="shared" si="33"/>
        <v>4009/4010</v>
      </c>
      <c r="L83" s="21" t="str">
        <f>VLOOKUP(A83,'Trips&amp;Operators'!$C$1:$G$99999,5,FALSE)</f>
        <v>SULLIVAN BRANDON</v>
      </c>
      <c r="M83" s="6">
        <f t="shared" si="34"/>
        <v>2.5173611109494232E-2</v>
      </c>
      <c r="N83" s="7">
        <f t="shared" si="26"/>
        <v>36.249999997671694</v>
      </c>
      <c r="O83" s="7"/>
      <c r="P83" s="7"/>
      <c r="Q83" s="22"/>
      <c r="R83" s="170"/>
      <c r="S83" s="213">
        <f t="shared" si="35"/>
        <v>1</v>
      </c>
      <c r="T83" s="195" t="str">
        <f t="shared" si="3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7"/>
        <v>https://d0f6bd738d7f1b3e5a7ca70fe4ff75f0.us-east-1.aws.found.io/app/kibana#/discover/Steve-Slow-Train-Analysis-(2080s-and-2083s)?_g=(refreshInterval:(display:Off,pause:!f,section:0,value:0),time:(from:'2017-06-29T11:23:36-0600',mode:absolute,to:'2017-06-29T14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38"/>
        <v>4.5699999999999998E-2</v>
      </c>
      <c r="Z83" s="197">
        <f t="shared" si="39"/>
        <v>23.333600000000001</v>
      </c>
      <c r="AA83" s="197">
        <f t="shared" si="40"/>
        <v>23.2879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1"/>
        <v>171</v>
      </c>
      <c r="AE83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83" s="74" t="str">
        <f t="shared" si="43"/>
        <v>"C:\Program Files (x86)\AstroGrep\AstroGrep.exe" /e /r /s /spath="%USERPROFILE%\AppData\Local\Temp\OnboardLogs" /stypes="app*4010*20170629*" /stext=" 19:.+((SYSTEM_STATE.+slice.+state.+changed )|(ment ac)|(multiple cpu faults)|(system.+state.+changed )|(\[timeout)|(PRM\|1\|D)|(kpr)|(kdp)|(train st.+moving)|(\|lc)|(penalty))"</v>
      </c>
      <c r="AG83" s="209" t="str">
        <f t="shared" si="44"/>
        <v>EC</v>
      </c>
      <c r="AH83" s="78" t="str">
        <f t="shared" si="29"/>
        <v>"%USERPROFILE%\Documents\GitHub\eaglep3\Utilities\RefineRTDCRunTimes.py" --tripid 171-29 --locoid 4010 --swversion DE.1.0.9.0 --startMP 204:457 --initTime 2017-06-29T12:23:36 --startdatetime 2017-06-29T12:30:18 --delay 1 --endMP 204:233336 --enddatetime 2017-06-29T13:06:33 --enforcementcount 0 &gt;&gt;C:\Users\stu\Documents\GitHub\eaglep3-reporting\EC\2017-06-29-refined-times.txt</v>
      </c>
      <c r="AI8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ID","value":"171-29"},{"id":16,"name":"Locomotive ID","value":"4010"},{"id":130,"name":"Impact","value":""},{"id":150,"name":"Time of Event (Mountain Time)","value":"13:06:33"},{"id":151,"name":"Denver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1"/>
        <v>start /low /b %USERPROFILE%\Documents\GitHub\eaglep3\Utilities\DownloadLogsFromS3.py --loco 4010 --day 2017-06-29</v>
      </c>
      <c r="AN8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726</v>
      </c>
      <c r="B84" s="7">
        <v>4009</v>
      </c>
      <c r="C84" s="21" t="s">
        <v>201</v>
      </c>
      <c r="D84" s="21" t="s">
        <v>819</v>
      </c>
      <c r="E84" s="13">
        <v>42915.5546412037</v>
      </c>
      <c r="F84" s="13">
        <v>42915.56082175926</v>
      </c>
      <c r="G84" s="7">
        <v>1</v>
      </c>
      <c r="H84" s="21" t="s">
        <v>414</v>
      </c>
      <c r="I84" s="13">
        <v>42915.587291666663</v>
      </c>
      <c r="J84" s="7">
        <v>0</v>
      </c>
      <c r="K84" s="89" t="str">
        <f t="shared" si="33"/>
        <v>4009/4010</v>
      </c>
      <c r="L84" s="21" t="str">
        <f>VLOOKUP(A84,'Trips&amp;Operators'!$C$1:$G$99999,5,FALSE)</f>
        <v>SULLIVAN BRANDON</v>
      </c>
      <c r="M84" s="6">
        <f t="shared" si="34"/>
        <v>2.6469907403225079E-2</v>
      </c>
      <c r="N84" s="7">
        <f t="shared" si="26"/>
        <v>38.116666660644114</v>
      </c>
      <c r="O84" s="7"/>
      <c r="P84" s="7"/>
      <c r="Q84" s="22"/>
      <c r="R84" s="170"/>
      <c r="S84" s="213">
        <f t="shared" si="35"/>
        <v>1</v>
      </c>
      <c r="T84" s="195" t="str">
        <f t="shared" si="3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7"/>
        <v>https://d0f6bd738d7f1b3e5a7ca70fe4ff75f0.us-east-1.aws.found.io/app/kibana#/discover/Steve-Slow-Train-Analysis-(2080s-and-2083s)?_g=(refreshInterval:(display:Off,pause:!f,section:0,value:0),time:(from:'2017-06-29T12:18:41-0600',mode:absolute,to:'2017-06-29T15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38"/>
        <v>23.3034</v>
      </c>
      <c r="Z84" s="197">
        <f t="shared" si="39"/>
        <v>1.4500000000000001E-2</v>
      </c>
      <c r="AA84" s="197">
        <f t="shared" si="40"/>
        <v>23.288899999999998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1"/>
        <v>172</v>
      </c>
      <c r="AE84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84" s="74" t="str">
        <f t="shared" si="43"/>
        <v>"C:\Program Files (x86)\AstroGrep\AstroGrep.exe" /e /r /s /spath="%USERPROFILE%\AppData\Local\Temp\OnboardLogs" /stypes="app*4009*20170629*" /stext=" 20:.+((SYSTEM_STATE.+slice.+state.+changed )|(ment ac)|(multiple cpu faults)|(system.+state.+changed )|(\[timeout)|(PRM\|1\|D)|(kpr)|(kdp)|(train st.+moving)|(\|lc)|(penalty))"</v>
      </c>
      <c r="AG84" s="209" t="str">
        <f t="shared" si="44"/>
        <v>EC</v>
      </c>
      <c r="AH84" s="78" t="str">
        <f t="shared" si="29"/>
        <v>"%USERPROFILE%\Documents\GitHub\eaglep3\Utilities\RefineRTDCRunTimes.py" --tripid 172-29 --locoid 4009 --swversion DE.1.0.9.0 --startMP 204:233034 --initTime 2017-06-29T13:18:41 --startdatetime 2017-06-29T13:27:35 --delay 1 --endMP 204:145 --enddatetime 2017-06-29T14:05:42 --enforcementcount 0 &gt;&gt;C:\Users\stu\Documents\GitHub\eaglep3-reporting\EC\2017-06-29-refined-times.txt</v>
      </c>
      <c r="AI8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{"issue":{"subject":"","project_id":79,"tracker_id":40,"status_id":1,"priority_id":2,"assigned_to_id":23,"start_date":"2017-06-29","description":"","custom_fields":[{"id":1,"name":"Subdivision","value":"EC"},{"id":4,"name":"Milepost","value":"0.0145"},{"id":17,"name":"Train ID","value":"172-29"},{"id":16,"name":"Locomotive ID","value":"4009"},{"id":130,"name":"Impact","value":""},{"id":150,"name":"Time of Event (Mountain Time)","value":"14:05:42"},{"id":151,"name":"Denver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1"/>
        <v>start /low /b %USERPROFILE%\Documents\GitHub\eaglep3\Utilities\DownloadLogsFromS3.py --loco 4009 --day 2017-06-29</v>
      </c>
      <c r="AN8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720</v>
      </c>
      <c r="B85" s="7">
        <v>4006</v>
      </c>
      <c r="C85" s="21" t="s">
        <v>201</v>
      </c>
      <c r="D85" s="21" t="s">
        <v>197</v>
      </c>
      <c r="E85" s="13">
        <v>42915.525983796295</v>
      </c>
      <c r="F85" s="13">
        <v>42915.531458333331</v>
      </c>
      <c r="G85" s="7">
        <v>1</v>
      </c>
      <c r="H85" s="21" t="s">
        <v>933</v>
      </c>
      <c r="I85" s="13">
        <v>42915.557523148149</v>
      </c>
      <c r="J85" s="7">
        <v>0</v>
      </c>
      <c r="K85" s="89" t="str">
        <f t="shared" si="33"/>
        <v>4005/4006</v>
      </c>
      <c r="L85" s="21" t="str">
        <f>VLOOKUP(A85,'Trips&amp;Operators'!$C$1:$G$99999,5,FALSE)</f>
        <v>HOLCOMB KAMDEN</v>
      </c>
      <c r="M85" s="6">
        <f t="shared" si="34"/>
        <v>2.6064814817800652E-2</v>
      </c>
      <c r="N85" s="7">
        <f t="shared" si="26"/>
        <v>37.533333337632939</v>
      </c>
      <c r="O85" s="7"/>
      <c r="P85" s="7"/>
      <c r="Q85" s="22"/>
      <c r="R85" s="170"/>
      <c r="S85" s="213">
        <f t="shared" si="35"/>
        <v>1</v>
      </c>
      <c r="T85" s="195" t="str">
        <f t="shared" si="3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7"/>
        <v>https://d0f6bd738d7f1b3e5a7ca70fe4ff75f0.us-east-1.aws.found.io/app/kibana#/discover/Steve-Slow-Train-Analysis-(2080s-and-2083s)?_g=(refreshInterval:(display:Off,pause:!f,section:0,value:0),time:(from:'2017-06-29T11:37:25-0600',mode:absolute,to:'2017-06-29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38"/>
        <v>4.5699999999999998E-2</v>
      </c>
      <c r="Z85" s="197">
        <f t="shared" si="39"/>
        <v>23.332999999999998</v>
      </c>
      <c r="AA85" s="197">
        <f t="shared" si="40"/>
        <v>23.287299999999998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1"/>
        <v>173</v>
      </c>
      <c r="AE85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85" s="74" t="str">
        <f t="shared" si="43"/>
        <v>"C:\Program Files (x86)\AstroGrep\AstroGrep.exe" /e /r /s /spath="%USERPROFILE%\AppData\Local\Temp\OnboardLogs" /stypes="app*4006*20170629*" /stext=" 19:.+((SYSTEM_STATE.+slice.+state.+changed )|(ment ac)|(multiple cpu faults)|(system.+state.+changed )|(\[timeout)|(PRM\|1\|D)|(kpr)|(kdp)|(train st.+moving)|(\|lc)|(penalty))"</v>
      </c>
      <c r="AG85" s="209" t="str">
        <f t="shared" si="44"/>
        <v>EC</v>
      </c>
      <c r="AH85" s="78" t="str">
        <f t="shared" si="29"/>
        <v>"%USERPROFILE%\Documents\GitHub\eaglep3\Utilities\RefineRTDCRunTimes.py" --tripid 173-29 --locoid 4006 --swversion DE.1.0.9.0 --startMP 204:457 --initTime 2017-06-29T12:37:25 --startdatetime 2017-06-29T12:45:18 --delay 1 --endMP 204:233330 --enddatetime 2017-06-29T13:22:50 --enforcementcount 0 &gt;&gt;C:\Users\stu\Documents\GitHub\eaglep3-reporting\EC\2017-06-29-refined-times.txt</v>
      </c>
      <c r="AI8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{"issue":{"subject":"","project_id":79,"tracker_id":40,"status_id":1,"priority_id":2,"assigned_to_id":23,"start_date":"2017-06-29","description":"","custom_fields":[{"id":1,"name":"Subdivision","value":"EC"},{"id":4,"name":"Milepost","value":"23.333"},{"id":17,"name":"Train ID","value":"173-29"},{"id":16,"name":"Locomotive ID","value":"4006"},{"id":130,"name":"Impact","value":""},{"id":150,"name":"Time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1"/>
        <v>start /low /b %USERPROFILE%\Documents\GitHub\eaglep3\Utilities\DownloadLogsFromS3.py --loco 4006 --day 2017-06-29</v>
      </c>
      <c r="AN8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595</v>
      </c>
      <c r="B86" s="7">
        <v>4005</v>
      </c>
      <c r="C86" s="21" t="s">
        <v>201</v>
      </c>
      <c r="D86" s="21" t="s">
        <v>934</v>
      </c>
      <c r="E86" s="13">
        <v>42915.569768518515</v>
      </c>
      <c r="F86" s="13">
        <v>42915.571145833332</v>
      </c>
      <c r="G86" s="7">
        <v>1</v>
      </c>
      <c r="H86" s="21" t="s">
        <v>445</v>
      </c>
      <c r="I86" s="13">
        <v>42915.597627314812</v>
      </c>
      <c r="J86" s="7">
        <v>0</v>
      </c>
      <c r="K86" s="89" t="str">
        <f t="shared" si="33"/>
        <v>4005/4006</v>
      </c>
      <c r="L86" s="21" t="str">
        <f>VLOOKUP(A86,'Trips&amp;Operators'!$C$1:$G$99999,5,FALSE)</f>
        <v>HOLCOMB KAMDEN</v>
      </c>
      <c r="M86" s="6">
        <f t="shared" si="34"/>
        <v>2.6481481480004732E-2</v>
      </c>
      <c r="N86" s="7">
        <f t="shared" si="26"/>
        <v>38.133333331206813</v>
      </c>
      <c r="O86" s="7"/>
      <c r="P86" s="7"/>
      <c r="Q86" s="22"/>
      <c r="R86" s="170"/>
      <c r="S86" s="213">
        <f t="shared" si="35"/>
        <v>1</v>
      </c>
      <c r="T86" s="195" t="str">
        <f t="shared" si="3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7"/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38"/>
        <v>23.301300000000001</v>
      </c>
      <c r="Z86" s="197">
        <f t="shared" si="39"/>
        <v>1.38E-2</v>
      </c>
      <c r="AA86" s="197">
        <f t="shared" si="40"/>
        <v>23.287500000000001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1"/>
        <v>174</v>
      </c>
      <c r="AE86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86" s="74" t="str">
        <f t="shared" si="43"/>
        <v>"C:\Program Files (x86)\AstroGrep\AstroGrep.exe" /e /r /s /spath="%USERPROFILE%\AppData\Local\Temp\OnboardLogs" /stypes="app*4005*20170629*" /stext=" 20:.+((SYSTEM_STATE.+slice.+state.+changed )|(ment ac)|(multiple cpu faults)|(system.+state.+changed )|(\[timeout)|(PRM\|1\|D)|(kpr)|(kdp)|(train st.+moving)|(\|lc)|(penalty))"</v>
      </c>
      <c r="AG86" s="209" t="str">
        <f t="shared" si="44"/>
        <v>EC</v>
      </c>
      <c r="AH86" s="78" t="str">
        <f t="shared" si="29"/>
        <v>"%USERPROFILE%\Documents\GitHub\eaglep3\Utilities\RefineRTDCRunTimes.py" --tripid 174-29 --locoid 4005 --swversion DE.1.0.9.0 --startMP 204:233013 --initTime 2017-06-29T13:40:28 --startdatetime 2017-06-29T13:42:27 --delay 1 --endMP 204:138 --enddatetime 2017-06-29T14:20:35 --enforcementcount 0 &gt;&gt;C:\Users\stu\Documents\GitHub\eaglep3-reporting\EC\2017-06-29-refined-times.txt</v>
      </c>
      <c r="AI8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ID","value":"174-29"},{"id":16,"name":"Locomotive ID","value":"4005"},{"id":130,"name":"Impact","value":""},{"id":150,"name":"Time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1"/>
        <v>start /low /b %USERPROFILE%\Documents\GitHub\eaglep3\Utilities\DownloadLogsFromS3.py --loco 4005 --day 2017-06-29</v>
      </c>
      <c r="AN8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</row>
    <row r="87" spans="1:91" s="20" customFormat="1" x14ac:dyDescent="0.25">
      <c r="A87" s="32" t="s">
        <v>723</v>
      </c>
      <c r="B87" s="7">
        <v>4060</v>
      </c>
      <c r="C87" s="21" t="s">
        <v>201</v>
      </c>
      <c r="D87" s="21" t="s">
        <v>451</v>
      </c>
      <c r="E87" s="13">
        <v>42915.538344907407</v>
      </c>
      <c r="F87" s="13">
        <v>42915.541944444441</v>
      </c>
      <c r="G87" s="7">
        <v>1</v>
      </c>
      <c r="H87" s="21" t="s">
        <v>935</v>
      </c>
      <c r="I87" s="13">
        <v>42915.566747685189</v>
      </c>
      <c r="J87" s="7">
        <v>0</v>
      </c>
      <c r="K87" s="89" t="str">
        <f t="shared" si="33"/>
        <v>4059/4060</v>
      </c>
      <c r="L87" s="21" t="str">
        <f>VLOOKUP(A87,'Trips&amp;Operators'!$C$1:$G$99999,5,FALSE)</f>
        <v>STEWART MICHAEL</v>
      </c>
      <c r="M87" s="6">
        <f t="shared" si="34"/>
        <v>2.4803240747132804E-2</v>
      </c>
      <c r="N87" s="7">
        <f t="shared" si="26"/>
        <v>35.716666675871238</v>
      </c>
      <c r="O87" s="7"/>
      <c r="P87" s="7"/>
      <c r="Q87" s="22"/>
      <c r="R87" s="170"/>
      <c r="S87" s="213">
        <f t="shared" si="35"/>
        <v>1</v>
      </c>
      <c r="T87" s="195" t="str">
        <f t="shared" si="3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7"/>
        <v>https://d0f6bd738d7f1b3e5a7ca70fe4ff75f0.us-east-1.aws.found.io/app/kibana#/discover/Steve-Slow-Train-Analysis-(2080s-and-2083s)?_g=(refreshInterval:(display:Off,pause:!f,section:0,value:0),time:(from:'2017-06-29T11:55:13-0600',mode:absolute,to:'2017-06-29T14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38"/>
        <v>4.5499999999999999E-2</v>
      </c>
      <c r="Z87" s="197">
        <f t="shared" si="39"/>
        <v>23.329499999999999</v>
      </c>
      <c r="AA87" s="197">
        <f t="shared" si="40"/>
        <v>23.283999999999999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1"/>
        <v>175</v>
      </c>
      <c r="AE87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87" s="74" t="str">
        <f t="shared" si="43"/>
        <v>"C:\Program Files (x86)\AstroGrep\AstroGrep.exe" /e /r /s /spath="%USERPROFILE%\AppData\Local\Temp\OnboardLogs" /stypes="app*4060*20170629*" /stext=" 19:.+((SYSTEM_STATE.+slice.+state.+changed )|(ment ac)|(multiple cpu faults)|(system.+state.+changed )|(\[timeout)|(PRM\|1\|D)|(kpr)|(kdp)|(train st.+moving)|(\|lc)|(penalty))"</v>
      </c>
      <c r="AG87" s="209" t="str">
        <f t="shared" si="44"/>
        <v>EC</v>
      </c>
      <c r="AH87" s="78" t="str">
        <f t="shared" si="29"/>
        <v>"%USERPROFILE%\Documents\GitHub\eaglep3\Utilities\RefineRTDCRunTimes.py" --tripid 175-29 --locoid 4060 --swversion DE.1.0.9.0 --startMP 204:455 --initTime 2017-06-29T12:55:13 --startdatetime 2017-06-29T13:00:24 --delay 1 --endMP 204:233295 --enddatetime 2017-06-29T13:36:07 --enforcementcount 0 &gt;&gt;C:\Users\stu\Documents\GitHub\eaglep3-reporting\EC\2017-06-29-refined-times.txt</v>
      </c>
      <c r="AI8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{"issue":{"subject":"","project_id":79,"tracker_id":40,"status_id":1,"priority_id":2,"assigned_to_id":23,"start_date":"2017-06-29","description":"","custom_fields":[{"id":1,"name":"Subdivision","value":"EC"},{"id":4,"name":"Milepost","value":"23.3295"},{"id":17,"name":"Train ID","value":"175-29"},{"id":16,"name":"Locomotive ID","value":"4060"},{"id":130,"name":"Impact","value":""},{"id":150,"name":"Time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2" t="str">
        <f t="shared" si="31"/>
        <v>start /low /b %USERPROFILE%\Documents\GitHub\eaglep3\Utilities\DownloadLogsFromS3.py --loco 4060 --day 2017-06-29</v>
      </c>
      <c r="AN8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596</v>
      </c>
      <c r="B88" s="7">
        <v>4059</v>
      </c>
      <c r="C88" s="21" t="s">
        <v>201</v>
      </c>
      <c r="D88" s="21" t="s">
        <v>546</v>
      </c>
      <c r="E88" s="13">
        <v>42915.577384259261</v>
      </c>
      <c r="F88" s="13">
        <v>42915.581493055557</v>
      </c>
      <c r="G88" s="7">
        <v>1</v>
      </c>
      <c r="H88" s="21" t="s">
        <v>919</v>
      </c>
      <c r="I88" s="13">
        <v>42915.610497685186</v>
      </c>
      <c r="J88" s="7">
        <v>0</v>
      </c>
      <c r="K88" s="89" t="str">
        <f t="shared" si="33"/>
        <v>4059/4060</v>
      </c>
      <c r="L88" s="21" t="str">
        <f>VLOOKUP(A88,'Trips&amp;Operators'!$C$1:$G$99999,5,FALSE)</f>
        <v>STEWART MICHAEL</v>
      </c>
      <c r="M88" s="6">
        <f t="shared" si="34"/>
        <v>2.9004629628616385E-2</v>
      </c>
      <c r="N88" s="7">
        <f t="shared" si="26"/>
        <v>41.766666665207595</v>
      </c>
      <c r="O88" s="7"/>
      <c r="P88" s="7"/>
      <c r="Q88" s="22"/>
      <c r="R88" s="170"/>
      <c r="S88" s="213">
        <f t="shared" si="35"/>
        <v>1</v>
      </c>
      <c r="T88" s="195" t="str">
        <f t="shared" si="3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7"/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38"/>
        <v>23.297899999999998</v>
      </c>
      <c r="Z88" s="197">
        <f t="shared" si="39"/>
        <v>1.5800000000000002E-2</v>
      </c>
      <c r="AA88" s="197">
        <f t="shared" si="40"/>
        <v>23.2821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1"/>
        <v>176</v>
      </c>
      <c r="AE88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88" s="74" t="str">
        <f t="shared" si="43"/>
        <v>"C:\Program Files (x86)\AstroGrep\AstroGrep.exe" /e /r /s /spath="%USERPROFILE%\AppData\Local\Temp\OnboardLogs" /stypes="app*4059*20170629*" /stext=" 20:.+((SYSTEM_STATE.+slice.+state.+changed )|(ment ac)|(multiple cpu faults)|(system.+state.+changed )|(\[timeout)|(PRM\|1\|D)|(kpr)|(kdp)|(train st.+moving)|(\|lc)|(penalty))"</v>
      </c>
      <c r="AG88" s="209" t="str">
        <f t="shared" si="44"/>
        <v>EC</v>
      </c>
      <c r="AH88" s="78" t="str">
        <f t="shared" si="29"/>
        <v>"%USERPROFILE%\Documents\GitHub\eaglep3\Utilities\RefineRTDCRunTimes.py" --tripid 176-29 --locoid 4059 --swversion DE.1.0.9.0 --startMP 204:232979 --initTime 2017-06-29T13:51:26 --startdatetime 2017-06-29T13:57:21 --delay 1 --endMP 204:158 --enddatetime 2017-06-29T14:39:07 --enforcementcount 0 &gt;&gt;C:\Users\stu\Documents\GitHub\eaglep3-reporting\EC\2017-06-29-refined-times.txt</v>
      </c>
      <c r="AI8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ID","value":"176-29"},{"id":16,"name":"Locomotive ID","value":"4059"},{"id":130,"name":"Impact","value":""},{"id":150,"name":"Time of Event (Mountain Time)","value":"14:39:07"},{"id":151,"name":"Denver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2" t="str">
        <f t="shared" si="31"/>
        <v>start /low /b %USERPROFILE%\Documents\GitHub\eaglep3\Utilities\DownloadLogsFromS3.py --loco 4059 --day 2017-06-29</v>
      </c>
      <c r="AN8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592</v>
      </c>
      <c r="B89" s="7">
        <v>4062</v>
      </c>
      <c r="C89" s="21" t="s">
        <v>201</v>
      </c>
      <c r="D89" s="21" t="s">
        <v>936</v>
      </c>
      <c r="E89" s="13">
        <v>42915.547581018516</v>
      </c>
      <c r="F89" s="13">
        <v>42915.552418981482</v>
      </c>
      <c r="G89" s="7">
        <v>1</v>
      </c>
      <c r="H89" s="21" t="s">
        <v>937</v>
      </c>
      <c r="I89" s="13">
        <v>42915.577708333331</v>
      </c>
      <c r="J89" s="7">
        <v>0</v>
      </c>
      <c r="K89" s="89" t="str">
        <f t="shared" si="33"/>
        <v>4061/4062</v>
      </c>
      <c r="L89" s="21" t="str">
        <f>VLOOKUP(A89,'Trips&amp;Operators'!$C$1:$G$99999,5,FALSE)</f>
        <v>ROMERO CHAD</v>
      </c>
      <c r="M89" s="6">
        <f t="shared" si="34"/>
        <v>2.5289351848186925E-2</v>
      </c>
      <c r="N89" s="7">
        <f t="shared" ref="N89:N120" si="45">24*60*SUM($M89:$M89)</f>
        <v>36.416666661389172</v>
      </c>
      <c r="O89" s="7"/>
      <c r="P89" s="7"/>
      <c r="Q89" s="22"/>
      <c r="R89" s="170"/>
      <c r="S89" s="213">
        <f t="shared" si="35"/>
        <v>1</v>
      </c>
      <c r="T89" s="195" t="str">
        <f t="shared" si="3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7"/>
        <v>https://d0f6bd738d7f1b3e5a7ca70fe4ff75f0.us-east-1.aws.found.io/app/kibana#/discover/Steve-Slow-Train-Analysis-(2080s-and-2083s)?_g=(refreshInterval:(display:Off,pause:!f,section:0,value:0),time:(from:'2017-06-29T12:08:31-0600',mode:absolute,to:'2017-06-29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38"/>
        <v>4.2700000000000002E-2</v>
      </c>
      <c r="Z89" s="197">
        <f t="shared" si="39"/>
        <v>23.337</v>
      </c>
      <c r="AA89" s="197">
        <f t="shared" si="40"/>
        <v>23.2943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1"/>
        <v>177</v>
      </c>
      <c r="AE89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89" s="74" t="str">
        <f t="shared" si="43"/>
        <v>"C:\Program Files (x86)\AstroGrep\AstroGrep.exe" /e /r /s /spath="%USERPROFILE%\AppData\Local\Temp\OnboardLogs" /stypes="app*4062*20170629*" /stext=" 19:.+((SYSTEM_STATE.+slice.+state.+changed )|(ment ac)|(multiple cpu faults)|(system.+state.+changed )|(\[timeout)|(PRM\|1\|D)|(kpr)|(kdp)|(train st.+moving)|(\|lc)|(penalty))"</v>
      </c>
      <c r="AG89" s="209" t="str">
        <f t="shared" si="44"/>
        <v>EC</v>
      </c>
      <c r="AH89" s="78" t="str">
        <f t="shared" si="29"/>
        <v>"%USERPROFILE%\Documents\GitHub\eaglep3\Utilities\RefineRTDCRunTimes.py" --tripid 177-29 --locoid 4062 --swversion DE.1.0.9.0 --startMP 204:427 --initTime 2017-06-29T13:08:31 --startdatetime 2017-06-29T13:15:29 --delay 1 --endMP 204:233370 --enddatetime 2017-06-29T13:51:54 --enforcementcount 0 &gt;&gt;C:\Users\stu\Documents\GitHub\eaglep3-reporting\EC\2017-06-29-refined-times.txt</v>
      </c>
      <c r="AI8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ID","value":"177-29"},{"id":16,"name":"Locomotive ID","value":"4062"},{"id":130,"name":"Impact","value":""},{"id":150,"name":"Time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31"/>
        <v>start /low /b %USERPROFILE%\Documents\GitHub\eaglep3\Utilities\DownloadLogsFromS3.py --loco 4062 --day 2017-06-29</v>
      </c>
      <c r="AN8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734</v>
      </c>
      <c r="B90" s="7">
        <v>4061</v>
      </c>
      <c r="C90" s="21" t="s">
        <v>201</v>
      </c>
      <c r="D90" s="21" t="s">
        <v>938</v>
      </c>
      <c r="E90" s="13">
        <v>42915.580613425926</v>
      </c>
      <c r="F90" s="13">
        <v>42915.592129629629</v>
      </c>
      <c r="G90" s="7">
        <v>1</v>
      </c>
      <c r="H90" s="21" t="s">
        <v>939</v>
      </c>
      <c r="I90" s="13">
        <v>42915.617627314816</v>
      </c>
      <c r="J90" s="7">
        <v>0</v>
      </c>
      <c r="K90" s="89" t="str">
        <f t="shared" si="33"/>
        <v>4061/4062</v>
      </c>
      <c r="L90" s="21" t="str">
        <f>VLOOKUP(A90,'Trips&amp;Operators'!$C$1:$G$99999,5,FALSE)</f>
        <v>ROMERO CHAD</v>
      </c>
      <c r="M90" s="6">
        <f t="shared" si="34"/>
        <v>2.5497685186564922E-2</v>
      </c>
      <c r="N90" s="7">
        <f t="shared" si="45"/>
        <v>36.716666668653488</v>
      </c>
      <c r="O90" s="7"/>
      <c r="P90" s="7"/>
      <c r="Q90" s="22"/>
      <c r="R90" s="170"/>
      <c r="S90" s="213">
        <f t="shared" si="35"/>
        <v>1</v>
      </c>
      <c r="T90" s="195" t="str">
        <f t="shared" si="3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7"/>
        <v>https://d0f6bd738d7f1b3e5a7ca70fe4ff75f0.us-east-1.aws.found.io/app/kibana#/discover/Steve-Slow-Train-Analysis-(2080s-and-2083s)?_g=(refreshInterval:(display:Off,pause:!f,section:0,value:0),time:(from:'2017-06-29T12:56:05-0600',mode:absolute,to:'2017-06-29T15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38"/>
        <v>23.306899999999999</v>
      </c>
      <c r="Z90" s="197">
        <f t="shared" si="39"/>
        <v>1.2699999999999999E-2</v>
      </c>
      <c r="AA90" s="197">
        <f t="shared" si="40"/>
        <v>23.2942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1"/>
        <v>178</v>
      </c>
      <c r="AE90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90" s="74" t="str">
        <f t="shared" si="43"/>
        <v>"C:\Program Files (x86)\AstroGrep\AstroGrep.exe" /e /r /s /spath="%USERPROFILE%\AppData\Local\Temp\OnboardLogs" /stypes="app*4061*20170629*" /stext=" 20:.+((SYSTEM_STATE.+slice.+state.+changed )|(ment ac)|(multiple cpu faults)|(system.+state.+changed )|(\[timeout)|(PRM\|1\|D)|(kpr)|(kdp)|(train st.+moving)|(\|lc)|(penalty))"</v>
      </c>
      <c r="AG90" s="209" t="str">
        <f t="shared" si="44"/>
        <v>EC</v>
      </c>
      <c r="AH90" s="78" t="str">
        <f t="shared" si="29"/>
        <v>"%USERPROFILE%\Documents\GitHub\eaglep3\Utilities\RefineRTDCRunTimes.py" --tripid 178-29 --locoid 4061 --swversion DE.1.0.9.0 --startMP 204:233069 --initTime 2017-06-29T13:56:05 --startdatetime 2017-06-29T14:12:40 --delay 1 --endMP 204:127 --enddatetime 2017-06-29T14:49:23 --enforcementcount 0 &gt;&gt;C:\Users\stu\Documents\GitHub\eaglep3-reporting\EC\2017-06-29-refined-times.txt</v>
      </c>
      <c r="AI9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{"issue":{"subject":"","project_id":79,"tracker_id":40,"status_id":1,"priority_id":2,"assigned_to_id":23,"start_date":"2017-06-29","description":"","custom_fields":[{"id":1,"name":"Subdivision","value":"EC"},{"id":4,"name":"Milepost","value":"0.0127"},{"id":17,"name":"Train ID","value":"178-29"},{"id":16,"name":"Locomotive ID","value":"4061"},{"id":130,"name":"Impact","value":""},{"id":150,"name":"Time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31"/>
        <v>start /low /b %USERPROFILE%\Documents\GitHub\eaglep3\Utilities\DownloadLogsFromS3.py --loco 4061 --day 2017-06-29</v>
      </c>
      <c r="AN9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729</v>
      </c>
      <c r="B91" s="7">
        <v>4028</v>
      </c>
      <c r="C91" s="21" t="s">
        <v>201</v>
      </c>
      <c r="D91" s="21" t="s">
        <v>353</v>
      </c>
      <c r="E91" s="13">
        <v>42915.558877314812</v>
      </c>
      <c r="F91" s="13">
        <v>42915.562708333331</v>
      </c>
      <c r="G91" s="7">
        <v>1</v>
      </c>
      <c r="H91" s="21" t="s">
        <v>940</v>
      </c>
      <c r="I91" s="13">
        <v>42915.587534722225</v>
      </c>
      <c r="J91" s="7">
        <v>0</v>
      </c>
      <c r="K91" s="89" t="str">
        <f t="shared" si="33"/>
        <v>4027/4028</v>
      </c>
      <c r="L91" s="21" t="str">
        <f>VLOOKUP(A91,'Trips&amp;Operators'!$C$1:$G$99999,5,FALSE)</f>
        <v>LEVIN SCOTT</v>
      </c>
      <c r="M91" s="6">
        <f t="shared" si="34"/>
        <v>2.4826388893416151E-2</v>
      </c>
      <c r="N91" s="7">
        <f t="shared" si="45"/>
        <v>35.750000006519258</v>
      </c>
      <c r="O91" s="7"/>
      <c r="P91" s="7"/>
      <c r="Q91" s="22"/>
      <c r="R91" s="170"/>
      <c r="S91" s="213">
        <f t="shared" si="35"/>
        <v>1</v>
      </c>
      <c r="T91" s="195" t="str">
        <f t="shared" si="3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7"/>
        <v>https://d0f6bd738d7f1b3e5a7ca70fe4ff75f0.us-east-1.aws.found.io/app/kibana#/discover/Steve-Slow-Train-Analysis-(2080s-and-2083s)?_g=(refreshInterval:(display:Off,pause:!f,section:0,value:0),time:(from:'2017-06-29T12:24:47-0600',mode:absolute,to:'2017-06-29T15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38"/>
        <v>4.4699999999999997E-2</v>
      </c>
      <c r="Z91" s="197">
        <f t="shared" si="39"/>
        <v>23.341899999999999</v>
      </c>
      <c r="AA91" s="197">
        <f t="shared" si="40"/>
        <v>23.2972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1"/>
        <v>179</v>
      </c>
      <c r="AE91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91" s="74" t="str">
        <f t="shared" si="43"/>
        <v>"C:\Program Files (x86)\AstroGrep\AstroGrep.exe" /e /r /s /spath="%USERPROFILE%\AppData\Local\Temp\OnboardLogs" /stypes="app*4028*20170629*" /stext=" 20:.+((SYSTEM_STATE.+slice.+state.+changed )|(ment ac)|(multiple cpu faults)|(system.+state.+changed )|(\[timeout)|(PRM\|1\|D)|(kpr)|(kdp)|(train st.+moving)|(\|lc)|(penalty))"</v>
      </c>
      <c r="AG91" s="209" t="str">
        <f t="shared" si="44"/>
        <v>EC</v>
      </c>
      <c r="AH91" s="78" t="str">
        <f t="shared" si="29"/>
        <v>"%USERPROFILE%\Documents\GitHub\eaglep3\Utilities\RefineRTDCRunTimes.py" --tripid 179-29 --locoid 4028 --swversion DE.1.0.9.0 --startMP 204:447 --initTime 2017-06-29T13:24:47 --startdatetime 2017-06-29T13:30:18 --delay 1 --endMP 204:233419 --enddatetime 2017-06-29T14:06:03 --enforcementcount 0 &gt;&gt;C:\Users\stu\Documents\GitHub\eaglep3-reporting\EC\2017-06-29-refined-times.txt</v>
      </c>
      <c r="AI9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{"issue":{"subject":"","project_id":79,"tracker_id":40,"status_id":1,"priority_id":2,"assigned_to_id":23,"start_date":"2017-06-29","description":"","custom_fields":[{"id":1,"name":"Subdivision","value":"EC"},{"id":4,"name":"Milepost","value":"23.3419"},{"id":17,"name":"Train ID","value":"179-29"},{"id":16,"name":"Locomotive ID","value":"4028"},{"id":130,"name":"Impact","value":""},{"id":150,"name":"Time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1"/>
        <v>start /low /b %USERPROFILE%\Documents\GitHub\eaglep3\Utilities\DownloadLogsFromS3.py --loco 4028 --day 2017-06-29</v>
      </c>
      <c r="AN9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735</v>
      </c>
      <c r="B92" s="7">
        <v>4027</v>
      </c>
      <c r="C92" s="21" t="s">
        <v>201</v>
      </c>
      <c r="D92" s="21" t="s">
        <v>941</v>
      </c>
      <c r="E92" s="13">
        <v>42915.599444444444</v>
      </c>
      <c r="F92" s="13">
        <v>42915.60224537037</v>
      </c>
      <c r="G92" s="7">
        <v>1</v>
      </c>
      <c r="H92" s="21" t="s">
        <v>942</v>
      </c>
      <c r="I92" s="13">
        <v>42915.628125000003</v>
      </c>
      <c r="J92" s="7">
        <v>0</v>
      </c>
      <c r="K92" s="89" t="str">
        <f t="shared" si="33"/>
        <v>4027/4028</v>
      </c>
      <c r="L92" s="21" t="str">
        <f>VLOOKUP(A92,'Trips&amp;Operators'!$C$1:$G$99999,5,FALSE)</f>
        <v>LEVIN SCOTT</v>
      </c>
      <c r="M92" s="6">
        <f t="shared" si="34"/>
        <v>2.587962963298196E-2</v>
      </c>
      <c r="N92" s="7">
        <f t="shared" si="45"/>
        <v>37.266666671494022</v>
      </c>
      <c r="O92" s="7"/>
      <c r="P92" s="7"/>
      <c r="Q92" s="22"/>
      <c r="R92" s="170"/>
      <c r="S92" s="213">
        <f t="shared" si="35"/>
        <v>1</v>
      </c>
      <c r="T92" s="195" t="str">
        <f t="shared" si="3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7"/>
        <v>https://d0f6bd738d7f1b3e5a7ca70fe4ff75f0.us-east-1.aws.found.io/app/kibana#/discover/Steve-Slow-Train-Analysis-(2080s-and-2083s)?_g=(refreshInterval:(display:Off,pause:!f,section:0,value:0),time:(from:'2017-06-29T13:23:12-0600',mode:absolute,to:'2017-06-29T16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38"/>
        <v>23.3125</v>
      </c>
      <c r="Z92" s="197">
        <f t="shared" si="39"/>
        <v>1.2999999999999999E-2</v>
      </c>
      <c r="AA92" s="197">
        <f t="shared" si="40"/>
        <v>23.299499999999998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1"/>
        <v>180</v>
      </c>
      <c r="AE92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92" s="74" t="str">
        <f t="shared" si="43"/>
        <v>"C:\Program Files (x86)\AstroGrep\AstroGrep.exe" /e /r /s /spath="%USERPROFILE%\AppData\Local\Temp\OnboardLogs" /stypes="app*4027*20170629*" /stext=" 21:.+((SYSTEM_STATE.+slice.+state.+changed )|(ment ac)|(multiple cpu faults)|(system.+state.+changed )|(\[timeout)|(PRM\|1\|D)|(kpr)|(kdp)|(train st.+moving)|(\|lc)|(penalty))"</v>
      </c>
      <c r="AG92" s="209" t="str">
        <f t="shared" si="44"/>
        <v>EC</v>
      </c>
      <c r="AH92" s="78" t="str">
        <f t="shared" si="29"/>
        <v>"%USERPROFILE%\Documents\GitHub\eaglep3\Utilities\RefineRTDCRunTimes.py" --tripid 180-29 --locoid 4027 --swversion DE.1.0.9.0 --startMP 204:233125 --initTime 2017-06-29T14:23:12 --startdatetime 2017-06-29T14:27:14 --delay 1 --endMP 204:130 --enddatetime 2017-06-29T15:04:30 --enforcementcount 0 &gt;&gt;C:\Users\stu\Documents\GitHub\eaglep3-reporting\EC\2017-06-29-refined-times.txt</v>
      </c>
      <c r="AI9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{"issue":{"subject":"","project_id":79,"tracker_id":40,"status_id":1,"priority_id":2,"assigned_to_id":23,"start_date":"2017-06-29","description":"","custom_fields":[{"id":1,"name":"Subdivision","value":"EC"},{"id":4,"name":"Milepost","value":"0.013"},{"id":17,"name":"Train ID","value":"180-29"},{"id":16,"name":"Locomotive ID","value":"4027"},{"id":130,"name":"Impact","value":""},{"id":150,"name":"Time of Event (Mountain Time)","value":"15:04:30"},{"id":151,"name":"Denver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1"/>
        <v>start /low /b %USERPROFILE%\Documents\GitHub\eaglep3\Utilities\DownloadLogsFromS3.py --loco 4027 --day 2017-06-29</v>
      </c>
      <c r="AN9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731</v>
      </c>
      <c r="B93" s="7">
        <v>4050</v>
      </c>
      <c r="C93" s="21" t="s">
        <v>201</v>
      </c>
      <c r="D93" s="21" t="s">
        <v>198</v>
      </c>
      <c r="E93" s="13">
        <v>42915.567708333336</v>
      </c>
      <c r="F93" s="13">
        <v>42915.573344907411</v>
      </c>
      <c r="G93" s="7">
        <v>1</v>
      </c>
      <c r="H93" s="21" t="s">
        <v>943</v>
      </c>
      <c r="I93" s="13">
        <v>42915.598356481481</v>
      </c>
      <c r="J93" s="7">
        <v>0</v>
      </c>
      <c r="K93" s="89" t="str">
        <f t="shared" si="33"/>
        <v>4049/4050</v>
      </c>
      <c r="L93" s="21" t="str">
        <f>VLOOKUP(A93,'Trips&amp;Operators'!$C$1:$G$99999,5,FALSE)</f>
        <v>DELGADO DIANAH</v>
      </c>
      <c r="M93" s="6">
        <f t="shared" si="34"/>
        <v>2.5011574070958886E-2</v>
      </c>
      <c r="N93" s="7">
        <f t="shared" si="45"/>
        <v>36.016666662180796</v>
      </c>
      <c r="O93" s="7"/>
      <c r="P93" s="7"/>
      <c r="Q93" s="22"/>
      <c r="R93" s="170"/>
      <c r="S93" s="213">
        <f t="shared" si="35"/>
        <v>1</v>
      </c>
      <c r="T93" s="195" t="str">
        <f t="shared" si="3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7"/>
        <v>https://d0f6bd738d7f1b3e5a7ca70fe4ff75f0.us-east-1.aws.found.io/app/kibana#/discover/Steve-Slow-Train-Analysis-(2080s-and-2083s)?_g=(refreshInterval:(display:Off,pause:!f,section:0,value:0),time:(from:'2017-06-29T12:37:30-0600',mode:absolute,to:'2017-06-29T15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38"/>
        <v>4.5999999999999999E-2</v>
      </c>
      <c r="Z93" s="197">
        <f t="shared" si="39"/>
        <v>23.3401</v>
      </c>
      <c r="AA93" s="197">
        <f t="shared" si="40"/>
        <v>23.2941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1"/>
        <v>181</v>
      </c>
      <c r="AE93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93" s="74" t="str">
        <f t="shared" si="43"/>
        <v>"C:\Program Files (x86)\AstroGrep\AstroGrep.exe" /e /r /s /spath="%USERPROFILE%\AppData\Local\Temp\OnboardLogs" /stypes="app*4050*20170629*" /stext=" 20:.+((SYSTEM_STATE.+slice.+state.+changed )|(ment ac)|(multiple cpu faults)|(system.+state.+changed )|(\[timeout)|(PRM\|1\|D)|(kpr)|(kdp)|(train st.+moving)|(\|lc)|(penalty))"</v>
      </c>
      <c r="AG93" s="209" t="str">
        <f t="shared" si="44"/>
        <v>EC</v>
      </c>
      <c r="AH93" s="78" t="str">
        <f t="shared" si="29"/>
        <v>"%USERPROFILE%\Documents\GitHub\eaglep3\Utilities\RefineRTDCRunTimes.py" --tripid 181-29 --locoid 4050 --swversion DE.1.0.9.0 --startMP 204:460 --initTime 2017-06-29T13:37:30 --startdatetime 2017-06-29T13:45:37 --delay 1 --endMP 204:233401 --enddatetime 2017-06-29T14:21:38 --enforcementcount 0 &gt;&gt;C:\Users\stu\Documents\GitHub\eaglep3-reporting\EC\2017-06-29-refined-times.txt</v>
      </c>
      <c r="AI9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{"issue":{"subject":"","project_id":79,"tracker_id":40,"status_id":1,"priority_id":2,"assigned_to_id":23,"start_date":"2017-06-29","description":"","custom_fields":[{"id":1,"name":"Subdivision","value":"EC"},{"id":4,"name":"Milepost","value":"23.3401"},{"id":17,"name":"Train ID","value":"181-29"},{"id":16,"name":"Locomotive ID","value":"4050"},{"id":130,"name":"Impact","value":""},{"id":150,"name":"Time of Event (Mountain Time)","value":"14:21:38"},{"id":151,"name":"Denver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1"/>
        <v>start /low /b %USERPROFILE%\Documents\GitHub\eaglep3\Utilities\DownloadLogsFromS3.py --loco 4050 --day 2017-06-29</v>
      </c>
      <c r="AN9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736</v>
      </c>
      <c r="B94" s="7">
        <v>4049</v>
      </c>
      <c r="C94" s="21" t="s">
        <v>201</v>
      </c>
      <c r="D94" s="21" t="s">
        <v>944</v>
      </c>
      <c r="E94" s="13">
        <v>42915.605347222219</v>
      </c>
      <c r="F94" s="13">
        <v>42915.612673611111</v>
      </c>
      <c r="G94" s="7">
        <v>2</v>
      </c>
      <c r="H94" s="21" t="s">
        <v>414</v>
      </c>
      <c r="I94" s="13">
        <v>42915.638252314813</v>
      </c>
      <c r="J94" s="7">
        <v>0</v>
      </c>
      <c r="K94" s="89" t="str">
        <f t="shared" si="33"/>
        <v>4049/4050</v>
      </c>
      <c r="L94" s="21" t="str">
        <f>VLOOKUP(A94,'Trips&amp;Operators'!$C$1:$G$99999,5,FALSE)</f>
        <v>DELGADO DIANAH</v>
      </c>
      <c r="M94" s="6">
        <f t="shared" si="34"/>
        <v>2.5578703702194616E-2</v>
      </c>
      <c r="N94" s="7">
        <f t="shared" si="45"/>
        <v>36.833333331160247</v>
      </c>
      <c r="O94" s="7"/>
      <c r="P94" s="7"/>
      <c r="Q94" s="22"/>
      <c r="R94" s="170"/>
      <c r="S94" s="213">
        <f t="shared" si="35"/>
        <v>1</v>
      </c>
      <c r="T94" s="195" t="str">
        <f t="shared" si="3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7"/>
        <v>https://d0f6bd738d7f1b3e5a7ca70fe4ff75f0.us-east-1.aws.found.io/app/kibana#/discover/Steve-Slow-Train-Analysis-(2080s-and-2083s)?_g=(refreshInterval:(display:Off,pause:!f,section:0,value:0),time:(from:'2017-06-29T13:31:42-0600',mode:absolute,to:'2017-06-29T16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38"/>
        <v>23.310700000000001</v>
      </c>
      <c r="Z94" s="197">
        <f t="shared" si="39"/>
        <v>1.4500000000000001E-2</v>
      </c>
      <c r="AA94" s="197">
        <f t="shared" si="40"/>
        <v>23.296199999999999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1"/>
        <v>182</v>
      </c>
      <c r="AE94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94" s="74" t="str">
        <f t="shared" si="43"/>
        <v>"C:\Program Files (x86)\AstroGrep\AstroGrep.exe" /e /r /s /spath="%USERPROFILE%\AppData\Local\Temp\OnboardLogs" /stypes="app*4049*20170629*" /stext=" 21:.+((SYSTEM_STATE.+slice.+state.+changed )|(ment ac)|(multiple cpu faults)|(system.+state.+changed )|(\[timeout)|(PRM\|1\|D)|(kpr)|(kdp)|(train st.+moving)|(\|lc)|(penalty))"</v>
      </c>
      <c r="AG94" s="209" t="str">
        <f t="shared" si="44"/>
        <v>EC</v>
      </c>
      <c r="AH94" s="78" t="str">
        <f t="shared" si="29"/>
        <v>"%USERPROFILE%\Documents\GitHub\eaglep3\Utilities\RefineRTDCRunTimes.py" --tripid 182-29 --locoid 4049 --swversion DE.1.0.9.0 --startMP 204:233107 --initTime 2017-06-29T14:31:42 --startdatetime 2017-06-29T14:42:15 --delay 2 --endMP 204:145 --enddatetime 2017-06-29T15:19:05 --enforcementcount 0 &gt;&gt;C:\Users\stu\Documents\GitHub\eaglep3-reporting\EC\2017-06-29-refined-times.txt</v>
      </c>
      <c r="AI9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{"issue":{"subject":"","project_id":79,"tracker_id":40,"status_id":1,"priority_id":2,"assigned_to_id":23,"start_date":"2017-06-29","description":"","custom_fields":[{"id":1,"name":"Subdivision","value":"EC"},{"id":4,"name":"Milepost","value":"0.0145"},{"id":17,"name":"Train ID","value":"182-29"},{"id":16,"name":"Locomotive ID","value":"4049"},{"id":130,"name":"Impact","value":""},{"id":150,"name":"Time of Event (Mountain Time)","value":"15:19:05"},{"id":151,"name":"Denver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1"/>
        <v>start /low /b %USERPROFILE%\Documents\GitHub\eaglep3\Utilities\DownloadLogsFromS3.py --loco 4049 --day 2017-06-29</v>
      </c>
      <c r="AN9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733</v>
      </c>
      <c r="B95" s="7">
        <v>4056</v>
      </c>
      <c r="C95" s="21" t="s">
        <v>201</v>
      </c>
      <c r="D95" s="21" t="s">
        <v>353</v>
      </c>
      <c r="E95" s="13">
        <v>42915.57885416667</v>
      </c>
      <c r="F95" s="13">
        <v>42915.58353009259</v>
      </c>
      <c r="G95" s="7">
        <v>1</v>
      </c>
      <c r="H95" s="21" t="s">
        <v>945</v>
      </c>
      <c r="I95" s="13">
        <v>42915.609212962961</v>
      </c>
      <c r="J95" s="7">
        <v>0</v>
      </c>
      <c r="K95" s="89" t="str">
        <f t="shared" si="33"/>
        <v>4055/4056</v>
      </c>
      <c r="L95" s="21" t="str">
        <f>VLOOKUP(A95,'Trips&amp;Operators'!$C$1:$G$99999,5,FALSE)</f>
        <v>LEVERE CRAIG</v>
      </c>
      <c r="M95" s="6">
        <f t="shared" si="34"/>
        <v>2.5682870371383615E-2</v>
      </c>
      <c r="N95" s="7">
        <f t="shared" si="45"/>
        <v>36.983333334792405</v>
      </c>
      <c r="O95" s="7"/>
      <c r="P95" s="7"/>
      <c r="Q95" s="22"/>
      <c r="R95" s="170"/>
      <c r="S95" s="213">
        <f t="shared" si="35"/>
        <v>1</v>
      </c>
      <c r="T95" s="195" t="str">
        <f t="shared" si="3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7"/>
        <v>https://d0f6bd738d7f1b3e5a7ca70fe4ff75f0.us-east-1.aws.found.io/app/kibana#/discover/Steve-Slow-Train-Analysis-(2080s-and-2083s)?_g=(refreshInterval:(display:Off,pause:!f,section:0,value:0),time:(from:'2017-06-29T12:53:33-0600',mode:absolute,to:'2017-06-29T15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38"/>
        <v>4.4699999999999997E-2</v>
      </c>
      <c r="Z95" s="197">
        <f t="shared" si="39"/>
        <v>23.331399999999999</v>
      </c>
      <c r="AA95" s="197">
        <f t="shared" si="40"/>
        <v>23.2867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1"/>
        <v>183</v>
      </c>
      <c r="AE95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95" s="74" t="str">
        <f t="shared" si="43"/>
        <v>"C:\Program Files (x86)\AstroGrep\AstroGrep.exe" /e /r /s /spath="%USERPROFILE%\AppData\Local\Temp\OnboardLogs" /stypes="app*4056*20170629*" /stext=" 20:.+((SYSTEM_STATE.+slice.+state.+changed )|(ment ac)|(multiple cpu faults)|(system.+state.+changed )|(\[timeout)|(PRM\|1\|D)|(kpr)|(kdp)|(train st.+moving)|(\|lc)|(penalty))"</v>
      </c>
      <c r="AG95" s="209" t="str">
        <f t="shared" si="44"/>
        <v>EC</v>
      </c>
      <c r="AH95" s="78" t="str">
        <f t="shared" si="29"/>
        <v>"%USERPROFILE%\Documents\GitHub\eaglep3\Utilities\RefineRTDCRunTimes.py" --tripid 183-29 --locoid 4056 --swversion DE.1.0.9.0 --startMP 204:447 --initTime 2017-06-29T13:53:33 --startdatetime 2017-06-29T14:00:17 --delay 1 --endMP 204:233314 --enddatetime 2017-06-29T14:37:16 --enforcementcount 0 &gt;&gt;C:\Users\stu\Documents\GitHub\eaglep3-reporting\EC\2017-06-29-refined-times.txt</v>
      </c>
      <c r="AI9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{"issue":{"subject":"","project_id":79,"tracker_id":40,"status_id":1,"priority_id":2,"assigned_to_id":23,"start_date":"2017-06-29","description":"","custom_fields":[{"id":1,"name":"Subdivision","value":"EC"},{"id":4,"name":"Milepost","value":"23.3314"},{"id":17,"name":"Train ID","value":"183-29"},{"id":16,"name":"Locomotive ID","value":"4056"},{"id":130,"name":"Impact","value":""},{"id":150,"name":"Time of Event (Mountain Time)","value":"14:37:16"},{"id":151,"name":"Denver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1"/>
        <v>start /low /b %USERPROFILE%\Documents\GitHub\eaglep3\Utilities\DownloadLogsFromS3.py --loco 4056 --day 2017-06-29</v>
      </c>
      <c r="AN9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738</v>
      </c>
      <c r="B96" s="7">
        <v>4055</v>
      </c>
      <c r="C96" s="21" t="s">
        <v>201</v>
      </c>
      <c r="D96" s="21" t="s">
        <v>946</v>
      </c>
      <c r="E96" s="13">
        <v>42915.617164351854</v>
      </c>
      <c r="F96" s="13">
        <v>42915.623425925929</v>
      </c>
      <c r="G96" s="7">
        <v>1</v>
      </c>
      <c r="H96" s="21" t="s">
        <v>357</v>
      </c>
      <c r="I96" s="13">
        <v>42915.65016203704</v>
      </c>
      <c r="J96" s="7">
        <v>0</v>
      </c>
      <c r="K96" s="89" t="str">
        <f t="shared" si="33"/>
        <v>4055/4056</v>
      </c>
      <c r="L96" s="21" t="str">
        <f>VLOOKUP(A96,'Trips&amp;Operators'!$C$1:$G$99999,5,FALSE)</f>
        <v>LEVERE CRAIG</v>
      </c>
      <c r="M96" s="6">
        <f t="shared" si="34"/>
        <v>2.6736111110949423E-2</v>
      </c>
      <c r="N96" s="7">
        <f t="shared" si="45"/>
        <v>38.499999999767169</v>
      </c>
      <c r="O96" s="7"/>
      <c r="P96" s="7"/>
      <c r="Q96" s="22"/>
      <c r="R96" s="170"/>
      <c r="S96" s="213">
        <f t="shared" si="35"/>
        <v>1</v>
      </c>
      <c r="T96" s="195" t="str">
        <f t="shared" si="3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7"/>
        <v>https://d0f6bd738d7f1b3e5a7ca70fe4ff75f0.us-east-1.aws.found.io/app/kibana#/discover/Steve-Slow-Train-Analysis-(2080s-and-2083s)?_g=(refreshInterval:(display:Off,pause:!f,section:0,value:0),time:(from:'2017-06-29T13:48:43-0600',mode:absolute,to:'2017-06-29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38"/>
        <v>23.3004</v>
      </c>
      <c r="Z96" s="197">
        <f t="shared" si="39"/>
        <v>1.47E-2</v>
      </c>
      <c r="AA96" s="197">
        <f t="shared" si="40"/>
        <v>23.285699999999999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1"/>
        <v>184</v>
      </c>
      <c r="AE96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96" s="74" t="str">
        <f t="shared" si="43"/>
        <v>"C:\Program Files (x86)\AstroGrep\AstroGrep.exe" /e /r /s /spath="%USERPROFILE%\AppData\Local\Temp\OnboardLogs" /stypes="app*4055*20170629*" /stext=" 21:.+((SYSTEM_STATE.+slice.+state.+changed )|(ment ac)|(multiple cpu faults)|(system.+state.+changed )|(\[timeout)|(PRM\|1\|D)|(kpr)|(kdp)|(train st.+moving)|(\|lc)|(penalty))"</v>
      </c>
      <c r="AG96" s="209" t="str">
        <f t="shared" si="44"/>
        <v>EC</v>
      </c>
      <c r="AH96" s="78" t="str">
        <f t="shared" si="29"/>
        <v>"%USERPROFILE%\Documents\GitHub\eaglep3\Utilities\RefineRTDCRunTimes.py" --tripid 184-29 --locoid 4055 --swversion DE.1.0.9.0 --startMP 204:233004 --initTime 2017-06-29T14:48:43 --startdatetime 2017-06-29T14:57:44 --delay 1 --endMP 204:147 --enddatetime 2017-06-29T15:36:14 --enforcementcount 0 &gt;&gt;C:\Users\stu\Documents\GitHub\eaglep3-reporting\EC\2017-06-29-refined-times.txt</v>
      </c>
      <c r="AI9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ID","value":"184-29"},{"id":16,"name":"Locomotive ID","value":"4055"},{"id":130,"name":"Impact","value":""},{"id":150,"name":"Time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1"/>
        <v>start /low /b %USERPROFILE%\Documents\GitHub\eaglep3\Utilities\DownloadLogsFromS3.py --loco 4055 --day 2017-06-29</v>
      </c>
      <c r="AN9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599</v>
      </c>
      <c r="B97" s="7">
        <v>4010</v>
      </c>
      <c r="C97" s="21" t="s">
        <v>201</v>
      </c>
      <c r="D97" s="21" t="s">
        <v>352</v>
      </c>
      <c r="E97" s="13">
        <v>42915.588518518518</v>
      </c>
      <c r="F97" s="13">
        <v>42915.594375000001</v>
      </c>
      <c r="G97" s="7">
        <v>1</v>
      </c>
      <c r="H97" s="21" t="s">
        <v>947</v>
      </c>
      <c r="I97" s="13">
        <v>42915.619791666664</v>
      </c>
      <c r="J97" s="7">
        <v>0</v>
      </c>
      <c r="K97" s="89" t="str">
        <f t="shared" si="33"/>
        <v>4009/4010</v>
      </c>
      <c r="L97" s="21" t="str">
        <f>VLOOKUP(A97,'Trips&amp;Operators'!$C$1:$G$99999,5,FALSE)</f>
        <v>SULLIVAN BRANDON</v>
      </c>
      <c r="M97" s="6">
        <f t="shared" si="34"/>
        <v>2.5416666663659271E-2</v>
      </c>
      <c r="N97" s="7">
        <f t="shared" si="45"/>
        <v>36.59999999566935</v>
      </c>
      <c r="O97" s="7"/>
      <c r="P97" s="7"/>
      <c r="Q97" s="22"/>
      <c r="R97" s="170"/>
      <c r="S97" s="213">
        <f t="shared" si="35"/>
        <v>1</v>
      </c>
      <c r="T97" s="195" t="str">
        <f t="shared" si="3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7"/>
        <v>https://d0f6bd738d7f1b3e5a7ca70fe4ff75f0.us-east-1.aws.found.io/app/kibana#/discover/Steve-Slow-Train-Analysis-(2080s-and-2083s)?_g=(refreshInterval:(display:Off,pause:!f,section:0,value:0),time:(from:'2017-06-29T13:07:28-0600',mode:absolute,to:'2017-06-29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38"/>
        <v>4.53E-2</v>
      </c>
      <c r="Z97" s="197">
        <f t="shared" si="39"/>
        <v>23.3353</v>
      </c>
      <c r="AA97" s="197">
        <f t="shared" si="40"/>
        <v>23.29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1"/>
        <v>185</v>
      </c>
      <c r="AE97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97" s="74" t="str">
        <f t="shared" si="43"/>
        <v>"C:\Program Files (x86)\AstroGrep\AstroGrep.exe" /e /r /s /spath="%USERPROFILE%\AppData\Local\Temp\OnboardLogs" /stypes="app*4010*20170629*" /stext=" 20:.+((SYSTEM_STATE.+slice.+state.+changed )|(ment ac)|(multiple cpu faults)|(system.+state.+changed )|(\[timeout)|(PRM\|1\|D)|(kpr)|(kdp)|(train st.+moving)|(\|lc)|(penalty))"</v>
      </c>
      <c r="AG97" s="209" t="str">
        <f t="shared" si="44"/>
        <v>EC</v>
      </c>
      <c r="AH97" s="78" t="str">
        <f t="shared" si="29"/>
        <v>"%USERPROFILE%\Documents\GitHub\eaglep3\Utilities\RefineRTDCRunTimes.py" --tripid 185-29 --locoid 4010 --swversion DE.1.0.9.0 --startMP 204:453 --initTime 2017-06-29T14:07:28 --startdatetime 2017-06-29T14:15:54 --delay 1 --endMP 204:233353 --enddatetime 2017-06-29T14:52:30 --enforcementcount 0 &gt;&gt;C:\Users\stu\Documents\GitHub\eaglep3-reporting\EC\2017-06-29-refined-times.txt</v>
      </c>
      <c r="AI9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{"issue":{"subject":"","project_id":79,"tracker_id":40,"status_id":1,"priority_id":2,"assigned_to_id":23,"start_date":"2017-06-29","description":"","custom_fields":[{"id":1,"name":"Subdivision","value":"EC"},{"id":4,"name":"Milepost","value":"23.3353"},{"id":17,"name":"Train ID","value":"185-29"},{"id":16,"name":"Locomotive ID","value":"4010"},{"id":130,"name":"Impact","value":""},{"id":150,"name":"Time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1"/>
        <v>start /low /b %USERPROFILE%\Documents\GitHub\eaglep3\Utilities\DownloadLogsFromS3.py --loco 4010 --day 2017-06-29</v>
      </c>
      <c r="AN9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740</v>
      </c>
      <c r="B98" s="7">
        <v>4009</v>
      </c>
      <c r="C98" s="21" t="s">
        <v>201</v>
      </c>
      <c r="D98" s="21" t="s">
        <v>821</v>
      </c>
      <c r="E98" s="13">
        <v>42915.62636574074</v>
      </c>
      <c r="F98" s="13">
        <v>42915.633483796293</v>
      </c>
      <c r="G98" s="7">
        <v>1</v>
      </c>
      <c r="H98" s="21" t="s">
        <v>357</v>
      </c>
      <c r="I98" s="13">
        <v>42915.660393518519</v>
      </c>
      <c r="J98" s="7">
        <v>0</v>
      </c>
      <c r="K98" s="89" t="str">
        <f t="shared" si="33"/>
        <v>4009/4010</v>
      </c>
      <c r="L98" s="21" t="str">
        <f>VLOOKUP(A98,'Trips&amp;Operators'!$C$1:$G$99999,5,FALSE)</f>
        <v>SULLIVAN BRANDON</v>
      </c>
      <c r="M98" s="6">
        <f t="shared" si="34"/>
        <v>2.6909722226264421E-2</v>
      </c>
      <c r="N98" s="7">
        <f t="shared" si="45"/>
        <v>38.750000005820766</v>
      </c>
      <c r="O98" s="7"/>
      <c r="P98" s="7"/>
      <c r="Q98" s="22"/>
      <c r="R98" s="170"/>
      <c r="S98" s="213">
        <f t="shared" si="35"/>
        <v>1</v>
      </c>
      <c r="T98" s="195" t="str">
        <f t="shared" si="3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7"/>
        <v>https://d0f6bd738d7f1b3e5a7ca70fe4ff75f0.us-east-1.aws.found.io/app/kibana#/discover/Steve-Slow-Train-Analysis-(2080s-and-2083s)?_g=(refreshInterval:(display:Off,pause:!f,section:0,value:0),time:(from:'2017-06-29T14:01:58-0600',mode:absolute,to:'2017-06-29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38"/>
        <v>23.303000000000001</v>
      </c>
      <c r="Z98" s="197">
        <f t="shared" si="39"/>
        <v>1.47E-2</v>
      </c>
      <c r="AA98" s="197">
        <f t="shared" si="40"/>
        <v>23.2883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1"/>
        <v>186</v>
      </c>
      <c r="AE98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98" s="74" t="str">
        <f t="shared" si="43"/>
        <v>"C:\Program Files (x86)\AstroGrep\AstroGrep.exe" /e /r /s /spath="%USERPROFILE%\AppData\Local\Temp\OnboardLogs" /stypes="app*4009*20170629*" /stext=" 21:.+((SYSTEM_STATE.+slice.+state.+changed )|(ment ac)|(multiple cpu faults)|(system.+state.+changed )|(\[timeout)|(PRM\|1\|D)|(kpr)|(kdp)|(train st.+moving)|(\|lc)|(penalty))"</v>
      </c>
      <c r="AG98" s="209" t="str">
        <f t="shared" si="44"/>
        <v>EC</v>
      </c>
      <c r="AH98" s="78" t="str">
        <f t="shared" si="29"/>
        <v>"%USERPROFILE%\Documents\GitHub\eaglep3\Utilities\RefineRTDCRunTimes.py" --tripid 186-29 --locoid 4009 --swversion DE.1.0.9.0 --startMP 204:233030 --initTime 2017-06-29T15:01:58 --startdatetime 2017-06-29T15:12:13 --delay 1 --endMP 204:147 --enddatetime 2017-06-29T15:50:58 --enforcementcount 0 &gt;&gt;C:\Users\stu\Documents\GitHub\eaglep3-reporting\EC\2017-06-29-refined-times.txt</v>
      </c>
      <c r="AI9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ID","value":"186-29"},{"id":16,"name":"Locomotive ID","value":"4009"},{"id":130,"name":"Impact","value":""},{"id":150,"name":"Time of Event (Mountain Time)","value":"15:50:58"},{"id":151,"name":"Denver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1"/>
        <v>start /low /b %USERPROFILE%\Documents\GitHub\eaglep3\Utilities\DownloadLogsFromS3.py --loco 4009 --day 2017-06-29</v>
      </c>
      <c r="AN9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598</v>
      </c>
      <c r="B99" s="7">
        <v>4006</v>
      </c>
      <c r="C99" s="21" t="s">
        <v>201</v>
      </c>
      <c r="D99" s="21" t="s">
        <v>948</v>
      </c>
      <c r="E99" s="13">
        <v>42915.599074074074</v>
      </c>
      <c r="F99" s="13">
        <v>42915.604444444441</v>
      </c>
      <c r="G99" s="7">
        <v>1</v>
      </c>
      <c r="H99" s="21" t="s">
        <v>832</v>
      </c>
      <c r="I99" s="13">
        <v>42915.629780092589</v>
      </c>
      <c r="J99" s="7">
        <v>0</v>
      </c>
      <c r="K99" s="89" t="str">
        <f t="shared" si="33"/>
        <v>4005/4006</v>
      </c>
      <c r="L99" s="21" t="str">
        <f>VLOOKUP(A99,'Trips&amp;Operators'!$C$1:$G$99999,5,FALSE)</f>
        <v>HOLCOMB KAMDEN</v>
      </c>
      <c r="M99" s="6">
        <f t="shared" si="34"/>
        <v>2.5335648148029577E-2</v>
      </c>
      <c r="N99" s="7">
        <f t="shared" si="45"/>
        <v>36.483333333162591</v>
      </c>
      <c r="O99" s="7"/>
      <c r="P99" s="7"/>
      <c r="Q99" s="22"/>
      <c r="R99" s="170"/>
      <c r="S99" s="213">
        <f t="shared" si="35"/>
        <v>1</v>
      </c>
      <c r="T99" s="195" t="str">
        <f t="shared" si="3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7"/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38"/>
        <v>4.1799999999999997E-2</v>
      </c>
      <c r="Z99" s="197">
        <f t="shared" si="39"/>
        <v>23.334599999999998</v>
      </c>
      <c r="AA99" s="197">
        <f t="shared" si="40"/>
        <v>23.2928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1"/>
        <v>187</v>
      </c>
      <c r="AE99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99" s="74" t="str">
        <f t="shared" si="43"/>
        <v>"C:\Program Files (x86)\AstroGrep\AstroGrep.exe" /e /r /s /spath="%USERPROFILE%\AppData\Local\Temp\OnboardLogs" /stypes="app*4006*20170629*" /stext=" 21:.+((SYSTEM_STATE.+slice.+state.+changed )|(ment ac)|(multiple cpu faults)|(system.+state.+changed )|(\[timeout)|(PRM\|1\|D)|(kpr)|(kdp)|(train st.+moving)|(\|lc)|(penalty))"</v>
      </c>
      <c r="AG99" s="209" t="str">
        <f t="shared" si="44"/>
        <v>EC</v>
      </c>
      <c r="AH99" s="78" t="str">
        <f t="shared" si="29"/>
        <v>"%USERPROFILE%\Documents\GitHub\eaglep3\Utilities\RefineRTDCRunTimes.py" --tripid 187-29 --locoid 4006 --swversion DE.1.0.9.0 --startMP 204:418 --initTime 2017-06-29T14:22:40 --startdatetime 2017-06-29T14:30:24 --delay 1 --endMP 204:233346 --enddatetime 2017-06-29T15:06:53 --enforcementcount 0 &gt;&gt;C:\Users\stu\Documents\GitHub\eaglep3-reporting\EC\2017-06-29-refined-times.txt</v>
      </c>
      <c r="AI9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{"issue":{"subject":"","project_id":79,"tracker_id":40,"status_id":1,"priority_id":2,"assigned_to_id":23,"start_date":"2017-06-29","description":"","custom_fields":[{"id":1,"name":"Subdivision","value":"EC"},{"id":4,"name":"Milepost","value":"23.3346"},{"id":17,"name":"Train ID","value":"187-29"},{"id":16,"name":"Locomotive ID","value":"4006"},{"id":130,"name":"Impact","value":""},{"id":150,"name":"Time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1"/>
        <v>start /low /b %USERPROFILE%\Documents\GitHub\eaglep3\Utilities\DownloadLogsFromS3.py --loco 4006 --day 2017-06-29</v>
      </c>
      <c r="AN9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602</v>
      </c>
      <c r="B100" s="7">
        <v>4005</v>
      </c>
      <c r="C100" s="21" t="s">
        <v>201</v>
      </c>
      <c r="D100" s="21" t="s">
        <v>949</v>
      </c>
      <c r="E100" s="13">
        <v>42915.640868055554</v>
      </c>
      <c r="F100" s="13">
        <v>42915.644305555557</v>
      </c>
      <c r="G100" s="7">
        <v>1</v>
      </c>
      <c r="H100" s="21" t="s">
        <v>950</v>
      </c>
      <c r="I100" s="13">
        <v>42915.670138888891</v>
      </c>
      <c r="J100" s="7">
        <v>0</v>
      </c>
      <c r="K100" s="89" t="str">
        <f t="shared" si="33"/>
        <v>4005/4006</v>
      </c>
      <c r="L100" s="21" t="str">
        <f>VLOOKUP(A100,'Trips&amp;Operators'!$C$1:$G$99999,5,FALSE)</f>
        <v>HOLCOMB KAMDEN</v>
      </c>
      <c r="M100" s="6">
        <f t="shared" si="34"/>
        <v>2.5833333333139308E-2</v>
      </c>
      <c r="N100" s="7">
        <f t="shared" si="45"/>
        <v>37.199999999720603</v>
      </c>
      <c r="O100" s="7"/>
      <c r="P100" s="7"/>
      <c r="Q100" s="22"/>
      <c r="R100" s="170"/>
      <c r="S100" s="213">
        <f t="shared" si="35"/>
        <v>1</v>
      </c>
      <c r="T100" s="195" t="str">
        <f t="shared" si="3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7"/>
        <v>https://d0f6bd738d7f1b3e5a7ca70fe4ff75f0.us-east-1.aws.found.io/app/kibana#/discover/Steve-Slow-Train-Analysis-(2080s-and-2083s)?_g=(refreshInterval:(display:Off,pause:!f,section:0,value:0),time:(from:'2017-06-29T14:22:51-0600',mode:absolute,to:'2017-06-29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38"/>
        <v>23.301100000000002</v>
      </c>
      <c r="Z100" s="197">
        <f t="shared" si="39"/>
        <v>1.7999999999999999E-2</v>
      </c>
      <c r="AA100" s="197">
        <f t="shared" si="40"/>
        <v>23.283100000000001</v>
      </c>
      <c r="AB100" s="54" t="str">
        <f>VLOOKUP(A100,Enforcements!$C$7:$K$13,8,0)</f>
        <v>Bulletin (2)</v>
      </c>
      <c r="AC100" s="51" t="str">
        <f>VLOOKUP(A100,Enforcements!$C$7:$E$13,3,0)</f>
        <v>GRADE CROSSING</v>
      </c>
      <c r="AD100" s="206">
        <f t="shared" si="41"/>
        <v>188</v>
      </c>
      <c r="AE100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00" s="74" t="str">
        <f t="shared" si="43"/>
        <v>"C:\Program Files (x86)\AstroGrep\AstroGrep.exe" /e /r /s /spath="%USERPROFILE%\AppData\Local\Temp\OnboardLogs" /stypes="app*4005*20170629*" /stext=" 22:.+((SYSTEM_STATE.+slice.+state.+changed )|(ment ac)|(multiple cpu faults)|(system.+state.+changed )|(\[timeout)|(PRM\|1\|D)|(kpr)|(kdp)|(train st.+moving)|(\|lc)|(penalty))"</v>
      </c>
      <c r="AG100" s="209" t="str">
        <f t="shared" si="44"/>
        <v>EC</v>
      </c>
      <c r="AH100" s="78" t="str">
        <f t="shared" si="29"/>
        <v>"%USERPROFILE%\Documents\GitHub\eaglep3\Utilities\RefineRTDCRunTimes.py" --tripid 188-29 --locoid 4005 --swversion DE.1.0.9.0 --startMP 204:233011 --initTime 2017-06-29T15:22:51 --startdatetime 2017-06-29T15:27:48 --delay 1 --endMP 204:180 --enddatetime 2017-06-29T16:05:00 --enforcementcount 0 &gt;&gt;C:\Users\stu\Documents\GitHub\eaglep3-reporting\EC\2017-06-29-refined-times.txt</v>
      </c>
      <c r="AI10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{"issue":{"subject":"","project_id":79,"tracker_id":40,"status_id":1,"priority_id":2,"assigned_to_id":23,"start_date":"2017-06-29","description":"","custom_fields":[{"id":1,"name":"Subdivision","value":"EC"},{"id":4,"name":"Milepost","value":"0.018"},{"id":17,"name":"Train ID","value":"188-29"},{"id":16,"name":"Locomotive ID","value":"4005"},{"id":130,"name":"Impact","value":""},{"id":150,"name":"Time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1"/>
        <v>start /low /b %USERPROFILE%\Documents\GitHub\eaglep3\Utilities\DownloadLogsFromS3.py --loco 4005 --day 2017-06-29</v>
      </c>
      <c r="AN10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600</v>
      </c>
      <c r="B101" s="7">
        <v>4060</v>
      </c>
      <c r="C101" s="21" t="s">
        <v>201</v>
      </c>
      <c r="D101" s="21" t="s">
        <v>198</v>
      </c>
      <c r="E101" s="13">
        <v>42915.612858796296</v>
      </c>
      <c r="F101" s="13">
        <v>42915.614953703705</v>
      </c>
      <c r="G101" s="7">
        <v>1</v>
      </c>
      <c r="H101" s="21" t="s">
        <v>951</v>
      </c>
      <c r="I101" s="13">
        <v>42915.640914351854</v>
      </c>
      <c r="J101" s="7">
        <v>0</v>
      </c>
      <c r="K101" s="89" t="str">
        <f t="shared" si="33"/>
        <v>4059/4060</v>
      </c>
      <c r="L101" s="21" t="str">
        <f>VLOOKUP(A101,'Trips&amp;Operators'!$C$1:$G$99999,5,FALSE)</f>
        <v>STEWART MICHAEL</v>
      </c>
      <c r="M101" s="6">
        <f t="shared" si="34"/>
        <v>2.5960648148611654E-2</v>
      </c>
      <c r="N101" s="7">
        <f t="shared" si="45"/>
        <v>37.383333334000781</v>
      </c>
      <c r="O101" s="7"/>
      <c r="P101" s="7"/>
      <c r="Q101" s="22"/>
      <c r="R101" s="170"/>
      <c r="S101" s="213">
        <f t="shared" si="35"/>
        <v>1</v>
      </c>
      <c r="T101" s="195" t="str">
        <f t="shared" si="3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7"/>
        <v>https://d0f6bd738d7f1b3e5a7ca70fe4ff75f0.us-east-1.aws.found.io/app/kibana#/discover/Steve-Slow-Train-Analysis-(2080s-and-2083s)?_g=(refreshInterval:(display:Off,pause:!f,section:0,value:0),time:(from:'2017-06-29T13:42:31-0600',mode:absolute,to:'2017-06-29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38"/>
        <v>4.5999999999999999E-2</v>
      </c>
      <c r="Z101" s="197">
        <f t="shared" si="39"/>
        <v>23.33</v>
      </c>
      <c r="AA101" s="197">
        <f t="shared" si="40"/>
        <v>23.283999999999999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1"/>
        <v>189</v>
      </c>
      <c r="AE101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01" s="74" t="str">
        <f t="shared" si="43"/>
        <v>"C:\Program Files (x86)\AstroGrep\AstroGrep.exe" /e /r /s /spath="%USERPROFILE%\AppData\Local\Temp\OnboardLogs" /stypes="app*4060*20170629*" /stext=" 21:.+((SYSTEM_STATE.+slice.+state.+changed )|(ment ac)|(multiple cpu faults)|(system.+state.+changed )|(\[timeout)|(PRM\|1\|D)|(kpr)|(kdp)|(train st.+moving)|(\|lc)|(penalty))"</v>
      </c>
      <c r="AG101" s="209" t="str">
        <f t="shared" si="44"/>
        <v>EC</v>
      </c>
      <c r="AH101" s="78" t="str">
        <f t="shared" si="29"/>
        <v>"%USERPROFILE%\Documents\GitHub\eaglep3\Utilities\RefineRTDCRunTimes.py" --tripid 189-29 --locoid 4060 --swversion DE.1.0.9.0 --startMP 204:460 --initTime 2017-06-29T14:42:31 --startdatetime 2017-06-29T14:45:32 --delay 1 --endMP 204:233300 --enddatetime 2017-06-29T15:22:55 --enforcementcount 0 &gt;&gt;C:\Users\stu\Documents\GitHub\eaglep3-reporting\EC\2017-06-29-refined-times.txt</v>
      </c>
      <c r="AI10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{"issue":{"subject":"","project_id":79,"tracker_id":40,"status_id":1,"priority_id":2,"assigned_to_id":23,"start_date":"2017-06-29","description":"","custom_fields":[{"id":1,"name":"Subdivision","value":"EC"},{"id":4,"name":"Milepost","value":"23.33"},{"id":17,"name":"Train ID","value":"189-29"},{"id":16,"name":"Locomotive ID","value":"4060"},{"id":130,"name":"Impact","value":""},{"id":150,"name":"Time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1"/>
        <v>start /low /b %USERPROFILE%\Documents\GitHub\eaglep3\Utilities\DownloadLogsFromS3.py --loco 4060 --day 2017-06-29</v>
      </c>
      <c r="AN10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605</v>
      </c>
      <c r="B102" s="7">
        <v>4059</v>
      </c>
      <c r="C102" s="21" t="s">
        <v>201</v>
      </c>
      <c r="D102" s="21" t="s">
        <v>834</v>
      </c>
      <c r="E102" s="13">
        <v>42915.653287037036</v>
      </c>
      <c r="F102" s="13">
        <v>42915.654861111114</v>
      </c>
      <c r="G102" s="7">
        <v>3</v>
      </c>
      <c r="H102" s="21" t="s">
        <v>193</v>
      </c>
      <c r="I102" s="13">
        <v>42915.683159722219</v>
      </c>
      <c r="J102" s="7">
        <v>0</v>
      </c>
      <c r="K102" s="89" t="str">
        <f t="shared" si="33"/>
        <v>4059/4060</v>
      </c>
      <c r="L102" s="21" t="str">
        <f>VLOOKUP(A102,'Trips&amp;Operators'!$C$1:$G$99999,5,FALSE)</f>
        <v>STEWART MICHAEL</v>
      </c>
      <c r="M102" s="6">
        <f t="shared" si="34"/>
        <v>2.8298611105128657E-2</v>
      </c>
      <c r="N102" s="7">
        <f t="shared" si="45"/>
        <v>40.749999991385266</v>
      </c>
      <c r="O102" s="7"/>
      <c r="P102" s="7"/>
      <c r="Q102" s="22"/>
      <c r="R102" s="170" t="s">
        <v>1059</v>
      </c>
      <c r="S102" s="213">
        <f t="shared" si="35"/>
        <v>1</v>
      </c>
      <c r="T102" s="195" t="str">
        <f t="shared" si="3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7"/>
        <v>https://d0f6bd738d7f1b3e5a7ca70fe4ff75f0.us-east-1.aws.found.io/app/kibana#/discover/Steve-Slow-Train-Analysis-(2080s-and-2083s)?_g=(refreshInterval:(display:Off,pause:!f,section:0,value:0),time:(from:'2017-06-29T14:40:44-0600',mode:absolute,to:'2017-06-29T17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38"/>
        <v>23.2988</v>
      </c>
      <c r="Z102" s="197">
        <f t="shared" si="39"/>
        <v>1.52E-2</v>
      </c>
      <c r="AA102" s="197">
        <f t="shared" si="40"/>
        <v>23.2836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1"/>
        <v>190</v>
      </c>
      <c r="AE102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02" s="74" t="str">
        <f t="shared" si="43"/>
        <v>"C:\Program Files (x86)\AstroGrep\AstroGrep.exe" /e /r /s /spath="%USERPROFILE%\AppData\Local\Temp\OnboardLogs" /stypes="app*4059*20170629*" /stext=" 22:.+((SYSTEM_STATE.+slice.+state.+changed )|(ment ac)|(multiple cpu faults)|(system.+state.+changed )|(\[timeout)|(PRM\|1\|D)|(kpr)|(kdp)|(train st.+moving)|(\|lc)|(penalty))"</v>
      </c>
      <c r="AG102" s="209" t="str">
        <f t="shared" si="44"/>
        <v>EC</v>
      </c>
      <c r="AH102" s="78" t="str">
        <f t="shared" si="29"/>
        <v>"%USERPROFILE%\Documents\GitHub\eaglep3\Utilities\RefineRTDCRunTimes.py" --tripid 190-29 --locoid 4059 --swversion DE.1.0.9.0 --startMP 204:232988 --initTime 2017-06-29T15:40:44 --startdatetime 2017-06-29T15:43:00 --delay 3 --endMP 204:152 --enddatetime 2017-06-29T16:23:45 --enforcementcount 0 &gt;&gt;C:\Users\stu\Documents\GitHub\eaglep3-reporting\EC\2017-06-29-refined-times.txt</v>
      </c>
      <c r="AI102" s="96" t="str">
        <f t="shared" si="30"/>
        <v>echo {"issue":{"subject":"Delayed due to cancelling departure test","project_id":79,"tracker_id":40,"status_id":1,"priority_id":2,"assigned_to_id":23,"start_date":"2017-06-29","description":"","custom_fields":[{"id":1,"name":"Subdivision","value":"EC"},{"id":4,"name":"Milepost","value":"0.0152"},{"id":17,"name":"Train ID","value":"190-29"},{"id":16,"name":"Locomotive ID","value":"4059"},{"id":130,"name":"Impact","value":""},{"id":150,"name":"Time of Event (Mountain Time)","value":"16:23:45"},{"id":151,"name":"Denver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1"/>
        <v>start /low /b %USERPROFILE%\Documents\GitHub\eaglep3\Utilities\DownloadLogsFromS3.py --loco 4059 --day 2017-06-29</v>
      </c>
      <c r="AN102" s="151" t="str">
        <f t="shared" si="32"/>
        <v>echo {"issue":{"subject":"Delayed due to cancelling departure test","project_id":30,"tracker_id":4,"status_id":1,"priority_id":1,"assigned_to_id":10,"start_date":"2017-06-29","description":"","custom_fields":[{"id":30,"name":"Category","value":"Issue"},{"id":3,"name":"Functional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739</v>
      </c>
      <c r="B103" s="7">
        <v>4062</v>
      </c>
      <c r="C103" s="21" t="s">
        <v>201</v>
      </c>
      <c r="D103" s="21" t="s">
        <v>474</v>
      </c>
      <c r="E103" s="13">
        <v>42915.619652777779</v>
      </c>
      <c r="F103" s="13">
        <v>42915.625162037039</v>
      </c>
      <c r="G103" s="7">
        <v>1</v>
      </c>
      <c r="H103" s="21" t="s">
        <v>952</v>
      </c>
      <c r="I103" s="13">
        <v>42915.649618055555</v>
      </c>
      <c r="J103" s="7">
        <v>0</v>
      </c>
      <c r="K103" s="89" t="str">
        <f t="shared" si="33"/>
        <v>4061/4062</v>
      </c>
      <c r="L103" s="21" t="str">
        <f>VLOOKUP(A103,'Trips&amp;Operators'!$C$1:$G$99999,5,FALSE)</f>
        <v>ROMERO CHAD</v>
      </c>
      <c r="M103" s="6">
        <f t="shared" si="34"/>
        <v>2.4456018516502809E-2</v>
      </c>
      <c r="N103" s="7">
        <f t="shared" si="45"/>
        <v>35.216666663764045</v>
      </c>
      <c r="O103" s="7"/>
      <c r="P103" s="7"/>
      <c r="Q103" s="22"/>
      <c r="R103" s="170"/>
      <c r="S103" s="213">
        <f t="shared" si="35"/>
        <v>1</v>
      </c>
      <c r="T103" s="195" t="str">
        <f t="shared" si="3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7"/>
        <v>https://d0f6bd738d7f1b3e5a7ca70fe4ff75f0.us-east-1.aws.found.io/app/kibana#/discover/Steve-Slow-Train-Analysis-(2080s-and-2083s)?_g=(refreshInterval:(display:Off,pause:!f,section:0,value:0),time:(from:'2017-06-29T13:52:18-0600',mode:absolute,to:'2017-06-29T16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38"/>
        <v>4.4400000000000002E-2</v>
      </c>
      <c r="Z103" s="197">
        <f t="shared" si="39"/>
        <v>23.3355</v>
      </c>
      <c r="AA103" s="197">
        <f t="shared" si="40"/>
        <v>23.2911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1"/>
        <v>191</v>
      </c>
      <c r="AE103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03" s="74" t="str">
        <f t="shared" si="43"/>
        <v>"C:\Program Files (x86)\AstroGrep\AstroGrep.exe" /e /r /s /spath="%USERPROFILE%\AppData\Local\Temp\OnboardLogs" /stypes="app*4062*20170629*" /stext=" 21:.+((SYSTEM_STATE.+slice.+state.+changed )|(ment ac)|(multiple cpu faults)|(system.+state.+changed )|(\[timeout)|(PRM\|1\|D)|(kpr)|(kdp)|(train st.+moving)|(\|lc)|(penalty))"</v>
      </c>
      <c r="AG103" s="209" t="str">
        <f t="shared" si="44"/>
        <v>EC</v>
      </c>
      <c r="AH103" s="78" t="str">
        <f t="shared" si="29"/>
        <v>"%USERPROFILE%\Documents\GitHub\eaglep3\Utilities\RefineRTDCRunTimes.py" --tripid 191-29 --locoid 4062 --swversion DE.1.0.9.0 --startMP 204:444 --initTime 2017-06-29T14:52:18 --startdatetime 2017-06-29T15:00:14 --delay 1 --endMP 204:233355 --enddatetime 2017-06-29T15:35:27 --enforcementcount 0 &gt;&gt;C:\Users\stu\Documents\GitHub\eaglep3-reporting\EC\2017-06-29-refined-times.txt</v>
      </c>
      <c r="AI10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{"issue":{"subject":"","project_id":79,"tracker_id":40,"status_id":1,"priority_id":2,"assigned_to_id":23,"start_date":"2017-06-29","description":"","custom_fields":[{"id":1,"name":"Subdivision","value":"EC"},{"id":4,"name":"Milepost","value":"23.3355"},{"id":17,"name":"Train ID","value":"191-29"},{"id":16,"name":"Locomotive ID","value":"4062"},{"id":130,"name":"Impact","value":""},{"id":150,"name":"Time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1"/>
        <v>start /low /b %USERPROFILE%\Documents\GitHub\eaglep3\Utilities\DownloadLogsFromS3.py --loco 4062 --day 2017-06-29</v>
      </c>
      <c r="AN10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604</v>
      </c>
      <c r="B104" s="7">
        <v>4061</v>
      </c>
      <c r="C104" s="21" t="s">
        <v>201</v>
      </c>
      <c r="D104" s="21" t="s">
        <v>953</v>
      </c>
      <c r="E104" s="13">
        <v>42915.653298611112</v>
      </c>
      <c r="F104" s="13">
        <v>42915.66479166667</v>
      </c>
      <c r="G104" s="7">
        <v>1</v>
      </c>
      <c r="H104" s="21" t="s">
        <v>354</v>
      </c>
      <c r="I104" s="13">
        <v>42915.690254629626</v>
      </c>
      <c r="J104" s="7">
        <v>0</v>
      </c>
      <c r="K104" s="89" t="str">
        <f t="shared" si="33"/>
        <v>4061/4062</v>
      </c>
      <c r="L104" s="21" t="str">
        <f>VLOOKUP(A104,'Trips&amp;Operators'!$C$1:$G$99999,5,FALSE)</f>
        <v>ROMERO CHAD</v>
      </c>
      <c r="M104" s="6">
        <f t="shared" si="34"/>
        <v>2.5462962956225965E-2</v>
      </c>
      <c r="N104" s="7">
        <f t="shared" si="45"/>
        <v>36.66666665696539</v>
      </c>
      <c r="O104" s="7"/>
      <c r="P104" s="7"/>
      <c r="Q104" s="22"/>
      <c r="R104" s="170"/>
      <c r="S104" s="213">
        <f t="shared" si="35"/>
        <v>1</v>
      </c>
      <c r="T104" s="195" t="str">
        <f t="shared" si="3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7"/>
        <v>https://d0f6bd738d7f1b3e5a7ca70fe4ff75f0.us-east-1.aws.found.io/app/kibana#/discover/Steve-Slow-Train-Analysis-(2080s-and-2083s)?_g=(refreshInterval:(display:Off,pause:!f,section:0,value:0),time:(from:'2017-06-29T14:40:45-0600',mode:absolute,to:'2017-06-29T17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38"/>
        <v>23.3047</v>
      </c>
      <c r="Z104" s="197">
        <f t="shared" si="39"/>
        <v>1.3899999999999999E-2</v>
      </c>
      <c r="AA104" s="197">
        <f t="shared" si="40"/>
        <v>23.290800000000001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1"/>
        <v>192</v>
      </c>
      <c r="AE104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04" s="74" t="str">
        <f t="shared" si="43"/>
        <v>"C:\Program Files (x86)\AstroGrep\AstroGrep.exe" /e /r /s /spath="%USERPROFILE%\AppData\Local\Temp\OnboardLogs" /stypes="app*4061*20170629*" /stext=" 22:.+((SYSTEM_STATE.+slice.+state.+changed )|(ment ac)|(multiple cpu faults)|(system.+state.+changed )|(\[timeout)|(PRM\|1\|D)|(kpr)|(kdp)|(train st.+moving)|(\|lc)|(penalty))"</v>
      </c>
      <c r="AG104" s="209" t="str">
        <f t="shared" si="44"/>
        <v>EC</v>
      </c>
      <c r="AH104" s="78" t="str">
        <f t="shared" si="29"/>
        <v>"%USERPROFILE%\Documents\GitHub\eaglep3\Utilities\RefineRTDCRunTimes.py" --tripid 192-29 --locoid 4061 --swversion DE.1.0.9.0 --startMP 204:233047 --initTime 2017-06-29T15:40:45 --startdatetime 2017-06-29T15:57:18 --delay 1 --endMP 204:139 --enddatetime 2017-06-29T16:33:58 --enforcementcount 0 &gt;&gt;C:\Users\stu\Documents\GitHub\eaglep3-reporting\EC\2017-06-29-refined-times.txt</v>
      </c>
      <c r="AI10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{"issue":{"subject":"","project_id":79,"tracker_id":40,"status_id":1,"priority_id":2,"assigned_to_id":23,"start_date":"2017-06-29","description":"","custom_fields":[{"id":1,"name":"Subdivision","value":"EC"},{"id":4,"name":"Milepost","value":"0.0139"},{"id":17,"name":"Train ID","value":"192-29"},{"id":16,"name":"Locomotive ID","value":"4061"},{"id":130,"name":"Impact","value":""},{"id":150,"name":"Time of Event (Mountain Time)","value":"16:33:58"},{"id":151,"name":"Denver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1"/>
        <v>start /low /b %USERPROFILE%\Documents\GitHub\eaglep3\Utilities\DownloadLogsFromS3.py --loco 4061 --day 2017-06-29</v>
      </c>
      <c r="AN10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741</v>
      </c>
      <c r="B105" s="7">
        <v>4028</v>
      </c>
      <c r="C105" s="21" t="s">
        <v>201</v>
      </c>
      <c r="D105" s="21" t="s">
        <v>476</v>
      </c>
      <c r="E105" s="13">
        <v>42915.632418981484</v>
      </c>
      <c r="F105" s="13">
        <v>42915.63585648148</v>
      </c>
      <c r="G105" s="7">
        <v>1</v>
      </c>
      <c r="H105" s="21" t="s">
        <v>954</v>
      </c>
      <c r="I105" s="13">
        <v>42915.661620370367</v>
      </c>
      <c r="J105" s="7">
        <v>0</v>
      </c>
      <c r="K105" s="89" t="str">
        <f t="shared" si="33"/>
        <v>4027/4028</v>
      </c>
      <c r="L105" s="21" t="str">
        <f>VLOOKUP(A105,'Trips&amp;Operators'!$C$1:$G$99999,5,FALSE)</f>
        <v>LEVIN SCOTT</v>
      </c>
      <c r="M105" s="6">
        <f t="shared" si="34"/>
        <v>2.5763888887013309E-2</v>
      </c>
      <c r="N105" s="7">
        <f t="shared" si="45"/>
        <v>37.099999997299165</v>
      </c>
      <c r="O105" s="7"/>
      <c r="P105" s="7"/>
      <c r="Q105" s="22"/>
      <c r="R105" s="170"/>
      <c r="S105" s="213">
        <f t="shared" si="35"/>
        <v>1</v>
      </c>
      <c r="T105" s="195" t="str">
        <f t="shared" si="3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7"/>
        <v>https://d0f6bd738d7f1b3e5a7ca70fe4ff75f0.us-east-1.aws.found.io/app/kibana#/discover/Steve-Slow-Train-Analysis-(2080s-and-2083s)?_g=(refreshInterval:(display:Off,pause:!f,section:0,value:0),time:(from:'2017-06-29T14:10:41-0600',mode:absolute,to:'2017-06-29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38"/>
        <v>4.3999999999999997E-2</v>
      </c>
      <c r="Z105" s="197">
        <f t="shared" si="39"/>
        <v>23.341799999999999</v>
      </c>
      <c r="AA105" s="197">
        <f t="shared" si="40"/>
        <v>23.297799999999999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1"/>
        <v>193</v>
      </c>
      <c r="AE105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105" s="74" t="str">
        <f t="shared" si="43"/>
        <v>"C:\Program Files (x86)\AstroGrep\AstroGrep.exe" /e /r /s /spath="%USERPROFILE%\AppData\Local\Temp\OnboardLogs" /stypes="app*4028*20170629*" /stext=" 21:.+((SYSTEM_STATE.+slice.+state.+changed )|(ment ac)|(multiple cpu faults)|(system.+state.+changed )|(\[timeout)|(PRM\|1\|D)|(kpr)|(kdp)|(train st.+moving)|(\|lc)|(penalty))"</v>
      </c>
      <c r="AG105" s="209" t="str">
        <f t="shared" si="44"/>
        <v>EC</v>
      </c>
      <c r="AH105" s="78" t="str">
        <f t="shared" si="29"/>
        <v>"%USERPROFILE%\Documents\GitHub\eaglep3\Utilities\RefineRTDCRunTimes.py" --tripid 193-29 --locoid 4028 --swversion DE.1.0.9.0 --startMP 204:440 --initTime 2017-06-29T15:10:41 --startdatetime 2017-06-29T15:15:38 --delay 1 --endMP 204:233418 --enddatetime 2017-06-29T15:52:44 --enforcementcount 0 &gt;&gt;C:\Users\stu\Documents\GitHub\eaglep3-reporting\EC\2017-06-29-refined-times.txt</v>
      </c>
      <c r="AI10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{"issue":{"subject":"","project_id":79,"tracker_id":40,"status_id":1,"priority_id":2,"assigned_to_id":23,"start_date":"2017-06-29","description":"","custom_fields":[{"id":1,"name":"Subdivision","value":"EC"},{"id":4,"name":"Milepost","value":"23.3418"},{"id":17,"name":"Train ID","value":"193-29"},{"id":16,"name":"Locomotive ID","value":"4028"},{"id":130,"name":"Impact","value":""},{"id":150,"name":"Time of Event (Mountain Time)","value":"15:52:44"},{"id":151,"name":"Denver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1"/>
        <v>start /low /b %USERPROFILE%\Documents\GitHub\eaglep3\Utilities\DownloadLogsFromS3.py --loco 4028 --day 2017-06-29</v>
      </c>
      <c r="AN10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747</v>
      </c>
      <c r="B106" s="7">
        <v>4027</v>
      </c>
      <c r="C106" s="21" t="s">
        <v>201</v>
      </c>
      <c r="D106" s="21" t="s">
        <v>955</v>
      </c>
      <c r="E106" s="13">
        <v>42915.671249999999</v>
      </c>
      <c r="F106" s="13">
        <v>42915.675162037034</v>
      </c>
      <c r="G106" s="7">
        <v>2</v>
      </c>
      <c r="H106" s="21" t="s">
        <v>445</v>
      </c>
      <c r="I106" s="13">
        <v>42915.701145833336</v>
      </c>
      <c r="J106" s="7">
        <v>0</v>
      </c>
      <c r="K106" s="89" t="str">
        <f t="shared" si="33"/>
        <v>4027/4028</v>
      </c>
      <c r="L106" s="21" t="str">
        <f>VLOOKUP(A106,'Trips&amp;Operators'!$C$1:$G$99999,5,FALSE)</f>
        <v>LEVIN SCOTT</v>
      </c>
      <c r="M106" s="6">
        <f t="shared" si="34"/>
        <v>2.5983796302170958E-2</v>
      </c>
      <c r="N106" s="7">
        <f t="shared" si="45"/>
        <v>37.41666667512618</v>
      </c>
      <c r="O106" s="7"/>
      <c r="P106" s="7"/>
      <c r="Q106" s="22"/>
      <c r="R106" s="170"/>
      <c r="S106" s="213">
        <f t="shared" si="35"/>
        <v>1</v>
      </c>
      <c r="T106" s="195" t="str">
        <f t="shared" si="3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7"/>
        <v>https://d0f6bd738d7f1b3e5a7ca70fe4ff75f0.us-east-1.aws.found.io/app/kibana#/discover/Steve-Slow-Train-Analysis-(2080s-and-2083s)?_g=(refreshInterval:(display:Off,pause:!f,section:0,value:0),time:(from:'2017-06-29T15:06:36-0600',mode:absolute,to:'2017-06-29T17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97" t="str">
        <f>IF(AA106&lt;VLOOKUP(AG106,Variables!$AC$3:$AD$8,2,FALSE),"Y","N")</f>
        <v>N</v>
      </c>
      <c r="X106" s="197">
        <f t="shared" ref="X106:X137" si="46">VALUE(LEFT(AD106,4))-VALUE(LEFT(AD105,4))</f>
        <v>1</v>
      </c>
      <c r="Y106" s="197">
        <f t="shared" si="38"/>
        <v>23.3078</v>
      </c>
      <c r="Z106" s="197">
        <f t="shared" si="39"/>
        <v>1.38E-2</v>
      </c>
      <c r="AA106" s="197">
        <f t="shared" si="40"/>
        <v>23.294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1"/>
        <v>194</v>
      </c>
      <c r="AE106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106" s="74" t="str">
        <f t="shared" si="43"/>
        <v>"C:\Program Files (x86)\AstroGrep\AstroGrep.exe" /e /r /s /spath="%USERPROFILE%\AppData\Local\Temp\OnboardLogs" /stypes="app*4027*20170629*" /stext=" 22:.+((SYSTEM_STATE.+slice.+state.+changed )|(ment ac)|(multiple cpu faults)|(system.+state.+changed )|(\[timeout)|(PRM\|1\|D)|(kpr)|(kdp)|(train st.+moving)|(\|lc)|(penalty))"</v>
      </c>
      <c r="AG106" s="209" t="str">
        <f t="shared" si="44"/>
        <v>EC</v>
      </c>
      <c r="AH106" s="78" t="str">
        <f t="shared" si="29"/>
        <v>"%USERPROFILE%\Documents\GitHub\eaglep3\Utilities\RefineRTDCRunTimes.py" --tripid 194-29 --locoid 4027 --swversion DE.1.0.9.0 --startMP 204:233078 --initTime 2017-06-29T16:06:36 --startdatetime 2017-06-29T16:12:14 --delay 2 --endMP 204:138 --enddatetime 2017-06-29T16:49:39 --enforcementcount 0 &gt;&gt;C:\Users\stu\Documents\GitHub\eaglep3-reporting\EC\2017-06-29-refined-times.txt</v>
      </c>
      <c r="AI10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ID","value":"194-29"},{"id":16,"name":"Locomotive ID","value":"4027"},{"id":130,"name":"Impact","value":""},{"id":150,"name":"Time of Event (Mountain Time)","value":"16:49:39"},{"id":151,"name":"Denver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1"/>
        <v>start /low /b %USERPROFILE%\Documents\GitHub\eaglep3\Utilities\DownloadLogsFromS3.py --loco 4027 --day 2017-06-29</v>
      </c>
      <c r="AN10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743</v>
      </c>
      <c r="B107" s="7">
        <v>4050</v>
      </c>
      <c r="C107" s="21" t="s">
        <v>201</v>
      </c>
      <c r="D107" s="21" t="s">
        <v>956</v>
      </c>
      <c r="E107" s="13">
        <v>42915.642094907409</v>
      </c>
      <c r="F107" s="13">
        <v>42915.646423611113</v>
      </c>
      <c r="G107" s="7">
        <v>1</v>
      </c>
      <c r="H107" s="21" t="s">
        <v>937</v>
      </c>
      <c r="I107" s="13">
        <v>42915.671168981484</v>
      </c>
      <c r="J107" s="7">
        <v>0</v>
      </c>
      <c r="K107" s="89" t="str">
        <f t="shared" si="33"/>
        <v>4049/4050</v>
      </c>
      <c r="L107" s="21" t="str">
        <f>VLOOKUP(A107,'Trips&amp;Operators'!$C$1:$G$99999,5,FALSE)</f>
        <v>DELGADO DIANAH</v>
      </c>
      <c r="M107" s="6">
        <f t="shared" si="34"/>
        <v>2.47453703705105E-2</v>
      </c>
      <c r="N107" s="7">
        <f t="shared" si="45"/>
        <v>35.63333333353512</v>
      </c>
      <c r="O107" s="7"/>
      <c r="P107" s="7"/>
      <c r="Q107" s="22"/>
      <c r="R107" s="170"/>
      <c r="S107" s="213">
        <f t="shared" si="35"/>
        <v>1</v>
      </c>
      <c r="T107" s="195" t="str">
        <f t="shared" si="3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7"/>
        <v>https://d0f6bd738d7f1b3e5a7ca70fe4ff75f0.us-east-1.aws.found.io/app/kibana#/discover/Steve-Slow-Train-Analysis-(2080s-and-2083s)?_g=(refreshInterval:(display:Off,pause:!f,section:0,value:0),time:(from:'2017-06-29T14:24:37-0600',mode:absolute,to:'2017-06-29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 t="shared" si="46"/>
        <v>1</v>
      </c>
      <c r="Y107" s="197">
        <f t="shared" si="38"/>
        <v>4.7300000000000002E-2</v>
      </c>
      <c r="Z107" s="197">
        <f t="shared" si="39"/>
        <v>23.337</v>
      </c>
      <c r="AA107" s="197">
        <f t="shared" si="40"/>
        <v>23.2897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1"/>
        <v>195</v>
      </c>
      <c r="AE107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07" s="74" t="str">
        <f t="shared" si="43"/>
        <v>"C:\Program Files (x86)\AstroGrep\AstroGrep.exe" /e /r /s /spath="%USERPROFILE%\AppData\Local\Temp\OnboardLogs" /stypes="app*4050*20170629*" /stext=" 22:.+((SYSTEM_STATE.+slice.+state.+changed )|(ment ac)|(multiple cpu faults)|(system.+state.+changed )|(\[timeout)|(PRM\|1\|D)|(kpr)|(kdp)|(train st.+moving)|(\|lc)|(penalty))"</v>
      </c>
      <c r="AG107" s="209" t="str">
        <f t="shared" si="44"/>
        <v>EC</v>
      </c>
      <c r="AH107" s="78" t="str">
        <f t="shared" si="29"/>
        <v>"%USERPROFILE%\Documents\GitHub\eaglep3\Utilities\RefineRTDCRunTimes.py" --tripid 195-29 --locoid 4050 --swversion DE.1.0.9.0 --startMP 204:473 --initTime 2017-06-29T15:24:37 --startdatetime 2017-06-29T15:30:51 --delay 1 --endMP 204:233370 --enddatetime 2017-06-29T16:06:29 --enforcementcount 0 &gt;&gt;C:\Users\stu\Documents\GitHub\eaglep3-reporting\EC\2017-06-29-refined-times.txt</v>
      </c>
      <c r="AI10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ID","value":"195-29"},{"id":16,"name":"Locomotive ID","value":"4050"},{"id":130,"name":"Impact","value":""},{"id":150,"name":"Time of Event (Mountain Time)","value":"16:06:29"},{"id":151,"name":"Denver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1"/>
        <v>start /low /b %USERPROFILE%\Documents\GitHub\eaglep3\Utilities\DownloadLogsFromS3.py --loco 4050 --day 2017-06-29</v>
      </c>
      <c r="AN10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748</v>
      </c>
      <c r="B108" s="7">
        <v>4049</v>
      </c>
      <c r="C108" s="21" t="s">
        <v>201</v>
      </c>
      <c r="D108" s="21" t="s">
        <v>957</v>
      </c>
      <c r="E108" s="13">
        <v>42915.680925925924</v>
      </c>
      <c r="F108" s="13">
        <v>42915.685578703706</v>
      </c>
      <c r="G108" s="7">
        <v>1</v>
      </c>
      <c r="H108" s="21" t="s">
        <v>348</v>
      </c>
      <c r="I108" s="13">
        <v>42915.711516203701</v>
      </c>
      <c r="J108" s="7">
        <v>0</v>
      </c>
      <c r="K108" s="89" t="str">
        <f t="shared" si="33"/>
        <v>4049/4050</v>
      </c>
      <c r="L108" s="21" t="str">
        <f>VLOOKUP(A108,'Trips&amp;Operators'!$C$1:$G$99999,5,FALSE)</f>
        <v>DELGADO DIANAH</v>
      </c>
      <c r="M108" s="6">
        <f t="shared" si="34"/>
        <v>2.5937499995052349E-2</v>
      </c>
      <c r="N108" s="7">
        <f t="shared" si="45"/>
        <v>37.349999992875382</v>
      </c>
      <c r="O108" s="7"/>
      <c r="P108" s="7"/>
      <c r="Q108" s="22"/>
      <c r="R108" s="170"/>
      <c r="S108" s="213">
        <f t="shared" si="35"/>
        <v>1</v>
      </c>
      <c r="T108" s="195" t="str">
        <f t="shared" si="3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7"/>
        <v>https://d0f6bd738d7f1b3e5a7ca70fe4ff75f0.us-east-1.aws.found.io/app/kibana#/discover/Steve-Slow-Train-Analysis-(2080s-and-2083s)?_g=(refreshInterval:(display:Off,pause:!f,section:0,value:0),time:(from:'2017-06-29T15:20:32-0600',mode:absolute,to:'2017-06-29T18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 t="shared" si="46"/>
        <v>1</v>
      </c>
      <c r="Y108" s="197">
        <f t="shared" si="38"/>
        <v>23.3111</v>
      </c>
      <c r="Z108" s="197">
        <f t="shared" si="39"/>
        <v>1.43E-2</v>
      </c>
      <c r="AA108" s="197">
        <f t="shared" si="40"/>
        <v>23.296800000000001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1"/>
        <v>196</v>
      </c>
      <c r="AE108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08" s="74" t="str">
        <f t="shared" si="43"/>
        <v>"C:\Program Files (x86)\AstroGrep\AstroGrep.exe" /e /r /s /spath="%USERPROFILE%\AppData\Local\Temp\OnboardLogs" /stypes="app*4049*20170629*" /stext=" 23:.+((SYSTEM_STATE.+slice.+state.+changed )|(ment ac)|(multiple cpu faults)|(system.+state.+changed )|(\[timeout)|(PRM\|1\|D)|(kpr)|(kdp)|(train st.+moving)|(\|lc)|(penalty))"</v>
      </c>
      <c r="AG108" s="209" t="str">
        <f t="shared" si="44"/>
        <v>EC</v>
      </c>
      <c r="AH108" s="78" t="str">
        <f t="shared" si="29"/>
        <v>"%USERPROFILE%\Documents\GitHub\eaglep3\Utilities\RefineRTDCRunTimes.py" --tripid 196-29 --locoid 4049 --swversion DE.1.0.9.0 --startMP 204:233111 --initTime 2017-06-29T16:20:32 --startdatetime 2017-06-29T16:27:14 --delay 1 --endMP 204:143 --enddatetime 2017-06-29T17:04:35 --enforcementcount 0 &gt;&gt;C:\Users\stu\Documents\GitHub\eaglep3-reporting\EC\2017-06-29-refined-times.txt</v>
      </c>
      <c r="AI10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ID","value":"196-29"},{"id":16,"name":"Locomotive ID","value":"4049"},{"id":130,"name":"Impact","value":""},{"id":150,"name":"Time of Event (Mountain Time)","value":"17:04:35"},{"id":151,"name":"Denver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1"/>
        <v>start /low /b %USERPROFILE%\Documents\GitHub\eaglep3\Utilities\DownloadLogsFromS3.py --loco 4049 --day 2017-06-29</v>
      </c>
      <c r="AN10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745</v>
      </c>
      <c r="B109" s="7">
        <v>4056</v>
      </c>
      <c r="C109" s="21" t="s">
        <v>201</v>
      </c>
      <c r="D109" s="21" t="s">
        <v>350</v>
      </c>
      <c r="E109" s="13">
        <v>42915.651759259257</v>
      </c>
      <c r="F109" s="13">
        <v>42915.656770833331</v>
      </c>
      <c r="G109" s="7">
        <v>1</v>
      </c>
      <c r="H109" s="21" t="s">
        <v>935</v>
      </c>
      <c r="I109" s="13">
        <v>42915.68304398148</v>
      </c>
      <c r="J109" s="7">
        <v>0</v>
      </c>
      <c r="K109" s="89" t="str">
        <f t="shared" si="33"/>
        <v>4055/4056</v>
      </c>
      <c r="L109" s="21" t="str">
        <f>VLOOKUP(A109,'Trips&amp;Operators'!$C$1:$G$99999,5,FALSE)</f>
        <v>LEVERE CRAIG</v>
      </c>
      <c r="M109" s="6">
        <f t="shared" si="34"/>
        <v>2.6273148148902692E-2</v>
      </c>
      <c r="N109" s="7">
        <f t="shared" si="45"/>
        <v>37.833333334419876</v>
      </c>
      <c r="O109" s="7"/>
      <c r="P109" s="7"/>
      <c r="Q109" s="22"/>
      <c r="R109" s="170"/>
      <c r="S109" s="213">
        <f t="shared" ref="S109:S132" si="47">SUM(U109:U109)/IF(AG109="EC",12,1)</f>
        <v>1</v>
      </c>
      <c r="T109" s="195" t="str">
        <f t="shared" si="3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7"/>
        <v>https://d0f6bd738d7f1b3e5a7ca70fe4ff75f0.us-east-1.aws.found.io/app/kibana#/discover/Steve-Slow-Train-Analysis-(2080s-and-2083s)?_g=(refreshInterval:(display:Off,pause:!f,section:0,value:0),time:(from:'2017-06-29T14:38:32-0600',mode:absolute,to:'2017-06-29T17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197" t="str">
        <f>IF(AA109&lt;VLOOKUP(AG109,Variables!$AC$3:$AD$8,2,FALSE),"Y","N")</f>
        <v>N</v>
      </c>
      <c r="X109" s="197">
        <f t="shared" si="46"/>
        <v>1</v>
      </c>
      <c r="Y109" s="197">
        <f t="shared" si="38"/>
        <v>4.5100000000000001E-2</v>
      </c>
      <c r="Z109" s="197">
        <f t="shared" si="39"/>
        <v>23.329499999999999</v>
      </c>
      <c r="AA109" s="197">
        <f t="shared" si="40"/>
        <v>23.284399999999998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1"/>
        <v>197</v>
      </c>
      <c r="AE109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109" s="74" t="str">
        <f t="shared" si="43"/>
        <v>"C:\Program Files (x86)\AstroGrep\AstroGrep.exe" /e /r /s /spath="%USERPROFILE%\AppData\Local\Temp\OnboardLogs" /stypes="app*4056*20170629*" /stext=" 22:.+((SYSTEM_STATE.+slice.+state.+changed )|(ment ac)|(multiple cpu faults)|(system.+state.+changed )|(\[timeout)|(PRM\|1\|D)|(kpr)|(kdp)|(train st.+moving)|(\|lc)|(penalty))"</v>
      </c>
      <c r="AG109" s="209" t="str">
        <f t="shared" si="44"/>
        <v>EC</v>
      </c>
      <c r="AH109" s="78" t="str">
        <f t="shared" si="29"/>
        <v>"%USERPROFILE%\Documents\GitHub\eaglep3\Utilities\RefineRTDCRunTimes.py" --tripid 197-29 --locoid 4056 --swversion DE.1.0.9.0 --startMP 204:451 --initTime 2017-06-29T15:38:32 --startdatetime 2017-06-29T15:45:45 --delay 1 --endMP 204:233295 --enddatetime 2017-06-29T16:23:35 --enforcementcount 0 &gt;&gt;C:\Users\stu\Documents\GitHub\eaglep3-reporting\EC\2017-06-29-refined-times.txt</v>
      </c>
      <c r="AI10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{"issue":{"subject":"","project_id":79,"tracker_id":40,"status_id":1,"priority_id":2,"assigned_to_id":23,"start_date":"2017-06-29","description":"","custom_fields":[{"id":1,"name":"Subdivision","value":"EC"},{"id":4,"name":"Milepost","value":"23.3295"},{"id":17,"name":"Train ID","value":"197-29"},{"id":16,"name":"Locomotive ID","value":"4056"},{"id":130,"name":"Impact","value":""},{"id":150,"name":"Time of Event (Mountain Time)","value":"16:23:35"},{"id":151,"name":"Denver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1"/>
        <v>start /low /b %USERPROFILE%\Documents\GitHub\eaglep3\Utilities\DownloadLogsFromS3.py --loco 4056 --day 2017-06-29</v>
      </c>
      <c r="AN10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751</v>
      </c>
      <c r="B110" s="7">
        <v>4055</v>
      </c>
      <c r="C110" s="21" t="s">
        <v>201</v>
      </c>
      <c r="D110" s="21" t="s">
        <v>958</v>
      </c>
      <c r="E110" s="13">
        <v>42915.689270833333</v>
      </c>
      <c r="F110" s="13">
        <v>42915.696006944447</v>
      </c>
      <c r="G110" s="7">
        <v>1</v>
      </c>
      <c r="H110" s="21" t="s">
        <v>357</v>
      </c>
      <c r="I110" s="13">
        <v>42915.723067129627</v>
      </c>
      <c r="J110" s="7">
        <v>0</v>
      </c>
      <c r="K110" s="89" t="str">
        <f t="shared" si="33"/>
        <v>4055/4056</v>
      </c>
      <c r="L110" s="21" t="str">
        <f>VLOOKUP(A110,'Trips&amp;Operators'!$C$1:$G$99999,5,FALSE)</f>
        <v>LEVERE CRAIG</v>
      </c>
      <c r="M110" s="6">
        <f t="shared" si="34"/>
        <v>2.7060185180744156E-2</v>
      </c>
      <c r="N110" s="7">
        <f t="shared" si="45"/>
        <v>38.966666660271585</v>
      </c>
      <c r="O110" s="7"/>
      <c r="P110" s="7"/>
      <c r="Q110" s="22"/>
      <c r="R110" s="170"/>
      <c r="S110" s="213">
        <f t="shared" si="47"/>
        <v>1</v>
      </c>
      <c r="T110" s="195" t="str">
        <f t="shared" si="3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7"/>
        <v>https://d0f6bd738d7f1b3e5a7ca70fe4ff75f0.us-east-1.aws.found.io/app/kibana#/discover/Steve-Slow-Train-Analysis-(2080s-and-2083s)?_g=(refreshInterval:(display:Off,pause:!f,section:0,value:0),time:(from:'2017-06-29T15:32:33-0600',mode:absolute,to:'2017-06-29T18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197" t="str">
        <f>IF(AA110&lt;VLOOKUP(AG110,Variables!$AC$3:$AD$8,2,FALSE),"Y","N")</f>
        <v>N</v>
      </c>
      <c r="X110" s="197">
        <f t="shared" si="46"/>
        <v>1</v>
      </c>
      <c r="Y110" s="197">
        <f t="shared" si="38"/>
        <v>23.299600000000002</v>
      </c>
      <c r="Z110" s="197">
        <f t="shared" si="39"/>
        <v>1.47E-2</v>
      </c>
      <c r="AA110" s="197">
        <f t="shared" si="40"/>
        <v>23.2849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1"/>
        <v>198</v>
      </c>
      <c r="AE110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110" s="74" t="str">
        <f t="shared" si="43"/>
        <v>"C:\Program Files (x86)\AstroGrep\AstroGrep.exe" /e /r /s /spath="%USERPROFILE%\AppData\Local\Temp\OnboardLogs" /stypes="app*4055*20170629*" /stext=" 23:.+((SYSTEM_STATE.+slice.+state.+changed )|(ment ac)|(multiple cpu faults)|(system.+state.+changed )|(\[timeout)|(PRM\|1\|D)|(kpr)|(kdp)|(train st.+moving)|(\|lc)|(penalty))"</v>
      </c>
      <c r="AG110" s="209" t="str">
        <f t="shared" si="44"/>
        <v>EC</v>
      </c>
      <c r="AH110" s="78" t="str">
        <f t="shared" si="29"/>
        <v>"%USERPROFILE%\Documents\GitHub\eaglep3\Utilities\RefineRTDCRunTimes.py" --tripid 198-29 --locoid 4055 --swversion DE.1.0.9.0 --startMP 204:232996 --initTime 2017-06-29T16:32:33 --startdatetime 2017-06-29T16:42:15 --delay 1 --endMP 204:147 --enddatetime 2017-06-29T17:21:13 --enforcementcount 0 &gt;&gt;C:\Users\stu\Documents\GitHub\eaglep3-reporting\EC\2017-06-29-refined-times.txt</v>
      </c>
      <c r="AI11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ID","value":"198-29"},{"id":16,"name":"Locomotive ID","value":"4055"},{"id":130,"name":"Impact","value":""},{"id":150,"name":"Time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1"/>
        <v>start /low /b %USERPROFILE%\Documents\GitHub\eaglep3\Utilities\DownloadLogsFromS3.py --loco 4055 --day 2017-06-29</v>
      </c>
      <c r="AN11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746</v>
      </c>
      <c r="B111" s="7">
        <v>4010</v>
      </c>
      <c r="C111" s="21" t="s">
        <v>201</v>
      </c>
      <c r="D111" s="21" t="s">
        <v>352</v>
      </c>
      <c r="E111" s="13">
        <v>42915.662048611113</v>
      </c>
      <c r="F111" s="13">
        <v>42915.666875000003</v>
      </c>
      <c r="G111" s="7">
        <v>1</v>
      </c>
      <c r="H111" s="21" t="s">
        <v>959</v>
      </c>
      <c r="I111" s="13">
        <v>42915.692499999997</v>
      </c>
      <c r="J111" s="7">
        <v>0</v>
      </c>
      <c r="K111" s="89" t="str">
        <f t="shared" si="33"/>
        <v>4009/4010</v>
      </c>
      <c r="L111" s="21" t="str">
        <f>VLOOKUP(A111,'Trips&amp;Operators'!$C$1:$G$99999,5,FALSE)</f>
        <v>SULLIVAN BRANDON</v>
      </c>
      <c r="M111" s="6">
        <f t="shared" si="34"/>
        <v>2.5624999994761311E-2</v>
      </c>
      <c r="N111" s="7">
        <f t="shared" si="45"/>
        <v>36.899999992456287</v>
      </c>
      <c r="O111" s="7"/>
      <c r="P111" s="7"/>
      <c r="Q111" s="22"/>
      <c r="R111" s="170"/>
      <c r="S111" s="213">
        <f t="shared" si="47"/>
        <v>1</v>
      </c>
      <c r="T111" s="195" t="str">
        <f t="shared" si="3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7"/>
        <v>https://d0f6bd738d7f1b3e5a7ca70fe4ff75f0.us-east-1.aws.found.io/app/kibana#/discover/Steve-Slow-Train-Analysis-(2080s-and-2083s)?_g=(refreshInterval:(display:Off,pause:!f,section:0,value:0),time:(from:'2017-06-29T14:53:21-0600',mode:absolute,to:'2017-06-29T17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7" t="str">
        <f>IF(AA111&lt;VLOOKUP(AG111,Variables!$AC$3:$AD$8,2,FALSE),"Y","N")</f>
        <v>N</v>
      </c>
      <c r="X111" s="197">
        <f t="shared" si="46"/>
        <v>1</v>
      </c>
      <c r="Y111" s="197">
        <f t="shared" si="38"/>
        <v>4.53E-2</v>
      </c>
      <c r="Z111" s="197">
        <f t="shared" si="39"/>
        <v>23.3368</v>
      </c>
      <c r="AA111" s="197">
        <f t="shared" si="40"/>
        <v>23.291499999999999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1"/>
        <v>199</v>
      </c>
      <c r="AE111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11" s="74" t="str">
        <f t="shared" si="43"/>
        <v>"C:\Program Files (x86)\AstroGrep\AstroGrep.exe" /e /r /s /spath="%USERPROFILE%\AppData\Local\Temp\OnboardLogs" /stypes="app*4010*20170629*" /stext=" 22:.+((SYSTEM_STATE.+slice.+state.+changed )|(ment ac)|(multiple cpu faults)|(system.+state.+changed )|(\[timeout)|(PRM\|1\|D)|(kpr)|(kdp)|(train st.+moving)|(\|lc)|(penalty))"</v>
      </c>
      <c r="AG111" s="209" t="str">
        <f t="shared" si="44"/>
        <v>EC</v>
      </c>
      <c r="AH111" s="78" t="str">
        <f t="shared" si="29"/>
        <v>"%USERPROFILE%\Documents\GitHub\eaglep3\Utilities\RefineRTDCRunTimes.py" --tripid 199-29 --locoid 4010 --swversion DE.1.0.9.0 --startMP 204:453 --initTime 2017-06-29T15:53:21 --startdatetime 2017-06-29T16:00:18 --delay 1 --endMP 204:233368 --enddatetime 2017-06-29T16:37:12 --enforcementcount 0 &gt;&gt;C:\Users\stu\Documents\GitHub\eaglep3-reporting\EC\2017-06-29-refined-times.txt</v>
      </c>
      <c r="AI11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{"issue":{"subject":"","project_id":79,"tracker_id":40,"status_id":1,"priority_id":2,"assigned_to_id":23,"start_date":"2017-06-29","description":"","custom_fields":[{"id":1,"name":"Subdivision","value":"EC"},{"id":4,"name":"Milepost","value":"23.3368"},{"id":17,"name":"Train ID","value":"199-29"},{"id":16,"name":"Locomotive ID","value":"4010"},{"id":130,"name":"Impact","value":""},{"id":150,"name":"Time of Event (Mountain Time)","value":"16:37:12"},{"id":151,"name":"Denver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1"/>
        <v>start /low /b %USERPROFILE%\Documents\GitHub\eaglep3\Utilities\DownloadLogsFromS3.py --loco 4010 --day 2017-06-29</v>
      </c>
      <c r="AN11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754</v>
      </c>
      <c r="B112" s="7">
        <v>4009</v>
      </c>
      <c r="C112" s="21" t="s">
        <v>201</v>
      </c>
      <c r="D112" s="21" t="s">
        <v>960</v>
      </c>
      <c r="E112" s="13">
        <v>42915.698761574073</v>
      </c>
      <c r="F112" s="13">
        <v>42915.70648148148</v>
      </c>
      <c r="G112" s="7">
        <v>2</v>
      </c>
      <c r="H112" s="21" t="s">
        <v>919</v>
      </c>
      <c r="I112" s="13">
        <v>42915.733576388891</v>
      </c>
      <c r="J112" s="7">
        <v>0</v>
      </c>
      <c r="K112" s="89" t="str">
        <f t="shared" si="33"/>
        <v>4009/4010</v>
      </c>
      <c r="L112" s="21" t="str">
        <f>VLOOKUP(A112,'Trips&amp;Operators'!$C$1:$G$99999,5,FALSE)</f>
        <v>SULLIVAN BRANDON</v>
      </c>
      <c r="M112" s="6">
        <f t="shared" si="34"/>
        <v>2.7094907411083113E-2</v>
      </c>
      <c r="N112" s="7">
        <f t="shared" si="45"/>
        <v>39.016666671959683</v>
      </c>
      <c r="O112" s="7"/>
      <c r="P112" s="7"/>
      <c r="Q112" s="22"/>
      <c r="R112" s="170"/>
      <c r="S112" s="213">
        <f t="shared" si="47"/>
        <v>1</v>
      </c>
      <c r="T112" s="195" t="str">
        <f t="shared" si="3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7"/>
        <v>https://d0f6bd738d7f1b3e5a7ca70fe4ff75f0.us-east-1.aws.found.io/app/kibana#/discover/Steve-Slow-Train-Analysis-(2080s-and-2083s)?_g=(refreshInterval:(display:Off,pause:!f,section:0,value:0),time:(from:'2017-06-29T15:46:13-0600',mode:absolute,to:'2017-06-29T18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7" t="str">
        <f>IF(AA112&lt;VLOOKUP(AG112,Variables!$AC$3:$AD$8,2,FALSE),"Y","N")</f>
        <v>N</v>
      </c>
      <c r="X112" s="197">
        <f t="shared" si="46"/>
        <v>1</v>
      </c>
      <c r="Y112" s="197">
        <f t="shared" si="38"/>
        <v>23.3064</v>
      </c>
      <c r="Z112" s="197">
        <f t="shared" si="39"/>
        <v>1.5800000000000002E-2</v>
      </c>
      <c r="AA112" s="197">
        <f t="shared" si="40"/>
        <v>23.290600000000001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1"/>
        <v>200</v>
      </c>
      <c r="AE112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12" s="74" t="str">
        <f t="shared" si="43"/>
        <v>"C:\Program Files (x86)\AstroGrep\AstroGrep.exe" /e /r /s /spath="%USERPROFILE%\AppData\Local\Temp\OnboardLogs" /stypes="app*4009*20170629*" /stext=" 23:.+((SYSTEM_STATE.+slice.+state.+changed )|(ment ac)|(multiple cpu faults)|(system.+state.+changed )|(\[timeout)|(PRM\|1\|D)|(kpr)|(kdp)|(train st.+moving)|(\|lc)|(penalty))"</v>
      </c>
      <c r="AG112" s="209" t="str">
        <f t="shared" si="44"/>
        <v>EC</v>
      </c>
      <c r="AH112" s="78" t="str">
        <f t="shared" si="29"/>
        <v>"%USERPROFILE%\Documents\GitHub\eaglep3\Utilities\RefineRTDCRunTimes.py" --tripid 200-29 --locoid 4009 --swversion DE.1.0.9.0 --startMP 204:233064 --initTime 2017-06-29T16:46:13 --startdatetime 2017-06-29T16:57:20 --delay 2 --endMP 204:158 --enddatetime 2017-06-29T17:36:21 --enforcementcount 0 &gt;&gt;C:\Users\stu\Documents\GitHub\eaglep3-reporting\EC\2017-06-29-refined-times.txt</v>
      </c>
      <c r="AI11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ID","value":"200-29"},{"id":16,"name":"Locomotive ID","value":"4009"},{"id":130,"name":"Impact","value":""},{"id":150,"name":"Time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1"/>
        <v>start /low /b %USERPROFILE%\Documents\GitHub\eaglep3\Utilities\DownloadLogsFromS3.py --loco 4009 --day 2017-06-29</v>
      </c>
      <c r="AN11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608</v>
      </c>
      <c r="B113" s="7">
        <v>4006</v>
      </c>
      <c r="C113" s="21" t="s">
        <v>201</v>
      </c>
      <c r="D113" s="21" t="s">
        <v>961</v>
      </c>
      <c r="E113" s="13">
        <v>42915.6716087963</v>
      </c>
      <c r="F113" s="13">
        <v>42915.67728009259</v>
      </c>
      <c r="G113" s="7">
        <v>1</v>
      </c>
      <c r="H113" s="21" t="s">
        <v>962</v>
      </c>
      <c r="I113" s="13">
        <v>42915.703032407408</v>
      </c>
      <c r="J113" s="7">
        <v>0</v>
      </c>
      <c r="K113" s="89" t="str">
        <f t="shared" si="33"/>
        <v>4005/4006</v>
      </c>
      <c r="L113" s="21" t="str">
        <f>VLOOKUP(A113,'Trips&amp;Operators'!$C$1:$G$99999,5,FALSE)</f>
        <v>HOLCOMB KAMDEN</v>
      </c>
      <c r="M113" s="6">
        <f t="shared" si="34"/>
        <v>2.5752314817509614E-2</v>
      </c>
      <c r="N113" s="7">
        <f t="shared" si="45"/>
        <v>37.083333337213844</v>
      </c>
      <c r="O113" s="7"/>
      <c r="P113" s="7"/>
      <c r="Q113" s="22"/>
      <c r="R113" s="170"/>
      <c r="S113" s="213">
        <f t="shared" si="47"/>
        <v>1</v>
      </c>
      <c r="T113" s="195" t="str">
        <f t="shared" si="3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7"/>
        <v>https://d0f6bd738d7f1b3e5a7ca70fe4ff75f0.us-east-1.aws.found.io/app/kibana#/discover/Steve-Slow-Train-Analysis-(2080s-and-2083s)?_g=(refreshInterval:(display:Off,pause:!f,section:0,value:0),time:(from:'2017-06-29T15:07:07-0600',mode:absolute,to:'2017-06-29T17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197" t="str">
        <f>IF(AA113&lt;VLOOKUP(AG113,Variables!$AC$3:$AD$8,2,FALSE),"Y","N")</f>
        <v>N</v>
      </c>
      <c r="X113" s="197">
        <f t="shared" si="46"/>
        <v>1</v>
      </c>
      <c r="Y113" s="197">
        <f t="shared" si="38"/>
        <v>4.9700000000000001E-2</v>
      </c>
      <c r="Z113" s="197">
        <f t="shared" si="39"/>
        <v>23.3264</v>
      </c>
      <c r="AA113" s="197">
        <f t="shared" si="40"/>
        <v>23.276699999999998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1"/>
        <v>201</v>
      </c>
      <c r="AE113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113" s="74" t="str">
        <f t="shared" si="43"/>
        <v>"C:\Program Files (x86)\AstroGrep\AstroGrep.exe" /e /r /s /spath="%USERPROFILE%\AppData\Local\Temp\OnboardLogs" /stypes="app*4006*20170629*" /stext=" 22:.+((SYSTEM_STATE.+slice.+state.+changed )|(ment ac)|(multiple cpu faults)|(system.+state.+changed )|(\[timeout)|(PRM\|1\|D)|(kpr)|(kdp)|(train st.+moving)|(\|lc)|(penalty))"</v>
      </c>
      <c r="AG113" s="209" t="str">
        <f t="shared" si="44"/>
        <v>EC</v>
      </c>
      <c r="AH113" s="78" t="str">
        <f t="shared" si="29"/>
        <v>"%USERPROFILE%\Documents\GitHub\eaglep3\Utilities\RefineRTDCRunTimes.py" --tripid 201-29 --locoid 4006 --swversion DE.1.0.9.0 --startMP 204:497 --initTime 2017-06-29T16:07:07 --startdatetime 2017-06-29T16:15:17 --delay 1 --endMP 204:233264 --enddatetime 2017-06-29T16:52:22 --enforcementcount 0 &gt;&gt;C:\Users\stu\Documents\GitHub\eaglep3-reporting\EC\2017-06-29-refined-times.txt</v>
      </c>
      <c r="AI11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{"issue":{"subject":"","project_id":79,"tracker_id":40,"status_id":1,"priority_id":2,"assigned_to_id":23,"start_date":"2017-06-29","description":"","custom_fields":[{"id":1,"name":"Subdivision","value":"EC"},{"id":4,"name":"Milepost","value":"23.3264"},{"id":17,"name":"Train ID","value":"201-29"},{"id":16,"name":"Locomotive ID","value":"4006"},{"id":130,"name":"Impact","value":""},{"id":150,"name":"Time of Event (Mountain Time)","value":"16:52:22"},{"id":151,"name":"Denver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1"/>
        <v>start /low /b %USERPROFILE%\Documents\GitHub\eaglep3\Utilities\DownloadLogsFromS3.py --loco 4006 --day 2017-06-29</v>
      </c>
      <c r="AN11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756</v>
      </c>
      <c r="B114" s="7">
        <v>4005</v>
      </c>
      <c r="C114" s="21" t="s">
        <v>201</v>
      </c>
      <c r="D114" s="21" t="s">
        <v>963</v>
      </c>
      <c r="E114" s="13">
        <v>42915.712754629632</v>
      </c>
      <c r="F114" s="13">
        <v>42915.717037037037</v>
      </c>
      <c r="G114" s="7">
        <v>1</v>
      </c>
      <c r="H114" s="21" t="s">
        <v>815</v>
      </c>
      <c r="I114" s="13">
        <v>42915.743750000001</v>
      </c>
      <c r="J114" s="7">
        <v>0</v>
      </c>
      <c r="K114" s="89" t="str">
        <f t="shared" si="33"/>
        <v>4005/4006</v>
      </c>
      <c r="L114" s="21" t="str">
        <f>VLOOKUP(A114,'Trips&amp;Operators'!$C$1:$G$99999,5,FALSE)</f>
        <v>HOLCOMB KAMDEN</v>
      </c>
      <c r="M114" s="6">
        <f t="shared" si="34"/>
        <v>2.6712962964666076E-2</v>
      </c>
      <c r="N114" s="7">
        <f t="shared" si="45"/>
        <v>38.466666669119149</v>
      </c>
      <c r="O114" s="7"/>
      <c r="P114" s="7"/>
      <c r="Q114" s="22"/>
      <c r="R114" s="170"/>
      <c r="S114" s="213">
        <f t="shared" si="47"/>
        <v>1</v>
      </c>
      <c r="T114" s="195" t="str">
        <f t="shared" si="3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7"/>
        <v>https://d0f6bd738d7f1b3e5a7ca70fe4ff75f0.us-east-1.aws.found.io/app/kibana#/discover/Steve-Slow-Train-Analysis-(2080s-and-2083s)?_g=(refreshInterval:(display:Off,pause:!f,section:0,value:0),time:(from:'2017-06-29T16:06:22-0600',mode:absolute,to:'2017-06-29T18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197" t="str">
        <f>IF(AA114&lt;VLOOKUP(AG114,Variables!$AC$3:$AD$8,2,FALSE),"Y","N")</f>
        <v>N</v>
      </c>
      <c r="X114" s="197">
        <f t="shared" si="46"/>
        <v>1</v>
      </c>
      <c r="Y114" s="197">
        <f t="shared" si="38"/>
        <v>23.294599999999999</v>
      </c>
      <c r="Z114" s="197">
        <f t="shared" si="39"/>
        <v>1.34E-2</v>
      </c>
      <c r="AA114" s="197">
        <f t="shared" si="40"/>
        <v>23.281199999999998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1"/>
        <v>202</v>
      </c>
      <c r="AE114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14" s="74" t="str">
        <f t="shared" si="43"/>
        <v>"C:\Program Files (x86)\AstroGrep\AstroGrep.exe" /e /r /s /spath="%USERPROFILE%\AppData\Local\Temp\OnboardLogs" /stypes="app*4005*20170629*" /stext=" 23:.+((SYSTEM_STATE.+slice.+state.+changed )|(ment ac)|(multiple cpu faults)|(system.+state.+changed )|(\[timeout)|(PRM\|1\|D)|(kpr)|(kdp)|(train st.+moving)|(\|lc)|(penalty))"</v>
      </c>
      <c r="AG114" s="209" t="str">
        <f t="shared" si="44"/>
        <v>EC</v>
      </c>
      <c r="AH114" s="78" t="str">
        <f t="shared" si="29"/>
        <v>"%USERPROFILE%\Documents\GitHub\eaglep3\Utilities\RefineRTDCRunTimes.py" --tripid 202-29 --locoid 4005 --swversion DE.1.0.9.0 --startMP 204:232946 --initTime 2017-06-29T17:06:22 --startdatetime 2017-06-29T17:12:32 --delay 1 --endMP 204:134 --enddatetime 2017-06-29T17:51:00 --enforcementcount 0 &gt;&gt;C:\Users\stu\Documents\GitHub\eaglep3-reporting\EC\2017-06-29-refined-times.txt</v>
      </c>
      <c r="AI11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{"issue":{"subject":"","project_id":79,"tracker_id":40,"status_id":1,"priority_id":2,"assigned_to_id":23,"start_date":"2017-06-29","description":"","custom_fields":[{"id":1,"name":"Subdivision","value":"EC"},{"id":4,"name":"Milepost","value":"0.0134"},{"id":17,"name":"Train ID","value":"202-29"},{"id":16,"name":"Locomotive ID","value":"4005"},{"id":130,"name":"Impact","value":""},{"id":150,"name":"Time of Event (Mountain Time)","value":"17:51:00"},{"id":151,"name":"Denver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1"/>
        <v>start /low /b %USERPROFILE%\Documents\GitHub\eaglep3\Utilities\DownloadLogsFromS3.py --loco 4005 --day 2017-06-29</v>
      </c>
      <c r="AN11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749</v>
      </c>
      <c r="B115" s="7">
        <v>4060</v>
      </c>
      <c r="C115" s="21" t="s">
        <v>201</v>
      </c>
      <c r="D115" s="21" t="s">
        <v>350</v>
      </c>
      <c r="E115" s="13">
        <v>42915.685057870367</v>
      </c>
      <c r="F115" s="13">
        <v>42915.688009259262</v>
      </c>
      <c r="G115" s="7">
        <v>2</v>
      </c>
      <c r="H115" s="21" t="s">
        <v>951</v>
      </c>
      <c r="I115" s="13">
        <v>42915.712812500002</v>
      </c>
      <c r="J115" s="7">
        <v>0</v>
      </c>
      <c r="K115" s="89" t="str">
        <f t="shared" si="33"/>
        <v>4059/4060</v>
      </c>
      <c r="L115" s="21" t="str">
        <f>VLOOKUP(A115,'Trips&amp;Operators'!$C$1:$G$99999,5,FALSE)</f>
        <v>STEWART MICHAEL</v>
      </c>
      <c r="M115" s="6">
        <f t="shared" si="34"/>
        <v>2.4803240739856847E-2</v>
      </c>
      <c r="N115" s="7">
        <f t="shared" si="45"/>
        <v>35.716666665393859</v>
      </c>
      <c r="O115" s="7"/>
      <c r="P115" s="7"/>
      <c r="Q115" s="22"/>
      <c r="R115" s="170"/>
      <c r="S115" s="213">
        <f t="shared" si="47"/>
        <v>1</v>
      </c>
      <c r="T115" s="195" t="str">
        <f t="shared" si="3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7"/>
        <v>https://d0f6bd738d7f1b3e5a7ca70fe4ff75f0.us-east-1.aws.found.io/app/kibana#/discover/Steve-Slow-Train-Analysis-(2080s-and-2083s)?_g=(refreshInterval:(display:Off,pause:!f,section:0,value:0),time:(from:'2017-06-29T15:26:29-0600',mode:absolute,to:'2017-06-29T18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197" t="str">
        <f>IF(AA115&lt;VLOOKUP(AG115,Variables!$AC$3:$AD$8,2,FALSE),"Y","N")</f>
        <v>N</v>
      </c>
      <c r="X115" s="197">
        <f t="shared" si="46"/>
        <v>1</v>
      </c>
      <c r="Y115" s="197">
        <f t="shared" si="38"/>
        <v>4.5100000000000001E-2</v>
      </c>
      <c r="Z115" s="197">
        <f t="shared" si="39"/>
        <v>23.33</v>
      </c>
      <c r="AA115" s="197">
        <f t="shared" si="40"/>
        <v>23.284899999999997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1"/>
        <v>203</v>
      </c>
      <c r="AE115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15" s="74" t="str">
        <f t="shared" si="43"/>
        <v>"C:\Program Files (x86)\AstroGrep\AstroGrep.exe" /e /r /s /spath="%USERPROFILE%\AppData\Local\Temp\OnboardLogs" /stypes="app*4060*20170629*" /stext=" 23:.+((SYSTEM_STATE.+slice.+state.+changed )|(ment ac)|(multiple cpu faults)|(system.+state.+changed )|(\[timeout)|(PRM\|1\|D)|(kpr)|(kdp)|(train st.+moving)|(\|lc)|(penalty))"</v>
      </c>
      <c r="AG115" s="209" t="str">
        <f t="shared" si="44"/>
        <v>EC</v>
      </c>
      <c r="AH115" s="78" t="str">
        <f t="shared" si="29"/>
        <v>"%USERPROFILE%\Documents\GitHub\eaglep3\Utilities\RefineRTDCRunTimes.py" --tripid 203-29 --locoid 4060 --swversion DE.1.0.9.0 --startMP 204:451 --initTime 2017-06-29T16:26:29 --startdatetime 2017-06-29T16:30:44 --delay 2 --endMP 204:233300 --enddatetime 2017-06-29T17:06:27 --enforcementcount 0 &gt;&gt;C:\Users\stu\Documents\GitHub\eaglep3-reporting\EC\2017-06-29-refined-times.txt</v>
      </c>
      <c r="AI11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{"issue":{"subject":"","project_id":79,"tracker_id":40,"status_id":1,"priority_id":2,"assigned_to_id":23,"start_date":"2017-06-29","description":"","custom_fields":[{"id":1,"name":"Subdivision","value":"EC"},{"id":4,"name":"Milepost","value":"23.33"},{"id":17,"name":"Train ID","value":"203-29"},{"id":16,"name":"Locomotive ID","value":"4060"},{"id":130,"name":"Impact","value":""},{"id":150,"name":"Time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1"/>
        <v>start /low /b %USERPROFILE%\Documents\GitHub\eaglep3\Utilities\DownloadLogsFromS3.py --loco 4060 --day 2017-06-29</v>
      </c>
      <c r="AN11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758</v>
      </c>
      <c r="B116" s="7">
        <v>4059</v>
      </c>
      <c r="C116" s="21" t="s">
        <v>201</v>
      </c>
      <c r="D116" s="21" t="s">
        <v>964</v>
      </c>
      <c r="E116" s="13">
        <v>42915.72210648148</v>
      </c>
      <c r="F116" s="13">
        <v>42915.727453703701</v>
      </c>
      <c r="G116" s="7">
        <v>1</v>
      </c>
      <c r="H116" s="21" t="s">
        <v>392</v>
      </c>
      <c r="I116" s="13">
        <v>42915.754224537035</v>
      </c>
      <c r="J116" s="7">
        <v>0</v>
      </c>
      <c r="K116" s="89" t="str">
        <f t="shared" si="33"/>
        <v>4059/4060</v>
      </c>
      <c r="L116" s="21" t="str">
        <f>VLOOKUP(A116,'Trips&amp;Operators'!$C$1:$G$99999,5,FALSE)</f>
        <v>STEWART MICHAEL</v>
      </c>
      <c r="M116" s="6">
        <f t="shared" si="34"/>
        <v>2.6770833334012423E-2</v>
      </c>
      <c r="N116" s="7">
        <f t="shared" si="45"/>
        <v>38.550000000977889</v>
      </c>
      <c r="O116" s="7"/>
      <c r="P116" s="7"/>
      <c r="Q116" s="22"/>
      <c r="R116" s="170"/>
      <c r="S116" s="213">
        <f t="shared" si="47"/>
        <v>1</v>
      </c>
      <c r="T116" s="195" t="str">
        <f t="shared" si="3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7"/>
        <v>https://d0f6bd738d7f1b3e5a7ca70fe4ff75f0.us-east-1.aws.found.io/app/kibana#/discover/Steve-Slow-Train-Analysis-(2080s-and-2083s)?_g=(refreshInterval:(display:Off,pause:!f,section:0,value:0),time:(from:'2017-06-29T16:19:50-0600',mode:absolute,to:'2017-06-29T19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197" t="str">
        <f>IF(AA116&lt;VLOOKUP(AG116,Variables!$AC$3:$AD$8,2,FALSE),"Y","N")</f>
        <v>N</v>
      </c>
      <c r="X116" s="197">
        <f t="shared" si="46"/>
        <v>1</v>
      </c>
      <c r="Y116" s="197">
        <f t="shared" si="38"/>
        <v>23.2974</v>
      </c>
      <c r="Z116" s="197">
        <f t="shared" si="39"/>
        <v>1.54E-2</v>
      </c>
      <c r="AA116" s="197">
        <f t="shared" si="40"/>
        <v>23.282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1"/>
        <v>204</v>
      </c>
      <c r="AE116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16" s="74" t="str">
        <f t="shared" si="43"/>
        <v>"C:\Program Files (x86)\AstroGrep\AstroGrep.exe" /e /r /s /spath="%USERPROFILE%\AppData\Local\Temp\OnboardLogs" /stypes="app*4059*20170630*" /stext=" 00:.+((SYSTEM_STATE.+slice.+state.+changed )|(ment ac)|(multiple cpu faults)|(system.+state.+changed )|(\[timeout)|(PRM\|1\|D)|(kpr)|(kdp)|(train st.+moving)|(\|lc)|(penalty))"</v>
      </c>
      <c r="AG116" s="209" t="str">
        <f t="shared" si="44"/>
        <v>EC</v>
      </c>
      <c r="AH116" s="78" t="str">
        <f t="shared" si="29"/>
        <v>"%USERPROFILE%\Documents\GitHub\eaglep3\Utilities\RefineRTDCRunTimes.py" --tripid 204-29 --locoid 4059 --swversion DE.1.0.9.0 --startMP 204:232974 --initTime 2017-06-29T17:19:50 --startdatetime 2017-06-29T17:27:32 --delay 1 --endMP 204:154 --enddatetime 2017-06-29T18:06:05 --enforcementcount 0 &gt;&gt;C:\Users\stu\Documents\GitHub\eaglep3-reporting\EC\2017-06-29-refined-times.txt</v>
      </c>
      <c r="AI11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ID","value":"204-29"},{"id":16,"name":"Locomotive ID","value":"4059"},{"id":130,"name":"Impact","value":""},{"id":150,"name":"Time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1"/>
        <v>start /low /b %USERPROFILE%\Documents\GitHub\eaglep3\Utilities\DownloadLogsFromS3.py --loco 4059 --day 2017-06-29</v>
      </c>
      <c r="AN11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753</v>
      </c>
      <c r="B117" s="7">
        <v>4062</v>
      </c>
      <c r="C117" s="21" t="s">
        <v>201</v>
      </c>
      <c r="D117" s="21" t="s">
        <v>342</v>
      </c>
      <c r="E117" s="13">
        <v>42915.694618055553</v>
      </c>
      <c r="F117" s="13">
        <v>42915.698067129626</v>
      </c>
      <c r="G117" s="7">
        <v>1</v>
      </c>
      <c r="H117" s="21" t="s">
        <v>937</v>
      </c>
      <c r="I117" s="13">
        <v>42915.722997685189</v>
      </c>
      <c r="J117" s="7">
        <v>0</v>
      </c>
      <c r="K117" s="89" t="str">
        <f t="shared" si="33"/>
        <v>4061/4062</v>
      </c>
      <c r="L117" s="21" t="str">
        <f>VLOOKUP(A117,'Trips&amp;Operators'!$C$1:$G$99999,5,FALSE)</f>
        <v>ROMERO CHAD</v>
      </c>
      <c r="M117" s="6">
        <f t="shared" si="34"/>
        <v>2.493055556260515E-2</v>
      </c>
      <c r="N117" s="7">
        <f t="shared" si="45"/>
        <v>35.900000010151416</v>
      </c>
      <c r="O117" s="7"/>
      <c r="P117" s="7"/>
      <c r="Q117" s="22"/>
      <c r="R117" s="170"/>
      <c r="S117" s="213">
        <f t="shared" si="47"/>
        <v>1</v>
      </c>
      <c r="T117" s="195" t="str">
        <f t="shared" si="3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7"/>
        <v>https://d0f6bd738d7f1b3e5a7ca70fe4ff75f0.us-east-1.aws.found.io/app/kibana#/discover/Steve-Slow-Train-Analysis-(2080s-and-2083s)?_g=(refreshInterval:(display:Off,pause:!f,section:0,value:0),time:(from:'2017-06-29T15:40:15-0600',mode:absolute,to:'2017-06-29T18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7" s="197" t="str">
        <f>IF(AA117&lt;VLOOKUP(AG117,Variables!$AC$3:$AD$8,2,FALSE),"Y","N")</f>
        <v>N</v>
      </c>
      <c r="X117" s="197">
        <f t="shared" si="46"/>
        <v>1</v>
      </c>
      <c r="Y117" s="197">
        <f t="shared" si="38"/>
        <v>4.4900000000000002E-2</v>
      </c>
      <c r="Z117" s="197">
        <f t="shared" si="39"/>
        <v>23.337</v>
      </c>
      <c r="AA117" s="197">
        <f t="shared" si="40"/>
        <v>23.292100000000001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1"/>
        <v>205</v>
      </c>
      <c r="AE117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17" s="74" t="str">
        <f t="shared" si="43"/>
        <v>"C:\Program Files (x86)\AstroGrep\AstroGrep.exe" /e /r /s /spath="%USERPROFILE%\AppData\Local\Temp\OnboardLogs" /stypes="app*4062*20170629*" /stext=" 23:.+((SYSTEM_STATE.+slice.+state.+changed )|(ment ac)|(multiple cpu faults)|(system.+state.+changed )|(\[timeout)|(PRM\|1\|D)|(kpr)|(kdp)|(train st.+moving)|(\|lc)|(penalty))"</v>
      </c>
      <c r="AG117" s="209" t="str">
        <f t="shared" si="44"/>
        <v>EC</v>
      </c>
      <c r="AH117" s="78" t="str">
        <f t="shared" si="29"/>
        <v>"%USERPROFILE%\Documents\GitHub\eaglep3\Utilities\RefineRTDCRunTimes.py" --tripid 205-29 --locoid 4062 --swversion DE.1.0.9.0 --startMP 204:449 --initTime 2017-06-29T16:40:15 --startdatetime 2017-06-29T16:45:13 --delay 1 --endMP 204:233370 --enddatetime 2017-06-29T17:21:07 --enforcementcount 0 &gt;&gt;C:\Users\stu\Documents\GitHub\eaglep3-reporting\EC\2017-06-29-refined-times.txt</v>
      </c>
      <c r="AI11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ID","value":"205-29"},{"id":16,"name":"Locomotive ID","value":"4062"},{"id":130,"name":"Impact","value":""},{"id":150,"name":"Time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1"/>
        <v>start /low /b %USERPROFILE%\Documents\GitHub\eaglep3\Utilities\DownloadLogsFromS3.py --loco 4062 --day 2017-06-29</v>
      </c>
      <c r="AN11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760</v>
      </c>
      <c r="B118" s="7">
        <v>4061</v>
      </c>
      <c r="C118" s="21" t="s">
        <v>201</v>
      </c>
      <c r="D118" s="21" t="s">
        <v>965</v>
      </c>
      <c r="E118" s="13">
        <v>42915.724618055552</v>
      </c>
      <c r="F118" s="13">
        <v>42915.737650462965</v>
      </c>
      <c r="G118" s="7">
        <v>1</v>
      </c>
      <c r="H118" s="21" t="s">
        <v>346</v>
      </c>
      <c r="I118" s="13">
        <v>42915.763298611113</v>
      </c>
      <c r="J118" s="7">
        <v>0</v>
      </c>
      <c r="K118" s="89" t="str">
        <f t="shared" si="33"/>
        <v>4061/4062</v>
      </c>
      <c r="L118" s="21" t="str">
        <f>VLOOKUP(A118,'Trips&amp;Operators'!$C$1:$G$99999,5,FALSE)</f>
        <v>ROMERO CHAD</v>
      </c>
      <c r="M118" s="6">
        <f t="shared" si="34"/>
        <v>2.5648148148320615E-2</v>
      </c>
      <c r="N118" s="7">
        <f t="shared" si="45"/>
        <v>36.933333333581686</v>
      </c>
      <c r="O118" s="7"/>
      <c r="P118" s="7"/>
      <c r="Q118" s="22"/>
      <c r="R118" s="170"/>
      <c r="S118" s="213">
        <f t="shared" si="47"/>
        <v>1</v>
      </c>
      <c r="T118" s="195" t="str">
        <f t="shared" si="3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7"/>
        <v>https://d0f6bd738d7f1b3e5a7ca70fe4ff75f0.us-east-1.aws.found.io/app/kibana#/discover/Steve-Slow-Train-Analysis-(2080s-and-2083s)?_g=(refreshInterval:(display:Off,pause:!f,section:0,value:0),time:(from:'2017-06-29T16:23:27-0600',mode:absolute,to:'2017-06-29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8" s="197" t="str">
        <f>IF(AA118&lt;VLOOKUP(AG118,Variables!$AC$3:$AD$8,2,FALSE),"Y","N")</f>
        <v>N</v>
      </c>
      <c r="X118" s="197">
        <f t="shared" si="46"/>
        <v>1</v>
      </c>
      <c r="Y118" s="197">
        <f t="shared" si="38"/>
        <v>23.304400000000001</v>
      </c>
      <c r="Z118" s="197">
        <f t="shared" si="39"/>
        <v>1.4999999999999999E-2</v>
      </c>
      <c r="AA118" s="197">
        <f t="shared" si="40"/>
        <v>23.289400000000001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1"/>
        <v>206</v>
      </c>
      <c r="AE118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18" s="74" t="str">
        <f t="shared" si="43"/>
        <v>"C:\Program Files (x86)\AstroGrep\AstroGrep.exe" /e /r /s /spath="%USERPROFILE%\AppData\Local\Temp\OnboardLogs" /stypes="app*4061*20170630*" /stext=" 00:.+((SYSTEM_STATE.+slice.+state.+changed )|(ment ac)|(multiple cpu faults)|(system.+state.+changed )|(\[timeout)|(PRM\|1\|D)|(kpr)|(kdp)|(train st.+moving)|(\|lc)|(penalty))"</v>
      </c>
      <c r="AG118" s="209" t="str">
        <f t="shared" si="44"/>
        <v>EC</v>
      </c>
      <c r="AH118" s="78" t="str">
        <f t="shared" si="29"/>
        <v>"%USERPROFILE%\Documents\GitHub\eaglep3\Utilities\RefineRTDCRunTimes.py" --tripid 206-29 --locoid 4061 --swversion DE.1.0.9.0 --startMP 204:233044 --initTime 2017-06-29T17:23:27 --startdatetime 2017-06-29T17:42:13 --delay 1 --endMP 204:150 --enddatetime 2017-06-29T18:19:09 --enforcementcount 0 &gt;&gt;C:\Users\stu\Documents\GitHub\eaglep3-reporting\EC\2017-06-29-refined-times.txt</v>
      </c>
      <c r="AI11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ID","value":"206-29"},{"id":16,"name":"Locomotive ID","value":"4061"},{"id":130,"name":"Impact","value":""},{"id":150,"name":"Time of Event (Mountain Time)","value":"18:19:09"},{"id":151,"name":"Denver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1"/>
        <v>start /low /b %USERPROFILE%\Documents\GitHub\eaglep3\Utilities\DownloadLogsFromS3.py --loco 4061 --day 2017-06-29</v>
      </c>
      <c r="AN11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611</v>
      </c>
      <c r="B119" s="7">
        <v>4028</v>
      </c>
      <c r="C119" s="21" t="s">
        <v>201</v>
      </c>
      <c r="D119" s="21" t="s">
        <v>966</v>
      </c>
      <c r="E119" s="13">
        <v>42915.702361111114</v>
      </c>
      <c r="F119" s="13">
        <v>42915.708495370367</v>
      </c>
      <c r="G119" s="7">
        <v>1</v>
      </c>
      <c r="H119" s="21" t="s">
        <v>967</v>
      </c>
      <c r="I119" s="13">
        <v>42915.733749999999</v>
      </c>
      <c r="J119" s="7">
        <v>0</v>
      </c>
      <c r="K119" s="89" t="str">
        <f t="shared" si="33"/>
        <v>4027/4028</v>
      </c>
      <c r="L119" s="21" t="str">
        <f>VLOOKUP(A119,'Trips&amp;Operators'!$C$1:$G$99999,5,FALSE)</f>
        <v>LEVIN SCOTT</v>
      </c>
      <c r="M119" s="6">
        <f t="shared" si="34"/>
        <v>2.5254629632399883E-2</v>
      </c>
      <c r="N119" s="7">
        <f t="shared" si="45"/>
        <v>36.366666670655832</v>
      </c>
      <c r="O119" s="7"/>
      <c r="P119" s="7"/>
      <c r="Q119" s="22"/>
      <c r="R119" s="170"/>
      <c r="S119" s="213">
        <f t="shared" si="47"/>
        <v>1</v>
      </c>
      <c r="T119" s="195" t="str">
        <f t="shared" si="3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7"/>
        <v>https://d0f6bd738d7f1b3e5a7ca70fe4ff75f0.us-east-1.aws.found.io/app/kibana#/discover/Steve-Slow-Train-Analysis-(2080s-and-2083s)?_g=(refreshInterval:(display:Off,pause:!f,section:0,value:0),time:(from:'2017-06-29T15:51:24-0600',mode:absolute,to:'2017-06-29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97" t="str">
        <f>IF(AA119&lt;VLOOKUP(AG119,Variables!$AC$3:$AD$8,2,FALSE),"Y","N")</f>
        <v>N</v>
      </c>
      <c r="X119" s="197">
        <f t="shared" si="46"/>
        <v>1</v>
      </c>
      <c r="Y119" s="197">
        <f t="shared" si="38"/>
        <v>4.2900000000000001E-2</v>
      </c>
      <c r="Z119" s="197">
        <f t="shared" si="39"/>
        <v>23.334900000000001</v>
      </c>
      <c r="AA119" s="197">
        <f t="shared" si="40"/>
        <v>23.292000000000002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1"/>
        <v>207</v>
      </c>
      <c r="AE119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119" s="74" t="str">
        <f t="shared" si="43"/>
        <v>"C:\Program Files (x86)\AstroGrep\AstroGrep.exe" /e /r /s /spath="%USERPROFILE%\AppData\Local\Temp\OnboardLogs" /stypes="app*4028*20170629*" /stext=" 23:.+((SYSTEM_STATE.+slice.+state.+changed )|(ment ac)|(multiple cpu faults)|(system.+state.+changed )|(\[timeout)|(PRM\|1\|D)|(kpr)|(kdp)|(train st.+moving)|(\|lc)|(penalty))"</v>
      </c>
      <c r="AG119" s="209" t="str">
        <f t="shared" si="44"/>
        <v>EC</v>
      </c>
      <c r="AH119" s="78" t="str">
        <f t="shared" si="29"/>
        <v>"%USERPROFILE%\Documents\GitHub\eaglep3\Utilities\RefineRTDCRunTimes.py" --tripid 207-29 --locoid 4028 --swversion DE.1.0.9.0 --startMP 204:429 --initTime 2017-06-29T16:51:24 --startdatetime 2017-06-29T17:00:14 --delay 1 --endMP 204:233349 --enddatetime 2017-06-29T17:36:36 --enforcementcount 0 &gt;&gt;C:\Users\stu\Documents\GitHub\eaglep3-reporting\EC\2017-06-29-refined-times.txt</v>
      </c>
      <c r="AI11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{"issue":{"subject":"","project_id":79,"tracker_id":40,"status_id":1,"priority_id":2,"assigned_to_id":23,"start_date":"2017-06-29","description":"","custom_fields":[{"id":1,"name":"Subdivision","value":"EC"},{"id":4,"name":"Milepost","value":"23.3349"},{"id":17,"name":"Train ID","value":"207-29"},{"id":16,"name":"Locomotive ID","value":"4028"},{"id":130,"name":"Impact","value":""},{"id":150,"name":"Time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1"/>
        <v>start /low /b %USERPROFILE%\Documents\GitHub\eaglep3\Utilities\DownloadLogsFromS3.py --loco 4028 --day 2017-06-29</v>
      </c>
      <c r="AN11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613</v>
      </c>
      <c r="B120" s="7">
        <v>4027</v>
      </c>
      <c r="C120" s="21" t="s">
        <v>201</v>
      </c>
      <c r="D120" s="21" t="s">
        <v>968</v>
      </c>
      <c r="E120" s="13">
        <v>42915.743888888886</v>
      </c>
      <c r="F120" s="13">
        <v>42915.748298611114</v>
      </c>
      <c r="G120" s="7">
        <v>1</v>
      </c>
      <c r="H120" s="21" t="s">
        <v>392</v>
      </c>
      <c r="I120" s="13">
        <v>42915.77484953704</v>
      </c>
      <c r="J120" s="7">
        <v>0</v>
      </c>
      <c r="K120" s="89" t="str">
        <f t="shared" si="33"/>
        <v>4027/4028</v>
      </c>
      <c r="L120" s="21" t="str">
        <f>VLOOKUP(A120,'Trips&amp;Operators'!$C$1:$G$99999,5,FALSE)</f>
        <v>LEVIN SCOTT</v>
      </c>
      <c r="M120" s="6">
        <f t="shared" si="34"/>
        <v>2.6550925926130731E-2</v>
      </c>
      <c r="N120" s="7">
        <f t="shared" si="45"/>
        <v>38.233333333628252</v>
      </c>
      <c r="O120" s="7"/>
      <c r="P120" s="7"/>
      <c r="Q120" s="22"/>
      <c r="R120" s="170"/>
      <c r="S120" s="213">
        <f t="shared" si="47"/>
        <v>1</v>
      </c>
      <c r="T120" s="195" t="str">
        <f t="shared" si="3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7"/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97" t="str">
        <f>IF(AA120&lt;VLOOKUP(AG120,Variables!$AC$3:$AD$8,2,FALSE),"Y","N")</f>
        <v>N</v>
      </c>
      <c r="X120" s="197">
        <f t="shared" si="46"/>
        <v>1</v>
      </c>
      <c r="Y120" s="197">
        <f t="shared" si="38"/>
        <v>23.307200000000002</v>
      </c>
      <c r="Z120" s="197">
        <f t="shared" si="39"/>
        <v>1.54E-2</v>
      </c>
      <c r="AA120" s="197">
        <f t="shared" si="40"/>
        <v>23.291800000000002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1"/>
        <v>208</v>
      </c>
      <c r="AE120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120" s="74" t="str">
        <f t="shared" si="43"/>
        <v>"C:\Program Files (x86)\AstroGrep\AstroGrep.exe" /e /r /s /spath="%USERPROFILE%\AppData\Local\Temp\OnboardLogs" /stypes="app*4027*20170630*" /stext=" 00:.+((SYSTEM_STATE.+slice.+state.+changed )|(ment ac)|(multiple cpu faults)|(system.+state.+changed )|(\[timeout)|(PRM\|1\|D)|(kpr)|(kdp)|(train st.+moving)|(\|lc)|(penalty))"</v>
      </c>
      <c r="AG120" s="209" t="str">
        <f t="shared" si="44"/>
        <v>EC</v>
      </c>
      <c r="AH120" s="78" t="str">
        <f t="shared" si="29"/>
        <v>"%USERPROFILE%\Documents\GitHub\eaglep3\Utilities\RefineRTDCRunTimes.py" --tripid 208-29 --locoid 4027 --swversion DE.1.0.9.0 --startMP 204:233072 --initTime 2017-06-29T17:51:12 --startdatetime 2017-06-29T17:57:33 --delay 1 --endMP 204:154 --enddatetime 2017-06-29T18:35:47 --enforcementcount 0 &gt;&gt;C:\Users\stu\Documents\GitHub\eaglep3-reporting\EC\2017-06-29-refined-times.txt</v>
      </c>
      <c r="AI12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ID","value":"208-29"},{"id":16,"name":"Locomotive ID","value":"4027"},{"id":130,"name":"Impact","value":""},{"id":150,"name":"Time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1"/>
        <v>start /low /b %USERPROFILE%\Documents\GitHub\eaglep3\Utilities\DownloadLogsFromS3.py --loco 4027 --day 2017-06-29</v>
      </c>
      <c r="AN120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757</v>
      </c>
      <c r="B121" s="7">
        <v>4050</v>
      </c>
      <c r="C121" s="21" t="s">
        <v>201</v>
      </c>
      <c r="D121" s="21" t="s">
        <v>451</v>
      </c>
      <c r="E121" s="13">
        <v>42915.714826388888</v>
      </c>
      <c r="F121" s="13">
        <v>42915.718981481485</v>
      </c>
      <c r="G121" s="7">
        <v>1</v>
      </c>
      <c r="H121" s="21" t="s">
        <v>925</v>
      </c>
      <c r="I121" s="13">
        <v>42915.74428240741</v>
      </c>
      <c r="J121" s="7">
        <v>0</v>
      </c>
      <c r="K121" s="89" t="str">
        <f t="shared" si="33"/>
        <v>4049/4050</v>
      </c>
      <c r="L121" s="21" t="str">
        <f>VLOOKUP(A121,'Trips&amp;Operators'!$C$1:$G$99999,5,FALSE)</f>
        <v>DELGADO DIANAH</v>
      </c>
      <c r="M121" s="6">
        <f t="shared" si="34"/>
        <v>2.5300925924966577E-2</v>
      </c>
      <c r="N121" s="7">
        <f t="shared" ref="N121:N132" si="48">24*60*SUM($M121:$M121)</f>
        <v>36.433333331951872</v>
      </c>
      <c r="O121" s="7"/>
      <c r="P121" s="7"/>
      <c r="Q121" s="22"/>
      <c r="R121" s="170"/>
      <c r="S121" s="213">
        <f t="shared" si="47"/>
        <v>1</v>
      </c>
      <c r="T121" s="195" t="str">
        <f t="shared" si="3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7"/>
        <v>https://d0f6bd738d7f1b3e5a7ca70fe4ff75f0.us-east-1.aws.found.io/app/kibana#/discover/Steve-Slow-Train-Analysis-(2080s-and-2083s)?_g=(refreshInterval:(display:Off,pause:!f,section:0,value:0),time:(from:'2017-06-29T16:09:21-0600',mode:absolute,to:'2017-06-29T18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si="46"/>
        <v>1</v>
      </c>
      <c r="Y121" s="197">
        <f t="shared" si="38"/>
        <v>4.5499999999999999E-2</v>
      </c>
      <c r="Z121" s="197">
        <f t="shared" si="39"/>
        <v>23.331199999999999</v>
      </c>
      <c r="AA121" s="197">
        <f t="shared" si="40"/>
        <v>23.285699999999999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1"/>
        <v>209</v>
      </c>
      <c r="AE121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21" s="74" t="str">
        <f t="shared" si="43"/>
        <v>"C:\Program Files (x86)\AstroGrep\AstroGrep.exe" /e /r /s /spath="%USERPROFILE%\AppData\Local\Temp\OnboardLogs" /stypes="app*4050*20170629*" /stext=" 23:.+((SYSTEM_STATE.+slice.+state.+changed )|(ment ac)|(multiple cpu faults)|(system.+state.+changed )|(\[timeout)|(PRM\|1\|D)|(kpr)|(kdp)|(train st.+moving)|(\|lc)|(penalty))"</v>
      </c>
      <c r="AG121" s="209" t="str">
        <f t="shared" si="44"/>
        <v>EC</v>
      </c>
      <c r="AH121" s="78" t="str">
        <f t="shared" si="29"/>
        <v>"%USERPROFILE%\Documents\GitHub\eaglep3\Utilities\RefineRTDCRunTimes.py" --tripid 209-29 --locoid 4050 --swversion DE.1.0.9.0 --startMP 204:455 --initTime 2017-06-29T17:09:21 --startdatetime 2017-06-29T17:15:20 --delay 1 --endMP 204:233312 --enddatetime 2017-06-29T17:51:46 --enforcementcount 0 &gt;&gt;C:\Users\stu\Documents\GitHub\eaglep3-reporting\EC\2017-06-29-refined-times.txt</v>
      </c>
      <c r="AI12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{"issue":{"subject":"","project_id":79,"tracker_id":40,"status_id":1,"priority_id":2,"assigned_to_id":23,"start_date":"2017-06-29","description":"","custom_fields":[{"id":1,"name":"Subdivision","value":"EC"},{"id":4,"name":"Milepost","value":"23.3312"},{"id":17,"name":"Train ID","value":"209-29"},{"id":16,"name":"Locomotive ID","value":"4050"},{"id":130,"name":"Impact","value":""},{"id":150,"name":"Time of Event (Mountain Time)","value":"17:51:46"},{"id":151,"name":"Denver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1"/>
        <v>start /low /b %USERPROFILE%\Documents\GitHub\eaglep3\Utilities\DownloadLogsFromS3.py --loco 4050 --day 2017-06-29</v>
      </c>
      <c r="AN12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766</v>
      </c>
      <c r="B122" s="7">
        <v>4049</v>
      </c>
      <c r="C122" s="21" t="s">
        <v>201</v>
      </c>
      <c r="D122" s="21" t="s">
        <v>969</v>
      </c>
      <c r="E122" s="13">
        <v>42915.749872685185</v>
      </c>
      <c r="F122" s="13">
        <v>42915.758472222224</v>
      </c>
      <c r="G122" s="7">
        <v>1</v>
      </c>
      <c r="H122" s="21" t="s">
        <v>347</v>
      </c>
      <c r="I122" s="13">
        <v>42915.784155092595</v>
      </c>
      <c r="J122" s="7">
        <v>0</v>
      </c>
      <c r="K122" s="89" t="str">
        <f t="shared" si="33"/>
        <v>4049/4050</v>
      </c>
      <c r="L122" s="21" t="str">
        <f>VLOOKUP(A122,'Trips&amp;Operators'!$C$1:$G$99999,5,FALSE)</f>
        <v>DELGADO DIANAH</v>
      </c>
      <c r="M122" s="6">
        <f t="shared" si="34"/>
        <v>2.5682870371383615E-2</v>
      </c>
      <c r="N122" s="7">
        <f t="shared" si="48"/>
        <v>36.983333334792405</v>
      </c>
      <c r="O122" s="7"/>
      <c r="P122" s="7"/>
      <c r="Q122" s="22"/>
      <c r="R122" s="170"/>
      <c r="S122" s="213">
        <f t="shared" si="47"/>
        <v>1</v>
      </c>
      <c r="T122" s="195" t="str">
        <f t="shared" si="3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7"/>
        <v>https://d0f6bd738d7f1b3e5a7ca70fe4ff75f0.us-east-1.aws.found.io/app/kibana#/discover/Steve-Slow-Train-Analysis-(2080s-and-2083s)?_g=(refreshInterval:(display:Off,pause:!f,section:0,value:0),time:(from:'2017-06-29T16:59:49-0600',mode:absolute,to:'2017-06-29T19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46"/>
        <v>1</v>
      </c>
      <c r="Y122" s="197">
        <f t="shared" si="38"/>
        <v>23.307400000000001</v>
      </c>
      <c r="Z122" s="197">
        <f t="shared" si="39"/>
        <v>1.49E-2</v>
      </c>
      <c r="AA122" s="197">
        <f t="shared" si="40"/>
        <v>23.2925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1"/>
        <v>210</v>
      </c>
      <c r="AE122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22" s="74" t="str">
        <f t="shared" si="43"/>
        <v>"C:\Program Files (x86)\AstroGrep\AstroGrep.exe" /e /r /s /spath="%USERPROFILE%\AppData\Local\Temp\OnboardLogs" /stypes="app*4049*20170630*" /stext=" 00:.+((SYSTEM_STATE.+slice.+state.+changed )|(ment ac)|(multiple cpu faults)|(system.+state.+changed )|(\[timeout)|(PRM\|1\|D)|(kpr)|(kdp)|(train st.+moving)|(\|lc)|(penalty))"</v>
      </c>
      <c r="AG122" s="209" t="str">
        <f t="shared" si="44"/>
        <v>EC</v>
      </c>
      <c r="AH122" s="78" t="str">
        <f t="shared" si="29"/>
        <v>"%USERPROFILE%\Documents\GitHub\eaglep3\Utilities\RefineRTDCRunTimes.py" --tripid 210-29 --locoid 4049 --swversion DE.1.0.9.0 --startMP 204:233074 --initTime 2017-06-29T17:59:49 --startdatetime 2017-06-29T18:12:12 --delay 1 --endMP 204:149 --enddatetime 2017-06-29T18:49:11 --enforcementcount 0 &gt;&gt;C:\Users\stu\Documents\GitHub\eaglep3-reporting\EC\2017-06-29-refined-times.txt</v>
      </c>
      <c r="AI12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ID","value":"210-29"},{"id":16,"name":"Locomotive ID","value":"4049"},{"id":130,"name":"Impact","value":""},{"id":150,"name":"Time of Event (Mountain Time)","value":"18:49:11"},{"id":151,"name":"Denver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1"/>
        <v>start /low /b %USERPROFILE%\Documents\GitHub\eaglep3\Utilities\DownloadLogsFromS3.py --loco 4049 --day 2017-06-29</v>
      </c>
      <c r="AN122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4056</v>
      </c>
      <c r="C123" s="21" t="s">
        <v>201</v>
      </c>
      <c r="D123" s="21" t="s">
        <v>439</v>
      </c>
      <c r="E123" s="13">
        <v>42915.725798611114</v>
      </c>
      <c r="F123" s="13">
        <v>42915.729525462964</v>
      </c>
      <c r="G123" s="7">
        <v>1</v>
      </c>
      <c r="H123" s="21" t="s">
        <v>515</v>
      </c>
      <c r="I123" s="13">
        <v>42915.755567129629</v>
      </c>
      <c r="J123" s="7">
        <v>0</v>
      </c>
      <c r="K123" s="89" t="str">
        <f t="shared" si="33"/>
        <v>4055/4056</v>
      </c>
      <c r="L123" s="21" t="str">
        <f>VLOOKUP(A123,'Trips&amp;Operators'!$C$1:$G$99999,5,FALSE)</f>
        <v>LEVERE CRAIG</v>
      </c>
      <c r="M123" s="6">
        <f t="shared" si="34"/>
        <v>2.6041666664241347E-2</v>
      </c>
      <c r="N123" s="7">
        <f t="shared" si="48"/>
        <v>37.49999999650754</v>
      </c>
      <c r="O123" s="7"/>
      <c r="P123" s="7"/>
      <c r="Q123" s="22"/>
      <c r="R123" s="170"/>
      <c r="S123" s="213">
        <f t="shared" si="47"/>
        <v>1</v>
      </c>
      <c r="T123" s="195" t="str">
        <f t="shared" si="3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7"/>
        <v>https://d0f6bd738d7f1b3e5a7ca70fe4ff75f0.us-east-1.aws.found.io/app/kibana#/discover/Steve-Slow-Train-Analysis-(2080s-and-2083s)?_g=(refreshInterval:(display:Off,pause:!f,section:0,value:0),time:(from:'2017-06-29T16:25:09-0600',mode:absolute,to:'2017-06-29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197" t="str">
        <f>IF(AA123&lt;VLOOKUP(AG123,Variables!$AC$3:$AD$8,2,FALSE),"Y","N")</f>
        <v>N</v>
      </c>
      <c r="X123" s="197">
        <f t="shared" si="46"/>
        <v>1</v>
      </c>
      <c r="Y123" s="197">
        <f t="shared" si="38"/>
        <v>4.6899999999999997E-2</v>
      </c>
      <c r="Z123" s="197">
        <f t="shared" si="39"/>
        <v>23.329699999999999</v>
      </c>
      <c r="AA123" s="197">
        <f t="shared" si="40"/>
        <v>23.282799999999998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1"/>
        <v>211</v>
      </c>
      <c r="AE123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123" s="74" t="str">
        <f t="shared" si="43"/>
        <v>"C:\Program Files (x86)\AstroGrep\AstroGrep.exe" /e /r /s /spath="%USERPROFILE%\AppData\Local\Temp\OnboardLogs" /stypes="app*4056*20170630*" /stext=" 00:.+((SYSTEM_STATE.+slice.+state.+changed )|(ment ac)|(multiple cpu faults)|(system.+state.+changed )|(\[timeout)|(PRM\|1\|D)|(kpr)|(kdp)|(train st.+moving)|(\|lc)|(penalty))"</v>
      </c>
      <c r="AG123" s="209" t="str">
        <f t="shared" si="44"/>
        <v>EC</v>
      </c>
      <c r="AH123" s="78" t="str">
        <f t="shared" si="29"/>
        <v>"%USERPROFILE%\Documents\GitHub\eaglep3\Utilities\RefineRTDCRunTimes.py" --tripid 211-29 --locoid 4056 --swversion DE.1.0.9.0 --startMP 204:469 --initTime 2017-06-29T17:25:09 --startdatetime 2017-06-29T17:30:31 --delay 1 --endMP 204:233297 --enddatetime 2017-06-29T18:08:01 --enforcementcount 0 &gt;&gt;C:\Users\stu\Documents\GitHub\eaglep3-reporting\EC\2017-06-29-refined-times.txt</v>
      </c>
      <c r="AI12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ID","value":"211-29"},{"id":16,"name":"Locomotive ID","value":"4056"},{"id":130,"name":"Impact","value":""},{"id":150,"name":"Time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1"/>
        <v>start /low /b %USERPROFILE%\Documents\GitHub\eaglep3\Utilities\DownloadLogsFromS3.py --loco 4056 --day 2017-06-29</v>
      </c>
      <c r="AN123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774</v>
      </c>
      <c r="B124" s="7">
        <v>4055</v>
      </c>
      <c r="C124" s="21" t="s">
        <v>201</v>
      </c>
      <c r="D124" s="21" t="s">
        <v>546</v>
      </c>
      <c r="E124" s="13">
        <v>42915.763240740744</v>
      </c>
      <c r="F124" s="13">
        <v>42915.768923611111</v>
      </c>
      <c r="G124" s="7">
        <v>1</v>
      </c>
      <c r="H124" s="21" t="s">
        <v>392</v>
      </c>
      <c r="I124" s="13">
        <v>42915.796168981484</v>
      </c>
      <c r="J124" s="7">
        <v>0</v>
      </c>
      <c r="K124" s="89" t="str">
        <f t="shared" si="33"/>
        <v>4055/4056</v>
      </c>
      <c r="L124" s="21" t="str">
        <f>VLOOKUP(A124,'Trips&amp;Operators'!$C$1:$G$99999,5,FALSE)</f>
        <v>LEVERE CRAIG</v>
      </c>
      <c r="M124" s="6">
        <f t="shared" si="34"/>
        <v>2.7245370372838806E-2</v>
      </c>
      <c r="N124" s="7">
        <f t="shared" si="48"/>
        <v>39.233333336887881</v>
      </c>
      <c r="O124" s="7"/>
      <c r="P124" s="7"/>
      <c r="Q124" s="22"/>
      <c r="R124" s="170"/>
      <c r="S124" s="213">
        <f t="shared" si="47"/>
        <v>1</v>
      </c>
      <c r="T124" s="195" t="str">
        <f t="shared" si="3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7"/>
        <v>https://d0f6bd738d7f1b3e5a7ca70fe4ff75f0.us-east-1.aws.found.io/app/kibana#/discover/Steve-Slow-Train-Analysis-(2080s-and-2083s)?_g=(refreshInterval:(display:Off,pause:!f,section:0,value:0),time:(from:'2017-06-29T17:19:04-0600',mode:absolute,to:'2017-06-29T20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197" t="str">
        <f>IF(AA124&lt;VLOOKUP(AG124,Variables!$AC$3:$AD$8,2,FALSE),"Y","N")</f>
        <v>N</v>
      </c>
      <c r="X124" s="197">
        <f t="shared" si="46"/>
        <v>1</v>
      </c>
      <c r="Y124" s="197">
        <f t="shared" si="38"/>
        <v>23.297899999999998</v>
      </c>
      <c r="Z124" s="197">
        <f t="shared" si="39"/>
        <v>1.54E-2</v>
      </c>
      <c r="AA124" s="197">
        <f t="shared" si="40"/>
        <v>23.282499999999999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1"/>
        <v>212</v>
      </c>
      <c r="AE124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124" s="74" t="str">
        <f t="shared" si="43"/>
        <v>"C:\Program Files (x86)\AstroGrep\AstroGrep.exe" /e /r /s /spath="%USERPROFILE%\AppData\Local\Temp\OnboardLogs" /stypes="app*4055*20170630*" /stext=" 01:.+((SYSTEM_STATE.+slice.+state.+changed )|(ment ac)|(multiple cpu faults)|(system.+state.+changed )|(\[timeout)|(PRM\|1\|D)|(kpr)|(kdp)|(train st.+moving)|(\|lc)|(penalty))"</v>
      </c>
      <c r="AG124" s="209" t="str">
        <f t="shared" si="44"/>
        <v>EC</v>
      </c>
      <c r="AH124" s="78" t="str">
        <f t="shared" si="29"/>
        <v>"%USERPROFILE%\Documents\GitHub\eaglep3\Utilities\RefineRTDCRunTimes.py" --tripid 212-29 --locoid 4055 --swversion DE.1.0.9.0 --startMP 204:232979 --initTime 2017-06-29T18:19:04 --startdatetime 2017-06-29T18:27:15 --delay 1 --endMP 204:154 --enddatetime 2017-06-29T19:06:29 --enforcementcount 0 &gt;&gt;C:\Users\stu\Documents\GitHub\eaglep3-reporting\EC\2017-06-29-refined-times.txt</v>
      </c>
      <c r="AI12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ID","value":"212-29"},{"id":16,"name":"Locomotive ID","value":"4055"},{"id":130,"name":"Impact","value":""},{"id":150,"name":"Time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1"/>
        <v>start /low /b %USERPROFILE%\Documents\GitHub\eaglep3\Utilities\DownloadLogsFromS3.py --loco 4055 --day 2017-06-29</v>
      </c>
      <c r="AN124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765</v>
      </c>
      <c r="B125" s="7">
        <v>4010</v>
      </c>
      <c r="C125" s="21" t="s">
        <v>201</v>
      </c>
      <c r="D125" s="21" t="s">
        <v>389</v>
      </c>
      <c r="E125" s="13">
        <v>42915.73673611111</v>
      </c>
      <c r="F125" s="13">
        <v>42915.740208333336</v>
      </c>
      <c r="G125" s="7">
        <v>1</v>
      </c>
      <c r="H125" s="21" t="s">
        <v>962</v>
      </c>
      <c r="I125" s="13">
        <v>42915.765659722223</v>
      </c>
      <c r="J125" s="7">
        <v>0</v>
      </c>
      <c r="K125" s="89" t="str">
        <f t="shared" si="33"/>
        <v>4009/4010</v>
      </c>
      <c r="L125" s="21" t="str">
        <f>VLOOKUP(A125,'Trips&amp;Operators'!$C$1:$G$99999,5,FALSE)</f>
        <v>SMITH MICHAEL</v>
      </c>
      <c r="M125" s="6">
        <f t="shared" si="34"/>
        <v>2.545138888672227E-2</v>
      </c>
      <c r="N125" s="7">
        <f t="shared" si="48"/>
        <v>36.649999996880069</v>
      </c>
      <c r="O125" s="7"/>
      <c r="P125" s="7"/>
      <c r="Q125" s="22"/>
      <c r="R125" s="170"/>
      <c r="S125" s="213">
        <f t="shared" si="47"/>
        <v>1</v>
      </c>
      <c r="T125" s="195" t="str">
        <f t="shared" si="3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7"/>
        <v>https://d0f6bd738d7f1b3e5a7ca70fe4ff75f0.us-east-1.aws.found.io/app/kibana#/discover/Steve-Slow-Train-Analysis-(2080s-and-2083s)?_g=(refreshInterval:(display:Off,pause:!f,section:0,value:0),time:(from:'2017-06-29T16:40:54-0600',mode:absolute,to:'2017-06-29T19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197" t="str">
        <f>IF(AA125&lt;VLOOKUP(AG125,Variables!$AC$3:$AD$8,2,FALSE),"Y","N")</f>
        <v>N</v>
      </c>
      <c r="X125" s="197">
        <f t="shared" si="46"/>
        <v>1</v>
      </c>
      <c r="Y125" s="197">
        <f t="shared" si="38"/>
        <v>4.6199999999999998E-2</v>
      </c>
      <c r="Z125" s="197">
        <f t="shared" si="39"/>
        <v>23.3264</v>
      </c>
      <c r="AA125" s="197">
        <f t="shared" si="40"/>
        <v>23.280200000000001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1"/>
        <v>213</v>
      </c>
      <c r="AE125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25" s="74" t="str">
        <f t="shared" si="43"/>
        <v>"C:\Program Files (x86)\AstroGrep\AstroGrep.exe" /e /r /s /spath="%USERPROFILE%\AppData\Local\Temp\OnboardLogs" /stypes="app*4010*20170630*" /stext=" 00:.+((SYSTEM_STATE.+slice.+state.+changed )|(ment ac)|(multiple cpu faults)|(system.+state.+changed )|(\[timeout)|(PRM\|1\|D)|(kpr)|(kdp)|(train st.+moving)|(\|lc)|(penalty))"</v>
      </c>
      <c r="AG125" s="209" t="str">
        <f t="shared" si="44"/>
        <v>EC</v>
      </c>
      <c r="AH125" s="78" t="str">
        <f t="shared" si="29"/>
        <v>"%USERPROFILE%\Documents\GitHub\eaglep3\Utilities\RefineRTDCRunTimes.py" --tripid 213-29 --locoid 4010 --swversion DE.1.0.9.0 --startMP 204:462 --initTime 2017-06-29T17:40:54 --startdatetime 2017-06-29T17:45:54 --delay 1 --endMP 204:233264 --enddatetime 2017-06-29T18:22:33 --enforcementcount 0 &gt;&gt;C:\Users\stu\Documents\GitHub\eaglep3-reporting\EC\2017-06-29-refined-times.txt</v>
      </c>
      <c r="AI12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{"issue":{"subject":"","project_id":79,"tracker_id":40,"status_id":1,"priority_id":2,"assigned_to_id":23,"start_date":"2017-06-29","description":"","custom_fields":[{"id":1,"name":"Subdivision","value":"EC"},{"id":4,"name":"Milepost","value":"23.3264"},{"id":17,"name":"Train ID","value":"213-29"},{"id":16,"name":"Locomotive ID","value":"4010"},{"id":130,"name":"Impact","value":""},{"id":150,"name":"Time of Event (Mountain Time)","value":"18:22:33"},{"id":151,"name":"Denver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1"/>
        <v>start /low /b %USERPROFILE%\Documents\GitHub\eaglep3\Utilities\DownloadLogsFromS3.py --loco 4010 --day 2017-06-29</v>
      </c>
      <c r="AN125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776</v>
      </c>
      <c r="B126" s="7">
        <v>4009</v>
      </c>
      <c r="C126" s="21" t="s">
        <v>201</v>
      </c>
      <c r="D126" s="21" t="s">
        <v>916</v>
      </c>
      <c r="E126" s="13">
        <v>42915.767152777778</v>
      </c>
      <c r="F126" s="13">
        <v>42915.779560185183</v>
      </c>
      <c r="G126" s="7">
        <v>1</v>
      </c>
      <c r="H126" s="21" t="s">
        <v>346</v>
      </c>
      <c r="I126" s="13">
        <v>42915.805810185186</v>
      </c>
      <c r="J126" s="7">
        <v>0</v>
      </c>
      <c r="K126" s="89" t="str">
        <f t="shared" si="33"/>
        <v>4009/4010</v>
      </c>
      <c r="L126" s="21" t="str">
        <f>VLOOKUP(A126,'Trips&amp;Operators'!$C$1:$G$99999,5,FALSE)</f>
        <v>SMITH MICHAEL</v>
      </c>
      <c r="M126" s="6">
        <f t="shared" si="34"/>
        <v>2.6250000002619345E-2</v>
      </c>
      <c r="N126" s="7">
        <f t="shared" si="48"/>
        <v>37.800000003771856</v>
      </c>
      <c r="O126" s="7"/>
      <c r="P126" s="7"/>
      <c r="Q126" s="22"/>
      <c r="R126" s="170"/>
      <c r="S126" s="213">
        <f t="shared" si="47"/>
        <v>1</v>
      </c>
      <c r="T126" s="195" t="str">
        <f t="shared" si="3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7"/>
        <v>https://d0f6bd738d7f1b3e5a7ca70fe4ff75f0.us-east-1.aws.found.io/app/kibana#/discover/Steve-Slow-Train-Analysis-(2080s-and-2083s)?_g=(refreshInterval:(display:Off,pause:!f,section:0,value:0),time:(from:'2017-06-29T17:24:42-0600',mode:absolute,to:'2017-06-29T20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197" t="str">
        <f>IF(AA126&lt;VLOOKUP(AG126,Variables!$AC$3:$AD$8,2,FALSE),"Y","N")</f>
        <v>N</v>
      </c>
      <c r="X126" s="197">
        <f t="shared" si="46"/>
        <v>1</v>
      </c>
      <c r="Y126" s="197">
        <f t="shared" si="38"/>
        <v>23.2986</v>
      </c>
      <c r="Z126" s="197">
        <f t="shared" si="39"/>
        <v>1.4999999999999999E-2</v>
      </c>
      <c r="AA126" s="197">
        <f t="shared" si="40"/>
        <v>23.2836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1"/>
        <v>214</v>
      </c>
      <c r="AE126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26" s="74" t="str">
        <f t="shared" si="43"/>
        <v>"C:\Program Files (x86)\AstroGrep\AstroGrep.exe" /e /r /s /spath="%USERPROFILE%\AppData\Local\Temp\OnboardLogs" /stypes="app*4009*20170630*" /stext=" 01:.+((SYSTEM_STATE.+slice.+state.+changed )|(ment ac)|(multiple cpu faults)|(system.+state.+changed )|(\[timeout)|(PRM\|1\|D)|(kpr)|(kdp)|(train st.+moving)|(\|lc)|(penalty))"</v>
      </c>
      <c r="AG126" s="209" t="str">
        <f t="shared" si="44"/>
        <v>EC</v>
      </c>
      <c r="AH126" s="78" t="str">
        <f t="shared" si="29"/>
        <v>"%USERPROFILE%\Documents\GitHub\eaglep3\Utilities\RefineRTDCRunTimes.py" --tripid 214-29 --locoid 4009 --swversion DE.1.0.9.0 --startMP 204:232986 --initTime 2017-06-29T18:24:42 --startdatetime 2017-06-29T18:42:34 --delay 1 --endMP 204:150 --enddatetime 2017-06-29T19:20:22 --enforcementcount 0 &gt;&gt;C:\Users\stu\Documents\GitHub\eaglep3-reporting\EC\2017-06-29-refined-times.txt</v>
      </c>
      <c r="AI12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ID","value":"214-29"},{"id":16,"name":"Locomotive ID","value":"4009"},{"id":130,"name":"Impact","value":""},{"id":150,"name":"Time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1"/>
        <v>start /low /b %USERPROFILE%\Documents\GitHub\eaglep3\Utilities\DownloadLogsFromS3.py --loco 4009 --day 2017-06-29</v>
      </c>
      <c r="AN12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614</v>
      </c>
      <c r="B127" s="7">
        <v>4006</v>
      </c>
      <c r="C127" s="21" t="s">
        <v>201</v>
      </c>
      <c r="D127" s="21" t="s">
        <v>922</v>
      </c>
      <c r="E127" s="13">
        <v>42915.747465277775</v>
      </c>
      <c r="F127" s="13">
        <v>42915.750173611108</v>
      </c>
      <c r="G127" s="7">
        <v>1</v>
      </c>
      <c r="H127" s="21" t="s">
        <v>970</v>
      </c>
      <c r="I127" s="13">
        <v>42915.775358796294</v>
      </c>
      <c r="J127" s="7">
        <v>0</v>
      </c>
      <c r="K127" s="89" t="str">
        <f t="shared" si="33"/>
        <v>4005/4006</v>
      </c>
      <c r="L127" s="21" t="str">
        <f>VLOOKUP(A127,'Trips&amp;Operators'!$C$1:$G$99999,5,FALSE)</f>
        <v>HOLCOMB KAMDEN</v>
      </c>
      <c r="M127" s="6">
        <f t="shared" si="34"/>
        <v>2.5185185186273884E-2</v>
      </c>
      <c r="N127" s="7">
        <f t="shared" si="48"/>
        <v>36.266666668234393</v>
      </c>
      <c r="O127" s="7"/>
      <c r="P127" s="7"/>
      <c r="Q127" s="22"/>
      <c r="R127" s="170"/>
      <c r="S127" s="213">
        <f t="shared" si="47"/>
        <v>1</v>
      </c>
      <c r="T127" s="195" t="str">
        <f t="shared" si="3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7"/>
        <v>https://d0f6bd738d7f1b3e5a7ca70fe4ff75f0.us-east-1.aws.found.io/app/kibana#/discover/Steve-Slow-Train-Analysis-(2080s-and-2083s)?_g=(refreshInterval:(display:Off,pause:!f,section:0,value:0),time:(from:'2017-06-29T16:56:21-0600',mode:absolute,to:'2017-06-29T19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97" t="str">
        <f>IF(AA127&lt;VLOOKUP(AG127,Variables!$AC$3:$AD$8,2,FALSE),"Y","N")</f>
        <v>N</v>
      </c>
      <c r="X127" s="197">
        <f t="shared" si="46"/>
        <v>1</v>
      </c>
      <c r="Y127" s="197">
        <f t="shared" si="38"/>
        <v>4.58E-2</v>
      </c>
      <c r="Z127" s="197">
        <f t="shared" si="39"/>
        <v>23.333100000000002</v>
      </c>
      <c r="AA127" s="197">
        <f t="shared" si="40"/>
        <v>23.287300000000002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1"/>
        <v>215</v>
      </c>
      <c r="AE127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127" s="74" t="str">
        <f t="shared" si="43"/>
        <v>"C:\Program Files (x86)\AstroGrep\AstroGrep.exe" /e /r /s /spath="%USERPROFILE%\AppData\Local\Temp\OnboardLogs" /stypes="app*4006*20170630*" /stext=" 00:.+((SYSTEM_STATE.+slice.+state.+changed )|(ment ac)|(multiple cpu faults)|(system.+state.+changed )|(\[timeout)|(PRM\|1\|D)|(kpr)|(kdp)|(train st.+moving)|(\|lc)|(penalty))"</v>
      </c>
      <c r="AG127" s="209" t="str">
        <f t="shared" si="44"/>
        <v>EC</v>
      </c>
      <c r="AH127" s="78" t="str">
        <f t="shared" si="29"/>
        <v>"%USERPROFILE%\Documents\GitHub\eaglep3\Utilities\RefineRTDCRunTimes.py" --tripid 215-29 --locoid 4006 --swversion DE.1.0.9.0 --startMP 204:458 --initTime 2017-06-29T17:56:21 --startdatetime 2017-06-29T18:00:15 --delay 1 --endMP 204:233331 --enddatetime 2017-06-29T18:36:31 --enforcementcount 0 &gt;&gt;C:\Users\stu\Documents\GitHub\eaglep3-reporting\EC\2017-06-29-refined-times.txt</v>
      </c>
      <c r="AI12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{"issue":{"subject":"","project_id":79,"tracker_id":40,"status_id":1,"priority_id":2,"assigned_to_id":23,"start_date":"2017-06-29","description":"","custom_fields":[{"id":1,"name":"Subdivision","value":"EC"},{"id":4,"name":"Milepost","value":"23.3331"},{"id":17,"name":"Train ID","value":"215-29"},{"id":16,"name":"Locomotive ID","value":"4006"},{"id":130,"name":"Impact","value":""},{"id":150,"name":"Time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1"/>
        <v>start /low /b %USERPROFILE%\Documents\GitHub\eaglep3\Utilities\DownloadLogsFromS3.py --loco 4006 --day 2017-06-29</v>
      </c>
      <c r="AN127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618</v>
      </c>
      <c r="B128" s="7">
        <v>4005</v>
      </c>
      <c r="C128" s="21" t="s">
        <v>201</v>
      </c>
      <c r="D128" s="21" t="s">
        <v>934</v>
      </c>
      <c r="E128" s="13">
        <v>42915.786909722221</v>
      </c>
      <c r="F128" s="13">
        <v>42915.789756944447</v>
      </c>
      <c r="G128" s="7">
        <v>1</v>
      </c>
      <c r="H128" s="21" t="s">
        <v>555</v>
      </c>
      <c r="I128" s="13">
        <v>42915.815706018519</v>
      </c>
      <c r="J128" s="7">
        <v>0</v>
      </c>
      <c r="K128" s="89" t="str">
        <f t="shared" si="33"/>
        <v>4005/4006</v>
      </c>
      <c r="L128" s="21" t="str">
        <f>VLOOKUP(A128,'Trips&amp;Operators'!$C$1:$G$99999,5,FALSE)</f>
        <v>HOLCOMB KAMDEN</v>
      </c>
      <c r="M128" s="6">
        <f t="shared" si="34"/>
        <v>2.5949074071832001E-2</v>
      </c>
      <c r="N128" s="7">
        <f t="shared" si="48"/>
        <v>37.366666663438082</v>
      </c>
      <c r="O128" s="7"/>
      <c r="P128" s="7"/>
      <c r="Q128" s="22"/>
      <c r="R128" s="170"/>
      <c r="S128" s="213">
        <f t="shared" si="47"/>
        <v>1</v>
      </c>
      <c r="T128" s="195" t="str">
        <f t="shared" si="3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7"/>
        <v>https://d0f6bd738d7f1b3e5a7ca70fe4ff75f0.us-east-1.aws.found.io/app/kibana#/discover/Steve-Slow-Train-Analysis-(2080s-and-2083s)?_g=(refreshInterval:(display:Off,pause:!f,section:0,value:0),time:(from:'2017-06-29T17:53:09-0600',mode:absolute,to:'2017-06-29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97" t="str">
        <f>IF(AA128&lt;VLOOKUP(AG128,Variables!$AC$3:$AD$8,2,FALSE),"Y","N")</f>
        <v>N</v>
      </c>
      <c r="X128" s="197">
        <f t="shared" si="46"/>
        <v>1</v>
      </c>
      <c r="Y128" s="197">
        <f t="shared" si="38"/>
        <v>23.301300000000001</v>
      </c>
      <c r="Z128" s="197">
        <f t="shared" si="39"/>
        <v>1.6500000000000001E-2</v>
      </c>
      <c r="AA128" s="197">
        <f t="shared" si="40"/>
        <v>23.284800000000001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1"/>
        <v>216</v>
      </c>
      <c r="AE128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28" s="74" t="str">
        <f t="shared" si="43"/>
        <v>"C:\Program Files (x86)\AstroGrep\AstroGrep.exe" /e /r /s /spath="%USERPROFILE%\AppData\Local\Temp\OnboardLogs" /stypes="app*4005*20170630*" /stext=" 01:.+((SYSTEM_STATE.+slice.+state.+changed )|(ment ac)|(multiple cpu faults)|(system.+state.+changed )|(\[timeout)|(PRM\|1\|D)|(kpr)|(kdp)|(train st.+moving)|(\|lc)|(penalty))"</v>
      </c>
      <c r="AG128" s="209" t="str">
        <f t="shared" si="44"/>
        <v>EC</v>
      </c>
      <c r="AH128" s="78" t="str">
        <f t="shared" si="29"/>
        <v>"%USERPROFILE%\Documents\GitHub\eaglep3\Utilities\RefineRTDCRunTimes.py" --tripid 216-29 --locoid 4005 --swversion DE.1.0.9.0 --startMP 204:233013 --initTime 2017-06-29T18:53:09 --startdatetime 2017-06-29T18:57:15 --delay 1 --endMP 204:165 --enddatetime 2017-06-29T19:34:37 --enforcementcount 0 &gt;&gt;C:\Users\stu\Documents\GitHub\eaglep3-reporting\EC\2017-06-29-refined-times.txt</v>
      </c>
      <c r="AI12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{"issue":{"subject":"","project_id":79,"tracker_id":40,"status_id":1,"priority_id":2,"assigned_to_id":23,"start_date":"2017-06-29","description":"","custom_fields":[{"id":1,"name":"Subdivision","value":"EC"},{"id":4,"name":"Milepost","value":"0.0165"},{"id":17,"name":"Train ID","value":"216-29"},{"id":16,"name":"Locomotive ID","value":"4005"},{"id":130,"name":"Impact","value":""},{"id":150,"name":"Time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1"/>
        <v>start /low /b %USERPROFILE%\Documents\GitHub\eaglep3\Utilities\DownloadLogsFromS3.py --loco 4005 --day 2017-06-29</v>
      </c>
      <c r="AN12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615</v>
      </c>
      <c r="B129" s="7">
        <v>4060</v>
      </c>
      <c r="C129" s="21" t="s">
        <v>201</v>
      </c>
      <c r="D129" s="21" t="s">
        <v>836</v>
      </c>
      <c r="E129" s="13">
        <v>42915.755752314813</v>
      </c>
      <c r="F129" s="13">
        <v>42915.760706018518</v>
      </c>
      <c r="G129" s="7">
        <v>1</v>
      </c>
      <c r="H129" s="21" t="s">
        <v>478</v>
      </c>
      <c r="I129" s="13">
        <v>42915.786574074074</v>
      </c>
      <c r="J129" s="7">
        <v>0</v>
      </c>
      <c r="K129" s="89" t="str">
        <f t="shared" si="33"/>
        <v>4059/4060</v>
      </c>
      <c r="L129" s="21" t="str">
        <f>VLOOKUP(A129,'Trips&amp;Operators'!$C$1:$G$99999,5,FALSE)</f>
        <v>PERKINS DARREN</v>
      </c>
      <c r="M129" s="6">
        <f t="shared" si="34"/>
        <v>2.5868055556202307E-2</v>
      </c>
      <c r="N129" s="7">
        <f t="shared" si="48"/>
        <v>37.250000000931323</v>
      </c>
      <c r="O129" s="7"/>
      <c r="P129" s="7"/>
      <c r="Q129" s="22"/>
      <c r="R129" s="170"/>
      <c r="S129" s="213">
        <f t="shared" si="47"/>
        <v>1</v>
      </c>
      <c r="T129" s="195" t="str">
        <f t="shared" si="3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7"/>
        <v>https://d0f6bd738d7f1b3e5a7ca70fe4ff75f0.us-east-1.aws.found.io/app/kibana#/discover/Steve-Slow-Train-Analysis-(2080s-and-2083s)?_g=(refreshInterval:(display:Off,pause:!f,section:0,value:0),time:(from:'2017-06-29T17:08:17-0600',mode:absolute,to:'2017-06-29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197" t="str">
        <f>IF(AA129&lt;VLOOKUP(AG129,Variables!$AC$3:$AD$8,2,FALSE),"Y","N")</f>
        <v>N</v>
      </c>
      <c r="X129" s="197">
        <f t="shared" si="46"/>
        <v>1</v>
      </c>
      <c r="Y129" s="197">
        <f t="shared" si="38"/>
        <v>4.8899999999999999E-2</v>
      </c>
      <c r="Z129" s="197">
        <f t="shared" si="39"/>
        <v>23.330100000000002</v>
      </c>
      <c r="AA129" s="197">
        <f t="shared" si="40"/>
        <v>23.281200000000002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1"/>
        <v>217</v>
      </c>
      <c r="AE129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29" s="74" t="str">
        <f t="shared" si="43"/>
        <v>"C:\Program Files (x86)\AstroGrep\AstroGrep.exe" /e /r /s /spath="%USERPROFILE%\AppData\Local\Temp\OnboardLogs" /stypes="app*4060*20170630*" /stext=" 00:.+((SYSTEM_STATE.+slice.+state.+changed )|(ment ac)|(multiple cpu faults)|(system.+state.+changed )|(\[timeout)|(PRM\|1\|D)|(kpr)|(kdp)|(train st.+moving)|(\|lc)|(penalty))"</v>
      </c>
      <c r="AG129" s="209" t="str">
        <f t="shared" si="44"/>
        <v>EC</v>
      </c>
      <c r="AH129" s="78" t="str">
        <f t="shared" si="29"/>
        <v>"%USERPROFILE%\Documents\GitHub\eaglep3\Utilities\RefineRTDCRunTimes.py" --tripid 217-29 --locoid 4060 --swversion DE.1.0.9.0 --startMP 204:489 --initTime 2017-06-29T18:08:17 --startdatetime 2017-06-29T18:15:25 --delay 1 --endMP 204:233301 --enddatetime 2017-06-29T18:52:40 --enforcementcount 0 &gt;&gt;C:\Users\stu\Documents\GitHub\eaglep3-reporting\EC\2017-06-29-refined-times.txt</v>
      </c>
      <c r="AI12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ID","value":"217-29"},{"id":16,"name":"Locomotive ID","value":"4060"},{"id":130,"name":"Impact","value":""},{"id":150,"name":"Time of Event (Mountain Time)","value":"18:52:40"},{"id":151,"name":"Denver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1"/>
        <v>start /low /b %USERPROFILE%\Documents\GitHub\eaglep3\Utilities\DownloadLogsFromS3.py --loco 4060 --day 2017-06-29</v>
      </c>
      <c r="AN129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779</v>
      </c>
      <c r="B130" s="7">
        <v>4059</v>
      </c>
      <c r="C130" s="21" t="s">
        <v>201</v>
      </c>
      <c r="D130" s="21" t="s">
        <v>971</v>
      </c>
      <c r="E130" s="13">
        <v>42915.792384259257</v>
      </c>
      <c r="F130" s="13">
        <v>42915.800219907411</v>
      </c>
      <c r="G130" s="7">
        <v>1</v>
      </c>
      <c r="H130" s="21" t="s">
        <v>348</v>
      </c>
      <c r="I130" s="13">
        <v>42915.826192129629</v>
      </c>
      <c r="J130" s="7">
        <v>0</v>
      </c>
      <c r="K130" s="89" t="str">
        <f t="shared" si="33"/>
        <v>4059/4060</v>
      </c>
      <c r="L130" s="21" t="str">
        <f>VLOOKUP(A130,'Trips&amp;Operators'!$C$1:$G$99999,5,FALSE)</f>
        <v>PERKINS DARREN</v>
      </c>
      <c r="M130" s="6">
        <f t="shared" si="34"/>
        <v>2.5972222218115348E-2</v>
      </c>
      <c r="N130" s="7">
        <f t="shared" si="48"/>
        <v>37.399999994086102</v>
      </c>
      <c r="O130" s="7"/>
      <c r="P130" s="7"/>
      <c r="Q130" s="22"/>
      <c r="R130" s="170"/>
      <c r="S130" s="213">
        <f t="shared" si="47"/>
        <v>1</v>
      </c>
      <c r="T130" s="195" t="str">
        <f t="shared" si="3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7"/>
        <v>https://d0f6bd738d7f1b3e5a7ca70fe4ff75f0.us-east-1.aws.found.io/app/kibana#/discover/Steve-Slow-Train-Analysis-(2080s-and-2083s)?_g=(refreshInterval:(display:Off,pause:!f,section:0,value:0),time:(from:'2017-06-29T18:01:02-0600',mode:absolute,to:'2017-06-29T20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197" t="str">
        <f>IF(AA130&lt;VLOOKUP(AG130,Variables!$AC$3:$AD$8,2,FALSE),"Y","N")</f>
        <v>N</v>
      </c>
      <c r="X130" s="197">
        <f t="shared" si="46"/>
        <v>1</v>
      </c>
      <c r="Y130" s="197">
        <f t="shared" si="38"/>
        <v>23.298999999999999</v>
      </c>
      <c r="Z130" s="197">
        <f t="shared" si="39"/>
        <v>1.43E-2</v>
      </c>
      <c r="AA130" s="197">
        <f t="shared" si="40"/>
        <v>23.284700000000001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1"/>
        <v>218</v>
      </c>
      <c r="AE130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30" s="74" t="str">
        <f t="shared" si="43"/>
        <v>"C:\Program Files (x86)\AstroGrep\AstroGrep.exe" /e /r /s /spath="%USERPROFILE%\AppData\Local\Temp\OnboardLogs" /stypes="app*4059*20170630*" /stext=" 01:.+((SYSTEM_STATE.+slice.+state.+changed )|(ment ac)|(multiple cpu faults)|(system.+state.+changed )|(\[timeout)|(PRM\|1\|D)|(kpr)|(kdp)|(train st.+moving)|(\|lc)|(penalty))"</v>
      </c>
      <c r="AG130" s="209" t="str">
        <f t="shared" si="44"/>
        <v>EC</v>
      </c>
      <c r="AH130" s="78" t="str">
        <f t="shared" si="29"/>
        <v>"%USERPROFILE%\Documents\GitHub\eaglep3\Utilities\RefineRTDCRunTimes.py" --tripid 218-29 --locoid 4059 --swversion DE.1.0.9.0 --startMP 204:232990 --initTime 2017-06-29T19:01:02 --startdatetime 2017-06-29T19:12:19 --delay 1 --endMP 204:143 --enddatetime 2017-06-29T19:49:43 --enforcementcount 0 &gt;&gt;C:\Users\stu\Documents\GitHub\eaglep3-reporting\EC\2017-06-29-refined-times.txt</v>
      </c>
      <c r="AI13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ID","value":"218-29"},{"id":16,"name":"Locomotive ID","value":"4059"},{"id":130,"name":"Impact","value":""},{"id":150,"name":"Time of Event (Mountain Time)","value":"19:49:43"},{"id":151,"name":"Denver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1"/>
        <v>start /low /b %USERPROFILE%\Documents\GitHub\eaglep3\Utilities\DownloadLogsFromS3.py --loco 4059 --day 2017-06-29</v>
      </c>
      <c r="AN130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775</v>
      </c>
      <c r="B131" s="7">
        <v>4062</v>
      </c>
      <c r="C131" s="21" t="s">
        <v>201</v>
      </c>
      <c r="D131" s="21" t="s">
        <v>972</v>
      </c>
      <c r="E131" s="13">
        <v>42915.764756944445</v>
      </c>
      <c r="F131" s="13">
        <v>42915.771180555559</v>
      </c>
      <c r="G131" s="7">
        <v>1</v>
      </c>
      <c r="H131" s="21" t="s">
        <v>973</v>
      </c>
      <c r="I131" s="13">
        <v>42915.796643518515</v>
      </c>
      <c r="J131" s="7">
        <v>0</v>
      </c>
      <c r="K131" s="89" t="str">
        <f t="shared" si="33"/>
        <v>4061/4062</v>
      </c>
      <c r="L131" s="21" t="str">
        <f>VLOOKUP(A131,'Trips&amp;Operators'!$C$1:$G$99999,5,FALSE)</f>
        <v>FORTUNATO FRANK</v>
      </c>
      <c r="M131" s="6">
        <f t="shared" si="34"/>
        <v>2.5462962956225965E-2</v>
      </c>
      <c r="N131" s="7">
        <f t="shared" si="48"/>
        <v>36.66666665696539</v>
      </c>
      <c r="O131" s="7"/>
      <c r="P131" s="7"/>
      <c r="Q131" s="22"/>
      <c r="R131" s="170"/>
      <c r="S131" s="213">
        <f t="shared" si="47"/>
        <v>1</v>
      </c>
      <c r="T131" s="195" t="str">
        <f t="shared" si="3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7"/>
        <v>https://d0f6bd738d7f1b3e5a7ca70fe4ff75f0.us-east-1.aws.found.io/app/kibana#/discover/Steve-Slow-Train-Analysis-(2080s-and-2083s)?_g=(refreshInterval:(display:Off,pause:!f,section:0,value:0),time:(from:'2017-06-29T17:21:15-0600',mode:absolute,to:'2017-06-29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1" s="197" t="str">
        <f>IF(AA131&lt;VLOOKUP(AG131,Variables!$AC$3:$AD$8,2,FALSE),"Y","N")</f>
        <v>N</v>
      </c>
      <c r="X131" s="197">
        <f t="shared" si="46"/>
        <v>1</v>
      </c>
      <c r="Y131" s="197">
        <f t="shared" si="38"/>
        <v>4.2000000000000003E-2</v>
      </c>
      <c r="Z131" s="197">
        <f t="shared" si="39"/>
        <v>23.3323</v>
      </c>
      <c r="AA131" s="197">
        <f t="shared" si="40"/>
        <v>23.290299999999998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1"/>
        <v>219</v>
      </c>
      <c r="AE131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31" s="74" t="str">
        <f t="shared" si="43"/>
        <v>"C:\Program Files (x86)\AstroGrep\AstroGrep.exe" /e /r /s /spath="%USERPROFILE%\AppData\Local\Temp\OnboardLogs" /stypes="app*4062*20170630*" /stext=" 01:.+((SYSTEM_STATE.+slice.+state.+changed )|(ment ac)|(multiple cpu faults)|(system.+state.+changed )|(\[timeout)|(PRM\|1\|D)|(kpr)|(kdp)|(train st.+moving)|(\|lc)|(penalty))"</v>
      </c>
      <c r="AG131" s="209" t="str">
        <f t="shared" si="44"/>
        <v>EC</v>
      </c>
      <c r="AH131" s="78" t="str">
        <f t="shared" si="29"/>
        <v>"%USERPROFILE%\Documents\GitHub\eaglep3\Utilities\RefineRTDCRunTimes.py" --tripid 219-29 --locoid 4062 --swversion DE.1.0.9.0 --startMP 204:420 --initTime 2017-06-29T18:21:15 --startdatetime 2017-06-29T18:30:30 --delay 1 --endMP 204:233323 --enddatetime 2017-06-29T19:07:10 --enforcementcount 0 &gt;&gt;C:\Users\stu\Documents\GitHub\eaglep3-reporting\EC\2017-06-29-refined-times.txt</v>
      </c>
      <c r="AI13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{"issue":{"subject":"","project_id":79,"tracker_id":40,"status_id":1,"priority_id":2,"assigned_to_id":23,"start_date":"2017-06-29","description":"","custom_fields":[{"id":1,"name":"Subdivision","value":"EC"},{"id":4,"name":"Milepost","value":"23.3323"},{"id":17,"name":"Train ID","value":"219-29"},{"id":16,"name":"Locomotive ID","value":"4062"},{"id":130,"name":"Impact","value":""},{"id":150,"name":"Time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1"/>
        <v>start /low /b %USERPROFILE%\Documents\GitHub\eaglep3\Utilities\DownloadLogsFromS3.py --loco 4062 --day 2017-06-29</v>
      </c>
      <c r="AN131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620</v>
      </c>
      <c r="B132" s="7">
        <v>4061</v>
      </c>
      <c r="C132" s="21" t="s">
        <v>201</v>
      </c>
      <c r="D132" s="21" t="s">
        <v>949</v>
      </c>
      <c r="E132" s="13">
        <v>42915.808171296296</v>
      </c>
      <c r="F132" s="13">
        <v>42915.810844907406</v>
      </c>
      <c r="G132" s="7">
        <v>2</v>
      </c>
      <c r="H132" s="21" t="s">
        <v>347</v>
      </c>
      <c r="I132" s="13">
        <v>42915.838900462964</v>
      </c>
      <c r="J132" s="7">
        <v>0</v>
      </c>
      <c r="K132" s="89" t="str">
        <f t="shared" si="33"/>
        <v>4061/4062</v>
      </c>
      <c r="L132" s="21" t="str">
        <f>VLOOKUP(A132,'Trips&amp;Operators'!$C$1:$G$99999,5,FALSE)</f>
        <v>FORTUNATO FRANK</v>
      </c>
      <c r="M132" s="6">
        <f t="shared" si="34"/>
        <v>2.8055555558239575E-2</v>
      </c>
      <c r="N132" s="7">
        <f t="shared" si="48"/>
        <v>40.400000003864989</v>
      </c>
      <c r="O132" s="7"/>
      <c r="P132" s="7"/>
      <c r="Q132" s="22"/>
      <c r="R132" s="170"/>
      <c r="S132" s="213">
        <f t="shared" si="47"/>
        <v>1</v>
      </c>
      <c r="T132" s="195" t="str">
        <f t="shared" si="3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7"/>
        <v>https://d0f6bd738d7f1b3e5a7ca70fe4ff75f0.us-east-1.aws.found.io/app/kibana#/discover/Steve-Slow-Train-Analysis-(2080s-and-2083s)?_g=(refreshInterval:(display:Off,pause:!f,section:0,value:0),time:(from:'2017-06-29T18:23:46-0600',mode:absolute,to:'2017-06-29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2" s="197" t="str">
        <f>IF(AA132&lt;VLOOKUP(AG132,Variables!$AC$3:$AD$8,2,FALSE),"Y","N")</f>
        <v>N</v>
      </c>
      <c r="X132" s="197">
        <f t="shared" si="46"/>
        <v>1</v>
      </c>
      <c r="Y132" s="197">
        <f t="shared" si="38"/>
        <v>23.301100000000002</v>
      </c>
      <c r="Z132" s="197">
        <f t="shared" si="39"/>
        <v>1.49E-2</v>
      </c>
      <c r="AA132" s="197">
        <f t="shared" si="40"/>
        <v>23.286200000000001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1"/>
        <v>220</v>
      </c>
      <c r="AE132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32" s="74" t="str">
        <f t="shared" si="43"/>
        <v>"C:\Program Files (x86)\AstroGrep\AstroGrep.exe" /e /r /s /spath="%USERPROFILE%\AppData\Local\Temp\OnboardLogs" /stypes="app*4061*20170630*" /stext=" 02:.+((SYSTEM_STATE.+slice.+state.+changed )|(ment ac)|(multiple cpu faults)|(system.+state.+changed )|(\[timeout)|(PRM\|1\|D)|(kpr)|(kdp)|(train st.+moving)|(\|lc)|(penalty))"</v>
      </c>
      <c r="AG132" s="209" t="str">
        <f t="shared" si="44"/>
        <v>EC</v>
      </c>
      <c r="AH132" s="78" t="str">
        <f t="shared" si="29"/>
        <v>"%USERPROFILE%\Documents\GitHub\eaglep3\Utilities\RefineRTDCRunTimes.py" --tripid 220-29 --locoid 4061 --swversion DE.1.0.9.0 --startMP 204:233011 --initTime 2017-06-29T19:23:46 --startdatetime 2017-06-29T19:27:37 --delay 2 --endMP 204:149 --enddatetime 2017-06-29T20:08:01 --enforcementcount 0 &gt;&gt;C:\Users\stu\Documents\GitHub\eaglep3-reporting\EC\2017-06-29-refined-times.txt</v>
      </c>
      <c r="AI13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ID","value":"220-29"},{"id":16,"name":"Locomotive ID","value":"4061"},{"id":130,"name":"Impact","value":""},{"id":150,"name":"Time of Event (Mountain Time)","value":"20:08:01"},{"id":151,"name":"Denver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1"/>
        <v>start /low /b %USERPROFILE%\Documents\GitHub\eaglep3\Utilities\DownloadLogsFromS3.py --loco 4061 --day 2017-06-29</v>
      </c>
      <c r="AN132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617</v>
      </c>
      <c r="B133" s="7">
        <v>4050</v>
      </c>
      <c r="C133" s="21" t="s">
        <v>201</v>
      </c>
      <c r="D133" s="21" t="s">
        <v>974</v>
      </c>
      <c r="E133" s="13">
        <v>42915.810567129629</v>
      </c>
      <c r="F133" s="13">
        <v>42915.811689814815</v>
      </c>
      <c r="G133" s="7">
        <v>1</v>
      </c>
      <c r="H133" s="21" t="s">
        <v>466</v>
      </c>
      <c r="I133" s="13">
        <v>42915.818113425928</v>
      </c>
      <c r="J133" s="7">
        <v>0</v>
      </c>
      <c r="K133" s="89" t="str">
        <f t="shared" si="33"/>
        <v>4049/4050</v>
      </c>
      <c r="L133" s="21" t="str">
        <f>VLOOKUP(A133,'Trips&amp;Operators'!$C$1:$G$99999,5,FALSE)</f>
        <v>BIRENBAUM THOMAS</v>
      </c>
      <c r="M133" s="6">
        <f t="shared" si="34"/>
        <v>6.4236111138598062E-3</v>
      </c>
      <c r="N133" s="7"/>
      <c r="O133" s="7"/>
      <c r="P133" s="7">
        <f>24*60*SUM($M133:$M133)</f>
        <v>9.2500000039581209</v>
      </c>
      <c r="Q133" s="22"/>
      <c r="R133" s="170" t="s">
        <v>1053</v>
      </c>
      <c r="S133" s="213">
        <f>SUM(U133:U134)/IF(AG133="EC",12,1)</f>
        <v>1</v>
      </c>
      <c r="T133" s="195" t="str">
        <f t="shared" si="3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96" t="str">
        <f t="shared" si="37"/>
        <v>https://d0f6bd738d7f1b3e5a7ca70fe4ff75f0.us-east-1.aws.found.io/app/kibana#/discover/Steve-Slow-Train-Analysis-(2080s-and-2083s)?_g=(refreshInterval:(display:Off,pause:!f,section:0,value:0),time:(from:'2017-06-29T18:27:13-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197" t="str">
        <f>IF(AA133&lt;VLOOKUP(AG133,Variables!$AC$3:$AD$8,2,FALSE),"Y","N")</f>
        <v>Y</v>
      </c>
      <c r="X133" s="197">
        <f t="shared" si="46"/>
        <v>1</v>
      </c>
      <c r="Y133" s="197">
        <f t="shared" si="38"/>
        <v>15.442399999999999</v>
      </c>
      <c r="Z133" s="197">
        <f t="shared" si="39"/>
        <v>23.330500000000001</v>
      </c>
      <c r="AA133" s="197">
        <f t="shared" si="40"/>
        <v>7.8881000000000014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1"/>
        <v>221</v>
      </c>
      <c r="AE133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33" s="74" t="str">
        <f t="shared" si="43"/>
        <v>"C:\Program Files (x86)\AstroGrep\AstroGrep.exe" /e /r /s /spath="%USERPROFILE%\AppData\Local\Temp\OnboardLogs" /stypes="app*4050*20170630*" /stext=" 01:.+((SYSTEM_STATE.+slice.+state.+changed )|(ment ac)|(multiple cpu faults)|(system.+state.+changed )|(\[timeout)|(PRM\|1\|D)|(kpr)|(kdp)|(train st.+moving)|(\|lc)|(penalty))"</v>
      </c>
      <c r="AG133" s="209" t="str">
        <f t="shared" si="44"/>
        <v>EC</v>
      </c>
      <c r="AH133" s="78" t="str">
        <f t="shared" si="29"/>
        <v>"%USERPROFILE%\Documents\GitHub\eaglep3\Utilities\RefineRTDCRunTimes.py" --tripid 221-29 --locoid 4050 --swversion DE.1.0.9.0 --startMP 204:154424 --initTime 2017-06-29T19:27:13 --startdatetime 2017-06-29T19:28:50 --delay 1 --endMP 204:233305 --enddatetime 2017-06-29T19:38:05 --enforcementcount 0 &gt;&gt;C:\Users\stu\Documents\GitHub\eaglep3-reporting\EC\2017-06-29-refined-times.txt</v>
      </c>
      <c r="AI133" s="96" t="str">
        <f t="shared" si="30"/>
        <v>echo {"issue":{"subject":"Wi-MAX data drop","project_id":79,"tracker_id":40,"status_id":1,"priority_id":2,"assigned_to_id":23,"start_date":"2017-06-29","description":"","custom_fields":[{"id":1,"name":"Subdivision","value":"EC"},{"id":4,"name":"Milepost","value":"23.3305"},{"id":17,"name":"Train ID","value":"221-29"},{"id":16,"name":"Locomotive ID","value":"4050"},{"id":130,"name":"Impact","value":""},{"id":150,"name":"Time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1"/>
        <v>start /low /b %USERPROFILE%\Documents\GitHub\eaglep3\Utilities\DownloadLogsFromS3.py --loco 4050 --day 2017-06-29</v>
      </c>
      <c r="AN133" s="151" t="str">
        <f t="shared" si="32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617</v>
      </c>
      <c r="B134" s="7">
        <v>4050</v>
      </c>
      <c r="C134" s="21" t="s">
        <v>201</v>
      </c>
      <c r="D134" s="21" t="s">
        <v>975</v>
      </c>
      <c r="E134" s="13">
        <v>42915.787488425929</v>
      </c>
      <c r="F134" s="13">
        <v>42915.811689814815</v>
      </c>
      <c r="G134" s="7">
        <v>1</v>
      </c>
      <c r="H134" s="21" t="s">
        <v>976</v>
      </c>
      <c r="I134" s="13">
        <v>42915.818113425928</v>
      </c>
      <c r="J134" s="7">
        <v>0</v>
      </c>
      <c r="K134" s="89" t="str">
        <f t="shared" si="33"/>
        <v>4049/4050</v>
      </c>
      <c r="L134" s="21" t="str">
        <f>VLOOKUP(A134,'Trips&amp;Operators'!$C$1:$G$99999,5,FALSE)</f>
        <v>BIRENBAUM THOMAS</v>
      </c>
      <c r="M134" s="6">
        <f t="shared" si="34"/>
        <v>6.4236111138598062E-3</v>
      </c>
      <c r="N134" s="7"/>
      <c r="O134" s="7"/>
      <c r="P134" s="7"/>
      <c r="Q134" s="22"/>
      <c r="R134" s="170"/>
      <c r="S134" s="213"/>
      <c r="T134" s="195" t="str">
        <f t="shared" si="3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7"/>
        <v>https://d0f6bd738d7f1b3e5a7ca70fe4ff75f0.us-east-1.aws.found.io/app/kibana#/discover/Steve-Slow-Train-Analysis-(2080s-and-2083s)?_g=(refreshInterval:(display:Off,pause:!f,section:0,value:0),time:(from:'2017-06-29T17:53:59-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197" t="str">
        <f>IF(AA134&lt;VLOOKUP(AG134,Variables!$AC$3:$AD$8,2,FALSE),"Y","N")</f>
        <v>Y</v>
      </c>
      <c r="X134" s="197">
        <f t="shared" si="46"/>
        <v>0</v>
      </c>
      <c r="Y134" s="197">
        <f t="shared" si="38"/>
        <v>4.1599999999999998E-2</v>
      </c>
      <c r="Z134" s="197">
        <f t="shared" si="39"/>
        <v>12.7837</v>
      </c>
      <c r="AA134" s="197">
        <f t="shared" si="40"/>
        <v>12.742099999999999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1"/>
        <v>221</v>
      </c>
      <c r="AE134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34" s="74" t="str">
        <f t="shared" si="43"/>
        <v>"C:\Program Files (x86)\AstroGrep\AstroGrep.exe" /e /r /s /spath="%USERPROFILE%\AppData\Local\Temp\OnboardLogs" /stypes="app*4050*20170630*" /stext=" 01:.+((SYSTEM_STATE.+slice.+state.+changed )|(ment ac)|(multiple cpu faults)|(system.+state.+changed )|(\[timeout)|(PRM\|1\|D)|(kpr)|(kdp)|(train st.+moving)|(\|lc)|(penalty))"</v>
      </c>
      <c r="AG134" s="209" t="str">
        <f t="shared" si="44"/>
        <v>EC</v>
      </c>
      <c r="AH134" s="78" t="str">
        <f t="shared" si="29"/>
        <v>"%USERPROFILE%\Documents\GitHub\eaglep3\Utilities\RefineRTDCRunTimes.py" --tripid 221-29 --locoid 4050 --swversion DE.1.0.9.0 --startMP 204:416 --initTime 2017-06-29T18:53:59 --startdatetime 2017-06-29T19:28:50 --delay 1 --endMP 204:127837 --enddatetime 2017-06-29T19:38:05 --enforcementcount 0 &gt;&gt;C:\Users\stu\Documents\GitHub\eaglep3-reporting\EC\2017-06-29-refined-times.txt</v>
      </c>
      <c r="AI13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{"issue":{"subject":"","project_id":79,"tracker_id":40,"status_id":1,"priority_id":2,"assigned_to_id":23,"start_date":"2017-06-29","description":"","custom_fields":[{"id":1,"name":"Subdivision","value":"EC"},{"id":4,"name":"Milepost","value":"12.7837"},{"id":17,"name":"Train ID","value":"221-29"},{"id":16,"name":"Locomotive ID","value":"4050"},{"id":130,"name":"Impact","value":""},{"id":150,"name":"Time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1"/>
        <v>start /low /b %USERPROFILE%\Documents\GitHub\eaglep3\Utilities\DownloadLogsFromS3.py --loco 4050 --day 2017-06-29</v>
      </c>
      <c r="AN134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4049</v>
      </c>
      <c r="C135" s="21" t="s">
        <v>201</v>
      </c>
      <c r="D135" s="21" t="s">
        <v>475</v>
      </c>
      <c r="E135" s="13">
        <v>42915.825196759259</v>
      </c>
      <c r="F135" s="13">
        <v>42915.831400462965</v>
      </c>
      <c r="G135" s="7">
        <v>1</v>
      </c>
      <c r="H135" s="21" t="s">
        <v>348</v>
      </c>
      <c r="I135" s="13">
        <v>42915.857442129629</v>
      </c>
      <c r="J135" s="7">
        <v>0</v>
      </c>
      <c r="K135" s="89" t="str">
        <f t="shared" si="33"/>
        <v>4049/4050</v>
      </c>
      <c r="L135" s="21" t="str">
        <f>VLOOKUP(A135,'Trips&amp;Operators'!$C$1:$G$99999,5,FALSE)</f>
        <v>BIRENBAUM THOMAS</v>
      </c>
      <c r="M135" s="6">
        <f t="shared" si="34"/>
        <v>2.6041666664241347E-2</v>
      </c>
      <c r="N135" s="7">
        <f t="shared" ref="N135:N149" si="49">24*60*SUM($M135:$M135)</f>
        <v>37.49999999650754</v>
      </c>
      <c r="O135" s="7"/>
      <c r="P135" s="7"/>
      <c r="Q135" s="22"/>
      <c r="R135" s="170"/>
      <c r="S135" s="213">
        <f t="shared" ref="S135:S149" si="50">SUM(U135:U135)/IF(AG135="EC",12,1)</f>
        <v>1</v>
      </c>
      <c r="T135" s="195" t="str">
        <f t="shared" si="3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7"/>
        <v>https://d0f6bd738d7f1b3e5a7ca70fe4ff75f0.us-east-1.aws.found.io/app/kibana#/discover/Steve-Slow-Train-Analysis-(2080s-and-2083s)?_g=(refreshInterval:(display:Off,pause:!f,section:0,value:0),time:(from:'2017-06-29T18:48:17-0600',mode:absolute,to:'2017-06-29T21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197" t="str">
        <f>IF(AA135&lt;VLOOKUP(AG135,Variables!$AC$3:$AD$8,2,FALSE),"Y","N")</f>
        <v>N</v>
      </c>
      <c r="X135" s="197">
        <f t="shared" si="46"/>
        <v>1</v>
      </c>
      <c r="Y135" s="197">
        <f t="shared" si="38"/>
        <v>23.298400000000001</v>
      </c>
      <c r="Z135" s="197">
        <f t="shared" si="39"/>
        <v>1.43E-2</v>
      </c>
      <c r="AA135" s="197">
        <f t="shared" si="40"/>
        <v>23.284100000000002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1"/>
        <v>222</v>
      </c>
      <c r="AE135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35" s="74" t="str">
        <f t="shared" si="43"/>
        <v>"C:\Program Files (x86)\AstroGrep\AstroGrep.exe" /e /r /s /spath="%USERPROFILE%\AppData\Local\Temp\OnboardLogs" /stypes="app*4049*20170630*" /stext=" 02:.+((SYSTEM_STATE.+slice.+state.+changed )|(ment ac)|(multiple cpu faults)|(system.+state.+changed )|(\[timeout)|(PRM\|1\|D)|(kpr)|(kdp)|(train st.+moving)|(\|lc)|(penalty))"</v>
      </c>
      <c r="AG135" s="209" t="str">
        <f t="shared" si="44"/>
        <v>EC</v>
      </c>
      <c r="AH135" s="78" t="str">
        <f t="shared" si="29"/>
        <v>"%USERPROFILE%\Documents\GitHub\eaglep3\Utilities\RefineRTDCRunTimes.py" --tripid 222-29 --locoid 4049 --swversion DE.1.0.9.0 --startMP 204:232984 --initTime 2017-06-29T19:48:17 --startdatetime 2017-06-29T19:57:13 --delay 1 --endMP 204:143 --enddatetime 2017-06-29T20:34:43 --enforcementcount 0 &gt;&gt;C:\Users\stu\Documents\GitHub\eaglep3-reporting\EC\2017-06-29-refined-times.txt</v>
      </c>
      <c r="AI13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ID","value":"222-29"},{"id":16,"name":"Locomotive ID","value":"4049"},{"id":130,"name":"Impact","value":""},{"id":150,"name":"Time of Event (Mountain Time)","value":"20:34:43"},{"id":151,"name":"Denver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1"/>
        <v>start /low /b %USERPROFILE%\Documents\GitHub\eaglep3\Utilities\DownloadLogsFromS3.py --loco 4049 --day 2017-06-29</v>
      </c>
      <c r="AN135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782</v>
      </c>
      <c r="B136" s="7">
        <v>4010</v>
      </c>
      <c r="C136" s="21" t="s">
        <v>201</v>
      </c>
      <c r="D136" s="21" t="s">
        <v>977</v>
      </c>
      <c r="E136" s="13">
        <v>42915.807743055557</v>
      </c>
      <c r="F136" s="13">
        <v>42915.812847222223</v>
      </c>
      <c r="G136" s="7">
        <v>1</v>
      </c>
      <c r="H136" s="21" t="s">
        <v>515</v>
      </c>
      <c r="I136" s="13">
        <v>42915.838182870371</v>
      </c>
      <c r="J136" s="7">
        <v>0</v>
      </c>
      <c r="K136" s="89" t="str">
        <f t="shared" si="33"/>
        <v>4009/4010</v>
      </c>
      <c r="L136" s="21" t="str">
        <f>VLOOKUP(A136,'Trips&amp;Operators'!$C$1:$G$99999,5,FALSE)</f>
        <v>SMITH MICHAEL</v>
      </c>
      <c r="M136" s="6">
        <f t="shared" si="34"/>
        <v>2.5335648148029577E-2</v>
      </c>
      <c r="N136" s="7">
        <f t="shared" si="49"/>
        <v>36.483333333162591</v>
      </c>
      <c r="O136" s="7"/>
      <c r="P136" s="7"/>
      <c r="Q136" s="22"/>
      <c r="R136" s="170"/>
      <c r="S136" s="213">
        <f t="shared" si="50"/>
        <v>1</v>
      </c>
      <c r="T136" s="195" t="str">
        <f t="shared" si="3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7"/>
        <v>https://d0f6bd738d7f1b3e5a7ca70fe4ff75f0.us-east-1.aws.found.io/app/kibana#/discover/Steve-Slow-Train-Analysis-(2080s-and-2083s)?_g=(refreshInterval:(display:Off,pause:!f,section:0,value:0),time:(from:'2017-06-29T18:23:09-0600',mode:absolute,to:'2017-06-29T21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97" t="str">
        <f>IF(AA136&lt;VLOOKUP(AG136,Variables!$AC$3:$AD$8,2,FALSE),"Y","N")</f>
        <v>N</v>
      </c>
      <c r="X136" s="197">
        <f t="shared" si="46"/>
        <v>1</v>
      </c>
      <c r="Y136" s="197">
        <f t="shared" si="38"/>
        <v>4.3099999999999999E-2</v>
      </c>
      <c r="Z136" s="197">
        <f t="shared" si="39"/>
        <v>23.329699999999999</v>
      </c>
      <c r="AA136" s="197">
        <f t="shared" si="40"/>
        <v>23.2866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1"/>
        <v>223</v>
      </c>
      <c r="AE136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36" s="74" t="str">
        <f t="shared" si="43"/>
        <v>"C:\Program Files (x86)\AstroGrep\AstroGrep.exe" /e /r /s /spath="%USERPROFILE%\AppData\Local\Temp\OnboardLogs" /stypes="app*4010*20170630*" /stext=" 02:.+((SYSTEM_STATE.+slice.+state.+changed )|(ment ac)|(multiple cpu faults)|(system.+state.+changed )|(\[timeout)|(PRM\|1\|D)|(kpr)|(kdp)|(train st.+moving)|(\|lc)|(penalty))"</v>
      </c>
      <c r="AG136" s="209" t="str">
        <f t="shared" si="44"/>
        <v>EC</v>
      </c>
      <c r="AH136" s="78" t="str">
        <f t="shared" si="29"/>
        <v>"%USERPROFILE%\Documents\GitHub\eaglep3\Utilities\RefineRTDCRunTimes.py" --tripid 223-29 --locoid 4010 --swversion DE.1.0.9.0 --startMP 204:431 --initTime 2017-06-29T19:23:09 --startdatetime 2017-06-29T19:30:30 --delay 1 --endMP 204:233297 --enddatetime 2017-06-29T20:06:59 --enforcementcount 0 &gt;&gt;C:\Users\stu\Documents\GitHub\eaglep3-reporting\EC\2017-06-29-refined-times.txt</v>
      </c>
      <c r="AI13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ID","value":"223-29"},{"id":16,"name":"Locomotive ID","value":"4010"},{"id":130,"name":"Impact","value":""},{"id":150,"name":"Time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1"/>
        <v>start /low /b %USERPROFILE%\Documents\GitHub\eaglep3\Utilities\DownloadLogsFromS3.py --loco 4010 --day 2017-06-29</v>
      </c>
      <c r="AN13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622</v>
      </c>
      <c r="B137" s="7">
        <v>4009</v>
      </c>
      <c r="C137" s="21" t="s">
        <v>201</v>
      </c>
      <c r="D137" s="21" t="s">
        <v>497</v>
      </c>
      <c r="E137" s="13">
        <v>42915.843495370369</v>
      </c>
      <c r="F137" s="13">
        <v>42915.852418981478</v>
      </c>
      <c r="G137" s="7">
        <v>1</v>
      </c>
      <c r="H137" s="21" t="s">
        <v>356</v>
      </c>
      <c r="I137" s="13">
        <v>42915.880659722221</v>
      </c>
      <c r="J137" s="7">
        <v>0</v>
      </c>
      <c r="K137" s="89" t="str">
        <f t="shared" si="33"/>
        <v>4009/4010</v>
      </c>
      <c r="L137" s="21" t="str">
        <f>VLOOKUP(A137,'Trips&amp;Operators'!$C$1:$G$99999,5,FALSE)</f>
        <v>SMITH MICHAEL</v>
      </c>
      <c r="M137" s="6">
        <f t="shared" si="34"/>
        <v>2.8240740743058268E-2</v>
      </c>
      <c r="N137" s="7">
        <f t="shared" si="49"/>
        <v>40.666666670003906</v>
      </c>
      <c r="O137" s="7"/>
      <c r="P137" s="7"/>
      <c r="Q137" s="22"/>
      <c r="R137" s="170"/>
      <c r="S137" s="213">
        <f t="shared" si="50"/>
        <v>1</v>
      </c>
      <c r="T137" s="195" t="str">
        <f t="shared" si="3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7"/>
        <v>https://d0f6bd738d7f1b3e5a7ca70fe4ff75f0.us-east-1.aws.found.io/app/kibana#/discover/Steve-Slow-Train-Analysis-(2080s-and-2083s)?_g=(refreshInterval:(display:Off,pause:!f,section:0,value:0),time:(from:'2017-06-29T19:14:38-0600',mode:absolute,to:'2017-06-29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197" t="str">
        <f>IF(AA137&lt;VLOOKUP(AG137,Variables!$AC$3:$AD$8,2,FALSE),"Y","N")</f>
        <v>N</v>
      </c>
      <c r="X137" s="197">
        <f t="shared" si="46"/>
        <v>1</v>
      </c>
      <c r="Y137" s="197">
        <f t="shared" si="38"/>
        <v>23.297999999999998</v>
      </c>
      <c r="Z137" s="197">
        <f t="shared" si="39"/>
        <v>1.41E-2</v>
      </c>
      <c r="AA137" s="197">
        <f t="shared" si="40"/>
        <v>23.283899999999999</v>
      </c>
      <c r="AB137" s="54" t="str">
        <f>VLOOKUP(A137,Enforcements!$C$7:$K$13,8,0)</f>
        <v>Bulletin (2)</v>
      </c>
      <c r="AC137" s="51" t="str">
        <f>VLOOKUP(A137,Enforcements!$C$7:$E$13,3,0)</f>
        <v>GRADE CROSSING</v>
      </c>
      <c r="AD137" s="206">
        <f t="shared" si="41"/>
        <v>224</v>
      </c>
      <c r="AE137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37" s="74" t="str">
        <f t="shared" si="43"/>
        <v>"C:\Program Files (x86)\AstroGrep\AstroGrep.exe" /e /r /s /spath="%USERPROFILE%\AppData\Local\Temp\OnboardLogs" /stypes="app*4009*20170630*" /stext=" 03:.+((SYSTEM_STATE.+slice.+state.+changed )|(ment ac)|(multiple cpu faults)|(system.+state.+changed )|(\[timeout)|(PRM\|1\|D)|(kpr)|(kdp)|(train st.+moving)|(\|lc)|(penalty))"</v>
      </c>
      <c r="AG137" s="209" t="str">
        <f t="shared" si="44"/>
        <v>EC</v>
      </c>
      <c r="AH137" s="78" t="str">
        <f t="shared" si="29"/>
        <v>"%USERPROFILE%\Documents\GitHub\eaglep3\Utilities\RefineRTDCRunTimes.py" --tripid 224-29 --locoid 4009 --swversion DE.1.0.9.0 --startMP 204:232980 --initTime 2017-06-29T20:14:38 --startdatetime 2017-06-29T20:27:29 --delay 1 --endMP 204:141 --enddatetime 2017-06-29T21:08:09 --enforcementcount 0 &gt;&gt;C:\Users\stu\Documents\GitHub\eaglep3-reporting\EC\2017-06-29-refined-times.txt</v>
      </c>
      <c r="AI13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{"issue":{"subject":"","project_id":79,"tracker_id":40,"status_id":1,"priority_id":2,"assigned_to_id":23,"start_date":"2017-06-29","description":"","custom_fields":[{"id":1,"name":"Subdivision","value":"EC"},{"id":4,"name":"Milepost","value":"0.0141"},{"id":17,"name":"Train ID","value":"224-29"},{"id":16,"name":"Locomotive ID","value":"4009"},{"id":130,"name":"Impact","value":""},{"id":150,"name":"Time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1"/>
        <v>start /low /b %USERPROFILE%\Documents\GitHub\eaglep3\Utilities\DownloadLogsFromS3.py --loco 4009 --day 2017-06-29</v>
      </c>
      <c r="AN137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621</v>
      </c>
      <c r="B138" s="7">
        <v>4060</v>
      </c>
      <c r="C138" s="21" t="s">
        <v>201</v>
      </c>
      <c r="D138" s="21" t="s">
        <v>353</v>
      </c>
      <c r="E138" s="13">
        <v>42915.828229166669</v>
      </c>
      <c r="F138" s="13">
        <v>42915.833506944444</v>
      </c>
      <c r="G138" s="7">
        <v>0</v>
      </c>
      <c r="H138" s="21" t="s">
        <v>554</v>
      </c>
      <c r="I138" s="13">
        <v>42915.860891203702</v>
      </c>
      <c r="J138" s="7">
        <v>0</v>
      </c>
      <c r="K138" s="89" t="str">
        <f t="shared" si="33"/>
        <v>4059/4060</v>
      </c>
      <c r="L138" s="21" t="str">
        <f>VLOOKUP(A138,'Trips&amp;Operators'!$C$1:$G$99999,5,FALSE)</f>
        <v>PERKINS DARREN</v>
      </c>
      <c r="M138" s="6">
        <f t="shared" si="34"/>
        <v>2.7384259257814847E-2</v>
      </c>
      <c r="N138" s="7">
        <f t="shared" si="49"/>
        <v>39.43333333125338</v>
      </c>
      <c r="O138" s="7"/>
      <c r="P138" s="7"/>
      <c r="Q138" s="22"/>
      <c r="R138" s="170"/>
      <c r="S138" s="213">
        <f t="shared" si="50"/>
        <v>1</v>
      </c>
      <c r="T138" s="195" t="str">
        <f t="shared" si="3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7"/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8" s="197" t="str">
        <f>IF(AA138&lt;VLOOKUP(AG138,Variables!$AC$3:$AD$8,2,FALSE),"Y","N")</f>
        <v>N</v>
      </c>
      <c r="X138" s="197">
        <f t="shared" ref="X138:X169" si="51">VALUE(LEFT(AD138,4))-VALUE(LEFT(AD137,4))</f>
        <v>1</v>
      </c>
      <c r="Y138" s="197">
        <f t="shared" si="38"/>
        <v>4.4699999999999997E-2</v>
      </c>
      <c r="Z138" s="197">
        <f t="shared" si="39"/>
        <v>23.3276</v>
      </c>
      <c r="AA138" s="197">
        <f t="shared" si="40"/>
        <v>23.282900000000001</v>
      </c>
      <c r="AB138" s="54" t="str">
        <f>VLOOKUP(A138,Enforcements!$C$7:$K$13,8,0)</f>
        <v>Bulletin (2)</v>
      </c>
      <c r="AC138" s="51" t="str">
        <f>VLOOKUP(A138,Enforcements!$C$7:$E$13,3,0)</f>
        <v>GRADE CROSSING</v>
      </c>
      <c r="AD138" s="206">
        <f t="shared" si="41"/>
        <v>225</v>
      </c>
      <c r="AE138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38" s="74" t="str">
        <f t="shared" si="43"/>
        <v>"C:\Program Files (x86)\AstroGrep\AstroGrep.exe" /e /r /s /spath="%USERPROFILE%\AppData\Local\Temp\OnboardLogs" /stypes="app*4060*20170630*" /stext=" 02:.+((SYSTEM_STATE.+slice.+state.+changed )|(ment ac)|(multiple cpu faults)|(system.+state.+changed )|(\[timeout)|(PRM\|1\|D)|(kpr)|(kdp)|(train st.+moving)|(\|lc)|(penalty))"</v>
      </c>
      <c r="AG138" s="209" t="str">
        <f t="shared" si="44"/>
        <v>EC</v>
      </c>
      <c r="AH138" s="78" t="str">
        <f t="shared" si="29"/>
        <v>"%USERPROFILE%\Documents\GitHub\eaglep3\Utilities\RefineRTDCRunTimes.py" --tripid 225-29 --locoid 4060 --swversion DE.1.0.9.0 --startMP 204:447 --initTime 2017-06-29T19:52:39 --startdatetime 2017-06-29T20:00:15 --delay 0 --endMP 204:233276 --enddatetime 2017-06-29T20:39:41 --enforcementcount 0 &gt;&gt;C:\Users\stu\Documents\GitHub\eaglep3-reporting\EC\2017-06-29-refined-times.txt</v>
      </c>
      <c r="AI13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ID","value":"225-29"},{"id":16,"name":"Locomotive ID","value":"4060"},{"id":130,"name":"Impact","value":""},{"id":150,"name":"Time of Event (Mountain Time)","value":"20:39:41"},{"id":151,"name":"Denver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1"/>
        <v>start /low /b %USERPROFILE%\Documents\GitHub\eaglep3\Utilities\DownloadLogsFromS3.py --loco 4060 --day 2017-06-29</v>
      </c>
      <c r="AN13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789</v>
      </c>
      <c r="B139" s="7">
        <v>4059</v>
      </c>
      <c r="C139" s="21" t="s">
        <v>201</v>
      </c>
      <c r="D139" s="21" t="s">
        <v>498</v>
      </c>
      <c r="E139" s="13">
        <v>42915.866620370369</v>
      </c>
      <c r="F139" s="13">
        <v>42915.873113425929</v>
      </c>
      <c r="G139" s="7">
        <v>0</v>
      </c>
      <c r="H139" s="21" t="s">
        <v>445</v>
      </c>
      <c r="I139" s="13">
        <v>42915.900138888886</v>
      </c>
      <c r="J139" s="7">
        <v>0</v>
      </c>
      <c r="K139" s="89" t="str">
        <f t="shared" si="33"/>
        <v>4059/4060</v>
      </c>
      <c r="L139" s="21" t="str">
        <f>VLOOKUP(A139,'Trips&amp;Operators'!$C$1:$G$99999,5,FALSE)</f>
        <v>PERKINS DARREN</v>
      </c>
      <c r="M139" s="6">
        <f t="shared" si="34"/>
        <v>2.7025462957681157E-2</v>
      </c>
      <c r="N139" s="7">
        <f t="shared" si="49"/>
        <v>38.916666659060866</v>
      </c>
      <c r="O139" s="7"/>
      <c r="P139" s="7"/>
      <c r="Q139" s="22"/>
      <c r="R139" s="170"/>
      <c r="S139" s="213">
        <f t="shared" si="50"/>
        <v>1</v>
      </c>
      <c r="T139" s="195" t="str">
        <f t="shared" si="3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7"/>
        <v>https://d0f6bd738d7f1b3e5a7ca70fe4ff75f0.us-east-1.aws.found.io/app/kibana#/discover/Steve-Slow-Train-Analysis-(2080s-and-2083s)?_g=(refreshInterval:(display:Off,pause:!f,section:0,value:0),time:(from:'2017-06-29T19:47:56-0600',mode:absolute,to:'2017-06-29T22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9" s="197" t="str">
        <f>IF(AA139&lt;VLOOKUP(AG139,Variables!$AC$3:$AD$8,2,FALSE),"Y","N")</f>
        <v>N</v>
      </c>
      <c r="X139" s="197">
        <f t="shared" si="51"/>
        <v>1</v>
      </c>
      <c r="Y139" s="197">
        <f t="shared" si="38"/>
        <v>23.298200000000001</v>
      </c>
      <c r="Z139" s="197">
        <f t="shared" si="39"/>
        <v>1.38E-2</v>
      </c>
      <c r="AA139" s="197">
        <f t="shared" si="40"/>
        <v>23.284400000000002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1"/>
        <v>226</v>
      </c>
      <c r="AE139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39" s="74" t="str">
        <f t="shared" si="43"/>
        <v>"C:\Program Files (x86)\AstroGrep\AstroGrep.exe" /e /r /s /spath="%USERPROFILE%\AppData\Local\Temp\OnboardLogs" /stypes="app*4059*20170630*" /stext=" 03:.+((SYSTEM_STATE.+slice.+state.+changed )|(ment ac)|(multiple cpu faults)|(system.+state.+changed )|(\[timeout)|(PRM\|1\|D)|(kpr)|(kdp)|(train st.+moving)|(\|lc)|(penalty))"</v>
      </c>
      <c r="AG139" s="209" t="str">
        <f t="shared" si="44"/>
        <v>EC</v>
      </c>
      <c r="AH139" s="78" t="str">
        <f t="shared" si="29"/>
        <v>"%USERPROFILE%\Documents\GitHub\eaglep3\Utilities\RefineRTDCRunTimes.py" --tripid 226-29 --locoid 4059 --swversion DE.1.0.9.0 --startMP 204:232982 --initTime 2017-06-29T20:47:56 --startdatetime 2017-06-29T20:57:17 --delay 0 --endMP 204:138 --enddatetime 2017-06-29T21:36:12 --enforcementcount 0 &gt;&gt;C:\Users\stu\Documents\GitHub\eaglep3-reporting\EC\2017-06-29-refined-times.txt</v>
      </c>
      <c r="AI13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ID","value":"226-29"},{"id":16,"name":"Locomotive ID","value":"4059"},{"id":130,"name":"Impact","value":""},{"id":150,"name":"Time of Event (Mountain Time)","value":"21:36:12"},{"id":151,"name":"Denver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1"/>
        <v>start /low /b %USERPROFILE%\Documents\GitHub\eaglep3\Utilities\DownloadLogsFromS3.py --loco 4059 --day 2017-06-29</v>
      </c>
      <c r="AN139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787</v>
      </c>
      <c r="B140" s="7">
        <v>4062</v>
      </c>
      <c r="C140" s="21" t="s">
        <v>201</v>
      </c>
      <c r="D140" s="21" t="s">
        <v>433</v>
      </c>
      <c r="E140" s="13">
        <v>42915.847222222219</v>
      </c>
      <c r="F140" s="13">
        <v>42915.854328703703</v>
      </c>
      <c r="G140" s="7">
        <v>1</v>
      </c>
      <c r="H140" s="21" t="s">
        <v>978</v>
      </c>
      <c r="I140" s="13">
        <v>42915.880740740744</v>
      </c>
      <c r="J140" s="7">
        <v>0</v>
      </c>
      <c r="K140" s="89" t="str">
        <f t="shared" si="33"/>
        <v>4061/4062</v>
      </c>
      <c r="L140" s="21" t="str">
        <f>VLOOKUP(A140,'Trips&amp;Operators'!$C$1:$G$99999,5,FALSE)</f>
        <v>FORTUNATO FRANK</v>
      </c>
      <c r="M140" s="6">
        <f t="shared" si="34"/>
        <v>2.641203704115469E-2</v>
      </c>
      <c r="N140" s="7">
        <f t="shared" si="49"/>
        <v>38.033333339262754</v>
      </c>
      <c r="O140" s="7"/>
      <c r="P140" s="7"/>
      <c r="Q140" s="22"/>
      <c r="R140" s="170"/>
      <c r="S140" s="213">
        <f t="shared" si="50"/>
        <v>1</v>
      </c>
      <c r="T140" s="195" t="str">
        <f t="shared" si="3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7"/>
        <v>https://d0f6bd738d7f1b3e5a7ca70fe4ff75f0.us-east-1.aws.found.io/app/kibana#/discover/Steve-Slow-Train-Analysis-(2080s-and-2083s)?_g=(refreshInterval:(display:Off,pause:!f,section:0,value:0),time:(from:'2017-06-29T19:20:00-0600',mode:absolute,to:'2017-06-29T22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0" s="197" t="str">
        <f>IF(AA140&lt;VLOOKUP(AG140,Variables!$AC$3:$AD$8,2,FALSE),"Y","N")</f>
        <v>N</v>
      </c>
      <c r="X140" s="197">
        <f t="shared" si="51"/>
        <v>1</v>
      </c>
      <c r="Y140" s="197">
        <f t="shared" si="38"/>
        <v>4.6699999999999998E-2</v>
      </c>
      <c r="Z140" s="197">
        <f t="shared" si="39"/>
        <v>23.331099999999999</v>
      </c>
      <c r="AA140" s="197">
        <f t="shared" si="40"/>
        <v>23.284399999999998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1"/>
        <v>227</v>
      </c>
      <c r="AE140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40" s="74" t="str">
        <f t="shared" si="43"/>
        <v>"C:\Program Files (x86)\AstroGrep\AstroGrep.exe" /e /r /s /spath="%USERPROFILE%\AppData\Local\Temp\OnboardLogs" /stypes="app*4062*20170630*" /stext=" 03:.+((SYSTEM_STATE.+slice.+state.+changed )|(ment ac)|(multiple cpu faults)|(system.+state.+changed )|(\[timeout)|(PRM\|1\|D)|(kpr)|(kdp)|(train st.+moving)|(\|lc)|(penalty))"</v>
      </c>
      <c r="AG140" s="209" t="str">
        <f t="shared" si="44"/>
        <v>EC</v>
      </c>
      <c r="AH140" s="78" t="str">
        <f t="shared" ref="AH140:AH203" si="5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227-29 --locoid 4062 --swversion DE.1.0.9.0 --startMP 204:467 --initTime 2017-06-29T20:20:00 --startdatetime 2017-06-29T20:30:14 --delay 1 --endMP 204:233311 --enddatetime 2017-06-29T21:08:16 --enforcementcount 0 &gt;&gt;C:\Users\stu\Documents\GitHub\eaglep3-reporting\EC\2017-06-29-refined-times.txt</v>
      </c>
      <c r="AI140" s="96" t="str">
        <f t="shared" ref="AI140:AI203" si="5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{"issue":{"subject":"","project_id":79,"tracker_id":40,"status_id":1,"priority_id":2,"assigned_to_id":23,"start_date":"2017-06-29","description":"","custom_fields":[{"id":1,"name":"Subdivision","value":"EC"},{"id":4,"name":"Milepost","value":"23.3311"},{"id":17,"name":"Train ID","value":"227-29"},{"id":16,"name":"Locomotive ID","value":"4062"},{"id":130,"name":"Impact","value":""},{"id":150,"name":"Time of Event (Mountain Time)","value":"21:08:16"},{"id":151,"name":"Denver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54">"start /low /b "&amp;dls3logs&amp;" --loco "&amp;B140&amp;" --day "&amp;TEXT(F140,"YYYY-MM-DD")</f>
        <v>start /low /b %USERPROFILE%\Documents\GitHub\eaglep3\Utilities\DownloadLogsFromS3.py --loco 4062 --day 2017-06-29</v>
      </c>
      <c r="AN140" s="151" t="str">
        <f t="shared" ref="AN140:AN203" si="5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4061</v>
      </c>
      <c r="C141" s="21" t="s">
        <v>201</v>
      </c>
      <c r="D141" s="21" t="s">
        <v>916</v>
      </c>
      <c r="E141" s="13">
        <v>42915.888043981482</v>
      </c>
      <c r="F141" s="13">
        <v>42915.893935185188</v>
      </c>
      <c r="G141" s="7">
        <v>1</v>
      </c>
      <c r="H141" s="21" t="s">
        <v>348</v>
      </c>
      <c r="I141" s="13">
        <v>42915.924502314818</v>
      </c>
      <c r="J141" s="7">
        <v>0</v>
      </c>
      <c r="K141" s="89" t="str">
        <f t="shared" ref="K141:K204" si="56">IF(ISEVEN(B141),(B141-1)&amp;"/"&amp;B141,B141&amp;"/"&amp;(B141+1))</f>
        <v>4061/4062</v>
      </c>
      <c r="L141" s="21" t="str">
        <f>VLOOKUP(A141,'Trips&amp;Operators'!$C$1:$G$99999,5,FALSE)</f>
        <v>FORTUNATO FRANK</v>
      </c>
      <c r="M141" s="6">
        <f t="shared" ref="M141:M204" si="57">I141-F141</f>
        <v>3.0567129630071577E-2</v>
      </c>
      <c r="N141" s="7">
        <f t="shared" si="49"/>
        <v>44.01666666730307</v>
      </c>
      <c r="O141" s="7"/>
      <c r="P141" s="7"/>
      <c r="Q141" s="22"/>
      <c r="R141" s="170"/>
      <c r="S141" s="213">
        <f t="shared" si="50"/>
        <v>1</v>
      </c>
      <c r="T141" s="195" t="str">
        <f t="shared" ref="T141:T204" si="5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-29T20:18:47-0600',mode:absolute,to:'2017-06-29T23:11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1" s="197" t="str">
        <f>IF(AA141&lt;VLOOKUP(AG141,Variables!$AC$3:$AD$8,2,FALSE),"Y","N")</f>
        <v>N</v>
      </c>
      <c r="X141" s="197">
        <f t="shared" si="51"/>
        <v>1</v>
      </c>
      <c r="Y141" s="197">
        <f t="shared" ref="Y141:Y204" si="60">RIGHT(D141,LEN(D141)-4)/10000</f>
        <v>23.2986</v>
      </c>
      <c r="Z141" s="197">
        <f t="shared" ref="Z141:Z204" si="61">RIGHT(H141,LEN(H141)-4)/10000</f>
        <v>1.43E-2</v>
      </c>
      <c r="AA141" s="197">
        <f t="shared" ref="AA141:AA204" si="62">ABS(Z141-Y141)</f>
        <v>23.284300000000002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3">VALUE(LEFT(A141,LEN(A141)-3))</f>
        <v>228</v>
      </c>
      <c r="AE141" s="77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41" s="74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/stypes="app*4061*20170630*"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6">DetSubdiv(A141)</f>
        <v>EC</v>
      </c>
      <c r="AH141" s="78" t="str">
        <f t="shared" si="52"/>
        <v>"%USERPROFILE%\Documents\GitHub\eaglep3\Utilities\RefineRTDCRunTimes.py" --tripid 228-29 --locoid 4061 --swversion DE.1.0.9.0 --startMP 204:232986 --initTime 2017-06-29T21:18:47 --startdatetime 2017-06-29T21:27:16 --delay 1 --endMP 204:143 --enddatetime 2017-06-29T22:11:17 --enforcementcount 0 &gt;&gt;C:\Users\stu\Documents\GitHub\eaglep3-reporting\EC\2017-06-29-refined-times.txt</v>
      </c>
      <c r="AI141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ID","value":"228-29"},{"id":16,"name":"Locomotive ID","value":"4061"},{"id":130,"name":"Impact","value":""},{"id":150,"name":"Time of Event (Mountain Time)","value":"22:11:17"},{"id":151,"name":"Denver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4"/>
        <v>start /low /b %USERPROFILE%\Documents\GitHub\eaglep3\Utilities\DownloadLogsFromS3.py --loco 4061 --day 2017-06-29</v>
      </c>
      <c r="AN14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04:11:17"},{"id":29,"name":"Sharepoint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790</v>
      </c>
      <c r="B142" s="7">
        <v>4050</v>
      </c>
      <c r="C142" s="21" t="s">
        <v>201</v>
      </c>
      <c r="D142" s="21" t="s">
        <v>342</v>
      </c>
      <c r="E142" s="13">
        <v>42915.867974537039</v>
      </c>
      <c r="F142" s="13">
        <v>42915.875347222223</v>
      </c>
      <c r="G142" s="7">
        <v>1</v>
      </c>
      <c r="H142" s="21" t="s">
        <v>479</v>
      </c>
      <c r="I142" s="13">
        <v>42915.903599537036</v>
      </c>
      <c r="J142" s="7">
        <v>0</v>
      </c>
      <c r="K142" s="89" t="str">
        <f t="shared" si="56"/>
        <v>4049/4050</v>
      </c>
      <c r="L142" s="21" t="str">
        <f>VLOOKUP(A142,'Trips&amp;Operators'!$C$1:$G$99999,5,FALSE)</f>
        <v>LAMAR NEKESHA</v>
      </c>
      <c r="M142" s="6">
        <f t="shared" si="57"/>
        <v>2.8252314812561963E-2</v>
      </c>
      <c r="N142" s="7">
        <f t="shared" si="49"/>
        <v>40.683333330089226</v>
      </c>
      <c r="O142" s="7"/>
      <c r="P142" s="7"/>
      <c r="Q142" s="22"/>
      <c r="R142" s="170"/>
      <c r="S142" s="213">
        <f t="shared" si="50"/>
        <v>1</v>
      </c>
      <c r="T142" s="195" t="str">
        <f t="shared" si="58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9"/>
        <v>https://d0f6bd738d7f1b3e5a7ca70fe4ff75f0.us-east-1.aws.found.io/app/kibana#/discover/Steve-Slow-Train-Analysis-(2080s-and-2083s)?_g=(refreshInterval:(display:Off,pause:!f,section:0,value:0),time:(from:'2017-06-29T19:49:53-0600',mode:absolute,to:'2017-06-29T22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197" t="str">
        <f>IF(AA142&lt;VLOOKUP(AG142,Variables!$AC$3:$AD$8,2,FALSE),"Y","N")</f>
        <v>N</v>
      </c>
      <c r="X142" s="197">
        <f t="shared" si="51"/>
        <v>1</v>
      </c>
      <c r="Y142" s="197">
        <f t="shared" si="60"/>
        <v>4.4900000000000002E-2</v>
      </c>
      <c r="Z142" s="197">
        <f t="shared" si="61"/>
        <v>23.328900000000001</v>
      </c>
      <c r="AA142" s="197">
        <f t="shared" si="62"/>
        <v>23.284000000000002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3"/>
        <v>229</v>
      </c>
      <c r="AE142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42" s="74" t="str">
        <f t="shared" si="65"/>
        <v>"C:\Program Files (x86)\AstroGrep\AstroGrep.exe" /e /r /s /spath="%USERPROFILE%\AppData\Local\Temp\OnboardLogs" /stypes="app*4050*20170630*" /stext=" 03:.+((SYSTEM_STATE.+slice.+state.+changed )|(ment ac)|(multiple cpu faults)|(system.+state.+changed )|(\[timeout)|(PRM\|1\|D)|(kpr)|(kdp)|(train st.+moving)|(\|lc)|(penalty))"</v>
      </c>
      <c r="AG142" s="209" t="str">
        <f t="shared" si="66"/>
        <v>EC</v>
      </c>
      <c r="AH142" s="78" t="str">
        <f t="shared" si="52"/>
        <v>"%USERPROFILE%\Documents\GitHub\eaglep3\Utilities\RefineRTDCRunTimes.py" --tripid 229-29 --locoid 4050 --swversion DE.1.0.9.0 --startMP 204:449 --initTime 2017-06-29T20:49:53 --startdatetime 2017-06-29T21:00:30 --delay 1 --endMP 204:233289 --enddatetime 2017-06-29T21:41:11 --enforcementcount 0 &gt;&gt;C:\Users\stu\Documents\GitHub\eaglep3-reporting\EC\2017-06-29-refined-times.txt</v>
      </c>
      <c r="AI142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ID","value":"229-29"},{"id":16,"name":"Locomotive ID","value":"4050"},{"id":130,"name":"Impact","value":""},{"id":150,"name":"Time of Event (Mountain Time)","value":"21:41:11"},{"id":151,"name":"Denver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4"/>
        <v>start /low /b %USERPROFILE%\Documents\GitHub\eaglep3\Utilities\DownloadLogsFromS3.py --loco 4050 --day 2017-06-29</v>
      </c>
      <c r="AN142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623</v>
      </c>
      <c r="B143" s="7">
        <v>4049</v>
      </c>
      <c r="C143" s="21" t="s">
        <v>201</v>
      </c>
      <c r="D143" s="21" t="s">
        <v>838</v>
      </c>
      <c r="E143" s="13">
        <v>42915.909259259257</v>
      </c>
      <c r="F143" s="13">
        <v>42915.914837962962</v>
      </c>
      <c r="G143" s="7">
        <v>3</v>
      </c>
      <c r="H143" s="21" t="s">
        <v>434</v>
      </c>
      <c r="I143" s="13">
        <v>42915.944363425922</v>
      </c>
      <c r="J143" s="7">
        <v>0</v>
      </c>
      <c r="K143" s="89" t="str">
        <f t="shared" si="56"/>
        <v>4049/4050</v>
      </c>
      <c r="L143" s="21" t="str">
        <f>VLOOKUP(A143,'Trips&amp;Operators'!$C$1:$G$99999,5,FALSE)</f>
        <v>LAMAR NEKESHA</v>
      </c>
      <c r="M143" s="6">
        <f t="shared" si="57"/>
        <v>2.9525462960009463E-2</v>
      </c>
      <c r="N143" s="7">
        <f t="shared" si="49"/>
        <v>42.516666662413627</v>
      </c>
      <c r="O143" s="7"/>
      <c r="P143" s="7"/>
      <c r="Q143" s="22"/>
      <c r="R143" s="170"/>
      <c r="S143" s="213">
        <f t="shared" si="50"/>
        <v>1</v>
      </c>
      <c r="T143" s="195" t="str">
        <f t="shared" si="58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9"/>
        <v>https://d0f6bd738d7f1b3e5a7ca70fe4ff75f0.us-east-1.aws.found.io/app/kibana#/discover/Steve-Slow-Train-Analysis-(2080s-and-2083s)?_g=(refreshInterval:(display:Off,pause:!f,section:0,value:0),time:(from:'2017-06-29T20:49:20-0600',mode:absolute,to:'2017-06-29T23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197" t="str">
        <f>IF(AA143&lt;VLOOKUP(AG143,Variables!$AC$3:$AD$8,2,FALSE),"Y","N")</f>
        <v>N</v>
      </c>
      <c r="X143" s="197">
        <f t="shared" si="51"/>
        <v>1</v>
      </c>
      <c r="Y143" s="197">
        <f t="shared" si="60"/>
        <v>23.297499999999999</v>
      </c>
      <c r="Z143" s="197">
        <f t="shared" si="61"/>
        <v>1.5599999999999999E-2</v>
      </c>
      <c r="AA143" s="197">
        <f t="shared" si="62"/>
        <v>23.2819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3"/>
        <v>230</v>
      </c>
      <c r="AE143" s="77" t="str">
        <f t="shared" si="64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43" s="74" t="str">
        <f t="shared" si="65"/>
        <v>"C:\Program Files (x86)\AstroGrep\AstroGrep.exe" /e /r /s /spath="%USERPROFILE%\AppData\Local\Temp\OnboardLogs" /stypes="app*4049*20170630*" /stext=" 04:.+((SYSTEM_STATE.+slice.+state.+changed )|(ment ac)|(multiple cpu faults)|(system.+state.+changed )|(\[timeout)|(PRM\|1\|D)|(kpr)|(kdp)|(train st.+moving)|(\|lc)|(penalty))"</v>
      </c>
      <c r="AG143" s="209" t="str">
        <f t="shared" si="66"/>
        <v>EC</v>
      </c>
      <c r="AH143" s="78" t="str">
        <f t="shared" si="52"/>
        <v>"%USERPROFILE%\Documents\GitHub\eaglep3\Utilities\RefineRTDCRunTimes.py" --tripid 230-29 --locoid 4049 --swversion DE.1.0.9.0 --startMP 204:232975 --initTime 2017-06-29T21:49:20 --startdatetime 2017-06-29T21:57:22 --delay 3 --endMP 204:156 --enddatetime 2017-06-29T22:39:53 --enforcementcount 0 &gt;&gt;C:\Users\stu\Documents\GitHub\eaglep3-reporting\EC\2017-06-29-refined-times.txt</v>
      </c>
      <c r="AI143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{"issue":{"subject":"","project_id":79,"tracker_id":40,"status_id":1,"priority_id":2,"assigned_to_id":23,"start_date":"2017-06-29","description":"","custom_fields":[{"id":1,"name":"Subdivision","value":"EC"},{"id":4,"name":"Milepost","value":"0.0156"},{"id":17,"name":"Train ID","value":"230-29"},{"id":16,"name":"Locomotive ID","value":"4049"},{"id":130,"name":"Impact","value":""},{"id":150,"name":"Time of Event (Mountain Time)","value":"22:39:53"},{"id":151,"name":"Denver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4"/>
        <v>start /low /b %USERPROFILE%\Documents\GitHub\eaglep3\Utilities\DownloadLogsFromS3.py --loco 4049 --day 2017-06-29</v>
      </c>
      <c r="AN14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792</v>
      </c>
      <c r="B144" s="7">
        <v>4010</v>
      </c>
      <c r="C144" s="21" t="s">
        <v>201</v>
      </c>
      <c r="D144" s="21" t="s">
        <v>350</v>
      </c>
      <c r="E144" s="13">
        <v>42915.887280092589</v>
      </c>
      <c r="F144" s="13">
        <v>42915.896215277775</v>
      </c>
      <c r="G144" s="7">
        <v>1</v>
      </c>
      <c r="H144" s="21" t="s">
        <v>933</v>
      </c>
      <c r="I144" s="13">
        <v>42915.928136574075</v>
      </c>
      <c r="J144" s="7">
        <v>0</v>
      </c>
      <c r="K144" s="89" t="str">
        <f t="shared" si="56"/>
        <v>4009/4010</v>
      </c>
      <c r="L144" s="21" t="str">
        <f>VLOOKUP(A144,'Trips&amp;Operators'!$C$1:$G$99999,5,FALSE)</f>
        <v>SMITH MICHAEL</v>
      </c>
      <c r="M144" s="6">
        <f t="shared" si="57"/>
        <v>3.1921296300424729E-2</v>
      </c>
      <c r="N144" s="7">
        <f t="shared" si="49"/>
        <v>45.966666672611609</v>
      </c>
      <c r="O144" s="7"/>
      <c r="P144" s="7"/>
      <c r="Q144" s="22"/>
      <c r="R144" s="170"/>
      <c r="S144" s="213">
        <f t="shared" si="50"/>
        <v>1</v>
      </c>
      <c r="T144" s="195" t="str">
        <f t="shared" si="58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9"/>
        <v>https://d0f6bd738d7f1b3e5a7ca70fe4ff75f0.us-east-1.aws.found.io/app/kibana#/discover/Steve-Slow-Train-Analysis-(2080s-and-2083s)?_g=(refreshInterval:(display:Off,pause:!f,section:0,value:0),time:(from:'2017-06-29T20:17:41-0600',mode:absolute,to:'2017-06-29T23:16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197" t="str">
        <f>IF(AA144&lt;VLOOKUP(AG144,Variables!$AC$3:$AD$8,2,FALSE),"Y","N")</f>
        <v>N</v>
      </c>
      <c r="X144" s="197">
        <f t="shared" si="51"/>
        <v>1</v>
      </c>
      <c r="Y144" s="197">
        <f t="shared" si="60"/>
        <v>4.5100000000000001E-2</v>
      </c>
      <c r="Z144" s="197">
        <f t="shared" si="61"/>
        <v>23.332999999999998</v>
      </c>
      <c r="AA144" s="197">
        <f t="shared" si="62"/>
        <v>23.287899999999997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3"/>
        <v>231</v>
      </c>
      <c r="AE144" s="77" t="str">
        <f t="shared" si="64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44" s="74" t="str">
        <f t="shared" si="65"/>
        <v>"C:\Program Files (x86)\AstroGrep\AstroGrep.exe" /e /r /s /spath="%USERPROFILE%\AppData\Local\Temp\OnboardLogs" /stypes="app*4010*20170630*" /stext=" 04:.+((SYSTEM_STATE.+slice.+state.+changed )|(ment ac)|(multiple cpu faults)|(system.+state.+changed )|(\[timeout)|(PRM\|1\|D)|(kpr)|(kdp)|(train st.+moving)|(\|lc)|(penalty))"</v>
      </c>
      <c r="AG144" s="209" t="str">
        <f t="shared" si="66"/>
        <v>EC</v>
      </c>
      <c r="AH144" s="78" t="str">
        <f t="shared" si="52"/>
        <v>"%USERPROFILE%\Documents\GitHub\eaglep3\Utilities\RefineRTDCRunTimes.py" --tripid 231-29 --locoid 4010 --swversion DE.1.0.9.0 --startMP 204:451 --initTime 2017-06-29T21:17:41 --startdatetime 2017-06-29T21:30:33 --delay 1 --endMP 204:233330 --enddatetime 2017-06-29T22:16:31 --enforcementcount 0 &gt;&gt;C:\Users\stu\Documents\GitHub\eaglep3-reporting\EC\2017-06-29-refined-times.txt</v>
      </c>
      <c r="AI144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{"issue":{"subject":"","project_id":79,"tracker_id":40,"status_id":1,"priority_id":2,"assigned_to_id":23,"start_date":"2017-06-29","description":"","custom_fields":[{"id":1,"name":"Subdivision","value":"EC"},{"id":4,"name":"Milepost","value":"23.333"},{"id":17,"name":"Train ID","value":"231-29"},{"id":16,"name":"Locomotive ID","value":"4010"},{"id":130,"name":"Impact","value":""},{"id":150,"name":"Time of Event (Mountain Time)","value":"22:16:31"},{"id":151,"name":"Denver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4"/>
        <v>start /low /b %USERPROFILE%\Documents\GitHub\eaglep3\Utilities\DownloadLogsFromS3.py --loco 4010 --day 2017-06-29</v>
      </c>
      <c r="AN144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04:16:31"},{"id":29,"name":"Sharepoint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797</v>
      </c>
      <c r="B145" s="7">
        <v>4009</v>
      </c>
      <c r="C145" s="21" t="s">
        <v>201</v>
      </c>
      <c r="D145" s="21" t="s">
        <v>467</v>
      </c>
      <c r="E145" s="13">
        <v>42915.930983796294</v>
      </c>
      <c r="F145" s="13">
        <v>42915.935925925929</v>
      </c>
      <c r="G145" s="7">
        <v>1</v>
      </c>
      <c r="H145" s="21" t="s">
        <v>347</v>
      </c>
      <c r="I145" s="13">
        <v>42915.963923611111</v>
      </c>
      <c r="J145" s="7">
        <v>0</v>
      </c>
      <c r="K145" s="89" t="str">
        <f t="shared" si="56"/>
        <v>4009/4010</v>
      </c>
      <c r="L145" s="21" t="str">
        <f>VLOOKUP(A145,'Trips&amp;Operators'!$C$1:$G$99999,5,FALSE)</f>
        <v>SMITH MICHAEL</v>
      </c>
      <c r="M145" s="6">
        <f t="shared" si="57"/>
        <v>2.7997685181617271E-2</v>
      </c>
      <c r="N145" s="7">
        <f t="shared" si="49"/>
        <v>40.31666666152887</v>
      </c>
      <c r="O145" s="7"/>
      <c r="P145" s="7"/>
      <c r="Q145" s="22"/>
      <c r="R145" s="170"/>
      <c r="S145" s="213">
        <f t="shared" si="50"/>
        <v>1</v>
      </c>
      <c r="T145" s="195" t="str">
        <f t="shared" si="58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9"/>
        <v>https://d0f6bd738d7f1b3e5a7ca70fe4ff75f0.us-east-1.aws.found.io/app/kibana#/discover/Steve-Slow-Train-Analysis-(2080s-and-2083s)?_g=(refreshInterval:(display:Off,pause:!f,section:0,value:0),time:(from:'2017-06-29T21:20:37-0600',mode:absolute,to:'2017-06-30T00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197" t="str">
        <f>IF(AA145&lt;VLOOKUP(AG145,Variables!$AC$3:$AD$8,2,FALSE),"Y","N")</f>
        <v>N</v>
      </c>
      <c r="X145" s="197">
        <f t="shared" si="51"/>
        <v>1</v>
      </c>
      <c r="Y145" s="197">
        <f t="shared" si="60"/>
        <v>23.297699999999999</v>
      </c>
      <c r="Z145" s="197">
        <f t="shared" si="61"/>
        <v>1.49E-2</v>
      </c>
      <c r="AA145" s="197">
        <f t="shared" si="62"/>
        <v>23.282799999999998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3"/>
        <v>232</v>
      </c>
      <c r="AE145" s="77" t="str">
        <f t="shared" si="64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45" s="74" t="str">
        <f t="shared" si="65"/>
        <v>"C:\Program Files (x86)\AstroGrep\AstroGrep.exe" /e /r /s /spath="%USERPROFILE%\AppData\Local\Temp\OnboardLogs" /stypes="app*4009*20170630*" /stext=" 05:.+((SYSTEM_STATE.+slice.+state.+changed )|(ment ac)|(multiple cpu faults)|(system.+state.+changed )|(\[timeout)|(PRM\|1\|D)|(kpr)|(kdp)|(train st.+moving)|(\|lc)|(penalty))"</v>
      </c>
      <c r="AG145" s="209" t="str">
        <f t="shared" si="66"/>
        <v>EC</v>
      </c>
      <c r="AH145" s="78" t="str">
        <f t="shared" si="52"/>
        <v>"%USERPROFILE%\Documents\GitHub\eaglep3\Utilities\RefineRTDCRunTimes.py" --tripid 232-29 --locoid 4009 --swversion DE.1.0.9.0 --startMP 204:232977 --initTime 2017-06-29T22:20:37 --startdatetime 2017-06-29T22:27:44 --delay 1 --endMP 204:149 --enddatetime 2017-06-29T23:08:03 --enforcementcount 0 &gt;&gt;C:\Users\stu\Documents\GitHub\eaglep3-reporting\EC\2017-06-29-refined-times.txt</v>
      </c>
      <c r="AI145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ID","value":"232-29"},{"id":16,"name":"Locomotive ID","value":"4009"},{"id":130,"name":"Impact","value":""},{"id":150,"name":"Time of Event (Mountain Time)","value":"23:08:03"},{"id":151,"name":"Denver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4"/>
        <v>start /low /b %USERPROFILE%\Documents\GitHub\eaglep3\Utilities\DownloadLogsFromS3.py --loco 4009 --day 2017-06-29</v>
      </c>
      <c r="AN14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795</v>
      </c>
      <c r="B146" s="7">
        <v>4060</v>
      </c>
      <c r="C146" s="21" t="s">
        <v>201</v>
      </c>
      <c r="D146" s="21" t="s">
        <v>448</v>
      </c>
      <c r="E146" s="13">
        <v>42915.91002314815</v>
      </c>
      <c r="F146" s="13">
        <v>42915.918842592589</v>
      </c>
      <c r="G146" s="7">
        <v>1</v>
      </c>
      <c r="H146" s="21" t="s">
        <v>839</v>
      </c>
      <c r="I146" s="13">
        <v>42915.948587962965</v>
      </c>
      <c r="J146" s="7">
        <v>0</v>
      </c>
      <c r="K146" s="89" t="str">
        <f t="shared" si="56"/>
        <v>4059/4060</v>
      </c>
      <c r="L146" s="21" t="str">
        <f>VLOOKUP(A146,'Trips&amp;Operators'!$C$1:$G$99999,5,FALSE)</f>
        <v>PERKINS DARREN</v>
      </c>
      <c r="M146" s="6">
        <f t="shared" si="57"/>
        <v>2.9745370375167113E-2</v>
      </c>
      <c r="N146" s="7">
        <f t="shared" si="49"/>
        <v>42.833333340240642</v>
      </c>
      <c r="O146" s="7"/>
      <c r="P146" s="7"/>
      <c r="Q146" s="22"/>
      <c r="R146" s="170"/>
      <c r="S146" s="213">
        <f t="shared" si="50"/>
        <v>1</v>
      </c>
      <c r="T146" s="195" t="str">
        <f t="shared" si="58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9"/>
        <v>https://d0f6bd738d7f1b3e5a7ca70fe4ff75f0.us-east-1.aws.found.io/app/kibana#/discover/Steve-Slow-Train-Analysis-(2080s-and-2083s)?_g=(refreshInterval:(display:Off,pause:!f,section:0,value:0),time:(from:'2017-06-29T20:50:26-0600',mode:absolute,to:'2017-06-29T23:45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6" s="197" t="str">
        <f>IF(AA146&lt;VLOOKUP(AG146,Variables!$AC$3:$AD$8,2,FALSE),"Y","N")</f>
        <v>N</v>
      </c>
      <c r="X146" s="197">
        <f t="shared" si="51"/>
        <v>1</v>
      </c>
      <c r="Y146" s="197">
        <f t="shared" si="60"/>
        <v>4.3799999999999999E-2</v>
      </c>
      <c r="Z146" s="197">
        <f t="shared" si="61"/>
        <v>23.338899999999999</v>
      </c>
      <c r="AA146" s="197">
        <f t="shared" si="62"/>
        <v>23.295099999999998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3"/>
        <v>233</v>
      </c>
      <c r="AE146" s="77" t="str">
        <f t="shared" si="64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46" s="74" t="str">
        <f t="shared" si="65"/>
        <v>"C:\Program Files (x86)\AstroGrep\AstroGrep.exe" /e /r /s /spath="%USERPROFILE%\AppData\Local\Temp\OnboardLogs" /stypes="app*4060*20170630*" /stext=" 04:.+((SYSTEM_STATE.+slice.+state.+changed )|(ment ac)|(multiple cpu faults)|(system.+state.+changed )|(\[timeout)|(PRM\|1\|D)|(kpr)|(kdp)|(train st.+moving)|(\|lc)|(penalty))"</v>
      </c>
      <c r="AG146" s="209" t="str">
        <f t="shared" si="66"/>
        <v>EC</v>
      </c>
      <c r="AH146" s="78" t="str">
        <f t="shared" si="52"/>
        <v>"%USERPROFILE%\Documents\GitHub\eaglep3\Utilities\RefineRTDCRunTimes.py" --tripid 233-29 --locoid 4060 --swversion DE.1.0.9.0 --startMP 204:438 --initTime 2017-06-29T21:50:26 --startdatetime 2017-06-29T22:03:08 --delay 1 --endMP 204:233389 --enddatetime 2017-06-29T22:45:58 --enforcementcount 0 &gt;&gt;C:\Users\stu\Documents\GitHub\eaglep3-reporting\EC\2017-06-29-refined-times.txt</v>
      </c>
      <c r="AI146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{"issue":{"subject":"","project_id":79,"tracker_id":40,"status_id":1,"priority_id":2,"assigned_to_id":23,"start_date":"2017-06-29","description":"","custom_fields":[{"id":1,"name":"Subdivision","value":"EC"},{"id":4,"name":"Milepost","value":"23.3389"},{"id":17,"name":"Train ID","value":"233-29"},{"id":16,"name":"Locomotive ID","value":"4060"},{"id":130,"name":"Impact","value":""},{"id":150,"name":"Time of Event (Mountain Time)","value":"22:45:58"},{"id":151,"name":"Denver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4"/>
        <v>start /low /b %USERPROFILE%\Documents\GitHub\eaglep3\Utilities\DownloadLogsFromS3.py --loco 4060 --day 2017-06-29</v>
      </c>
      <c r="AN14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04:45:58"},{"id":29,"name":"Sharepoint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799</v>
      </c>
      <c r="B147" s="7">
        <v>4059</v>
      </c>
      <c r="C147" s="21" t="s">
        <v>201</v>
      </c>
      <c r="D147" s="21" t="s">
        <v>498</v>
      </c>
      <c r="E147" s="13">
        <v>42915.952048611114</v>
      </c>
      <c r="F147" s="13">
        <v>42915.956504629627</v>
      </c>
      <c r="G147" s="7">
        <v>1</v>
      </c>
      <c r="H147" s="21" t="s">
        <v>495</v>
      </c>
      <c r="I147" s="13">
        <v>42915.987476851849</v>
      </c>
      <c r="J147" s="7">
        <v>0</v>
      </c>
      <c r="K147" s="89" t="str">
        <f t="shared" si="56"/>
        <v>4059/4060</v>
      </c>
      <c r="L147" s="21" t="str">
        <f>VLOOKUP(A147,'Trips&amp;Operators'!$C$1:$G$99999,5,FALSE)</f>
        <v>PERKINS DARREN</v>
      </c>
      <c r="M147" s="6">
        <f t="shared" si="57"/>
        <v>3.0972222222771961E-2</v>
      </c>
      <c r="N147" s="7">
        <f t="shared" si="49"/>
        <v>44.600000000791624</v>
      </c>
      <c r="O147" s="7"/>
      <c r="P147" s="7"/>
      <c r="Q147" s="22"/>
      <c r="R147" s="170"/>
      <c r="S147" s="213">
        <f t="shared" si="50"/>
        <v>1</v>
      </c>
      <c r="T147" s="195" t="str">
        <f t="shared" si="58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9"/>
        <v>https://d0f6bd738d7f1b3e5a7ca70fe4ff75f0.us-east-1.aws.found.io/app/kibana#/discover/Steve-Slow-Train-Analysis-(2080s-and-2083s)?_g=(refreshInterval:(display:Off,pause:!f,section:0,value:0),time:(from:'2017-06-29T21:50:57-0600',mode:absolute,to:'2017-06-30T00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7" s="197" t="str">
        <f>IF(AA147&lt;VLOOKUP(AG147,Variables!$AC$3:$AD$8,2,FALSE),"Y","N")</f>
        <v>N</v>
      </c>
      <c r="X147" s="197">
        <f t="shared" si="51"/>
        <v>1</v>
      </c>
      <c r="Y147" s="197">
        <f t="shared" si="60"/>
        <v>23.298200000000001</v>
      </c>
      <c r="Z147" s="197">
        <f t="shared" si="61"/>
        <v>1.3599999999999999E-2</v>
      </c>
      <c r="AA147" s="197">
        <f t="shared" si="62"/>
        <v>23.284600000000001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3"/>
        <v>234</v>
      </c>
      <c r="AE147" s="77" t="str">
        <f t="shared" si="64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47" s="74" t="str">
        <f t="shared" si="65"/>
        <v>"C:\Program Files (x86)\AstroGrep\AstroGrep.exe" /e /r /s /spath="%USERPROFILE%\AppData\Local\Temp\OnboardLogs" /stypes="app*4059*20170630*" /stext=" 05:.+((SYSTEM_STATE.+slice.+state.+changed )|(ment ac)|(multiple cpu faults)|(system.+state.+changed )|(\[timeout)|(PRM\|1\|D)|(kpr)|(kdp)|(train st.+moving)|(\|lc)|(penalty))"</v>
      </c>
      <c r="AG147" s="209" t="str">
        <f t="shared" si="66"/>
        <v>EC</v>
      </c>
      <c r="AH147" s="78" t="str">
        <f t="shared" si="52"/>
        <v>"%USERPROFILE%\Documents\GitHub\eaglep3\Utilities\RefineRTDCRunTimes.py" --tripid 234-29 --locoid 4059 --swversion DE.1.0.9.0 --startMP 204:232982 --initTime 2017-06-29T22:50:57 --startdatetime 2017-06-29T22:57:22 --delay 1 --endMP 204:136 --enddatetime 2017-06-29T23:41:58 --enforcementcount 0 &gt;&gt;C:\Users\stu\Documents\GitHub\eaglep3-reporting\EC\2017-06-29-refined-times.txt</v>
      </c>
      <c r="AI147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{"issue":{"subject":"","project_id":79,"tracker_id":40,"status_id":1,"priority_id":2,"assigned_to_id":23,"start_date":"2017-06-29","description":"","custom_fields":[{"id":1,"name":"Subdivision","value":"EC"},{"id":4,"name":"Milepost","value":"0.0136"},{"id":17,"name":"Train ID","value":"234-29"},{"id":16,"name":"Locomotive ID","value":"4059"},{"id":130,"name":"Impact","value":""},{"id":150,"name":"Time of Event (Mountain Time)","value":"23:41:58"},{"id":151,"name":"Denver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4"/>
        <v>start /low /b %USERPROFILE%\Documents\GitHub\eaglep3\Utilities\DownloadLogsFromS3.py --loco 4059 --day 2017-06-29</v>
      </c>
      <c r="AN14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624</v>
      </c>
      <c r="B148" s="7">
        <v>4062</v>
      </c>
      <c r="C148" s="21" t="s">
        <v>201</v>
      </c>
      <c r="D148" s="21" t="s">
        <v>353</v>
      </c>
      <c r="E148" s="13">
        <v>42915.932083333333</v>
      </c>
      <c r="F148" s="13">
        <v>42915.937673611108</v>
      </c>
      <c r="G148" s="7">
        <v>2</v>
      </c>
      <c r="H148" s="21" t="s">
        <v>478</v>
      </c>
      <c r="I148" s="13">
        <v>42915.970648148148</v>
      </c>
      <c r="J148" s="7">
        <v>0</v>
      </c>
      <c r="K148" s="89" t="str">
        <f t="shared" si="56"/>
        <v>4061/4062</v>
      </c>
      <c r="L148" s="21" t="str">
        <f>VLOOKUP(A148,'Trips&amp;Operators'!$C$1:$G$99999,5,FALSE)</f>
        <v>FORTUNATO FRANK</v>
      </c>
      <c r="M148" s="6">
        <f t="shared" si="57"/>
        <v>3.2974537039990537E-2</v>
      </c>
      <c r="N148" s="7">
        <f t="shared" si="49"/>
        <v>47.483333337586373</v>
      </c>
      <c r="O148" s="7"/>
      <c r="P148" s="7"/>
      <c r="Q148" s="22"/>
      <c r="R148" s="170"/>
      <c r="S148" s="213">
        <f t="shared" si="50"/>
        <v>1</v>
      </c>
      <c r="T148" s="195" t="str">
        <f t="shared" si="58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9"/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8" s="197" t="str">
        <f>IF(AA148&lt;VLOOKUP(AG148,Variables!$AC$3:$AD$8,2,FALSE),"Y","N")</f>
        <v>N</v>
      </c>
      <c r="X148" s="197">
        <f t="shared" si="51"/>
        <v>1</v>
      </c>
      <c r="Y148" s="197">
        <f t="shared" si="60"/>
        <v>4.4699999999999997E-2</v>
      </c>
      <c r="Z148" s="197">
        <f t="shared" si="61"/>
        <v>23.330100000000002</v>
      </c>
      <c r="AA148" s="197">
        <f t="shared" si="62"/>
        <v>23.285400000000003</v>
      </c>
      <c r="AB148" s="54" t="str">
        <f>VLOOKUP(A148,Enforcements!$C$7:$K$13,8,0)</f>
        <v>Bulletin (2)</v>
      </c>
      <c r="AC148" s="51" t="str">
        <f>VLOOKUP(A148,Enforcements!$C$7:$E$13,3,0)</f>
        <v>GRADE CROSSING</v>
      </c>
      <c r="AD148" s="206">
        <f t="shared" si="63"/>
        <v>235</v>
      </c>
      <c r="AE148" s="77" t="str">
        <f t="shared" si="64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48" s="74" t="str">
        <f t="shared" si="65"/>
        <v>"C:\Program Files (x86)\AstroGrep\AstroGrep.exe" /e /r /s /spath="%USERPROFILE%\AppData\Local\Temp\OnboardLogs" /stypes="app*4062*20170630*" /stext=" 05:.+((SYSTEM_STATE.+slice.+state.+changed )|(ment ac)|(multiple cpu faults)|(system.+state.+changed )|(\[timeout)|(PRM\|1\|D)|(kpr)|(kdp)|(train st.+moving)|(\|lc)|(penalty))"</v>
      </c>
      <c r="AG148" s="209" t="str">
        <f t="shared" si="66"/>
        <v>EC</v>
      </c>
      <c r="AH148" s="78" t="str">
        <f t="shared" si="52"/>
        <v>"%USERPROFILE%\Documents\GitHub\eaglep3\Utilities\RefineRTDCRunTimes.py" --tripid 235-29 --locoid 4062 --swversion DE.1.0.9.0 --startMP 204:447 --initTime 2017-06-29T22:22:12 --startdatetime 2017-06-29T22:30:15 --delay 2 --endMP 204:233301 --enddatetime 2017-06-29T23:17:44 --enforcementcount 0 &gt;&gt;C:\Users\stu\Documents\GitHub\eaglep3-reporting\EC\2017-06-29-refined-times.txt</v>
      </c>
      <c r="AI148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ID","value":"235-29"},{"id":16,"name":"Locomotive ID","value":"4062"},{"id":130,"name":"Impact","value":""},{"id":150,"name":"Time of Event (Mountain Time)","value":"23:17:44"},{"id":151,"name":"Denver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4"/>
        <v>start /low /b %USERPROFILE%\Documents\GitHub\eaglep3\Utilities\DownloadLogsFromS3.py --loco 4062 --day 2017-06-29</v>
      </c>
      <c r="AN14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625</v>
      </c>
      <c r="B149" s="7">
        <v>4061</v>
      </c>
      <c r="C149" s="21" t="s">
        <v>201</v>
      </c>
      <c r="D149" s="21" t="s">
        <v>469</v>
      </c>
      <c r="E149" s="13">
        <v>42915.972141203703</v>
      </c>
      <c r="F149" s="13">
        <v>42915.977349537039</v>
      </c>
      <c r="G149" s="7">
        <v>1</v>
      </c>
      <c r="H149" s="21" t="s">
        <v>414</v>
      </c>
      <c r="I149" s="13">
        <v>42916.010868055557</v>
      </c>
      <c r="J149" s="7">
        <v>0</v>
      </c>
      <c r="K149" s="89" t="str">
        <f t="shared" si="56"/>
        <v>4061/4062</v>
      </c>
      <c r="L149" s="21" t="str">
        <f>VLOOKUP(A149,'Trips&amp;Operators'!$C$1:$G$99999,5,FALSE)</f>
        <v>FORTUNATO FRANK</v>
      </c>
      <c r="M149" s="6">
        <f t="shared" si="57"/>
        <v>3.3518518517666962E-2</v>
      </c>
      <c r="N149" s="7">
        <f t="shared" si="49"/>
        <v>48.266666665440425</v>
      </c>
      <c r="O149" s="7"/>
      <c r="P149" s="7"/>
      <c r="Q149" s="22"/>
      <c r="R149" s="170"/>
      <c r="S149" s="213">
        <f t="shared" si="50"/>
        <v>1</v>
      </c>
      <c r="T149" s="195" t="str">
        <f t="shared" si="58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9"/>
        <v>https://d0f6bd738d7f1b3e5a7ca70fe4ff75f0.us-east-1.aws.found.io/app/kibana#/discover/Steve-Slow-Train-Analysis-(2080s-and-2083s)?_g=(refreshInterval:(display:Off,pause:!f,section:0,value:0),time:(from:'2017-06-29T22:19:53-0600',mode:absolute,to:'2017-06-30T01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9" s="197" t="str">
        <f>IF(AA149&lt;VLOOKUP(AG149,Variables!$AC$3:$AD$8,2,FALSE),"Y","N")</f>
        <v>N</v>
      </c>
      <c r="X149" s="197">
        <f t="shared" si="51"/>
        <v>1</v>
      </c>
      <c r="Y149" s="197">
        <f t="shared" si="60"/>
        <v>23.297799999999999</v>
      </c>
      <c r="Z149" s="197">
        <f t="shared" si="61"/>
        <v>1.4500000000000001E-2</v>
      </c>
      <c r="AA149" s="197">
        <f t="shared" si="62"/>
        <v>23.283299999999997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3"/>
        <v>236</v>
      </c>
      <c r="AE149" s="77" t="str">
        <f t="shared" si="64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49" s="74" t="str">
        <f t="shared" si="65"/>
        <v>"C:\Program Files (x86)\AstroGrep\AstroGrep.exe" /e /r /s /spath="%USERPROFILE%\AppData\Local\Temp\OnboardLogs" /stypes="app*4061*20170630*" /stext=" 06:.+((SYSTEM_STATE.+slice.+state.+changed )|(ment ac)|(multiple cpu faults)|(system.+state.+changed )|(\[timeout)|(PRM\|1\|D)|(kpr)|(kdp)|(train st.+moving)|(\|lc)|(penalty))"</v>
      </c>
      <c r="AG149" s="209" t="str">
        <f t="shared" si="66"/>
        <v>EC</v>
      </c>
      <c r="AH149" s="78" t="str">
        <f t="shared" si="52"/>
        <v>"%USERPROFILE%\Documents\GitHub\eaglep3\Utilities\RefineRTDCRunTimes.py" --tripid 236-29 --locoid 4061 --swversion DE.1.0.9.0 --startMP 204:232978 --initTime 2017-06-29T23:19:53 --startdatetime 2017-06-29T23:27:23 --delay 1 --endMP 204:145 --enddatetime 2017-06-30T00:15:39 --enforcementcount 0 &gt;&gt;C:\Users\stu\Documents\GitHub\eaglep3-reporting\EC\2017-06-29-refined-times.txt</v>
      </c>
      <c r="AI149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ID","value":"236-29"},{"id":16,"name":"Locomotive ID","value":"4061"},{"id":130,"name":"Impact","value":""},{"id":150,"name":"Time of Event (Mountain Time)","value":"00:15:39"},{"id":151,"name":"Denver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4"/>
        <v>start /low /b %USERPROFILE%\Documents\GitHub\eaglep3\Utilities\DownloadLogsFromS3.py --loco 4061 --day 2017-06-29</v>
      </c>
      <c r="AN149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06:15:39"},{"id":29,"name":"Sharepoint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800</v>
      </c>
      <c r="B150" s="7">
        <v>4050</v>
      </c>
      <c r="C150" s="21" t="s">
        <v>201</v>
      </c>
      <c r="D150" s="21" t="s">
        <v>840</v>
      </c>
      <c r="E150" s="13">
        <v>42915.984236111108</v>
      </c>
      <c r="F150" s="13">
        <v>42915.985277777778</v>
      </c>
      <c r="G150" s="7">
        <v>1</v>
      </c>
      <c r="H150" s="21" t="s">
        <v>478</v>
      </c>
      <c r="I150" s="13">
        <v>42915.991956018515</v>
      </c>
      <c r="J150" s="7">
        <v>0</v>
      </c>
      <c r="K150" s="89" t="str">
        <f t="shared" si="56"/>
        <v>4049/4050</v>
      </c>
      <c r="L150" s="21" t="str">
        <f>VLOOKUP(A150,'Trips&amp;Operators'!$C$1:$G$99999,5,FALSE)</f>
        <v>LAMAR NEKESHA</v>
      </c>
      <c r="M150" s="6">
        <f t="shared" si="57"/>
        <v>6.6782407375285402E-3</v>
      </c>
      <c r="N150" s="7"/>
      <c r="O150" s="7"/>
      <c r="P150" s="7">
        <f>24*60*SUM($M150:$M150)</f>
        <v>9.6166666620410979</v>
      </c>
      <c r="Q150" s="22"/>
      <c r="R150" s="170" t="s">
        <v>1054</v>
      </c>
      <c r="S150" s="213">
        <f>SUM(U150:U151)/IF(AG150="EC",12,1)</f>
        <v>0.66666666666666663</v>
      </c>
      <c r="T150" s="195" t="str">
        <f t="shared" si="58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6" t="str">
        <f t="shared" si="59"/>
        <v>https://d0f6bd738d7f1b3e5a7ca70fe4ff75f0.us-east-1.aws.found.io/app/kibana#/discover/Steve-Slow-Train-Analysis-(2080s-and-2083s)?_g=(refreshInterval:(display:Off,pause:!f,section:0,value:0),time:(from:'2017-06-29T22:37:18-0600',mode:absolute,to:'2017-06-30T00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197" t="str">
        <f>IF(AA150&lt;VLOOKUP(AG150,Variables!$AC$3:$AD$8,2,FALSE),"Y","N")</f>
        <v>Y</v>
      </c>
      <c r="X150" s="197">
        <f t="shared" si="51"/>
        <v>1</v>
      </c>
      <c r="Y150" s="197">
        <f t="shared" si="60"/>
        <v>15.4413</v>
      </c>
      <c r="Z150" s="197">
        <f t="shared" si="61"/>
        <v>23.330100000000002</v>
      </c>
      <c r="AA150" s="197">
        <f t="shared" si="62"/>
        <v>7.8888000000000016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3"/>
        <v>237</v>
      </c>
      <c r="AE150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50" s="74" t="str">
        <f t="shared" si="65"/>
        <v>"C:\Program Files (x86)\AstroGrep\AstroGrep.exe" /e /r /s /spath="%USERPROFILE%\AppData\Local\Temp\OnboardLogs" /stypes="app*4050*20170630*" /stext=" 05:.+((SYSTEM_STATE.+slice.+state.+changed )|(ment ac)|(multiple cpu faults)|(system.+state.+changed )|(\[timeout)|(PRM\|1\|D)|(kpr)|(kdp)|(train st.+moving)|(\|lc)|(penalty))"</v>
      </c>
      <c r="AG150" s="209" t="str">
        <f t="shared" si="66"/>
        <v>EC</v>
      </c>
      <c r="AH150" s="78" t="str">
        <f t="shared" si="52"/>
        <v>"%USERPROFILE%\Documents\GitHub\eaglep3\Utilities\RefineRTDCRunTimes.py" --tripid 237-29 --locoid 4050 --swversion DE.1.0.9.0 --startMP 204:154413 --initTime 2017-06-29T23:37:18 --startdatetime 2017-06-29T23:38:48 --delay 1 --endMP 204:233301 --enddatetime 2017-06-29T23:48:25 --enforcementcount 0 &gt;&gt;C:\Users\stu\Documents\GitHub\eaglep3-reporting\EC\2017-06-29-refined-times.txt</v>
      </c>
      <c r="AI150" s="96" t="str">
        <f t="shared" si="53"/>
        <v>echo {"issue":{"subject":"Improper execution of bulletin","project_id":79,"tracker_id":40,"status_id":1,"priority_id":2,"assigned_to_id":23,"start_date":"2017-06-29","description":"","custom_fields":[{"id":1,"name":"Subdivision","value":"EC"},{"id":4,"name":"Milepost","value":"23.3301"},{"id":17,"name":"Train ID","value":"237-29"},{"id":16,"name":"Locomotive ID","value":"4050"},{"id":130,"name":"Impact","value":""},{"id":150,"name":"Time of Event (Mountain Time)","value":"23:48:25"},{"id":151,"name":"Denver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4"/>
        <v>start /low /b %USERPROFILE%\Documents\GitHub\eaglep3\Utilities\DownloadLogsFromS3.py --loco 4050 --day 2017-06-29</v>
      </c>
      <c r="AN150" s="151" t="str">
        <f t="shared" si="55"/>
        <v>echo {"issue":{"subject":"Improper execution of bulletin","project_id":30,"tracker_id":4,"status_id":1,"priority_id":1,"assigned_to_id":10,"start_date":"2017-06-30","description":"","custom_fields":[{"id":30,"name":"Category","value":"Issue"},{"id":3,"name":"Functional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800</v>
      </c>
      <c r="B151" s="7">
        <v>4050</v>
      </c>
      <c r="C151" s="21" t="s">
        <v>201</v>
      </c>
      <c r="D151" s="21" t="s">
        <v>352</v>
      </c>
      <c r="E151" s="13">
        <v>42915.954247685186</v>
      </c>
      <c r="F151" s="13">
        <v>42915.985277777778</v>
      </c>
      <c r="G151" s="7">
        <v>2</v>
      </c>
      <c r="H151" s="21" t="s">
        <v>841</v>
      </c>
      <c r="I151" s="13">
        <v>42915.991956018515</v>
      </c>
      <c r="J151" s="7">
        <v>0</v>
      </c>
      <c r="K151" s="89" t="str">
        <f t="shared" si="56"/>
        <v>4049/4050</v>
      </c>
      <c r="L151" s="21" t="str">
        <f>VLOOKUP(A151,'Trips&amp;Operators'!$C$1:$G$99999,5,FALSE)</f>
        <v>LAMAR NEKESHA</v>
      </c>
      <c r="M151" s="6">
        <f t="shared" si="57"/>
        <v>6.6782407375285402E-3</v>
      </c>
      <c r="N151" s="7"/>
      <c r="O151" s="7"/>
      <c r="P151" s="7"/>
      <c r="Q151" s="22"/>
      <c r="R151" s="170"/>
      <c r="S151" s="213"/>
      <c r="T151" s="195" t="str">
        <f t="shared" si="5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8</v>
      </c>
      <c r="V151" s="196" t="str">
        <f t="shared" si="59"/>
        <v>https://d0f6bd738d7f1b3e5a7ca70fe4ff75f0.us-east-1.aws.found.io/app/kibana#/discover/Steve-Slow-Train-Analysis-(2080s-and-2083s)?_g=(refreshInterval:(display:Off,pause:!f,section:0,value:0),time:(from:'2017-06-29T21:54:07-0600',mode:absolute,to:'2017-06-30T00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1" s="197" t="str">
        <f>IF(AA151&lt;VLOOKUP(AG151,Variables!$AC$3:$AD$8,2,FALSE),"Y","N")</f>
        <v>Y</v>
      </c>
      <c r="X151" s="197">
        <f t="shared" si="51"/>
        <v>0</v>
      </c>
      <c r="Y151" s="197">
        <f t="shared" si="60"/>
        <v>4.53E-2</v>
      </c>
      <c r="Z151" s="197">
        <f t="shared" si="61"/>
        <v>6.2111000000000001</v>
      </c>
      <c r="AA151" s="197">
        <f t="shared" si="62"/>
        <v>6.1657999999999999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3"/>
        <v>237</v>
      </c>
      <c r="AE151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51" s="74" t="str">
        <f t="shared" si="65"/>
        <v>"C:\Program Files (x86)\AstroGrep\AstroGrep.exe" /e /r /s /spath="%USERPROFILE%\AppData\Local\Temp\OnboardLogs" /stypes="app*4050*20170630*" /stext=" 05:.+((SYSTEM_STATE.+slice.+state.+changed )|(ment ac)|(multiple cpu faults)|(system.+state.+changed )|(\[timeout)|(PRM\|1\|D)|(kpr)|(kdp)|(train st.+moving)|(\|lc)|(penalty))"</v>
      </c>
      <c r="AG151" s="209" t="str">
        <f t="shared" si="66"/>
        <v>EC</v>
      </c>
      <c r="AH151" s="78" t="str">
        <f t="shared" si="52"/>
        <v>"%USERPROFILE%\Documents\GitHub\eaglep3\Utilities\RefineRTDCRunTimes.py" --tripid 237-29 --locoid 4050 --swversion DE.1.0.9.0 --startMP 204:453 --initTime 2017-06-29T22:54:07 --startdatetime 2017-06-29T23:38:48 --delay 2 --endMP 204:62111 --enddatetime 2017-06-29T23:48:25 --enforcementcount 0 &gt;&gt;C:\Users\stu\Documents\GitHub\eaglep3-reporting\EC\2017-06-29-refined-times.txt</v>
      </c>
      <c r="AI151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{"issue":{"subject":"","project_id":79,"tracker_id":40,"status_id":1,"priority_id":2,"assigned_to_id":23,"start_date":"2017-06-29","description":"","custom_fields":[{"id":1,"name":"Subdivision","value":"EC"},{"id":4,"name":"Milepost","value":"6.2111"},{"id":17,"name":"Train ID","value":"237-29"},{"id":16,"name":"Locomotive ID","value":"4050"},{"id":130,"name":"Impact","value":""},{"id":150,"name":"Time of Event (Mountain Time)","value":"23:48:25"},{"id":151,"name":"Denver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4"/>
        <v>start /low /b %USERPROFILE%\Documents\GitHub\eaglep3\Utilities\DownloadLogsFromS3.py --loco 4050 --day 2017-06-29</v>
      </c>
      <c r="AN15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803</v>
      </c>
      <c r="B152" s="7">
        <v>4049</v>
      </c>
      <c r="C152" s="21" t="s">
        <v>201</v>
      </c>
      <c r="D152" s="21" t="s">
        <v>438</v>
      </c>
      <c r="E152" s="13">
        <v>42915.99454861111</v>
      </c>
      <c r="F152" s="13">
        <v>42915.998171296298</v>
      </c>
      <c r="G152" s="7">
        <v>1</v>
      </c>
      <c r="H152" s="21" t="s">
        <v>477</v>
      </c>
      <c r="I152" s="13">
        <v>42916.037997685184</v>
      </c>
      <c r="J152" s="7">
        <v>0</v>
      </c>
      <c r="K152" s="89" t="str">
        <f t="shared" si="56"/>
        <v>4049/4050</v>
      </c>
      <c r="L152" s="21" t="str">
        <f>VLOOKUP(A152,'Trips&amp;Operators'!$C$1:$G$99999,5,FALSE)</f>
        <v>LAMAR NEKESHA</v>
      </c>
      <c r="M152" s="6">
        <f t="shared" si="57"/>
        <v>3.9826388885558117E-2</v>
      </c>
      <c r="N152" s="7">
        <f t="shared" ref="N152:N172" si="67">24*60*SUM($M152:$M152)</f>
        <v>57.349999995203689</v>
      </c>
      <c r="O152" s="7"/>
      <c r="P152" s="7"/>
      <c r="Q152" s="22"/>
      <c r="R152" s="170" t="s">
        <v>1055</v>
      </c>
      <c r="S152" s="213">
        <f t="shared" ref="S152:S173" si="68">SUM(U152:U152)/IF(AG152="EC",12,1)</f>
        <v>1</v>
      </c>
      <c r="T152" s="195" t="str">
        <f t="shared" si="5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9"/>
        <v>https://d0f6bd738d7f1b3e5a7ca70fe4ff75f0.us-east-1.aws.found.io/app/kibana#/discover/Steve-Slow-Train-Analysis-(2080s-and-2083s)?_g=(refreshInterval:(display:Off,pause:!f,section:0,value:0),time:(from:'2017-06-29T22:52:09-0600',mode:absolute,to:'2017-06-30T01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2" s="197" t="str">
        <f>IF(AA152&lt;VLOOKUP(AG152,Variables!$AC$3:$AD$8,2,FALSE),"Y","N")</f>
        <v>N</v>
      </c>
      <c r="X152" s="197">
        <f t="shared" si="51"/>
        <v>1</v>
      </c>
      <c r="Y152" s="197">
        <f t="shared" si="60"/>
        <v>23.2971</v>
      </c>
      <c r="Z152" s="197">
        <f t="shared" si="61"/>
        <v>1.6299999999999999E-2</v>
      </c>
      <c r="AA152" s="197">
        <f t="shared" si="62"/>
        <v>23.280799999999999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3"/>
        <v>238</v>
      </c>
      <c r="AE152" s="77" t="str">
        <f t="shared" si="64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52" s="74" t="str">
        <f t="shared" si="65"/>
        <v>"C:\Program Files (x86)\AstroGrep\AstroGrep.exe" /e /r /s /spath="%USERPROFILE%\AppData\Local\Temp\OnboardLogs" /stypes="app*4049*20170630*" /stext=" 06:.+((SYSTEM_STATE.+slice.+state.+changed )|(ment ac)|(multiple cpu faults)|(system.+state.+changed )|(\[timeout)|(PRM\|1\|D)|(kpr)|(kdp)|(train st.+moving)|(\|lc)|(penalty))"</v>
      </c>
      <c r="AG152" s="209" t="str">
        <f t="shared" si="66"/>
        <v>EC</v>
      </c>
      <c r="AH152" s="78" t="str">
        <f t="shared" si="52"/>
        <v>"%USERPROFILE%\Documents\GitHub\eaglep3\Utilities\RefineRTDCRunTimes.py" --tripid 238-29 --locoid 4049 --swversion DE.1.0.9.0 --startMP 204:232971 --initTime 2017-06-29T23:52:09 --startdatetime 2017-06-29T23:57:22 --delay 1 --endMP 204:163 --enddatetime 2017-06-30T00:54:43 --enforcementcount 0 &gt;&gt;C:\Users\stu\Documents\GitHub\eaglep3-reporting\EC\2017-06-29-refined-times.txt</v>
      </c>
      <c r="AI152" s="96" t="str">
        <f t="shared" si="53"/>
        <v>echo {"issue":{"subject":"Delayed by car collision with XING arm incident @ York &amp; Josephine","project_id":79,"tracker_id":40,"status_id":1,"priority_id":2,"assigned_to_id":23,"start_date":"2017-06-30","description":"","custom_fields":[{"id":1,"name":"Subdivision","value":"EC"},{"id":4,"name":"Milepost","value":"0.0163"},{"id":17,"name":"Train ID","value":"238-29"},{"id":16,"name":"Locomotive ID","value":"4049"},{"id":130,"name":"Impact","value":""},{"id":150,"name":"Time of Event (Mountain Time)","value":"00:54:43"},{"id":151,"name":"Denver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4"/>
        <v>start /low /b %USERPROFILE%\Documents\GitHub\eaglep3\Utilities\DownloadLogsFromS3.py --loco 4049 --day 2017-06-29</v>
      </c>
      <c r="AN152" s="151" t="str">
        <f t="shared" si="55"/>
        <v>echo {"issue":{"subject":"Delayed by car collision with XING arm incident @ York &amp; Josephine","project_id":30,"tracker_id":4,"status_id":1,"priority_id":1,"assigned_to_id":10,"start_date":"2017-06-30","description":"","custom_fields":[{"id":30,"name":"Category","value":"Issue"},{"id":3,"name":"Functional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802</v>
      </c>
      <c r="B153" s="7">
        <v>4010</v>
      </c>
      <c r="C153" s="21" t="s">
        <v>201</v>
      </c>
      <c r="D153" s="21" t="s">
        <v>342</v>
      </c>
      <c r="E153" s="13">
        <v>42915.970567129632</v>
      </c>
      <c r="F153" s="13">
        <v>42915.984490740739</v>
      </c>
      <c r="G153" s="7">
        <v>1</v>
      </c>
      <c r="H153" s="21" t="s">
        <v>830</v>
      </c>
      <c r="I153" s="13">
        <v>42916.011701388888</v>
      </c>
      <c r="J153" s="7">
        <v>0</v>
      </c>
      <c r="K153" s="89" t="str">
        <f t="shared" si="56"/>
        <v>4009/4010</v>
      </c>
      <c r="L153" s="21" t="str">
        <f>VLOOKUP(A153,'Trips&amp;Operators'!$C$1:$G$99999,5,FALSE)</f>
        <v>SMITH MICHAEL</v>
      </c>
      <c r="M153" s="6">
        <f t="shared" si="57"/>
        <v>2.7210648149775807E-2</v>
      </c>
      <c r="N153" s="7">
        <f t="shared" si="67"/>
        <v>39.183333335677162</v>
      </c>
      <c r="O153" s="7"/>
      <c r="P153" s="7"/>
      <c r="Q153" s="22"/>
      <c r="R153" s="170"/>
      <c r="S153" s="213">
        <f t="shared" si="68"/>
        <v>1</v>
      </c>
      <c r="T153" s="195" t="str">
        <f t="shared" si="5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9"/>
        <v>https://d0f6bd738d7f1b3e5a7ca70fe4ff75f0.us-east-1.aws.found.io/app/kibana#/discover/Steve-Slow-Train-Analysis-(2080s-and-2083s)?_g=(refreshInterval:(display:Off,pause:!f,section:0,value:0),time:(from:'2017-06-29T22:17:37-0600',mode:absolute,to:'2017-06-30T01:16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7" t="str">
        <f>IF(AA153&lt;VLOOKUP(AG153,Variables!$AC$3:$AD$8,2,FALSE),"Y","N")</f>
        <v>N</v>
      </c>
      <c r="X153" s="197">
        <f t="shared" si="51"/>
        <v>1</v>
      </c>
      <c r="Y153" s="197">
        <f t="shared" si="60"/>
        <v>4.4900000000000002E-2</v>
      </c>
      <c r="Z153" s="197">
        <f t="shared" si="61"/>
        <v>23.329899999999999</v>
      </c>
      <c r="AA153" s="197">
        <f t="shared" si="62"/>
        <v>23.285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3"/>
        <v>239</v>
      </c>
      <c r="AE153" s="77" t="str">
        <f t="shared" si="64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53" s="74" t="str">
        <f t="shared" si="65"/>
        <v>"C:\Program Files (x86)\AstroGrep\AstroGrep.exe" /e /r /s /spath="%USERPROFILE%\AppData\Local\Temp\OnboardLogs" /stypes="app*4010*20170630*" /stext=" 06:.+((SYSTEM_STATE.+slice.+state.+changed )|(ment ac)|(multiple cpu faults)|(system.+state.+changed )|(\[timeout)|(PRM\|1\|D)|(kpr)|(kdp)|(train st.+moving)|(\|lc)|(penalty))"</v>
      </c>
      <c r="AG153" s="209" t="str">
        <f t="shared" si="66"/>
        <v>EC</v>
      </c>
      <c r="AH153" s="78" t="str">
        <f t="shared" si="52"/>
        <v>"%USERPROFILE%\Documents\GitHub\eaglep3\Utilities\RefineRTDCRunTimes.py" --tripid 239-29 --locoid 4010 --swversion DE.1.0.9.0 --startMP 204:449 --initTime 2017-06-29T23:17:37 --startdatetime 2017-06-29T23:37:40 --delay 1 --endMP 204:233299 --enddatetime 2017-06-30T00:16:51 --enforcementcount 0 &gt;&gt;C:\Users\stu\Documents\GitHub\eaglep3-reporting\EC\2017-06-29-refined-times.txt</v>
      </c>
      <c r="AI153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{"issue":{"subject":"","project_id":79,"tracker_id":40,"status_id":1,"priority_id":2,"assigned_to_id":23,"start_date":"2017-06-30","description":"","custom_fields":[{"id":1,"name":"Subdivision","value":"EC"},{"id":4,"name":"Milepost","value":"23.3299"},{"id":17,"name":"Train ID","value":"239-29"},{"id":16,"name":"Locomotive ID","value":"4010"},{"id":130,"name":"Impact","value":""},{"id":150,"name":"Time of Event (Mountain Time)","value":"00:16:51"},{"id":151,"name":"Denver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4"/>
        <v>start /low /b %USERPROFILE%\Documents\GitHub\eaglep3\Utilities\DownloadLogsFromS3.py --loco 4010 --day 2017-06-29</v>
      </c>
      <c r="AN15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06:16:51"},{"id":29,"name":"Sharepoint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804</v>
      </c>
      <c r="B154" s="7">
        <v>4009</v>
      </c>
      <c r="C154" s="21" t="s">
        <v>201</v>
      </c>
      <c r="D154" s="21" t="s">
        <v>480</v>
      </c>
      <c r="E154" s="13">
        <v>42916.013969907406</v>
      </c>
      <c r="F154" s="13">
        <v>42916.019490740742</v>
      </c>
      <c r="G154" s="7">
        <v>1</v>
      </c>
      <c r="H154" s="21" t="s">
        <v>553</v>
      </c>
      <c r="I154" s="13">
        <v>42916.062430555554</v>
      </c>
      <c r="J154" s="7">
        <v>0</v>
      </c>
      <c r="K154" s="89" t="str">
        <f t="shared" si="56"/>
        <v>4009/4010</v>
      </c>
      <c r="L154" s="21" t="str">
        <f>VLOOKUP(A154,'Trips&amp;Operators'!$C$1:$G$99999,5,FALSE)</f>
        <v>SMITH MICHAEL</v>
      </c>
      <c r="M154" s="6">
        <f t="shared" si="57"/>
        <v>4.2939814811688848E-2</v>
      </c>
      <c r="N154" s="7">
        <f t="shared" si="67"/>
        <v>61.833333328831941</v>
      </c>
      <c r="O154" s="7"/>
      <c r="P154" s="7"/>
      <c r="Q154" s="22"/>
      <c r="R154" s="170" t="s">
        <v>1055</v>
      </c>
      <c r="S154" s="213">
        <f t="shared" si="68"/>
        <v>1</v>
      </c>
      <c r="T154" s="195" t="str">
        <f t="shared" si="5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9"/>
        <v>https://d0f6bd738d7f1b3e5a7ca70fe4ff75f0.us-east-1.aws.found.io/app/kibana#/discover/Steve-Slow-Train-Analysis-(2080s-and-2083s)?_g=(refreshInterval:(display:Off,pause:!f,section:0,value:0),time:(from:'2017-06-29T23:20:07-0600',mode:absolute,to:'2017-06-30T02:29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7" t="str">
        <f>IF(AA154&lt;VLOOKUP(AG154,Variables!$AC$3:$AD$8,2,FALSE),"Y","N")</f>
        <v>N</v>
      </c>
      <c r="X154" s="197">
        <f t="shared" si="51"/>
        <v>1</v>
      </c>
      <c r="Y154" s="197">
        <f t="shared" si="60"/>
        <v>23.2973</v>
      </c>
      <c r="Z154" s="197">
        <f t="shared" si="61"/>
        <v>1.6E-2</v>
      </c>
      <c r="AA154" s="197">
        <f t="shared" si="62"/>
        <v>23.281300000000002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3"/>
        <v>240</v>
      </c>
      <c r="AE154" s="77" t="str">
        <f t="shared" si="64"/>
        <v>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 &amp; aws s3 cp s3://rtdc.mdm.uploadarchive.raw/RTDC4009/ "%USERPROFILE%\AppData\Local\Temp\OnboardLogs"\RTDC4009\2017-07-01 --exclude "*" --recursive --include "*20170701*" &amp; "%USERPROFILE%\Documents\GitHub\mrs-test-scripts\Headless Mode &amp; Sideloading\WalkAndUnGZ.bat" "%USERPROFILE%\AppData\Local\Temp\OnboardLogs"\RTDC4009\2017-07-01</v>
      </c>
      <c r="AF154" s="74" t="str">
        <f t="shared" si="65"/>
        <v>"C:\Program Files (x86)\AstroGrep\AstroGrep.exe" /e /r /s /spath="%USERPROFILE%\AppData\Local\Temp\OnboardLogs" /stypes="app*4009*20170630*" /stext=" 07:.+((SYSTEM_STATE.+slice.+state.+changed )|(ment ac)|(multiple cpu faults)|(system.+state.+changed )|(\[timeout)|(PRM\|1\|D)|(kpr)|(kdp)|(train st.+moving)|(\|lc)|(penalty))"</v>
      </c>
      <c r="AG154" s="209" t="str">
        <f t="shared" si="66"/>
        <v>EC</v>
      </c>
      <c r="AH154" s="78" t="str">
        <f t="shared" si="52"/>
        <v>"%USERPROFILE%\Documents\GitHub\eaglep3\Utilities\RefineRTDCRunTimes.py" --tripid 240-29 --locoid 4009 --swversion DE.1.0.9.0 --startMP 204:232973 --initTime 2017-06-30T00:20:07 --startdatetime 2017-06-30T00:28:04 --delay 1 --endMP 204:160 --enddatetime 2017-06-30T01:29:54 --enforcementcount 0 &gt;&gt;C:\Users\stu\Documents\GitHub\eaglep3-reporting\EC\2017-06-29-refined-times.txt</v>
      </c>
      <c r="AI154" s="96" t="str">
        <f t="shared" si="53"/>
        <v>echo {"issue":{"subject":"Delayed by car collision with XING arm incident @ York &amp; Josephine","project_id":79,"tracker_id":40,"status_id":1,"priority_id":2,"assigned_to_id":23,"start_date":"2017-06-30","description":"","custom_fields":[{"id":1,"name":"Subdivision","value":"EC"},{"id":4,"name":"Milepost","value":"0.016"},{"id":17,"name":"Train ID","value":"240-29"},{"id":16,"name":"Locomotive ID","value":"4009"},{"id":130,"name":"Impact","value":""},{"id":150,"name":"Time of Event (Mountain Time)","value":"01:29:54"},{"id":151,"name":"Denver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4"/>
        <v>start /low /b %USERPROFILE%\Documents\GitHub\eaglep3\Utilities\DownloadLogsFromS3.py --loco 4009 --day 2017-06-30</v>
      </c>
      <c r="AN154" s="151" t="str">
        <f t="shared" si="55"/>
        <v>echo {"issue":{"subject":"Delayed by car collision with XING arm incident @ York &amp; Josephine","project_id":30,"tracker_id":4,"status_id":1,"priority_id":1,"assigned_to_id":10,"start_date":"2017-06-30","description":"","custom_fields":[{"id":30,"name":"Category","value":"Issue"},{"id":3,"name":"Functional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07:29:54"},{"id":29,"name":"Sharepoint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626</v>
      </c>
      <c r="B155" s="7">
        <v>4060</v>
      </c>
      <c r="C155" s="21" t="s">
        <v>201</v>
      </c>
      <c r="D155" s="21" t="s">
        <v>353</v>
      </c>
      <c r="E155" s="13">
        <v>42915.994259259256</v>
      </c>
      <c r="F155" s="13">
        <v>42916.00545138889</v>
      </c>
      <c r="G155" s="7">
        <v>1</v>
      </c>
      <c r="H155" s="21" t="s">
        <v>842</v>
      </c>
      <c r="I155" s="13">
        <v>42916.03329861111</v>
      </c>
      <c r="J155" s="7">
        <v>0</v>
      </c>
      <c r="K155" s="89" t="str">
        <f t="shared" si="56"/>
        <v>4059/4060</v>
      </c>
      <c r="L155" s="21" t="str">
        <f>VLOOKUP(A155,'Trips&amp;Operators'!$C$1:$G$99999,5,FALSE)</f>
        <v>PERKINS DARREN</v>
      </c>
      <c r="M155" s="6">
        <f t="shared" si="57"/>
        <v>2.7847222219861578E-2</v>
      </c>
      <c r="N155" s="7">
        <f t="shared" si="67"/>
        <v>40.099999996600673</v>
      </c>
      <c r="O155" s="7"/>
      <c r="P155" s="7"/>
      <c r="Q155" s="22"/>
      <c r="R155" s="170"/>
      <c r="S155" s="213">
        <f t="shared" si="68"/>
        <v>1</v>
      </c>
      <c r="T155" s="195" t="str">
        <f t="shared" si="5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9"/>
        <v>https://d0f6bd738d7f1b3e5a7ca70fe4ff75f0.us-east-1.aws.found.io/app/kibana#/discover/Steve-Slow-Train-Analysis-(2080s-and-2083s)?_g=(refreshInterval:(display:Off,pause:!f,section:0,value:0),time:(from:'2017-06-29T22:51:44-0600',mode:absolute,to:'2017-06-30T01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5" s="197" t="str">
        <f>IF(AA155&lt;VLOOKUP(AG155,Variables!$AC$3:$AD$8,2,FALSE),"Y","N")</f>
        <v>N</v>
      </c>
      <c r="X155" s="197">
        <f t="shared" si="51"/>
        <v>1</v>
      </c>
      <c r="Y155" s="197">
        <f t="shared" si="60"/>
        <v>4.4699999999999997E-2</v>
      </c>
      <c r="Z155" s="197">
        <f t="shared" si="61"/>
        <v>23.3309</v>
      </c>
      <c r="AA155" s="197">
        <f t="shared" si="62"/>
        <v>23.286200000000001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3"/>
        <v>241</v>
      </c>
      <c r="AE155" s="77" t="str">
        <f t="shared" si="64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155" s="74" t="str">
        <f t="shared" si="65"/>
        <v>"C:\Program Files (x86)\AstroGrep\AstroGrep.exe" /e /r /s /spath="%USERPROFILE%\AppData\Local\Temp\OnboardLogs" /stypes="app*4060*20170630*" /stext=" 06:.+((SYSTEM_STATE.+slice.+state.+changed )|(ment ac)|(multiple cpu faults)|(system.+state.+changed )|(\[timeout)|(PRM\|1\|D)|(kpr)|(kdp)|(train st.+moving)|(\|lc)|(penalty))"</v>
      </c>
      <c r="AG155" s="209" t="str">
        <f t="shared" si="66"/>
        <v>EC</v>
      </c>
      <c r="AH155" s="78" t="str">
        <f t="shared" si="52"/>
        <v>"%USERPROFILE%\Documents\GitHub\eaglep3\Utilities\RefineRTDCRunTimes.py" --tripid 241-29 --locoid 4060 --swversion DE.1.0.9.0 --startMP 204:447 --initTime 2017-06-29T23:51:44 --startdatetime 2017-06-30T00:07:51 --delay 1 --endMP 204:233309 --enddatetime 2017-06-30T00:47:57 --enforcementcount 0 &gt;&gt;C:\Users\stu\Documents\GitHub\eaglep3-reporting\EC\2017-06-29-refined-times.txt</v>
      </c>
      <c r="AI155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{"issue":{"subject":"","project_id":79,"tracker_id":40,"status_id":1,"priority_id":2,"assigned_to_id":23,"start_date":"2017-06-30","description":"","custom_fields":[{"id":1,"name":"Subdivision","value":"EC"},{"id":4,"name":"Milepost","value":"23.3309"},{"id":17,"name":"Train ID","value":"241-29"},{"id":16,"name":"Locomotive ID","value":"4060"},{"id":130,"name":"Impact","value":""},{"id":150,"name":"Time of Event (Mountain Time)","value":"00:47:57"},{"id":151,"name":"Denver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4"/>
        <v>start /low /b %USERPROFILE%\Documents\GitHub\eaglep3\Utilities\DownloadLogsFromS3.py --loco 4060 --day 2017-06-30</v>
      </c>
      <c r="AN15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627</v>
      </c>
      <c r="B156" s="7">
        <v>4059</v>
      </c>
      <c r="C156" s="21" t="s">
        <v>201</v>
      </c>
      <c r="D156" s="21" t="s">
        <v>514</v>
      </c>
      <c r="E156" s="13">
        <v>42916.03533564815</v>
      </c>
      <c r="F156" s="13">
        <v>42916.041076388887</v>
      </c>
      <c r="G156" s="7">
        <v>2</v>
      </c>
      <c r="H156" s="21" t="s">
        <v>346</v>
      </c>
      <c r="I156" s="13">
        <v>42916.07366898148</v>
      </c>
      <c r="J156" s="7">
        <v>0</v>
      </c>
      <c r="K156" s="89" t="str">
        <f t="shared" si="56"/>
        <v>4059/4060</v>
      </c>
      <c r="L156" s="21" t="str">
        <f>VLOOKUP(A156,'Trips&amp;Operators'!$C$1:$G$99999,5,FALSE)</f>
        <v>PERKINS DARREN</v>
      </c>
      <c r="M156" s="6">
        <f t="shared" si="57"/>
        <v>3.2592592593573499E-2</v>
      </c>
      <c r="N156" s="7">
        <f t="shared" si="67"/>
        <v>46.933333334745839</v>
      </c>
      <c r="O156" s="7"/>
      <c r="P156" s="7"/>
      <c r="Q156" s="22"/>
      <c r="R156" s="170"/>
      <c r="S156" s="213">
        <f t="shared" si="68"/>
        <v>1</v>
      </c>
      <c r="T156" s="195" t="str">
        <f t="shared" si="5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9"/>
        <v>https://d0f6bd738d7f1b3e5a7ca70fe4ff75f0.us-east-1.aws.found.io/app/kibana#/discover/Steve-Slow-Train-Analysis-(2080s-and-2083s)?_g=(refreshInterval:(display:Off,pause:!f,section:0,value:0),time:(from:'2017-06-29T23:50:53-0600',mode:absolute,to:'2017-06-30T02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6" s="197" t="str">
        <f>IF(AA156&lt;VLOOKUP(AG156,Variables!$AC$3:$AD$8,2,FALSE),"Y","N")</f>
        <v>N</v>
      </c>
      <c r="X156" s="197">
        <f t="shared" si="51"/>
        <v>1</v>
      </c>
      <c r="Y156" s="197">
        <f t="shared" si="60"/>
        <v>23.299199999999999</v>
      </c>
      <c r="Z156" s="197">
        <f t="shared" si="61"/>
        <v>1.4999999999999999E-2</v>
      </c>
      <c r="AA156" s="197">
        <f t="shared" si="62"/>
        <v>23.284199999999998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3"/>
        <v>242</v>
      </c>
      <c r="AE156" s="77" t="str">
        <f t="shared" si="64"/>
        <v>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 &amp; aws s3 cp s3://rtdc.mdm.uploadarchive.raw/RTDC4059/ "%USERPROFILE%\AppData\Local\Temp\OnboardLogs"\RTDC4059\2017-07-01 --exclude "*" --recursive --include "*20170701*" &amp; "%USERPROFILE%\Documents\GitHub\mrs-test-scripts\Headless Mode &amp; Sideloading\WalkAndUnGZ.bat" "%USERPROFILE%\AppData\Local\Temp\OnboardLogs"\RTDC4059\2017-07-01</v>
      </c>
      <c r="AF156" s="74" t="str">
        <f t="shared" si="65"/>
        <v>"C:\Program Files (x86)\AstroGrep\AstroGrep.exe" /e /r /s /spath="%USERPROFILE%\AppData\Local\Temp\OnboardLogs" /stypes="app*4059*20170630*" /stext=" 07:.+((SYSTEM_STATE.+slice.+state.+changed )|(ment ac)|(multiple cpu faults)|(system.+state.+changed )|(\[timeout)|(PRM\|1\|D)|(kpr)|(kdp)|(train st.+moving)|(\|lc)|(penalty))"</v>
      </c>
      <c r="AG156" s="209" t="str">
        <f t="shared" si="66"/>
        <v>EC</v>
      </c>
      <c r="AH156" s="78" t="str">
        <f t="shared" si="52"/>
        <v>"%USERPROFILE%\Documents\GitHub\eaglep3\Utilities\RefineRTDCRunTimes.py" --tripid 242-29 --locoid 4059 --swversion DE.1.0.9.0 --startMP 204:232992 --initTime 2017-06-30T00:50:53 --startdatetime 2017-06-30T00:59:09 --delay 2 --endMP 204:150 --enddatetime 2017-06-30T01:46:05 --enforcementcount 0 &gt;&gt;C:\Users\stu\Documents\GitHub\eaglep3-reporting\EC\2017-06-29-refined-times.txt</v>
      </c>
      <c r="AI156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ID","value":"242-29"},{"id":16,"name":"Locomotive ID","value":"4059"},{"id":130,"name":"Impact","value":""},{"id":150,"name":"Time of Event (Mountain Time)","value":"01:46:05"},{"id":151,"name":"Denver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4"/>
        <v>start /low /b %USERPROFILE%\Documents\GitHub\eaglep3\Utilities\DownloadLogsFromS3.py --loco 4059 --day 2017-06-30</v>
      </c>
      <c r="AN15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07:46:05"},{"id":29,"name":"Sharepoint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805</v>
      </c>
      <c r="B157" s="7">
        <v>4062</v>
      </c>
      <c r="C157" s="21" t="s">
        <v>201</v>
      </c>
      <c r="D157" s="21" t="s">
        <v>843</v>
      </c>
      <c r="E157" s="13">
        <v>42916.014999999999</v>
      </c>
      <c r="F157" s="13">
        <v>42916.035509259258</v>
      </c>
      <c r="G157" s="7">
        <v>1</v>
      </c>
      <c r="H157" s="21" t="s">
        <v>466</v>
      </c>
      <c r="I157" s="13">
        <v>42916.06212962963</v>
      </c>
      <c r="J157" s="7">
        <v>0</v>
      </c>
      <c r="K157" s="89" t="str">
        <f t="shared" si="56"/>
        <v>4061/4062</v>
      </c>
      <c r="L157" s="21" t="str">
        <f>VLOOKUP(A157,'Trips&amp;Operators'!$C$1:$G$99999,5,FALSE)</f>
        <v>FORTUNATO FRANK</v>
      </c>
      <c r="M157" s="6">
        <f t="shared" si="57"/>
        <v>2.662037037225673E-2</v>
      </c>
      <c r="N157" s="7">
        <f t="shared" si="67"/>
        <v>38.333333336049691</v>
      </c>
      <c r="O157" s="7"/>
      <c r="P157" s="7"/>
      <c r="Q157" s="22"/>
      <c r="R157" s="170"/>
      <c r="S157" s="213">
        <f t="shared" si="68"/>
        <v>1</v>
      </c>
      <c r="T157" s="195" t="str">
        <f t="shared" si="5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9"/>
        <v>https://d0f6bd738d7f1b3e5a7ca70fe4ff75f0.us-east-1.aws.found.io/app/kibana#/discover/Steve-Slow-Train-Analysis-(2080s-and-2083s)?_g=(refreshInterval:(display:Off,pause:!f,section:0,value:0),time:(from:'2017-06-29T23:21:36-0600',mode:absolute,to:'2017-06-30T02:29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7" s="197" t="str">
        <f>IF(AA157&lt;VLOOKUP(AG157,Variables!$AC$3:$AD$8,2,FALSE),"Y","N")</f>
        <v>N</v>
      </c>
      <c r="X157" s="197">
        <f t="shared" si="51"/>
        <v>1</v>
      </c>
      <c r="Y157" s="197">
        <f t="shared" si="60"/>
        <v>4.3299999999999998E-2</v>
      </c>
      <c r="Z157" s="197">
        <f t="shared" si="61"/>
        <v>23.330500000000001</v>
      </c>
      <c r="AA157" s="197">
        <f t="shared" si="62"/>
        <v>23.287200000000002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3"/>
        <v>243</v>
      </c>
      <c r="AE157" s="77" t="str">
        <f t="shared" si="64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157" s="74" t="str">
        <f t="shared" si="65"/>
        <v>"C:\Program Files (x86)\AstroGrep\AstroGrep.exe" /e /r /s /spath="%USERPROFILE%\AppData\Local\Temp\OnboardLogs" /stypes="app*4062*20170630*" /stext=" 07:.+((SYSTEM_STATE.+slice.+state.+changed )|(ment ac)|(multiple cpu faults)|(system.+state.+changed )|(\[timeout)|(PRM\|1\|D)|(kpr)|(kdp)|(train st.+moving)|(\|lc)|(penalty))"</v>
      </c>
      <c r="AG157" s="209" t="str">
        <f t="shared" si="66"/>
        <v>EC</v>
      </c>
      <c r="AH157" s="78" t="str">
        <f t="shared" si="52"/>
        <v>"%USERPROFILE%\Documents\GitHub\eaglep3\Utilities\RefineRTDCRunTimes.py" --tripid 243-29 --locoid 4062 --swversion DE.1.0.9.0 --startMP 204:433 --initTime 2017-06-30T00:21:36 --startdatetime 2017-06-30T00:51:08 --delay 1 --endMP 204:233305 --enddatetime 2017-06-30T01:29:28 --enforcementcount 0 &gt;&gt;C:\Users\stu\Documents\GitHub\eaglep3-reporting\EC\2017-06-29-refined-times.txt</v>
      </c>
      <c r="AI157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{"issue":{"subject":"","project_id":79,"tracker_id":40,"status_id":1,"priority_id":2,"assigned_to_id":23,"start_date":"2017-06-30","description":"","custom_fields":[{"id":1,"name":"Subdivision","value":"EC"},{"id":4,"name":"Milepost","value":"23.3305"},{"id":17,"name":"Train ID","value":"243-29"},{"id":16,"name":"Locomotive ID","value":"4062"},{"id":130,"name":"Impact","value":""},{"id":150,"name":"Time of Event (Mountain Time)","value":"01:29:28"},{"id":151,"name":"Denver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4"/>
        <v>start /low /b %USERPROFILE%\Documents\GitHub\eaglep3\Utilities\DownloadLogsFromS3.py --loco 4062 --day 2017-06-30</v>
      </c>
      <c r="AN15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807</v>
      </c>
      <c r="B158" s="7">
        <v>4061</v>
      </c>
      <c r="C158" s="21" t="s">
        <v>201</v>
      </c>
      <c r="D158" s="21" t="s">
        <v>475</v>
      </c>
      <c r="E158" s="13">
        <v>42916.06318287037</v>
      </c>
      <c r="F158" s="13">
        <v>42916.065289351849</v>
      </c>
      <c r="G158" s="7">
        <v>1</v>
      </c>
      <c r="H158" s="21" t="s">
        <v>844</v>
      </c>
      <c r="I158" s="13">
        <v>42916.092476851853</v>
      </c>
      <c r="J158" s="7">
        <v>0</v>
      </c>
      <c r="K158" s="89" t="str">
        <f t="shared" si="56"/>
        <v>4061/4062</v>
      </c>
      <c r="L158" s="21" t="str">
        <f>VLOOKUP(A158,'Trips&amp;Operators'!$C$1:$G$99999,5,FALSE)</f>
        <v>FORTUNATO FRANK</v>
      </c>
      <c r="M158" s="6">
        <f t="shared" si="57"/>
        <v>2.718750000349246E-2</v>
      </c>
      <c r="N158" s="7">
        <f t="shared" si="67"/>
        <v>39.150000005029142</v>
      </c>
      <c r="O158" s="7"/>
      <c r="P158" s="7"/>
      <c r="Q158" s="22"/>
      <c r="R158" s="170"/>
      <c r="S158" s="213">
        <f t="shared" si="68"/>
        <v>1</v>
      </c>
      <c r="T158" s="195" t="str">
        <f t="shared" si="5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9"/>
        <v>https://d0f6bd738d7f1b3e5a7ca70fe4ff75f0.us-east-1.aws.found.io/app/kibana#/discover/Steve-Slow-Train-Analysis-(2080s-and-2083s)?_g=(refreshInterval:(display:Off,pause:!f,section:0,value:0),time:(from:'2017-06-30T00:30:59-0600',mode:absolute,to:'2017-06-30T03:13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8" s="197" t="str">
        <f>IF(AA158&lt;VLOOKUP(AG158,Variables!$AC$3:$AD$8,2,FALSE),"Y","N")</f>
        <v>N</v>
      </c>
      <c r="X158" s="197">
        <f t="shared" si="51"/>
        <v>1</v>
      </c>
      <c r="Y158" s="197">
        <f t="shared" si="60"/>
        <v>23.298400000000001</v>
      </c>
      <c r="Z158" s="197">
        <f t="shared" si="61"/>
        <v>1.6899999999999998E-2</v>
      </c>
      <c r="AA158" s="197">
        <f t="shared" si="62"/>
        <v>23.281500000000001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3"/>
        <v>244</v>
      </c>
      <c r="AE158" s="77" t="str">
        <f t="shared" si="64"/>
        <v>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 &amp; 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</v>
      </c>
      <c r="AF158" s="74" t="str">
        <f t="shared" si="65"/>
        <v>"C:\Program Files (x86)\AstroGrep\AstroGrep.exe" /e /r /s /spath="%USERPROFILE%\AppData\Local\Temp\OnboardLogs" /stypes="app*4061*20170630*" /stext=" 08:.+((SYSTEM_STATE.+slice.+state.+changed )|(ment ac)|(multiple cpu faults)|(system.+state.+changed )|(\[timeout)|(PRM\|1\|D)|(kpr)|(kdp)|(train st.+moving)|(\|lc)|(penalty))"</v>
      </c>
      <c r="AG158" s="209" t="str">
        <f t="shared" si="66"/>
        <v>EC</v>
      </c>
      <c r="AH158" s="78" t="str">
        <f t="shared" si="52"/>
        <v>"%USERPROFILE%\Documents\GitHub\eaglep3\Utilities\RefineRTDCRunTimes.py" --tripid 244-29 --locoid 4061 --swversion DE.1.0.9.0 --startMP 204:232984 --initTime 2017-06-30T01:30:59 --startdatetime 2017-06-30T01:34:01 --delay 1 --endMP 204:169 --enddatetime 2017-06-30T02:13:10 --enforcementcount 0 &gt;&gt;C:\Users\stu\Documents\GitHub\eaglep3-reporting\EC\2017-06-29-refined-times.txt</v>
      </c>
      <c r="AI158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{"issue":{"subject":"","project_id":79,"tracker_id":40,"status_id":1,"priority_id":2,"assigned_to_id":23,"start_date":"2017-06-30","description":"","custom_fields":[{"id":1,"name":"Subdivision","value":"EC"},{"id":4,"name":"Milepost","value":"0.0169"},{"id":17,"name":"Train ID","value":"244-29"},{"id":16,"name":"Locomotive ID","value":"4061"},{"id":130,"name":"Impact","value":""},{"id":150,"name":"Time of Event (Mountain Time)","value":"02:13:10"},{"id":151,"name":"Denver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4"/>
        <v>start /low /b %USERPROFILE%\Documents\GitHub\eaglep3\Utilities\DownloadLogsFromS3.py --loco 4061 --day 2017-06-30</v>
      </c>
      <c r="AN15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08:13:10"},{"id":29,"name":"Sharepoint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573</v>
      </c>
      <c r="B159" s="7">
        <v>4041</v>
      </c>
      <c r="C159" s="21" t="s">
        <v>201</v>
      </c>
      <c r="D159" s="21" t="s">
        <v>865</v>
      </c>
      <c r="E159" s="13">
        <v>42915.209953703707</v>
      </c>
      <c r="F159" s="13">
        <v>42915.212384259263</v>
      </c>
      <c r="G159" s="7">
        <v>1</v>
      </c>
      <c r="H159" s="21" t="s">
        <v>866</v>
      </c>
      <c r="I159" s="13">
        <v>42915.225578703707</v>
      </c>
      <c r="J159" s="7">
        <v>0</v>
      </c>
      <c r="K159" s="89" t="str">
        <f t="shared" si="56"/>
        <v>4041/4042</v>
      </c>
      <c r="L159" s="21" t="str">
        <f>VLOOKUP(A159,'Trips&amp;Operators'!$C$1:$G$99999,5,FALSE)</f>
        <v>DAVIS WENDY</v>
      </c>
      <c r="M159" s="6">
        <f t="shared" si="57"/>
        <v>1.3194444443797693E-2</v>
      </c>
      <c r="N159" s="7">
        <f t="shared" si="67"/>
        <v>18.999999999068677</v>
      </c>
      <c r="O159" s="7"/>
      <c r="P159" s="7"/>
      <c r="Q159" s="22"/>
      <c r="R159" s="170"/>
      <c r="S159" s="213">
        <f t="shared" si="68"/>
        <v>1</v>
      </c>
      <c r="T159" s="195" t="str">
        <f t="shared" si="5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9"/>
        <v>https://d0f6bd738d7f1b3e5a7ca70fe4ff75f0.us-east-1.aws.found.io/app/kibana#/discover/Steve-Slow-Train-Analysis-(2080s-and-2083s)?_g=(refreshInterval:(display:Off,pause:!f,section:0,value:0),time:(from:'2017-06-29T04:02:20-0600',mode:absolute,to:'2017-06-29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51"/>
        <v>556</v>
      </c>
      <c r="Y159" s="197">
        <f t="shared" si="60"/>
        <v>5.8701999999999996</v>
      </c>
      <c r="Z159" s="197">
        <f t="shared" si="61"/>
        <v>6.4899999999999999E-2</v>
      </c>
      <c r="AA159" s="197">
        <f t="shared" si="62"/>
        <v>5.8052999999999999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3"/>
        <v>800</v>
      </c>
      <c r="AE159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59" s="74" t="str">
        <f t="shared" si="65"/>
        <v>"C:\Program Files (x86)\AstroGrep\AstroGrep.exe" /e /r /s /spath="%USERPROFILE%\AppData\Local\Temp\OnboardLogs" /stypes="app*4041*20170629*" /stext=" 11:.+((SYSTEM_STATE.+slice.+state.+changed )|(ment ac)|(multiple cpu faults)|(system.+state.+changed )|(\[timeout)|(PRM\|1\|D)|(kpr)|(kdp)|(train st.+moving)|(\|lc)|(penalty))"</v>
      </c>
      <c r="AG159" s="209" t="str">
        <f t="shared" si="66"/>
        <v>NW</v>
      </c>
      <c r="AH159" s="78" t="str">
        <f t="shared" si="52"/>
        <v>"%USERPROFILE%\Documents\GitHub\eaglep3\Utilities\RefineRTDCRunTimes.py" --tripid 800-29 --locoid 4041 --swversion DE.1.0.9.0 --startMP 300:58702 --initTime 2017-06-29T05:02:20 --startdatetime 2017-06-29T05:05:50 --delay 1 --endMP 204:649 --enddatetime 2017-06-29T05:24:50 --enforcementcount 0 &gt;&gt;C:\Users\stu\Documents\GitHub\eaglep3-reporting\EC\2017-06-29-refined-times.txt</v>
      </c>
      <c r="AI15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{"issue":{"subject":"","project_id":79,"tracker_id":40,"status_id":1,"priority_id":2,"assigned_to_id":23,"start_date":"2017-06-29","description":"","custom_fields":[{"id":1,"name":"Subdivision","value":"NW"},{"id":4,"name":"Milepost","value":"0.0649"},{"id":17,"name":"Train ID","value":"800-29"},{"id":16,"name":"Locomotive ID","value":"4041"},{"id":130,"name":"Impact","value":""},{"id":150,"name":"Time of Event (Mountain Time)","value":"05:24:50"},{"id":151,"name":"Denver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4"/>
        <v>start /low /b %USERPROFILE%\Documents\GitHub\eaglep3\Utilities\DownloadLogsFromS3.py --loco 4041 --day 2017-06-29</v>
      </c>
      <c r="AN15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575</v>
      </c>
      <c r="B160" s="7">
        <v>4042</v>
      </c>
      <c r="C160" s="21" t="s">
        <v>201</v>
      </c>
      <c r="D160" s="21" t="s">
        <v>867</v>
      </c>
      <c r="E160" s="13">
        <v>42915.240729166668</v>
      </c>
      <c r="F160" s="13">
        <v>42915.243923611109</v>
      </c>
      <c r="G160" s="7">
        <v>1</v>
      </c>
      <c r="H160" s="21" t="s">
        <v>868</v>
      </c>
      <c r="I160" s="13">
        <v>42915.253761574073</v>
      </c>
      <c r="J160" s="7">
        <v>0</v>
      </c>
      <c r="K160" s="89" t="str">
        <f t="shared" si="56"/>
        <v>4041/4042</v>
      </c>
      <c r="L160" s="21" t="str">
        <f>VLOOKUP(A160,'Trips&amp;Operators'!$C$1:$G$99999,5,FALSE)</f>
        <v>DAVIS WENDY</v>
      </c>
      <c r="M160" s="6">
        <f t="shared" si="57"/>
        <v>9.8379629635019228E-3</v>
      </c>
      <c r="N160" s="7">
        <f t="shared" si="67"/>
        <v>14.166666667442769</v>
      </c>
      <c r="O160" s="7"/>
      <c r="P160" s="7"/>
      <c r="Q160" s="22"/>
      <c r="R160" s="170"/>
      <c r="S160" s="213">
        <f t="shared" si="68"/>
        <v>1</v>
      </c>
      <c r="T160" s="195" t="str">
        <f t="shared" si="5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9"/>
        <v>https://d0f6bd738d7f1b3e5a7ca70fe4ff75f0.us-east-1.aws.found.io/app/kibana#/discover/Steve-Slow-Train-Analysis-(2080s-and-2083s)?_g=(refreshInterval:(display:Off,pause:!f,section:0,value:0),time:(from:'2017-06-29T04:46:39-0600',mode:absolute,to:'2017-06-29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197" t="str">
        <f>IF(AA160&lt;VLOOKUP(AG160,Variables!$AC$3:$AD$8,2,FALSE),"Y","N")</f>
        <v>N</v>
      </c>
      <c r="X160" s="197">
        <f t="shared" si="51"/>
        <v>1</v>
      </c>
      <c r="Y160" s="197">
        <f t="shared" si="60"/>
        <v>9.1600000000000001E-2</v>
      </c>
      <c r="Z160" s="197">
        <f t="shared" si="61"/>
        <v>5.9016000000000002</v>
      </c>
      <c r="AA160" s="197">
        <f t="shared" si="62"/>
        <v>5.8100000000000005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3"/>
        <v>801</v>
      </c>
      <c r="AE160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0" s="74" t="str">
        <f t="shared" si="65"/>
        <v>"C:\Program Files (x86)\AstroGrep\AstroGrep.exe" /e /r /s /spath="%USERPROFILE%\AppData\Local\Temp\OnboardLogs" /stypes="app*4042*20170629*" /stext=" 12:.+((SYSTEM_STATE.+slice.+state.+changed )|(ment ac)|(multiple cpu faults)|(system.+state.+changed )|(\[timeout)|(PRM\|1\|D)|(kpr)|(kdp)|(train st.+moving)|(\|lc)|(penalty))"</v>
      </c>
      <c r="AG160" s="209" t="str">
        <f t="shared" si="66"/>
        <v>NW</v>
      </c>
      <c r="AH160" s="78" t="str">
        <f t="shared" si="52"/>
        <v>"%USERPROFILE%\Documents\GitHub\eaglep3\Utilities\RefineRTDCRunTimes.py" --tripid 801-29 --locoid 4042 --swversion DE.1.0.9.0 --startMP 204:916 --initTime 2017-06-29T05:46:39 --startdatetime 2017-06-29T05:51:15 --delay 1 --endMP 300:59016 --enddatetime 2017-06-29T06:05:25 --enforcementcount 0 &gt;&gt;C:\Users\stu\Documents\GitHub\eaglep3-reporting\EC\2017-06-29-refined-times.txt</v>
      </c>
      <c r="AI16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{"issue":{"subject":"","project_id":79,"tracker_id":40,"status_id":1,"priority_id":2,"assigned_to_id":23,"start_date":"2017-06-29","description":"","custom_fields":[{"id":1,"name":"Subdivision","value":"NW"},{"id":4,"name":"Milepost","value":"5.9016"},{"id":17,"name":"Train ID","value":"801-29"},{"id":16,"name":"Locomotive ID","value":"4042"},{"id":130,"name":"Impact","value":""},{"id":150,"name":"Time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4"/>
        <v>start /low /b %USERPROFILE%\Documents\GitHub\eaglep3\Utilities\DownloadLogsFromS3.py --loco 4042 --day 2017-06-29</v>
      </c>
      <c r="AN16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577</v>
      </c>
      <c r="B161" s="7">
        <v>4041</v>
      </c>
      <c r="C161" s="21" t="s">
        <v>201</v>
      </c>
      <c r="D161" s="21" t="s">
        <v>869</v>
      </c>
      <c r="E161" s="13">
        <v>42915.254548611112</v>
      </c>
      <c r="F161" s="13">
        <v>42915.255694444444</v>
      </c>
      <c r="G161" s="7">
        <v>1</v>
      </c>
      <c r="H161" s="21" t="s">
        <v>499</v>
      </c>
      <c r="I161" s="13">
        <v>42915.26761574074</v>
      </c>
      <c r="J161" s="7">
        <v>0</v>
      </c>
      <c r="K161" s="89" t="str">
        <f t="shared" si="56"/>
        <v>4041/4042</v>
      </c>
      <c r="L161" s="21" t="str">
        <f>VLOOKUP(A161,'Trips&amp;Operators'!$C$1:$G$99999,5,FALSE)</f>
        <v>DAVIS WENDY</v>
      </c>
      <c r="M161" s="6">
        <f t="shared" si="57"/>
        <v>1.1921296296350192E-2</v>
      </c>
      <c r="N161" s="7">
        <f t="shared" si="67"/>
        <v>17.166666666744277</v>
      </c>
      <c r="O161" s="7"/>
      <c r="P161" s="7"/>
      <c r="Q161" s="22"/>
      <c r="R161" s="170"/>
      <c r="S161" s="213">
        <f t="shared" si="68"/>
        <v>1</v>
      </c>
      <c r="T161" s="195" t="str">
        <f t="shared" si="5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9"/>
        <v>https://d0f6bd738d7f1b3e5a7ca70fe4ff75f0.us-east-1.aws.found.io/app/kibana#/discover/Steve-Slow-Train-Analysis-(2080s-and-2083s)?_g=(refreshInterval:(display:Off,pause:!f,section:0,value:0),time:(from:'2017-06-29T05:06:33-0600',mode:absolute,to:'2017-06-29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197" t="str">
        <f>IF(AA161&lt;VLOOKUP(AG161,Variables!$AC$3:$AD$8,2,FALSE),"Y","N")</f>
        <v>N</v>
      </c>
      <c r="X161" s="197">
        <f t="shared" si="51"/>
        <v>1</v>
      </c>
      <c r="Y161" s="197">
        <f t="shared" si="60"/>
        <v>5.8697999999999997</v>
      </c>
      <c r="Z161" s="197">
        <f t="shared" si="61"/>
        <v>6.8900000000000003E-2</v>
      </c>
      <c r="AA161" s="197">
        <f t="shared" si="62"/>
        <v>5.8008999999999995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3"/>
        <v>802</v>
      </c>
      <c r="AE161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1" s="74" t="str">
        <f t="shared" si="65"/>
        <v>"C:\Program Files (x86)\AstroGrep\AstroGrep.exe" /e /r /s /spath="%USERPROFILE%\AppData\Local\Temp\OnboardLogs" /stypes="app*4041*20170629*" /stext=" 12:.+((SYSTEM_STATE.+slice.+state.+changed )|(ment ac)|(multiple cpu faults)|(system.+state.+changed )|(\[timeout)|(PRM\|1\|D)|(kpr)|(kdp)|(train st.+moving)|(\|lc)|(penalty))"</v>
      </c>
      <c r="AG161" s="209" t="str">
        <f t="shared" si="66"/>
        <v>NW</v>
      </c>
      <c r="AH161" s="78" t="str">
        <f t="shared" si="52"/>
        <v>"%USERPROFILE%\Documents\GitHub\eaglep3\Utilities\RefineRTDCRunTimes.py" --tripid 802-29 --locoid 4041 --swversion DE.1.0.9.0 --startMP 300:58698 --initTime 2017-06-29T06:06:33 --startdatetime 2017-06-29T06:08:12 --delay 1 --endMP 204:689 --enddatetime 2017-06-29T06:25:22 --enforcementcount 0 &gt;&gt;C:\Users\stu\Documents\GitHub\eaglep3-reporting\EC\2017-06-29-refined-times.txt</v>
      </c>
      <c r="AI16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{"issue":{"subject":"","project_id":79,"tracker_id":40,"status_id":1,"priority_id":2,"assigned_to_id":23,"start_date":"2017-06-29","description":"","custom_fields":[{"id":1,"name":"Subdivision","value":"NW"},{"id":4,"name":"Milepost","value":"0.0689"},{"id":17,"name":"Train ID","value":"802-29"},{"id":16,"name":"Locomotive ID","value":"4041"},{"id":130,"name":"Impact","value":""},{"id":150,"name":"Time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4"/>
        <v>start /low /b %USERPROFILE%\Documents\GitHub\eaglep3\Utilities\DownloadLogsFromS3.py --loco 4041 --day 2017-06-29</v>
      </c>
      <c r="AN16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656</v>
      </c>
      <c r="B162" s="7">
        <v>4018</v>
      </c>
      <c r="C162" s="21" t="s">
        <v>201</v>
      </c>
      <c r="D162" s="21" t="s">
        <v>870</v>
      </c>
      <c r="E162" s="13">
        <v>42915.261516203704</v>
      </c>
      <c r="F162" s="13">
        <v>42915.264884259261</v>
      </c>
      <c r="G162" s="7">
        <v>1</v>
      </c>
      <c r="H162" s="21" t="s">
        <v>871</v>
      </c>
      <c r="I162" s="13">
        <v>42915.27416666667</v>
      </c>
      <c r="J162" s="7">
        <v>0</v>
      </c>
      <c r="K162" s="89" t="str">
        <f t="shared" si="56"/>
        <v>4017/4018</v>
      </c>
      <c r="L162" s="21" t="str">
        <f>VLOOKUP(A162,'Trips&amp;Operators'!$C$1:$G$99999,5,FALSE)</f>
        <v>YANG JAN</v>
      </c>
      <c r="M162" s="6">
        <f t="shared" si="57"/>
        <v>9.2824074090458453E-3</v>
      </c>
      <c r="N162" s="7">
        <f t="shared" si="67"/>
        <v>13.366666669026017</v>
      </c>
      <c r="O162" s="7"/>
      <c r="P162" s="7"/>
      <c r="Q162" s="22"/>
      <c r="R162" s="170"/>
      <c r="S162" s="213">
        <f t="shared" si="68"/>
        <v>1</v>
      </c>
      <c r="T162" s="195" t="str">
        <f t="shared" si="5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9"/>
        <v>https://d0f6bd738d7f1b3e5a7ca70fe4ff75f0.us-east-1.aws.found.io/app/kibana#/discover/Steve-Slow-Train-Analysis-(2080s-and-2083s)?_g=(refreshInterval:(display:Off,pause:!f,section:0,value:0),time:(from:'2017-06-29T05:16:35-0600',mode:absolute,to:'2017-06-29T07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97" t="str">
        <f>IF(AA162&lt;VLOOKUP(AG162,Variables!$AC$3:$AD$8,2,FALSE),"Y","N")</f>
        <v>N</v>
      </c>
      <c r="X162" s="197">
        <f t="shared" si="51"/>
        <v>1</v>
      </c>
      <c r="Y162" s="197">
        <f t="shared" si="60"/>
        <v>9.69E-2</v>
      </c>
      <c r="Z162" s="197">
        <f t="shared" si="61"/>
        <v>5.8930999999999996</v>
      </c>
      <c r="AA162" s="197">
        <f t="shared" si="62"/>
        <v>5.7961999999999998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3"/>
        <v>803</v>
      </c>
      <c r="AE162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62" s="74" t="str">
        <f t="shared" si="65"/>
        <v>"C:\Program Files (x86)\AstroGrep\AstroGrep.exe" /e /r /s /spath="%USERPROFILE%\AppData\Local\Temp\OnboardLogs" /stypes="app*4018*20170629*" /stext=" 12:.+((SYSTEM_STATE.+slice.+state.+changed )|(ment ac)|(multiple cpu faults)|(system.+state.+changed )|(\[timeout)|(PRM\|1\|D)|(kpr)|(kdp)|(train st.+moving)|(\|lc)|(penalty))"</v>
      </c>
      <c r="AG162" s="209" t="str">
        <f t="shared" si="66"/>
        <v>NW</v>
      </c>
      <c r="AH162" s="78" t="str">
        <f t="shared" si="52"/>
        <v>"%USERPROFILE%\Documents\GitHub\eaglep3\Utilities\RefineRTDCRunTimes.py" --tripid 803-29 --locoid 4018 --swversion DE.1.0.9.0 --startMP 204:969 --initTime 2017-06-29T06:16:35 --startdatetime 2017-06-29T06:21:26 --delay 1 --endMP 300:58931 --enddatetime 2017-06-29T06:34:48 --enforcementcount 0 &gt;&gt;C:\Users\stu\Documents\GitHub\eaglep3-reporting\EC\2017-06-29-refined-times.txt</v>
      </c>
      <c r="AI16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{"issue":{"subject":"","project_id":79,"tracker_id":40,"status_id":1,"priority_id":2,"assigned_to_id":23,"start_date":"2017-06-29","description":"","custom_fields":[{"id":1,"name":"Subdivision","value":"NW"},{"id":4,"name":"Milepost","value":"5.8931"},{"id":17,"name":"Train ID","value":"803-29"},{"id":16,"name":"Locomotive ID","value":"4018"},{"id":130,"name":"Impact","value":""},{"id":150,"name":"Time of Event (Mountain Time)","value":"06:34:48"},{"id":151,"name":"Denver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4"/>
        <v>start /low /b %USERPROFILE%\Documents\GitHub\eaglep3\Utilities\DownloadLogsFromS3.py --loco 4018 --day 2017-06-29</v>
      </c>
      <c r="AN16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659</v>
      </c>
      <c r="B163" s="7">
        <v>4017</v>
      </c>
      <c r="C163" s="21" t="s">
        <v>201</v>
      </c>
      <c r="D163" s="21" t="s">
        <v>558</v>
      </c>
      <c r="E163" s="13">
        <v>42915.275787037041</v>
      </c>
      <c r="F163" s="13">
        <v>42915.277824074074</v>
      </c>
      <c r="G163" s="7">
        <v>1</v>
      </c>
      <c r="H163" s="21" t="s">
        <v>524</v>
      </c>
      <c r="I163" s="13">
        <v>42915.288356481484</v>
      </c>
      <c r="J163" s="7">
        <v>0</v>
      </c>
      <c r="K163" s="89" t="str">
        <f t="shared" si="56"/>
        <v>4017/4018</v>
      </c>
      <c r="L163" s="21" t="str">
        <f>VLOOKUP(A163,'Trips&amp;Operators'!$C$1:$G$99999,5,FALSE)</f>
        <v>YANG JAN</v>
      </c>
      <c r="M163" s="6">
        <f t="shared" si="57"/>
        <v>1.0532407410209998E-2</v>
      </c>
      <c r="N163" s="7">
        <f t="shared" si="67"/>
        <v>15.166666670702398</v>
      </c>
      <c r="O163" s="7"/>
      <c r="P163" s="7"/>
      <c r="Q163" s="22"/>
      <c r="R163" s="170"/>
      <c r="S163" s="213">
        <f t="shared" si="68"/>
        <v>1</v>
      </c>
      <c r="T163" s="195" t="str">
        <f t="shared" si="5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9"/>
        <v>https://d0f6bd738d7f1b3e5a7ca70fe4ff75f0.us-east-1.aws.found.io/app/kibana#/discover/Steve-Slow-Train-Analysis-(2080s-and-2083s)?_g=(refreshInterval:(display:Off,pause:!f,section:0,value:0),time:(from:'2017-06-29T05:37:08-0600',mode:absolute,to:'2017-06-29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7" t="str">
        <f>IF(AA163&lt;VLOOKUP(AG163,Variables!$AC$3:$AD$8,2,FALSE),"Y","N")</f>
        <v>N</v>
      </c>
      <c r="X163" s="197">
        <f t="shared" si="51"/>
        <v>1</v>
      </c>
      <c r="Y163" s="197">
        <f t="shared" si="60"/>
        <v>5.8611000000000004</v>
      </c>
      <c r="Z163" s="197">
        <f t="shared" si="61"/>
        <v>6.9099999999999995E-2</v>
      </c>
      <c r="AA163" s="197">
        <f t="shared" si="62"/>
        <v>5.7920000000000007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3"/>
        <v>804</v>
      </c>
      <c r="AE163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63" s="74" t="str">
        <f t="shared" si="65"/>
        <v>"C:\Program Files (x86)\AstroGrep\AstroGrep.exe" /e /r /s /spath="%USERPROFILE%\AppData\Local\Temp\OnboardLogs" /stypes="app*4017*20170629*" /stext=" 12:.+((SYSTEM_STATE.+slice.+state.+changed )|(ment ac)|(multiple cpu faults)|(system.+state.+changed )|(\[timeout)|(PRM\|1\|D)|(kpr)|(kdp)|(train st.+moving)|(\|lc)|(penalty))"</v>
      </c>
      <c r="AG163" s="209" t="str">
        <f t="shared" si="66"/>
        <v>NW</v>
      </c>
      <c r="AH163" s="78" t="str">
        <f t="shared" si="52"/>
        <v>"%USERPROFILE%\Documents\GitHub\eaglep3\Utilities\RefineRTDCRunTimes.py" --tripid 804-29 --locoid 4017 --swversion DE.1.0.9.0 --startMP 300:58611 --initTime 2017-06-29T06:37:08 --startdatetime 2017-06-29T06:40:04 --delay 1 --endMP 204:691 --enddatetime 2017-06-29T06:55:14 --enforcementcount 0 &gt;&gt;C:\Users\stu\Documents\GitHub\eaglep3-reporting\EC\2017-06-29-refined-times.txt</v>
      </c>
      <c r="AI16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{"issue":{"subject":"","project_id":79,"tracker_id":40,"status_id":1,"priority_id":2,"assigned_to_id":23,"start_date":"2017-06-29","description":"","custom_fields":[{"id":1,"name":"Subdivision","value":"NW"},{"id":4,"name":"Milepost","value":"0.0691"},{"id":17,"name":"Train ID","value":"804-29"},{"id":16,"name":"Locomotive ID","value":"4017"},{"id":130,"name":"Impact","value":""},{"id":150,"name":"Time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4"/>
        <v>start /low /b %USERPROFILE%\Documents\GitHub\eaglep3\Utilities\DownloadLogsFromS3.py --loco 4017 --day 2017-06-29</v>
      </c>
      <c r="AN16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661</v>
      </c>
      <c r="B164" s="7">
        <v>4042</v>
      </c>
      <c r="C164" s="21" t="s">
        <v>201</v>
      </c>
      <c r="D164" s="21" t="s">
        <v>564</v>
      </c>
      <c r="E164" s="13">
        <v>42915.282349537039</v>
      </c>
      <c r="F164" s="13">
        <v>42915.285578703704</v>
      </c>
      <c r="G164" s="7">
        <v>0</v>
      </c>
      <c r="H164" s="21" t="s">
        <v>872</v>
      </c>
      <c r="I164" s="13">
        <v>42915.294965277775</v>
      </c>
      <c r="J164" s="7">
        <v>0</v>
      </c>
      <c r="K164" s="89" t="str">
        <f t="shared" si="56"/>
        <v>4041/4042</v>
      </c>
      <c r="L164" s="21" t="str">
        <f>VLOOKUP(A164,'Trips&amp;Operators'!$C$1:$G$99999,5,FALSE)</f>
        <v>DAVIS WENDY</v>
      </c>
      <c r="M164" s="6">
        <f t="shared" si="57"/>
        <v>9.3865740709588863E-3</v>
      </c>
      <c r="N164" s="7">
        <f t="shared" si="67"/>
        <v>13.516666662180796</v>
      </c>
      <c r="O164" s="7"/>
      <c r="P164" s="7"/>
      <c r="Q164" s="22"/>
      <c r="R164" s="170"/>
      <c r="S164" s="213">
        <f t="shared" si="68"/>
        <v>1</v>
      </c>
      <c r="T164" s="195" t="str">
        <f t="shared" si="5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9"/>
        <v>https://d0f6bd738d7f1b3e5a7ca70fe4ff75f0.us-east-1.aws.found.io/app/kibana#/discover/Steve-Slow-Train-Analysis-(2080s-and-2083s)?_g=(refreshInterval:(display:Off,pause:!f,section:0,value:0),time:(from:'2017-06-29T05:46:35-0600',mode:absolute,to:'2017-06-29T08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197" t="str">
        <f>IF(AA164&lt;VLOOKUP(AG164,Variables!$AC$3:$AD$8,2,FALSE),"Y","N")</f>
        <v>N</v>
      </c>
      <c r="X164" s="197">
        <f t="shared" si="51"/>
        <v>1</v>
      </c>
      <c r="Y164" s="197">
        <f t="shared" si="60"/>
        <v>9.64E-2</v>
      </c>
      <c r="Z164" s="197">
        <f t="shared" si="61"/>
        <v>5.9017999999999997</v>
      </c>
      <c r="AA164" s="197">
        <f t="shared" si="62"/>
        <v>5.8053999999999997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3"/>
        <v>805</v>
      </c>
      <c r="AE164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4" s="74" t="str">
        <f t="shared" si="65"/>
        <v>"C:\Program Files (x86)\AstroGrep\AstroGrep.exe" /e /r /s /spath="%USERPROFILE%\AppData\Local\Temp\OnboardLogs" /stypes="app*4042*20170629*" /stext=" 13:.+((SYSTEM_STATE.+slice.+state.+changed )|(ment ac)|(multiple cpu faults)|(system.+state.+changed )|(\[timeout)|(PRM\|1\|D)|(kpr)|(kdp)|(train st.+moving)|(\|lc)|(penalty))"</v>
      </c>
      <c r="AG164" s="209" t="str">
        <f t="shared" si="66"/>
        <v>NW</v>
      </c>
      <c r="AH164" s="78" t="str">
        <f t="shared" si="52"/>
        <v>"%USERPROFILE%\Documents\GitHub\eaglep3\Utilities\RefineRTDCRunTimes.py" --tripid 805-29 --locoid 4042 --swversion DE.1.0.9.0 --startMP 204:964 --initTime 2017-06-29T06:46:35 --startdatetime 2017-06-29T06:51:14 --delay 0 --endMP 300:59018 --enddatetime 2017-06-29T07:04:45 --enforcementcount 0 &gt;&gt;C:\Users\stu\Documents\GitHub\eaglep3-reporting\EC\2017-06-29-refined-times.txt</v>
      </c>
      <c r="AI16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{"issue":{"subject":"","project_id":79,"tracker_id":40,"status_id":1,"priority_id":2,"assigned_to_id":23,"start_date":"2017-06-29","description":"","custom_fields":[{"id":1,"name":"Subdivision","value":"NW"},{"id":4,"name":"Milepost","value":"5.9018"},{"id":17,"name":"Train ID","value":"805-29"},{"id":16,"name":"Locomotive ID","value":"4042"},{"id":130,"name":"Impact","value":""},{"id":150,"name":"Time of Event (Mountain Time)","value":"07:04:45"},{"id":151,"name":"Denver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4"/>
        <v>start /low /b %USERPROFILE%\Documents\GitHub\eaglep3\Utilities\DownloadLogsFromS3.py --loco 4042 --day 2017-06-29</v>
      </c>
      <c r="AN16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666</v>
      </c>
      <c r="B165" s="7">
        <v>4041</v>
      </c>
      <c r="C165" s="21" t="s">
        <v>201</v>
      </c>
      <c r="D165" s="21" t="s">
        <v>873</v>
      </c>
      <c r="E165" s="13">
        <v>42915.296226851853</v>
      </c>
      <c r="F165" s="13">
        <v>42915.297337962962</v>
      </c>
      <c r="G165" s="7">
        <v>1</v>
      </c>
      <c r="H165" s="21" t="s">
        <v>874</v>
      </c>
      <c r="I165" s="13">
        <v>42915.309687499997</v>
      </c>
      <c r="J165" s="7">
        <v>0</v>
      </c>
      <c r="K165" s="89" t="str">
        <f t="shared" si="56"/>
        <v>4041/4042</v>
      </c>
      <c r="L165" s="21" t="str">
        <f>VLOOKUP(A165,'Trips&amp;Operators'!$C$1:$G$99999,5,FALSE)</f>
        <v>DAVIS WENDY</v>
      </c>
      <c r="M165" s="6">
        <f t="shared" si="57"/>
        <v>1.2349537035333924E-2</v>
      </c>
      <c r="N165" s="7">
        <f t="shared" si="67"/>
        <v>17.783333330880851</v>
      </c>
      <c r="O165" s="7"/>
      <c r="P165" s="7"/>
      <c r="Q165" s="22"/>
      <c r="R165" s="170"/>
      <c r="S165" s="213">
        <f t="shared" si="68"/>
        <v>1</v>
      </c>
      <c r="T165" s="195" t="str">
        <f t="shared" si="5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9"/>
        <v>https://d0f6bd738d7f1b3e5a7ca70fe4ff75f0.us-east-1.aws.found.io/app/kibana#/discover/Steve-Slow-Train-Analysis-(2080s-and-2083s)?_g=(refreshInterval:(display:Off,pause:!f,section:0,value:0),time:(from:'2017-06-29T06:06:34-0600',mode:absolute,to:'2017-06-29T08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197" t="str">
        <f>IF(AA165&lt;VLOOKUP(AG165,Variables!$AC$3:$AD$8,2,FALSE),"Y","N")</f>
        <v>N</v>
      </c>
      <c r="X165" s="197">
        <f t="shared" si="51"/>
        <v>1</v>
      </c>
      <c r="Y165" s="197">
        <f t="shared" si="60"/>
        <v>5.87</v>
      </c>
      <c r="Z165" s="197">
        <f t="shared" si="61"/>
        <v>6.3799999999999996E-2</v>
      </c>
      <c r="AA165" s="197">
        <f t="shared" si="62"/>
        <v>5.8062000000000005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3"/>
        <v>806</v>
      </c>
      <c r="AE165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5" s="74" t="str">
        <f t="shared" si="65"/>
        <v>"C:\Program Files (x86)\AstroGrep\AstroGrep.exe" /e /r /s /spath="%USERPROFILE%\AppData\Local\Temp\OnboardLogs" /stypes="app*4041*20170629*" /stext=" 13:.+((SYSTEM_STATE.+slice.+state.+changed )|(ment ac)|(multiple cpu faults)|(system.+state.+changed )|(\[timeout)|(PRM\|1\|D)|(kpr)|(kdp)|(train st.+moving)|(\|lc)|(penalty))"</v>
      </c>
      <c r="AG165" s="209" t="str">
        <f t="shared" si="66"/>
        <v>NW</v>
      </c>
      <c r="AH165" s="78" t="str">
        <f t="shared" si="52"/>
        <v>"%USERPROFILE%\Documents\GitHub\eaglep3\Utilities\RefineRTDCRunTimes.py" --tripid 806-29 --locoid 4041 --swversion DE.1.0.9.0 --startMP 300:58700 --initTime 2017-06-29T07:06:34 --startdatetime 2017-06-29T07:08:10 --delay 1 --endMP 204:638 --enddatetime 2017-06-29T07:25:57 --enforcementcount 0 &gt;&gt;C:\Users\stu\Documents\GitHub\eaglep3-reporting\EC\2017-06-29-refined-times.txt</v>
      </c>
      <c r="AI16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{"issue":{"subject":"","project_id":79,"tracker_id":40,"status_id":1,"priority_id":2,"assigned_to_id":23,"start_date":"2017-06-29","description":"","custom_fields":[{"id":1,"name":"Subdivision","value":"NW"},{"id":4,"name":"Milepost","value":"0.0638"},{"id":17,"name":"Train ID","value":"806-29"},{"id":16,"name":"Locomotive ID","value":"4041"},{"id":130,"name":"Impact","value":""},{"id":150,"name":"Time of Event (Mountain Time)","value":"07:25:57"},{"id":151,"name":"Denver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4"/>
        <v>start /low /b %USERPROFILE%\Documents\GitHub\eaglep3\Utilities\DownloadLogsFromS3.py --loco 4041 --day 2017-06-29</v>
      </c>
      <c r="AN16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665</v>
      </c>
      <c r="B166" s="7">
        <v>4018</v>
      </c>
      <c r="C166" s="21" t="s">
        <v>201</v>
      </c>
      <c r="D166" s="21" t="s">
        <v>523</v>
      </c>
      <c r="E166" s="13">
        <v>42915.292858796296</v>
      </c>
      <c r="F166" s="13">
        <v>42915.306493055556</v>
      </c>
      <c r="G166" s="7">
        <v>1</v>
      </c>
      <c r="H166" s="21" t="s">
        <v>875</v>
      </c>
      <c r="I166" s="13">
        <v>42915.315532407411</v>
      </c>
      <c r="J166" s="7">
        <v>0</v>
      </c>
      <c r="K166" s="89" t="str">
        <f t="shared" si="56"/>
        <v>4017/4018</v>
      </c>
      <c r="L166" s="21" t="str">
        <f>VLOOKUP(A166,'Trips&amp;Operators'!$C$1:$G$99999,5,FALSE)</f>
        <v>YANG JAN</v>
      </c>
      <c r="M166" s="6">
        <f t="shared" si="57"/>
        <v>9.0393518548808061E-3</v>
      </c>
      <c r="N166" s="7">
        <f t="shared" si="67"/>
        <v>13.016666671028361</v>
      </c>
      <c r="O166" s="7"/>
      <c r="P166" s="7"/>
      <c r="Q166" s="22"/>
      <c r="R166" s="170"/>
      <c r="S166" s="213">
        <f t="shared" si="68"/>
        <v>1</v>
      </c>
      <c r="T166" s="195" t="str">
        <f t="shared" si="5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9"/>
        <v>https://d0f6bd738d7f1b3e5a7ca70fe4ff75f0.us-east-1.aws.found.io/app/kibana#/discover/Steve-Slow-Train-Analysis-(2080s-and-2083s)?_g=(refreshInterval:(display:Off,pause:!f,section:0,value:0),time:(from:'2017-06-29T06:01:43-0600',mode:absolute,to:'2017-06-29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97" t="str">
        <f>IF(AA166&lt;VLOOKUP(AG166,Variables!$AC$3:$AD$8,2,FALSE),"Y","N")</f>
        <v>N</v>
      </c>
      <c r="X166" s="197">
        <f t="shared" si="51"/>
        <v>1</v>
      </c>
      <c r="Y166" s="197">
        <f t="shared" si="60"/>
        <v>9.7600000000000006E-2</v>
      </c>
      <c r="Z166" s="197">
        <f t="shared" si="61"/>
        <v>5.8933</v>
      </c>
      <c r="AA166" s="197">
        <f t="shared" si="62"/>
        <v>5.7957000000000001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3"/>
        <v>807</v>
      </c>
      <c r="AE166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66" s="74" t="str">
        <f t="shared" si="65"/>
        <v>"C:\Program Files (x86)\AstroGrep\AstroGrep.exe" /e /r /s /spath="%USERPROFILE%\AppData\Local\Temp\OnboardLogs" /stypes="app*4018*20170629*" /stext=" 13:.+((SYSTEM_STATE.+slice.+state.+changed )|(ment ac)|(multiple cpu faults)|(system.+state.+changed )|(\[timeout)|(PRM\|1\|D)|(kpr)|(kdp)|(train st.+moving)|(\|lc)|(penalty))"</v>
      </c>
      <c r="AG166" s="209" t="str">
        <f t="shared" si="66"/>
        <v>NW</v>
      </c>
      <c r="AH166" s="78" t="str">
        <f t="shared" si="52"/>
        <v>"%USERPROFILE%\Documents\GitHub\eaglep3\Utilities\RefineRTDCRunTimes.py" --tripid 807-29 --locoid 4018 --swversion DE.1.0.9.0 --startMP 204:976 --initTime 2017-06-29T07:01:43 --startdatetime 2017-06-29T07:21:21 --delay 1 --endMP 300:58933 --enddatetime 2017-06-29T07:34:22 --enforcementcount 0 &gt;&gt;C:\Users\stu\Documents\GitHub\eaglep3-reporting\EC\2017-06-29-refined-times.txt</v>
      </c>
      <c r="AI16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{"issue":{"subject":"","project_id":79,"tracker_id":40,"status_id":1,"priority_id":2,"assigned_to_id":23,"start_date":"2017-06-29","description":"","custom_fields":[{"id":1,"name":"Subdivision","value":"NW"},{"id":4,"name":"Milepost","value":"5.8933"},{"id":17,"name":"Train ID","value":"807-29"},{"id":16,"name":"Locomotive ID","value":"4018"},{"id":130,"name":"Impact","value":""},{"id":150,"name":"Time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4"/>
        <v>start /low /b %USERPROFILE%\Documents\GitHub\eaglep3\Utilities\DownloadLogsFromS3.py --loco 4018 --day 2017-06-29</v>
      </c>
      <c r="AN16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669</v>
      </c>
      <c r="B167" s="7">
        <v>4017</v>
      </c>
      <c r="C167" s="21" t="s">
        <v>201</v>
      </c>
      <c r="D167" s="21" t="s">
        <v>563</v>
      </c>
      <c r="E167" s="13">
        <v>42915.317465277774</v>
      </c>
      <c r="F167" s="13">
        <v>42915.319409722222</v>
      </c>
      <c r="G167" s="7">
        <v>1</v>
      </c>
      <c r="H167" s="21" t="s">
        <v>559</v>
      </c>
      <c r="I167" s="13">
        <v>42915.330034722225</v>
      </c>
      <c r="J167" s="7">
        <v>0</v>
      </c>
      <c r="K167" s="89" t="str">
        <f t="shared" si="56"/>
        <v>4017/4018</v>
      </c>
      <c r="L167" s="21" t="str">
        <f>VLOOKUP(A167,'Trips&amp;Operators'!$C$1:$G$99999,5,FALSE)</f>
        <v>YANG JAN</v>
      </c>
      <c r="M167" s="6">
        <f t="shared" si="57"/>
        <v>1.0625000002619345E-2</v>
      </c>
      <c r="N167" s="7">
        <f t="shared" si="67"/>
        <v>15.300000003771856</v>
      </c>
      <c r="O167" s="7"/>
      <c r="P167" s="7"/>
      <c r="Q167" s="22"/>
      <c r="R167" s="170"/>
      <c r="S167" s="213">
        <f t="shared" si="68"/>
        <v>1</v>
      </c>
      <c r="T167" s="195" t="str">
        <f t="shared" si="5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9"/>
        <v>https://d0f6bd738d7f1b3e5a7ca70fe4ff75f0.us-east-1.aws.found.io/app/kibana#/discover/Steve-Slow-Train-Analysis-(2080s-and-2083s)?_g=(refreshInterval:(display:Off,pause:!f,section:0,value:0),time:(from:'2017-06-29T06:37:09-0600',mode:absolute,to:'2017-06-29T08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97" t="str">
        <f>IF(AA167&lt;VLOOKUP(AG167,Variables!$AC$3:$AD$8,2,FALSE),"Y","N")</f>
        <v>N</v>
      </c>
      <c r="X167" s="197">
        <f t="shared" si="51"/>
        <v>1</v>
      </c>
      <c r="Y167" s="197">
        <f t="shared" si="60"/>
        <v>5.8625999999999996</v>
      </c>
      <c r="Z167" s="197">
        <f t="shared" si="61"/>
        <v>7.0499999999999993E-2</v>
      </c>
      <c r="AA167" s="197">
        <f t="shared" si="62"/>
        <v>5.7920999999999996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3"/>
        <v>808</v>
      </c>
      <c r="AE167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67" s="74" t="str">
        <f t="shared" si="65"/>
        <v>"C:\Program Files (x86)\AstroGrep\AstroGrep.exe" /e /r /s /spath="%USERPROFILE%\AppData\Local\Temp\OnboardLogs" /stypes="app*4017*20170629*" /stext=" 13:.+((SYSTEM_STATE.+slice.+state.+changed )|(ment ac)|(multiple cpu faults)|(system.+state.+changed )|(\[timeout)|(PRM\|1\|D)|(kpr)|(kdp)|(train st.+moving)|(\|lc)|(penalty))"</v>
      </c>
      <c r="AG167" s="209" t="str">
        <f t="shared" si="66"/>
        <v>NW</v>
      </c>
      <c r="AH167" s="78" t="str">
        <f t="shared" si="52"/>
        <v>"%USERPROFILE%\Documents\GitHub\eaglep3\Utilities\RefineRTDCRunTimes.py" --tripid 808-29 --locoid 4017 --swversion DE.1.0.9.0 --startMP 300:58626 --initTime 2017-06-29T07:37:09 --startdatetime 2017-06-29T07:39:57 --delay 1 --endMP 204:705 --enddatetime 2017-06-29T07:55:15 --enforcementcount 0 &gt;&gt;C:\Users\stu\Documents\GitHub\eaglep3-reporting\EC\2017-06-29-refined-times.txt</v>
      </c>
      <c r="AI16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{"issue":{"subject":"","project_id":79,"tracker_id":40,"status_id":1,"priority_id":2,"assigned_to_id":23,"start_date":"2017-06-29","description":"","custom_fields":[{"id":1,"name":"Subdivision","value":"NW"},{"id":4,"name":"Milepost","value":"0.0705"},{"id":17,"name":"Train ID","value":"808-29"},{"id":16,"name":"Locomotive ID","value":"4017"},{"id":130,"name":"Impact","value":""},{"id":150,"name":"Time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4"/>
        <v>start /low /b %USERPROFILE%\Documents\GitHub\eaglep3\Utilities\DownloadLogsFromS3.py --loco 4017 --day 2017-06-29</v>
      </c>
      <c r="AN167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581</v>
      </c>
      <c r="B168" s="7">
        <v>4042</v>
      </c>
      <c r="C168" s="21" t="s">
        <v>201</v>
      </c>
      <c r="D168" s="21" t="s">
        <v>565</v>
      </c>
      <c r="E168" s="13">
        <v>42915.323958333334</v>
      </c>
      <c r="F168" s="13">
        <v>42915.327256944445</v>
      </c>
      <c r="G168" s="7">
        <v>1</v>
      </c>
      <c r="H168" s="21" t="s">
        <v>876</v>
      </c>
      <c r="I168" s="13">
        <v>42915.336701388886</v>
      </c>
      <c r="J168" s="7">
        <v>0</v>
      </c>
      <c r="K168" s="89" t="str">
        <f t="shared" si="56"/>
        <v>4041/4042</v>
      </c>
      <c r="L168" s="21" t="str">
        <f>VLOOKUP(A168,'Trips&amp;Operators'!$C$1:$G$99999,5,FALSE)</f>
        <v>DAVIS WENDY</v>
      </c>
      <c r="M168" s="6">
        <f t="shared" si="57"/>
        <v>9.444444440305233E-3</v>
      </c>
      <c r="N168" s="7">
        <f t="shared" si="67"/>
        <v>13.599999994039536</v>
      </c>
      <c r="O168" s="7"/>
      <c r="P168" s="7"/>
      <c r="Q168" s="22"/>
      <c r="R168" s="170"/>
      <c r="S168" s="213">
        <f t="shared" si="68"/>
        <v>1</v>
      </c>
      <c r="T168" s="195" t="str">
        <f t="shared" si="5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9"/>
        <v>https://d0f6bd738d7f1b3e5a7ca70fe4ff75f0.us-east-1.aws.found.io/app/kibana#/discover/Steve-Slow-Train-Analysis-(2080s-and-2083s)?_g=(refreshInterval:(display:Off,pause:!f,section:0,value:0),time:(from:'2017-06-29T06:46:30-0600',mode:absolute,to:'2017-06-29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197" t="str">
        <f>IF(AA168&lt;VLOOKUP(AG168,Variables!$AC$3:$AD$8,2,FALSE),"Y","N")</f>
        <v>N</v>
      </c>
      <c r="X168" s="197">
        <f t="shared" si="51"/>
        <v>1</v>
      </c>
      <c r="Y168" s="197">
        <f t="shared" si="60"/>
        <v>9.0399999999999994E-2</v>
      </c>
      <c r="Z168" s="197">
        <f t="shared" si="61"/>
        <v>5.9013999999999998</v>
      </c>
      <c r="AA168" s="197">
        <f t="shared" si="62"/>
        <v>5.8109999999999999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3"/>
        <v>809</v>
      </c>
      <c r="AE168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8" s="74" t="str">
        <f t="shared" si="65"/>
        <v>"C:\Program Files (x86)\AstroGrep\AstroGrep.exe" /e /r /s /spath="%USERPROFILE%\AppData\Local\Temp\OnboardLogs" /stypes="app*4042*20170629*" /stext=" 14:.+((SYSTEM_STATE.+slice.+state.+changed )|(ment ac)|(multiple cpu faults)|(system.+state.+changed )|(\[timeout)|(PRM\|1\|D)|(kpr)|(kdp)|(train st.+moving)|(\|lc)|(penalty))"</v>
      </c>
      <c r="AG168" s="209" t="str">
        <f t="shared" si="66"/>
        <v>NW</v>
      </c>
      <c r="AH168" s="78" t="str">
        <f t="shared" si="52"/>
        <v>"%USERPROFILE%\Documents\GitHub\eaglep3\Utilities\RefineRTDCRunTimes.py" --tripid 809-29 --locoid 4042 --swversion DE.1.0.9.0 --startMP 204:904 --initTime 2017-06-29T07:46:30 --startdatetime 2017-06-29T07:51:15 --delay 1 --endMP 300:59014 --enddatetime 2017-06-29T08:04:51 --enforcementcount 0 &gt;&gt;C:\Users\stu\Documents\GitHub\eaglep3-reporting\EC\2017-06-29-refined-times.txt</v>
      </c>
      <c r="AI16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{"issue":{"subject":"","project_id":79,"tracker_id":40,"status_id":1,"priority_id":2,"assigned_to_id":23,"start_date":"2017-06-29","description":"","custom_fields":[{"id":1,"name":"Subdivision","value":"NW"},{"id":4,"name":"Milepost","value":"5.9014"},{"id":17,"name":"Train ID","value":"809-29"},{"id":16,"name":"Locomotive ID","value":"4042"},{"id":130,"name":"Impact","value":""},{"id":150,"name":"Time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4"/>
        <v>start /low /b %USERPROFILE%\Documents\GitHub\eaglep3\Utilities\DownloadLogsFromS3.py --loco 4042 --day 2017-06-29</v>
      </c>
      <c r="AN16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675</v>
      </c>
      <c r="B169" s="7">
        <v>4041</v>
      </c>
      <c r="C169" s="21" t="s">
        <v>201</v>
      </c>
      <c r="D169" s="21" t="s">
        <v>877</v>
      </c>
      <c r="E169" s="13">
        <v>42915.337673611109</v>
      </c>
      <c r="F169" s="13">
        <v>42915.338865740741</v>
      </c>
      <c r="G169" s="7">
        <v>1</v>
      </c>
      <c r="H169" s="21" t="s">
        <v>557</v>
      </c>
      <c r="I169" s="13">
        <v>42915.350891203707</v>
      </c>
      <c r="J169" s="7">
        <v>0</v>
      </c>
      <c r="K169" s="89" t="str">
        <f t="shared" si="56"/>
        <v>4041/4042</v>
      </c>
      <c r="L169" s="21" t="str">
        <f>VLOOKUP(A169,'Trips&amp;Operators'!$C$1:$G$99999,5,FALSE)</f>
        <v>DAVIS WENDY</v>
      </c>
      <c r="M169" s="6">
        <f t="shared" si="57"/>
        <v>1.2025462965539191E-2</v>
      </c>
      <c r="N169" s="7">
        <f t="shared" si="67"/>
        <v>17.316666670376435</v>
      </c>
      <c r="O169" s="7"/>
      <c r="P169" s="7"/>
      <c r="Q169" s="22"/>
      <c r="R169" s="170"/>
      <c r="S169" s="213">
        <f t="shared" si="68"/>
        <v>1</v>
      </c>
      <c r="T169" s="195" t="str">
        <f t="shared" si="5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9"/>
        <v>https://d0f6bd738d7f1b3e5a7ca70fe4ff75f0.us-east-1.aws.found.io/app/kibana#/discover/Steve-Slow-Train-Analysis-(2080s-and-2083s)?_g=(refreshInterval:(display:Off,pause:!f,section:0,value:0),time:(from:'2017-06-29T07:06:15-0600',mode:absolute,to:'2017-06-29T09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197" t="str">
        <f>IF(AA169&lt;VLOOKUP(AG169,Variables!$AC$3:$AD$8,2,FALSE),"Y","N")</f>
        <v>N</v>
      </c>
      <c r="X169" s="197">
        <f t="shared" si="51"/>
        <v>1</v>
      </c>
      <c r="Y169" s="197">
        <f t="shared" si="60"/>
        <v>5.8681000000000001</v>
      </c>
      <c r="Z169" s="197">
        <f t="shared" si="61"/>
        <v>1.3100000000000001E-2</v>
      </c>
      <c r="AA169" s="197">
        <f t="shared" si="62"/>
        <v>5.8550000000000004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3"/>
        <v>810</v>
      </c>
      <c r="AE169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9" s="74" t="str">
        <f t="shared" si="65"/>
        <v>"C:\Program Files (x86)\AstroGrep\AstroGrep.exe" /e /r /s /spath="%USERPROFILE%\AppData\Local\Temp\OnboardLogs" /stypes="app*4041*20170629*" /stext=" 14:.+((SYSTEM_STATE.+slice.+state.+changed )|(ment ac)|(multiple cpu faults)|(system.+state.+changed )|(\[timeout)|(PRM\|1\|D)|(kpr)|(kdp)|(train st.+moving)|(\|lc)|(penalty))"</v>
      </c>
      <c r="AG169" s="209" t="str">
        <f t="shared" si="66"/>
        <v>NW</v>
      </c>
      <c r="AH169" s="78" t="str">
        <f t="shared" si="52"/>
        <v>"%USERPROFILE%\Documents\GitHub\eaglep3\Utilities\RefineRTDCRunTimes.py" --tripid 810-29 --locoid 4041 --swversion DE.1.0.9.0 --startMP 300:58681 --initTime 2017-06-29T08:06:15 --startdatetime 2017-06-29T08:07:58 --delay 1 --endMP 204:131 --enddatetime 2017-06-29T08:25:17 --enforcementcount 0 &gt;&gt;C:\Users\stu\Documents\GitHub\eaglep3-reporting\EC\2017-06-29-refined-times.txt</v>
      </c>
      <c r="AI16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{"issue":{"subject":"","project_id":79,"tracker_id":40,"status_id":1,"priority_id":2,"assigned_to_id":23,"start_date":"2017-06-29","description":"","custom_fields":[{"id":1,"name":"Subdivision","value":"NW"},{"id":4,"name":"Milepost","value":"0.0131"},{"id":17,"name":"Train ID","value":"810-29"},{"id":16,"name":"Locomotive ID","value":"4041"},{"id":130,"name":"Impact","value":""},{"id":150,"name":"Time of Event (Mountain Time)","value":"08:25:17"},{"id":151,"name":"Denver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4"/>
        <v>start /low /b %USERPROFILE%\Documents\GitHub\eaglep3\Utilities\DownloadLogsFromS3.py --loco 4041 --day 2017-06-29</v>
      </c>
      <c r="AN16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674</v>
      </c>
      <c r="B170" s="7">
        <v>4018</v>
      </c>
      <c r="C170" s="21" t="s">
        <v>201</v>
      </c>
      <c r="D170" s="21" t="s">
        <v>878</v>
      </c>
      <c r="E170" s="13">
        <v>42915.333680555559</v>
      </c>
      <c r="F170" s="13">
        <v>42915.348182870373</v>
      </c>
      <c r="G170" s="7">
        <v>1</v>
      </c>
      <c r="H170" s="21" t="s">
        <v>879</v>
      </c>
      <c r="I170" s="13">
        <v>42915.35732638889</v>
      </c>
      <c r="J170" s="7">
        <v>0</v>
      </c>
      <c r="K170" s="89" t="str">
        <f t="shared" si="56"/>
        <v>4017/4018</v>
      </c>
      <c r="L170" s="21" t="str">
        <f>VLOOKUP(A170,'Trips&amp;Operators'!$C$1:$G$99999,5,FALSE)</f>
        <v>YANG JAN</v>
      </c>
      <c r="M170" s="6">
        <f t="shared" si="57"/>
        <v>9.1435185167938471E-3</v>
      </c>
      <c r="N170" s="7">
        <f t="shared" si="67"/>
        <v>13.16666666418314</v>
      </c>
      <c r="O170" s="7"/>
      <c r="P170" s="7"/>
      <c r="Q170" s="22"/>
      <c r="R170" s="170"/>
      <c r="S170" s="213">
        <f t="shared" si="68"/>
        <v>1</v>
      </c>
      <c r="T170" s="195" t="str">
        <f t="shared" si="5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9"/>
        <v>https://d0f6bd738d7f1b3e5a7ca70fe4ff75f0.us-east-1.aws.found.io/app/kibana#/discover/Steve-Slow-Train-Analysis-(2080s-and-2083s)?_g=(refreshInterval:(display:Off,pause:!f,section:0,value:0),time:(from:'2017-06-29T07:00:30-0600',mode:absolute,to:'2017-06-29T09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97" t="str">
        <f>IF(AA170&lt;VLOOKUP(AG170,Variables!$AC$3:$AD$8,2,FALSE),"Y","N")</f>
        <v>N</v>
      </c>
      <c r="X170" s="197">
        <f t="shared" ref="X170:X201" si="69">VALUE(LEFT(AD170,4))-VALUE(LEFT(AD169,4))</f>
        <v>1</v>
      </c>
      <c r="Y170" s="197">
        <f t="shared" si="60"/>
        <v>9.6199999999999994E-2</v>
      </c>
      <c r="Z170" s="197">
        <f t="shared" si="61"/>
        <v>5.8929</v>
      </c>
      <c r="AA170" s="197">
        <f t="shared" si="62"/>
        <v>5.7967000000000004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3"/>
        <v>811</v>
      </c>
      <c r="AE170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0" s="74" t="str">
        <f t="shared" si="65"/>
        <v>"C:\Program Files (x86)\AstroGrep\AstroGrep.exe" /e /r /s /spath="%USERPROFILE%\AppData\Local\Temp\OnboardLogs" /stypes="app*4018*20170629*" /stext=" 14:.+((SYSTEM_STATE.+slice.+state.+changed )|(ment ac)|(multiple cpu faults)|(system.+state.+changed )|(\[timeout)|(PRM\|1\|D)|(kpr)|(kdp)|(train st.+moving)|(\|lc)|(penalty))"</v>
      </c>
      <c r="AG170" s="209" t="str">
        <f t="shared" si="66"/>
        <v>NW</v>
      </c>
      <c r="AH170" s="78" t="str">
        <f t="shared" si="52"/>
        <v>"%USERPROFILE%\Documents\GitHub\eaglep3\Utilities\RefineRTDCRunTimes.py" --tripid 811-29 --locoid 4018 --swversion DE.1.0.9.0 --startMP 204:962 --initTime 2017-06-29T08:00:30 --startdatetime 2017-06-29T08:21:23 --delay 1 --endMP 300:58929 --enddatetime 2017-06-29T08:34:33 --enforcementcount 0 &gt;&gt;C:\Users\stu\Documents\GitHub\eaglep3-reporting\EC\2017-06-29-refined-times.txt</v>
      </c>
      <c r="AI17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{"issue":{"subject":"","project_id":79,"tracker_id":40,"status_id":1,"priority_id":2,"assigned_to_id":23,"start_date":"2017-06-29","description":"","custom_fields":[{"id":1,"name":"Subdivision","value":"NW"},{"id":4,"name":"Milepost","value":"5.8929"},{"id":17,"name":"Train ID","value":"811-29"},{"id":16,"name":"Locomotive ID","value":"4018"},{"id":130,"name":"Impact","value":""},{"id":150,"name":"Time of Event (Mountain Time)","value":"08:34:33"},{"id":151,"name":"Denver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4"/>
        <v>start /low /b %USERPROFILE%\Documents\GitHub\eaglep3\Utilities\DownloadLogsFromS3.py --loco 4018 --day 2017-06-29</v>
      </c>
      <c r="AN17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685</v>
      </c>
      <c r="B171" s="7">
        <v>4017</v>
      </c>
      <c r="C171" s="21" t="s">
        <v>201</v>
      </c>
      <c r="D171" s="21" t="s">
        <v>558</v>
      </c>
      <c r="E171" s="13">
        <v>42915.359756944446</v>
      </c>
      <c r="F171" s="13">
        <v>42915.361319444448</v>
      </c>
      <c r="G171" s="7">
        <v>1</v>
      </c>
      <c r="H171" s="21" t="s">
        <v>562</v>
      </c>
      <c r="I171" s="13">
        <v>42915.373472222222</v>
      </c>
      <c r="J171" s="7">
        <v>0</v>
      </c>
      <c r="K171" s="89" t="str">
        <f t="shared" si="56"/>
        <v>4017/4018</v>
      </c>
      <c r="L171" s="21" t="str">
        <f>VLOOKUP(A171,'Trips&amp;Operators'!$C$1:$G$99999,5,FALSE)</f>
        <v>YANG JAN</v>
      </c>
      <c r="M171" s="6">
        <f t="shared" si="57"/>
        <v>1.2152777773735579E-2</v>
      </c>
      <c r="N171" s="7">
        <f t="shared" si="67"/>
        <v>17.499999994179234</v>
      </c>
      <c r="O171" s="7"/>
      <c r="P171" s="7"/>
      <c r="Q171" s="22"/>
      <c r="R171" s="170"/>
      <c r="S171" s="213">
        <f t="shared" si="68"/>
        <v>1</v>
      </c>
      <c r="T171" s="195" t="str">
        <f t="shared" si="5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9"/>
        <v>https://d0f6bd738d7f1b3e5a7ca70fe4ff75f0.us-east-1.aws.found.io/app/kibana#/discover/Steve-Slow-Train-Analysis-(2080s-and-2083s)?_g=(refreshInterval:(display:Off,pause:!f,section:0,value:0),time:(from:'2017-06-29T07:38:03-0600',mode:absolute,to:'2017-06-29T09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97" t="str">
        <f>IF(AA171&lt;VLOOKUP(AG171,Variables!$AC$3:$AD$8,2,FALSE),"Y","N")</f>
        <v>N</v>
      </c>
      <c r="X171" s="197">
        <f t="shared" si="69"/>
        <v>1</v>
      </c>
      <c r="Y171" s="197">
        <f t="shared" si="60"/>
        <v>5.8611000000000004</v>
      </c>
      <c r="Z171" s="197">
        <f t="shared" si="61"/>
        <v>6.7500000000000004E-2</v>
      </c>
      <c r="AA171" s="197">
        <f t="shared" si="62"/>
        <v>5.7936000000000005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3"/>
        <v>812</v>
      </c>
      <c r="AE171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1" s="74" t="str">
        <f t="shared" si="65"/>
        <v>"C:\Program Files (x86)\AstroGrep\AstroGrep.exe" /e /r /s /spath="%USERPROFILE%\AppData\Local\Temp\OnboardLogs" /stypes="app*4017*20170629*" /stext=" 14:.+((SYSTEM_STATE.+slice.+state.+changed )|(ment ac)|(multiple cpu faults)|(system.+state.+changed )|(\[timeout)|(PRM\|1\|D)|(kpr)|(kdp)|(train st.+moving)|(\|lc)|(penalty))"</v>
      </c>
      <c r="AG171" s="209" t="str">
        <f t="shared" si="66"/>
        <v>NW</v>
      </c>
      <c r="AH171" s="78" t="str">
        <f t="shared" si="52"/>
        <v>"%USERPROFILE%\Documents\GitHub\eaglep3\Utilities\RefineRTDCRunTimes.py" --tripid 812-29 --locoid 4017 --swversion DE.1.0.9.0 --startMP 300:58611 --initTime 2017-06-29T08:38:03 --startdatetime 2017-06-29T08:40:18 --delay 1 --endMP 204:675 --enddatetime 2017-06-29T08:57:48 --enforcementcount 0 &gt;&gt;C:\Users\stu\Documents\GitHub\eaglep3-reporting\EC\2017-06-29-refined-times.txt</v>
      </c>
      <c r="AI17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{"issue":{"subject":"","project_id":79,"tracker_id":40,"status_id":1,"priority_id":2,"assigned_to_id":23,"start_date":"2017-06-29","description":"","custom_fields":[{"id":1,"name":"Subdivision","value":"NW"},{"id":4,"name":"Milepost","value":"0.0675"},{"id":17,"name":"Train ID","value":"812-29"},{"id":16,"name":"Locomotive ID","value":"4017"},{"id":130,"name":"Impact","value":""},{"id":150,"name":"Time of Event (Mountain Time)","value":"08:57:48"},{"id":151,"name":"Denver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4"/>
        <v>start /low /b %USERPROFILE%\Documents\GitHub\eaglep3\Utilities\DownloadLogsFromS3.py --loco 4017 --day 2017-06-29</v>
      </c>
      <c r="AN17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688</v>
      </c>
      <c r="B172" s="7">
        <v>4018</v>
      </c>
      <c r="C172" s="21" t="s">
        <v>201</v>
      </c>
      <c r="D172" s="21" t="s">
        <v>870</v>
      </c>
      <c r="E172" s="13">
        <v>42915.382557870369</v>
      </c>
      <c r="F172" s="13">
        <v>42915.389849537038</v>
      </c>
      <c r="G172" s="7">
        <v>1</v>
      </c>
      <c r="H172" s="21" t="s">
        <v>871</v>
      </c>
      <c r="I172" s="13">
        <v>42915.399143518516</v>
      </c>
      <c r="J172" s="7">
        <v>0</v>
      </c>
      <c r="K172" s="89" t="str">
        <f t="shared" si="56"/>
        <v>4017/4018</v>
      </c>
      <c r="L172" s="21" t="str">
        <f>VLOOKUP(A172,'Trips&amp;Operators'!$C$1:$G$99999,5,FALSE)</f>
        <v>YANG JAN</v>
      </c>
      <c r="M172" s="6">
        <f t="shared" si="57"/>
        <v>9.29398147854954E-3</v>
      </c>
      <c r="N172" s="7">
        <f t="shared" si="67"/>
        <v>13.383333329111338</v>
      </c>
      <c r="O172" s="7"/>
      <c r="P172" s="7"/>
      <c r="Q172" s="22"/>
      <c r="R172" s="170"/>
      <c r="S172" s="213">
        <f t="shared" si="68"/>
        <v>1</v>
      </c>
      <c r="T172" s="195" t="str">
        <f t="shared" si="5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9"/>
        <v>https://d0f6bd738d7f1b3e5a7ca70fe4ff75f0.us-east-1.aws.found.io/app/kibana#/discover/Steve-Slow-Train-Analysis-(2080s-and-2083s)?_g=(refreshInterval:(display:Off,pause:!f,section:0,value:0),time:(from:'2017-06-29T08:10:53-0600',mode:absolute,to:'2017-06-29T10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7" t="str">
        <f>IF(AA172&lt;VLOOKUP(AG172,Variables!$AC$3:$AD$8,2,FALSE),"Y","N")</f>
        <v>N</v>
      </c>
      <c r="X172" s="197">
        <f t="shared" si="69"/>
        <v>1</v>
      </c>
      <c r="Y172" s="197">
        <f t="shared" si="60"/>
        <v>9.69E-2</v>
      </c>
      <c r="Z172" s="197">
        <f t="shared" si="61"/>
        <v>5.8930999999999996</v>
      </c>
      <c r="AA172" s="197">
        <f t="shared" si="62"/>
        <v>5.7961999999999998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3"/>
        <v>813</v>
      </c>
      <c r="AE172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2" s="74" t="str">
        <f t="shared" si="65"/>
        <v>"C:\Program Files (x86)\AstroGrep\AstroGrep.exe" /e /r /s /spath="%USERPROFILE%\AppData\Local\Temp\OnboardLogs" /stypes="app*4018*20170629*" /stext=" 15:.+((SYSTEM_STATE.+slice.+state.+changed )|(ment ac)|(multiple cpu faults)|(system.+state.+changed )|(\[timeout)|(PRM\|1\|D)|(kpr)|(kdp)|(train st.+moving)|(\|lc)|(penalty))"</v>
      </c>
      <c r="AG172" s="209" t="str">
        <f t="shared" si="66"/>
        <v>NW</v>
      </c>
      <c r="AH172" s="78" t="str">
        <f t="shared" si="52"/>
        <v>"%USERPROFILE%\Documents\GitHub\eaglep3\Utilities\RefineRTDCRunTimes.py" --tripid 813-29 --locoid 4018 --swversion DE.1.0.9.0 --startMP 204:969 --initTime 2017-06-29T09:10:53 --startdatetime 2017-06-29T09:21:23 --delay 1 --endMP 300:58931 --enddatetime 2017-06-29T09:34:46 --enforcementcount 0 &gt;&gt;C:\Users\stu\Documents\GitHub\eaglep3-reporting\EC\2017-06-29-refined-times.txt</v>
      </c>
      <c r="AI17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{"issue":{"subject":"","project_id":79,"tracker_id":40,"status_id":1,"priority_id":2,"assigned_to_id":23,"start_date":"2017-06-29","description":"","custom_fields":[{"id":1,"name":"Subdivision","value":"NW"},{"id":4,"name":"Milepost","value":"5.8931"},{"id":17,"name":"Train ID","value":"813-29"},{"id":16,"name":"Locomotive ID","value":"4018"},{"id":130,"name":"Impact","value":""},{"id":150,"name":"Time of Event (Mountain Time)","value":"09:34:46"},{"id":151,"name":"Denver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4"/>
        <v>start /low /b %USERPROFILE%\Documents\GitHub\eaglep3\Utilities\DownloadLogsFromS3.py --loco 4018 --day 2017-06-29</v>
      </c>
      <c r="AN17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693</v>
      </c>
      <c r="B173" s="7">
        <v>4017</v>
      </c>
      <c r="C173" s="21" t="s">
        <v>201</v>
      </c>
      <c r="D173" s="21" t="s">
        <v>880</v>
      </c>
      <c r="E173" s="13">
        <v>42915.400740740741</v>
      </c>
      <c r="F173" s="13">
        <v>42915.446064814816</v>
      </c>
      <c r="G173" s="7">
        <v>1</v>
      </c>
      <c r="H173" s="21" t="s">
        <v>880</v>
      </c>
      <c r="I173" s="13">
        <v>42915.455057870371</v>
      </c>
      <c r="J173" s="7">
        <v>0</v>
      </c>
      <c r="K173" s="89" t="str">
        <f t="shared" si="56"/>
        <v>4017/4018</v>
      </c>
      <c r="L173" s="21" t="str">
        <f>VLOOKUP(A173,'Trips&amp;Operators'!$C$1:$G$99999,5,FALSE)</f>
        <v>YANG JAN</v>
      </c>
      <c r="M173" s="6">
        <f t="shared" si="57"/>
        <v>8.9930555550381541E-3</v>
      </c>
      <c r="N173" s="7"/>
      <c r="O173" s="7"/>
      <c r="P173" s="7">
        <f>24*60*SUM($M173:$M173)</f>
        <v>12.949999999254942</v>
      </c>
      <c r="Q173" s="22"/>
      <c r="R173" s="170" t="s">
        <v>484</v>
      </c>
      <c r="S173" s="213">
        <f t="shared" si="68"/>
        <v>0</v>
      </c>
      <c r="T173" s="195" t="str">
        <f t="shared" si="5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96" t="str">
        <f t="shared" si="59"/>
        <v>https://d0f6bd738d7f1b3e5a7ca70fe4ff75f0.us-east-1.aws.found.io/app/kibana#/discover/Steve-Slow-Train-Analysis-(2080s-and-2083s)?_g=(refreshInterval:(display:Off,pause:!f,section:0,value:0),time:(from:'2017-06-29T08:37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7" t="str">
        <f>IF(AA173&lt;VLOOKUP(AG173,Variables!$AC$3:$AD$8,2,FALSE),"Y","N")</f>
        <v>Y</v>
      </c>
      <c r="X173" s="197">
        <f t="shared" si="69"/>
        <v>1</v>
      </c>
      <c r="Y173" s="197">
        <f t="shared" si="60"/>
        <v>5.8616999999999999</v>
      </c>
      <c r="Z173" s="197">
        <f t="shared" si="61"/>
        <v>5.8616999999999999</v>
      </c>
      <c r="AA173" s="197">
        <f t="shared" si="62"/>
        <v>0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3"/>
        <v>814</v>
      </c>
      <c r="AE173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3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3" s="209" t="str">
        <f t="shared" si="66"/>
        <v>NW</v>
      </c>
      <c r="AH173" s="78" t="str">
        <f t="shared" si="52"/>
        <v>"%USERPROFILE%\Documents\GitHub\eaglep3\Utilities\RefineRTDCRunTimes.py" --tripid 814-29 --locoid 4017 --swversion DE.1.0.9.0 --startMP 300:58617 --initTime 2017-06-29T09:37:04 --startdatetime 2017-06-29T10:42:20 --delay 1 --endMP 300:58617 --enddatetime 2017-06-29T10:55:17 --enforcementcount 0 &gt;&gt;C:\Users\stu\Documents\GitHub\eaglep3-reporting\EC\2017-06-29-refined-times.txt</v>
      </c>
      <c r="AI173" s="96" t="str">
        <f t="shared" si="53"/>
        <v>echo {"issue":{"subject":"Onboard in-route failure","project_id":79,"tracker_id":40,"status_id":1,"priority_id":2,"assigned_to_id":23,"start_date":"2017-06-29","description":"","custom_fields":[{"id":1,"name":"Subdivision","value":"NW"},{"id":4,"name":"Milepost","value":"5.8617"},{"id":17,"name":"Train ID","value":"814-29"},{"id":16,"name":"Locomotive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4"/>
        <v>start /low /b %USERPROFILE%\Documents\GitHub\eaglep3\Utilities\DownloadLogsFromS3.py --loco 4017 --day 2017-06-29</v>
      </c>
      <c r="AN173" s="151" t="str">
        <f t="shared" si="55"/>
        <v>echo {"issue":{"subject":"Onboard in-route failure","project_id":30,"tracker_id":4,"status_id":1,"priority_id":1,"assigned_to_id":10,"start_date":"2017-06-29","description":"","custom_fields":[{"id":30,"name":"Category","value":"Issue"},{"id":3,"name":"Functional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693</v>
      </c>
      <c r="B174" s="7">
        <v>4017</v>
      </c>
      <c r="C174" s="21" t="s">
        <v>201</v>
      </c>
      <c r="D174" s="21" t="s">
        <v>880</v>
      </c>
      <c r="E174" s="13">
        <v>42915.400740740741</v>
      </c>
      <c r="F174" s="13">
        <v>42915.446064814816</v>
      </c>
      <c r="G174" s="7">
        <v>3</v>
      </c>
      <c r="H174" s="21" t="s">
        <v>880</v>
      </c>
      <c r="I174" s="13">
        <v>42915.455057870371</v>
      </c>
      <c r="J174" s="7">
        <v>0</v>
      </c>
      <c r="K174" s="89" t="str">
        <f t="shared" si="56"/>
        <v>4017/4018</v>
      </c>
      <c r="L174" s="21" t="str">
        <f>VLOOKUP(A174,'Trips&amp;Operators'!$C$1:$G$99999,5,FALSE)</f>
        <v>YANG JAN</v>
      </c>
      <c r="M174" s="6">
        <f t="shared" si="57"/>
        <v>8.9930555550381541E-3</v>
      </c>
      <c r="N174" s="7"/>
      <c r="O174" s="7"/>
      <c r="P174" s="7"/>
      <c r="Q174" s="22"/>
      <c r="R174" s="170"/>
      <c r="S174" s="213"/>
      <c r="T174" s="195" t="str">
        <f t="shared" si="58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96" t="str">
        <f t="shared" si="59"/>
        <v>https://d0f6bd738d7f1b3e5a7ca70fe4ff75f0.us-east-1.aws.found.io/app/kibana#/discover/Steve-Slow-Train-Analysis-(2080s-and-2083s)?_g=(refreshInterval:(display:Off,pause:!f,section:0,value:0),time:(from:'2017-06-29T08:37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4" s="197" t="str">
        <f>IF(AA174&lt;VLOOKUP(AG174,Variables!$AC$3:$AD$8,2,FALSE),"Y","N")</f>
        <v>Y</v>
      </c>
      <c r="X174" s="197">
        <f t="shared" si="69"/>
        <v>0</v>
      </c>
      <c r="Y174" s="197">
        <f t="shared" si="60"/>
        <v>5.8616999999999999</v>
      </c>
      <c r="Z174" s="197">
        <f t="shared" si="61"/>
        <v>5.8616999999999999</v>
      </c>
      <c r="AA174" s="197">
        <f t="shared" si="62"/>
        <v>0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3"/>
        <v>814</v>
      </c>
      <c r="AE17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4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4" s="209" t="str">
        <f t="shared" si="66"/>
        <v>NW</v>
      </c>
      <c r="AH174" s="78" t="str">
        <f t="shared" si="52"/>
        <v>"%USERPROFILE%\Documents\GitHub\eaglep3\Utilities\RefineRTDCRunTimes.py" --tripid 814-29 --locoid 4017 --swversion DE.1.0.9.0 --startMP 300:58617 --initTime 2017-06-29T09:37:04 --startdatetime 2017-06-29T10:42:20 --delay 3 --endMP 300:58617 --enddatetime 2017-06-29T10:55:17 --enforcementcount 0 &gt;&gt;C:\Users\stu\Documents\GitHub\eaglep3-reporting\EC\2017-06-29-refined-times.txt</v>
      </c>
      <c r="AI17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{"issue":{"subject":"","project_id":79,"tracker_id":40,"status_id":1,"priority_id":2,"assigned_to_id":23,"start_date":"2017-06-29","description":"","custom_fields":[{"id":1,"name":"Subdivision","value":"NW"},{"id":4,"name":"Milepost","value":"5.8617"},{"id":17,"name":"Train ID","value":"814-29"},{"id":16,"name":"Locomotive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4"/>
        <v>start /low /b %USERPROFILE%\Documents\GitHub\eaglep3\Utilities\DownloadLogsFromS3.py --loco 4017 --day 2017-06-29</v>
      </c>
      <c r="AN17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699</v>
      </c>
      <c r="B175" s="7">
        <v>4018</v>
      </c>
      <c r="C175" s="21" t="s">
        <v>201</v>
      </c>
      <c r="D175" s="21" t="s">
        <v>1014</v>
      </c>
      <c r="E175" s="13">
        <v>42915.426944444444</v>
      </c>
      <c r="F175" s="13">
        <v>42915.431446759256</v>
      </c>
      <c r="G175" s="7">
        <v>1</v>
      </c>
      <c r="H175" s="21" t="s">
        <v>1015</v>
      </c>
      <c r="I175" s="13">
        <v>42915.440347222226</v>
      </c>
      <c r="J175" s="7">
        <v>0</v>
      </c>
      <c r="K175" s="89" t="str">
        <f t="shared" si="56"/>
        <v>4017/4018</v>
      </c>
      <c r="L175" s="21" t="str">
        <f>VLOOKUP(A175,'Trips&amp;Operators'!$C$1:$G$99999,5,FALSE)</f>
        <v>YANG JAN</v>
      </c>
      <c r="M175" s="6">
        <f t="shared" si="57"/>
        <v>8.9004629699047655E-3</v>
      </c>
      <c r="N175" s="7">
        <f t="shared" ref="N175:N206" si="70">24*60*SUM($M175:$M175)</f>
        <v>12.816666676662862</v>
      </c>
      <c r="O175" s="7"/>
      <c r="P175" s="7"/>
      <c r="Q175" s="22"/>
      <c r="R175" s="170"/>
      <c r="S175" s="213">
        <f t="shared" ref="S175:S206" si="71">SUM(U175:U175)/IF(AG175="EC",12,1)</f>
        <v>1</v>
      </c>
      <c r="T175" s="195" t="str">
        <f t="shared" si="58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9"/>
        <v>https://d0f6bd738d7f1b3e5a7ca70fe4ff75f0.us-east-1.aws.found.io/app/kibana#/discover/Steve-Slow-Train-Analysis-(2080s-and-2083s)?_g=(refreshInterval:(display:Off,pause:!f,section:0,value:0),time:(from:'2017-06-29T09:14:48-0600',mode:absolute,to:'2017-06-29T11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5" s="197" t="str">
        <f>IF(AA175&lt;VLOOKUP(AG175,Variables!$AC$3:$AD$8,2,FALSE),"Y","N")</f>
        <v>N</v>
      </c>
      <c r="X175" s="197">
        <f t="shared" si="69"/>
        <v>1</v>
      </c>
      <c r="Y175" s="197">
        <f t="shared" si="60"/>
        <v>9.6500000000000002E-2</v>
      </c>
      <c r="Z175" s="197">
        <f t="shared" si="61"/>
        <v>5.8925999999999998</v>
      </c>
      <c r="AA175" s="197">
        <f t="shared" si="62"/>
        <v>5.7961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3"/>
        <v>815</v>
      </c>
      <c r="AE175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5" s="74" t="str">
        <f t="shared" si="65"/>
        <v>"C:\Program Files (x86)\AstroGrep\AstroGrep.exe" /e /r /s /spath="%USERPROFILE%\AppData\Local\Temp\OnboardLogs" /stypes="app*4018*20170629*" /stext=" 16:.+((SYSTEM_STATE.+slice.+state.+changed )|(ment ac)|(multiple cpu faults)|(system.+state.+changed )|(\[timeout)|(PRM\|1\|D)|(kpr)|(kdp)|(train st.+moving)|(\|lc)|(penalty))"</v>
      </c>
      <c r="AG175" s="209" t="str">
        <f t="shared" si="66"/>
        <v>NW</v>
      </c>
      <c r="AH175" s="78" t="str">
        <f t="shared" si="52"/>
        <v>"%USERPROFILE%\Documents\GitHub\eaglep3\Utilities\RefineRTDCRunTimes.py" --tripid 815-29 --locoid 4018 --swversion DE.1.0.9.0 --startMP 204:965 --initTime 2017-06-29T10:14:48 --startdatetime 2017-06-29T10:21:17 --delay 1 --endMP 300:58926 --enddatetime 2017-06-29T10:34:06 --enforcementcount 0 &gt;&gt;C:\Users\stu\Documents\GitHub\eaglep3-reporting\EC\2017-06-29-refined-times.txt</v>
      </c>
      <c r="AI17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{"issue":{"subject":"","project_id":79,"tracker_id":40,"status_id":1,"priority_id":2,"assigned_to_id":23,"start_date":"2017-06-29","description":"","custom_fields":[{"id":1,"name":"Subdivision","value":"NW"},{"id":4,"name":"Milepost","value":"5.8926"},{"id":17,"name":"Train ID","value":"815-29"},{"id":16,"name":"Locomotive ID","value":"4018"},{"id":130,"name":"Impact","value":""},{"id":150,"name":"Time of Event (Mountain Time)","value":"10:34:06"},{"id":151,"name":"Denver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4"/>
        <v>start /low /b %USERPROFILE%\Documents\GitHub\eaglep3\Utilities\DownloadLogsFromS3.py --loco 4018 --day 2017-06-29</v>
      </c>
      <c r="AN17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702</v>
      </c>
      <c r="B176" s="7">
        <v>4017</v>
      </c>
      <c r="C176" s="21" t="s">
        <v>201</v>
      </c>
      <c r="D176" s="21" t="s">
        <v>1016</v>
      </c>
      <c r="E176" s="13">
        <v>42915.441712962966</v>
      </c>
      <c r="F176" s="13">
        <v>42915.446064814816</v>
      </c>
      <c r="G176" s="7">
        <v>5</v>
      </c>
      <c r="H176" s="21" t="s">
        <v>499</v>
      </c>
      <c r="I176" s="13">
        <v>42915.455057870371</v>
      </c>
      <c r="J176" s="7">
        <v>0</v>
      </c>
      <c r="K176" s="89" t="str">
        <f t="shared" si="56"/>
        <v>4017/4018</v>
      </c>
      <c r="L176" s="21" t="str">
        <f>VLOOKUP(A176,'Trips&amp;Operators'!$C$1:$G$99999,5,FALSE)</f>
        <v>YANG JAN</v>
      </c>
      <c r="M176" s="6">
        <f t="shared" si="57"/>
        <v>8.9930555550381541E-3</v>
      </c>
      <c r="N176" s="7">
        <f t="shared" si="70"/>
        <v>12.949999999254942</v>
      </c>
      <c r="O176" s="7"/>
      <c r="P176" s="7"/>
      <c r="Q176" s="22"/>
      <c r="R176" s="170"/>
      <c r="S176" s="213">
        <f t="shared" si="71"/>
        <v>1</v>
      </c>
      <c r="T176" s="195" t="str">
        <f t="shared" si="58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9"/>
        <v>https://d0f6bd738d7f1b3e5a7ca70fe4ff75f0.us-east-1.aws.found.io/app/kibana#/discover/Steve-Slow-Train-Analysis-(2080s-and-2083s)?_g=(refreshInterval:(display:Off,pause:!f,section:0,value:0),time:(from:'2017-06-29T09:36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6" s="197" t="str">
        <f>IF(AA176&lt;VLOOKUP(AG176,Variables!$AC$3:$AD$8,2,FALSE),"Y","N")</f>
        <v>N</v>
      </c>
      <c r="X176" s="197">
        <f t="shared" si="69"/>
        <v>1</v>
      </c>
      <c r="Y176" s="197">
        <f t="shared" si="60"/>
        <v>5.8608000000000002</v>
      </c>
      <c r="Z176" s="197">
        <f t="shared" si="61"/>
        <v>6.8900000000000003E-2</v>
      </c>
      <c r="AA176" s="197">
        <f t="shared" si="62"/>
        <v>5.7919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3"/>
        <v>816</v>
      </c>
      <c r="AE176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6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6" s="209" t="str">
        <f t="shared" si="66"/>
        <v>NW</v>
      </c>
      <c r="AH176" s="78" t="str">
        <f t="shared" si="52"/>
        <v>"%USERPROFILE%\Documents\GitHub\eaglep3\Utilities\RefineRTDCRunTimes.py" --tripid 816-29 --locoid 4017 --swversion DE.1.0.9.0 --startMP 300:58608 --initTime 2017-06-29T10:36:04 --startdatetime 2017-06-29T10:42:20 --delay 5 --endMP 204:689 --enddatetime 2017-06-29T10:55:17 --enforcementcount 0 &gt;&gt;C:\Users\stu\Documents\GitHub\eaglep3-reporting\EC\2017-06-29-refined-times.txt</v>
      </c>
      <c r="AI17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{"issue":{"subject":"","project_id":79,"tracker_id":40,"status_id":1,"priority_id":2,"assigned_to_id":23,"start_date":"2017-06-29","description":"","custom_fields":[{"id":1,"name":"Subdivision","value":"NW"},{"id":4,"name":"Milepost","value":"0.0689"},{"id":17,"name":"Train ID","value":"816-29"},{"id":16,"name":"Locomotive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4"/>
        <v>start /low /b %USERPROFILE%\Documents\GitHub\eaglep3\Utilities\DownloadLogsFromS3.py --loco 4017 --day 2017-06-29</v>
      </c>
      <c r="AN17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708</v>
      </c>
      <c r="B177" s="7">
        <v>4018</v>
      </c>
      <c r="C177" s="21" t="s">
        <v>201</v>
      </c>
      <c r="D177" s="21" t="s">
        <v>870</v>
      </c>
      <c r="E177" s="13">
        <v>42915.466666666667</v>
      </c>
      <c r="F177" s="13">
        <v>42915.473136574074</v>
      </c>
      <c r="G177" s="7">
        <v>1</v>
      </c>
      <c r="H177" s="21" t="s">
        <v>1015</v>
      </c>
      <c r="I177" s="13">
        <v>42915.482141203705</v>
      </c>
      <c r="J177" s="7">
        <v>0</v>
      </c>
      <c r="K177" s="89" t="str">
        <f t="shared" si="56"/>
        <v>4017/4018</v>
      </c>
      <c r="L177" s="21" t="str">
        <f>VLOOKUP(A177,'Trips&amp;Operators'!$C$1:$G$99999,5,FALSE)</f>
        <v>YANG JAN</v>
      </c>
      <c r="M177" s="6">
        <f t="shared" si="57"/>
        <v>9.0046296318178065E-3</v>
      </c>
      <c r="N177" s="7">
        <f t="shared" si="70"/>
        <v>12.966666669817641</v>
      </c>
      <c r="O177" s="7"/>
      <c r="P177" s="7"/>
      <c r="Q177" s="22"/>
      <c r="R177" s="170"/>
      <c r="S177" s="213">
        <f t="shared" si="71"/>
        <v>1</v>
      </c>
      <c r="T177" s="195" t="str">
        <f t="shared" si="58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9"/>
        <v>https://d0f6bd738d7f1b3e5a7ca70fe4ff75f0.us-east-1.aws.found.io/app/kibana#/discover/Steve-Slow-Train-Analysis-(2080s-and-2083s)?_g=(refreshInterval:(display:Off,pause:!f,section:0,value:0),time:(from:'2017-06-29T10:12:00-0600',mode:absolute,to:'2017-06-29T12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7" s="197" t="str">
        <f>IF(AA177&lt;VLOOKUP(AG177,Variables!$AC$3:$AD$8,2,FALSE),"Y","N")</f>
        <v>N</v>
      </c>
      <c r="X177" s="197">
        <f t="shared" si="69"/>
        <v>1</v>
      </c>
      <c r="Y177" s="197">
        <f t="shared" si="60"/>
        <v>9.69E-2</v>
      </c>
      <c r="Z177" s="197">
        <f t="shared" si="61"/>
        <v>5.8925999999999998</v>
      </c>
      <c r="AA177" s="197">
        <f t="shared" si="62"/>
        <v>5.7957000000000001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3"/>
        <v>817</v>
      </c>
      <c r="AE177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7" s="74" t="str">
        <f t="shared" si="65"/>
        <v>"C:\Program Files (x86)\AstroGrep\AstroGrep.exe" /e /r /s /spath="%USERPROFILE%\AppData\Local\Temp\OnboardLogs" /stypes="app*4018*20170629*" /stext=" 17:.+((SYSTEM_STATE.+slice.+state.+changed )|(ment ac)|(multiple cpu faults)|(system.+state.+changed )|(\[timeout)|(PRM\|1\|D)|(kpr)|(kdp)|(train st.+moving)|(\|lc)|(penalty))"</v>
      </c>
      <c r="AG177" s="209" t="str">
        <f t="shared" si="66"/>
        <v>NW</v>
      </c>
      <c r="AH177" s="78" t="str">
        <f t="shared" si="52"/>
        <v>"%USERPROFILE%\Documents\GitHub\eaglep3\Utilities\RefineRTDCRunTimes.py" --tripid 817-29 --locoid 4018 --swversion DE.1.0.9.0 --startMP 204:969 --initTime 2017-06-29T11:12:00 --startdatetime 2017-06-29T11:21:19 --delay 1 --endMP 300:58926 --enddatetime 2017-06-29T11:34:17 --enforcementcount 0 &gt;&gt;C:\Users\stu\Documents\GitHub\eaglep3-reporting\EC\2017-06-29-refined-times.txt</v>
      </c>
      <c r="AI17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{"issue":{"subject":"","project_id":79,"tracker_id":40,"status_id":1,"priority_id":2,"assigned_to_id":23,"start_date":"2017-06-29","description":"","custom_fields":[{"id":1,"name":"Subdivision","value":"NW"},{"id":4,"name":"Milepost","value":"5.8926"},{"id":17,"name":"Train ID","value":"817-29"},{"id":16,"name":"Locomotive ID","value":"4018"},{"id":130,"name":"Impact","value":""},{"id":150,"name":"Time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4"/>
        <v>start /low /b %USERPROFILE%\Documents\GitHub\eaglep3\Utilities\DownloadLogsFromS3.py --loco 4018 --day 2017-06-29</v>
      </c>
      <c r="AN177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712</v>
      </c>
      <c r="B178" s="7">
        <v>4017</v>
      </c>
      <c r="C178" s="21" t="s">
        <v>201</v>
      </c>
      <c r="D178" s="21" t="s">
        <v>1017</v>
      </c>
      <c r="E178" s="13">
        <v>42915.483784722222</v>
      </c>
      <c r="F178" s="13">
        <v>42915.485833333332</v>
      </c>
      <c r="G178" s="7">
        <v>1</v>
      </c>
      <c r="H178" s="21" t="s">
        <v>1018</v>
      </c>
      <c r="I178" s="13">
        <v>42915.495972222219</v>
      </c>
      <c r="J178" s="7">
        <v>0</v>
      </c>
      <c r="K178" s="89" t="str">
        <f t="shared" si="56"/>
        <v>4017/4018</v>
      </c>
      <c r="L178" s="21" t="str">
        <f>VLOOKUP(A178,'Trips&amp;Operators'!$C$1:$G$99999,5,FALSE)</f>
        <v>YANG JAN</v>
      </c>
      <c r="M178" s="6">
        <f t="shared" si="57"/>
        <v>1.0138888887013309E-2</v>
      </c>
      <c r="N178" s="7">
        <f t="shared" si="70"/>
        <v>14.599999997299165</v>
      </c>
      <c r="O178" s="7"/>
      <c r="P178" s="7"/>
      <c r="Q178" s="22"/>
      <c r="R178" s="170"/>
      <c r="S178" s="213">
        <f t="shared" si="71"/>
        <v>1</v>
      </c>
      <c r="T178" s="195" t="str">
        <f t="shared" si="58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9"/>
        <v>https://d0f6bd738d7f1b3e5a7ca70fe4ff75f0.us-east-1.aws.found.io/app/kibana#/discover/Steve-Slow-Train-Analysis-(2080s-and-2083s)?_g=(refreshInterval:(display:Off,pause:!f,section:0,value:0),time:(from:'2017-06-29T10:36:39-0600',mode:absolute,to:'2017-06-29T12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8" s="197" t="str">
        <f>IF(AA178&lt;VLOOKUP(AG178,Variables!$AC$3:$AD$8,2,FALSE),"Y","N")</f>
        <v>N</v>
      </c>
      <c r="X178" s="197">
        <f t="shared" si="69"/>
        <v>1</v>
      </c>
      <c r="Y178" s="197">
        <f t="shared" si="60"/>
        <v>5.8615000000000004</v>
      </c>
      <c r="Z178" s="197">
        <f t="shared" si="61"/>
        <v>6.9199999999999998E-2</v>
      </c>
      <c r="AA178" s="197">
        <f t="shared" si="62"/>
        <v>5.7923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3"/>
        <v>818</v>
      </c>
      <c r="AE178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8" s="74" t="str">
        <f t="shared" si="65"/>
        <v>"C:\Program Files (x86)\AstroGrep\AstroGrep.exe" /e /r /s /spath="%USERPROFILE%\AppData\Local\Temp\OnboardLogs" /stypes="app*4017*20170629*" /stext=" 17:.+((SYSTEM_STATE.+slice.+state.+changed )|(ment ac)|(multiple cpu faults)|(system.+state.+changed )|(\[timeout)|(PRM\|1\|D)|(kpr)|(kdp)|(train st.+moving)|(\|lc)|(penalty))"</v>
      </c>
      <c r="AG178" s="209" t="str">
        <f t="shared" si="66"/>
        <v>NW</v>
      </c>
      <c r="AH178" s="78" t="str">
        <f t="shared" si="52"/>
        <v>"%USERPROFILE%\Documents\GitHub\eaglep3\Utilities\RefineRTDCRunTimes.py" --tripid 818-29 --locoid 4017 --swversion DE.1.0.9.0 --startMP 300:58615 --initTime 2017-06-29T11:36:39 --startdatetime 2017-06-29T11:39:36 --delay 1 --endMP 204:692 --enddatetime 2017-06-29T11:54:12 --enforcementcount 0 &gt;&gt;C:\Users\stu\Documents\GitHub\eaglep3-reporting\EC\2017-06-29-refined-times.txt</v>
      </c>
      <c r="AI17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{"issue":{"subject":"","project_id":79,"tracker_id":40,"status_id":1,"priority_id":2,"assigned_to_id":23,"start_date":"2017-06-29","description":"","custom_fields":[{"id":1,"name":"Subdivision","value":"NW"},{"id":4,"name":"Milepost","value":"0.0692"},{"id":17,"name":"Train ID","value":"818-29"},{"id":16,"name":"Locomotive ID","value":"4017"},{"id":130,"name":"Impact","value":""},{"id":150,"name":"Time of Event (Mountain Time)","value":"11:54:12"},{"id":151,"name":"Denver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4"/>
        <v>start /low /b %USERPROFILE%\Documents\GitHub\eaglep3\Utilities\DownloadLogsFromS3.py --loco 4017 --day 2017-06-29</v>
      </c>
      <c r="AN17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718</v>
      </c>
      <c r="B179" s="7">
        <v>4018</v>
      </c>
      <c r="C179" s="21" t="s">
        <v>201</v>
      </c>
      <c r="D179" s="21" t="s">
        <v>564</v>
      </c>
      <c r="E179" s="13">
        <v>42915.506574074076</v>
      </c>
      <c r="F179" s="13">
        <v>42915.514814814815</v>
      </c>
      <c r="G179" s="7">
        <v>1</v>
      </c>
      <c r="H179" s="21" t="s">
        <v>522</v>
      </c>
      <c r="I179" s="13">
        <v>42915.524050925924</v>
      </c>
      <c r="J179" s="7">
        <v>0</v>
      </c>
      <c r="K179" s="89" t="str">
        <f t="shared" si="56"/>
        <v>4017/4018</v>
      </c>
      <c r="L179" s="21" t="str">
        <f>VLOOKUP(A179,'Trips&amp;Operators'!$C$1:$G$99999,5,FALSE)</f>
        <v>YANG JAN</v>
      </c>
      <c r="M179" s="6">
        <f t="shared" si="57"/>
        <v>9.2361111092031933E-3</v>
      </c>
      <c r="N179" s="7">
        <f t="shared" si="70"/>
        <v>13.299999997252598</v>
      </c>
      <c r="O179" s="7"/>
      <c r="P179" s="7"/>
      <c r="Q179" s="22"/>
      <c r="R179" s="170"/>
      <c r="S179" s="213">
        <f t="shared" si="71"/>
        <v>1</v>
      </c>
      <c r="T179" s="195" t="str">
        <f t="shared" si="58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9"/>
        <v>https://d0f6bd738d7f1b3e5a7ca70fe4ff75f0.us-east-1.aws.found.io/app/kibana#/discover/Steve-Slow-Train-Analysis-(2080s-and-2083s)?_g=(refreshInterval:(display:Off,pause:!f,section:0,value:0),time:(from:'2017-06-29T11:09:28-0600',mode:absolute,to:'2017-06-29T13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197" t="str">
        <f>IF(AA179&lt;VLOOKUP(AG179,Variables!$AC$3:$AD$8,2,FALSE),"Y","N")</f>
        <v>N</v>
      </c>
      <c r="X179" s="197">
        <f t="shared" si="69"/>
        <v>1</v>
      </c>
      <c r="Y179" s="197">
        <f t="shared" si="60"/>
        <v>9.64E-2</v>
      </c>
      <c r="Z179" s="197">
        <f t="shared" si="61"/>
        <v>5.8928000000000003</v>
      </c>
      <c r="AA179" s="197">
        <f t="shared" si="62"/>
        <v>5.7964000000000002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3"/>
        <v>819</v>
      </c>
      <c r="AE179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9" s="74" t="str">
        <f t="shared" si="65"/>
        <v>"C:\Program Files (x86)\AstroGrep\AstroGrep.exe" /e /r /s /spath="%USERPROFILE%\AppData\Local\Temp\OnboardLogs" /stypes="app*4018*20170629*" /stext=" 18:.+((SYSTEM_STATE.+slice.+state.+changed )|(ment ac)|(multiple cpu faults)|(system.+state.+changed )|(\[timeout)|(PRM\|1\|D)|(kpr)|(kdp)|(train st.+moving)|(\|lc)|(penalty))"</v>
      </c>
      <c r="AG179" s="209" t="str">
        <f t="shared" si="66"/>
        <v>NW</v>
      </c>
      <c r="AH179" s="78" t="str">
        <f t="shared" si="52"/>
        <v>"%USERPROFILE%\Documents\GitHub\eaglep3\Utilities\RefineRTDCRunTimes.py" --tripid 819-29 --locoid 4018 --swversion DE.1.0.9.0 --startMP 204:964 --initTime 2017-06-29T12:09:28 --startdatetime 2017-06-29T12:21:20 --delay 1 --endMP 300:58928 --enddatetime 2017-06-29T12:34:38 --enforcementcount 0 &gt;&gt;C:\Users\stu\Documents\GitHub\eaglep3-reporting\EC\2017-06-29-refined-times.txt</v>
      </c>
      <c r="AI17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{"issue":{"subject":"","project_id":79,"tracker_id":40,"status_id":1,"priority_id":2,"assigned_to_id":23,"start_date":"2017-06-29","description":"","custom_fields":[{"id":1,"name":"Subdivision","value":"NW"},{"id":4,"name":"Milepost","value":"5.8928"},{"id":17,"name":"Train ID","value":"819-29"},{"id":16,"name":"Locomotive ID","value":"4018"},{"id":130,"name":"Impact","value":""},{"id":150,"name":"Time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4"/>
        <v>start /low /b %USERPROFILE%\Documents\GitHub\eaglep3\Utilities\DownloadLogsFromS3.py --loco 4018 --day 2017-06-29</v>
      </c>
      <c r="AN17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719</v>
      </c>
      <c r="B180" s="7">
        <v>4017</v>
      </c>
      <c r="C180" s="21" t="s">
        <v>201</v>
      </c>
      <c r="D180" s="21" t="s">
        <v>1019</v>
      </c>
      <c r="E180" s="13">
        <v>42915.525613425925</v>
      </c>
      <c r="F180" s="13">
        <v>42915.527627314812</v>
      </c>
      <c r="G180" s="7">
        <v>1</v>
      </c>
      <c r="H180" s="21" t="s">
        <v>1020</v>
      </c>
      <c r="I180" s="13">
        <v>42915.537835648145</v>
      </c>
      <c r="J180" s="7">
        <v>0</v>
      </c>
      <c r="K180" s="89" t="str">
        <f t="shared" si="56"/>
        <v>4017/4018</v>
      </c>
      <c r="L180" s="21" t="str">
        <f>VLOOKUP(A180,'Trips&amp;Operators'!$C$1:$G$99999,5,FALSE)</f>
        <v>YANG JAN</v>
      </c>
      <c r="M180" s="6">
        <f t="shared" si="57"/>
        <v>1.0208333333139308E-2</v>
      </c>
      <c r="N180" s="7">
        <f t="shared" si="70"/>
        <v>14.699999999720603</v>
      </c>
      <c r="O180" s="7"/>
      <c r="P180" s="7"/>
      <c r="Q180" s="22"/>
      <c r="R180" s="170"/>
      <c r="S180" s="213">
        <f t="shared" si="71"/>
        <v>1</v>
      </c>
      <c r="T180" s="195" t="str">
        <f t="shared" si="58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9"/>
        <v>https://d0f6bd738d7f1b3e5a7ca70fe4ff75f0.us-east-1.aws.found.io/app/kibana#/discover/Steve-Slow-Train-Analysis-(2080s-and-2083s)?_g=(refreshInterval:(display:Off,pause:!f,section:0,value:0),time:(from:'2017-06-29T11:36:53-0600',mode:absolute,to:'2017-06-29T13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0" s="197" t="str">
        <f>IF(AA180&lt;VLOOKUP(AG180,Variables!$AC$3:$AD$8,2,FALSE),"Y","N")</f>
        <v>N</v>
      </c>
      <c r="X180" s="197">
        <f t="shared" si="69"/>
        <v>1</v>
      </c>
      <c r="Y180" s="197">
        <f t="shared" si="60"/>
        <v>5.8609</v>
      </c>
      <c r="Z180" s="197">
        <f t="shared" si="61"/>
        <v>6.9599999999999995E-2</v>
      </c>
      <c r="AA180" s="197">
        <f t="shared" si="62"/>
        <v>5.7912999999999997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3"/>
        <v>820</v>
      </c>
      <c r="AE18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0" s="74" t="str">
        <f t="shared" si="65"/>
        <v>"C:\Program Files (x86)\AstroGrep\AstroGrep.exe" /e /r /s /spath="%USERPROFILE%\AppData\Local\Temp\OnboardLogs" /stypes="app*4017*20170629*" /stext=" 18:.+((SYSTEM_STATE.+slice.+state.+changed )|(ment ac)|(multiple cpu faults)|(system.+state.+changed )|(\[timeout)|(PRM\|1\|D)|(kpr)|(kdp)|(train st.+moving)|(\|lc)|(penalty))"</v>
      </c>
      <c r="AG180" s="209" t="str">
        <f t="shared" si="66"/>
        <v>NW</v>
      </c>
      <c r="AH180" s="78" t="str">
        <f t="shared" si="52"/>
        <v>"%USERPROFILE%\Documents\GitHub\eaglep3\Utilities\RefineRTDCRunTimes.py" --tripid 820-29 --locoid 4017 --swversion DE.1.0.9.0 --startMP 300:58609 --initTime 2017-06-29T12:36:53 --startdatetime 2017-06-29T12:39:47 --delay 1 --endMP 204:696 --enddatetime 2017-06-29T12:54:29 --enforcementcount 0 &gt;&gt;C:\Users\stu\Documents\GitHub\eaglep3-reporting\EC\2017-06-29-refined-times.txt</v>
      </c>
      <c r="AI18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{"issue":{"subject":"","project_id":79,"tracker_id":40,"status_id":1,"priority_id":2,"assigned_to_id":23,"start_date":"2017-06-29","description":"","custom_fields":[{"id":1,"name":"Subdivision","value":"NW"},{"id":4,"name":"Milepost","value":"0.0696"},{"id":17,"name":"Train ID","value":"820-29"},{"id":16,"name":"Locomotive ID","value":"4017"},{"id":130,"name":"Impact","value":""},{"id":150,"name":"Time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4"/>
        <v>start /low /b %USERPROFILE%\Documents\GitHub\eaglep3\Utilities\DownloadLogsFromS3.py --loco 4017 --day 2017-06-29</v>
      </c>
      <c r="AN18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724</v>
      </c>
      <c r="B181" s="7">
        <v>4018</v>
      </c>
      <c r="C181" s="21" t="s">
        <v>201</v>
      </c>
      <c r="D181" s="21" t="s">
        <v>1021</v>
      </c>
      <c r="E181" s="13">
        <v>42915.543958333335</v>
      </c>
      <c r="F181" s="13">
        <v>42915.556539351855</v>
      </c>
      <c r="G181" s="7">
        <v>1</v>
      </c>
      <c r="H181" s="21" t="s">
        <v>1022</v>
      </c>
      <c r="I181" s="13">
        <v>42915.566111111111</v>
      </c>
      <c r="J181" s="7">
        <v>0</v>
      </c>
      <c r="K181" s="89" t="str">
        <f t="shared" si="56"/>
        <v>4017/4018</v>
      </c>
      <c r="L181" s="21" t="str">
        <f>VLOOKUP(A181,'Trips&amp;Operators'!$C$1:$G$99999,5,FALSE)</f>
        <v>ARVIDSON DANIEL</v>
      </c>
      <c r="M181" s="6">
        <f t="shared" si="57"/>
        <v>9.5717592557775788E-3</v>
      </c>
      <c r="N181" s="7">
        <f t="shared" si="70"/>
        <v>13.783333328319713</v>
      </c>
      <c r="O181" s="7"/>
      <c r="P181" s="7"/>
      <c r="Q181" s="22"/>
      <c r="R181" s="170"/>
      <c r="S181" s="213">
        <f t="shared" si="71"/>
        <v>1</v>
      </c>
      <c r="T181" s="195" t="str">
        <f t="shared" si="58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9"/>
        <v>https://d0f6bd738d7f1b3e5a7ca70fe4ff75f0.us-east-1.aws.found.io/app/kibana#/discover/Steve-Slow-Train-Analysis-(2080s-and-2083s)?_g=(refreshInterval:(display:Off,pause:!f,section:0,value:0),time:(from:'2017-06-29T12:03:18-0600',mode:absolute,to:'2017-06-29T14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197" t="str">
        <f>IF(AA181&lt;VLOOKUP(AG181,Variables!$AC$3:$AD$8,2,FALSE),"Y","N")</f>
        <v>N</v>
      </c>
      <c r="X181" s="197">
        <f t="shared" si="69"/>
        <v>1</v>
      </c>
      <c r="Y181" s="197">
        <f t="shared" si="60"/>
        <v>9.7100000000000006E-2</v>
      </c>
      <c r="Z181" s="197">
        <f t="shared" si="61"/>
        <v>5.8914</v>
      </c>
      <c r="AA181" s="197">
        <f t="shared" si="62"/>
        <v>5.7942999999999998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3"/>
        <v>821</v>
      </c>
      <c r="AE181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1" s="74" t="str">
        <f t="shared" si="65"/>
        <v>"C:\Program Files (x86)\AstroGrep\AstroGrep.exe" /e /r /s /spath="%USERPROFILE%\AppData\Local\Temp\OnboardLogs" /stypes="app*4018*20170629*" /stext=" 19:.+((SYSTEM_STATE.+slice.+state.+changed )|(ment ac)|(multiple cpu faults)|(system.+state.+changed )|(\[timeout)|(PRM\|1\|D)|(kpr)|(kdp)|(train st.+moving)|(\|lc)|(penalty))"</v>
      </c>
      <c r="AG181" s="209" t="str">
        <f t="shared" si="66"/>
        <v>NW</v>
      </c>
      <c r="AH181" s="78" t="str">
        <f t="shared" si="52"/>
        <v>"%USERPROFILE%\Documents\GitHub\eaglep3\Utilities\RefineRTDCRunTimes.py" --tripid 821-29 --locoid 4018 --swversion DE.1.0.9.0 --startMP 204:971 --initTime 2017-06-29T13:03:18 --startdatetime 2017-06-29T13:21:25 --delay 1 --endMP 300:58914 --enddatetime 2017-06-29T13:35:12 --enforcementcount 0 &gt;&gt;C:\Users\stu\Documents\GitHub\eaglep3-reporting\EC\2017-06-29-refined-times.txt</v>
      </c>
      <c r="AI18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{"issue":{"subject":"","project_id":79,"tracker_id":40,"status_id":1,"priority_id":2,"assigned_to_id":23,"start_date":"2017-06-29","description":"","custom_fields":[{"id":1,"name":"Subdivision","value":"NW"},{"id":4,"name":"Milepost","value":"5.8914"},{"id":17,"name":"Train ID","value":"821-29"},{"id":16,"name":"Locomotive ID","value":"4018"},{"id":130,"name":"Impact","value":""},{"id":150,"name":"Time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4"/>
        <v>start /low /b %USERPROFILE%\Documents\GitHub\eaglep3\Utilities\DownloadLogsFromS3.py --loco 4018 --day 2017-06-29</v>
      </c>
      <c r="AN18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732</v>
      </c>
      <c r="B182" s="7">
        <v>4017</v>
      </c>
      <c r="C182" s="21" t="s">
        <v>201</v>
      </c>
      <c r="D182" s="21" t="s">
        <v>1023</v>
      </c>
      <c r="E182" s="13">
        <v>42915.569282407407</v>
      </c>
      <c r="F182" s="13">
        <v>42915.57068287037</v>
      </c>
      <c r="G182" s="7">
        <v>1</v>
      </c>
      <c r="H182" s="21" t="s">
        <v>562</v>
      </c>
      <c r="I182" s="13">
        <v>42915.579965277779</v>
      </c>
      <c r="J182" s="7">
        <v>0</v>
      </c>
      <c r="K182" s="89" t="str">
        <f t="shared" si="56"/>
        <v>4017/4018</v>
      </c>
      <c r="L182" s="21" t="str">
        <f>VLOOKUP(A182,'Trips&amp;Operators'!$C$1:$G$99999,5,FALSE)</f>
        <v>ARVIDSON DANIEL</v>
      </c>
      <c r="M182" s="6">
        <f t="shared" si="57"/>
        <v>9.2824074090458453E-3</v>
      </c>
      <c r="N182" s="7">
        <f t="shared" si="70"/>
        <v>13.366666669026017</v>
      </c>
      <c r="O182" s="7"/>
      <c r="P182" s="7"/>
      <c r="Q182" s="22"/>
      <c r="R182" s="170"/>
      <c r="S182" s="213">
        <f t="shared" si="71"/>
        <v>1</v>
      </c>
      <c r="T182" s="195" t="str">
        <f t="shared" si="58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9"/>
        <v>https://d0f6bd738d7f1b3e5a7ca70fe4ff75f0.us-east-1.aws.found.io/app/kibana#/discover/Steve-Slow-Train-Analysis-(2080s-and-2083s)?_g=(refreshInterval:(display:Off,pause:!f,section:0,value:0),time:(from:'2017-06-29T12:39:46-0600',mode:absolute,to:'2017-06-29T14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197" t="str">
        <f>IF(AA182&lt;VLOOKUP(AG182,Variables!$AC$3:$AD$8,2,FALSE),"Y","N")</f>
        <v>N</v>
      </c>
      <c r="X182" s="197">
        <f t="shared" si="69"/>
        <v>1</v>
      </c>
      <c r="Y182" s="197">
        <f t="shared" si="60"/>
        <v>5.8596000000000004</v>
      </c>
      <c r="Z182" s="197">
        <f t="shared" si="61"/>
        <v>6.7500000000000004E-2</v>
      </c>
      <c r="AA182" s="197">
        <f t="shared" si="62"/>
        <v>5.7921000000000005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3"/>
        <v>822</v>
      </c>
      <c r="AE182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2" s="74" t="str">
        <f t="shared" si="65"/>
        <v>"C:\Program Files (x86)\AstroGrep\AstroGrep.exe" /e /r /s /spath="%USERPROFILE%\AppData\Local\Temp\OnboardLogs" /stypes="app*4017*20170629*" /stext=" 19:.+((SYSTEM_STATE.+slice.+state.+changed )|(ment ac)|(multiple cpu faults)|(system.+state.+changed )|(\[timeout)|(PRM\|1\|D)|(kpr)|(kdp)|(train st.+moving)|(\|lc)|(penalty))"</v>
      </c>
      <c r="AG182" s="209" t="str">
        <f t="shared" si="66"/>
        <v>NW</v>
      </c>
      <c r="AH182" s="78" t="str">
        <f t="shared" si="52"/>
        <v>"%USERPROFILE%\Documents\GitHub\eaglep3\Utilities\RefineRTDCRunTimes.py" --tripid 822-29 --locoid 4017 --swversion DE.1.0.9.0 --startMP 300:58596 --initTime 2017-06-29T13:39:46 --startdatetime 2017-06-29T13:41:47 --delay 1 --endMP 204:675 --enddatetime 2017-06-29T13:55:09 --enforcementcount 0 &gt;&gt;C:\Users\stu\Documents\GitHub\eaglep3-reporting\EC\2017-06-29-refined-times.txt</v>
      </c>
      <c r="AI18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{"issue":{"subject":"","project_id":79,"tracker_id":40,"status_id":1,"priority_id":2,"assigned_to_id":23,"start_date":"2017-06-29","description":"","custom_fields":[{"id":1,"name":"Subdivision","value":"NW"},{"id":4,"name":"Milepost","value":"0.0675"},{"id":17,"name":"Train ID","value":"822-29"},{"id":16,"name":"Locomotive ID","value":"4017"},{"id":130,"name":"Impact","value":""},{"id":150,"name":"Time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4"/>
        <v>start /low /b %USERPROFILE%\Documents\GitHub\eaglep3\Utilities\DownloadLogsFromS3.py --loco 4017 --day 2017-06-29</v>
      </c>
      <c r="AN18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730</v>
      </c>
      <c r="B183" s="7">
        <v>4018</v>
      </c>
      <c r="C183" s="21" t="s">
        <v>201</v>
      </c>
      <c r="D183" s="21" t="s">
        <v>1024</v>
      </c>
      <c r="E183" s="13">
        <v>42915.593055555553</v>
      </c>
      <c r="F183" s="13">
        <v>42915.598136574074</v>
      </c>
      <c r="G183" s="7">
        <v>1</v>
      </c>
      <c r="H183" s="21" t="s">
        <v>1025</v>
      </c>
      <c r="I183" s="13">
        <v>42915.607719907406</v>
      </c>
      <c r="J183" s="7">
        <v>0</v>
      </c>
      <c r="K183" s="89" t="str">
        <f t="shared" si="56"/>
        <v>4017/4018</v>
      </c>
      <c r="L183" s="21" t="str">
        <f>VLOOKUP(A183,'Trips&amp;Operators'!$C$1:$G$99999,5,FALSE)</f>
        <v>ARVIDSON DANIEL</v>
      </c>
      <c r="M183" s="6">
        <f t="shared" si="57"/>
        <v>9.5833333325572312E-3</v>
      </c>
      <c r="N183" s="7">
        <f t="shared" si="70"/>
        <v>13.799999998882413</v>
      </c>
      <c r="O183" s="7"/>
      <c r="P183" s="7"/>
      <c r="Q183" s="22"/>
      <c r="R183" s="170"/>
      <c r="S183" s="213">
        <f t="shared" si="71"/>
        <v>1</v>
      </c>
      <c r="T183" s="195" t="str">
        <f t="shared" si="58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9"/>
        <v>https://d0f6bd738d7f1b3e5a7ca70fe4ff75f0.us-east-1.aws.found.io/app/kibana#/discover/Steve-Slow-Train-Analysis-(2080s-and-2083s)?_g=(refreshInterval:(display:Off,pause:!f,section:0,value:0),time:(from:'2017-06-29T13:14:00-0600',mode:absolute,to:'2017-06-29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197" t="str">
        <f>IF(AA183&lt;VLOOKUP(AG183,Variables!$AC$3:$AD$8,2,FALSE),"Y","N")</f>
        <v>N</v>
      </c>
      <c r="X183" s="197">
        <f t="shared" si="69"/>
        <v>1</v>
      </c>
      <c r="Y183" s="197">
        <f t="shared" si="60"/>
        <v>9.6000000000000002E-2</v>
      </c>
      <c r="Z183" s="197">
        <f t="shared" si="61"/>
        <v>5.8920000000000003</v>
      </c>
      <c r="AA183" s="197">
        <f t="shared" si="62"/>
        <v>5.7960000000000003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3"/>
        <v>823</v>
      </c>
      <c r="AE18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3" s="74" t="str">
        <f t="shared" si="65"/>
        <v>"C:\Program Files (x86)\AstroGrep\AstroGrep.exe" /e /r /s /spath="%USERPROFILE%\AppData\Local\Temp\OnboardLogs" /stypes="app*4018*20170629*" /stext=" 20:.+((SYSTEM_STATE.+slice.+state.+changed )|(ment ac)|(multiple cpu faults)|(system.+state.+changed )|(\[timeout)|(PRM\|1\|D)|(kpr)|(kdp)|(train st.+moving)|(\|lc)|(penalty))"</v>
      </c>
      <c r="AG183" s="209" t="str">
        <f t="shared" si="66"/>
        <v>NW</v>
      </c>
      <c r="AH183" s="78" t="str">
        <f t="shared" si="52"/>
        <v>"%USERPROFILE%\Documents\GitHub\eaglep3\Utilities\RefineRTDCRunTimes.py" --tripid 823-29 --locoid 4018 --swversion DE.1.0.9.0 --startMP 204:960 --initTime 2017-06-29T14:14:00 --startdatetime 2017-06-29T14:21:19 --delay 1 --endMP 300:58920 --enddatetime 2017-06-29T14:35:07 --enforcementcount 0 &gt;&gt;C:\Users\stu\Documents\GitHub\eaglep3-reporting\EC\2017-06-29-refined-times.txt</v>
      </c>
      <c r="AI18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{"issue":{"subject":"","project_id":79,"tracker_id":40,"status_id":1,"priority_id":2,"assigned_to_id":23,"start_date":"2017-06-29","description":"","custom_fields":[{"id":1,"name":"Subdivision","value":"NW"},{"id":4,"name":"Milepost","value":"5.892"},{"id":17,"name":"Train ID","value":"823-29"},{"id":16,"name":"Locomotive ID","value":"4018"},{"id":130,"name":"Impact","value":""},{"id":150,"name":"Time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4"/>
        <v>start /low /b %USERPROFILE%\Documents\GitHub\eaglep3\Utilities\DownloadLogsFromS3.py --loco 4018 --day 2017-06-29</v>
      </c>
      <c r="AN18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737</v>
      </c>
      <c r="B184" s="7">
        <v>4017</v>
      </c>
      <c r="C184" s="21" t="s">
        <v>201</v>
      </c>
      <c r="D184" s="21" t="s">
        <v>1016</v>
      </c>
      <c r="E184" s="13">
        <v>42915.608958333331</v>
      </c>
      <c r="F184" s="13">
        <v>42915.611168981479</v>
      </c>
      <c r="G184" s="7">
        <v>1</v>
      </c>
      <c r="H184" s="21" t="s">
        <v>1026</v>
      </c>
      <c r="I184" s="13">
        <v>42915.621435185189</v>
      </c>
      <c r="J184" s="7">
        <v>0</v>
      </c>
      <c r="K184" s="89" t="str">
        <f t="shared" si="56"/>
        <v>4017/4018</v>
      </c>
      <c r="L184" s="21" t="str">
        <f>VLOOKUP(A184,'Trips&amp;Operators'!$C$1:$G$99999,5,FALSE)</f>
        <v>ARVIDSON DANIEL</v>
      </c>
      <c r="M184" s="6">
        <f t="shared" si="57"/>
        <v>1.0266203709761612E-2</v>
      </c>
      <c r="N184" s="7">
        <f t="shared" si="70"/>
        <v>14.783333342056721</v>
      </c>
      <c r="O184" s="7"/>
      <c r="P184" s="7"/>
      <c r="Q184" s="22"/>
      <c r="R184" s="170"/>
      <c r="S184" s="213">
        <f t="shared" si="71"/>
        <v>1</v>
      </c>
      <c r="T184" s="195" t="str">
        <f t="shared" si="58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9"/>
        <v>https://d0f6bd738d7f1b3e5a7ca70fe4ff75f0.us-east-1.aws.found.io/app/kibana#/discover/Steve-Slow-Train-Analysis-(2080s-and-2083s)?_g=(refreshInterval:(display:Off,pause:!f,section:0,value:0),time:(from:'2017-06-29T13:36:54-0600',mode:absolute,to:'2017-06-29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197" t="str">
        <f>IF(AA184&lt;VLOOKUP(AG184,Variables!$AC$3:$AD$8,2,FALSE),"Y","N")</f>
        <v>N</v>
      </c>
      <c r="X184" s="197">
        <f t="shared" si="69"/>
        <v>1</v>
      </c>
      <c r="Y184" s="197">
        <f t="shared" si="60"/>
        <v>5.8608000000000002</v>
      </c>
      <c r="Z184" s="197">
        <f t="shared" si="61"/>
        <v>6.8199999999999997E-2</v>
      </c>
      <c r="AA184" s="197">
        <f t="shared" si="62"/>
        <v>5.7926000000000002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3"/>
        <v>824</v>
      </c>
      <c r="AE18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4" s="74" t="str">
        <f t="shared" si="65"/>
        <v>"C:\Program Files (x86)\AstroGrep\AstroGrep.exe" /e /r /s /spath="%USERPROFILE%\AppData\Local\Temp\OnboardLogs" /stypes="app*4017*20170629*" /stext=" 20:.+((SYSTEM_STATE.+slice.+state.+changed )|(ment ac)|(multiple cpu faults)|(system.+state.+changed )|(\[timeout)|(PRM\|1\|D)|(kpr)|(kdp)|(train st.+moving)|(\|lc)|(penalty))"</v>
      </c>
      <c r="AG184" s="209" t="str">
        <f t="shared" si="66"/>
        <v>NW</v>
      </c>
      <c r="AH184" s="78" t="str">
        <f t="shared" si="52"/>
        <v>"%USERPROFILE%\Documents\GitHub\eaglep3\Utilities\RefineRTDCRunTimes.py" --tripid 824-29 --locoid 4017 --swversion DE.1.0.9.0 --startMP 300:58608 --initTime 2017-06-29T14:36:54 --startdatetime 2017-06-29T14:40:05 --delay 1 --endMP 204:682 --enddatetime 2017-06-29T14:54:52 --enforcementcount 0 &gt;&gt;C:\Users\stu\Documents\GitHub\eaglep3-reporting\EC\2017-06-29-refined-times.txt</v>
      </c>
      <c r="AI18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{"issue":{"subject":"","project_id":79,"tracker_id":40,"status_id":1,"priority_id":2,"assigned_to_id":23,"start_date":"2017-06-29","description":"","custom_fields":[{"id":1,"name":"Subdivision","value":"NW"},{"id":4,"name":"Milepost","value":"0.0682"},{"id":17,"name":"Train ID","value":"824-29"},{"id":16,"name":"Locomotive ID","value":"4017"},{"id":130,"name":"Impact","value":""},{"id":150,"name":"Time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4"/>
        <v>start /low /b %USERPROFILE%\Documents\GitHub\eaglep3\Utilities\DownloadLogsFromS3.py --loco 4017 --day 2017-06-29</v>
      </c>
      <c r="AN18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742</v>
      </c>
      <c r="B185" s="7">
        <v>4018</v>
      </c>
      <c r="C185" s="21" t="s">
        <v>201</v>
      </c>
      <c r="D185" s="21" t="s">
        <v>1027</v>
      </c>
      <c r="E185" s="13">
        <v>42915.635682870372</v>
      </c>
      <c r="F185" s="13">
        <v>42915.639814814815</v>
      </c>
      <c r="G185" s="7">
        <v>1</v>
      </c>
      <c r="H185" s="21" t="s">
        <v>1028</v>
      </c>
      <c r="I185" s="13">
        <v>42915.649513888886</v>
      </c>
      <c r="J185" s="7">
        <v>0</v>
      </c>
      <c r="K185" s="89" t="str">
        <f t="shared" si="56"/>
        <v>4017/4018</v>
      </c>
      <c r="L185" s="21" t="str">
        <f>VLOOKUP(A185,'Trips&amp;Operators'!$C$1:$G$99999,5,FALSE)</f>
        <v>ARVIDSON DANIEL</v>
      </c>
      <c r="M185" s="6">
        <f t="shared" si="57"/>
        <v>9.6990740712499246E-3</v>
      </c>
      <c r="N185" s="7">
        <f t="shared" si="70"/>
        <v>13.966666662599891</v>
      </c>
      <c r="O185" s="7"/>
      <c r="P185" s="7"/>
      <c r="Q185" s="22"/>
      <c r="R185" s="170"/>
      <c r="S185" s="213">
        <f t="shared" si="71"/>
        <v>1</v>
      </c>
      <c r="T185" s="195" t="str">
        <f t="shared" si="58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9"/>
        <v>https://d0f6bd738d7f1b3e5a7ca70fe4ff75f0.us-east-1.aws.found.io/app/kibana#/discover/Steve-Slow-Train-Analysis-(2080s-and-2083s)?_g=(refreshInterval:(display:Off,pause:!f,section:0,value:0),time:(from:'2017-06-29T14:15:23-0600',mode:absolute,to:'2017-06-29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97" t="str">
        <f>IF(AA185&lt;VLOOKUP(AG185,Variables!$AC$3:$AD$8,2,FALSE),"Y","N")</f>
        <v>N</v>
      </c>
      <c r="X185" s="197">
        <f t="shared" si="69"/>
        <v>1</v>
      </c>
      <c r="Y185" s="197">
        <f t="shared" si="60"/>
        <v>9.4799999999999995E-2</v>
      </c>
      <c r="Z185" s="197">
        <f t="shared" si="61"/>
        <v>5.8917999999999999</v>
      </c>
      <c r="AA185" s="197">
        <f t="shared" si="62"/>
        <v>5.7969999999999997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3"/>
        <v>825</v>
      </c>
      <c r="AE185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5" s="74" t="str">
        <f t="shared" si="65"/>
        <v>"C:\Program Files (x86)\AstroGrep\AstroGrep.exe" /e /r /s /spath="%USERPROFILE%\AppData\Local\Temp\OnboardLogs" /stypes="app*4018*20170629*" /stext=" 21:.+((SYSTEM_STATE.+slice.+state.+changed )|(ment ac)|(multiple cpu faults)|(system.+state.+changed )|(\[timeout)|(PRM\|1\|D)|(kpr)|(kdp)|(train st.+moving)|(\|lc)|(penalty))"</v>
      </c>
      <c r="AG185" s="209" t="str">
        <f t="shared" si="66"/>
        <v>NW</v>
      </c>
      <c r="AH185" s="78" t="str">
        <f t="shared" si="52"/>
        <v>"%USERPROFILE%\Documents\GitHub\eaglep3\Utilities\RefineRTDCRunTimes.py" --tripid 825-29 --locoid 4018 --swversion DE.1.0.9.0 --startMP 204:948 --initTime 2017-06-29T15:15:23 --startdatetime 2017-06-29T15:21:20 --delay 1 --endMP 300:58918 --enddatetime 2017-06-29T15:35:18 --enforcementcount 0 &gt;&gt;C:\Users\stu\Documents\GitHub\eaglep3-reporting\EC\2017-06-29-refined-times.txt</v>
      </c>
      <c r="AI18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{"issue":{"subject":"","project_id":79,"tracker_id":40,"status_id":1,"priority_id":2,"assigned_to_id":23,"start_date":"2017-06-29","description":"","custom_fields":[{"id":1,"name":"Subdivision","value":"NW"},{"id":4,"name":"Milepost","value":"5.8918"},{"id":17,"name":"Train ID","value":"825-29"},{"id":16,"name":"Locomotive ID","value":"4018"},{"id":130,"name":"Impact","value":""},{"id":150,"name":"Time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4"/>
        <v>start /low /b %USERPROFILE%\Documents\GitHub\eaglep3\Utilities\DownloadLogsFromS3.py --loco 4018 --day 2017-06-29</v>
      </c>
      <c r="AN18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603</v>
      </c>
      <c r="B186" s="7">
        <v>4017</v>
      </c>
      <c r="C186" s="21" t="s">
        <v>201</v>
      </c>
      <c r="D186" s="21" t="s">
        <v>1029</v>
      </c>
      <c r="E186" s="13">
        <v>42915.651666666665</v>
      </c>
      <c r="F186" s="13">
        <v>42915.653761574074</v>
      </c>
      <c r="G186" s="7">
        <v>1</v>
      </c>
      <c r="H186" s="21" t="s">
        <v>524</v>
      </c>
      <c r="I186" s="13">
        <v>42915.664282407408</v>
      </c>
      <c r="J186" s="7">
        <v>0</v>
      </c>
      <c r="K186" s="89" t="str">
        <f t="shared" si="56"/>
        <v>4017/4018</v>
      </c>
      <c r="L186" s="21" t="str">
        <f>VLOOKUP(A186,'Trips&amp;Operators'!$C$1:$G$99999,5,FALSE)</f>
        <v>ARVIDSON DANIEL</v>
      </c>
      <c r="M186" s="6">
        <f t="shared" si="57"/>
        <v>1.0520833333430346E-2</v>
      </c>
      <c r="N186" s="7">
        <f t="shared" si="70"/>
        <v>15.150000000139698</v>
      </c>
      <c r="O186" s="7"/>
      <c r="P186" s="7"/>
      <c r="Q186" s="22"/>
      <c r="R186" s="170"/>
      <c r="S186" s="213">
        <f t="shared" si="71"/>
        <v>1</v>
      </c>
      <c r="T186" s="195" t="str">
        <f t="shared" si="58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9"/>
        <v>https://d0f6bd738d7f1b3e5a7ca70fe4ff75f0.us-east-1.aws.found.io/app/kibana#/discover/Steve-Slow-Train-Analysis-(2080s-and-2083s)?_g=(refreshInterval:(display:Off,pause:!f,section:0,value:0),time:(from:'2017-06-29T14:38:24-0600',mode:absolute,to:'2017-06-29T16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97" t="str">
        <f>IF(AA186&lt;VLOOKUP(AG186,Variables!$AC$3:$AD$8,2,FALSE),"Y","N")</f>
        <v>N</v>
      </c>
      <c r="X186" s="197">
        <f t="shared" si="69"/>
        <v>1</v>
      </c>
      <c r="Y186" s="197">
        <f t="shared" si="60"/>
        <v>5.8601999999999999</v>
      </c>
      <c r="Z186" s="197">
        <f t="shared" si="61"/>
        <v>6.9099999999999995E-2</v>
      </c>
      <c r="AA186" s="197">
        <f t="shared" si="62"/>
        <v>5.7911000000000001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3"/>
        <v>826</v>
      </c>
      <c r="AE186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6" s="74" t="str">
        <f t="shared" si="65"/>
        <v>"C:\Program Files (x86)\AstroGrep\AstroGrep.exe" /e /r /s /spath="%USERPROFILE%\AppData\Local\Temp\OnboardLogs" /stypes="app*4017*20170629*" /stext=" 21:.+((SYSTEM_STATE.+slice.+state.+changed )|(ment ac)|(multiple cpu faults)|(system.+state.+changed )|(\[timeout)|(PRM\|1\|D)|(kpr)|(kdp)|(train st.+moving)|(\|lc)|(penalty))"</v>
      </c>
      <c r="AG186" s="209" t="str">
        <f t="shared" si="66"/>
        <v>NW</v>
      </c>
      <c r="AH186" s="78" t="str">
        <f t="shared" si="52"/>
        <v>"%USERPROFILE%\Documents\GitHub\eaglep3\Utilities\RefineRTDCRunTimes.py" --tripid 826-29 --locoid 4017 --swversion DE.1.0.9.0 --startMP 300:58602 --initTime 2017-06-29T15:38:24 --startdatetime 2017-06-29T15:41:25 --delay 1 --endMP 204:691 --enddatetime 2017-06-29T15:56:34 --enforcementcount 0 &gt;&gt;C:\Users\stu\Documents\GitHub\eaglep3-reporting\EC\2017-06-29-refined-times.txt</v>
      </c>
      <c r="AI18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{"issue":{"subject":"","project_id":79,"tracker_id":40,"status_id":1,"priority_id":2,"assigned_to_id":23,"start_date":"2017-06-29","description":"","custom_fields":[{"id":1,"name":"Subdivision","value":"NW"},{"id":4,"name":"Milepost","value":"0.0691"},{"id":17,"name":"Train ID","value":"826-29"},{"id":16,"name":"Locomotive ID","value":"4017"},{"id":130,"name":"Impact","value":""},{"id":150,"name":"Time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4"/>
        <v>start /low /b %USERPROFILE%\Documents\GitHub\eaglep3\Utilities\DownloadLogsFromS3.py --loco 4017 --day 2017-06-29</v>
      </c>
      <c r="AN18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744</v>
      </c>
      <c r="B187" s="7">
        <v>4042</v>
      </c>
      <c r="C187" s="21" t="s">
        <v>201</v>
      </c>
      <c r="D187" s="21" t="s">
        <v>1030</v>
      </c>
      <c r="E187" s="13">
        <v>42915.644606481481</v>
      </c>
      <c r="F187" s="13">
        <v>42915.658888888887</v>
      </c>
      <c r="G187" s="7">
        <v>1</v>
      </c>
      <c r="H187" s="21" t="s">
        <v>879</v>
      </c>
      <c r="I187" s="13">
        <v>42915.671261574076</v>
      </c>
      <c r="J187" s="7">
        <v>0</v>
      </c>
      <c r="K187" s="89" t="str">
        <f t="shared" si="56"/>
        <v>4041/4042</v>
      </c>
      <c r="L187" s="21" t="str">
        <f>VLOOKUP(A187,'Trips&amp;Operators'!$C$1:$G$99999,5,FALSE)</f>
        <v>HAITHCOX MICHAEL</v>
      </c>
      <c r="M187" s="6">
        <f t="shared" si="57"/>
        <v>1.2372685188893229E-2</v>
      </c>
      <c r="N187" s="7">
        <f t="shared" si="70"/>
        <v>17.816666672006249</v>
      </c>
      <c r="O187" s="7"/>
      <c r="P187" s="7"/>
      <c r="Q187" s="22"/>
      <c r="R187" s="170" t="s">
        <v>1058</v>
      </c>
      <c r="S187" s="213">
        <f t="shared" si="71"/>
        <v>1</v>
      </c>
      <c r="T187" s="195" t="str">
        <f t="shared" si="58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9"/>
        <v>https://d0f6bd738d7f1b3e5a7ca70fe4ff75f0.us-east-1.aws.found.io/app/kibana#/discover/Steve-Slow-Train-Analysis-(2080s-and-2083s)?_g=(refreshInterval:(display:Off,pause:!f,section:0,value:0),time:(from:'2017-06-29T14:28:14-0600',mode:absolute,to:'2017-06-29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97" t="str">
        <f>IF(AA187&lt;VLOOKUP(AG187,Variables!$AC$3:$AD$8,2,FALSE),"Y","N")</f>
        <v>N</v>
      </c>
      <c r="X187" s="197">
        <f t="shared" si="69"/>
        <v>1</v>
      </c>
      <c r="Y187" s="197">
        <f t="shared" si="60"/>
        <v>9.6699999999999994E-2</v>
      </c>
      <c r="Z187" s="197">
        <f t="shared" si="61"/>
        <v>5.8929</v>
      </c>
      <c r="AA187" s="197">
        <f t="shared" si="62"/>
        <v>5.7961999999999998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3"/>
        <v>827</v>
      </c>
      <c r="AE187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87" s="74" t="str">
        <f t="shared" si="65"/>
        <v>"C:\Program Files (x86)\AstroGrep\AstroGrep.exe" /e /r /s /spath="%USERPROFILE%\AppData\Local\Temp\OnboardLogs" /stypes="app*4042*20170629*" /stext=" 22:.+((SYSTEM_STATE.+slice.+state.+changed )|(ment ac)|(multiple cpu faults)|(system.+state.+changed )|(\[timeout)|(PRM\|1\|D)|(kpr)|(kdp)|(train st.+moving)|(\|lc)|(penalty))"</v>
      </c>
      <c r="AG187" s="209" t="str">
        <f t="shared" si="66"/>
        <v>NW</v>
      </c>
      <c r="AH187" s="78" t="str">
        <f t="shared" si="52"/>
        <v>"%USERPROFILE%\Documents\GitHub\eaglep3\Utilities\RefineRTDCRunTimes.py" --tripid 827-29 --locoid 4042 --swversion DE.1.0.9.0 --startMP 204:967 --initTime 2017-06-29T15:28:14 --startdatetime 2017-06-29T15:48:48 --delay 1 --endMP 300:58929 --enddatetime 2017-06-29T16:06:37 --enforcementcount 0 &gt;&gt;C:\Users\stu\Documents\GitHub\eaglep3-reporting\EC\2017-06-29-refined-times.txt</v>
      </c>
      <c r="AI187" s="96" t="str">
        <f t="shared" si="53"/>
        <v>echo {"issue":{"subject":"Delayed by poor GPS at DUS","project_id":79,"tracker_id":40,"status_id":1,"priority_id":2,"assigned_to_id":23,"start_date":"2017-06-29","description":"","custom_fields":[{"id":1,"name":"Subdivision","value":"NW"},{"id":4,"name":"Milepost","value":"5.8929"},{"id":17,"name":"Train ID","value":"827-29"},{"id":16,"name":"Locomotive ID","value":"4042"},{"id":130,"name":"Impact","value":""},{"id":150,"name":"Time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4"/>
        <v>start /low /b %USERPROFILE%\Documents\GitHub\eaglep3\Utilities\DownloadLogsFromS3.py --loco 4042 --day 2017-06-29</v>
      </c>
      <c r="AN187" s="151" t="str">
        <f t="shared" si="55"/>
        <v>echo {"issue":{"subject":"Delayed by poor GPS at DUS","project_id":30,"tracker_id":4,"status_id":1,"priority_id":1,"assigned_to_id":10,"start_date":"2017-06-29","description":"","custom_fields":[{"id":30,"name":"Category","value":"Issue"},{"id":3,"name":"Functional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606</v>
      </c>
      <c r="B188" s="7">
        <v>4041</v>
      </c>
      <c r="C188" s="21" t="s">
        <v>201</v>
      </c>
      <c r="D188" s="21" t="s">
        <v>1019</v>
      </c>
      <c r="E188" s="13">
        <v>42915.672037037039</v>
      </c>
      <c r="F188" s="13">
        <v>42915.673854166664</v>
      </c>
      <c r="G188" s="7">
        <v>1</v>
      </c>
      <c r="H188" s="21" t="s">
        <v>1031</v>
      </c>
      <c r="I188" s="13">
        <v>42915.684791666667</v>
      </c>
      <c r="J188" s="7">
        <v>0</v>
      </c>
      <c r="K188" s="89" t="str">
        <f t="shared" si="56"/>
        <v>4041/4042</v>
      </c>
      <c r="L188" s="21" t="str">
        <f>VLOOKUP(A188,'Trips&amp;Operators'!$C$1:$G$99999,5,FALSE)</f>
        <v>HAITHCOX MICHAEL</v>
      </c>
      <c r="M188" s="6">
        <f t="shared" si="57"/>
        <v>1.0937500002910383E-2</v>
      </c>
      <c r="N188" s="7">
        <f t="shared" si="70"/>
        <v>15.750000004190952</v>
      </c>
      <c r="O188" s="7"/>
      <c r="P188" s="7"/>
      <c r="Q188" s="22"/>
      <c r="R188" s="170"/>
      <c r="S188" s="213">
        <f t="shared" si="71"/>
        <v>1</v>
      </c>
      <c r="T188" s="195" t="str">
        <f t="shared" si="58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9"/>
        <v>https://d0f6bd738d7f1b3e5a7ca70fe4ff75f0.us-east-1.aws.found.io/app/kibana#/discover/Steve-Slow-Train-Analysis-(2080s-and-2083s)?_g=(refreshInterval:(display:Off,pause:!f,section:0,value:0),time:(from:'2017-06-29T15:07:44-0600',mode:absolute,to:'2017-06-29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97" t="str">
        <f>IF(AA188&lt;VLOOKUP(AG188,Variables!$AC$3:$AD$8,2,FALSE),"Y","N")</f>
        <v>N</v>
      </c>
      <c r="X188" s="197">
        <f t="shared" si="69"/>
        <v>1</v>
      </c>
      <c r="Y188" s="197">
        <f t="shared" si="60"/>
        <v>5.8609</v>
      </c>
      <c r="Z188" s="197">
        <f t="shared" si="61"/>
        <v>6.7100000000000007E-2</v>
      </c>
      <c r="AA188" s="197">
        <f t="shared" si="62"/>
        <v>5.7938000000000001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3"/>
        <v>828</v>
      </c>
      <c r="AE188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88" s="74" t="str">
        <f t="shared" si="65"/>
        <v>"C:\Program Files (x86)\AstroGrep\AstroGrep.exe" /e /r /s /spath="%USERPROFILE%\AppData\Local\Temp\OnboardLogs" /stypes="app*4041*20170629*" /stext=" 22:.+((SYSTEM_STATE.+slice.+state.+changed )|(ment ac)|(multiple cpu faults)|(system.+state.+changed )|(\[timeout)|(PRM\|1\|D)|(kpr)|(kdp)|(train st.+moving)|(\|lc)|(penalty))"</v>
      </c>
      <c r="AG188" s="209" t="str">
        <f t="shared" si="66"/>
        <v>NW</v>
      </c>
      <c r="AH188" s="78" t="str">
        <f t="shared" si="52"/>
        <v>"%USERPROFILE%\Documents\GitHub\eaglep3\Utilities\RefineRTDCRunTimes.py" --tripid 828-29 --locoid 4041 --swversion DE.1.0.9.0 --startMP 300:58609 --initTime 2017-06-29T16:07:44 --startdatetime 2017-06-29T16:10:21 --delay 1 --endMP 204:671 --enddatetime 2017-06-29T16:26:06 --enforcementcount 0 &gt;&gt;C:\Users\stu\Documents\GitHub\eaglep3-reporting\EC\2017-06-29-refined-times.txt</v>
      </c>
      <c r="AI18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{"issue":{"subject":"","project_id":79,"tracker_id":40,"status_id":1,"priority_id":2,"assigned_to_id":23,"start_date":"2017-06-29","description":"","custom_fields":[{"id":1,"name":"Subdivision","value":"NW"},{"id":4,"name":"Milepost","value":"0.0671"},{"id":17,"name":"Train ID","value":"828-29"},{"id":16,"name":"Locomotive ID","value":"4041"},{"id":130,"name":"Impact","value":""},{"id":150,"name":"Time of Event (Mountain Time)","value":"16:26:06"},{"id":151,"name":"Denver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4"/>
        <v>start /low /b %USERPROFILE%\Documents\GitHub\eaglep3\Utilities\DownloadLogsFromS3.py --loco 4041 --day 2017-06-29</v>
      </c>
      <c r="AN18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607</v>
      </c>
      <c r="B189" s="7">
        <v>4018</v>
      </c>
      <c r="C189" s="21" t="s">
        <v>201</v>
      </c>
      <c r="D189" s="21" t="s">
        <v>564</v>
      </c>
      <c r="E189" s="13">
        <v>42915.677349537036</v>
      </c>
      <c r="F189" s="13">
        <v>42915.681504629632</v>
      </c>
      <c r="G189" s="7">
        <v>1</v>
      </c>
      <c r="H189" s="21" t="s">
        <v>1032</v>
      </c>
      <c r="I189" s="13">
        <v>42915.691168981481</v>
      </c>
      <c r="J189" s="7">
        <v>0</v>
      </c>
      <c r="K189" s="89" t="str">
        <f t="shared" si="56"/>
        <v>4017/4018</v>
      </c>
      <c r="L189" s="21" t="str">
        <f>VLOOKUP(A189,'Trips&amp;Operators'!$C$1:$G$99999,5,FALSE)</f>
        <v>ARVIDSON DANIEL</v>
      </c>
      <c r="M189" s="6">
        <f t="shared" si="57"/>
        <v>9.6643518481869251E-3</v>
      </c>
      <c r="N189" s="7">
        <f t="shared" si="70"/>
        <v>13.916666661389172</v>
      </c>
      <c r="O189" s="7"/>
      <c r="P189" s="7"/>
      <c r="Q189" s="22"/>
      <c r="R189" s="170"/>
      <c r="S189" s="213">
        <f t="shared" si="71"/>
        <v>1</v>
      </c>
      <c r="T189" s="195" t="str">
        <f t="shared" si="58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9"/>
        <v>https://d0f6bd738d7f1b3e5a7ca70fe4ff75f0.us-east-1.aws.found.io/app/kibana#/discover/Steve-Slow-Train-Analysis-(2080s-and-2083s)?_g=(refreshInterval:(display:Off,pause:!f,section:0,value:0),time:(from:'2017-06-29T15:15:23-0600',mode:absolute,to:'2017-06-29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97" t="str">
        <f>IF(AA189&lt;VLOOKUP(AG189,Variables!$AC$3:$AD$8,2,FALSE),"Y","N")</f>
        <v>N</v>
      </c>
      <c r="X189" s="197">
        <f t="shared" si="69"/>
        <v>1</v>
      </c>
      <c r="Y189" s="197">
        <f t="shared" si="60"/>
        <v>9.64E-2</v>
      </c>
      <c r="Z189" s="197">
        <f t="shared" si="61"/>
        <v>5.8921999999999999</v>
      </c>
      <c r="AA189" s="197">
        <f t="shared" si="62"/>
        <v>5.7957999999999998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3"/>
        <v>829</v>
      </c>
      <c r="AE189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9" s="74" t="str">
        <f t="shared" si="65"/>
        <v>"C:\Program Files (x86)\AstroGrep\AstroGrep.exe" /e /r /s /spath="%USERPROFILE%\AppData\Local\Temp\OnboardLogs" /stypes="app*4018*20170629*" /stext=" 22:.+((SYSTEM_STATE.+slice.+state.+changed )|(ment ac)|(multiple cpu faults)|(system.+state.+changed )|(\[timeout)|(PRM\|1\|D)|(kpr)|(kdp)|(train st.+moving)|(\|lc)|(penalty))"</v>
      </c>
      <c r="AG189" s="209" t="str">
        <f t="shared" si="66"/>
        <v>NW</v>
      </c>
      <c r="AH189" s="78" t="str">
        <f t="shared" si="52"/>
        <v>"%USERPROFILE%\Documents\GitHub\eaglep3\Utilities\RefineRTDCRunTimes.py" --tripid 829-29 --locoid 4018 --swversion DE.1.0.9.0 --startMP 204:964 --initTime 2017-06-29T16:15:23 --startdatetime 2017-06-29T16:21:22 --delay 1 --endMP 300:58922 --enddatetime 2017-06-29T16:35:17 --enforcementcount 0 &gt;&gt;C:\Users\stu\Documents\GitHub\eaglep3-reporting\EC\2017-06-29-refined-times.txt</v>
      </c>
      <c r="AI18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{"issue":{"subject":"","project_id":79,"tracker_id":40,"status_id":1,"priority_id":2,"assigned_to_id":23,"start_date":"2017-06-29","description":"","custom_fields":[{"id":1,"name":"Subdivision","value":"NW"},{"id":4,"name":"Milepost","value":"5.8922"},{"id":17,"name":"Train ID","value":"829-29"},{"id":16,"name":"Locomotive ID","value":"4018"},{"id":130,"name":"Impact","value":""},{"id":150,"name":"Time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4"/>
        <v>start /low /b %USERPROFILE%\Documents\GitHub\eaglep3\Utilities\DownloadLogsFromS3.py --loco 4018 --day 2017-06-29</v>
      </c>
      <c r="AN18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752</v>
      </c>
      <c r="B190" s="7">
        <v>4017</v>
      </c>
      <c r="C190" s="21" t="s">
        <v>201</v>
      </c>
      <c r="D190" s="21" t="s">
        <v>1029</v>
      </c>
      <c r="E190" s="13">
        <v>42915.692442129628</v>
      </c>
      <c r="F190" s="13">
        <v>42915.694976851853</v>
      </c>
      <c r="G190" s="7">
        <v>1</v>
      </c>
      <c r="H190" s="21" t="s">
        <v>1033</v>
      </c>
      <c r="I190" s="13">
        <v>42915.705925925926</v>
      </c>
      <c r="J190" s="7">
        <v>0</v>
      </c>
      <c r="K190" s="89" t="str">
        <f t="shared" si="56"/>
        <v>4017/4018</v>
      </c>
      <c r="L190" s="21" t="str">
        <f>VLOOKUP(A190,'Trips&amp;Operators'!$C$1:$G$99999,5,FALSE)</f>
        <v>ARVIDSON DANIEL</v>
      </c>
      <c r="M190" s="6">
        <f t="shared" si="57"/>
        <v>1.0949074072414078E-2</v>
      </c>
      <c r="N190" s="7">
        <f t="shared" si="70"/>
        <v>15.766666664276272</v>
      </c>
      <c r="O190" s="7"/>
      <c r="P190" s="7"/>
      <c r="Q190" s="22"/>
      <c r="R190" s="170"/>
      <c r="S190" s="213">
        <f t="shared" si="71"/>
        <v>1</v>
      </c>
      <c r="T190" s="195" t="str">
        <f t="shared" si="58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9"/>
        <v>https://d0f6bd738d7f1b3e5a7ca70fe4ff75f0.us-east-1.aws.found.io/app/kibana#/discover/Steve-Slow-Train-Analysis-(2080s-and-2083s)?_g=(refreshInterval:(display:Off,pause:!f,section:0,value:0),time:(from:'2017-06-29T15:37:07-0600',mode:absolute,to:'2017-06-29T17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97" t="str">
        <f>IF(AA190&lt;VLOOKUP(AG190,Variables!$AC$3:$AD$8,2,FALSE),"Y","N")</f>
        <v>N</v>
      </c>
      <c r="X190" s="197">
        <f t="shared" si="69"/>
        <v>1</v>
      </c>
      <c r="Y190" s="197">
        <f t="shared" si="60"/>
        <v>5.8601999999999999</v>
      </c>
      <c r="Z190" s="197">
        <f t="shared" si="61"/>
        <v>6.2899999999999998E-2</v>
      </c>
      <c r="AA190" s="197">
        <f t="shared" si="62"/>
        <v>5.7972999999999999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3"/>
        <v>830</v>
      </c>
      <c r="AE19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0" s="74" t="str">
        <f t="shared" si="65"/>
        <v>"C:\Program Files (x86)\AstroGrep\AstroGrep.exe" /e /r /s /spath="%USERPROFILE%\AppData\Local\Temp\OnboardLogs" /stypes="app*4017*20170629*" /stext=" 22:.+((SYSTEM_STATE.+slice.+state.+changed )|(ment ac)|(multiple cpu faults)|(system.+state.+changed )|(\[timeout)|(PRM\|1\|D)|(kpr)|(kdp)|(train st.+moving)|(\|lc)|(penalty))"</v>
      </c>
      <c r="AG190" s="209" t="str">
        <f t="shared" si="66"/>
        <v>NW</v>
      </c>
      <c r="AH190" s="78" t="str">
        <f t="shared" si="52"/>
        <v>"%USERPROFILE%\Documents\GitHub\eaglep3\Utilities\RefineRTDCRunTimes.py" --tripid 830-29 --locoid 4017 --swversion DE.1.0.9.0 --startMP 300:58602 --initTime 2017-06-29T16:37:07 --startdatetime 2017-06-29T16:40:46 --delay 1 --endMP 204:629 --enddatetime 2017-06-29T16:56:32 --enforcementcount 0 &gt;&gt;C:\Users\stu\Documents\GitHub\eaglep3-reporting\EC\2017-06-29-refined-times.txt</v>
      </c>
      <c r="AI19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{"issue":{"subject":"","project_id":79,"tracker_id":40,"status_id":1,"priority_id":2,"assigned_to_id":23,"start_date":"2017-06-29","description":"","custom_fields":[{"id":1,"name":"Subdivision","value":"NW"},{"id":4,"name":"Milepost","value":"0.0629"},{"id":17,"name":"Train ID","value":"830-29"},{"id":16,"name":"Locomotive ID","value":"4017"},{"id":130,"name":"Impact","value":""},{"id":150,"name":"Time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4"/>
        <v>start /low /b %USERPROFILE%\Documents\GitHub\eaglep3\Utilities\DownloadLogsFromS3.py --loco 4017 --day 2017-06-29</v>
      </c>
      <c r="AN19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750</v>
      </c>
      <c r="B191" s="7">
        <v>4042</v>
      </c>
      <c r="C191" s="21" t="s">
        <v>201</v>
      </c>
      <c r="D191" s="21" t="s">
        <v>1034</v>
      </c>
      <c r="E191" s="13">
        <v>42915.68577546296</v>
      </c>
      <c r="F191" s="13">
        <v>42915.702291666668</v>
      </c>
      <c r="G191" s="7">
        <v>0</v>
      </c>
      <c r="H191" s="21" t="s">
        <v>1032</v>
      </c>
      <c r="I191" s="13">
        <v>42915.712094907409</v>
      </c>
      <c r="J191" s="7">
        <v>0</v>
      </c>
      <c r="K191" s="89" t="str">
        <f t="shared" si="56"/>
        <v>4041/4042</v>
      </c>
      <c r="L191" s="21" t="str">
        <f>VLOOKUP(A191,'Trips&amp;Operators'!$C$1:$G$99999,5,FALSE)</f>
        <v>HAITHCOX MICHAEL</v>
      </c>
      <c r="M191" s="6">
        <f t="shared" si="57"/>
        <v>9.8032407404389232E-3</v>
      </c>
      <c r="N191" s="7">
        <f t="shared" si="70"/>
        <v>14.116666666232049</v>
      </c>
      <c r="O191" s="7"/>
      <c r="P191" s="7"/>
      <c r="Q191" s="22"/>
      <c r="R191" s="170"/>
      <c r="S191" s="213">
        <f t="shared" si="71"/>
        <v>1</v>
      </c>
      <c r="T191" s="195" t="str">
        <f t="shared" si="58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9"/>
        <v>https://d0f6bd738d7f1b3e5a7ca70fe4ff75f0.us-east-1.aws.found.io/app/kibana#/discover/Steve-Slow-Train-Analysis-(2080s-and-2083s)?_g=(refreshInterval:(display:Off,pause:!f,section:0,value:0),time:(from:'2017-06-29T15:27:31-0600',mode:absolute,to:'2017-06-29T18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97" t="str">
        <f>IF(AA191&lt;VLOOKUP(AG191,Variables!$AC$3:$AD$8,2,FALSE),"Y","N")</f>
        <v>N</v>
      </c>
      <c r="X191" s="197">
        <f t="shared" si="69"/>
        <v>1</v>
      </c>
      <c r="Y191" s="197">
        <f t="shared" si="60"/>
        <v>9.7900000000000001E-2</v>
      </c>
      <c r="Z191" s="197">
        <f t="shared" si="61"/>
        <v>5.8921999999999999</v>
      </c>
      <c r="AA191" s="197">
        <f t="shared" si="62"/>
        <v>5.7942999999999998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3"/>
        <v>831</v>
      </c>
      <c r="AE191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1" s="74" t="str">
        <f t="shared" si="65"/>
        <v>"C:\Program Files (x86)\AstroGrep\AstroGrep.exe" /e /r /s /spath="%USERPROFILE%\AppData\Local\Temp\OnboardLogs" /stypes="app*4042*20170629*" /stext=" 23:.+((SYSTEM_STATE.+slice.+state.+changed )|(ment ac)|(multiple cpu faults)|(system.+state.+changed )|(\[timeout)|(PRM\|1\|D)|(kpr)|(kdp)|(train st.+moving)|(\|lc)|(penalty))"</v>
      </c>
      <c r="AG191" s="209" t="str">
        <f t="shared" si="66"/>
        <v>NW</v>
      </c>
      <c r="AH191" s="78" t="str">
        <f t="shared" si="52"/>
        <v>"%USERPROFILE%\Documents\GitHub\eaglep3\Utilities\RefineRTDCRunTimes.py" --tripid 831-29 --locoid 4042 --swversion DE.1.0.9.0 --startMP 204:979 --initTime 2017-06-29T16:27:31 --startdatetime 2017-06-29T16:51:18 --delay 0 --endMP 300:58922 --enddatetime 2017-06-29T17:05:25 --enforcementcount 0 &gt;&gt;C:\Users\stu\Documents\GitHub\eaglep3-reporting\EC\2017-06-29-refined-times.txt</v>
      </c>
      <c r="AI19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{"issue":{"subject":"","project_id":79,"tracker_id":40,"status_id":1,"priority_id":2,"assigned_to_id":23,"start_date":"2017-06-29","description":"","custom_fields":[{"id":1,"name":"Subdivision","value":"NW"},{"id":4,"name":"Milepost","value":"5.8922"},{"id":17,"name":"Train ID","value":"831-29"},{"id":16,"name":"Locomotive ID","value":"4042"},{"id":130,"name":"Impact","value":""},{"id":150,"name":"Time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4"/>
        <v>start /low /b %USERPROFILE%\Documents\GitHub\eaglep3\Utilities\DownloadLogsFromS3.py --loco 4042 --day 2017-06-29</v>
      </c>
      <c r="AN19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609</v>
      </c>
      <c r="B192" s="7">
        <v>4041</v>
      </c>
      <c r="C192" s="21" t="s">
        <v>201</v>
      </c>
      <c r="D192" s="21" t="s">
        <v>1035</v>
      </c>
      <c r="E192" s="13">
        <v>42915.712939814817</v>
      </c>
      <c r="F192" s="13">
        <v>42915.714317129627</v>
      </c>
      <c r="G192" s="7">
        <v>1</v>
      </c>
      <c r="H192" s="21" t="s">
        <v>886</v>
      </c>
      <c r="I192" s="13">
        <v>42915.726145833331</v>
      </c>
      <c r="J192" s="7">
        <v>0</v>
      </c>
      <c r="K192" s="89" t="str">
        <f t="shared" si="56"/>
        <v>4041/4042</v>
      </c>
      <c r="L192" s="21" t="str">
        <f>VLOOKUP(A192,'Trips&amp;Operators'!$C$1:$G$99999,5,FALSE)</f>
        <v>HAITHCOX MICHAEL</v>
      </c>
      <c r="M192" s="6">
        <f t="shared" si="57"/>
        <v>1.1828703703940846E-2</v>
      </c>
      <c r="N192" s="7">
        <f t="shared" si="70"/>
        <v>17.033333333674818</v>
      </c>
      <c r="O192" s="7"/>
      <c r="P192" s="7"/>
      <c r="Q192" s="22"/>
      <c r="R192" s="170"/>
      <c r="S192" s="213">
        <f t="shared" si="71"/>
        <v>1</v>
      </c>
      <c r="T192" s="195" t="str">
        <f t="shared" si="58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9"/>
        <v>https://d0f6bd738d7f1b3e5a7ca70fe4ff75f0.us-east-1.aws.found.io/app/kibana#/discover/Steve-Slow-Train-Analysis-(2080s-and-2083s)?_g=(refreshInterval:(display:Off,pause:!f,section:0,value:0),time:(from:'2017-06-29T16:06:38-0600',mode:absolute,to:'2017-06-29T18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97" t="str">
        <f>IF(AA192&lt;VLOOKUP(AG192,Variables!$AC$3:$AD$8,2,FALSE),"Y","N")</f>
        <v>N</v>
      </c>
      <c r="X192" s="197">
        <f t="shared" si="69"/>
        <v>1</v>
      </c>
      <c r="Y192" s="197">
        <f t="shared" si="60"/>
        <v>5.8605999999999998</v>
      </c>
      <c r="Z192" s="197">
        <f t="shared" si="61"/>
        <v>6.8400000000000002E-2</v>
      </c>
      <c r="AA192" s="197">
        <f t="shared" si="62"/>
        <v>5.7922000000000002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3"/>
        <v>832</v>
      </c>
      <c r="AE192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92" s="74" t="str">
        <f t="shared" si="65"/>
        <v>"C:\Program Files (x86)\AstroGrep\AstroGrep.exe" /e /r /s /spath="%USERPROFILE%\AppData\Local\Temp\OnboardLogs" /stypes="app*4041*20170629*" /stext=" 23:.+((SYSTEM_STATE.+slice.+state.+changed )|(ment ac)|(multiple cpu faults)|(system.+state.+changed )|(\[timeout)|(PRM\|1\|D)|(kpr)|(kdp)|(train st.+moving)|(\|lc)|(penalty))"</v>
      </c>
      <c r="AG192" s="209" t="str">
        <f t="shared" si="66"/>
        <v>NW</v>
      </c>
      <c r="AH192" s="78" t="str">
        <f t="shared" si="52"/>
        <v>"%USERPROFILE%\Documents\GitHub\eaglep3\Utilities\RefineRTDCRunTimes.py" --tripid 832-29 --locoid 4041 --swversion DE.1.0.9.0 --startMP 300:58606 --initTime 2017-06-29T17:06:38 --startdatetime 2017-06-29T17:08:37 --delay 1 --endMP 204:684 --enddatetime 2017-06-29T17:25:39 --enforcementcount 0 &gt;&gt;C:\Users\stu\Documents\GitHub\eaglep3-reporting\EC\2017-06-29-refined-times.txt</v>
      </c>
      <c r="AI19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{"issue":{"subject":"","project_id":79,"tracker_id":40,"status_id":1,"priority_id":2,"assigned_to_id":23,"start_date":"2017-06-29","description":"","custom_fields":[{"id":1,"name":"Subdivision","value":"NW"},{"id":4,"name":"Milepost","value":"0.0684"},{"id":17,"name":"Train ID","value":"832-29"},{"id":16,"name":"Locomotive ID","value":"4041"},{"id":130,"name":"Impact","value":""},{"id":150,"name":"Time of Event (Mountain Time)","value":"17:25:39"},{"id":151,"name":"Denver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4"/>
        <v>start /low /b %USERPROFILE%\Documents\GitHub\eaglep3\Utilities\DownloadLogsFromS3.py --loco 4041 --day 2017-06-29</v>
      </c>
      <c r="AN19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610</v>
      </c>
      <c r="B193" s="7">
        <v>4018</v>
      </c>
      <c r="C193" s="21" t="s">
        <v>201</v>
      </c>
      <c r="D193" s="21" t="s">
        <v>1036</v>
      </c>
      <c r="E193" s="13">
        <v>42915.719548611109</v>
      </c>
      <c r="F193" s="13">
        <v>42915.72320601852</v>
      </c>
      <c r="G193" s="7">
        <v>1</v>
      </c>
      <c r="H193" s="21" t="s">
        <v>1037</v>
      </c>
      <c r="I193" s="13">
        <v>42915.733483796299</v>
      </c>
      <c r="J193" s="7">
        <v>0</v>
      </c>
      <c r="K193" s="89" t="str">
        <f t="shared" si="56"/>
        <v>4017/4018</v>
      </c>
      <c r="L193" s="21" t="str">
        <f>VLOOKUP(A193,'Trips&amp;Operators'!$C$1:$G$99999,5,FALSE)</f>
        <v>ARVIDSON DANIEL</v>
      </c>
      <c r="M193" s="6">
        <f t="shared" si="57"/>
        <v>1.0277777779265307E-2</v>
      </c>
      <c r="N193" s="7">
        <f t="shared" si="70"/>
        <v>14.800000002142042</v>
      </c>
      <c r="O193" s="7"/>
      <c r="P193" s="7"/>
      <c r="Q193" s="22"/>
      <c r="R193" s="170"/>
      <c r="S193" s="213">
        <f t="shared" si="71"/>
        <v>1</v>
      </c>
      <c r="T193" s="195" t="str">
        <f t="shared" si="58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9"/>
        <v>https://d0f6bd738d7f1b3e5a7ca70fe4ff75f0.us-east-1.aws.found.io/app/kibana#/discover/Steve-Slow-Train-Analysis-(2080s-and-2083s)?_g=(refreshInterval:(display:Off,pause:!f,section:0,value:0),time:(from:'2017-06-29T16:16:09-0600',mode:absolute,to:'2017-06-29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97" t="str">
        <f>IF(AA193&lt;VLOOKUP(AG193,Variables!$AC$3:$AD$8,2,FALSE),"Y","N")</f>
        <v>N</v>
      </c>
      <c r="X193" s="197">
        <f t="shared" si="69"/>
        <v>1</v>
      </c>
      <c r="Y193" s="197">
        <f t="shared" si="60"/>
        <v>9.2499999999999999E-2</v>
      </c>
      <c r="Z193" s="197">
        <f t="shared" si="61"/>
        <v>5.8916000000000004</v>
      </c>
      <c r="AA193" s="197">
        <f t="shared" si="62"/>
        <v>5.7991000000000001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3"/>
        <v>833</v>
      </c>
      <c r="AE19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93" s="74" t="str">
        <f t="shared" si="65"/>
        <v>"C:\Program Files (x86)\AstroGrep\AstroGrep.exe" /e /r /s /spath="%USERPROFILE%\AppData\Local\Temp\OnboardLogs" /stypes="app*4018*20170629*" /stext=" 23:.+((SYSTEM_STATE.+slice.+state.+changed )|(ment ac)|(multiple cpu faults)|(system.+state.+changed )|(\[timeout)|(PRM\|1\|D)|(kpr)|(kdp)|(train st.+moving)|(\|lc)|(penalty))"</v>
      </c>
      <c r="AG193" s="209" t="str">
        <f t="shared" si="66"/>
        <v>NW</v>
      </c>
      <c r="AH193" s="78" t="str">
        <f t="shared" si="52"/>
        <v>"%USERPROFILE%\Documents\GitHub\eaglep3\Utilities\RefineRTDCRunTimes.py" --tripid 833-29 --locoid 4018 --swversion DE.1.0.9.0 --startMP 204:925 --initTime 2017-06-29T17:16:09 --startdatetime 2017-06-29T17:21:25 --delay 1 --endMP 300:58916 --enddatetime 2017-06-29T17:36:13 --enforcementcount 0 &gt;&gt;C:\Users\stu\Documents\GitHub\eaglep3-reporting\EC\2017-06-29-refined-times.txt</v>
      </c>
      <c r="AI19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{"issue":{"subject":"","project_id":79,"tracker_id":40,"status_id":1,"priority_id":2,"assigned_to_id":23,"start_date":"2017-06-29","description":"","custom_fields":[{"id":1,"name":"Subdivision","value":"NW"},{"id":4,"name":"Milepost","value":"5.8916"},{"id":17,"name":"Train ID","value":"833-29"},{"id":16,"name":"Locomotive ID","value":"4018"},{"id":130,"name":"Impact","value":""},{"id":150,"name":"Time of Event (Mountain Time)","value":"17:36:13"},{"id":151,"name":"Denver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4"/>
        <v>start /low /b %USERPROFILE%\Documents\GitHub\eaglep3\Utilities\DownloadLogsFromS3.py --loco 4018 --day 2017-06-29</v>
      </c>
      <c r="AN19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764</v>
      </c>
      <c r="B194" s="7">
        <v>4017</v>
      </c>
      <c r="C194" s="21" t="s">
        <v>201</v>
      </c>
      <c r="D194" s="21" t="s">
        <v>1029</v>
      </c>
      <c r="E194" s="13">
        <v>42915.735358796293</v>
      </c>
      <c r="F194" s="13">
        <v>42915.737361111111</v>
      </c>
      <c r="G194" s="7">
        <v>1</v>
      </c>
      <c r="H194" s="21" t="s">
        <v>1038</v>
      </c>
      <c r="I194" s="13">
        <v>42915.747534722221</v>
      </c>
      <c r="J194" s="7">
        <v>0</v>
      </c>
      <c r="K194" s="89" t="str">
        <f t="shared" si="56"/>
        <v>4017/4018</v>
      </c>
      <c r="L194" s="21" t="str">
        <f>VLOOKUP(A194,'Trips&amp;Operators'!$C$1:$G$99999,5,FALSE)</f>
        <v>ARVIDSON DANIEL</v>
      </c>
      <c r="M194" s="6">
        <f t="shared" si="57"/>
        <v>1.0173611110076308E-2</v>
      </c>
      <c r="N194" s="7">
        <f t="shared" si="70"/>
        <v>14.649999998509884</v>
      </c>
      <c r="O194" s="7"/>
      <c r="P194" s="7"/>
      <c r="Q194" s="22"/>
      <c r="R194" s="170"/>
      <c r="S194" s="213">
        <f t="shared" si="71"/>
        <v>1</v>
      </c>
      <c r="T194" s="195" t="str">
        <f t="shared" si="5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9"/>
        <v>https://d0f6bd738d7f1b3e5a7ca70fe4ff75f0.us-east-1.aws.found.io/app/kibana#/discover/Steve-Slow-Train-Analysis-(2080s-and-2083s)?_g=(refreshInterval:(display:Off,pause:!f,section:0,value:0),time:(from:'2017-06-29T16:38:55-0600',mode:absolute,to:'2017-06-29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97" t="str">
        <f>IF(AA194&lt;VLOOKUP(AG194,Variables!$AC$3:$AD$8,2,FALSE),"Y","N")</f>
        <v>N</v>
      </c>
      <c r="X194" s="197">
        <f t="shared" si="69"/>
        <v>1</v>
      </c>
      <c r="Y194" s="197">
        <f t="shared" si="60"/>
        <v>5.8601999999999999</v>
      </c>
      <c r="Z194" s="197">
        <f t="shared" si="61"/>
        <v>7.2700000000000001E-2</v>
      </c>
      <c r="AA194" s="197">
        <f t="shared" si="62"/>
        <v>5.7874999999999996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3"/>
        <v>834</v>
      </c>
      <c r="AE19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4" s="74" t="str">
        <f t="shared" si="65"/>
        <v>"C:\Program Files (x86)\AstroGrep\AstroGrep.exe" /e /r /s /spath="%USERPROFILE%\AppData\Local\Temp\OnboardLogs" /stypes="app*4017*20170629*" /stext=" 23:.+((SYSTEM_STATE.+slice.+state.+changed )|(ment ac)|(multiple cpu faults)|(system.+state.+changed )|(\[timeout)|(PRM\|1\|D)|(kpr)|(kdp)|(train st.+moving)|(\|lc)|(penalty))"</v>
      </c>
      <c r="AG194" s="209" t="str">
        <f t="shared" si="66"/>
        <v>NW</v>
      </c>
      <c r="AH194" s="78" t="str">
        <f t="shared" si="52"/>
        <v>"%USERPROFILE%\Documents\GitHub\eaglep3\Utilities\RefineRTDCRunTimes.py" --tripid 834-29 --locoid 4017 --swversion DE.1.0.9.0 --startMP 300:58602 --initTime 2017-06-29T17:38:55 --startdatetime 2017-06-29T17:41:48 --delay 1 --endMP 204:727 --enddatetime 2017-06-29T17:56:27 --enforcementcount 0 &gt;&gt;C:\Users\stu\Documents\GitHub\eaglep3-reporting\EC\2017-06-29-refined-times.txt</v>
      </c>
      <c r="AI19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{"issue":{"subject":"","project_id":79,"tracker_id":40,"status_id":1,"priority_id":2,"assigned_to_id":23,"start_date":"2017-06-29","description":"","custom_fields":[{"id":1,"name":"Subdivision","value":"NW"},{"id":4,"name":"Milepost","value":"0.0727"},{"id":17,"name":"Train ID","value":"834-29"},{"id":16,"name":"Locomotive ID","value":"4017"},{"id":130,"name":"Impact","value":""},{"id":150,"name":"Time of Event (Mountain Time)","value":"17:56:27"},{"id":151,"name":"Denver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4"/>
        <v>start /low /b %USERPROFILE%\Documents\GitHub\eaglep3\Utilities\DownloadLogsFromS3.py --loco 4017 --day 2017-06-29</v>
      </c>
      <c r="AN19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762</v>
      </c>
      <c r="B195" s="7">
        <v>4042</v>
      </c>
      <c r="C195" s="21" t="s">
        <v>201</v>
      </c>
      <c r="D195" s="21" t="s">
        <v>1039</v>
      </c>
      <c r="E195" s="13">
        <v>42915.727013888885</v>
      </c>
      <c r="F195" s="13">
        <v>42915.743993055556</v>
      </c>
      <c r="G195" s="7">
        <v>0</v>
      </c>
      <c r="H195" s="21" t="s">
        <v>1040</v>
      </c>
      <c r="I195" s="13">
        <v>42915.754155092596</v>
      </c>
      <c r="J195" s="7">
        <v>0</v>
      </c>
      <c r="K195" s="89" t="str">
        <f t="shared" si="56"/>
        <v>4041/4042</v>
      </c>
      <c r="L195" s="21" t="str">
        <f>VLOOKUP(A195,'Trips&amp;Operators'!$C$1:$G$99999,5,FALSE)</f>
        <v>HAITHCOX MICHAEL</v>
      </c>
      <c r="M195" s="6">
        <f t="shared" si="57"/>
        <v>1.0162037040572613E-2</v>
      </c>
      <c r="N195" s="7">
        <f t="shared" si="70"/>
        <v>14.633333338424563</v>
      </c>
      <c r="O195" s="7"/>
      <c r="P195" s="7"/>
      <c r="Q195" s="22"/>
      <c r="R195" s="170"/>
      <c r="S195" s="213">
        <f t="shared" si="71"/>
        <v>1</v>
      </c>
      <c r="T195" s="195" t="str">
        <f t="shared" si="58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9"/>
        <v>https://d0f6bd738d7f1b3e5a7ca70fe4ff75f0.us-east-1.aws.found.io/app/kibana#/discover/Steve-Slow-Train-Analysis-(2080s-and-2083s)?_g=(refreshInterval:(display:Off,pause:!f,section:0,value:0),time:(from:'2017-06-29T16:26:54-0600',mode:absolute,to:'2017-06-29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97" t="str">
        <f>IF(AA195&lt;VLOOKUP(AG195,Variables!$AC$3:$AD$8,2,FALSE),"Y","N")</f>
        <v>N</v>
      </c>
      <c r="X195" s="197">
        <f t="shared" si="69"/>
        <v>1</v>
      </c>
      <c r="Y195" s="197">
        <f t="shared" si="60"/>
        <v>9.8500000000000004E-2</v>
      </c>
      <c r="Z195" s="197">
        <f t="shared" si="61"/>
        <v>5.8948</v>
      </c>
      <c r="AA195" s="197">
        <f t="shared" si="62"/>
        <v>5.7963000000000005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3"/>
        <v>835</v>
      </c>
      <c r="AE195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5" s="74" t="str">
        <f t="shared" si="65"/>
        <v>"C:\Program Files (x86)\AstroGrep\AstroGrep.exe" /e /r /s /spath="%USERPROFILE%\AppData\Local\Temp\OnboardLogs" /stypes="app*4042*20170630*" /stext=" 00:.+((SYSTEM_STATE.+slice.+state.+changed )|(ment ac)|(multiple cpu faults)|(system.+state.+changed )|(\[timeout)|(PRM\|1\|D)|(kpr)|(kdp)|(train st.+moving)|(\|lc)|(penalty))"</v>
      </c>
      <c r="AG195" s="209" t="str">
        <f t="shared" si="66"/>
        <v>NW</v>
      </c>
      <c r="AH195" s="78" t="str">
        <f t="shared" si="52"/>
        <v>"%USERPROFILE%\Documents\GitHub\eaglep3\Utilities\RefineRTDCRunTimes.py" --tripid 835-29 --locoid 4042 --swversion DE.1.0.9.0 --startMP 204:985 --initTime 2017-06-29T17:26:54 --startdatetime 2017-06-29T17:51:21 --delay 0 --endMP 300:58948 --enddatetime 2017-06-29T18:05:59 --enforcementcount 0 &gt;&gt;C:\Users\stu\Documents\GitHub\eaglep3-reporting\EC\2017-06-29-refined-times.txt</v>
      </c>
      <c r="AI19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{"issue":{"subject":"","project_id":79,"tracker_id":40,"status_id":1,"priority_id":2,"assigned_to_id":23,"start_date":"2017-06-29","description":"","custom_fields":[{"id":1,"name":"Subdivision","value":"NW"},{"id":4,"name":"Milepost","value":"5.8948"},{"id":17,"name":"Train ID","value":"835-29"},{"id":16,"name":"Locomotive ID","value":"4042"},{"id":130,"name":"Impact","value":""},{"id":150,"name":"Time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4"/>
        <v>start /low /b %USERPROFILE%\Documents\GitHub\eaglep3\Utilities\DownloadLogsFromS3.py --loco 4042 --day 2017-06-29</v>
      </c>
      <c r="AN19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770</v>
      </c>
      <c r="B196" s="7">
        <v>4041</v>
      </c>
      <c r="C196" s="21" t="s">
        <v>201</v>
      </c>
      <c r="D196" s="21" t="s">
        <v>563</v>
      </c>
      <c r="E196" s="13">
        <v>42915.755023148151</v>
      </c>
      <c r="F196" s="13">
        <v>42915.75644675926</v>
      </c>
      <c r="G196" s="7">
        <v>1</v>
      </c>
      <c r="H196" s="21" t="s">
        <v>1041</v>
      </c>
      <c r="I196" s="13">
        <v>42915.767881944441</v>
      </c>
      <c r="J196" s="7">
        <v>0</v>
      </c>
      <c r="K196" s="89" t="str">
        <f t="shared" si="56"/>
        <v>4041/4042</v>
      </c>
      <c r="L196" s="21" t="str">
        <f>VLOOKUP(A196,'Trips&amp;Operators'!$C$1:$G$99999,5,FALSE)</f>
        <v>HAITHCOX MICHAEL</v>
      </c>
      <c r="M196" s="6">
        <f t="shared" si="57"/>
        <v>1.1435185180744156E-2</v>
      </c>
      <c r="N196" s="7">
        <f t="shared" si="70"/>
        <v>16.466666660271585</v>
      </c>
      <c r="O196" s="7"/>
      <c r="P196" s="7"/>
      <c r="Q196" s="22"/>
      <c r="R196" s="170"/>
      <c r="S196" s="213">
        <f t="shared" si="71"/>
        <v>1</v>
      </c>
      <c r="T196" s="195" t="str">
        <f t="shared" si="58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9"/>
        <v>https://d0f6bd738d7f1b3e5a7ca70fe4ff75f0.us-east-1.aws.found.io/app/kibana#/discover/Steve-Slow-Train-Analysis-(2080s-and-2083s)?_g=(refreshInterval:(display:Off,pause:!f,section:0,value:0),time:(from:'2017-06-29T17:07:14-0600',mode:absolute,to:'2017-06-29T19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97" t="str">
        <f>IF(AA196&lt;VLOOKUP(AG196,Variables!$AC$3:$AD$8,2,FALSE),"Y","N")</f>
        <v>N</v>
      </c>
      <c r="X196" s="197">
        <f t="shared" si="69"/>
        <v>1</v>
      </c>
      <c r="Y196" s="197">
        <f t="shared" si="60"/>
        <v>5.8625999999999996</v>
      </c>
      <c r="Z196" s="197">
        <f t="shared" si="61"/>
        <v>6.7799999999999999E-2</v>
      </c>
      <c r="AA196" s="197">
        <f t="shared" si="62"/>
        <v>5.7947999999999995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3"/>
        <v>836</v>
      </c>
      <c r="AE196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96" s="74" t="str">
        <f t="shared" si="65"/>
        <v>"C:\Program Files (x86)\AstroGrep\AstroGrep.exe" /e /r /s /spath="%USERPROFILE%\AppData\Local\Temp\OnboardLogs" /stypes="app*4041*20170630*" /stext=" 00:.+((SYSTEM_STATE.+slice.+state.+changed )|(ment ac)|(multiple cpu faults)|(system.+state.+changed )|(\[timeout)|(PRM\|1\|D)|(kpr)|(kdp)|(train st.+moving)|(\|lc)|(penalty))"</v>
      </c>
      <c r="AG196" s="209" t="str">
        <f t="shared" si="66"/>
        <v>NW</v>
      </c>
      <c r="AH196" s="78" t="str">
        <f t="shared" si="52"/>
        <v>"%USERPROFILE%\Documents\GitHub\eaglep3\Utilities\RefineRTDCRunTimes.py" --tripid 836-29 --locoid 4041 --swversion DE.1.0.9.0 --startMP 300:58626 --initTime 2017-06-29T18:07:14 --startdatetime 2017-06-29T18:09:17 --delay 1 --endMP 204:678 --enddatetime 2017-06-29T18:25:45 --enforcementcount 0 &gt;&gt;C:\Users\stu\Documents\GitHub\eaglep3-reporting\EC\2017-06-29-refined-times.txt</v>
      </c>
      <c r="AI19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{"issue":{"subject":"","project_id":79,"tracker_id":40,"status_id":1,"priority_id":2,"assigned_to_id":23,"start_date":"2017-06-29","description":"","custom_fields":[{"id":1,"name":"Subdivision","value":"NW"},{"id":4,"name":"Milepost","value":"0.0678"},{"id":17,"name":"Train ID","value":"836-29"},{"id":16,"name":"Locomotive ID","value":"4041"},{"id":130,"name":"Impact","value":""},{"id":150,"name":"Time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4"/>
        <v>start /low /b %USERPROFILE%\Documents\GitHub\eaglep3\Utilities\DownloadLogsFromS3.py --loco 4041 --day 2017-06-29</v>
      </c>
      <c r="AN19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767</v>
      </c>
      <c r="B197" s="7">
        <v>4018</v>
      </c>
      <c r="C197" s="21" t="s">
        <v>201</v>
      </c>
      <c r="D197" s="21" t="s">
        <v>1042</v>
      </c>
      <c r="E197" s="13">
        <v>42915.752337962964</v>
      </c>
      <c r="F197" s="13">
        <v>42915.764861111114</v>
      </c>
      <c r="G197" s="7">
        <v>2</v>
      </c>
      <c r="H197" s="21" t="s">
        <v>1028</v>
      </c>
      <c r="I197" s="13">
        <v>42915.77447916667</v>
      </c>
      <c r="J197" s="7">
        <v>0</v>
      </c>
      <c r="K197" s="89" t="str">
        <f t="shared" si="56"/>
        <v>4017/4018</v>
      </c>
      <c r="L197" s="21" t="str">
        <f>VLOOKUP(A197,'Trips&amp;Operators'!$C$1:$G$99999,5,FALSE)</f>
        <v>SAFIEF AEIMEN</v>
      </c>
      <c r="M197" s="6">
        <f t="shared" si="57"/>
        <v>9.6180555556202307E-3</v>
      </c>
      <c r="N197" s="7">
        <f t="shared" si="70"/>
        <v>13.850000000093132</v>
      </c>
      <c r="O197" s="7"/>
      <c r="P197" s="7"/>
      <c r="Q197" s="22"/>
      <c r="R197" s="170"/>
      <c r="S197" s="213">
        <f t="shared" si="71"/>
        <v>1</v>
      </c>
      <c r="T197" s="195" t="str">
        <f t="shared" si="58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9"/>
        <v>https://d0f6bd738d7f1b3e5a7ca70fe4ff75f0.us-east-1.aws.found.io/app/kibana#/discover/Steve-Slow-Train-Analysis-(2080s-and-2083s)?_g=(refreshInterval:(display:Off,pause:!f,section:0,value:0),time:(from:'2017-06-29T17:03:22-0600',mode:absolute,to:'2017-06-29T19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97" t="str">
        <f>IF(AA197&lt;VLOOKUP(AG197,Variables!$AC$3:$AD$8,2,FALSE),"Y","N")</f>
        <v>N</v>
      </c>
      <c r="X197" s="197">
        <f t="shared" si="69"/>
        <v>1</v>
      </c>
      <c r="Y197" s="197">
        <f t="shared" si="60"/>
        <v>0.10299999999999999</v>
      </c>
      <c r="Z197" s="197">
        <f t="shared" si="61"/>
        <v>5.8917999999999999</v>
      </c>
      <c r="AA197" s="197">
        <f t="shared" si="62"/>
        <v>5.7888000000000002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3"/>
        <v>837</v>
      </c>
      <c r="AE197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97" s="74" t="str">
        <f t="shared" si="65"/>
        <v>"C:\Program Files (x86)\AstroGrep\AstroGrep.exe" /e /r /s /spath="%USERPROFILE%\AppData\Local\Temp\OnboardLogs" /stypes="app*4018*20170630*" /stext=" 00:.+((SYSTEM_STATE.+slice.+state.+changed )|(ment ac)|(multiple cpu faults)|(system.+state.+changed )|(\[timeout)|(PRM\|1\|D)|(kpr)|(kdp)|(train st.+moving)|(\|lc)|(penalty))"</v>
      </c>
      <c r="AG197" s="209" t="str">
        <f t="shared" si="66"/>
        <v>NW</v>
      </c>
      <c r="AH197" s="78" t="str">
        <f t="shared" si="52"/>
        <v>"%USERPROFILE%\Documents\GitHub\eaglep3\Utilities\RefineRTDCRunTimes.py" --tripid 837-29 --locoid 4018 --swversion DE.1.0.9.0 --startMP 204:1030 --initTime 2017-06-29T18:03:22 --startdatetime 2017-06-29T18:21:24 --delay 2 --endMP 300:58918 --enddatetime 2017-06-29T18:35:15 --enforcementcount 0 &gt;&gt;C:\Users\stu\Documents\GitHub\eaglep3-reporting\EC\2017-06-29-refined-times.txt</v>
      </c>
      <c r="AI19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{"issue":{"subject":"","project_id":79,"tracker_id":40,"status_id":1,"priority_id":2,"assigned_to_id":23,"start_date":"2017-06-29","description":"","custom_fields":[{"id":1,"name":"Subdivision","value":"NW"},{"id":4,"name":"Milepost","value":"5.8918"},{"id":17,"name":"Train ID","value":"837-29"},{"id":16,"name":"Locomotive ID","value":"4018"},{"id":130,"name":"Impact","value":""},{"id":150,"name":"Time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4"/>
        <v>start /low /b %USERPROFILE%\Documents\GitHub\eaglep3\Utilities\DownloadLogsFromS3.py --loco 4018 --day 2017-06-29</v>
      </c>
      <c r="AN19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778</v>
      </c>
      <c r="B198" s="7">
        <v>4017</v>
      </c>
      <c r="C198" s="21" t="s">
        <v>201</v>
      </c>
      <c r="D198" s="21" t="s">
        <v>1023</v>
      </c>
      <c r="E198" s="13">
        <v>42915.775393518517</v>
      </c>
      <c r="F198" s="13">
        <v>42915.777581018519</v>
      </c>
      <c r="G198" s="7">
        <v>1</v>
      </c>
      <c r="H198" s="21" t="s">
        <v>1020</v>
      </c>
      <c r="I198" s="13">
        <v>42915.789456018516</v>
      </c>
      <c r="J198" s="7">
        <v>0</v>
      </c>
      <c r="K198" s="89" t="str">
        <f t="shared" si="56"/>
        <v>4017/4018</v>
      </c>
      <c r="L198" s="21" t="str">
        <f>VLOOKUP(A198,'Trips&amp;Operators'!$C$1:$G$99999,5,FALSE)</f>
        <v>SAFIEF AEIMEN</v>
      </c>
      <c r="M198" s="6">
        <f t="shared" si="57"/>
        <v>1.187499999650754E-2</v>
      </c>
      <c r="N198" s="7">
        <f t="shared" si="70"/>
        <v>17.099999994970858</v>
      </c>
      <c r="O198" s="7"/>
      <c r="P198" s="7"/>
      <c r="Q198" s="22"/>
      <c r="R198" s="170"/>
      <c r="S198" s="213">
        <f t="shared" si="71"/>
        <v>1</v>
      </c>
      <c r="T198" s="195" t="str">
        <f t="shared" si="58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9"/>
        <v>https://d0f6bd738d7f1b3e5a7ca70fe4ff75f0.us-east-1.aws.found.io/app/kibana#/discover/Steve-Slow-Train-Analysis-(2080s-and-2083s)?_g=(refreshInterval:(display:Off,pause:!f,section:0,value:0),time:(from:'2017-06-29T17:36:34-0600',mode:absolute,to:'2017-06-29T19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97" t="str">
        <f>IF(AA198&lt;VLOOKUP(AG198,Variables!$AC$3:$AD$8,2,FALSE),"Y","N")</f>
        <v>N</v>
      </c>
      <c r="X198" s="197">
        <f t="shared" si="69"/>
        <v>1</v>
      </c>
      <c r="Y198" s="197">
        <f t="shared" si="60"/>
        <v>5.8596000000000004</v>
      </c>
      <c r="Z198" s="197">
        <f t="shared" si="61"/>
        <v>6.9599999999999995E-2</v>
      </c>
      <c r="AA198" s="197">
        <f t="shared" si="62"/>
        <v>5.79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3"/>
        <v>838</v>
      </c>
      <c r="AE198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8" s="74" t="str">
        <f t="shared" si="65"/>
        <v>"C:\Program Files (x86)\AstroGrep\AstroGrep.exe" /e /r /s /spath="%USERPROFILE%\AppData\Local\Temp\OnboardLogs" /stypes="app*4017*20170630*" /stext=" 00:.+((SYSTEM_STATE.+slice.+state.+changed )|(ment ac)|(multiple cpu faults)|(system.+state.+changed )|(\[timeout)|(PRM\|1\|D)|(kpr)|(kdp)|(train st.+moving)|(\|lc)|(penalty))"</v>
      </c>
      <c r="AG198" s="209" t="str">
        <f t="shared" si="66"/>
        <v>NW</v>
      </c>
      <c r="AH198" s="78" t="str">
        <f t="shared" si="52"/>
        <v>"%USERPROFILE%\Documents\GitHub\eaglep3\Utilities\RefineRTDCRunTimes.py" --tripid 838-29 --locoid 4017 --swversion DE.1.0.9.0 --startMP 300:58596 --initTime 2017-06-29T18:36:34 --startdatetime 2017-06-29T18:39:43 --delay 1 --endMP 204:696 --enddatetime 2017-06-29T18:56:49 --enforcementcount 0 &gt;&gt;C:\Users\stu\Documents\GitHub\eaglep3-reporting\EC\2017-06-29-refined-times.txt</v>
      </c>
      <c r="AI19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{"issue":{"subject":"","project_id":79,"tracker_id":40,"status_id":1,"priority_id":2,"assigned_to_id":23,"start_date":"2017-06-29","description":"","custom_fields":[{"id":1,"name":"Subdivision","value":"NW"},{"id":4,"name":"Milepost","value":"0.0696"},{"id":17,"name":"Train ID","value":"838-29"},{"id":16,"name":"Locomotive ID","value":"4017"},{"id":130,"name":"Impact","value":""},{"id":150,"name":"Time of Event (Mountain Time)","value":"18:56:49"},{"id":151,"name":"Denver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4"/>
        <v>start /low /b %USERPROFILE%\Documents\GitHub\eaglep3\Utilities\DownloadLogsFromS3.py --loco 4017 --day 2017-06-29</v>
      </c>
      <c r="AN19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777</v>
      </c>
      <c r="B199" s="7">
        <v>4042</v>
      </c>
      <c r="C199" s="21" t="s">
        <v>201</v>
      </c>
      <c r="D199" s="21" t="s">
        <v>1021</v>
      </c>
      <c r="E199" s="13">
        <v>42915.769050925926</v>
      </c>
      <c r="F199" s="13">
        <v>42915.785613425927</v>
      </c>
      <c r="G199" s="7">
        <v>0</v>
      </c>
      <c r="H199" s="21" t="s">
        <v>1022</v>
      </c>
      <c r="I199" s="13">
        <v>42915.794953703706</v>
      </c>
      <c r="J199" s="7">
        <v>0</v>
      </c>
      <c r="K199" s="89" t="str">
        <f t="shared" si="56"/>
        <v>4041/4042</v>
      </c>
      <c r="L199" s="21" t="str">
        <f>VLOOKUP(A199,'Trips&amp;Operators'!$C$1:$G$99999,5,FALSE)</f>
        <v>HAITHCOX MICHAEL</v>
      </c>
      <c r="M199" s="6">
        <f t="shared" si="57"/>
        <v>9.340277778392192E-3</v>
      </c>
      <c r="N199" s="7">
        <f t="shared" si="70"/>
        <v>13.450000000884756</v>
      </c>
      <c r="O199" s="7"/>
      <c r="P199" s="7"/>
      <c r="Q199" s="22"/>
      <c r="R199" s="170"/>
      <c r="S199" s="213">
        <f t="shared" si="71"/>
        <v>1</v>
      </c>
      <c r="T199" s="195" t="str">
        <f t="shared" si="58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9"/>
        <v>https://d0f6bd738d7f1b3e5a7ca70fe4ff75f0.us-east-1.aws.found.io/app/kibana#/discover/Steve-Slow-Train-Analysis-(2080s-and-2083s)?_g=(refreshInterval:(display:Off,pause:!f,section:0,value:0),time:(from:'2017-06-29T17:27:26-0600',mode:absolute,to:'2017-06-29T20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97" t="str">
        <f>IF(AA199&lt;VLOOKUP(AG199,Variables!$AC$3:$AD$8,2,FALSE),"Y","N")</f>
        <v>N</v>
      </c>
      <c r="X199" s="197">
        <f t="shared" si="69"/>
        <v>1</v>
      </c>
      <c r="Y199" s="197">
        <f t="shared" si="60"/>
        <v>9.7100000000000006E-2</v>
      </c>
      <c r="Z199" s="197">
        <f t="shared" si="61"/>
        <v>5.8914</v>
      </c>
      <c r="AA199" s="197">
        <f t="shared" si="62"/>
        <v>5.7942999999999998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3"/>
        <v>839</v>
      </c>
      <c r="AE199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9" s="74" t="str">
        <f t="shared" si="65"/>
        <v>"C:\Program Files (x86)\AstroGrep\AstroGrep.exe" /e /r /s /spath="%USERPROFILE%\AppData\Local\Temp\OnboardLogs" /stypes="app*4042*20170630*" /stext=" 01:.+((SYSTEM_STATE.+slice.+state.+changed )|(ment ac)|(multiple cpu faults)|(system.+state.+changed )|(\[timeout)|(PRM\|1\|D)|(kpr)|(kdp)|(train st.+moving)|(\|lc)|(penalty))"</v>
      </c>
      <c r="AG199" s="209" t="str">
        <f t="shared" si="66"/>
        <v>NW</v>
      </c>
      <c r="AH199" s="78" t="str">
        <f t="shared" si="52"/>
        <v>"%USERPROFILE%\Documents\GitHub\eaglep3\Utilities\RefineRTDCRunTimes.py" --tripid 839-29 --locoid 4042 --swversion DE.1.0.9.0 --startMP 204:971 --initTime 2017-06-29T18:27:26 --startdatetime 2017-06-29T18:51:17 --delay 0 --endMP 300:58914 --enddatetime 2017-06-29T19:04:44 --enforcementcount 0 &gt;&gt;C:\Users\stu\Documents\GitHub\eaglep3-reporting\EC\2017-06-29-refined-times.txt</v>
      </c>
      <c r="AI19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{"issue":{"subject":"","project_id":79,"tracker_id":40,"status_id":1,"priority_id":2,"assigned_to_id":23,"start_date":"2017-06-29","description":"","custom_fields":[{"id":1,"name":"Subdivision","value":"NW"},{"id":4,"name":"Milepost","value":"5.8914"},{"id":17,"name":"Train ID","value":"839-29"},{"id":16,"name":"Locomotive ID","value":"4042"},{"id":130,"name":"Impact","value":""},{"id":150,"name":"Time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4"/>
        <v>start /low /b %USERPROFILE%\Documents\GitHub\eaglep3\Utilities\DownloadLogsFromS3.py --loco 4042 --day 2017-06-29</v>
      </c>
      <c r="AN199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783</v>
      </c>
      <c r="B200" s="7">
        <v>4017</v>
      </c>
      <c r="C200" s="21" t="s">
        <v>201</v>
      </c>
      <c r="D200" s="21" t="s">
        <v>1043</v>
      </c>
      <c r="E200" s="13">
        <v>42915.817256944443</v>
      </c>
      <c r="F200" s="13">
        <v>42915.819039351853</v>
      </c>
      <c r="G200" s="7">
        <v>1</v>
      </c>
      <c r="H200" s="21" t="s">
        <v>886</v>
      </c>
      <c r="I200" s="13">
        <v>42915.830081018517</v>
      </c>
      <c r="J200" s="7">
        <v>0</v>
      </c>
      <c r="K200" s="89" t="str">
        <f t="shared" si="56"/>
        <v>4017/4018</v>
      </c>
      <c r="L200" s="21" t="str">
        <f>VLOOKUP(A200,'Trips&amp;Operators'!$C$1:$G$99999,5,FALSE)</f>
        <v>SAFIEF AEIMEN</v>
      </c>
      <c r="M200" s="6">
        <f t="shared" si="57"/>
        <v>1.1041666664823424E-2</v>
      </c>
      <c r="N200" s="7">
        <f t="shared" si="70"/>
        <v>15.899999997345731</v>
      </c>
      <c r="O200" s="7"/>
      <c r="P200" s="7"/>
      <c r="Q200" s="22"/>
      <c r="R200" s="170"/>
      <c r="S200" s="213">
        <f t="shared" si="71"/>
        <v>1</v>
      </c>
      <c r="T200" s="195" t="str">
        <f t="shared" si="58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9"/>
        <v>https://d0f6bd738d7f1b3e5a7ca70fe4ff75f0.us-east-1.aws.found.io/app/kibana#/discover/Steve-Slow-Train-Analysis-(2080s-and-2083s)?_g=(refreshInterval:(display:Off,pause:!f,section:0,value:0),time:(from:'2017-06-29T18:36:51-0600',mode:absolute,to:'2017-06-29T20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97" t="str">
        <f>IF(AA200&lt;VLOOKUP(AG200,Variables!$AC$3:$AD$8,2,FALSE),"Y","N")</f>
        <v>N</v>
      </c>
      <c r="X200" s="197">
        <f t="shared" si="69"/>
        <v>1</v>
      </c>
      <c r="Y200" s="197">
        <f t="shared" si="60"/>
        <v>5.8597999999999999</v>
      </c>
      <c r="Z200" s="197">
        <f t="shared" si="61"/>
        <v>6.8400000000000002E-2</v>
      </c>
      <c r="AA200" s="197">
        <f t="shared" si="62"/>
        <v>5.7914000000000003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3"/>
        <v>840</v>
      </c>
      <c r="AE20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0" s="74" t="str">
        <f t="shared" si="65"/>
        <v>"C:\Program Files (x86)\AstroGrep\AstroGrep.exe" /e /r /s /spath="%USERPROFILE%\AppData\Local\Temp\OnboardLogs" /stypes="app*4017*20170630*" /stext=" 01:.+((SYSTEM_STATE.+slice.+state.+changed )|(ment ac)|(multiple cpu faults)|(system.+state.+changed )|(\[timeout)|(PRM\|1\|D)|(kpr)|(kdp)|(train st.+moving)|(\|lc)|(penalty))"</v>
      </c>
      <c r="AG200" s="209" t="str">
        <f t="shared" si="66"/>
        <v>NW</v>
      </c>
      <c r="AH200" s="78" t="str">
        <f t="shared" si="52"/>
        <v>"%USERPROFILE%\Documents\GitHub\eaglep3\Utilities\RefineRTDCRunTimes.py" --tripid 840-29 --locoid 4017 --swversion DE.1.0.9.0 --startMP 300:58598 --initTime 2017-06-29T19:36:51 --startdatetime 2017-06-29T19:39:25 --delay 1 --endMP 204:684 --enddatetime 2017-06-29T19:55:19 --enforcementcount 0 &gt;&gt;C:\Users\stu\Documents\GitHub\eaglep3-reporting\EC\2017-06-29-refined-times.txt</v>
      </c>
      <c r="AI20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{"issue":{"subject":"","project_id":79,"tracker_id":40,"status_id":1,"priority_id":2,"assigned_to_id":23,"start_date":"2017-06-29","description":"","custom_fields":[{"id":1,"name":"Subdivision","value":"NW"},{"id":4,"name":"Milepost","value":"0.0684"},{"id":17,"name":"Train ID","value":"840-29"},{"id":16,"name":"Locomotive ID","value":"4017"},{"id":130,"name":"Impact","value":""},{"id":150,"name":"Time of Event (Mountain Time)","value":"19:55:19"},{"id":151,"name":"Denver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4"/>
        <v>start /low /b %USERPROFILE%\Documents\GitHub\eaglep3\Utilities\DownloadLogsFromS3.py --loco 4017 --day 2017-06-29</v>
      </c>
      <c r="AN200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619</v>
      </c>
      <c r="B201" s="7">
        <v>4018</v>
      </c>
      <c r="C201" s="21" t="s">
        <v>201</v>
      </c>
      <c r="D201" s="21" t="s">
        <v>1044</v>
      </c>
      <c r="E201" s="13">
        <v>42915.80505787037</v>
      </c>
      <c r="F201" s="13">
        <v>42915.80673611111</v>
      </c>
      <c r="G201" s="7">
        <v>1</v>
      </c>
      <c r="H201" s="21" t="s">
        <v>1025</v>
      </c>
      <c r="I201" s="13">
        <v>42915.816006944442</v>
      </c>
      <c r="J201" s="7">
        <v>0</v>
      </c>
      <c r="K201" s="89" t="str">
        <f t="shared" si="56"/>
        <v>4017/4018</v>
      </c>
      <c r="L201" s="21" t="str">
        <f>VLOOKUP(A201,'Trips&amp;Operators'!$C$1:$G$99999,5,FALSE)</f>
        <v>SAFIEF AEIMEN</v>
      </c>
      <c r="M201" s="6">
        <f t="shared" si="57"/>
        <v>9.2708333322661929E-3</v>
      </c>
      <c r="N201" s="7">
        <f t="shared" si="70"/>
        <v>13.349999998463318</v>
      </c>
      <c r="O201" s="7"/>
      <c r="P201" s="7"/>
      <c r="Q201" s="22"/>
      <c r="R201" s="170"/>
      <c r="S201" s="213">
        <f t="shared" si="71"/>
        <v>1</v>
      </c>
      <c r="T201" s="195" t="str">
        <f t="shared" si="58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9"/>
        <v>https://d0f6bd738d7f1b3e5a7ca70fe4ff75f0.us-east-1.aws.found.io/app/kibana#/discover/Steve-Slow-Train-Analysis-(2080s-and-2083s)?_g=(refreshInterval:(display:Off,pause:!f,section:0,value:0),time:(from:'2017-06-29T18:19:17-0600',mode:absolute,to:'2017-06-29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97" t="str">
        <f>IF(AA201&lt;VLOOKUP(AG201,Variables!$AC$3:$AD$8,2,FALSE),"Y","N")</f>
        <v>N</v>
      </c>
      <c r="X201" s="197">
        <f t="shared" si="69"/>
        <v>1</v>
      </c>
      <c r="Y201" s="197">
        <f t="shared" si="60"/>
        <v>9.74E-2</v>
      </c>
      <c r="Z201" s="197">
        <f t="shared" si="61"/>
        <v>5.8920000000000003</v>
      </c>
      <c r="AA201" s="197">
        <f t="shared" si="62"/>
        <v>5.7946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3"/>
        <v>841</v>
      </c>
      <c r="AE201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1" s="74" t="str">
        <f t="shared" si="65"/>
        <v>"C:\Program Files (x86)\AstroGrep\AstroGrep.exe" /e /r /s /spath="%USERPROFILE%\AppData\Local\Temp\OnboardLogs" /stypes="app*4018*20170630*" /stext=" 01:.+((SYSTEM_STATE.+slice.+state.+changed )|(ment ac)|(multiple cpu faults)|(system.+state.+changed )|(\[timeout)|(PRM\|1\|D)|(kpr)|(kdp)|(train st.+moving)|(\|lc)|(penalty))"</v>
      </c>
      <c r="AG201" s="209" t="str">
        <f t="shared" si="66"/>
        <v>NW</v>
      </c>
      <c r="AH201" s="78" t="str">
        <f t="shared" si="52"/>
        <v>"%USERPROFILE%\Documents\GitHub\eaglep3\Utilities\RefineRTDCRunTimes.py" --tripid 841-29 --locoid 4018 --swversion DE.1.0.9.0 --startMP 204:974 --initTime 2017-06-29T19:19:17 --startdatetime 2017-06-29T19:21:42 --delay 1 --endMP 300:58920 --enddatetime 2017-06-29T19:35:03 --enforcementcount 0 &gt;&gt;C:\Users\stu\Documents\GitHub\eaglep3-reporting\EC\2017-06-29-refined-times.txt</v>
      </c>
      <c r="AI20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{"issue":{"subject":"","project_id":79,"tracker_id":40,"status_id":1,"priority_id":2,"assigned_to_id":23,"start_date":"2017-06-29","description":"","custom_fields":[{"id":1,"name":"Subdivision","value":"NW"},{"id":4,"name":"Milepost","value":"5.892"},{"id":17,"name":"Train ID","value":"841-29"},{"id":16,"name":"Locomotive ID","value":"4018"},{"id":130,"name":"Impact","value":""},{"id":150,"name":"Time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4"/>
        <v>start /low /b %USERPROFILE%\Documents\GitHub\eaglep3\Utilities\DownloadLogsFromS3.py --loco 4018 --day 2017-06-29</v>
      </c>
      <c r="AN20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788</v>
      </c>
      <c r="B202" s="7">
        <v>4017</v>
      </c>
      <c r="C202" s="21" t="s">
        <v>201</v>
      </c>
      <c r="D202" s="21" t="s">
        <v>1043</v>
      </c>
      <c r="E202" s="13">
        <v>42915.860555555555</v>
      </c>
      <c r="F202" s="13">
        <v>42915.862569444442</v>
      </c>
      <c r="G202" s="7">
        <v>2</v>
      </c>
      <c r="H202" s="21" t="s">
        <v>1045</v>
      </c>
      <c r="I202" s="13">
        <v>42915.872129629628</v>
      </c>
      <c r="J202" s="7">
        <v>0</v>
      </c>
      <c r="K202" s="89" t="str">
        <f t="shared" si="56"/>
        <v>4017/4018</v>
      </c>
      <c r="L202" s="21" t="str">
        <f>VLOOKUP(A202,'Trips&amp;Operators'!$C$1:$G$99999,5,FALSE)</f>
        <v>SAFIEF AEIMEN</v>
      </c>
      <c r="M202" s="6">
        <f t="shared" si="57"/>
        <v>9.560185186273884E-3</v>
      </c>
      <c r="N202" s="7">
        <f t="shared" si="70"/>
        <v>13.766666668234393</v>
      </c>
      <c r="O202" s="7"/>
      <c r="P202" s="7"/>
      <c r="Q202" s="22"/>
      <c r="R202" s="170"/>
      <c r="S202" s="213">
        <f t="shared" si="71"/>
        <v>1</v>
      </c>
      <c r="T202" s="195" t="str">
        <f t="shared" si="58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9"/>
        <v>https://d0f6bd738d7f1b3e5a7ca70fe4ff75f0.us-east-1.aws.found.io/app/kibana#/discover/Steve-Slow-Train-Analysis-(2080s-and-2083s)?_g=(refreshInterval:(display:Off,pause:!f,section:0,value:0),time:(from:'2017-06-29T19:39:12-0600',mode:absolute,to:'2017-06-29T21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97" t="str">
        <f>IF(AA202&lt;VLOOKUP(AG202,Variables!$AC$3:$AD$8,2,FALSE),"Y","N")</f>
        <v>N</v>
      </c>
      <c r="X202" s="197">
        <f t="shared" ref="X202:X233" si="72">VALUE(LEFT(AD202,4))-VALUE(LEFT(AD201,4))</f>
        <v>1</v>
      </c>
      <c r="Y202" s="197">
        <f t="shared" si="60"/>
        <v>5.8597999999999999</v>
      </c>
      <c r="Z202" s="197">
        <f t="shared" si="61"/>
        <v>6.7699999999999996E-2</v>
      </c>
      <c r="AA202" s="197">
        <f t="shared" si="62"/>
        <v>5.7920999999999996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3"/>
        <v>842</v>
      </c>
      <c r="AE202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2" s="74" t="str">
        <f t="shared" si="65"/>
        <v>"C:\Program Files (x86)\AstroGrep\AstroGrep.exe" /e /r /s /spath="%USERPROFILE%\AppData\Local\Temp\OnboardLogs" /stypes="app*4017*20170630*" /stext=" 02:.+((SYSTEM_STATE.+slice.+state.+changed )|(ment ac)|(multiple cpu faults)|(system.+state.+changed )|(\[timeout)|(PRM\|1\|D)|(kpr)|(kdp)|(train st.+moving)|(\|lc)|(penalty))"</v>
      </c>
      <c r="AG202" s="209" t="str">
        <f t="shared" si="66"/>
        <v>NW</v>
      </c>
      <c r="AH202" s="78" t="str">
        <f t="shared" si="52"/>
        <v>"%USERPROFILE%\Documents\GitHub\eaglep3\Utilities\RefineRTDCRunTimes.py" --tripid 842-29 --locoid 4017 --swversion DE.1.0.9.0 --startMP 300:58598 --initTime 2017-06-29T20:39:12 --startdatetime 2017-06-29T20:42:06 --delay 2 --endMP 204:677 --enddatetime 2017-06-29T20:55:52 --enforcementcount 0 &gt;&gt;C:\Users\stu\Documents\GitHub\eaglep3-reporting\EC\2017-06-29-refined-times.txt</v>
      </c>
      <c r="AI20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{"issue":{"subject":"","project_id":79,"tracker_id":40,"status_id":1,"priority_id":2,"assigned_to_id":23,"start_date":"2017-06-29","description":"","custom_fields":[{"id":1,"name":"Subdivision","value":"NW"},{"id":4,"name":"Milepost","value":"0.0677"},{"id":17,"name":"Train ID","value":"842-29"},{"id":16,"name":"Locomotive ID","value":"4017"},{"id":130,"name":"Impact","value":""},{"id":150,"name":"Time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4"/>
        <v>start /low /b %USERPROFILE%\Documents\GitHub\eaglep3\Utilities\DownloadLogsFromS3.py --loco 4017 --day 2017-06-29</v>
      </c>
      <c r="AN202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786</v>
      </c>
      <c r="B203" s="7">
        <v>4018</v>
      </c>
      <c r="C203" s="21" t="s">
        <v>201</v>
      </c>
      <c r="D203" s="21" t="s">
        <v>1044</v>
      </c>
      <c r="E203" s="13">
        <v>42915.832372685189</v>
      </c>
      <c r="F203" s="13">
        <v>42915.848252314812</v>
      </c>
      <c r="G203" s="7">
        <v>1</v>
      </c>
      <c r="H203" s="21" t="s">
        <v>1046</v>
      </c>
      <c r="I203" s="13">
        <v>42915.859166666669</v>
      </c>
      <c r="J203" s="7">
        <v>0</v>
      </c>
      <c r="K203" s="89" t="str">
        <f t="shared" si="56"/>
        <v>4017/4018</v>
      </c>
      <c r="L203" s="21" t="str">
        <f>VLOOKUP(A203,'Trips&amp;Operators'!$C$1:$G$99999,5,FALSE)</f>
        <v>SAFIEF AEIMEN</v>
      </c>
      <c r="M203" s="6">
        <f t="shared" si="57"/>
        <v>1.0914351856627036E-2</v>
      </c>
      <c r="N203" s="7">
        <f t="shared" si="70"/>
        <v>15.716666673542932</v>
      </c>
      <c r="O203" s="7"/>
      <c r="P203" s="7"/>
      <c r="Q203" s="22"/>
      <c r="R203" s="170"/>
      <c r="S203" s="213">
        <f t="shared" si="71"/>
        <v>1</v>
      </c>
      <c r="T203" s="195" t="str">
        <f t="shared" si="5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9"/>
        <v>https://d0f6bd738d7f1b3e5a7ca70fe4ff75f0.us-east-1.aws.found.io/app/kibana#/discover/Steve-Slow-Train-Analysis-(2080s-and-2083s)?_g=(refreshInterval:(display:Off,pause:!f,section:0,value:0),time:(from:'2017-06-29T18:58:37-0600',mode:absolute,to:'2017-06-29T21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7" t="str">
        <f>IF(AA203&lt;VLOOKUP(AG203,Variables!$AC$3:$AD$8,2,FALSE),"Y","N")</f>
        <v>N</v>
      </c>
      <c r="X203" s="197">
        <f t="shared" si="72"/>
        <v>1</v>
      </c>
      <c r="Y203" s="197">
        <f t="shared" si="60"/>
        <v>9.74E-2</v>
      </c>
      <c r="Z203" s="197">
        <f t="shared" si="61"/>
        <v>5.8912000000000004</v>
      </c>
      <c r="AA203" s="197">
        <f t="shared" si="62"/>
        <v>5.7938000000000001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3"/>
        <v>843</v>
      </c>
      <c r="AE20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3" s="74" t="str">
        <f t="shared" si="65"/>
        <v>"C:\Program Files (x86)\AstroGrep\AstroGrep.exe" /e /r /s /spath="%USERPROFILE%\AppData\Local\Temp\OnboardLogs" /stypes="app*4018*20170630*" /stext=" 02:.+((SYSTEM_STATE.+slice.+state.+changed )|(ment ac)|(multiple cpu faults)|(system.+state.+changed )|(\[timeout)|(PRM\|1\|D)|(kpr)|(kdp)|(train st.+moving)|(\|lc)|(penalty))"</v>
      </c>
      <c r="AG203" s="209" t="str">
        <f t="shared" si="66"/>
        <v>NW</v>
      </c>
      <c r="AH203" s="78" t="str">
        <f t="shared" si="52"/>
        <v>"%USERPROFILE%\Documents\GitHub\eaglep3\Utilities\RefineRTDCRunTimes.py" --tripid 843-29 --locoid 4018 --swversion DE.1.0.9.0 --startMP 204:974 --initTime 2017-06-29T19:58:37 --startdatetime 2017-06-29T20:21:29 --delay 1 --endMP 300:58912 --enddatetime 2017-06-29T20:37:12 --enforcementcount 0 &gt;&gt;C:\Users\stu\Documents\GitHub\eaglep3-reporting\EC\2017-06-29-refined-times.txt</v>
      </c>
      <c r="AI20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{"issue":{"subject":"","project_id":79,"tracker_id":40,"status_id":1,"priority_id":2,"assigned_to_id":23,"start_date":"2017-06-29","description":"","custom_fields":[{"id":1,"name":"Subdivision","value":"NW"},{"id":4,"name":"Milepost","value":"5.8912"},{"id":17,"name":"Train ID","value":"843-29"},{"id":16,"name":"Locomotive ID","value":"4018"},{"id":130,"name":"Impact","value":""},{"id":150,"name":"Time of Event (Mountain Time)","value":"20:37:12"},{"id":151,"name":"Denver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4"/>
        <v>start /low /b %USERPROFILE%\Documents\GitHub\eaglep3\Utilities\DownloadLogsFromS3.py --loco 4018 --day 2017-06-29</v>
      </c>
      <c r="AN20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794</v>
      </c>
      <c r="B204" s="7">
        <v>4017</v>
      </c>
      <c r="C204" s="21" t="s">
        <v>201</v>
      </c>
      <c r="D204" s="21" t="s">
        <v>1047</v>
      </c>
      <c r="E204" s="13">
        <v>42915.90152777778</v>
      </c>
      <c r="F204" s="13">
        <v>42915.903101851851</v>
      </c>
      <c r="G204" s="7">
        <v>1</v>
      </c>
      <c r="H204" s="21" t="s">
        <v>1048</v>
      </c>
      <c r="I204" s="13">
        <v>42915.914513888885</v>
      </c>
      <c r="J204" s="7">
        <v>0</v>
      </c>
      <c r="K204" s="89" t="str">
        <f t="shared" si="56"/>
        <v>4017/4018</v>
      </c>
      <c r="L204" s="21" t="str">
        <f>VLOOKUP(A204,'Trips&amp;Operators'!$C$1:$G$99999,5,FALSE)</f>
        <v>MAGEE KENYA</v>
      </c>
      <c r="M204" s="6">
        <f t="shared" si="57"/>
        <v>1.1412037034460809E-2</v>
      </c>
      <c r="N204" s="7">
        <f t="shared" si="70"/>
        <v>16.433333329623565</v>
      </c>
      <c r="O204" s="7"/>
      <c r="P204" s="7"/>
      <c r="Q204" s="22"/>
      <c r="R204" s="170"/>
      <c r="S204" s="213">
        <f t="shared" si="71"/>
        <v>1</v>
      </c>
      <c r="T204" s="195" t="str">
        <f t="shared" si="58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9"/>
        <v>https://d0f6bd738d7f1b3e5a7ca70fe4ff75f0.us-east-1.aws.found.io/app/kibana#/discover/Steve-Slow-Train-Analysis-(2080s-and-2083s)?_g=(refreshInterval:(display:Off,pause:!f,section:0,value:0),time:(from:'2017-06-29T20:38:12-0600',mode:absolute,to:'2017-06-29T22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97" t="str">
        <f>IF(AA204&lt;VLOOKUP(AG204,Variables!$AC$3:$AD$8,2,FALSE),"Y","N")</f>
        <v>N</v>
      </c>
      <c r="X204" s="197">
        <f t="shared" si="72"/>
        <v>1</v>
      </c>
      <c r="Y204" s="197">
        <f t="shared" si="60"/>
        <v>5.8651</v>
      </c>
      <c r="Z204" s="197">
        <f t="shared" si="61"/>
        <v>6.6600000000000006E-2</v>
      </c>
      <c r="AA204" s="197">
        <f t="shared" si="62"/>
        <v>5.7984999999999998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3"/>
        <v>844</v>
      </c>
      <c r="AE20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4" s="74" t="str">
        <f t="shared" si="65"/>
        <v>"C:\Program Files (x86)\AstroGrep\AstroGrep.exe" /e /r /s /spath="%USERPROFILE%\AppData\Local\Temp\OnboardLogs" /stypes="app*4017*20170630*" /stext=" 03:.+((SYSTEM_STATE.+slice.+state.+changed )|(ment ac)|(multiple cpu faults)|(system.+state.+changed )|(\[timeout)|(PRM\|1\|D)|(kpr)|(kdp)|(train st.+moving)|(\|lc)|(penalty))"</v>
      </c>
      <c r="AG204" s="209" t="str">
        <f t="shared" si="66"/>
        <v>NW</v>
      </c>
      <c r="AH204" s="78" t="str">
        <f t="shared" ref="AH204:AH250" si="7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844-29 --locoid 4017 --swversion DE.1.0.9.0 --startMP 300:58651 --initTime 2017-06-29T21:38:12 --startdatetime 2017-06-29T21:40:28 --delay 1 --endMP 204:666 --enddatetime 2017-06-29T21:56:54 --enforcementcount 0 &gt;&gt;C:\Users\stu\Documents\GitHub\eaglep3-reporting\EC\2017-06-29-refined-times.txt</v>
      </c>
      <c r="AI204" s="96" t="str">
        <f t="shared" ref="AI204:AI250" si="7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{"issue":{"subject":"","project_id":79,"tracker_id":40,"status_id":1,"priority_id":2,"assigned_to_id":23,"start_date":"2017-06-29","description":"","custom_fields":[{"id":1,"name":"Subdivision","value":"NW"},{"id":4,"name":"Milepost","value":"0.0666"},{"id":17,"name":"Train ID","value":"844-29"},{"id":16,"name":"Locomotive ID","value":"4017"},{"id":130,"name":"Impact","value":""},{"id":150,"name":"Time of Event (Mountain Time)","value":"21:56:54"},{"id":151,"name":"Denver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50" si="75">"start /low /b "&amp;dls3logs&amp;" --loco "&amp;B204&amp;" --day "&amp;TEXT(F204,"YYYY-MM-DD")</f>
        <v>start /low /b %USERPROFILE%\Documents\GitHub\eaglep3\Utilities\DownloadLogsFromS3.py --loco 4017 --day 2017-06-29</v>
      </c>
      <c r="AN204" s="151" t="str">
        <f t="shared" ref="AN204:AN250" si="7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03:56:54"},{"id":29,"name":"Sharepoint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791</v>
      </c>
      <c r="B205" s="7">
        <v>4018</v>
      </c>
      <c r="C205" s="21" t="s">
        <v>201</v>
      </c>
      <c r="D205" s="21" t="s">
        <v>1014</v>
      </c>
      <c r="E205" s="13">
        <v>42915.885023148148</v>
      </c>
      <c r="F205" s="13">
        <v>42915.889756944445</v>
      </c>
      <c r="G205" s="7">
        <v>1</v>
      </c>
      <c r="H205" s="21" t="s">
        <v>1049</v>
      </c>
      <c r="I205" s="13">
        <v>42915.900405092594</v>
      </c>
      <c r="J205" s="7">
        <v>0</v>
      </c>
      <c r="K205" s="89" t="str">
        <f t="shared" ref="K205:K250" si="77">IF(ISEVEN(B205),(B205-1)&amp;"/"&amp;B205,B205&amp;"/"&amp;(B205+1))</f>
        <v>4017/4018</v>
      </c>
      <c r="L205" s="21" t="str">
        <f>VLOOKUP(A205,'Trips&amp;Operators'!$C$1:$G$99999,5,FALSE)</f>
        <v>MAGEE KENYA</v>
      </c>
      <c r="M205" s="6">
        <f t="shared" ref="M205:M250" si="78">I205-F205</f>
        <v>1.0648148148902692E-2</v>
      </c>
      <c r="N205" s="7">
        <f t="shared" si="70"/>
        <v>15.333333334419876</v>
      </c>
      <c r="O205" s="7"/>
      <c r="P205" s="7"/>
      <c r="Q205" s="22"/>
      <c r="R205" s="170"/>
      <c r="S205" s="213">
        <f t="shared" si="71"/>
        <v>1</v>
      </c>
      <c r="T205" s="195" t="str">
        <f t="shared" ref="T205:T250" si="79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0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-29T20:14:26-0600',mode:absolute,to:'2017-06-29T22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197" t="str">
        <f>IF(AA205&lt;VLOOKUP(AG205,Variables!$AC$3:$AD$8,2,FALSE),"Y","N")</f>
        <v>N</v>
      </c>
      <c r="X205" s="197">
        <f t="shared" si="72"/>
        <v>1</v>
      </c>
      <c r="Y205" s="197">
        <f t="shared" ref="Y205:Y250" si="81">RIGHT(D205,LEN(D205)-4)/10000</f>
        <v>9.6500000000000002E-2</v>
      </c>
      <c r="Z205" s="197">
        <f t="shared" ref="Z205:Z250" si="82">RIGHT(H205,LEN(H205)-4)/10000</f>
        <v>5.8967000000000001</v>
      </c>
      <c r="AA205" s="197">
        <f t="shared" ref="AA205:AA250" si="83">ABS(Z205-Y205)</f>
        <v>5.8002000000000002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50" si="84">VALUE(LEFT(A205,LEN(A205)-3))</f>
        <v>845</v>
      </c>
      <c r="AE205" s="77" t="str">
        <f t="shared" ref="AE205:AE250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5" s="74" t="str">
        <f t="shared" ref="AF205:AF250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/stypes="app*4018*20170630*" /stext=" 03:.+((SYSTEM_STATE.+slice.+state.+changed )|(ment ac)|(multiple cpu faults)|(system.+state.+changed )|(\[timeout)|(PRM\|1\|D)|(kpr)|(kdp)|(train st.+moving)|(\|lc)|(penalty))"</v>
      </c>
      <c r="AG205" s="209" t="str">
        <f t="shared" ref="AG205:AG250" si="87">DetSubdiv(A205)</f>
        <v>NW</v>
      </c>
      <c r="AH205" s="78" t="str">
        <f t="shared" si="73"/>
        <v>"%USERPROFILE%\Documents\GitHub\eaglep3\Utilities\RefineRTDCRunTimes.py" --tripid 845-29 --locoid 4018 --swversion DE.1.0.9.0 --startMP 204:965 --initTime 2017-06-29T21:14:26 --startdatetime 2017-06-29T21:21:15 --delay 1 --endMP 300:58967 --enddatetime 2017-06-29T21:36:35 --enforcementcount 0 &gt;&gt;C:\Users\stu\Documents\GitHub\eaglep3-reporting\EC\2017-06-29-refined-times.txt</v>
      </c>
      <c r="AI205" s="96" t="str">
        <f t="shared" si="74"/>
        <v>echo {"issue":{"subject":"","project_id":79,"tracker_id":40,"status_id":1,"priority_id":2,"assigned_to_id":23,"start_date":"2017-06-29","description":"","custom_fields":[{"id":1,"name":"Subdivision","value":"NW"},{"id":4,"name":"Milepost","value":"5.8967"},{"id":17,"name":"Train ID","value":"845-29"},{"id":16,"name":"Locomotive ID","value":"4018"},{"id":130,"name":"Impact","value":""},{"id":150,"name":"Time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4018 --day 2017-06-29</v>
      </c>
      <c r="AN205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796</v>
      </c>
      <c r="B206" s="7">
        <v>4018</v>
      </c>
      <c r="C206" s="21" t="s">
        <v>201</v>
      </c>
      <c r="D206" s="21" t="s">
        <v>560</v>
      </c>
      <c r="E206" s="13">
        <v>42915.916041666664</v>
      </c>
      <c r="F206" s="13">
        <v>42915.931446759256</v>
      </c>
      <c r="G206" s="7">
        <v>4</v>
      </c>
      <c r="H206" s="21" t="s">
        <v>522</v>
      </c>
      <c r="I206" s="13">
        <v>42915.941122685188</v>
      </c>
      <c r="J206" s="7">
        <v>0</v>
      </c>
      <c r="K206" s="89" t="str">
        <f t="shared" si="77"/>
        <v>4017/4018</v>
      </c>
      <c r="L206" s="21" t="str">
        <f>VLOOKUP(A206,'Trips&amp;Operators'!$C$1:$G$99999,5,FALSE)</f>
        <v>HAITHCOX MICHAEL</v>
      </c>
      <c r="M206" s="6">
        <f t="shared" si="78"/>
        <v>9.6759259322425351E-3</v>
      </c>
      <c r="N206" s="7">
        <f t="shared" si="70"/>
        <v>13.93333334242925</v>
      </c>
      <c r="O206" s="7"/>
      <c r="P206" s="7"/>
      <c r="Q206" s="22"/>
      <c r="R206" s="170"/>
      <c r="S206" s="213">
        <f t="shared" si="71"/>
        <v>1</v>
      </c>
      <c r="T206" s="195" t="str">
        <f t="shared" si="79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-06-29T20:59:06-0600',mode:absolute,to:'2017-06-29T23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97" t="str">
        <f>IF(AA206&lt;VLOOKUP(AG206,Variables!$AC$3:$AD$8,2,FALSE),"Y","N")</f>
        <v>N</v>
      </c>
      <c r="X206" s="197">
        <f t="shared" si="72"/>
        <v>2</v>
      </c>
      <c r="Y206" s="197">
        <f t="shared" si="81"/>
        <v>9.8599999999999993E-2</v>
      </c>
      <c r="Z206" s="197">
        <f t="shared" si="82"/>
        <v>5.8928000000000003</v>
      </c>
      <c r="AA206" s="197">
        <f t="shared" si="83"/>
        <v>5.7942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847</v>
      </c>
      <c r="AE206" s="77" t="str">
        <f t="shared" si="85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6" s="74" t="str">
        <f t="shared" si="86"/>
        <v>"C:\Program Files (x86)\AstroGrep\AstroGrep.exe" /e /r /s /spath="%USERPROFILE%\AppData\Local\Temp\OnboardLogs" /stypes="app*4018*20170630*" /stext=" 04:.+((SYSTEM_STATE.+slice.+state.+changed )|(ment ac)|(multiple cpu faults)|(system.+state.+changed )|(\[timeout)|(PRM\|1\|D)|(kpr)|(kdp)|(train st.+moving)|(\|lc)|(penalty))"</v>
      </c>
      <c r="AG206" s="209" t="str">
        <f t="shared" si="87"/>
        <v>NW</v>
      </c>
      <c r="AH206" s="78" t="str">
        <f t="shared" si="73"/>
        <v>"%USERPROFILE%\Documents\GitHub\eaglep3\Utilities\RefineRTDCRunTimes.py" --tripid 847-29 --locoid 4018 --swversion DE.1.0.9.0 --startMP 204:986 --initTime 2017-06-29T21:59:06 --startdatetime 2017-06-29T22:21:17 --delay 4 --endMP 300:58928 --enddatetime 2017-06-29T22:35:13 --enforcementcount 0 &gt;&gt;C:\Users\stu\Documents\GitHub\eaglep3-reporting\EC\2017-06-29-refined-times.txt</v>
      </c>
      <c r="AI206" s="96" t="str">
        <f t="shared" si="74"/>
        <v>echo {"issue":{"subject":"","project_id":79,"tracker_id":40,"status_id":1,"priority_id":2,"assigned_to_id":23,"start_date":"2017-06-29","description":"","custom_fields":[{"id":1,"name":"Subdivision","value":"NW"},{"id":4,"name":"Milepost","value":"5.8928"},{"id":17,"name":"Train ID","value":"847-29"},{"id":16,"name":"Locomotive ID","value":"4018"},{"id":130,"name":"Impact","value":""},{"id":150,"name":"Time of Event (Mountain Time)","value":"22:35:13"},{"id":151,"name":"Denver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4018 --day 2017-06-29</v>
      </c>
      <c r="AN206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567</v>
      </c>
      <c r="B207" s="7">
        <v>4049</v>
      </c>
      <c r="C207" s="21" t="s">
        <v>201</v>
      </c>
      <c r="D207" s="21" t="s">
        <v>845</v>
      </c>
      <c r="E207" s="13">
        <v>42915.115127314813</v>
      </c>
      <c r="F207" s="13">
        <v>42915.119050925925</v>
      </c>
      <c r="G207" s="7">
        <v>5</v>
      </c>
      <c r="H207" s="21" t="s">
        <v>348</v>
      </c>
      <c r="I207" s="13">
        <v>42915.123912037037</v>
      </c>
      <c r="J207" s="7">
        <v>0</v>
      </c>
      <c r="K207" s="89" t="str">
        <f t="shared" si="77"/>
        <v>4049/4050</v>
      </c>
      <c r="L207" s="21" t="str">
        <f>VLOOKUP(A207,'Trips&amp;Operators'!$C$1:$G$99999,5,FALSE)</f>
        <v>STARKS ANGELINA</v>
      </c>
      <c r="M207" s="6">
        <f t="shared" si="78"/>
        <v>4.8611111124046147E-3</v>
      </c>
      <c r="N207" s="7">
        <f t="shared" ref="N207:N238" si="88">24*60*SUM($M207:$M207)</f>
        <v>7.0000000018626451</v>
      </c>
      <c r="O207" s="7"/>
      <c r="P207" s="7"/>
      <c r="Q207" s="22"/>
      <c r="R207" s="170"/>
      <c r="S207" s="213">
        <f t="shared" ref="S207:S238" si="89">SUM(U207:U207)/IF(AG207="EC",12,1)</f>
        <v>1</v>
      </c>
      <c r="T207" s="195" t="str">
        <f t="shared" si="79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-06-29T01:45:47-0600',mode:absolute,to:'2017-06-29T03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7" s="197" t="str">
        <f>IF(AA207&lt;VLOOKUP(AG207,Variables!$AC$3:$AD$8,2,FALSE),"Y","N")</f>
        <v>Y</v>
      </c>
      <c r="X207" s="197">
        <f t="shared" si="72"/>
        <v>-547</v>
      </c>
      <c r="Y207" s="197">
        <f t="shared" si="81"/>
        <v>2.0066000000000002</v>
      </c>
      <c r="Z207" s="197">
        <f t="shared" si="82"/>
        <v>1.43E-2</v>
      </c>
      <c r="AA207" s="197">
        <f t="shared" si="83"/>
        <v>1.9923000000000002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300</v>
      </c>
      <c r="AE207" s="77" t="str">
        <f t="shared" si="85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207" s="74" t="str">
        <f t="shared" si="86"/>
        <v>"C:\Program Files (x86)\AstroGrep\AstroGrep.exe" /e /r /s /spath="%USERPROFILE%\AppData\Local\Temp\OnboardLogs" /stypes="app*4049*20170629*" /stext=" 08:.+((SYSTEM_STATE.+slice.+state.+changed )|(ment ac)|(multiple cpu faults)|(system.+state.+changed )|(\[timeout)|(PRM\|1\|D)|(kpr)|(kdp)|(train st.+moving)|(\|lc)|(penalty))"</v>
      </c>
      <c r="AG207" s="209" t="str">
        <f t="shared" si="87"/>
        <v>Other</v>
      </c>
      <c r="AH207" s="78" t="str">
        <f t="shared" si="73"/>
        <v>"%USERPROFILE%\Documents\GitHub\eaglep3\Utilities\RefineRTDCRunTimes.py" --tripid 300-29 --locoid 4049 --swversion DE.1.0.9.0 --startMP 300:20066 --initTime 2017-06-29T02:45:47 --startdatetime 2017-06-29T02:51:26 --delay 5 --endMP 204:143 --enddatetime 2017-06-29T02:58:26 --enforcementcount 0 &gt;&gt;C:\Users\stu\Documents\GitHub\eaglep3-reporting\EC\2017-06-29-refined-times.txt</v>
      </c>
      <c r="AI207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{"issue":{"subject":"","project_id":79,"tracker_id":40,"status_id":1,"priority_id":2,"assigned_to_id":23,"start_date":"2017-06-29","description":"","custom_fields":[{"id":1,"name":"Subdivision","value":"Other"},{"id":4,"name":"Milepost","value":"0.0143"},{"id":17,"name":"Train ID","value":"300-29"},{"id":16,"name":"Locomotive ID","value":"4049"},{"id":130,"name":"Impact","value":""},{"id":150,"name":"Time of Event (Mountain Time)","value":"02:58:26"},{"id":151,"name":"Denver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4049 --day 2017-06-29</v>
      </c>
      <c r="AN20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616</v>
      </c>
      <c r="B208" s="7">
        <v>4028</v>
      </c>
      <c r="C208" s="21" t="s">
        <v>201</v>
      </c>
      <c r="D208" s="21" t="s">
        <v>389</v>
      </c>
      <c r="E208" s="13">
        <v>42915.776759259257</v>
      </c>
      <c r="F208" s="13">
        <v>42915.778287037036</v>
      </c>
      <c r="G208" s="7">
        <v>1</v>
      </c>
      <c r="H208" s="21" t="s">
        <v>979</v>
      </c>
      <c r="I208" s="13">
        <v>42915.778703703705</v>
      </c>
      <c r="J208" s="7">
        <v>0</v>
      </c>
      <c r="K208" s="89" t="str">
        <f t="shared" si="77"/>
        <v>4027/4028</v>
      </c>
      <c r="L208" s="21" t="str">
        <f>VLOOKUP(A208,'Trips&amp;Operators'!$C$1:$G$99999,5,FALSE)</f>
        <v>LEVIN SCOTT</v>
      </c>
      <c r="M208" s="6">
        <f t="shared" si="78"/>
        <v>4.1666666948003694E-4</v>
      </c>
      <c r="N208" s="7">
        <f t="shared" si="88"/>
        <v>0.6000000040512532</v>
      </c>
      <c r="O208" s="7"/>
      <c r="P208" s="7"/>
      <c r="Q208" s="22"/>
      <c r="R208" s="170"/>
      <c r="S208" s="213">
        <f t="shared" si="89"/>
        <v>0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-06-29T17:38:32-0600',mode:absolute,to:'2017-06-29T19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197" t="str">
        <f>IF(AA208&lt;VLOOKUP(AG208,Variables!$AC$3:$AD$8,2,FALSE),"Y","N")</f>
        <v>Y</v>
      </c>
      <c r="X208" s="197">
        <f t="shared" si="72"/>
        <v>1</v>
      </c>
      <c r="Y208" s="197">
        <f t="shared" si="81"/>
        <v>4.6199999999999998E-2</v>
      </c>
      <c r="Z208" s="197">
        <f t="shared" si="82"/>
        <v>0.1399</v>
      </c>
      <c r="AA208" s="197">
        <f t="shared" si="83"/>
        <v>9.3700000000000006E-2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301</v>
      </c>
      <c r="AE208" s="77" t="str">
        <f t="shared" si="85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208" s="74" t="str">
        <f t="shared" si="86"/>
        <v>"C:\Program Files (x86)\AstroGrep\AstroGrep.exe" /e /r /s /spath="%USERPROFILE%\AppData\Local\Temp\OnboardLogs" /stypes="app*4028*20170630*" /stext=" 00:.+((SYSTEM_STATE.+slice.+state.+changed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73"/>
        <v>"%USERPROFILE%\Documents\GitHub\eaglep3\Utilities\RefineRTDCRunTimes.py" --tripid 301-29 --locoid 4028 --swversion DE.1.0.9.0 --startMP 204:462 --initTime 2017-06-29T18:38:32 --startdatetime 2017-06-29T18:40:44 --delay 1 --endMP 204:1399 --enddatetime 2017-06-29T18:41:20 --enforcementcount 0 &gt;&gt;C:\Users\stu\Documents\GitHub\eaglep3-reporting\EC\2017-06-29-refined-times.txt</v>
      </c>
      <c r="AI208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{"issue":{"subject":"","project_id":79,"tracker_id":40,"status_id":1,"priority_id":2,"assigned_to_id":23,"start_date":"2017-06-29","description":"","custom_fields":[{"id":1,"name":"Subdivision","value":"Other"},{"id":4,"name":"Milepost","value":"0.1399"},{"id":17,"name":"Train ID","value":"301-29"},{"id":16,"name":"Locomotive ID","value":"4028"},{"id":130,"name":"Impact","value":""},{"id":150,"name":"Time of Event (Mountain Time)","value":"18:41:20"},{"id":151,"name":"Denver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4028 --day 2017-06-29</v>
      </c>
      <c r="AN20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568</v>
      </c>
      <c r="B209" s="7">
        <v>4009</v>
      </c>
      <c r="C209" s="21" t="s">
        <v>201</v>
      </c>
      <c r="D209" s="21" t="s">
        <v>846</v>
      </c>
      <c r="E209" s="13">
        <v>42915.139918981484</v>
      </c>
      <c r="F209" s="13">
        <v>42915.143368055556</v>
      </c>
      <c r="G209" s="7">
        <v>5</v>
      </c>
      <c r="H209" s="21" t="s">
        <v>392</v>
      </c>
      <c r="I209" s="13">
        <v>42915.148715277777</v>
      </c>
      <c r="J209" s="7">
        <v>0</v>
      </c>
      <c r="K209" s="89" t="str">
        <f t="shared" si="77"/>
        <v>4009/4010</v>
      </c>
      <c r="L209" s="21" t="str">
        <f>VLOOKUP(A209,'Trips&amp;Operators'!$C$1:$G$99999,5,FALSE)</f>
        <v>YANAI IAN</v>
      </c>
      <c r="M209" s="6">
        <f t="shared" si="78"/>
        <v>5.3472222207346931E-3</v>
      </c>
      <c r="N209" s="7">
        <f t="shared" si="88"/>
        <v>7.6999999978579581</v>
      </c>
      <c r="O209" s="7"/>
      <c r="P209" s="7"/>
      <c r="Q209" s="22"/>
      <c r="R209" s="170"/>
      <c r="S209" s="213">
        <f t="shared" si="89"/>
        <v>1</v>
      </c>
      <c r="T209" s="195" t="str">
        <f t="shared" si="79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-06-29T02:21:29-0600',mode:absolute,to:'2017-06-29T04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7" t="str">
        <f>IF(AA209&lt;VLOOKUP(AG209,Variables!$AC$3:$AD$8,2,FALSE),"Y","N")</f>
        <v>Y</v>
      </c>
      <c r="X209" s="197">
        <f t="shared" si="72"/>
        <v>1</v>
      </c>
      <c r="Y209" s="197">
        <f t="shared" si="81"/>
        <v>2.3508</v>
      </c>
      <c r="Z209" s="197">
        <f t="shared" si="82"/>
        <v>1.54E-2</v>
      </c>
      <c r="AA209" s="197">
        <f t="shared" si="83"/>
        <v>2.3353999999999999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302</v>
      </c>
      <c r="AE209" s="77" t="str">
        <f t="shared" si="85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209" s="74" t="str">
        <f t="shared" si="86"/>
        <v>"C:\Program Files (x86)\AstroGrep\AstroGrep.exe" /e /r /s /spath="%USERPROFILE%\AppData\Local\Temp\OnboardLogs" /stypes="app*4009*20170629*" /stext=" 09:.+((SYSTEM_STATE.+slice.+state.+changed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73"/>
        <v>"%USERPROFILE%\Documents\GitHub\eaglep3\Utilities\RefineRTDCRunTimes.py" --tripid 302-29 --locoid 4009 --swversion DE.1.0.9.0 --startMP 300:23508 --initTime 2017-06-29T03:21:29 --startdatetime 2017-06-29T03:26:27 --delay 5 --endMP 204:154 --enddatetime 2017-06-29T03:34:09 --enforcementcount 0 &gt;&gt;C:\Users\stu\Documents\GitHub\eaglep3-reporting\EC\2017-06-29-refined-times.txt</v>
      </c>
      <c r="AI209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{"issue":{"subject":"","project_id":79,"tracker_id":40,"status_id":1,"priority_id":2,"assigned_to_id":23,"start_date":"2017-06-29","description":"","custom_fields":[{"id":1,"name":"Subdivision","value":"Other"},{"id":4,"name":"Milepost","value":"0.0154"},{"id":17,"name":"Train ID","value":"302-29"},{"id":16,"name":"Locomotive ID","value":"4009"},{"id":130,"name":"Impact","value":""},{"id":150,"name":"Time of Event (Mountain Time)","value":"03:34:09"},{"id":151,"name":"Denver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4009 --day 2017-06-29</v>
      </c>
      <c r="AN20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781</v>
      </c>
      <c r="B210" s="7">
        <v>4056</v>
      </c>
      <c r="C210" s="21" t="s">
        <v>201</v>
      </c>
      <c r="D210" s="21" t="s">
        <v>439</v>
      </c>
      <c r="E210" s="13">
        <v>42915.798645833333</v>
      </c>
      <c r="F210" s="13">
        <v>42915.800185185188</v>
      </c>
      <c r="G210" s="7">
        <v>1</v>
      </c>
      <c r="H210" s="21" t="s">
        <v>980</v>
      </c>
      <c r="I210" s="13">
        <v>42915.805879629632</v>
      </c>
      <c r="J210" s="7">
        <v>0</v>
      </c>
      <c r="K210" s="89" t="str">
        <f t="shared" si="77"/>
        <v>4055/4056</v>
      </c>
      <c r="L210" s="21" t="str">
        <f>VLOOKUP(A210,'Trips&amp;Operators'!$C$1:$G$99999,5,FALSE)</f>
        <v>LEVERE CRAIG</v>
      </c>
      <c r="M210" s="6">
        <f t="shared" si="78"/>
        <v>5.694444444088731E-3</v>
      </c>
      <c r="N210" s="7">
        <f t="shared" si="88"/>
        <v>8.1999999994877726</v>
      </c>
      <c r="O210" s="7"/>
      <c r="P210" s="7"/>
      <c r="Q210" s="22"/>
      <c r="R210" s="170"/>
      <c r="S210" s="213">
        <f t="shared" si="89"/>
        <v>1</v>
      </c>
      <c r="T210" s="195" t="str">
        <f t="shared" si="7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-06-29T18:10:03-0600',mode:absolute,to:'2017-06-29T20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7" t="str">
        <f>IF(AA210&lt;VLOOKUP(AG210,Variables!$AC$3:$AD$8,2,FALSE),"Y","N")</f>
        <v>Y</v>
      </c>
      <c r="X210" s="197">
        <f t="shared" si="72"/>
        <v>1</v>
      </c>
      <c r="Y210" s="197">
        <f t="shared" si="81"/>
        <v>4.6899999999999997E-2</v>
      </c>
      <c r="Z210" s="197">
        <f t="shared" si="82"/>
        <v>2.3306</v>
      </c>
      <c r="AA210" s="197">
        <f t="shared" si="83"/>
        <v>2.2837000000000001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303</v>
      </c>
      <c r="AE210" s="77" t="str">
        <f t="shared" si="85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210" s="74" t="str">
        <f t="shared" si="86"/>
        <v>"C:\Program Files (x86)\AstroGrep\AstroGrep.exe" /e /r /s /spath="%USERPROFILE%\AppData\Local\Temp\OnboardLogs" /stypes="app*4056*20170630*" /stext=" 01:.+((SYSTEM_STATE.+slice.+state.+changed )|(ment ac)|(multiple cpu faults)|(system.+state.+changed )|(\[timeout)|(PRM\|1\|D)|(kpr)|(kdp)|(train st.+moving)|(\|lc)|(penalty))"</v>
      </c>
      <c r="AG210" s="209" t="str">
        <f t="shared" si="87"/>
        <v>Other</v>
      </c>
      <c r="AH210" s="78" t="str">
        <f t="shared" si="73"/>
        <v>"%USERPROFILE%\Documents\GitHub\eaglep3\Utilities\RefineRTDCRunTimes.py" --tripid 303-29 --locoid 4056 --swversion DE.1.0.9.0 --startMP 204:469 --initTime 2017-06-29T19:10:03 --startdatetime 2017-06-29T19:12:16 --delay 1 --endMP 300:23306 --enddatetime 2017-06-29T19:20:28 --enforcementcount 0 &gt;&gt;C:\Users\stu\Documents\GitHub\eaglep3-reporting\EC\2017-06-29-refined-times.txt</v>
      </c>
      <c r="AI210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{"issue":{"subject":"","project_id":79,"tracker_id":40,"status_id":1,"priority_id":2,"assigned_to_id":23,"start_date":"2017-06-29","description":"","custom_fields":[{"id":1,"name":"Subdivision","value":"Other"},{"id":4,"name":"Milepost","value":"2.3306"},{"id":17,"name":"Train ID","value":"303-29"},{"id":16,"name":"Locomotive ID","value":"4056"},{"id":130,"name":"Impact","value":""},{"id":150,"name":"Time of Event (Mountain Time)","value":"19:20:28"},{"id":151,"name":"Denver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4056 --day 2017-06-29</v>
      </c>
      <c r="AN210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636</v>
      </c>
      <c r="B211" s="7">
        <v>4059</v>
      </c>
      <c r="C211" s="21" t="s">
        <v>201</v>
      </c>
      <c r="D211" s="21" t="s">
        <v>847</v>
      </c>
      <c r="E211" s="13">
        <v>42915.157696759263</v>
      </c>
      <c r="F211" s="13">
        <v>42915.161261574074</v>
      </c>
      <c r="G211" s="7">
        <v>5</v>
      </c>
      <c r="H211" s="21" t="s">
        <v>193</v>
      </c>
      <c r="I211" s="13">
        <v>42915.167037037034</v>
      </c>
      <c r="J211" s="7">
        <v>0</v>
      </c>
      <c r="K211" s="89" t="str">
        <f t="shared" si="77"/>
        <v>4059/4060</v>
      </c>
      <c r="L211" s="21" t="str">
        <f>VLOOKUP(A211,'Trips&amp;Operators'!$C$1:$G$99999,5,FALSE)</f>
        <v>BONDS REYNALDO</v>
      </c>
      <c r="M211" s="6">
        <f t="shared" si="78"/>
        <v>5.7754629597184248E-3</v>
      </c>
      <c r="N211" s="7">
        <f t="shared" si="88"/>
        <v>8.3166666619945318</v>
      </c>
      <c r="O211" s="7"/>
      <c r="P211" s="7"/>
      <c r="Q211" s="22"/>
      <c r="R211" s="170"/>
      <c r="S211" s="213">
        <f t="shared" si="89"/>
        <v>1</v>
      </c>
      <c r="T211" s="195" t="str">
        <f t="shared" si="79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-06-29T02:47:05-0600',mode:absolute,to:'2017-06-29T05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1" s="197" t="str">
        <f>IF(AA211&lt;VLOOKUP(AG211,Variables!$AC$3:$AD$8,2,FALSE),"Y","N")</f>
        <v>Y</v>
      </c>
      <c r="X211" s="197">
        <f t="shared" si="72"/>
        <v>1</v>
      </c>
      <c r="Y211" s="197">
        <f t="shared" si="81"/>
        <v>2.3523000000000001</v>
      </c>
      <c r="Z211" s="197">
        <f t="shared" si="82"/>
        <v>1.52E-2</v>
      </c>
      <c r="AA211" s="197">
        <f t="shared" si="83"/>
        <v>2.3371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304</v>
      </c>
      <c r="AE211" s="77" t="str">
        <f t="shared" si="85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211" s="74" t="str">
        <f t="shared" si="86"/>
        <v>"C:\Program Files (x86)\AstroGrep\AstroGrep.exe" /e /r /s /spath="%USERPROFILE%\AppData\Local\Temp\OnboardLogs" /stypes="app*4059*20170629*" /stext=" 10:.+((SYSTEM_STATE.+slice.+state.+changed )|(ment ac)|(multiple cpu faults)|(system.+state.+changed )|(\[timeout)|(PRM\|1\|D)|(kpr)|(kdp)|(train st.+moving)|(\|lc)|(penalty))"</v>
      </c>
      <c r="AG211" s="209" t="str">
        <f t="shared" si="87"/>
        <v>Other</v>
      </c>
      <c r="AH211" s="78" t="str">
        <f t="shared" si="73"/>
        <v>"%USERPROFILE%\Documents\GitHub\eaglep3\Utilities\RefineRTDCRunTimes.py" --tripid 304-29 --locoid 4059 --swversion DE.1.0.9.0 --startMP 300:23523 --initTime 2017-06-29T03:47:05 --startdatetime 2017-06-29T03:52:13 --delay 5 --endMP 204:152 --enddatetime 2017-06-29T04:00:32 --enforcementcount 0 &gt;&gt;C:\Users\stu\Documents\GitHub\eaglep3-reporting\EC\2017-06-29-refined-times.txt</v>
      </c>
      <c r="AI211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{"issue":{"subject":"","project_id":79,"tracker_id":40,"status_id":1,"priority_id":2,"assigned_to_id":23,"start_date":"2017-06-29","description":"","custom_fields":[{"id":1,"name":"Subdivision","value":"Other"},{"id":4,"name":"Milepost","value":"0.0152"},{"id":17,"name":"Train ID","value":"304-29"},{"id":16,"name":"Locomotive ID","value":"4059"},{"id":130,"name":"Impact","value":""},{"id":150,"name":"Time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4059 --day 2017-06-29</v>
      </c>
      <c r="AN21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10:00:32"},{"id":29,"name":"Sharepoint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784</v>
      </c>
      <c r="B212" s="7">
        <v>4006</v>
      </c>
      <c r="C212" s="21" t="s">
        <v>201</v>
      </c>
      <c r="D212" s="21" t="s">
        <v>981</v>
      </c>
      <c r="E212" s="13">
        <v>42915.819837962961</v>
      </c>
      <c r="F212" s="13">
        <v>42915.824293981481</v>
      </c>
      <c r="G212" s="7">
        <v>1</v>
      </c>
      <c r="H212" s="21" t="s">
        <v>982</v>
      </c>
      <c r="I212" s="13">
        <v>42915.831076388888</v>
      </c>
      <c r="J212" s="7">
        <v>0</v>
      </c>
      <c r="K212" s="89" t="str">
        <f t="shared" si="77"/>
        <v>4005/4006</v>
      </c>
      <c r="L212" s="21" t="str">
        <f>VLOOKUP(A212,'Trips&amp;Operators'!$C$1:$G$99999,5,FALSE)</f>
        <v>HOLCOMB KAMDEN</v>
      </c>
      <c r="M212" s="6">
        <f t="shared" si="78"/>
        <v>6.7824074067175388E-3</v>
      </c>
      <c r="N212" s="7">
        <f t="shared" si="88"/>
        <v>9.7666666656732559</v>
      </c>
      <c r="O212" s="7"/>
      <c r="P212" s="7"/>
      <c r="Q212" s="22"/>
      <c r="R212" s="170"/>
      <c r="S212" s="213">
        <f t="shared" si="89"/>
        <v>1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-06-29T18:40:34-0600',mode:absolute,to:'2017-06-29T20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97" t="str">
        <f>IF(AA212&lt;VLOOKUP(AG212,Variables!$AC$3:$AD$8,2,FALSE),"Y","N")</f>
        <v>Y</v>
      </c>
      <c r="X212" s="197">
        <f t="shared" si="72"/>
        <v>1</v>
      </c>
      <c r="Y212" s="197">
        <f t="shared" si="81"/>
        <v>4.7500000000000001E-2</v>
      </c>
      <c r="Z212" s="197">
        <f t="shared" si="82"/>
        <v>2.3296999999999999</v>
      </c>
      <c r="AA212" s="197">
        <f t="shared" si="83"/>
        <v>2.2822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305</v>
      </c>
      <c r="AE212" s="77" t="str">
        <f t="shared" si="85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212" s="74" t="str">
        <f t="shared" si="86"/>
        <v>"C:\Program Files (x86)\AstroGrep\AstroGrep.exe" /e /r /s /spath="%USERPROFILE%\AppData\Local\Temp\OnboardLogs" /stypes="app*4006*20170630*" /stext=" 01:.+((SYSTEM_STATE.+slice.+state.+changed )|(ment ac)|(multiple cpu faults)|(system.+state.+changed )|(\[timeout)|(PRM\|1\|D)|(kpr)|(kdp)|(train st.+moving)|(\|lc)|(penalty))"</v>
      </c>
      <c r="AG212" s="209" t="str">
        <f t="shared" si="87"/>
        <v>Other</v>
      </c>
      <c r="AH212" s="78" t="str">
        <f t="shared" si="73"/>
        <v>"%USERPROFILE%\Documents\GitHub\eaglep3\Utilities\RefineRTDCRunTimes.py" --tripid 305-29 --locoid 4006 --swversion DE.1.0.9.0 --startMP 204:475 --initTime 2017-06-29T19:40:34 --startdatetime 2017-06-29T19:46:59 --delay 1 --endMP 300:23297 --enddatetime 2017-06-29T19:56:45 --enforcementcount 0 &gt;&gt;C:\Users\stu\Documents\GitHub\eaglep3-reporting\EC\2017-06-29-refined-times.txt</v>
      </c>
      <c r="AI212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{"issue":{"subject":"","project_id":79,"tracker_id":40,"status_id":1,"priority_id":2,"assigned_to_id":23,"start_date":"2017-06-29","description":"","custom_fields":[{"id":1,"name":"Subdivision","value":"Other"},{"id":4,"name":"Milepost","value":"2.3297"},{"id":17,"name":"Train ID","value":"305-29"},{"id":16,"name":"Locomotive ID","value":"4006"},{"id":130,"name":"Impact","value":""},{"id":150,"name":"Time of Event (Mountain Time)","value":"19:56:45"},{"id":151,"name":"Denver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4006 --day 2017-06-29</v>
      </c>
      <c r="AN212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637</v>
      </c>
      <c r="B213" s="7">
        <v>4061</v>
      </c>
      <c r="C213" s="21" t="s">
        <v>201</v>
      </c>
      <c r="D213" s="21" t="s">
        <v>848</v>
      </c>
      <c r="E213" s="13">
        <v>42915.167754629627</v>
      </c>
      <c r="F213" s="13">
        <v>42915.173460648148</v>
      </c>
      <c r="G213" s="7">
        <v>8</v>
      </c>
      <c r="H213" s="21" t="s">
        <v>844</v>
      </c>
      <c r="I213" s="13">
        <v>42915.179745370369</v>
      </c>
      <c r="J213" s="7">
        <v>0</v>
      </c>
      <c r="K213" s="89" t="str">
        <f t="shared" si="77"/>
        <v>4061/4062</v>
      </c>
      <c r="L213" s="21" t="str">
        <f>VLOOKUP(A213,'Trips&amp;Operators'!$C$1:$G$99999,5,FALSE)</f>
        <v>GEBRETEKLE DAGNEW</v>
      </c>
      <c r="M213" s="6">
        <f t="shared" si="78"/>
        <v>6.284722221607808E-3</v>
      </c>
      <c r="N213" s="7">
        <f t="shared" si="88"/>
        <v>9.0499999991152436</v>
      </c>
      <c r="O213" s="7"/>
      <c r="P213" s="7"/>
      <c r="Q213" s="22"/>
      <c r="R213" s="170"/>
      <c r="S213" s="213">
        <f t="shared" si="89"/>
        <v>1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-06-29T03:01:34-0600',mode:absolute,to:'2017-06-29T05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3" s="197" t="str">
        <f>IF(AA213&lt;VLOOKUP(AG213,Variables!$AC$3:$AD$8,2,FALSE),"Y","N")</f>
        <v>Y</v>
      </c>
      <c r="X213" s="197">
        <f t="shared" si="72"/>
        <v>1</v>
      </c>
      <c r="Y213" s="197">
        <f t="shared" si="81"/>
        <v>2.3782999999999999</v>
      </c>
      <c r="Z213" s="197">
        <f t="shared" si="82"/>
        <v>1.6899999999999998E-2</v>
      </c>
      <c r="AA213" s="197">
        <f t="shared" si="83"/>
        <v>2.3613999999999997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306</v>
      </c>
      <c r="AE213" s="77" t="str">
        <f t="shared" si="85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213" s="74" t="str">
        <f t="shared" si="86"/>
        <v>"C:\Program Files (x86)\AstroGrep\AstroGrep.exe" /e /r /s /spath="%USERPROFILE%\AppData\Local\Temp\OnboardLogs" /stypes="app*4061*20170629*" /stext=" 10:.+((SYSTEM_STATE.+slice.+state.+changed )|(ment ac)|(multiple cpu faults)|(system.+state.+changed )|(\[timeout)|(PRM\|1\|D)|(kpr)|(kdp)|(train st.+moving)|(\|lc)|(penalty))"</v>
      </c>
      <c r="AG213" s="209" t="str">
        <f t="shared" si="87"/>
        <v>Other</v>
      </c>
      <c r="AH213" s="78" t="str">
        <f t="shared" si="73"/>
        <v>"%USERPROFILE%\Documents\GitHub\eaglep3\Utilities\RefineRTDCRunTimes.py" --tripid 306-29 --locoid 4061 --swversion DE.1.0.9.0 --startMP 300:23783 --initTime 2017-06-29T04:01:34 --startdatetime 2017-06-29T04:09:47 --delay 8 --endMP 204:169 --enddatetime 2017-06-29T04:18:50 --enforcementcount 0 &gt;&gt;C:\Users\stu\Documents\GitHub\eaglep3-reporting\EC\2017-06-29-refined-times.txt</v>
      </c>
      <c r="AI213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{"issue":{"subject":"","project_id":79,"tracker_id":40,"status_id":1,"priority_id":2,"assigned_to_id":23,"start_date":"2017-06-29","description":"","custom_fields":[{"id":1,"name":"Subdivision","value":"Other"},{"id":4,"name":"Milepost","value":"0.0169"},{"id":17,"name":"Train ID","value":"306-29"},{"id":16,"name":"Locomotive ID","value":"4061"},{"id":130,"name":"Impact","value":""},{"id":150,"name":"Time of Event (Mountain Time)","value":"04:18:50"},{"id":151,"name":"Denver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4061 --day 2017-06-29</v>
      </c>
      <c r="AN21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806</v>
      </c>
      <c r="B214" s="7">
        <v>4050</v>
      </c>
      <c r="C214" s="21" t="s">
        <v>201</v>
      </c>
      <c r="D214" s="21" t="s">
        <v>389</v>
      </c>
      <c r="E214" s="13">
        <v>42916.041064814817</v>
      </c>
      <c r="F214" s="13">
        <v>42916.042615740742</v>
      </c>
      <c r="G214" s="7">
        <v>1</v>
      </c>
      <c r="H214" s="21" t="s">
        <v>849</v>
      </c>
      <c r="I214" s="13">
        <v>42916.051087962966</v>
      </c>
      <c r="J214" s="7">
        <v>0</v>
      </c>
      <c r="K214" s="89" t="str">
        <f t="shared" si="77"/>
        <v>4049/4050</v>
      </c>
      <c r="L214" s="21" t="str">
        <f>VLOOKUP(A214,'Trips&amp;Operators'!$C$1:$G$99999,5,FALSE)</f>
        <v>LAMAR NEKESHA</v>
      </c>
      <c r="M214" s="6">
        <f t="shared" si="78"/>
        <v>8.4722222236450762E-3</v>
      </c>
      <c r="N214" s="7">
        <f t="shared" si="88"/>
        <v>12.20000000204891</v>
      </c>
      <c r="O214" s="7"/>
      <c r="P214" s="7"/>
      <c r="Q214" s="22"/>
      <c r="R214" s="170"/>
      <c r="S214" s="213">
        <f t="shared" si="89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-06-29T23:59:08-0600',mode:absolute,to:'2017-06-30T02:13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197" t="str">
        <f>IF(AA214&lt;VLOOKUP(AG214,Variables!$AC$3:$AD$8,2,FALSE),"Y","N")</f>
        <v>Y</v>
      </c>
      <c r="X214" s="197">
        <f t="shared" si="72"/>
        <v>1</v>
      </c>
      <c r="Y214" s="197">
        <f t="shared" si="81"/>
        <v>4.6199999999999998E-2</v>
      </c>
      <c r="Z214" s="197">
        <f t="shared" si="82"/>
        <v>2.3300999999999998</v>
      </c>
      <c r="AA214" s="197">
        <f t="shared" si="83"/>
        <v>2.2839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307</v>
      </c>
      <c r="AE214" s="77" t="str">
        <f t="shared" si="85"/>
        <v>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 &amp; 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</v>
      </c>
      <c r="AF214" s="74" t="str">
        <f t="shared" si="86"/>
        <v>"C:\Program Files (x86)\AstroGrep\AstroGrep.exe" /e /r /s /spath="%USERPROFILE%\AppData\Local\Temp\OnboardLogs" /stypes="app*4050*20170630*" /stext=" 07:.+((SYSTEM_STATE.+slice.+state.+changed )|(ment ac)|(multiple cpu faults)|(system.+state.+changed )|(\[timeout)|(PRM\|1\|D)|(kpr)|(kdp)|(train st.+moving)|(\|lc)|(penalty))"</v>
      </c>
      <c r="AG214" s="209" t="str">
        <f t="shared" si="87"/>
        <v>Other</v>
      </c>
      <c r="AH214" s="78" t="str">
        <f t="shared" si="73"/>
        <v>"%USERPROFILE%\Documents\GitHub\eaglep3\Utilities\RefineRTDCRunTimes.py" --tripid 307-29 --locoid 4050 --swversion DE.1.0.9.0 --startMP 204:462 --initTime 2017-06-30T00:59:08 --startdatetime 2017-06-30T01:01:22 --delay 1 --endMP 300:23301 --enddatetime 2017-06-30T01:13:34 --enforcementcount 0 &gt;&gt;C:\Users\stu\Documents\GitHub\eaglep3-reporting\EC\2017-06-29-refined-times.txt</v>
      </c>
      <c r="AI214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{"issue":{"subject":"","project_id":79,"tracker_id":40,"status_id":1,"priority_id":2,"assigned_to_id":23,"start_date":"2017-06-30","description":"","custom_fields":[{"id":1,"name":"Subdivision","value":"Other"},{"id":4,"name":"Milepost","value":"2.3301"},{"id":17,"name":"Train ID","value":"307-29"},{"id":16,"name":"Locomotive ID","value":"4050"},{"id":130,"name":"Impact","value":""},{"id":150,"name":"Time of Event (Mountain Time)","value":"01:13:34"},{"id":151,"name":"Denver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4050 --day 2017-06-30</v>
      </c>
      <c r="AN214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07:13:34"},{"id":29,"name":"Sharepoint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640</v>
      </c>
      <c r="B215" s="7">
        <v>4027</v>
      </c>
      <c r="C215" s="21" t="s">
        <v>201</v>
      </c>
      <c r="D215" s="21" t="s">
        <v>850</v>
      </c>
      <c r="E215" s="13">
        <v>42915.174641203703</v>
      </c>
      <c r="F215" s="13">
        <v>42915.180092592593</v>
      </c>
      <c r="G215" s="7">
        <v>7</v>
      </c>
      <c r="H215" s="21" t="s">
        <v>555</v>
      </c>
      <c r="I215" s="13">
        <v>42915.190370370372</v>
      </c>
      <c r="J215" s="7">
        <v>0</v>
      </c>
      <c r="K215" s="89" t="str">
        <f t="shared" si="77"/>
        <v>4027/4028</v>
      </c>
      <c r="L215" s="21" t="str">
        <f>VLOOKUP(A215,'Trips&amp;Operators'!$C$1:$G$99999,5,FALSE)</f>
        <v>GUZMAN DANNY</v>
      </c>
      <c r="M215" s="6">
        <f t="shared" si="78"/>
        <v>1.0277777779265307E-2</v>
      </c>
      <c r="N215" s="7">
        <f t="shared" si="88"/>
        <v>14.800000002142042</v>
      </c>
      <c r="O215" s="7"/>
      <c r="P215" s="7"/>
      <c r="Q215" s="22"/>
      <c r="R215" s="170"/>
      <c r="S215" s="213">
        <f t="shared" si="89"/>
        <v>1</v>
      </c>
      <c r="T215" s="195" t="str">
        <f t="shared" si="7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-06-29T03:11:29-0600',mode:absolute,to:'2017-06-29T05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7" t="str">
        <f>IF(AA215&lt;VLOOKUP(AG215,Variables!$AC$3:$AD$8,2,FALSE),"Y","N")</f>
        <v>Y</v>
      </c>
      <c r="X215" s="197">
        <f t="shared" si="72"/>
        <v>1</v>
      </c>
      <c r="Y215" s="197">
        <f t="shared" si="81"/>
        <v>2.3439999999999999</v>
      </c>
      <c r="Z215" s="197">
        <f t="shared" si="82"/>
        <v>1.6500000000000001E-2</v>
      </c>
      <c r="AA215" s="197">
        <f t="shared" si="83"/>
        <v>2.3274999999999997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308</v>
      </c>
      <c r="AE215" s="77" t="str">
        <f t="shared" si="85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215" s="74" t="str">
        <f t="shared" si="86"/>
        <v>"C:\Program Files (x86)\AstroGrep\AstroGrep.exe" /e /r /s /spath="%USERPROFILE%\AppData\Local\Temp\OnboardLogs" /stypes="app*4027*20170629*" /stext=" 10:.+((SYSTEM_STATE.+slice.+state.+changed )|(ment ac)|(multiple cpu faults)|(system.+state.+changed )|(\[timeout)|(PRM\|1\|D)|(kpr)|(kdp)|(train st.+moving)|(\|lc)|(penalty))"</v>
      </c>
      <c r="AG215" s="209" t="str">
        <f t="shared" si="87"/>
        <v>Other</v>
      </c>
      <c r="AH215" s="78" t="str">
        <f t="shared" si="73"/>
        <v>"%USERPROFILE%\Documents\GitHub\eaglep3\Utilities\RefineRTDCRunTimes.py" --tripid 308-29 --locoid 4027 --swversion DE.1.0.9.0 --startMP 300:23440 --initTime 2017-06-29T04:11:29 --startdatetime 2017-06-29T04:19:20 --delay 7 --endMP 204:165 --enddatetime 2017-06-29T04:34:08 --enforcementcount 0 &gt;&gt;C:\Users\stu\Documents\GitHub\eaglep3-reporting\EC\2017-06-29-refined-times.txt</v>
      </c>
      <c r="AI215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{"issue":{"subject":"","project_id":79,"tracker_id":40,"status_id":1,"priority_id":2,"assigned_to_id":23,"start_date":"2017-06-29","description":"","custom_fields":[{"id":1,"name":"Subdivision","value":"Other"},{"id":4,"name":"Milepost","value":"0.0165"},{"id":17,"name":"Train ID","value":"308-29"},{"id":16,"name":"Locomotive ID","value":"4027"},{"id":130,"name":"Impact","value":""},{"id":150,"name":"Time of Event (Mountain Time)","value":"04:34:08"},{"id":151,"name":"Denver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75"/>
        <v>start /low /b %USERPROFILE%\Documents\GitHub\eaglep3\Utilities\DownloadLogsFromS3.py --loco 4027 --day 2017-06-29</v>
      </c>
      <c r="AN215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644</v>
      </c>
      <c r="B216" s="7">
        <v>4055</v>
      </c>
      <c r="C216" s="21" t="s">
        <v>201</v>
      </c>
      <c r="D216" s="21" t="s">
        <v>851</v>
      </c>
      <c r="E216" s="13">
        <v>42915.20208333333</v>
      </c>
      <c r="F216" s="13">
        <v>42915.205995370372</v>
      </c>
      <c r="G216" s="7">
        <v>1</v>
      </c>
      <c r="H216" s="21" t="s">
        <v>354</v>
      </c>
      <c r="I216" s="13">
        <v>42915.211180555554</v>
      </c>
      <c r="J216" s="7">
        <v>0</v>
      </c>
      <c r="K216" s="89" t="str">
        <f t="shared" si="77"/>
        <v>4055/4056</v>
      </c>
      <c r="L216" s="21" t="str">
        <f>VLOOKUP(A216,'Trips&amp;Operators'!$C$1:$G$99999,5,FALSE)</f>
        <v>SANTIZO D. EDY</v>
      </c>
      <c r="M216" s="6">
        <f t="shared" si="78"/>
        <v>5.1851851821993478E-3</v>
      </c>
      <c r="N216" s="7">
        <f t="shared" si="88"/>
        <v>7.4666666623670608</v>
      </c>
      <c r="O216" s="7"/>
      <c r="P216" s="7"/>
      <c r="Q216" s="22"/>
      <c r="R216" s="170"/>
      <c r="S216" s="213">
        <f t="shared" si="89"/>
        <v>1</v>
      </c>
      <c r="T216" s="195" t="str">
        <f t="shared" si="79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-06-29T03:51:00-0600',mode:absolute,to:'2017-06-29T06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197" t="str">
        <f>IF(AA216&lt;VLOOKUP(AG216,Variables!$AC$3:$AD$8,2,FALSE),"Y","N")</f>
        <v>Y</v>
      </c>
      <c r="X216" s="197">
        <f t="shared" si="72"/>
        <v>2</v>
      </c>
      <c r="Y216" s="197">
        <f t="shared" si="81"/>
        <v>2.5455000000000001</v>
      </c>
      <c r="Z216" s="197">
        <f t="shared" si="82"/>
        <v>1.3899999999999999E-2</v>
      </c>
      <c r="AA216" s="197">
        <f t="shared" si="83"/>
        <v>2.5316000000000001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310</v>
      </c>
      <c r="AE216" s="77" t="str">
        <f t="shared" si="85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216" s="74" t="str">
        <f t="shared" si="86"/>
        <v>"C:\Program Files (x86)\AstroGrep\AstroGrep.exe" /e /r /s /spath="%USERPROFILE%\AppData\Local\Temp\OnboardLogs" /stypes="app*4055*20170629*" /stext=" 11:.+((SYSTEM_STATE.+slice.+state.+changed )|(ment ac)|(multiple cpu faults)|(system.+state.+changed )|(\[timeout)|(PRM\|1\|D)|(kpr)|(kdp)|(train st.+moving)|(\|lc)|(penalty))"</v>
      </c>
      <c r="AG216" s="209" t="str">
        <f t="shared" si="87"/>
        <v>Other</v>
      </c>
      <c r="AH216" s="78" t="str">
        <f t="shared" si="73"/>
        <v>"%USERPROFILE%\Documents\GitHub\eaglep3\Utilities\RefineRTDCRunTimes.py" --tripid 310-29 --locoid 4055 --swversion DE.1.0.9.0 --startMP 300:25455 --initTime 2017-06-29T04:51:00 --startdatetime 2017-06-29T04:56:38 --delay 1 --endMP 204:139 --enddatetime 2017-06-29T05:04:06 --enforcementcount 0 &gt;&gt;C:\Users\stu\Documents\GitHub\eaglep3-reporting\EC\2017-06-29-refined-times.txt</v>
      </c>
      <c r="AI216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{"issue":{"subject":"","project_id":79,"tracker_id":40,"status_id":1,"priority_id":2,"assigned_to_id":23,"start_date":"2017-06-29","description":"","custom_fields":[{"id":1,"name":"Subdivision","value":"Other"},{"id":4,"name":"Milepost","value":"0.0139"},{"id":17,"name":"Train ID","value":"310-29"},{"id":16,"name":"Locomotive ID","value":"4055"},{"id":130,"name":"Impact","value":""},{"id":150,"name":"Time of Event (Mountain Time)","value":"05:04:06"},{"id":151,"name":"Denver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4055 --day 2017-06-29</v>
      </c>
      <c r="AN21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809</v>
      </c>
      <c r="B217" s="7">
        <v>4060</v>
      </c>
      <c r="C217" s="21" t="s">
        <v>201</v>
      </c>
      <c r="D217" s="21" t="s">
        <v>433</v>
      </c>
      <c r="E217" s="13">
        <v>42916.078043981484</v>
      </c>
      <c r="F217" s="13">
        <v>42916.079398148147</v>
      </c>
      <c r="G217" s="7">
        <v>1</v>
      </c>
      <c r="H217" s="21" t="s">
        <v>852</v>
      </c>
      <c r="I217" s="13">
        <v>42916.084120370368</v>
      </c>
      <c r="J217" s="7">
        <v>0</v>
      </c>
      <c r="K217" s="89" t="str">
        <f t="shared" si="77"/>
        <v>4059/4060</v>
      </c>
      <c r="L217" s="21" t="str">
        <f>VLOOKUP(A217,'Trips&amp;Operators'!$C$1:$G$99999,5,FALSE)</f>
        <v>PERKINS DARREN</v>
      </c>
      <c r="M217" s="6">
        <f t="shared" si="78"/>
        <v>4.7222222201526165E-3</v>
      </c>
      <c r="N217" s="7">
        <f t="shared" si="88"/>
        <v>6.7999999970197678</v>
      </c>
      <c r="O217" s="7"/>
      <c r="P217" s="7"/>
      <c r="Q217" s="22"/>
      <c r="R217" s="170"/>
      <c r="S217" s="213">
        <f t="shared" si="89"/>
        <v>1</v>
      </c>
      <c r="T217" s="195" t="str">
        <f t="shared" si="79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-06-30T00:52:23-0600',mode:absolute,to:'2017-06-30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197" t="str">
        <f>IF(AA217&lt;VLOOKUP(AG217,Variables!$AC$3:$AD$8,2,FALSE),"Y","N")</f>
        <v>Y</v>
      </c>
      <c r="X217" s="197">
        <f t="shared" si="72"/>
        <v>1</v>
      </c>
      <c r="Y217" s="197">
        <f t="shared" si="81"/>
        <v>4.6699999999999998E-2</v>
      </c>
      <c r="Z217" s="197">
        <f t="shared" si="82"/>
        <v>2.31</v>
      </c>
      <c r="AA217" s="197">
        <f t="shared" si="83"/>
        <v>2.2633000000000001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4"/>
        <v>311</v>
      </c>
      <c r="AE217" s="77" t="str">
        <f t="shared" si="85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217" s="74" t="str">
        <f t="shared" si="86"/>
        <v>"C:\Program Files (x86)\AstroGrep\AstroGrep.exe" /e /r /s /spath="%USERPROFILE%\AppData\Local\Temp\OnboardLogs" /stypes="app*4060*20170630*" /stext=" 08:.+((SYSTEM_STATE.+slice.+state.+changed )|(ment ac)|(multiple cpu faults)|(system.+state.+changed )|(\[timeout)|(PRM\|1\|D)|(kpr)|(kdp)|(train st.+moving)|(\|lc)|(penalty))"</v>
      </c>
      <c r="AG217" s="209" t="str">
        <f t="shared" si="87"/>
        <v>Other</v>
      </c>
      <c r="AH217" s="78" t="str">
        <f t="shared" si="73"/>
        <v>"%USERPROFILE%\Documents\GitHub\eaglep3\Utilities\RefineRTDCRunTimes.py" --tripid 311-29 --locoid 4060 --swversion DE.1.0.9.0 --startMP 204:467 --initTime 2017-06-30T01:52:23 --startdatetime 2017-06-30T01:54:20 --delay 1 --endMP 300:23100 --enddatetime 2017-06-30T02:01:08 --enforcementcount 0 &gt;&gt;C:\Users\stu\Documents\GitHub\eaglep3-reporting\EC\2017-06-29-refined-times.txt</v>
      </c>
      <c r="AI217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{"issue":{"subject":"","project_id":79,"tracker_id":40,"status_id":1,"priority_id":2,"assigned_to_id":23,"start_date":"2017-06-30","description":"","custom_fields":[{"id":1,"name":"Subdivision","value":"Other"},{"id":4,"name":"Milepost","value":"2.31"},{"id":17,"name":"Train ID","value":"311-29"},{"id":16,"name":"Locomotive ID","value":"4060"},{"id":130,"name":"Impact","value":""},{"id":150,"name":"Time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5"/>
        <v>start /low /b %USERPROFILE%\Documents\GitHub\eaglep3\Utilities\DownloadLogsFromS3.py --loco 4060 --day 2017-06-30</v>
      </c>
      <c r="AN217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648</v>
      </c>
      <c r="B218" s="7">
        <v>4005</v>
      </c>
      <c r="C218" s="21" t="s">
        <v>201</v>
      </c>
      <c r="D218" s="21" t="s">
        <v>853</v>
      </c>
      <c r="E218" s="13">
        <v>42915.216504629629</v>
      </c>
      <c r="F218" s="13">
        <v>42915.222916666666</v>
      </c>
      <c r="G218" s="7">
        <v>9</v>
      </c>
      <c r="H218" s="21" t="s">
        <v>193</v>
      </c>
      <c r="I218" s="13">
        <v>42915.231956018521</v>
      </c>
      <c r="J218" s="7">
        <v>0</v>
      </c>
      <c r="K218" s="89" t="str">
        <f t="shared" si="77"/>
        <v>4005/4006</v>
      </c>
      <c r="L218" s="21" t="str">
        <f>VLOOKUP(A218,'Trips&amp;Operators'!$C$1:$G$99999,5,FALSE)</f>
        <v>HELVIE ADAM</v>
      </c>
      <c r="M218" s="6">
        <f t="shared" si="78"/>
        <v>9.0393518548808061E-3</v>
      </c>
      <c r="N218" s="7">
        <f t="shared" si="88"/>
        <v>13.016666671028361</v>
      </c>
      <c r="O218" s="7"/>
      <c r="P218" s="7"/>
      <c r="Q218" s="22"/>
      <c r="R218" s="170"/>
      <c r="S218" s="213">
        <f t="shared" si="89"/>
        <v>1</v>
      </c>
      <c r="T218" s="195" t="str">
        <f t="shared" si="79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-06-29T04:11:46-0600',mode:absolute,to:'2017-06-29T06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97" t="str">
        <f>IF(AA218&lt;VLOOKUP(AG218,Variables!$AC$3:$AD$8,2,FALSE),"Y","N")</f>
        <v>Y</v>
      </c>
      <c r="X218" s="197">
        <f t="shared" si="72"/>
        <v>1</v>
      </c>
      <c r="Y218" s="197">
        <f t="shared" si="81"/>
        <v>2.3125</v>
      </c>
      <c r="Z218" s="197">
        <f t="shared" si="82"/>
        <v>1.52E-2</v>
      </c>
      <c r="AA218" s="197">
        <f t="shared" si="83"/>
        <v>2.2972999999999999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4"/>
        <v>312</v>
      </c>
      <c r="AE218" s="77" t="str">
        <f t="shared" si="85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218" s="74" t="str">
        <f t="shared" si="86"/>
        <v>"C:\Program Files (x86)\AstroGrep\AstroGrep.exe" /e /r /s /spath="%USERPROFILE%\AppData\Local\Temp\OnboardLogs" /stypes="app*4005*20170629*" /stext=" 11:.+((SYSTEM_STATE.+slice.+state.+changed )|(ment ac)|(multiple cpu faults)|(system.+state.+changed )|(\[timeout)|(PRM\|1\|D)|(kpr)|(kdp)|(train st.+moving)|(\|lc)|(penalty))"</v>
      </c>
      <c r="AG218" s="209" t="str">
        <f t="shared" si="87"/>
        <v>Other</v>
      </c>
      <c r="AH218" s="78" t="str">
        <f t="shared" si="73"/>
        <v>"%USERPROFILE%\Documents\GitHub\eaglep3\Utilities\RefineRTDCRunTimes.py" --tripid 312-29 --locoid 4005 --swversion DE.1.0.9.0 --startMP 300:23125 --initTime 2017-06-29T05:11:46 --startdatetime 2017-06-29T05:21:00 --delay 9 --endMP 204:152 --enddatetime 2017-06-29T05:34:01 --enforcementcount 0 &gt;&gt;C:\Users\stu\Documents\GitHub\eaglep3-reporting\EC\2017-06-29-refined-times.txt</v>
      </c>
      <c r="AI218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{"issue":{"subject":"","project_id":79,"tracker_id":40,"status_id":1,"priority_id":2,"assigned_to_id":23,"start_date":"2017-06-29","description":"","custom_fields":[{"id":1,"name":"Subdivision","value":"Other"},{"id":4,"name":"Milepost","value":"0.0152"},{"id":17,"name":"Train ID","value":"312-29"},{"id":16,"name":"Locomotive ID","value":"4005"},{"id":130,"name":"Impact","value":""},{"id":150,"name":"Time of Event (Mountain Time)","value":"05:34:01"},{"id":151,"name":"Denver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75"/>
        <v>start /low /b %USERPROFILE%\Documents\GitHub\eaglep3\Utilities\DownloadLogsFromS3.py --loco 4005 --day 2017-06-29</v>
      </c>
      <c r="AN218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542</v>
      </c>
      <c r="B219" s="7">
        <v>4020</v>
      </c>
      <c r="C219" s="21" t="s">
        <v>201</v>
      </c>
      <c r="D219" s="21" t="s">
        <v>452</v>
      </c>
      <c r="E219" s="13">
        <v>42915.096018518518</v>
      </c>
      <c r="F219" s="13">
        <v>42915.099317129629</v>
      </c>
      <c r="G219" s="7">
        <v>2</v>
      </c>
      <c r="H219" s="21" t="s">
        <v>521</v>
      </c>
      <c r="I219" s="13">
        <v>42915.108344907407</v>
      </c>
      <c r="J219" s="7">
        <v>0</v>
      </c>
      <c r="K219" s="89" t="str">
        <f t="shared" si="77"/>
        <v>4019/4020</v>
      </c>
      <c r="L219" s="21" t="str">
        <f>VLOOKUP(A219,'Trips&amp;Operators'!$C$1:$G$99999,5,FALSE)</f>
        <v>LAMAR NEKESHA</v>
      </c>
      <c r="M219" s="6">
        <f t="shared" si="78"/>
        <v>9.0277777781011537E-3</v>
      </c>
      <c r="N219" s="7">
        <f t="shared" si="88"/>
        <v>13.000000000465661</v>
      </c>
      <c r="O219" s="7"/>
      <c r="P219" s="7"/>
      <c r="Q219" s="22"/>
      <c r="R219" s="170"/>
      <c r="S219" s="213">
        <f t="shared" si="89"/>
        <v>1</v>
      </c>
      <c r="T219" s="195" t="str">
        <f t="shared" si="79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-06-29T01:18:16-0600',mode:absolute,to:'2017-06-29T03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97" t="str">
        <f>IF(AA219&lt;VLOOKUP(AG219,Variables!$AC$3:$AD$8,2,FALSE),"Y","N")</f>
        <v>Y</v>
      </c>
      <c r="X219" s="197">
        <f t="shared" si="72"/>
        <v>1</v>
      </c>
      <c r="Y219" s="197">
        <f t="shared" si="81"/>
        <v>4.6399999999999997E-2</v>
      </c>
      <c r="Z219" s="197">
        <f t="shared" si="82"/>
        <v>2.3308</v>
      </c>
      <c r="AA219" s="197">
        <f t="shared" si="83"/>
        <v>2.2843999999999998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4"/>
        <v>313</v>
      </c>
      <c r="AE219" s="77" t="str">
        <f t="shared" si="85"/>
        <v>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 &amp; 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</v>
      </c>
      <c r="AF219" s="74" t="str">
        <f t="shared" si="86"/>
        <v>"C:\Program Files (x86)\AstroGrep\AstroGrep.exe" /e /r /s /spath="%USERPROFILE%\AppData\Local\Temp\OnboardLogs" /stypes="app*4020*20170629*" /stext=" 08:.+((SYSTEM_STATE.+slice.+state.+changed )|(ment ac)|(multiple cpu faults)|(system.+state.+changed )|(\[timeout)|(PRM\|1\|D)|(kpr)|(kdp)|(train st.+moving)|(\|lc)|(penalty))"</v>
      </c>
      <c r="AG219" s="209" t="str">
        <f t="shared" si="87"/>
        <v>Other</v>
      </c>
      <c r="AH219" s="78" t="str">
        <f t="shared" si="73"/>
        <v>"%USERPROFILE%\Documents\GitHub\eaglep3\Utilities\RefineRTDCRunTimes.py" --tripid 313-28 --locoid 4020 --swversion DE.1.0.9.0 --startMP 204:464 --initTime 2017-06-29T02:18:16 --startdatetime 2017-06-29T02:23:01 --delay 2 --endMP 300:23308 --enddatetime 2017-06-29T02:36:01 --enforcementcount 0 &gt;&gt;C:\Users\stu\Documents\GitHub\eaglep3-reporting\EC\2017-06-29-refined-times.txt</v>
      </c>
      <c r="AI219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{"issue":{"subject":"","project_id":79,"tracker_id":40,"status_id":1,"priority_id":2,"assigned_to_id":23,"start_date":"2017-06-29","description":"","custom_fields":[{"id":1,"name":"Subdivision","value":"Other"},{"id":4,"name":"Milepost","value":"2.3308"},{"id":17,"name":"Train ID","value":"313-28"},{"id":16,"name":"Locomotive ID","value":"4020"},{"id":130,"name":"Impact","value":""},{"id":150,"name":"Time of Event (Mountain Time)","value":"02:36:01"},{"id":151,"name":"Denver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5"/>
        <v>start /low /b %USERPROFILE%\Documents\GitHub\eaglep3\Utilities\DownloadLogsFromS3.py --loco 4020 --day 2017-06-29</v>
      </c>
      <c r="AN21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810</v>
      </c>
      <c r="B220" s="7">
        <v>4062</v>
      </c>
      <c r="C220" s="21" t="s">
        <v>201</v>
      </c>
      <c r="D220" s="21" t="s">
        <v>556</v>
      </c>
      <c r="E220" s="13">
        <v>42916.094641203701</v>
      </c>
      <c r="F220" s="13">
        <v>42916.095810185187</v>
      </c>
      <c r="G220" s="7">
        <v>1</v>
      </c>
      <c r="H220" s="21" t="s">
        <v>351</v>
      </c>
      <c r="I220" s="13">
        <v>42916.105347222219</v>
      </c>
      <c r="J220" s="7">
        <v>0</v>
      </c>
      <c r="K220" s="89" t="str">
        <f t="shared" si="77"/>
        <v>4061/4062</v>
      </c>
      <c r="L220" s="21" t="str">
        <f>VLOOKUP(A220,'Trips&amp;Operators'!$C$1:$G$99999,5,FALSE)</f>
        <v>FORTUNATO FRANK</v>
      </c>
      <c r="M220" s="6">
        <f t="shared" si="78"/>
        <v>9.5370370327145793E-3</v>
      </c>
      <c r="N220" s="7">
        <f t="shared" si="88"/>
        <v>13.733333327108994</v>
      </c>
      <c r="O220" s="7"/>
      <c r="P220" s="7"/>
      <c r="Q220" s="22"/>
      <c r="R220" s="170"/>
      <c r="S220" s="213">
        <f t="shared" si="89"/>
        <v>1</v>
      </c>
      <c r="T220" s="195" t="str">
        <f t="shared" si="7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-06-30T01:16:17-0600',mode:absolute,to:'2017-06-30T03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197" t="str">
        <f>IF(AA220&lt;VLOOKUP(AG220,Variables!$AC$3:$AD$8,2,FALSE),"Y","N")</f>
        <v>Y</v>
      </c>
      <c r="X220" s="197">
        <f t="shared" si="72"/>
        <v>0</v>
      </c>
      <c r="Y220" s="197">
        <f t="shared" si="81"/>
        <v>4.7100000000000003E-2</v>
      </c>
      <c r="Z220" s="197">
        <f t="shared" si="82"/>
        <v>2.3346</v>
      </c>
      <c r="AA220" s="197">
        <f t="shared" si="83"/>
        <v>2.2875000000000001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4"/>
        <v>313</v>
      </c>
      <c r="AE220" s="77" t="str">
        <f t="shared" si="85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220" s="74" t="str">
        <f t="shared" si="86"/>
        <v>"C:\Program Files (x86)\AstroGrep\AstroGrep.exe" /e /r /s /spath="%USERPROFILE%\AppData\Local\Temp\OnboardLogs" /stypes="app*4062*20170630*" /stext=" 08:.+((SYSTEM_STATE.+slice.+state.+changed )|(ment ac)|(multiple cpu faults)|(system.+state.+changed )|(\[timeout)|(PRM\|1\|D)|(kpr)|(kdp)|(train st.+moving)|(\|lc)|(penalty))"</v>
      </c>
      <c r="AG220" s="209" t="str">
        <f t="shared" si="87"/>
        <v>Other</v>
      </c>
      <c r="AH220" s="78" t="str">
        <f t="shared" si="73"/>
        <v>"%USERPROFILE%\Documents\GitHub\eaglep3\Utilities\RefineRTDCRunTimes.py" --tripid 313-29 --locoid 4062 --swversion DE.1.0.9.0 --startMP 204:471 --initTime 2017-06-30T02:16:17 --startdatetime 2017-06-30T02:17:58 --delay 1 --endMP 300:23346 --enddatetime 2017-06-30T02:31:42 --enforcementcount 0 &gt;&gt;C:\Users\stu\Documents\GitHub\eaglep3-reporting\EC\2017-06-29-refined-times.txt</v>
      </c>
      <c r="AI220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ID","value":"313-29"},{"id":16,"name":"Locomotive ID","value":"4062"},{"id":130,"name":"Impact","value":""},{"id":150,"name":"Time of Event (Mountain Time)","value":"02:31:42"},{"id":151,"name":"Denver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5"/>
        <v>start /low /b %USERPROFILE%\Documents\GitHub\eaglep3\Utilities\DownloadLogsFromS3.py --loco 4062 --day 2017-06-30</v>
      </c>
      <c r="AN220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571</v>
      </c>
      <c r="B221" s="7">
        <v>4042</v>
      </c>
      <c r="C221" s="21" t="s">
        <v>201</v>
      </c>
      <c r="D221" s="21" t="s">
        <v>883</v>
      </c>
      <c r="E221" s="13">
        <v>42915.197500000002</v>
      </c>
      <c r="F221" s="13">
        <v>42915.202719907407</v>
      </c>
      <c r="G221" s="7">
        <v>7</v>
      </c>
      <c r="H221" s="21" t="s">
        <v>884</v>
      </c>
      <c r="I221" s="13">
        <v>42915.208287037036</v>
      </c>
      <c r="J221" s="7">
        <v>0</v>
      </c>
      <c r="K221" s="89" t="str">
        <f t="shared" si="77"/>
        <v>4041/4042</v>
      </c>
      <c r="L221" s="21" t="str">
        <f>VLOOKUP(A221,'Trips&amp;Operators'!$C$1:$G$99999,5,FALSE)</f>
        <v>DAVIS WENDY</v>
      </c>
      <c r="M221" s="6">
        <f t="shared" si="78"/>
        <v>5.5671296286163852E-3</v>
      </c>
      <c r="N221" s="7">
        <f t="shared" si="88"/>
        <v>8.0166666652075946</v>
      </c>
      <c r="O221" s="7"/>
      <c r="P221" s="7"/>
      <c r="Q221" s="22"/>
      <c r="R221" s="170"/>
      <c r="S221" s="213">
        <f t="shared" si="89"/>
        <v>0</v>
      </c>
      <c r="T221" s="195" t="str">
        <f t="shared" si="79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-06-29T03:44:24-0600',mode:absolute,to:'2017-06-29T05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197" t="str">
        <f>IF(AA221&lt;VLOOKUP(AG221,Variables!$AC$3:$AD$8,2,FALSE),"Y","N")</f>
        <v>Y</v>
      </c>
      <c r="X221" s="197">
        <f t="shared" si="72"/>
        <v>588</v>
      </c>
      <c r="Y221" s="197">
        <f t="shared" si="81"/>
        <v>3.0266999999999999</v>
      </c>
      <c r="Z221" s="197">
        <f t="shared" si="82"/>
        <v>5.8971</v>
      </c>
      <c r="AA221" s="197">
        <f t="shared" si="83"/>
        <v>2.8704000000000001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4"/>
        <v>901</v>
      </c>
      <c r="AE221" s="77" t="str">
        <f t="shared" si="85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221" s="74" t="str">
        <f t="shared" si="86"/>
        <v>"C:\Program Files (x86)\AstroGrep\AstroGrep.exe" /e /r /s /spath="%USERPROFILE%\AppData\Local\Temp\OnboardLogs" /stypes="app*4042*20170629*" /stext=" 10:.+((SYSTEM_STATE.+slice.+state.+changed )|(ment ac)|(multiple cpu faults)|(system.+state.+changed )|(\[timeout)|(PRM\|1\|D)|(kpr)|(kdp)|(train st.+moving)|(\|lc)|(penalty))"</v>
      </c>
      <c r="AG221" s="209" t="str">
        <f t="shared" si="87"/>
        <v>Other</v>
      </c>
      <c r="AH221" s="78" t="str">
        <f t="shared" si="73"/>
        <v>"%USERPROFILE%\Documents\GitHub\eaglep3\Utilities\RefineRTDCRunTimes.py" --tripid 901-29 --locoid 4042 --swversion DE.1.0.9.0 --startMP 300:30267 --initTime 2017-06-29T04:44:24 --startdatetime 2017-06-29T04:51:55 --delay 7 --endMP 300:58971 --enddatetime 2017-06-29T04:59:56 --enforcementcount 0 &gt;&gt;C:\Users\stu\Documents\GitHub\eaglep3-reporting\EC\2017-06-29-refined-times.txt</v>
      </c>
      <c r="AI221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{"issue":{"subject":"","project_id":79,"tracker_id":40,"status_id":1,"priority_id":2,"assigned_to_id":23,"start_date":"2017-06-29","description":"","custom_fields":[{"id":1,"name":"Subdivision","value":"Other"},{"id":4,"name":"Milepost","value":"5.8971"},{"id":17,"name":"Train ID","value":"901-29"},{"id":16,"name":"Locomotive ID","value":"4042"},{"id":130,"name":"Impact","value":""},{"id":150,"name":"Time of Event (Mountain Time)","value":"04:59:56"},{"id":151,"name":"Denver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4042 --day 2017-06-29</v>
      </c>
      <c r="AN22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654</v>
      </c>
      <c r="B222" s="7">
        <v>4017</v>
      </c>
      <c r="C222" s="21" t="s">
        <v>201</v>
      </c>
      <c r="D222" s="21" t="s">
        <v>885</v>
      </c>
      <c r="E222" s="13">
        <v>42915.246921296297</v>
      </c>
      <c r="F222" s="13">
        <v>42915.250162037039</v>
      </c>
      <c r="G222" s="7">
        <v>4</v>
      </c>
      <c r="H222" s="21" t="s">
        <v>886</v>
      </c>
      <c r="I222" s="13">
        <v>42915.255520833336</v>
      </c>
      <c r="J222" s="7">
        <v>0</v>
      </c>
      <c r="K222" s="89" t="str">
        <f t="shared" si="77"/>
        <v>4017/4018</v>
      </c>
      <c r="L222" s="21" t="str">
        <f>VLOOKUP(A222,'Trips&amp;Operators'!$C$1:$G$99999,5,FALSE)</f>
        <v>YANG JAN</v>
      </c>
      <c r="M222" s="6">
        <f t="shared" si="78"/>
        <v>5.3587962975143455E-3</v>
      </c>
      <c r="N222" s="7">
        <f t="shared" si="88"/>
        <v>7.7166666684206575</v>
      </c>
      <c r="O222" s="7"/>
      <c r="P222" s="7"/>
      <c r="Q222" s="22"/>
      <c r="R222" s="170"/>
      <c r="S222" s="213">
        <f t="shared" si="89"/>
        <v>1</v>
      </c>
      <c r="T222" s="195" t="str">
        <f t="shared" si="79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-06-29T04:55:34-0600',mode:absolute,to:'2017-06-29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7" t="str">
        <f>IF(AA222&lt;VLOOKUP(AG222,Variables!$AC$3:$AD$8,2,FALSE),"Y","N")</f>
        <v>Y</v>
      </c>
      <c r="X222" s="197">
        <f t="shared" si="72"/>
        <v>1</v>
      </c>
      <c r="Y222" s="197">
        <f t="shared" si="81"/>
        <v>2.3588</v>
      </c>
      <c r="Z222" s="197">
        <f t="shared" si="82"/>
        <v>6.8400000000000002E-2</v>
      </c>
      <c r="AA222" s="197">
        <f t="shared" si="83"/>
        <v>2.2904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4"/>
        <v>902</v>
      </c>
      <c r="AE222" s="77" t="str">
        <f t="shared" si="85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22" s="74" t="str">
        <f t="shared" si="86"/>
        <v>"C:\Program Files (x86)\AstroGrep\AstroGrep.exe" /e /r /s /spath="%USERPROFILE%\AppData\Local\Temp\OnboardLogs" /stypes="app*4017*20170629*" /stext=" 12:.+((SYSTEM_STATE.+slice.+state.+changed )|(ment ac)|(multiple cpu faults)|(system.+state.+changed )|(\[timeout)|(PRM\|1\|D)|(kpr)|(kdp)|(train st.+moving)|(\|lc)|(penalty))"</v>
      </c>
      <c r="AG222" s="209" t="str">
        <f t="shared" si="87"/>
        <v>Other</v>
      </c>
      <c r="AH222" s="78" t="str">
        <f t="shared" si="73"/>
        <v>"%USERPROFILE%\Documents\GitHub\eaglep3\Utilities\RefineRTDCRunTimes.py" --tripid 902-29 --locoid 4017 --swversion DE.1.0.9.0 --startMP 300:23588 --initTime 2017-06-29T05:55:34 --startdatetime 2017-06-29T06:00:14 --delay 4 --endMP 204:684 --enddatetime 2017-06-29T06:07:57 --enforcementcount 0 &gt;&gt;C:\Users\stu\Documents\GitHub\eaglep3-reporting\EC\2017-06-29-refined-times.txt</v>
      </c>
      <c r="AI222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{"issue":{"subject":"","project_id":79,"tracker_id":40,"status_id":1,"priority_id":2,"assigned_to_id":23,"start_date":"2017-06-29","description":"","custom_fields":[{"id":1,"name":"Subdivision","value":"Other"},{"id":4,"name":"Milepost","value":"0.0684"},{"id":17,"name":"Train ID","value":"902-29"},{"id":16,"name":"Locomotive ID","value":"4017"},{"id":130,"name":"Impact","value":""},{"id":150,"name":"Time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5"/>
        <v>start /low /b %USERPROFILE%\Documents\GitHub\eaglep3\Utilities\DownloadLogsFromS3.py --loco 4017 --day 2017-06-29</v>
      </c>
      <c r="AN22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679</v>
      </c>
      <c r="B223" s="7">
        <v>4042</v>
      </c>
      <c r="C223" s="21" t="s">
        <v>201</v>
      </c>
      <c r="D223" s="21" t="s">
        <v>887</v>
      </c>
      <c r="E223" s="13">
        <v>42915.352037037039</v>
      </c>
      <c r="F223" s="13">
        <v>42915.35324074074</v>
      </c>
      <c r="G223" s="7">
        <v>0</v>
      </c>
      <c r="H223" s="21" t="s">
        <v>888</v>
      </c>
      <c r="I223" s="13">
        <v>42915.361168981479</v>
      </c>
      <c r="J223" s="7">
        <v>0</v>
      </c>
      <c r="K223" s="89" t="str">
        <f t="shared" si="77"/>
        <v>4041/4042</v>
      </c>
      <c r="L223" s="21" t="str">
        <f>VLOOKUP(A223,'Trips&amp;Operators'!$C$1:$G$99999,5,FALSE)</f>
        <v>DAVIS WENDY</v>
      </c>
      <c r="M223" s="6">
        <f t="shared" si="78"/>
        <v>7.9282407386926934E-3</v>
      </c>
      <c r="N223" s="7">
        <f t="shared" si="88"/>
        <v>11.416666663717479</v>
      </c>
      <c r="O223" s="7"/>
      <c r="P223" s="7"/>
      <c r="Q223" s="22"/>
      <c r="R223" s="170"/>
      <c r="S223" s="213">
        <f t="shared" si="89"/>
        <v>1</v>
      </c>
      <c r="T223" s="195" t="str">
        <f t="shared" si="79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-06-29T07:26:56-0600',mode:absolute,to:'2017-06-29T09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197" t="str">
        <f>IF(AA223&lt;VLOOKUP(AG223,Variables!$AC$3:$AD$8,2,FALSE),"Y","N")</f>
        <v>Y</v>
      </c>
      <c r="X223" s="197">
        <f t="shared" si="72"/>
        <v>1</v>
      </c>
      <c r="Y223" s="197">
        <f t="shared" si="81"/>
        <v>4.1700000000000001E-2</v>
      </c>
      <c r="Z223" s="197">
        <f t="shared" si="82"/>
        <v>2.4266999999999999</v>
      </c>
      <c r="AA223" s="197">
        <f t="shared" si="83"/>
        <v>2.3849999999999998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4"/>
        <v>903</v>
      </c>
      <c r="AE223" s="77" t="str">
        <f t="shared" si="85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223" s="74" t="str">
        <f t="shared" si="86"/>
        <v>"C:\Program Files (x86)\AstroGrep\AstroGrep.exe" /e /r /s /spath="%USERPROFILE%\AppData\Local\Temp\OnboardLogs" /stypes="app*4042*20170629*" /stext=" 14:.+((SYSTEM_STATE.+slice.+state.+changed )|(ment ac)|(multiple cpu faults)|(system.+state.+changed )|(\[timeout)|(PRM\|1\|D)|(kpr)|(kdp)|(train st.+moving)|(\|lc)|(penalty))"</v>
      </c>
      <c r="AG223" s="209" t="str">
        <f t="shared" si="87"/>
        <v>Other</v>
      </c>
      <c r="AH223" s="78" t="str">
        <f t="shared" si="73"/>
        <v>"%USERPROFILE%\Documents\GitHub\eaglep3\Utilities\RefineRTDCRunTimes.py" --tripid 903-29 --locoid 4042 --swversion DE.1.0.9.0 --startMP 204:417 --initTime 2017-06-29T08:26:56 --startdatetime 2017-06-29T08:28:40 --delay 0 --endMP 300:24267 --enddatetime 2017-06-29T08:40:05 --enforcementcount 0 &gt;&gt;C:\Users\stu\Documents\GitHub\eaglep3-reporting\EC\2017-06-29-refined-times.txt</v>
      </c>
      <c r="AI223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{"issue":{"subject":"","project_id":79,"tracker_id":40,"status_id":1,"priority_id":2,"assigned_to_id":23,"start_date":"2017-06-29","description":"","custom_fields":[{"id":1,"name":"Subdivision","value":"Other"},{"id":4,"name":"Milepost","value":"2.4267"},{"id":17,"name":"Train ID","value":"903-29"},{"id":16,"name":"Locomotive ID","value":"4042"},{"id":130,"name":"Impact","value":""},{"id":150,"name":"Time of Event (Mountain Time)","value":"08:40:05"},{"id":151,"name":"Denver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5"/>
        <v>start /low /b %USERPROFILE%\Documents\GitHub\eaglep3\Utilities\DownloadLogsFromS3.py --loco 4042 --day 2017-06-29</v>
      </c>
      <c r="AN22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601</v>
      </c>
      <c r="B224" s="7">
        <v>4041</v>
      </c>
      <c r="C224" s="21" t="s">
        <v>201</v>
      </c>
      <c r="D224" s="21" t="s">
        <v>1050</v>
      </c>
      <c r="E224" s="13">
        <v>42915.633136574077</v>
      </c>
      <c r="F224" s="13">
        <v>42915.638078703705</v>
      </c>
      <c r="G224" s="7">
        <v>6</v>
      </c>
      <c r="H224" s="21" t="s">
        <v>1051</v>
      </c>
      <c r="I224" s="13">
        <v>42915.643530092595</v>
      </c>
      <c r="J224" s="7">
        <v>0</v>
      </c>
      <c r="K224" s="89" t="str">
        <f t="shared" si="77"/>
        <v>4041/4042</v>
      </c>
      <c r="L224" s="21" t="str">
        <f>VLOOKUP(A224,'Trips&amp;Operators'!$C$1:$G$99999,5,FALSE)</f>
        <v>HAITHCOX MICHAEL</v>
      </c>
      <c r="M224" s="6">
        <f t="shared" si="78"/>
        <v>5.4513888899236917E-3</v>
      </c>
      <c r="N224" s="7">
        <f t="shared" si="88"/>
        <v>7.8500000014901161</v>
      </c>
      <c r="O224" s="7"/>
      <c r="P224" s="7"/>
      <c r="Q224" s="22"/>
      <c r="R224" s="170"/>
      <c r="S224" s="213">
        <f t="shared" si="89"/>
        <v>1</v>
      </c>
      <c r="T224" s="195" t="str">
        <f t="shared" si="79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-06-29T14:11:43-0600',mode:absolute,to:'2017-06-29T16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 t="shared" si="72"/>
        <v>1</v>
      </c>
      <c r="Y224" s="197">
        <f t="shared" si="81"/>
        <v>2.3355000000000001</v>
      </c>
      <c r="Z224" s="197">
        <f t="shared" si="82"/>
        <v>6.6400000000000001E-2</v>
      </c>
      <c r="AA224" s="197">
        <f t="shared" si="83"/>
        <v>2.2691000000000003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4"/>
        <v>904</v>
      </c>
      <c r="AE224" s="77" t="str">
        <f t="shared" si="85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224" s="74" t="str">
        <f t="shared" si="86"/>
        <v>"C:\Program Files (x86)\AstroGrep\AstroGrep.exe" /e /r /s /spath="%USERPROFILE%\AppData\Local\Temp\OnboardLogs" /stypes="app*4041*20170629*" /stext=" 21:.+((SYSTEM_STATE.+slice.+state.+changed )|(ment ac)|(multiple cpu faults)|(system.+state.+changed )|(\[timeout)|(PRM\|1\|D)|(kpr)|(kdp)|(train st.+moving)|(\|lc)|(penalty))"</v>
      </c>
      <c r="AG224" s="209" t="str">
        <f t="shared" si="87"/>
        <v>Other</v>
      </c>
      <c r="AH224" s="78" t="str">
        <f t="shared" si="73"/>
        <v>"%USERPROFILE%\Documents\GitHub\eaglep3\Utilities\RefineRTDCRunTimes.py" --tripid 904-29 --locoid 4041 --swversion DE.1.0.9.0 --startMP 300:23355 --initTime 2017-06-29T15:11:43 --startdatetime 2017-06-29T15:18:50 --delay 6 --endMP 204:664 --enddatetime 2017-06-29T15:26:41 --enforcementcount 0 &gt;&gt;C:\Users\stu\Documents\GitHub\eaglep3-reporting\EC\2017-06-29-refined-times.txt</v>
      </c>
      <c r="AI224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{"issue":{"subject":"","project_id":79,"tracker_id":40,"status_id":1,"priority_id":2,"assigned_to_id":23,"start_date":"2017-06-29","description":"","custom_fields":[{"id":1,"name":"Subdivision","value":"Other"},{"id":4,"name":"Milepost","value":"0.0664"},{"id":17,"name":"Train ID","value":"904-29"},{"id":16,"name":"Locomotive ID","value":"4041"},{"id":130,"name":"Impact","value":""},{"id":150,"name":"Time of Event (Mountain Time)","value":"15:26:41"},{"id":151,"name":"Denver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4041 --day 2017-06-29</v>
      </c>
      <c r="AN22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780</v>
      </c>
      <c r="B225" s="7">
        <v>4041</v>
      </c>
      <c r="C225" s="21" t="s">
        <v>201</v>
      </c>
      <c r="D225" s="21" t="s">
        <v>1023</v>
      </c>
      <c r="E225" s="13">
        <v>42915.795844907407</v>
      </c>
      <c r="F225" s="13">
        <v>42915.797094907408</v>
      </c>
      <c r="G225" s="7">
        <v>1</v>
      </c>
      <c r="H225" s="21" t="s">
        <v>1052</v>
      </c>
      <c r="I225" s="13">
        <v>42915.806747685187</v>
      </c>
      <c r="J225" s="7">
        <v>0</v>
      </c>
      <c r="K225" s="89" t="str">
        <f t="shared" si="77"/>
        <v>4041/4042</v>
      </c>
      <c r="L225" s="21" t="str">
        <f>VLOOKUP(A225,'Trips&amp;Operators'!$C$1:$G$99999,5,FALSE)</f>
        <v>HAITHCOX MICHAEL</v>
      </c>
      <c r="M225" s="6">
        <f t="shared" si="78"/>
        <v>9.6527777786832303E-3</v>
      </c>
      <c r="N225" s="7">
        <f t="shared" si="88"/>
        <v>13.900000001303852</v>
      </c>
      <c r="O225" s="7"/>
      <c r="P225" s="7"/>
      <c r="Q225" s="22"/>
      <c r="R225" s="170"/>
      <c r="S225" s="213">
        <f t="shared" si="89"/>
        <v>0</v>
      </c>
      <c r="T225" s="195" t="str">
        <f t="shared" si="79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80"/>
        <v>https://d0f6bd738d7f1b3e5a7ca70fe4ff75f0.us-east-1.aws.found.io/app/kibana#/discover/Steve-Slow-Train-Analysis-(2080s-and-2083s)?_g=(refreshInterval:(display:Off,pause:!f,section:0,value:0),time:(from:'2017-06-29T18:06:01-0600',mode:absolute,to:'2017-06-29T20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97" t="str">
        <f>IF(AA225&lt;VLOOKUP(AG225,Variables!$AC$3:$AD$8,2,FALSE),"Y","N")</f>
        <v>Y</v>
      </c>
      <c r="X225" s="197">
        <f t="shared" si="72"/>
        <v>2</v>
      </c>
      <c r="Y225" s="197">
        <f t="shared" si="81"/>
        <v>5.8596000000000004</v>
      </c>
      <c r="Z225" s="197">
        <f t="shared" si="82"/>
        <v>2.1396999999999999</v>
      </c>
      <c r="AA225" s="197">
        <f t="shared" si="83"/>
        <v>3.7199000000000004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4"/>
        <v>906</v>
      </c>
      <c r="AE225" s="77" t="str">
        <f t="shared" si="85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225" s="74" t="str">
        <f t="shared" si="86"/>
        <v>"C:\Program Files (x86)\AstroGrep\AstroGrep.exe" /e /r /s /spath="%USERPROFILE%\AppData\Local\Temp\OnboardLogs" /stypes="app*4041*20170630*" /stext=" 01:.+((SYSTEM_STATE.+slice.+state.+changed )|(ment ac)|(multiple cpu faults)|(system.+state.+changed )|(\[timeout)|(PRM\|1\|D)|(kpr)|(kdp)|(train st.+moving)|(\|lc)|(penalty))"</v>
      </c>
      <c r="AG225" s="209" t="str">
        <f t="shared" si="87"/>
        <v>Other</v>
      </c>
      <c r="AH225" s="78" t="str">
        <f t="shared" si="73"/>
        <v>"%USERPROFILE%\Documents\GitHub\eaglep3\Utilities\RefineRTDCRunTimes.py" --tripid 906-29 --locoid 4041 --swversion DE.1.0.9.0 --startMP 300:58596 --initTime 2017-06-29T19:06:01 --startdatetime 2017-06-29T19:07:49 --delay 1 --endMP 300:21397 --enddatetime 2017-06-29T19:21:43 --enforcementcount 0 &gt;&gt;C:\Users\stu\Documents\GitHub\eaglep3-reporting\EC\2017-06-29-refined-times.txt</v>
      </c>
      <c r="AI225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{"issue":{"subject":"","project_id":79,"tracker_id":40,"status_id":1,"priority_id":2,"assigned_to_id":23,"start_date":"2017-06-29","description":"","custom_fields":[{"id":1,"name":"Subdivision","value":"Other"},{"id":4,"name":"Milepost","value":"2.1397"},{"id":17,"name":"Train ID","value":"906-29"},{"id":16,"name":"Locomotive ID","value":"4041"},{"id":130,"name":"Impact","value":""},{"id":150,"name":"Time of Event (Mountain Time)","value":"19:21:43"},{"id":151,"name":"Denver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5"/>
        <v>start /low /b %USERPROFILE%\Documents\GitHub\eaglep3\Utilities\DownloadLogsFromS3.py --loco 4041 --day 2017-06-29</v>
      </c>
      <c r="AN225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798</v>
      </c>
      <c r="B226" s="7">
        <v>4017</v>
      </c>
      <c r="C226" s="21" t="s">
        <v>201</v>
      </c>
      <c r="D226" s="21" t="s">
        <v>561</v>
      </c>
      <c r="E226" s="13">
        <v>42915.941979166666</v>
      </c>
      <c r="F226" s="13">
        <v>42915.943206018521</v>
      </c>
      <c r="G226" s="7">
        <v>1</v>
      </c>
      <c r="H226" s="21" t="s">
        <v>889</v>
      </c>
      <c r="I226" s="13">
        <v>42915.947916666664</v>
      </c>
      <c r="J226" s="7">
        <v>0</v>
      </c>
      <c r="K226" s="89" t="str">
        <f t="shared" si="77"/>
        <v>4017/4018</v>
      </c>
      <c r="L226" s="21" t="str">
        <f>VLOOKUP(A226,'Trips&amp;Operators'!$C$1:$G$99999,5,FALSE)</f>
        <v>HAITHCOX MICHAEL</v>
      </c>
      <c r="M226" s="6">
        <f t="shared" si="78"/>
        <v>4.7106481433729641E-3</v>
      </c>
      <c r="N226" s="7">
        <f t="shared" si="88"/>
        <v>6.7833333264570683</v>
      </c>
      <c r="O226" s="7"/>
      <c r="P226" s="7"/>
      <c r="Q226" s="22"/>
      <c r="R226" s="170"/>
      <c r="S226" s="213">
        <f t="shared" si="89"/>
        <v>0</v>
      </c>
      <c r="T226" s="195" t="str">
        <f t="shared" si="79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0"/>
        <v>https://d0f6bd738d7f1b3e5a7ca70fe4ff75f0.us-east-1.aws.found.io/app/kibana#/discover/Steve-Slow-Train-Analysis-(2080s-and-2083s)?_g=(refreshInterval:(display:Off,pause:!f,section:0,value:0),time:(from:'2017-06-29T21:36:27-0600',mode:absolute,to:'2017-06-29T23:45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197" t="str">
        <f>IF(AA226&lt;VLOOKUP(AG226,Variables!$AC$3:$AD$8,2,FALSE),"Y","N")</f>
        <v>Y</v>
      </c>
      <c r="X226" s="197">
        <f t="shared" si="72"/>
        <v>2</v>
      </c>
      <c r="Y226" s="197">
        <f t="shared" si="81"/>
        <v>5.8613</v>
      </c>
      <c r="Z226" s="197">
        <f t="shared" si="82"/>
        <v>2.1322000000000001</v>
      </c>
      <c r="AA226" s="197">
        <f t="shared" si="83"/>
        <v>3.7290999999999999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4"/>
        <v>908</v>
      </c>
      <c r="AE226" s="77" t="str">
        <f t="shared" si="85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26" s="74" t="str">
        <f t="shared" si="86"/>
        <v>"C:\Program Files (x86)\AstroGrep\AstroGrep.exe" /e /r /s /spath="%USERPROFILE%\AppData\Local\Temp\OnboardLogs" /stypes="app*4017*20170630*" /stext=" 04:.+((SYSTEM_STATE.+slice.+state.+changed )|(ment ac)|(multiple cpu faults)|(system.+state.+changed )|(\[timeout)|(PRM\|1\|D)|(kpr)|(kdp)|(train st.+moving)|(\|lc)|(penalty))"</v>
      </c>
      <c r="AG226" s="209" t="str">
        <f t="shared" si="87"/>
        <v>Other</v>
      </c>
      <c r="AH226" s="78" t="str">
        <f t="shared" si="73"/>
        <v>"%USERPROFILE%\Documents\GitHub\eaglep3\Utilities\RefineRTDCRunTimes.py" --tripid 908-29 --locoid 4017 --swversion DE.1.0.9.0 --startMP 300:58613 --initTime 2017-06-29T22:36:27 --startdatetime 2017-06-29T22:38:13 --delay 1 --endMP 300:21322 --enddatetime 2017-06-29T22:45:00 --enforcementcount 0 &gt;&gt;C:\Users\stu\Documents\GitHub\eaglep3-reporting\EC\2017-06-29-refined-times.txt</v>
      </c>
      <c r="AI226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{"issue":{"subject":"","project_id":79,"tracker_id":40,"status_id":1,"priority_id":2,"assigned_to_id":23,"start_date":"2017-06-29","description":"","custom_fields":[{"id":1,"name":"Subdivision","value":"Other"},{"id":4,"name":"Milepost","value":"2.1322"},{"id":17,"name":"Train ID","value":"908-29"},{"id":16,"name":"Locomotive ID","value":"4017"},{"id":130,"name":"Impact","value":""},{"id":150,"name":"Time of Event (Mountain Time)","value":"22:45:00"},{"id":151,"name":"Denver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5"/>
        <v>start /low /b %USERPROFILE%\Documents\GitHub\eaglep3\Utilities\DownloadLogsFromS3.py --loco 4017 --day 2017-06-29</v>
      </c>
      <c r="AN226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657</v>
      </c>
      <c r="B227" s="7">
        <v>4050</v>
      </c>
      <c r="C227" s="21" t="s">
        <v>201</v>
      </c>
      <c r="D227" s="21" t="s">
        <v>854</v>
      </c>
      <c r="E227" s="13">
        <v>42915.26666666667</v>
      </c>
      <c r="F227" s="13">
        <v>42915.267939814818</v>
      </c>
      <c r="G227" s="7">
        <v>1</v>
      </c>
      <c r="H227" s="21" t="s">
        <v>855</v>
      </c>
      <c r="I227" s="13">
        <v>42915.269062500003</v>
      </c>
      <c r="J227" s="7">
        <v>0</v>
      </c>
      <c r="K227" s="89" t="str">
        <f t="shared" si="77"/>
        <v>4049/4050</v>
      </c>
      <c r="L227" s="21" t="str">
        <f>VLOOKUP(A227,'Trips&amp;Operators'!$C$1:$G$99999,5,FALSE)</f>
        <v>CUSHING HARRY</v>
      </c>
      <c r="M227" s="6">
        <f t="shared" si="78"/>
        <v>1.1226851856918074E-3</v>
      </c>
      <c r="N227" s="7">
        <f t="shared" si="88"/>
        <v>1.6166666673962027</v>
      </c>
      <c r="O227" s="7"/>
      <c r="P227" s="7"/>
      <c r="Q227" s="22"/>
      <c r="R227" s="170"/>
      <c r="S227" s="213">
        <f t="shared" si="89"/>
        <v>0</v>
      </c>
      <c r="T227" s="195" t="str">
        <f t="shared" si="7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0"/>
        <v>https://d0f6bd738d7f1b3e5a7ca70fe4ff75f0.us-east-1.aws.found.io/app/kibana#/discover/Steve-Slow-Train-Analysis-(2080s-and-2083s)?_g=(refreshInterval:(display:Off,pause:!f,section:0,value:0),time:(from:'2017-06-29T05:24:00-0600',mode:absolute,to:'2017-06-29T07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97" t="str">
        <f>IF(AA227&lt;VLOOKUP(AG227,Variables!$AC$3:$AD$8,2,FALSE),"Y","N")</f>
        <v>Y</v>
      </c>
      <c r="X227" s="197">
        <f t="shared" si="72"/>
        <v>-858</v>
      </c>
      <c r="Y227" s="197">
        <f t="shared" si="81"/>
        <v>0.1477</v>
      </c>
      <c r="Z227" s="197">
        <f t="shared" si="82"/>
        <v>0.38640000000000002</v>
      </c>
      <c r="AA227" s="197">
        <f t="shared" si="83"/>
        <v>0.23870000000000002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4"/>
        <v>50</v>
      </c>
      <c r="AE227" s="77" t="str">
        <f t="shared" si="85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227" s="74" t="str">
        <f t="shared" si="86"/>
        <v>"C:\Program Files (x86)\AstroGrep\AstroGrep.exe" /e /r /s /spath="%USERPROFILE%\AppData\Local\Temp\OnboardLogs" /stypes="app*4050*20170629*" /stext=" 12:.+((SYSTEM_STATE.+slice.+state.+changed )|(ment ac)|(multiple cpu faults)|(system.+state.+changed )|(\[timeout)|(PRM\|1\|D)|(kpr)|(kdp)|(train st.+moving)|(\|lc)|(penalty))"</v>
      </c>
      <c r="AG227" s="209" t="str">
        <f t="shared" si="87"/>
        <v>Shuttle/Test</v>
      </c>
      <c r="AH227" s="78" t="str">
        <f t="shared" si="73"/>
        <v>"%USERPROFILE%\Documents\GitHub\eaglep3\Utilities\RefineRTDCRunTimes.py" --tripid 50-29 --locoid 4050 --swversion DE.1.0.9.0 --startMP 204:1477 --initTime 2017-06-29T06:24:00 --startdatetime 2017-06-29T06:25:50 --delay 1 --endMP 204:3864 --enddatetime 2017-06-29T06:27:27 --enforcementcount 0 &gt;&gt;C:\Users\stu\Documents\GitHub\eaglep3-reporting\EC\2017-06-29-refined-times.txt</v>
      </c>
      <c r="AI22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0.3864"},{"id":17,"name":"Train ID","value":"50-29"},{"id":16,"name":"Locomotive ID","value":"4050"},{"id":130,"name":"Impact","value":""},{"id":150,"name":"Time of Event (Mountain Time)","value":"06:27:27"},{"id":151,"name":"Denver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5"/>
        <v>start /low /b %USERPROFILE%\Documents\GitHub\eaglep3\Utilities\DownloadLogsFromS3.py --loco 4050 --day 2017-06-29</v>
      </c>
      <c r="AN22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812</v>
      </c>
      <c r="B228" s="7">
        <v>4025</v>
      </c>
      <c r="C228" s="21" t="s">
        <v>201</v>
      </c>
      <c r="D228" s="21" t="s">
        <v>850</v>
      </c>
      <c r="E228" s="13">
        <v>42916.110138888886</v>
      </c>
      <c r="F228" s="13">
        <v>42916.112916666665</v>
      </c>
      <c r="G228" s="7">
        <v>3</v>
      </c>
      <c r="H228" s="21" t="s">
        <v>856</v>
      </c>
      <c r="I228" s="13">
        <v>42916.118043981478</v>
      </c>
      <c r="J228" s="7">
        <v>0</v>
      </c>
      <c r="K228" s="89" t="str">
        <f t="shared" si="77"/>
        <v>4025/4026</v>
      </c>
      <c r="L228" s="21" t="str">
        <f>VLOOKUP(A228,'Trips&amp;Operators'!$C$1:$G$99999,5,FALSE)</f>
        <v>SPECTOR MICHAEL</v>
      </c>
      <c r="M228" s="6">
        <f t="shared" si="78"/>
        <v>5.1273148128530011E-3</v>
      </c>
      <c r="N228" s="7">
        <f t="shared" si="88"/>
        <v>7.3833333305083215</v>
      </c>
      <c r="O228" s="7"/>
      <c r="P228" s="7"/>
      <c r="Q228" s="22"/>
      <c r="R228" s="170"/>
      <c r="S228" s="213">
        <f t="shared" si="89"/>
        <v>1</v>
      </c>
      <c r="T228" s="195" t="str">
        <f t="shared" si="79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80"/>
        <v>https://d0f6bd738d7f1b3e5a7ca70fe4ff75f0.us-east-1.aws.found.io/app/kibana#/discover/Steve-Slow-Train-Analysis-(2080s-and-2083s)?_g=(refreshInterval:(display:Off,pause:!f,section:0,value:0),time:(from:'2017-06-30T01:38:36-0600',mode:absolute,to:'2017-06-30T03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7" t="str">
        <f>IF(AA228&lt;VLOOKUP(AG228,Variables!$AC$3:$AD$8,2,FALSE),"Y","N")</f>
        <v>Y</v>
      </c>
      <c r="X228" s="197">
        <f t="shared" si="72"/>
        <v>0</v>
      </c>
      <c r="Y228" s="197">
        <f t="shared" si="81"/>
        <v>2.3439999999999999</v>
      </c>
      <c r="Z228" s="197">
        <f t="shared" si="82"/>
        <v>0.1164</v>
      </c>
      <c r="AA228" s="197">
        <f t="shared" si="83"/>
        <v>2.2275999999999998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4"/>
        <v>50</v>
      </c>
      <c r="AE228" s="77" t="str">
        <f t="shared" si="85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28" s="74" t="str">
        <f t="shared" si="86"/>
        <v>"C:\Program Files (x86)\AstroGrep\AstroGrep.exe" /e /r /s /spath="%USERPROFILE%\AppData\Local\Temp\OnboardLogs" /stypes="app*4025*20170630*" /stext=" 08:.+((SYSTEM_STATE.+slice.+state.+changed )|(ment ac)|(multiple cpu faults)|(system.+state.+changed )|(\[timeout)|(PRM\|1\|D)|(kpr)|(kdp)|(train st.+moving)|(\|lc)|(penalty))"</v>
      </c>
      <c r="AG228" s="209" t="str">
        <f t="shared" si="87"/>
        <v>Shuttle/Test</v>
      </c>
      <c r="AH228" s="78" t="str">
        <f t="shared" si="73"/>
        <v>"%USERPROFILE%\Documents\GitHub\eaglep3\Utilities\RefineRTDCRunTimes.py" --tripid 50-30 --locoid 4025 --swversion DE.1.0.9.0 --startMP 300:23440 --initTime 2017-06-30T02:38:36 --startdatetime 2017-06-30T02:42:36 --delay 3 --endMP 204:1164 --enddatetime 2017-06-30T02:49:59 --enforcementcount 0 &gt;&gt;C:\Users\stu\Documents\GitHub\eaglep3-reporting\EC\2017-06-29-refined-times.txt</v>
      </c>
      <c r="AI228" s="96" t="str">
        <f t="shared" si="74"/>
        <v>echo {"issue":{"subject":"","project_id":79,"tracker_id":40,"status_id":1,"priority_id":2,"assigned_to_id":23,"start_date":"2017-06-30","description":"","custom_fields":[{"id":1,"name":"Subdivision","value":"Shuttle/Test"},{"id":4,"name":"Milepost","value":"0.1164"},{"id":17,"name":"Train ID","value":"50-30"},{"id":16,"name":"Locomotive ID","value":"4025"},{"id":130,"name":"Impact","value":""},{"id":150,"name":"Time of Event (Mountain Time)","value":"02:49:59"},{"id":151,"name":"Denver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5"/>
        <v>start /low /b %USERPROFILE%\Documents\GitHub\eaglep3\Utilities\DownloadLogsFromS3.py --loco 4025 --day 2017-06-30</v>
      </c>
      <c r="AN22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s="20" customFormat="1" x14ac:dyDescent="0.25">
      <c r="A229" s="32" t="s">
        <v>629</v>
      </c>
      <c r="B229" s="7">
        <v>4050</v>
      </c>
      <c r="C229" s="21" t="s">
        <v>201</v>
      </c>
      <c r="D229" s="21" t="s">
        <v>857</v>
      </c>
      <c r="E229" s="13">
        <v>42915.137870370374</v>
      </c>
      <c r="F229" s="13">
        <v>42915.139421296299</v>
      </c>
      <c r="G229" s="7">
        <v>1</v>
      </c>
      <c r="H229" s="21" t="s">
        <v>858</v>
      </c>
      <c r="I229" s="13">
        <v>42915.140844907408</v>
      </c>
      <c r="J229" s="7">
        <v>0</v>
      </c>
      <c r="K229" s="89" t="str">
        <f t="shared" si="77"/>
        <v>4049/4050</v>
      </c>
      <c r="L229" s="21" t="str">
        <f>VLOOKUP(A229,'Trips&amp;Operators'!$C$1:$G$99999,5,FALSE)</f>
        <v>CUSHING HARRY</v>
      </c>
      <c r="M229" s="6">
        <f t="shared" si="78"/>
        <v>1.4236111092031933E-3</v>
      </c>
      <c r="N229" s="7">
        <f t="shared" si="88"/>
        <v>2.0499999972525984</v>
      </c>
      <c r="O229" s="7"/>
      <c r="P229" s="7"/>
      <c r="Q229" s="22"/>
      <c r="R229" s="170"/>
      <c r="S229" s="213">
        <f t="shared" si="89"/>
        <v>0</v>
      </c>
      <c r="T229" s="195" t="str">
        <f t="shared" si="79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0"/>
        <v>https://d0f6bd738d7f1b3e5a7ca70fe4ff75f0.us-east-1.aws.found.io/app/kibana#/discover/Steve-Slow-Train-Analysis-(2080s-and-2083s)?_g=(refreshInterval:(display:Off,pause:!f,section:0,value:0),time:(from:'2017-06-29T02:18:32-0600',mode:absolute,to:'2017-06-29T04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97" t="str">
        <f>IF(AA229&lt;VLOOKUP(AG229,Variables!$AC$3:$AD$8,2,FALSE),"Y","N")</f>
        <v>Y</v>
      </c>
      <c r="X229" s="197">
        <f t="shared" si="72"/>
        <v>1</v>
      </c>
      <c r="Y229" s="197">
        <f t="shared" si="81"/>
        <v>5.9299999999999999E-2</v>
      </c>
      <c r="Z229" s="197">
        <f t="shared" si="82"/>
        <v>0.38490000000000002</v>
      </c>
      <c r="AA229" s="197">
        <f t="shared" si="83"/>
        <v>0.3256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4"/>
        <v>51</v>
      </c>
      <c r="AE229" s="77" t="str">
        <f t="shared" si="85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229" s="74" t="str">
        <f t="shared" si="86"/>
        <v>"C:\Program Files (x86)\AstroGrep\AstroGrep.exe" /e /r /s /spath="%USERPROFILE%\AppData\Local\Temp\OnboardLogs" /stypes="app*4050*20170629*" /stext=" 09:.+((SYSTEM_STATE.+slice.+state.+changed )|(ment ac)|(multiple cpu faults)|(system.+state.+changed )|(\[timeout)|(PRM\|1\|D)|(kpr)|(kdp)|(train st.+moving)|(\|lc)|(penalty))"</v>
      </c>
      <c r="AG229" s="209" t="str">
        <f t="shared" si="87"/>
        <v>Shuttle/Test</v>
      </c>
      <c r="AH229" s="78" t="str">
        <f t="shared" si="73"/>
        <v>"%USERPROFILE%\Documents\GitHub\eaglep3\Utilities\RefineRTDCRunTimes.py" --tripid 51-29 --locoid 4050 --swversion DE.1.0.9.0 --startMP 204:593 --initTime 2017-06-29T03:18:32 --startdatetime 2017-06-29T03:20:46 --delay 1 --endMP 204:3849 --enddatetime 2017-06-29T03:22:49 --enforcementcount 0 &gt;&gt;C:\Users\stu\Documents\GitHub\eaglep3-reporting\EC\2017-06-29-refined-times.txt</v>
      </c>
      <c r="AI229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0.3849"},{"id":17,"name":"Train ID","value":"51-29"},{"id":16,"name":"Locomotive ID","value":"4050"},{"id":130,"name":"Impact","value":""},{"id":150,"name":"Time of Event (Mountain Time)","value":"03:22:49"},{"id":151,"name":"Denver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75"/>
        <v>start /low /b %USERPROFILE%\Documents\GitHub\eaglep3\Utilities\DownloadLogsFromS3.py --loco 4050 --day 2017-06-29</v>
      </c>
      <c r="AN22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634</v>
      </c>
      <c r="B230" s="7">
        <v>4049</v>
      </c>
      <c r="C230" s="21" t="s">
        <v>201</v>
      </c>
      <c r="D230" s="21" t="s">
        <v>859</v>
      </c>
      <c r="E230" s="13">
        <v>42915.142974537041</v>
      </c>
      <c r="F230" s="13">
        <v>42915.144490740742</v>
      </c>
      <c r="G230" s="7">
        <v>1</v>
      </c>
      <c r="H230" s="21" t="s">
        <v>860</v>
      </c>
      <c r="I230" s="13">
        <v>42915.145995370367</v>
      </c>
      <c r="J230" s="7">
        <v>0</v>
      </c>
      <c r="K230" s="89" t="str">
        <f t="shared" si="77"/>
        <v>4049/4050</v>
      </c>
      <c r="L230" s="21" t="str">
        <f>VLOOKUP(A230,'Trips&amp;Operators'!$C$1:$G$99999,5,FALSE)</f>
        <v>CUSHING HARRY</v>
      </c>
      <c r="M230" s="6">
        <f t="shared" si="78"/>
        <v>1.5046296248328872E-3</v>
      </c>
      <c r="N230" s="7">
        <f t="shared" si="88"/>
        <v>2.1666666597593576</v>
      </c>
      <c r="O230" s="7"/>
      <c r="P230" s="7"/>
      <c r="Q230" s="22"/>
      <c r="R230" s="170"/>
      <c r="S230" s="213">
        <f t="shared" si="89"/>
        <v>0</v>
      </c>
      <c r="T230" s="195" t="str">
        <f t="shared" si="79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0"/>
        <v>https://d0f6bd738d7f1b3e5a7ca70fe4ff75f0.us-east-1.aws.found.io/app/kibana#/discover/Steve-Slow-Train-Analysis-(2080s-and-2083s)?_g=(refreshInterval:(display:Off,pause:!f,section:0,value:0),time:(from:'2017-06-29T02:25:53-0600',mode:absolute,to:'2017-06-29T04:30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197" t="str">
        <f>IF(AA230&lt;VLOOKUP(AG230,Variables!$AC$3:$AD$8,2,FALSE),"Y","N")</f>
        <v>Y</v>
      </c>
      <c r="X230" s="197">
        <f t="shared" si="72"/>
        <v>1</v>
      </c>
      <c r="Y230" s="197">
        <f t="shared" si="81"/>
        <v>0.35720000000000002</v>
      </c>
      <c r="Z230" s="197">
        <f t="shared" si="82"/>
        <v>0.1158</v>
      </c>
      <c r="AA230" s="197">
        <f t="shared" si="83"/>
        <v>0.2414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4"/>
        <v>52</v>
      </c>
      <c r="AE230" s="77" t="str">
        <f t="shared" si="85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230" s="74" t="str">
        <f t="shared" si="86"/>
        <v>"C:\Program Files (x86)\AstroGrep\AstroGrep.exe" /e /r /s /spath="%USERPROFILE%\AppData\Local\Temp\OnboardLogs" /stypes="app*4049*20170629*" /stext=" 09:.+((SYSTEM_STATE.+slice.+state.+changed )|(ment ac)|(multiple cpu faults)|(system.+state.+changed )|(\[timeout)|(PRM\|1\|D)|(kpr)|(kdp)|(train st.+moving)|(\|lc)|(penalty))"</v>
      </c>
      <c r="AG230" s="209" t="str">
        <f t="shared" si="87"/>
        <v>Shuttle/Test</v>
      </c>
      <c r="AH230" s="78" t="str">
        <f t="shared" si="73"/>
        <v>"%USERPROFILE%\Documents\GitHub\eaglep3\Utilities\RefineRTDCRunTimes.py" --tripid 52-29 --locoid 4049 --swversion DE.1.0.9.0 --startMP 204:3572 --initTime 2017-06-29T03:25:53 --startdatetime 2017-06-29T03:28:04 --delay 1 --endMP 204:1158 --enddatetime 2017-06-29T03:30:14 --enforcementcount 0 &gt;&gt;C:\Users\stu\Documents\GitHub\eaglep3-reporting\EC\2017-06-29-refined-times.txt</v>
      </c>
      <c r="AI230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0.1158"},{"id":17,"name":"Train ID","value":"52-29"},{"id":16,"name":"Locomotive ID","value":"4049"},{"id":130,"name":"Impact","value":""},{"id":150,"name":"Time of Event (Mountain Time)","value":"03:30:14"},{"id":151,"name":"Denver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5"/>
        <v>start /low /b %USERPROFILE%\Documents\GitHub\eaglep3\Utilities\DownloadLogsFromS3.py --loco 4049 --day 2017-06-29</v>
      </c>
      <c r="AN230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09:30:14"},{"id":29,"name":"Sharepoint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587</v>
      </c>
      <c r="B231" s="7">
        <v>4023</v>
      </c>
      <c r="C231" s="21" t="s">
        <v>201</v>
      </c>
      <c r="D231" s="21" t="s">
        <v>983</v>
      </c>
      <c r="E231" s="13">
        <v>42915.44803240741</v>
      </c>
      <c r="F231" s="13">
        <v>42915.455277777779</v>
      </c>
      <c r="G231" s="7">
        <v>10</v>
      </c>
      <c r="H231" s="21" t="s">
        <v>984</v>
      </c>
      <c r="I231" s="13">
        <v>42915.460138888891</v>
      </c>
      <c r="J231" s="7">
        <v>0</v>
      </c>
      <c r="K231" s="89" t="str">
        <f t="shared" si="77"/>
        <v>4023/4024</v>
      </c>
      <c r="L231" s="21" t="str">
        <f>VLOOKUP(A231,'Trips&amp;Operators'!$C$1:$G$99999,5,FALSE)</f>
        <v>MOSES BRADLEY</v>
      </c>
      <c r="M231" s="6">
        <f t="shared" si="78"/>
        <v>4.8611111124046147E-3</v>
      </c>
      <c r="N231" s="7">
        <f t="shared" si="88"/>
        <v>7.0000000018626451</v>
      </c>
      <c r="O231" s="7"/>
      <c r="P231" s="7"/>
      <c r="Q231" s="22"/>
      <c r="R231" s="170"/>
      <c r="S231" s="213">
        <f t="shared" si="89"/>
        <v>1</v>
      </c>
      <c r="T231" s="195" t="str">
        <f t="shared" si="79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80"/>
        <v>https://d0f6bd738d7f1b3e5a7ca70fe4ff75f0.us-east-1.aws.found.io/app/kibana#/discover/Steve-Slow-Train-Analysis-(2080s-and-2083s)?_g=(refreshInterval:(display:Off,pause:!f,section:0,value:0),time:(from:'2017-06-29T09:45:10-0600',mode:absolute,to:'2017-06-29T12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1" s="197" t="str">
        <f>IF(AA231&lt;VLOOKUP(AG231,Variables!$AC$3:$AD$8,2,FALSE),"Y","N")</f>
        <v>Y</v>
      </c>
      <c r="X231" s="197">
        <f t="shared" si="72"/>
        <v>2</v>
      </c>
      <c r="Y231" s="197">
        <f t="shared" si="81"/>
        <v>2.1735000000000002</v>
      </c>
      <c r="Z231" s="197">
        <f t="shared" si="82"/>
        <v>0.10009999999999999</v>
      </c>
      <c r="AA231" s="197">
        <f t="shared" si="83"/>
        <v>2.0734000000000004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4"/>
        <v>54</v>
      </c>
      <c r="AE231" s="77" t="str">
        <f t="shared" si="85"/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AF231" s="74" t="str">
        <f t="shared" si="86"/>
        <v>"C:\Program Files (x86)\AstroGrep\AstroGrep.exe" /e /r /s /spath="%USERPROFILE%\AppData\Local\Temp\OnboardLogs" /stypes="app*4023*20170629*" /stext=" 17:.+((SYSTEM_STATE.+slice.+state.+changed )|(ment ac)|(multiple cpu faults)|(system.+state.+changed )|(\[timeout)|(PRM\|1\|D)|(kpr)|(kdp)|(train st.+moving)|(\|lc)|(penalty))"</v>
      </c>
      <c r="AG231" s="209" t="str">
        <f t="shared" si="87"/>
        <v>Shuttle/Test</v>
      </c>
      <c r="AH231" s="78" t="str">
        <f t="shared" si="73"/>
        <v>"%USERPROFILE%\Documents\GitHub\eaglep3\Utilities\RefineRTDCRunTimes.py" --tripid 54-29 --locoid 4023 --swversion DE.1.0.9.0 --startMP 300:21735 --initTime 2017-06-29T10:45:10 --startdatetime 2017-06-29T10:55:36 --delay 10 --endMP 204:1001 --enddatetime 2017-06-29T11:02:36 --enforcementcount 0 &gt;&gt;C:\Users\stu\Documents\GitHub\eaglep3-reporting\EC\2017-06-29-refined-times.txt</v>
      </c>
      <c r="AI231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0.1001"},{"id":17,"name":"Train ID","value":"54-29"},{"id":16,"name":"Locomotive ID","value":"4023"},{"id":130,"name":"Impact","value":""},{"id":150,"name":"Time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5"/>
        <v>start /low /b %USERPROFILE%\Documents\GitHub\eaglep3\Utilities\DownloadLogsFromS3.py --loco 4023 --day 2017-06-29</v>
      </c>
      <c r="AN23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709</v>
      </c>
      <c r="B232" s="7">
        <v>4024</v>
      </c>
      <c r="C232" s="21" t="s">
        <v>201</v>
      </c>
      <c r="D232" s="21" t="s">
        <v>985</v>
      </c>
      <c r="E232" s="13">
        <v>42915.472210648149</v>
      </c>
      <c r="F232" s="13">
        <v>42915.476145833331</v>
      </c>
      <c r="G232" s="7">
        <v>1</v>
      </c>
      <c r="H232" s="21" t="s">
        <v>986</v>
      </c>
      <c r="I232" s="13">
        <v>42915.482071759259</v>
      </c>
      <c r="J232" s="7">
        <v>0</v>
      </c>
      <c r="K232" s="89" t="str">
        <f t="shared" si="77"/>
        <v>4023/4024</v>
      </c>
      <c r="L232" s="21" t="str">
        <f>VLOOKUP(A232,'Trips&amp;Operators'!$C$1:$G$99999,5,FALSE)</f>
        <v>BONDS REYNALDO</v>
      </c>
      <c r="M232" s="6">
        <f t="shared" si="78"/>
        <v>5.9259259287500754E-3</v>
      </c>
      <c r="N232" s="7">
        <f t="shared" si="88"/>
        <v>8.5333333374001086</v>
      </c>
      <c r="O232" s="7"/>
      <c r="P232" s="7"/>
      <c r="Q232" s="22"/>
      <c r="R232" s="170"/>
      <c r="S232" s="213">
        <f t="shared" si="89"/>
        <v>1</v>
      </c>
      <c r="T232" s="195" t="str">
        <f t="shared" si="79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80"/>
        <v>https://d0f6bd738d7f1b3e5a7ca70fe4ff75f0.us-east-1.aws.found.io/app/kibana#/discover/Steve-Slow-Train-Analysis-(2080s-and-2083s)?_g=(refreshInterval:(display:Off,pause:!f,section:0,value:0),time:(from:'2017-06-29T10:19:59-0600',mode:absolute,to:'2017-06-29T12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197" t="str">
        <f>IF(AA232&lt;VLOOKUP(AG232,Variables!$AC$3:$AD$8,2,FALSE),"Y","N")</f>
        <v>Y</v>
      </c>
      <c r="X232" s="197">
        <f t="shared" si="72"/>
        <v>1</v>
      </c>
      <c r="Y232" s="197">
        <f t="shared" si="81"/>
        <v>0.13070000000000001</v>
      </c>
      <c r="Z232" s="197">
        <f t="shared" si="82"/>
        <v>2.4203000000000001</v>
      </c>
      <c r="AA232" s="197">
        <f t="shared" si="83"/>
        <v>2.2896000000000001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4"/>
        <v>55</v>
      </c>
      <c r="AE232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32" s="74" t="str">
        <f t="shared" si="86"/>
        <v>"C:\Program Files (x86)\AstroGrep\AstroGrep.exe" /e /r /s /spath="%USERPROFILE%\AppData\Local\Temp\OnboardLogs" /stypes="app*4024*20170629*" /stext=" 17:.+((SYSTEM_STATE.+slice.+state.+changed )|(ment ac)|(multiple cpu faults)|(system.+state.+changed )|(\[timeout)|(PRM\|1\|D)|(kpr)|(kdp)|(train st.+moving)|(\|lc)|(penalty))"</v>
      </c>
      <c r="AG232" s="209" t="str">
        <f t="shared" si="87"/>
        <v>Shuttle/Test</v>
      </c>
      <c r="AH232" s="78" t="str">
        <f t="shared" si="73"/>
        <v>"%USERPROFILE%\Documents\GitHub\eaglep3\Utilities\RefineRTDCRunTimes.py" --tripid 55-29 --locoid 4024 --swversion DE.1.0.9.0 --startMP 204:1307 --initTime 2017-06-29T11:19:59 --startdatetime 2017-06-29T11:25:39 --delay 1 --endMP 300:24203 --enddatetime 2017-06-29T11:34:11 --enforcementcount 0 &gt;&gt;C:\Users\stu\Documents\GitHub\eaglep3-reporting\EC\2017-06-29-refined-times.txt</v>
      </c>
      <c r="AI232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2.4203"},{"id":17,"name":"Train ID","value":"55-29"},{"id":16,"name":"Locomotive ID","value":"4024"},{"id":130,"name":"Impact","value":""},{"id":150,"name":"Time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5"/>
        <v>start /low /b %USERPROFILE%\Documents\GitHub\eaglep3\Utilities\DownloadLogsFromS3.py --loco 4024 --day 2017-06-29</v>
      </c>
      <c r="AN23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593</v>
      </c>
      <c r="B233" s="7">
        <v>4045</v>
      </c>
      <c r="C233" s="21" t="s">
        <v>201</v>
      </c>
      <c r="D233" s="21" t="s">
        <v>987</v>
      </c>
      <c r="E233" s="13">
        <v>42915.645370370374</v>
      </c>
      <c r="F233" s="13">
        <v>42915.672407407408</v>
      </c>
      <c r="G233" s="7">
        <v>1</v>
      </c>
      <c r="H233" s="21" t="s">
        <v>988</v>
      </c>
      <c r="I233" s="13">
        <v>42915.68550925926</v>
      </c>
      <c r="J233" s="7">
        <v>0</v>
      </c>
      <c r="K233" s="89" t="str">
        <f t="shared" si="77"/>
        <v>4045/4046</v>
      </c>
      <c r="L233" s="21" t="str">
        <f>VLOOKUP(A233,'Trips&amp;Operators'!$C$1:$G$99999,5,FALSE)</f>
        <v>LOPES KIMBERLY</v>
      </c>
      <c r="M233" s="6">
        <f t="shared" si="78"/>
        <v>1.3101851851388346E-2</v>
      </c>
      <c r="N233" s="7">
        <f t="shared" si="88"/>
        <v>18.866666665999219</v>
      </c>
      <c r="O233" s="7"/>
      <c r="P233" s="7"/>
      <c r="Q233" s="22"/>
      <c r="R233" s="170"/>
      <c r="S233" s="213">
        <f t="shared" si="89"/>
        <v>0</v>
      </c>
      <c r="T233" s="195" t="str">
        <f t="shared" si="79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0"/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3" s="197" t="str">
        <f>IF(AA233&lt;VLOOKUP(AG233,Variables!$AC$3:$AD$8,2,FALSE),"Y","N")</f>
        <v>Y</v>
      </c>
      <c r="X233" s="197">
        <f t="shared" si="72"/>
        <v>2</v>
      </c>
      <c r="Y233" s="197">
        <f t="shared" si="81"/>
        <v>11.2193</v>
      </c>
      <c r="Z233" s="197">
        <f t="shared" si="82"/>
        <v>6.9055999999999997</v>
      </c>
      <c r="AA233" s="197">
        <f t="shared" si="83"/>
        <v>4.3137000000000008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4"/>
        <v>57</v>
      </c>
      <c r="AE233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3" s="74" t="str">
        <f t="shared" si="86"/>
        <v>"C:\Program Files (x86)\AstroGrep\AstroGrep.exe" /e /r /s /spath="%USERPROFILE%\AppData\Local\Temp\OnboardLogs" /stypes="app*4045*20170629*" /stext=" 22:.+((SYSTEM_STATE.+slice.+state.+changed )|(ment ac)|(multiple cpu faults)|(system.+state.+changed )|(\[timeout)|(PRM\|1\|D)|(kpr)|(kdp)|(train st.+moving)|(\|lc)|(penalty))"</v>
      </c>
      <c r="AG233" s="209" t="str">
        <f t="shared" si="87"/>
        <v>Shuttle/Test</v>
      </c>
      <c r="AH233" s="78" t="str">
        <f t="shared" si="73"/>
        <v>"%USERPROFILE%\Documents\GitHub\eaglep3\Utilities\RefineRTDCRunTimes.py" --tripid 57-29 --locoid 4045 --swversion DE.1.0.9.0 --startMP 300:112193 --initTime 2017-06-29T15:29:20 --startdatetime 2017-06-29T16:08:16 --delay 1 --endMP 300:69056 --enddatetime 2017-06-29T16:27:08 --enforcementcount 0 &gt;&gt;C:\Users\stu\Documents\GitHub\eaglep3-reporting\EC\2017-06-29-refined-times.txt</v>
      </c>
      <c r="AI233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6.9056"},{"id":17,"name":"Train ID","value":"57-29"},{"id":16,"name":"Locomotive ID","value":"4045"},{"id":130,"name":"Impact","value":""},{"id":150,"name":"Time of Event (Mountain Time)","value":"16:27:08"},{"id":151,"name":"Denver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5"/>
        <v>start /low /b %USERPROFILE%\Documents\GitHub\eaglep3\Utilities\DownloadLogsFromS3.py --loco 4045 --day 2017-06-29</v>
      </c>
      <c r="AN23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593</v>
      </c>
      <c r="B234" s="7">
        <v>4045</v>
      </c>
      <c r="C234" s="21" t="s">
        <v>201</v>
      </c>
      <c r="D234" s="21" t="s">
        <v>989</v>
      </c>
      <c r="E234" s="13">
        <v>42915.59134259259</v>
      </c>
      <c r="F234" s="13">
        <v>42915.622199074074</v>
      </c>
      <c r="G234" s="7">
        <v>1</v>
      </c>
      <c r="H234" s="21" t="s">
        <v>990</v>
      </c>
      <c r="I234" s="13">
        <v>42915.63008101852</v>
      </c>
      <c r="J234" s="7">
        <v>0</v>
      </c>
      <c r="K234" s="89" t="str">
        <f t="shared" si="77"/>
        <v>4045/4046</v>
      </c>
      <c r="L234" s="21" t="str">
        <f>VLOOKUP(A234,'Trips&amp;Operators'!$C$1:$G$99999,5,FALSE)</f>
        <v>LOPES KIMBERLY</v>
      </c>
      <c r="M234" s="6">
        <f t="shared" si="78"/>
        <v>7.8819444461259991E-3</v>
      </c>
      <c r="N234" s="7">
        <f t="shared" si="88"/>
        <v>11.350000002421439</v>
      </c>
      <c r="O234" s="7"/>
      <c r="P234" s="7"/>
      <c r="Q234" s="22"/>
      <c r="R234" s="170"/>
      <c r="S234" s="213">
        <f t="shared" si="89"/>
        <v>0</v>
      </c>
      <c r="T234" s="195" t="str">
        <f t="shared" si="7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80"/>
        <v>https://d0f6bd738d7f1b3e5a7ca70fe4ff75f0.us-east-1.aws.found.io/app/kibana#/discover/Steve-Slow-Train-Analysis-(2080s-and-2083s)?_g=(refreshInterval:(display:Off,pause:!f,section:0,value:0),time:(from:'2017-06-29T13:11:32-0600',mode:absolute,to:'2017-06-29T16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97" t="str">
        <f>IF(AA234&lt;VLOOKUP(AG234,Variables!$AC$3:$AD$8,2,FALSE),"Y","N")</f>
        <v>Y</v>
      </c>
      <c r="X234" s="197">
        <f t="shared" ref="X234:X250" si="90">VALUE(LEFT(AD234,4))-VALUE(LEFT(AD233,4))</f>
        <v>0</v>
      </c>
      <c r="Y234" s="197">
        <f t="shared" si="81"/>
        <v>11.219900000000001</v>
      </c>
      <c r="Z234" s="197">
        <f t="shared" si="82"/>
        <v>6.9284999999999997</v>
      </c>
      <c r="AA234" s="197">
        <f t="shared" si="83"/>
        <v>4.2914000000000012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4"/>
        <v>57</v>
      </c>
      <c r="AE234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4" s="74" t="str">
        <f t="shared" si="86"/>
        <v>"C:\Program Files (x86)\AstroGrep\AstroGrep.exe" /e /r /s /spath="%USERPROFILE%\AppData\Local\Temp\OnboardLogs" /stypes="app*4045*20170629*" /stext=" 21:.+((SYSTEM_STATE.+slice.+state.+changed )|(ment ac)|(multiple cpu faults)|(system.+state.+changed )|(\[timeout)|(PRM\|1\|D)|(kpr)|(kdp)|(train st.+moving)|(\|lc)|(penalty))"</v>
      </c>
      <c r="AG234" s="209" t="str">
        <f t="shared" si="87"/>
        <v>Shuttle/Test</v>
      </c>
      <c r="AH234" s="78" t="str">
        <f t="shared" si="73"/>
        <v>"%USERPROFILE%\Documents\GitHub\eaglep3\Utilities\RefineRTDCRunTimes.py" --tripid 57-29 --locoid 4045 --swversion DE.1.0.9.0 --startMP 300:112199 --initTime 2017-06-29T14:11:32 --startdatetime 2017-06-29T14:55:58 --delay 1 --endMP 300:69285 --enddatetime 2017-06-29T15:07:19 --enforcementcount 0 &gt;&gt;C:\Users\stu\Documents\GitHub\eaglep3-reporting\EC\2017-06-29-refined-times.txt</v>
      </c>
      <c r="AI234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6.9285"},{"id":17,"name":"Train ID","value":"57-29"},{"id":16,"name":"Locomotive ID","value":"4045"},{"id":130,"name":"Impact","value":""},{"id":150,"name":"Time of Event (Mountain Time)","value":"15:07:19"},{"id":151,"name":"Denver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5"/>
        <v>start /low /b %USERPROFILE%\Documents\GitHub\eaglep3\Utilities\DownloadLogsFromS3.py --loco 4045 --day 2017-06-29</v>
      </c>
      <c r="AN23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593</v>
      </c>
      <c r="B235" s="7">
        <v>4045</v>
      </c>
      <c r="C235" s="21" t="s">
        <v>201</v>
      </c>
      <c r="D235" s="21" t="s">
        <v>991</v>
      </c>
      <c r="E235" s="13">
        <v>42915.670115740744</v>
      </c>
      <c r="F235" s="13">
        <v>25568.708333333332</v>
      </c>
      <c r="G235" s="7">
        <v>1</v>
      </c>
      <c r="H235" s="21" t="s">
        <v>992</v>
      </c>
      <c r="I235" s="13">
        <v>25568.708333333332</v>
      </c>
      <c r="J235" s="7">
        <v>0</v>
      </c>
      <c r="K235" s="89" t="str">
        <f t="shared" si="77"/>
        <v>4045/4046</v>
      </c>
      <c r="L235" s="21" t="str">
        <f>VLOOKUP(A235,'Trips&amp;Operators'!$C$1:$G$99999,5,FALSE)</f>
        <v>LOPES KIMBERLY</v>
      </c>
      <c r="M235" s="6">
        <f t="shared" si="78"/>
        <v>0</v>
      </c>
      <c r="N235" s="7">
        <f t="shared" si="88"/>
        <v>0</v>
      </c>
      <c r="O235" s="7"/>
      <c r="P235" s="7"/>
      <c r="Q235" s="22"/>
      <c r="R235" s="170"/>
      <c r="S235" s="213">
        <f t="shared" si="89"/>
        <v>0</v>
      </c>
      <c r="T235" s="195" t="str">
        <f t="shared" si="7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0"/>
        <v>https://d0f6bd738d7f1b3e5a7ca70fe4ff75f0.us-east-1.aws.found.io/app/kibana#/discover/Steve-Slow-Train-Analysis-(2080s-and-2083s)?_g=(refreshInterval:(display:Off,pause:!f,section:0,value:0),time:(from:'2017-06-29T15:04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5" s="197" t="str">
        <f>IF(AA235&lt;VLOOKUP(AG235,Variables!$AC$3:$AD$8,2,FALSE),"Y","N")</f>
        <v>Y</v>
      </c>
      <c r="X235" s="197">
        <f t="shared" si="90"/>
        <v>0</v>
      </c>
      <c r="Y235" s="197">
        <f t="shared" si="81"/>
        <v>11.2202</v>
      </c>
      <c r="Z235" s="197">
        <f t="shared" si="82"/>
        <v>2.1543000000000001</v>
      </c>
      <c r="AA235" s="197">
        <f t="shared" si="83"/>
        <v>9.0658999999999992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4"/>
        <v>57</v>
      </c>
      <c r="AE235" s="77" t="str">
        <f t="shared" si="85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35" s="74" t="str">
        <f t="shared" si="86"/>
        <v>"C:\Program Files (x86)\AstroGrep\AstroGrep.exe" /e /r /s /spath="%USERPROFILE%\AppData\Local\Temp\OnboardLogs" /stypes="app*4045*19691231*" /stext=" 23:.+((SYSTEM_STATE.+slice.+state.+changed )|(ment ac)|(multiple cpu faults)|(system.+state.+changed )|(\[timeout)|(PRM\|1\|D)|(kpr)|(kdp)|(train st.+moving)|(\|lc)|(penalty))"</v>
      </c>
      <c r="AG235" s="209" t="str">
        <f t="shared" si="87"/>
        <v>Shuttle/Test</v>
      </c>
      <c r="AH235" s="78" t="str">
        <f t="shared" si="73"/>
        <v>"%USERPROFILE%\Documents\GitHub\eaglep3\Utilities\RefineRTDCRunTimes.py" --tripid 57-29 --locoid 4045 --swversion DE.1.0.9.0 --startMP 300:112202 --initTime 2017-06-29T16:04:58 --startdatetime 1969-12-31T17:00:00 --delay 1 --endMP 300:21543 --enddatetime 1969-12-31T17:00:00 --enforcementcount 0 &gt;&gt;C:\Users\stu\Documents\GitHub\eaglep3-reporting\EC\2017-06-29-refined-times.txt</v>
      </c>
      <c r="AI235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2.1543"},{"id":17,"name":"Train ID","value":"57-29"},{"id":16,"name":"Locomotive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5"/>
        <v>start /low /b %USERPROFILE%\Documents\GitHub\eaglep3\Utilities\DownloadLogsFromS3.py --loco 4045 --day 1969-12-31</v>
      </c>
      <c r="AN235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593</v>
      </c>
      <c r="B236" s="7">
        <v>4045</v>
      </c>
      <c r="C236" s="21" t="s">
        <v>201</v>
      </c>
      <c r="D236" s="21" t="s">
        <v>993</v>
      </c>
      <c r="E236" s="13">
        <v>42915.618587962963</v>
      </c>
      <c r="F236" s="13">
        <v>42915.647696759261</v>
      </c>
      <c r="G236" s="7">
        <v>2</v>
      </c>
      <c r="H236" s="21" t="s">
        <v>994</v>
      </c>
      <c r="I236" s="13">
        <v>42915.655543981484</v>
      </c>
      <c r="J236" s="7">
        <v>0</v>
      </c>
      <c r="K236" s="89" t="str">
        <f t="shared" si="77"/>
        <v>4045/4046</v>
      </c>
      <c r="L236" s="21" t="str">
        <f>VLOOKUP(A236,'Trips&amp;Operators'!$C$1:$G$99999,5,FALSE)</f>
        <v>LOPES KIMBERLY</v>
      </c>
      <c r="M236" s="6">
        <f t="shared" si="78"/>
        <v>7.8472222230629995E-3</v>
      </c>
      <c r="N236" s="7">
        <f t="shared" si="88"/>
        <v>11.300000001210719</v>
      </c>
      <c r="O236" s="7"/>
      <c r="P236" s="7"/>
      <c r="Q236" s="22"/>
      <c r="R236" s="170"/>
      <c r="S236" s="213">
        <f t="shared" si="89"/>
        <v>0</v>
      </c>
      <c r="T236" s="195" t="str">
        <f t="shared" si="79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0"/>
        <v>https://d0f6bd738d7f1b3e5a7ca70fe4ff75f0.us-east-1.aws.found.io/app/kibana#/discover/Steve-Slow-Train-Analysis-(2080s-and-2083s)?_g=(refreshInterval:(display:Off,pause:!f,section:0,value:0),time:(from:'2017-06-29T13:50:46-0600',mode:absolute,to:'2017-06-29T16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7" t="str">
        <f>IF(AA236&lt;VLOOKUP(AG236,Variables!$AC$3:$AD$8,2,FALSE),"Y","N")</f>
        <v>Y</v>
      </c>
      <c r="X236" s="197">
        <f t="shared" si="90"/>
        <v>0</v>
      </c>
      <c r="Y236" s="197">
        <f t="shared" si="81"/>
        <v>11.2262</v>
      </c>
      <c r="Z236" s="197">
        <f t="shared" si="82"/>
        <v>6.8813000000000004</v>
      </c>
      <c r="AA236" s="197">
        <f t="shared" si="83"/>
        <v>4.3449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4"/>
        <v>57</v>
      </c>
      <c r="AE236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6" s="74" t="str">
        <f t="shared" si="86"/>
        <v>"C:\Program Files (x86)\AstroGrep\AstroGrep.exe" /e /r /s /spath="%USERPROFILE%\AppData\Local\Temp\OnboardLogs" /stypes="app*4045*20170629*" /stext=" 21:.+((SYSTEM_STATE.+slice.+state.+changed )|(ment ac)|(multiple cpu faults)|(system.+state.+changed )|(\[timeout)|(PRM\|1\|D)|(kpr)|(kdp)|(train st.+moving)|(\|lc)|(penalty))"</v>
      </c>
      <c r="AG236" s="209" t="str">
        <f t="shared" si="87"/>
        <v>Shuttle/Test</v>
      </c>
      <c r="AH236" s="78" t="str">
        <f t="shared" si="73"/>
        <v>"%USERPROFILE%\Documents\GitHub\eaglep3\Utilities\RefineRTDCRunTimes.py" --tripid 57-29 --locoid 4045 --swversion DE.1.0.9.0 --startMP 300:112262 --initTime 2017-06-29T14:50:46 --startdatetime 2017-06-29T15:32:41 --delay 2 --endMP 300:68813 --enddatetime 2017-06-29T15:43:59 --enforcementcount 0 &gt;&gt;C:\Users\stu\Documents\GitHub\eaglep3-reporting\EC\2017-06-29-refined-times.txt</v>
      </c>
      <c r="AI236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6.8813"},{"id":17,"name":"Train ID","value":"57-29"},{"id":16,"name":"Locomotive ID","value":"4045"},{"id":130,"name":"Impact","value":""},{"id":150,"name":"Time of Event (Mountain Time)","value":"15:43:59"},{"id":151,"name":"Denver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5"/>
        <v>start /low /b %USERPROFILE%\Documents\GitHub\eaglep3\Utilities\DownloadLogsFromS3.py --loco 4045 --day 2017-06-29</v>
      </c>
      <c r="AN23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593</v>
      </c>
      <c r="B237" s="7">
        <v>4046</v>
      </c>
      <c r="C237" s="21" t="s">
        <v>201</v>
      </c>
      <c r="D237" s="21" t="s">
        <v>995</v>
      </c>
      <c r="E237" s="13">
        <v>42915.555393518516</v>
      </c>
      <c r="F237" s="13">
        <v>42915.594386574077</v>
      </c>
      <c r="G237" s="7">
        <v>6</v>
      </c>
      <c r="H237" s="21" t="s">
        <v>996</v>
      </c>
      <c r="I237" s="13">
        <v>42915.600185185183</v>
      </c>
      <c r="J237" s="7">
        <v>0</v>
      </c>
      <c r="K237" s="89" t="str">
        <f t="shared" si="77"/>
        <v>4045/4046</v>
      </c>
      <c r="L237" s="21" t="str">
        <f>VLOOKUP(A237,'Trips&amp;Operators'!$C$1:$G$99999,5,FALSE)</f>
        <v>LOPES KIMBERLY</v>
      </c>
      <c r="M237" s="6">
        <f t="shared" si="78"/>
        <v>5.798611106001772E-3</v>
      </c>
      <c r="N237" s="7">
        <f t="shared" si="88"/>
        <v>8.3499999926425517</v>
      </c>
      <c r="O237" s="7"/>
      <c r="P237" s="7"/>
      <c r="Q237" s="22"/>
      <c r="R237" s="170"/>
      <c r="S237" s="213">
        <f t="shared" si="89"/>
        <v>0</v>
      </c>
      <c r="T237" s="195" t="str">
        <f t="shared" si="79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0"/>
        <v>https://d0f6bd738d7f1b3e5a7ca70fe4ff75f0.us-east-1.aws.found.io/app/kibana#/discover/Steve-Slow-Train-Analysis-(2080s-and-2083s)?_g=(refreshInterval:(display:Off,pause:!f,section:0,value:0),time:(from:'2017-06-29T12:19:46-0600',mode:absolute,to:'2017-06-29T15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7" s="197" t="str">
        <f>IF(AA237&lt;VLOOKUP(AG237,Variables!$AC$3:$AD$8,2,FALSE),"Y","N")</f>
        <v>Y</v>
      </c>
      <c r="X237" s="197">
        <f t="shared" si="90"/>
        <v>0</v>
      </c>
      <c r="Y237" s="197">
        <f t="shared" si="81"/>
        <v>2.9710000000000001</v>
      </c>
      <c r="Z237" s="197">
        <f t="shared" si="82"/>
        <v>9.8679000000000006</v>
      </c>
      <c r="AA237" s="197">
        <f t="shared" si="83"/>
        <v>6.8969000000000005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4"/>
        <v>57</v>
      </c>
      <c r="AE237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37" s="74" t="str">
        <f t="shared" si="86"/>
        <v>"C:\Program Files (x86)\AstroGrep\AstroGrep.exe" /e /r /s /spath="%USERPROFILE%\AppData\Local\Temp\OnboardLogs" /stypes="app*4046*20170629*" /stext=" 20:.+((SYSTEM_STATE.+slice.+state.+changed )|(ment ac)|(multiple cpu faults)|(system.+state.+changed )|(\[timeout)|(PRM\|1\|D)|(kpr)|(kdp)|(train st.+moving)|(\|lc)|(penalty))"</v>
      </c>
      <c r="AG237" s="209" t="str">
        <f t="shared" si="87"/>
        <v>Shuttle/Test</v>
      </c>
      <c r="AH237" s="78" t="str">
        <f t="shared" si="73"/>
        <v>"%USERPROFILE%\Documents\GitHub\eaglep3\Utilities\RefineRTDCRunTimes.py" --tripid 57-29 --locoid 4046 --swversion DE.1.0.9.0 --startMP 300:29710 --initTime 2017-06-29T13:19:46 --startdatetime 2017-06-29T14:15:55 --delay 6 --endMP 300:98679 --enddatetime 2017-06-29T14:24:16 --enforcementcount 0 &gt;&gt;C:\Users\stu\Documents\GitHub\eaglep3-reporting\EC\2017-06-29-refined-times.txt</v>
      </c>
      <c r="AI23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9.8679"},{"id":17,"name":"Train ID","value":"57-29"},{"id":16,"name":"Locomotive ID","value":"4046"},{"id":130,"name":"Impact","value":""},{"id":150,"name":"Time of Event (Mountain Time)","value":"14:24:16"},{"id":151,"name":"Denver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5"/>
        <v>start /low /b %USERPROFILE%\Documents\GitHub\eaglep3\Utilities\DownloadLogsFromS3.py --loco 4046 --day 2017-06-29</v>
      </c>
      <c r="AN23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593</v>
      </c>
      <c r="B238" s="7">
        <v>4046</v>
      </c>
      <c r="C238" s="21" t="s">
        <v>201</v>
      </c>
      <c r="D238" s="21" t="s">
        <v>997</v>
      </c>
      <c r="E238" s="13">
        <v>42915.631296296298</v>
      </c>
      <c r="F238" s="13">
        <v>42915.659074074072</v>
      </c>
      <c r="G238" s="7">
        <v>1</v>
      </c>
      <c r="H238" s="21" t="s">
        <v>998</v>
      </c>
      <c r="I238" s="13">
        <v>42915.66746527778</v>
      </c>
      <c r="J238" s="7">
        <v>0</v>
      </c>
      <c r="K238" s="89" t="str">
        <f t="shared" si="77"/>
        <v>4045/4046</v>
      </c>
      <c r="L238" s="21" t="str">
        <f>VLOOKUP(A238,'Trips&amp;Operators'!$C$1:$G$99999,5,FALSE)</f>
        <v>LOPES KIMBERLY</v>
      </c>
      <c r="M238" s="6">
        <f t="shared" si="78"/>
        <v>8.3912037080153823E-3</v>
      </c>
      <c r="N238" s="7">
        <f t="shared" si="88"/>
        <v>12.08333333954215</v>
      </c>
      <c r="O238" s="7"/>
      <c r="P238" s="7"/>
      <c r="Q238" s="22"/>
      <c r="R238" s="170"/>
      <c r="S238" s="213">
        <f t="shared" si="89"/>
        <v>0</v>
      </c>
      <c r="T238" s="195" t="str">
        <f t="shared" si="79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0"/>
        <v>https://d0f6bd738d7f1b3e5a7ca70fe4ff75f0.us-east-1.aws.found.io/app/kibana#/discover/Steve-Slow-Train-Analysis-(2080s-and-2083s)?_g=(refreshInterval:(display:Off,pause:!f,section:0,value:0),time:(from:'2017-06-29T14:09:04-0600',mode:absolute,to:'2017-06-29T17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8" s="197" t="str">
        <f>IF(AA238&lt;VLOOKUP(AG238,Variables!$AC$3:$AD$8,2,FALSE),"Y","N")</f>
        <v>Y</v>
      </c>
      <c r="X238" s="197">
        <f t="shared" si="90"/>
        <v>0</v>
      </c>
      <c r="Y238" s="197">
        <f t="shared" si="81"/>
        <v>6.9141000000000004</v>
      </c>
      <c r="Z238" s="197">
        <f t="shared" si="82"/>
        <v>11.2477</v>
      </c>
      <c r="AA238" s="197">
        <f t="shared" si="83"/>
        <v>4.3335999999999997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4"/>
        <v>57</v>
      </c>
      <c r="AE238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38" s="74" t="str">
        <f t="shared" si="86"/>
        <v>"C:\Program Files (x86)\AstroGrep\AstroGrep.exe" /e /r /s /spath="%USERPROFILE%\AppData\Local\Temp\OnboardLogs" /stypes="app*4046*20170629*" /stext=" 22:.+((SYSTEM_STATE.+slice.+state.+changed )|(ment ac)|(multiple cpu faults)|(system.+state.+changed )|(\[timeout)|(PRM\|1\|D)|(kpr)|(kdp)|(train st.+moving)|(\|lc)|(penalty))"</v>
      </c>
      <c r="AG238" s="209" t="str">
        <f t="shared" si="87"/>
        <v>Shuttle/Test</v>
      </c>
      <c r="AH238" s="78" t="str">
        <f t="shared" si="73"/>
        <v>"%USERPROFILE%\Documents\GitHub\eaglep3\Utilities\RefineRTDCRunTimes.py" --tripid 57-29 --locoid 4046 --swversion DE.1.0.9.0 --startMP 300:69141 --initTime 2017-06-29T15:09:04 --startdatetime 2017-06-29T15:49:04 --delay 1 --endMP 300:112477 --enddatetime 2017-06-29T16:01:09 --enforcementcount 0 &gt;&gt;C:\Users\stu\Documents\GitHub\eaglep3-reporting\EC\2017-06-29-refined-times.txt</v>
      </c>
      <c r="AI238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11.2477"},{"id":17,"name":"Train ID","value":"57-29"},{"id":16,"name":"Locomotive ID","value":"4046"},{"id":130,"name":"Impact","value":""},{"id":150,"name":"Time of Event (Mountain Time)","value":"16:01:09"},{"id":151,"name":"Denver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5"/>
        <v>start /low /b %USERPROFILE%\Documents\GitHub\eaglep3\Utilities\DownloadLogsFromS3.py --loco 4046 --day 2017-06-29</v>
      </c>
      <c r="AN238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593</v>
      </c>
      <c r="B239" s="7">
        <v>4046</v>
      </c>
      <c r="C239" s="21" t="s">
        <v>201</v>
      </c>
      <c r="D239" s="21" t="s">
        <v>999</v>
      </c>
      <c r="E239" s="13">
        <v>42915.657361111109</v>
      </c>
      <c r="F239" s="13">
        <v>25568.708333333332</v>
      </c>
      <c r="G239" s="7">
        <v>1</v>
      </c>
      <c r="H239" s="21" t="s">
        <v>1000</v>
      </c>
      <c r="I239" s="13">
        <v>25568.708333333332</v>
      </c>
      <c r="J239" s="7">
        <v>0</v>
      </c>
      <c r="K239" s="89" t="str">
        <f t="shared" si="77"/>
        <v>4045/4046</v>
      </c>
      <c r="L239" s="21" t="str">
        <f>VLOOKUP(A239,'Trips&amp;Operators'!$C$1:$G$99999,5,FALSE)</f>
        <v>LOPES KIMBERLY</v>
      </c>
      <c r="M239" s="6">
        <f t="shared" si="78"/>
        <v>0</v>
      </c>
      <c r="N239" s="7">
        <f t="shared" ref="N239:N250" si="91">24*60*SUM($M239:$M239)</f>
        <v>0</v>
      </c>
      <c r="O239" s="7"/>
      <c r="P239" s="7"/>
      <c r="Q239" s="22"/>
      <c r="R239" s="170"/>
      <c r="S239" s="213">
        <f t="shared" ref="S239:S250" si="92">SUM(U239:U239)/IF(AG239="EC",12,1)</f>
        <v>0</v>
      </c>
      <c r="T239" s="195" t="str">
        <f t="shared" si="79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80"/>
        <v>https://d0f6bd738d7f1b3e5a7ca70fe4ff75f0.us-east-1.aws.found.io/app/kibana#/discover/Steve-Slow-Train-Analysis-(2080s-and-2083s)?_g=(refreshInterval:(display:Off,pause:!f,section:0,value:0),time:(from:'2017-06-29T14:46:36-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9" s="197" t="str">
        <f>IF(AA239&lt;VLOOKUP(AG239,Variables!$AC$3:$AD$8,2,FALSE),"Y","N")</f>
        <v>Y</v>
      </c>
      <c r="X239" s="197">
        <f t="shared" si="90"/>
        <v>0</v>
      </c>
      <c r="Y239" s="197">
        <f t="shared" si="81"/>
        <v>6.9381000000000004</v>
      </c>
      <c r="Z239" s="197">
        <f t="shared" si="82"/>
        <v>11.2423</v>
      </c>
      <c r="AA239" s="197">
        <f t="shared" si="83"/>
        <v>4.3041999999999998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4"/>
        <v>57</v>
      </c>
      <c r="AE239" s="77" t="str">
        <f t="shared" si="8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39" s="74" t="str">
        <f t="shared" si="86"/>
        <v>"C:\Program Files (x86)\AstroGrep\AstroGrep.exe" /e /r /s /spath="%USERPROFILE%\AppData\Local\Temp\OnboardLogs" /stypes="app*4046*19691231*" /stext=" 23:.+((SYSTEM_STATE.+slice.+state.+changed )|(ment ac)|(multiple cpu faults)|(system.+state.+changed )|(\[timeout)|(PRM\|1\|D)|(kpr)|(kdp)|(train st.+moving)|(\|lc)|(penalty))"</v>
      </c>
      <c r="AG239" s="209" t="str">
        <f t="shared" si="87"/>
        <v>Shuttle/Test</v>
      </c>
      <c r="AH239" s="78" t="str">
        <f t="shared" si="73"/>
        <v>"%USERPROFILE%\Documents\GitHub\eaglep3\Utilities\RefineRTDCRunTimes.py" --tripid 57-29 --locoid 4046 --swversion DE.1.0.9.0 --startMP 300:69381 --initTime 2017-06-29T15:46:36 --startdatetime 1969-12-31T17:00:00 --delay 1 --endMP 300:112423 --enddatetime 1969-12-31T17:00:00 --enforcementcount 0 &gt;&gt;C:\Users\stu\Documents\GitHub\eaglep3-reporting\EC\2017-06-29-refined-times.txt</v>
      </c>
      <c r="AI239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11.2423"},{"id":17,"name":"Train ID","value":"57-29"},{"id":16,"name":"Locomotive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5"/>
        <v>start /low /b %USERPROFILE%\Documents\GitHub\eaglep3\Utilities\DownloadLogsFromS3.py --loco 4046 --day 1969-12-31</v>
      </c>
      <c r="AN239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593</v>
      </c>
      <c r="B240" s="7">
        <v>4046</v>
      </c>
      <c r="C240" s="21" t="s">
        <v>201</v>
      </c>
      <c r="D240" s="21" t="s">
        <v>1001</v>
      </c>
      <c r="E240" s="13">
        <v>42915.602002314816</v>
      </c>
      <c r="F240" s="13">
        <v>42915.634525462963</v>
      </c>
      <c r="G240" s="7">
        <v>2</v>
      </c>
      <c r="H240" s="21" t="s">
        <v>1002</v>
      </c>
      <c r="I240" s="13">
        <v>42915.643726851849</v>
      </c>
      <c r="J240" s="7">
        <v>0</v>
      </c>
      <c r="K240" s="89" t="str">
        <f t="shared" si="77"/>
        <v>4045/4046</v>
      </c>
      <c r="L240" s="21" t="str">
        <f>VLOOKUP(A240,'Trips&amp;Operators'!$C$1:$G$99999,5,FALSE)</f>
        <v>LOPES KIMBERLY</v>
      </c>
      <c r="M240" s="6">
        <f t="shared" si="78"/>
        <v>9.2013888861401938E-3</v>
      </c>
      <c r="N240" s="7">
        <f t="shared" si="91"/>
        <v>13.249999996041879</v>
      </c>
      <c r="O240" s="7"/>
      <c r="P240" s="7"/>
      <c r="Q240" s="22"/>
      <c r="R240" s="170"/>
      <c r="S240" s="213">
        <f t="shared" si="92"/>
        <v>0</v>
      </c>
      <c r="T240" s="195" t="str">
        <f t="shared" si="79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80"/>
        <v>https://d0f6bd738d7f1b3e5a7ca70fe4ff75f0.us-east-1.aws.found.io/app/kibana#/discover/Steve-Slow-Train-Analysis-(2080s-and-2083s)?_g=(refreshInterval:(display:Off,pause:!f,section:0,value:0),time:(from:'2017-06-29T13:26:53-0600',mode:absolute,to:'2017-06-29T16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90"/>
        <v>0</v>
      </c>
      <c r="Y240" s="197">
        <f t="shared" si="81"/>
        <v>6.9608999999999996</v>
      </c>
      <c r="Z240" s="197">
        <f t="shared" si="82"/>
        <v>11.2578</v>
      </c>
      <c r="AA240" s="197">
        <f t="shared" si="83"/>
        <v>4.2968999999999999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4"/>
        <v>57</v>
      </c>
      <c r="AE240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40" s="74" t="str">
        <f t="shared" si="86"/>
        <v>"C:\Program Files (x86)\AstroGrep\AstroGrep.exe" /e /r /s /spath="%USERPROFILE%\AppData\Local\Temp\OnboardLogs" /stypes="app*4046*20170629*" /stext=" 21:.+((SYSTEM_STATE.+slice.+state.+changed )|(ment ac)|(multiple cpu faults)|(system.+state.+changed )|(\[timeout)|(PRM\|1\|D)|(kpr)|(kdp)|(train st.+moving)|(\|lc)|(penalty))"</v>
      </c>
      <c r="AG240" s="209" t="str">
        <f t="shared" si="87"/>
        <v>Shuttle/Test</v>
      </c>
      <c r="AH240" s="78" t="str">
        <f t="shared" si="73"/>
        <v>"%USERPROFILE%\Documents\GitHub\eaglep3\Utilities\RefineRTDCRunTimes.py" --tripid 57-29 --locoid 4046 --swversion DE.1.0.9.0 --startMP 300:69609 --initTime 2017-06-29T14:26:53 --startdatetime 2017-06-29T15:13:43 --delay 2 --endMP 300:112578 --enddatetime 2017-06-29T15:26:58 --enforcementcount 0 &gt;&gt;C:\Users\stu\Documents\GitHub\eaglep3-reporting\EC\2017-06-29-refined-times.txt</v>
      </c>
      <c r="AI240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11.2578"},{"id":17,"name":"Train ID","value":"57-29"},{"id":16,"name":"Locomotive ID","value":"4046"},{"id":130,"name":"Impact","value":""},{"id":150,"name":"Time of Event (Mountain Time)","value":"15:26:58"},{"id":151,"name":"Denver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5"/>
        <v>start /low /b %USERPROFILE%\Documents\GitHub\eaglep3\Utilities\DownloadLogsFromS3.py --loco 4046 --day 2017-06-29</v>
      </c>
      <c r="AN240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593</v>
      </c>
      <c r="B241" s="7">
        <v>4046</v>
      </c>
      <c r="C241" s="21" t="s">
        <v>201</v>
      </c>
      <c r="D241" s="21" t="s">
        <v>1003</v>
      </c>
      <c r="E241" s="13">
        <v>42915.583425925928</v>
      </c>
      <c r="F241" s="13">
        <v>42915.607916666668</v>
      </c>
      <c r="G241" s="7">
        <v>1</v>
      </c>
      <c r="H241" s="21" t="s">
        <v>1004</v>
      </c>
      <c r="I241" s="13">
        <v>42915.616643518515</v>
      </c>
      <c r="J241" s="7">
        <v>0</v>
      </c>
      <c r="K241" s="89" t="str">
        <f t="shared" si="77"/>
        <v>4045/4046</v>
      </c>
      <c r="L241" s="21" t="str">
        <f>VLOOKUP(A241,'Trips&amp;Operators'!$C$1:$G$99999,5,FALSE)</f>
        <v>LOPES KIMBERLY</v>
      </c>
      <c r="M241" s="6">
        <f t="shared" si="78"/>
        <v>8.7268518473138101E-3</v>
      </c>
      <c r="N241" s="7">
        <f t="shared" si="91"/>
        <v>12.566666660131887</v>
      </c>
      <c r="O241" s="7"/>
      <c r="P241" s="7"/>
      <c r="Q241" s="22"/>
      <c r="R241" s="170"/>
      <c r="S241" s="213">
        <f t="shared" si="92"/>
        <v>0</v>
      </c>
      <c r="T241" s="195" t="str">
        <f t="shared" si="79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0"/>
        <v>https://d0f6bd738d7f1b3e5a7ca70fe4ff75f0.us-east-1.aws.found.io/app/kibana#/discover/Steve-Slow-Train-Analysis-(2080s-and-2083s)?_g=(refreshInterval:(display:Off,pause:!f,section:0,value:0),time:(from:'2017-06-29T13:00:08-0600',mode:absolute,to:'2017-06-29T15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1" s="197" t="str">
        <f>IF(AA241&lt;VLOOKUP(AG241,Variables!$AC$3:$AD$8,2,FALSE),"Y","N")</f>
        <v>Y</v>
      </c>
      <c r="X241" s="197">
        <f t="shared" si="90"/>
        <v>0</v>
      </c>
      <c r="Y241" s="197">
        <f t="shared" si="81"/>
        <v>9.8673999999999999</v>
      </c>
      <c r="Z241" s="197">
        <f t="shared" si="82"/>
        <v>11.251300000000001</v>
      </c>
      <c r="AA241" s="197">
        <f t="shared" si="83"/>
        <v>1.3839000000000006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4"/>
        <v>57</v>
      </c>
      <c r="AE241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41" s="74" t="str">
        <f t="shared" si="86"/>
        <v>"C:\Program Files (x86)\AstroGrep\AstroGrep.exe" /e /r /s /spath="%USERPROFILE%\AppData\Local\Temp\OnboardLogs" /stypes="app*4046*20170629*" /stext=" 20:.+((SYSTEM_STATE.+slice.+state.+changed )|(ment ac)|(multiple cpu faults)|(system.+state.+changed )|(\[timeout)|(PRM\|1\|D)|(kpr)|(kdp)|(train st.+moving)|(\|lc)|(penalty))"</v>
      </c>
      <c r="AG241" s="209" t="str">
        <f t="shared" si="87"/>
        <v>Shuttle/Test</v>
      </c>
      <c r="AH241" s="78" t="str">
        <f t="shared" si="73"/>
        <v>"%USERPROFILE%\Documents\GitHub\eaglep3\Utilities\RefineRTDCRunTimes.py" --tripid 57-29 --locoid 4046 --swversion DE.1.0.9.0 --startMP 300:98674 --initTime 2017-06-29T14:00:08 --startdatetime 2017-06-29T14:35:24 --delay 1 --endMP 300:112513 --enddatetime 2017-06-29T14:47:58 --enforcementcount 0 &gt;&gt;C:\Users\stu\Documents\GitHub\eaglep3-reporting\EC\2017-06-29-refined-times.txt</v>
      </c>
      <c r="AI241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11.2513"},{"id":17,"name":"Train ID","value":"57-29"},{"id":16,"name":"Locomotive ID","value":"4046"},{"id":130,"name":"Impact","value":""},{"id":150,"name":"Time of Event (Mountain Time)","value":"14:47:58"},{"id":151,"name":"Denver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5"/>
        <v>start /low /b %USERPROFILE%\Documents\GitHub\eaglep3\Utilities\DownloadLogsFromS3.py --loco 4046 --day 2017-06-29</v>
      </c>
      <c r="AN24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680</v>
      </c>
      <c r="B242" s="7">
        <v>4014</v>
      </c>
      <c r="C242" s="21" t="s">
        <v>201</v>
      </c>
      <c r="D242" s="21" t="s">
        <v>861</v>
      </c>
      <c r="E242" s="13">
        <v>42915.362129629626</v>
      </c>
      <c r="F242" s="13">
        <v>42915.376076388886</v>
      </c>
      <c r="G242" s="7">
        <v>1</v>
      </c>
      <c r="H242" s="21" t="s">
        <v>862</v>
      </c>
      <c r="I242" s="13">
        <v>42915.377083333333</v>
      </c>
      <c r="J242" s="7">
        <v>0</v>
      </c>
      <c r="K242" s="89" t="str">
        <f t="shared" si="77"/>
        <v>4013/4014</v>
      </c>
      <c r="L242" s="21" t="str">
        <f>VLOOKUP(A242,'Trips&amp;Operators'!$C$1:$G$99999,5,FALSE)</f>
        <v>BEAM ROSS</v>
      </c>
      <c r="M242" s="6">
        <f t="shared" si="78"/>
        <v>1.006944446999114E-3</v>
      </c>
      <c r="N242" s="7">
        <f t="shared" si="91"/>
        <v>1.4500000036787242</v>
      </c>
      <c r="O242" s="7"/>
      <c r="P242" s="7"/>
      <c r="Q242" s="22"/>
      <c r="R242" s="170"/>
      <c r="S242" s="213">
        <f t="shared" si="92"/>
        <v>0</v>
      </c>
      <c r="T242" s="195" t="str">
        <f t="shared" si="79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80"/>
        <v>https://d0f6bd738d7f1b3e5a7ca70fe4ff75f0.us-east-1.aws.found.io/app/kibana#/discover/Steve-Slow-Train-Analysis-(2080s-and-2083s)?_g=(refreshInterval:(display:Off,pause:!f,section:0,value:0),time:(from:'2017-06-29T07:41:28-0600',mode:absolute,to:'2017-06-29T10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2" s="197" t="str">
        <f>IF(AA242&lt;VLOOKUP(AG242,Variables!$AC$3:$AD$8,2,FALSE),"Y","N")</f>
        <v>Y</v>
      </c>
      <c r="X242" s="197">
        <f t="shared" si="90"/>
        <v>2</v>
      </c>
      <c r="Y242" s="197">
        <f t="shared" si="81"/>
        <v>2.1991999999999998</v>
      </c>
      <c r="Z242" s="197">
        <f t="shared" si="82"/>
        <v>2.4190999999999998</v>
      </c>
      <c r="AA242" s="197">
        <f t="shared" si="83"/>
        <v>0.21989999999999998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4"/>
        <v>59</v>
      </c>
      <c r="AE242" s="77" t="str">
        <f t="shared" si="85"/>
        <v>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 &amp; 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</v>
      </c>
      <c r="AF242" s="74" t="str">
        <f t="shared" si="86"/>
        <v>"C:\Program Files (x86)\AstroGrep\AstroGrep.exe" /e /r /s /spath="%USERPROFILE%\AppData\Local\Temp\OnboardLogs" /stypes="app*4014*20170629*" /stext=" 15:.+((SYSTEM_STATE.+slice.+state.+changed )|(ment ac)|(multiple cpu faults)|(system.+state.+changed )|(\[timeout)|(PRM\|1\|D)|(kpr)|(kdp)|(train st.+moving)|(\|lc)|(penalty))"</v>
      </c>
      <c r="AG242" s="209" t="str">
        <f t="shared" si="87"/>
        <v>Shuttle/Test</v>
      </c>
      <c r="AH242" s="78" t="str">
        <f t="shared" si="73"/>
        <v>"%USERPROFILE%\Documents\GitHub\eaglep3\Utilities\RefineRTDCRunTimes.py" --tripid 59-29 --locoid 4014 --swversion DE.1.0.9.0 --startMP 300:21992 --initTime 2017-06-29T08:41:28 --startdatetime 2017-06-29T09:01:33 --delay 1 --endMP 300:24191 --enddatetime 2017-06-29T09:03:00 --enforcementcount 0 &gt;&gt;C:\Users\stu\Documents\GitHub\eaglep3-reporting\EC\2017-06-29-refined-times.txt</v>
      </c>
      <c r="AI242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2.4191"},{"id":17,"name":"Train ID","value":"59-29"},{"id":16,"name":"Locomotive ID","value":"4014"},{"id":130,"name":"Impact","value":""},{"id":150,"name":"Time of Event (Mountain Time)","value":"09:03:00"},{"id":151,"name":"Denver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5"/>
        <v>start /low /b %USERPROFILE%\Documents\GitHub\eaglep3\Utilities\DownloadLogsFromS3.py --loco 4014 --day 2017-06-29</v>
      </c>
      <c r="AN24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680</v>
      </c>
      <c r="B243" s="7">
        <v>4024</v>
      </c>
      <c r="C243" s="21" t="s">
        <v>201</v>
      </c>
      <c r="D243" s="21" t="s">
        <v>863</v>
      </c>
      <c r="E243" s="13">
        <v>42915.374780092592</v>
      </c>
      <c r="F243" s="13">
        <v>42915.376076388886</v>
      </c>
      <c r="G243" s="7">
        <v>1</v>
      </c>
      <c r="H243" s="21" t="s">
        <v>864</v>
      </c>
      <c r="I243" s="13">
        <v>42915.377083333333</v>
      </c>
      <c r="J243" s="7">
        <v>0</v>
      </c>
      <c r="K243" s="89" t="str">
        <f t="shared" si="77"/>
        <v>4023/4024</v>
      </c>
      <c r="L243" s="21" t="str">
        <f>VLOOKUP(A243,'Trips&amp;Operators'!$C$1:$G$99999,5,FALSE)</f>
        <v>BEAM ROSS</v>
      </c>
      <c r="M243" s="6">
        <f t="shared" si="78"/>
        <v>1.006944446999114E-3</v>
      </c>
      <c r="N243" s="7">
        <f t="shared" si="91"/>
        <v>1.4500000036787242</v>
      </c>
      <c r="O243" s="7"/>
      <c r="P243" s="7"/>
      <c r="Q243" s="22"/>
      <c r="R243" s="170"/>
      <c r="S243" s="213">
        <f t="shared" si="92"/>
        <v>0</v>
      </c>
      <c r="T243" s="195" t="str">
        <f t="shared" si="79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80"/>
        <v>https://d0f6bd738d7f1b3e5a7ca70fe4ff75f0.us-east-1.aws.found.io/app/kibana#/discover/Steve-Slow-Train-Analysis-(2080s-and-2083s)?_g=(refreshInterval:(display:Off,pause:!f,section:0,value:0),time:(from:'2017-06-29T07:59:41-0600',mode:absolute,to:'2017-06-29T10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97" t="str">
        <f>IF(AA243&lt;VLOOKUP(AG243,Variables!$AC$3:$AD$8,2,FALSE),"Y","N")</f>
        <v>Y</v>
      </c>
      <c r="X243" s="197">
        <f t="shared" si="90"/>
        <v>0</v>
      </c>
      <c r="Y243" s="197">
        <f t="shared" si="81"/>
        <v>2.2000000000000002</v>
      </c>
      <c r="Z243" s="197">
        <f t="shared" si="82"/>
        <v>2.4253999999999998</v>
      </c>
      <c r="AA243" s="197">
        <f t="shared" si="83"/>
        <v>0.2253999999999996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4"/>
        <v>59</v>
      </c>
      <c r="AE243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3" s="74" t="str">
        <f t="shared" si="86"/>
        <v>"C:\Program Files (x86)\AstroGrep\AstroGrep.exe" /e /r /s /spath="%USERPROFILE%\AppData\Local\Temp\OnboardLogs" /stypes="app*4024*20170629*" /stext=" 15:.+((SYSTEM_STATE.+slice.+state.+changed )|(ment ac)|(multiple cpu faults)|(system.+state.+changed )|(\[timeout)|(PRM\|1\|D)|(kpr)|(kdp)|(train st.+moving)|(\|lc)|(penalty))"</v>
      </c>
      <c r="AG243" s="209" t="str">
        <f t="shared" si="87"/>
        <v>Shuttle/Test</v>
      </c>
      <c r="AH243" s="78" t="str">
        <f t="shared" si="73"/>
        <v>"%USERPROFILE%\Documents\GitHub\eaglep3\Utilities\RefineRTDCRunTimes.py" --tripid 59-29 --locoid 4024 --swversion DE.1.0.9.0 --startMP 300:22000 --initTime 2017-06-29T08:59:41 --startdatetime 2017-06-29T09:01:33 --delay 1 --endMP 300:24254 --enddatetime 2017-06-29T09:03:00 --enforcementcount 0 &gt;&gt;C:\Users\stu\Documents\GitHub\eaglep3-reporting\EC\2017-06-29-refined-times.txt</v>
      </c>
      <c r="AI243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2.4254"},{"id":17,"name":"Train ID","value":"59-29"},{"id":16,"name":"Locomotive ID","value":"4024"},{"id":130,"name":"Impact","value":""},{"id":150,"name":"Time of Event (Mountain Time)","value":"09:03:00"},{"id":151,"name":"Denver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5"/>
        <v>start /low /b %USERPROFILE%\Documents\GitHub\eaglep3\Utilities\DownloadLogsFromS3.py --loco 4024 --day 2017-06-29</v>
      </c>
      <c r="AN24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755</v>
      </c>
      <c r="B244" s="7">
        <v>4032</v>
      </c>
      <c r="C244" s="21" t="s">
        <v>201</v>
      </c>
      <c r="D244" s="21" t="s">
        <v>854</v>
      </c>
      <c r="E244" s="13">
        <v>42915.708981481483</v>
      </c>
      <c r="F244" s="13">
        <v>42915.711747685185</v>
      </c>
      <c r="G244" s="7">
        <v>1</v>
      </c>
      <c r="H244" s="21" t="s">
        <v>1005</v>
      </c>
      <c r="I244" s="13">
        <v>42915.720937500002</v>
      </c>
      <c r="J244" s="7">
        <v>0</v>
      </c>
      <c r="K244" s="89" t="str">
        <f t="shared" si="77"/>
        <v>4031/4032</v>
      </c>
      <c r="L244" s="21" t="str">
        <f>VLOOKUP(A244,'Trips&amp;Operators'!$C$1:$G$99999,5,FALSE)</f>
        <v>MOSES BRADLEY</v>
      </c>
      <c r="M244" s="6">
        <f t="shared" si="78"/>
        <v>9.189814816636499E-3</v>
      </c>
      <c r="N244" s="7">
        <f t="shared" si="91"/>
        <v>13.233333335956559</v>
      </c>
      <c r="O244" s="7"/>
      <c r="P244" s="7"/>
      <c r="Q244" s="22"/>
      <c r="R244" s="170"/>
      <c r="S244" s="213">
        <f t="shared" si="92"/>
        <v>1</v>
      </c>
      <c r="T244" s="195" t="str">
        <f t="shared" si="79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80"/>
        <v>https://d0f6bd738d7f1b3e5a7ca70fe4ff75f0.us-east-1.aws.found.io/app/kibana#/discover/Steve-Slow-Train-Analysis-(2080s-and-2083s)?_g=(refreshInterval:(display:Off,pause:!f,section:0,value:0),time:(from:'2017-06-29T16:00:56-0600',mode:absolute,to:'2017-06-29T18:18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4" s="197" t="str">
        <f>IF(AA244&lt;VLOOKUP(AG244,Variables!$AC$3:$AD$8,2,FALSE),"Y","N")</f>
        <v>Y</v>
      </c>
      <c r="X244" s="197">
        <f t="shared" si="90"/>
        <v>2</v>
      </c>
      <c r="Y244" s="197">
        <f t="shared" si="81"/>
        <v>0.1477</v>
      </c>
      <c r="Z244" s="197">
        <f t="shared" si="82"/>
        <v>2.3298999999999999</v>
      </c>
      <c r="AA244" s="197">
        <f t="shared" si="83"/>
        <v>2.1821999999999999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4"/>
        <v>61</v>
      </c>
      <c r="AE244" s="77" t="str">
        <f t="shared" si="85"/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244" s="74" t="str">
        <f t="shared" si="86"/>
        <v>"C:\Program Files (x86)\AstroGrep\AstroGrep.exe" /e /r /s /spath="%USERPROFILE%\AppData\Local\Temp\OnboardLogs" /stypes="app*4032*20170629*" /stext=" 23:.+((SYSTEM_STATE.+slice.+state.+changed )|(ment ac)|(multiple cpu faults)|(system.+state.+changed )|(\[timeout)|(PRM\|1\|D)|(kpr)|(kdp)|(train st.+moving)|(\|lc)|(penalty))"</v>
      </c>
      <c r="AG244" s="209" t="str">
        <f t="shared" si="87"/>
        <v>Shuttle/Test</v>
      </c>
      <c r="AH244" s="78" t="str">
        <f t="shared" si="73"/>
        <v>"%USERPROFILE%\Documents\GitHub\eaglep3\Utilities\RefineRTDCRunTimes.py" --tripid 61-29 --locoid 4032 --swversion DE.1.0.9.0 --startMP 204:1477 --initTime 2017-06-29T17:00:56 --startdatetime 2017-06-29T17:04:55 --delay 1 --endMP 300:23299 --enddatetime 2017-06-29T17:18:09 --enforcementcount 0 &gt;&gt;C:\Users\stu\Documents\GitHub\eaglep3-reporting\EC\2017-06-29-refined-times.txt</v>
      </c>
      <c r="AI244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2.3299"},{"id":17,"name":"Train ID","value":"61-29"},{"id":16,"name":"Locomotive ID","value":"4032"},{"id":130,"name":"Impact","value":""},{"id":150,"name":"Time of Event (Mountain Time)","value":"17:18:09"},{"id":151,"name":"Denver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5"/>
        <v>start /low /b %USERPROFILE%\Documents\GitHub\eaglep3\Utilities\DownloadLogsFromS3.py --loco 4032 --day 2017-06-29</v>
      </c>
      <c r="AN24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23:18:09"},{"id":29,"name":"Sharepoint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759</v>
      </c>
      <c r="B245" s="7">
        <v>4002</v>
      </c>
      <c r="C245" s="21" t="s">
        <v>201</v>
      </c>
      <c r="D245" s="21" t="s">
        <v>1006</v>
      </c>
      <c r="E245" s="13">
        <v>42915.724039351851</v>
      </c>
      <c r="F245" s="13">
        <v>42915.734594907408</v>
      </c>
      <c r="G245" s="7">
        <v>1</v>
      </c>
      <c r="H245" s="21" t="s">
        <v>1007</v>
      </c>
      <c r="I245" s="13">
        <v>42915.742731481485</v>
      </c>
      <c r="J245" s="7">
        <v>0</v>
      </c>
      <c r="K245" s="89" t="str">
        <f t="shared" si="77"/>
        <v>4001/4002</v>
      </c>
      <c r="L245" s="21" t="str">
        <f>VLOOKUP(A245,'Trips&amp;Operators'!$C$1:$G$99999,5,FALSE)</f>
        <v>ROBINSON KADDIBA</v>
      </c>
      <c r="M245" s="6">
        <f t="shared" si="78"/>
        <v>8.1365740770706907E-3</v>
      </c>
      <c r="N245" s="7">
        <f t="shared" si="91"/>
        <v>11.716666670981795</v>
      </c>
      <c r="O245" s="7"/>
      <c r="P245" s="7"/>
      <c r="Q245" s="22"/>
      <c r="R245" s="170"/>
      <c r="S245" s="213">
        <f t="shared" si="92"/>
        <v>1</v>
      </c>
      <c r="T245" s="195" t="str">
        <f t="shared" si="79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80"/>
        <v>https://d0f6bd738d7f1b3e5a7ca70fe4ff75f0.us-east-1.aws.found.io/app/kibana#/discover/Steve-Slow-Train-Analysis-(2080s-and-2083s)?_g=(refreshInterval:(display:Off,pause:!f,section:0,value:0),time:(from:'2017-06-29T16:22:37-0600',mode:absolute,to:'2017-06-29T18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5" s="197" t="str">
        <f>IF(AA245&lt;VLOOKUP(AG245,Variables!$AC$3:$AD$8,2,FALSE),"Y","N")</f>
        <v>Y</v>
      </c>
      <c r="X245" s="197">
        <f t="shared" si="90"/>
        <v>2</v>
      </c>
      <c r="Y245" s="197">
        <f t="shared" si="81"/>
        <v>0.1148</v>
      </c>
      <c r="Z245" s="197">
        <f t="shared" si="82"/>
        <v>2.331</v>
      </c>
      <c r="AA245" s="197">
        <f t="shared" si="83"/>
        <v>2.2162000000000002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4"/>
        <v>63</v>
      </c>
      <c r="AE245" s="77" t="str">
        <f t="shared" si="85"/>
        <v>aws s3 cp s3://rtdc.mdm.uploadarchive.raw/RTDC4002/ "%USERPROFILE%\AppData\Local\Temp\OnboardLogs"\RTDC4002\2017-06-29 --exclude "*" --recursive --include "*20170629*" &amp; "%USERPROFILE%\Documents\GitHub\mrs-test-scripts\Headless Mode &amp; Sideloading\WalkAndUnGZ.bat" "%USERPROFILE%\AppData\Local\Temp\OnboardLogs"\RTDC4002\2017-06-29 &amp; 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</v>
      </c>
      <c r="AF245" s="74" t="str">
        <f t="shared" si="86"/>
        <v>"C:\Program Files (x86)\AstroGrep\AstroGrep.exe" /e /r /s /spath="%USERPROFILE%\AppData\Local\Temp\OnboardLogs" /stypes="app*4002*20170629*" /stext=" 23:.+((SYSTEM_STATE.+slice.+state.+changed )|(ment ac)|(multiple cpu faults)|(system.+state.+changed )|(\[timeout)|(PRM\|1\|D)|(kpr)|(kdp)|(train st.+moving)|(\|lc)|(penalty))"</v>
      </c>
      <c r="AG245" s="209" t="str">
        <f t="shared" si="87"/>
        <v>Shuttle/Test</v>
      </c>
      <c r="AH245" s="78" t="str">
        <f t="shared" si="73"/>
        <v>"%USERPROFILE%\Documents\GitHub\eaglep3\Utilities\RefineRTDCRunTimes.py" --tripid 63-29 --locoid 4002 --swversion DE.1.0.9.0 --startMP 204:1148 --initTime 2017-06-29T17:22:37 --startdatetime 2017-06-29T17:37:49 --delay 1 --endMP 300:23310 --enddatetime 2017-06-29T17:49:32 --enforcementcount 0 &gt;&gt;C:\Users\stu\Documents\GitHub\eaglep3-reporting\EC\2017-06-29-refined-times.txt</v>
      </c>
      <c r="AI245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2.331"},{"id":17,"name":"Train ID","value":"63-29"},{"id":16,"name":"Locomotive ID","value":"4002"},{"id":130,"name":"Impact","value":""},{"id":150,"name":"Time of Event (Mountain Time)","value":"17:49:32"},{"id":151,"name":"Denver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5"/>
        <v>start /low /b %USERPROFILE%\Documents\GitHub\eaglep3\Utilities\DownloadLogsFromS3.py --loco 4002 --day 2017-06-29</v>
      </c>
      <c r="AN245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763</v>
      </c>
      <c r="B246" s="7">
        <v>4023</v>
      </c>
      <c r="C246" s="21" t="s">
        <v>201</v>
      </c>
      <c r="D246" s="21" t="s">
        <v>1008</v>
      </c>
      <c r="E246" s="13">
        <v>42915.733599537038</v>
      </c>
      <c r="F246" s="13">
        <v>42915.736331018517</v>
      </c>
      <c r="G246" s="7">
        <v>3</v>
      </c>
      <c r="H246" s="21" t="s">
        <v>1009</v>
      </c>
      <c r="I246" s="13">
        <v>42915.743287037039</v>
      </c>
      <c r="J246" s="7">
        <v>0</v>
      </c>
      <c r="K246" s="89" t="str">
        <f t="shared" si="77"/>
        <v>4023/4024</v>
      </c>
      <c r="L246" s="21" t="str">
        <f>VLOOKUP(A246,'Trips&amp;Operators'!$C$1:$G$99999,5,FALSE)</f>
        <v>FORTUNATO FRANK</v>
      </c>
      <c r="M246" s="6">
        <f t="shared" si="78"/>
        <v>6.9560185220325366E-3</v>
      </c>
      <c r="N246" s="7">
        <f t="shared" si="91"/>
        <v>10.016666671726853</v>
      </c>
      <c r="O246" s="7"/>
      <c r="P246" s="7"/>
      <c r="Q246" s="22"/>
      <c r="R246" s="170"/>
      <c r="S246" s="213">
        <f t="shared" si="92"/>
        <v>1</v>
      </c>
      <c r="T246" s="195" t="str">
        <f t="shared" si="79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80"/>
        <v>https://d0f6bd738d7f1b3e5a7ca70fe4ff75f0.us-east-1.aws.found.io/app/kibana#/discover/Steve-Slow-Train-Analysis-(2080s-and-2083s)?_g=(refreshInterval:(display:Off,pause:!f,section:0,value:0),time:(from:'2017-06-29T16:36:23-0600',mode:absolute,to:'2017-06-29T18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6" s="197" t="str">
        <f>IF(AA246&lt;VLOOKUP(AG246,Variables!$AC$3:$AD$8,2,FALSE),"Y","N")</f>
        <v>Y</v>
      </c>
      <c r="X246" s="197">
        <f t="shared" si="90"/>
        <v>13</v>
      </c>
      <c r="Y246" s="197">
        <f t="shared" si="81"/>
        <v>2.234</v>
      </c>
      <c r="Z246" s="197">
        <f t="shared" si="82"/>
        <v>1.3299999999999999E-2</v>
      </c>
      <c r="AA246" s="197">
        <f t="shared" si="83"/>
        <v>2.2206999999999999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84"/>
        <v>76</v>
      </c>
      <c r="AE246" s="77" t="str">
        <f t="shared" si="85"/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AF246" s="74" t="str">
        <f t="shared" si="86"/>
        <v>"C:\Program Files (x86)\AstroGrep\AstroGrep.exe" /e /r /s /spath="%USERPROFILE%\AppData\Local\Temp\OnboardLogs" /stypes="app*4023*20170629*" /stext=" 23:.+((SYSTEM_STATE.+slice.+state.+changed )|(ment ac)|(multiple cpu faults)|(system.+state.+changed )|(\[timeout)|(PRM\|1\|D)|(kpr)|(kdp)|(train st.+moving)|(\|lc)|(penalty))"</v>
      </c>
      <c r="AG246" s="209" t="str">
        <f t="shared" si="87"/>
        <v>Shuttle/Test</v>
      </c>
      <c r="AH246" s="78" t="str">
        <f t="shared" si="73"/>
        <v>"%USERPROFILE%\Documents\GitHub\eaglep3\Utilities\RefineRTDCRunTimes.py" --tripid 76-29 --locoid 4023 --swversion DE.1.0.9.0 --startMP 300:22340 --initTime 2017-06-29T17:36:23 --startdatetime 2017-06-29T17:40:19 --delay 3 --endMP 204:133 --enddatetime 2017-06-29T17:50:20 --enforcementcount 0 &gt;&gt;C:\Users\stu\Documents\GitHub\eaglep3-reporting\EC\2017-06-29-refined-times.txt</v>
      </c>
      <c r="AI246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0.0133"},{"id":17,"name":"Train ID","value":"76-29"},{"id":16,"name":"Locomotive ID","value":"4023"},{"id":130,"name":"Impact","value":""},{"id":150,"name":"Time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5"/>
        <v>start /low /b %USERPROFILE%\Documents\GitHub\eaglep3\Utilities\DownloadLogsFromS3.py --loco 4023 --day 2017-06-29</v>
      </c>
      <c r="AN24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773</v>
      </c>
      <c r="B247" s="7">
        <v>4024</v>
      </c>
      <c r="C247" s="21" t="s">
        <v>201</v>
      </c>
      <c r="D247" s="21" t="s">
        <v>1010</v>
      </c>
      <c r="E247" s="13">
        <v>42915.758645833332</v>
      </c>
      <c r="F247" s="13">
        <v>42915.767974537041</v>
      </c>
      <c r="G247" s="7">
        <v>1</v>
      </c>
      <c r="H247" s="21" t="s">
        <v>351</v>
      </c>
      <c r="I247" s="13">
        <v>42915.77784722222</v>
      </c>
      <c r="J247" s="7">
        <v>0</v>
      </c>
      <c r="K247" s="89" t="str">
        <f t="shared" si="77"/>
        <v>4023/4024</v>
      </c>
      <c r="L247" s="21" t="str">
        <f>VLOOKUP(A247,'Trips&amp;Operators'!$C$1:$G$99999,5,FALSE)</f>
        <v>STEWART MICHAEL</v>
      </c>
      <c r="M247" s="6">
        <f t="shared" si="78"/>
        <v>9.8726851792889647E-3</v>
      </c>
      <c r="N247" s="7">
        <f t="shared" si="91"/>
        <v>14.216666658176109</v>
      </c>
      <c r="O247" s="7"/>
      <c r="P247" s="7"/>
      <c r="Q247" s="22"/>
      <c r="R247" s="170"/>
      <c r="S247" s="213">
        <f t="shared" si="92"/>
        <v>1</v>
      </c>
      <c r="T247" s="195" t="str">
        <f t="shared" si="79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80"/>
        <v>https://d0f6bd738d7f1b3e5a7ca70fe4ff75f0.us-east-1.aws.found.io/app/kibana#/discover/Steve-Slow-Train-Analysis-(2080s-and-2083s)?_g=(refreshInterval:(display:Off,pause:!f,section:0,value:0),time:(from:'2017-06-29T17:12:27-0600',mode:absolute,to:'2017-06-29T19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7" s="197" t="str">
        <f>IF(AA247&lt;VLOOKUP(AG247,Variables!$AC$3:$AD$8,2,FALSE),"Y","N")</f>
        <v>Y</v>
      </c>
      <c r="X247" s="197">
        <f t="shared" si="90"/>
        <v>1</v>
      </c>
      <c r="Y247" s="197">
        <f t="shared" si="81"/>
        <v>4.2299999999999997E-2</v>
      </c>
      <c r="Z247" s="197">
        <f t="shared" si="82"/>
        <v>2.3346</v>
      </c>
      <c r="AA247" s="197">
        <f t="shared" si="83"/>
        <v>2.2923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84"/>
        <v>77</v>
      </c>
      <c r="AE247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7" s="74" t="str">
        <f t="shared" si="86"/>
        <v>"C:\Program Files (x86)\AstroGrep\AstroGrep.exe" /e /r /s /spath="%USERPROFILE%\AppData\Local\Temp\OnboardLogs" /stypes="app*4024*20170630*" /stext=" 00:.+((SYSTEM_STATE.+slice.+state.+changed )|(ment ac)|(multiple cpu faults)|(system.+state.+changed )|(\[timeout)|(PRM\|1\|D)|(kpr)|(kdp)|(train st.+moving)|(\|lc)|(penalty))"</v>
      </c>
      <c r="AG247" s="209" t="str">
        <f t="shared" si="87"/>
        <v>Shuttle/Test</v>
      </c>
      <c r="AH247" s="78" t="str">
        <f t="shared" si="73"/>
        <v>"%USERPROFILE%\Documents\GitHub\eaglep3\Utilities\RefineRTDCRunTimes.py" --tripid 77-29 --locoid 4024 --swversion DE.1.0.9.0 --startMP 204:423 --initTime 2017-06-29T18:12:27 --startdatetime 2017-06-29T18:25:53 --delay 1 --endMP 300:23346 --enddatetime 2017-06-29T18:40:06 --enforcementcount 0 &gt;&gt;C:\Users\stu\Documents\GitHub\eaglep3-reporting\EC\2017-06-29-refined-times.txt</v>
      </c>
      <c r="AI24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2.3346"},{"id":17,"name":"Train ID","value":"77-29"},{"id":16,"name":"Locomotive ID","value":"4024"},{"id":130,"name":"Impact","value":""},{"id":150,"name":"Time of Event (Mountain Time)","value":"18:40:06"},{"id":151,"name":"Denver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5"/>
        <v>start /low /b %USERPROFILE%\Documents\GitHub\eaglep3\Utilities\DownloadLogsFromS3.py --loco 4024 --day 2017-06-29</v>
      </c>
      <c r="AN247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773</v>
      </c>
      <c r="B248" s="7">
        <v>4024</v>
      </c>
      <c r="C248" s="21" t="s">
        <v>201</v>
      </c>
      <c r="D248" s="21" t="s">
        <v>1011</v>
      </c>
      <c r="E248" s="13">
        <v>42915.758645833332</v>
      </c>
      <c r="F248" s="13">
        <v>42915.767974537041</v>
      </c>
      <c r="G248" s="7">
        <v>22</v>
      </c>
      <c r="H248" s="21" t="s">
        <v>351</v>
      </c>
      <c r="I248" s="13">
        <v>42915.77784722222</v>
      </c>
      <c r="J248" s="7">
        <v>0</v>
      </c>
      <c r="K248" s="89" t="str">
        <f t="shared" si="77"/>
        <v>4023/4024</v>
      </c>
      <c r="L248" s="21" t="str">
        <f>VLOOKUP(A248,'Trips&amp;Operators'!$C$1:$G$99999,5,FALSE)</f>
        <v>STEWART MICHAEL</v>
      </c>
      <c r="M248" s="6">
        <f t="shared" si="78"/>
        <v>9.8726851792889647E-3</v>
      </c>
      <c r="N248" s="7">
        <f t="shared" si="91"/>
        <v>14.216666658176109</v>
      </c>
      <c r="O248" s="7"/>
      <c r="P248" s="7"/>
      <c r="Q248" s="22"/>
      <c r="R248" s="170"/>
      <c r="S248" s="213">
        <f t="shared" si="92"/>
        <v>0</v>
      </c>
      <c r="T248" s="195" t="str">
        <f t="shared" si="79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80"/>
        <v>https://d0f6bd738d7f1b3e5a7ca70fe4ff75f0.us-east-1.aws.found.io/app/kibana#/discover/Steve-Slow-Train-Analysis-(2080s-and-2083s)?_g=(refreshInterval:(display:Off,pause:!f,section:0,value:0),time:(from:'2017-06-29T17:12:27-0600',mode:absolute,to:'2017-06-29T19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8" s="197" t="str">
        <f>IF(AA248&lt;VLOOKUP(AG248,Variables!$AC$3:$AD$8,2,FALSE),"Y","N")</f>
        <v>Y</v>
      </c>
      <c r="X248" s="197">
        <f t="shared" si="90"/>
        <v>0</v>
      </c>
      <c r="Y248" s="197">
        <f t="shared" si="81"/>
        <v>2.3281999999999998</v>
      </c>
      <c r="Z248" s="197">
        <f t="shared" si="82"/>
        <v>2.3346</v>
      </c>
      <c r="AA248" s="197">
        <f t="shared" si="83"/>
        <v>6.4000000000001833E-3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84"/>
        <v>77</v>
      </c>
      <c r="AE248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8" s="74" t="str">
        <f t="shared" si="86"/>
        <v>"C:\Program Files (x86)\AstroGrep\AstroGrep.exe" /e /r /s /spath="%USERPROFILE%\AppData\Local\Temp\OnboardLogs" /stypes="app*4024*20170630*" /stext=" 00:.+((SYSTEM_STATE.+slice.+state.+changed )|(ment ac)|(multiple cpu faults)|(system.+state.+changed )|(\[timeout)|(PRM\|1\|D)|(kpr)|(kdp)|(train st.+moving)|(\|lc)|(penalty))"</v>
      </c>
      <c r="AG248" s="209" t="str">
        <f t="shared" si="87"/>
        <v>Shuttle/Test</v>
      </c>
      <c r="AH248" s="78" t="str">
        <f t="shared" si="73"/>
        <v>"%USERPROFILE%\Documents\GitHub\eaglep3\Utilities\RefineRTDCRunTimes.py" --tripid 77-29 --locoid 4024 --swversion DE.1.0.9.0 --startMP 300:23282 --initTime 2017-06-29T18:12:27 --startdatetime 2017-06-29T18:25:53 --delay 22 --endMP 300:23346 --enddatetime 2017-06-29T18:40:06 --enforcementcount 0 &gt;&gt;C:\Users\stu\Documents\GitHub\eaglep3-reporting\EC\2017-06-29-refined-times.txt</v>
      </c>
      <c r="AI248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2.3346"},{"id":17,"name":"Train ID","value":"77-29"},{"id":16,"name":"Locomotive ID","value":"4024"},{"id":130,"name":"Impact","value":""},{"id":150,"name":"Time of Event (Mountain Time)","value":"18:40:06"},{"id":151,"name":"Denver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5"/>
        <v>start /low /b %USERPROFILE%\Documents\GitHub\eaglep3\Utilities\DownloadLogsFromS3.py --loco 4024 --day 2017-06-29</v>
      </c>
      <c r="AN24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612</v>
      </c>
      <c r="B249" s="7">
        <v>4013</v>
      </c>
      <c r="C249" s="21" t="s">
        <v>201</v>
      </c>
      <c r="D249" s="21" t="s">
        <v>1012</v>
      </c>
      <c r="E249" s="13">
        <v>42915.74145833333</v>
      </c>
      <c r="F249" s="13">
        <v>42915.74454861111</v>
      </c>
      <c r="G249" s="7">
        <v>4</v>
      </c>
      <c r="H249" s="21" t="s">
        <v>1013</v>
      </c>
      <c r="I249" s="13">
        <v>42915.749664351853</v>
      </c>
      <c r="J249" s="7">
        <v>0</v>
      </c>
      <c r="K249" s="89" t="str">
        <f t="shared" si="77"/>
        <v>4013/4014</v>
      </c>
      <c r="L249" s="21" t="str">
        <f>VLOOKUP(A249,'Trips&amp;Operators'!$C$1:$G$99999,5,FALSE)</f>
        <v>BIRENBAUM THOMAS</v>
      </c>
      <c r="M249" s="6">
        <f t="shared" si="78"/>
        <v>5.1157407433493063E-3</v>
      </c>
      <c r="N249" s="7">
        <f t="shared" si="91"/>
        <v>7.3666666704230011</v>
      </c>
      <c r="O249" s="7"/>
      <c r="P249" s="7"/>
      <c r="Q249" s="22"/>
      <c r="R249" s="170"/>
      <c r="S249" s="213">
        <f t="shared" si="92"/>
        <v>1</v>
      </c>
      <c r="T249" s="195" t="str">
        <f t="shared" si="79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 t="shared" si="80"/>
        <v>https://d0f6bd738d7f1b3e5a7ca70fe4ff75f0.us-east-1.aws.found.io/app/kibana#/discover/Steve-Slow-Train-Analysis-(2080s-and-2083s)?_g=(refreshInterval:(display:Off,pause:!f,section:0,value:0),time:(from:'2017-06-29T16:47:42-0600',mode:absolute,to:'2017-06-29T18:59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7" t="str">
        <f>IF(AA249&lt;VLOOKUP(AG249,Variables!$AC$3:$AD$8,2,FALSE),"Y","N")</f>
        <v>Y</v>
      </c>
      <c r="X249" s="197">
        <f t="shared" si="90"/>
        <v>1</v>
      </c>
      <c r="Y249" s="197">
        <f t="shared" si="81"/>
        <v>2.3203</v>
      </c>
      <c r="Z249" s="197">
        <f t="shared" si="82"/>
        <v>0.17749999999999999</v>
      </c>
      <c r="AA249" s="197">
        <f t="shared" si="83"/>
        <v>2.1428000000000003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84"/>
        <v>78</v>
      </c>
      <c r="AE249" s="77" t="str">
        <f t="shared" si="85"/>
        <v>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 &amp; 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</v>
      </c>
      <c r="AF249" s="74" t="str">
        <f t="shared" si="86"/>
        <v>"C:\Program Files (x86)\AstroGrep\AstroGrep.exe" /e /r /s /spath="%USERPROFILE%\AppData\Local\Temp\OnboardLogs" /stypes="app*4013*20170629*" /stext=" 23:.+((SYSTEM_STATE.+slice.+state.+changed )|(ment ac)|(multiple cpu faults)|(system.+state.+changed )|(\[timeout)|(PRM\|1\|D)|(kpr)|(kdp)|(train st.+moving)|(\|lc)|(penalty))"</v>
      </c>
      <c r="AG249" s="209" t="str">
        <f t="shared" si="87"/>
        <v>Shuttle/Test</v>
      </c>
      <c r="AH249" s="78" t="str">
        <f t="shared" si="73"/>
        <v>"%USERPROFILE%\Documents\GitHub\eaglep3\Utilities\RefineRTDCRunTimes.py" --tripid 78-29 --locoid 4013 --swversion DE.1.0.9.0 --startMP 300:23203 --initTime 2017-06-29T17:47:42 --startdatetime 2017-06-29T17:52:09 --delay 4 --endMP 204:1775 --enddatetime 2017-06-29T17:59:31 --enforcementcount 0 &gt;&gt;C:\Users\stu\Documents\GitHub\eaglep3-reporting\EC\2017-06-29-refined-times.txt</v>
      </c>
      <c r="AI249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0.1775"},{"id":17,"name":"Train ID","value":"78-29"},{"id":16,"name":"Locomotive ID","value":"4013"},{"id":130,"name":"Impact","value":""},{"id":150,"name":"Time of Event (Mountain Time)","value":"17:59:31"},{"id":151,"name":"Denver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5"/>
        <v>start /low /b %USERPROFILE%\Documents\GitHub\eaglep3\Utilities\DownloadLogsFromS3.py --loco 4013 --day 2017-06-29</v>
      </c>
      <c r="AN24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801</v>
      </c>
      <c r="B250" s="7">
        <v>4014</v>
      </c>
      <c r="C250" s="21" t="s">
        <v>201</v>
      </c>
      <c r="D250" s="21" t="s">
        <v>881</v>
      </c>
      <c r="E250" s="13">
        <v>42915.967430555553</v>
      </c>
      <c r="F250" s="13">
        <v>42915.969085648147</v>
      </c>
      <c r="G250" s="7">
        <v>1</v>
      </c>
      <c r="H250" s="21" t="s">
        <v>882</v>
      </c>
      <c r="I250" s="13">
        <v>25568.708333333332</v>
      </c>
      <c r="J250" s="7">
        <v>0</v>
      </c>
      <c r="K250" s="89" t="str">
        <f t="shared" si="77"/>
        <v>4013/4014</v>
      </c>
      <c r="L250" s="21" t="str">
        <f>VLOOKUP(A250,'Trips&amp;Operators'!$C$1:$G$99999,5,FALSE)</f>
        <v>BIRENBAUM THOMAS</v>
      </c>
      <c r="M250" s="6">
        <f t="shared" si="78"/>
        <v>-17347.260752314814</v>
      </c>
      <c r="N250" s="7">
        <f t="shared" si="91"/>
        <v>-24980055.483333334</v>
      </c>
      <c r="O250" s="7"/>
      <c r="P250" s="7"/>
      <c r="Q250" s="22"/>
      <c r="R250" s="170"/>
      <c r="S250" s="213">
        <f t="shared" si="92"/>
        <v>0</v>
      </c>
      <c r="T250" s="195" t="str">
        <f t="shared" si="79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80"/>
        <v>https://d0f6bd738d7f1b3e5a7ca70fe4ff75f0.us-east-1.aws.found.io/app/kibana#/discover/Steve-Slow-Train-Analysis-(2080s-and-2083s)?_g=(refreshInterval:(display:Off,pause:!f,section:0,value:0),time:(from:'2017-06-29T22:13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0" s="197" t="str">
        <f>IF(AA250&lt;VLOOKUP(AG250,Variables!$AC$3:$AD$8,2,FALSE),"Y","N")</f>
        <v>Y</v>
      </c>
      <c r="X250" s="197">
        <f t="shared" si="90"/>
        <v>11</v>
      </c>
      <c r="Y250" s="197">
        <f t="shared" si="81"/>
        <v>0.115</v>
      </c>
      <c r="Z250" s="197">
        <f t="shared" si="82"/>
        <v>0.1396</v>
      </c>
      <c r="AA250" s="197">
        <f t="shared" si="83"/>
        <v>2.4599999999999997E-2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84"/>
        <v>89</v>
      </c>
      <c r="AE250" s="77" t="str">
        <f t="shared" si="85"/>
        <v>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 &amp; 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</v>
      </c>
      <c r="AF250" s="74" t="str">
        <f t="shared" si="86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50" s="209" t="str">
        <f t="shared" si="87"/>
        <v>Shuttle/Test</v>
      </c>
      <c r="AH250" s="78" t="str">
        <f t="shared" si="73"/>
        <v>"%USERPROFILE%\Documents\GitHub\eaglep3\Utilities\RefineRTDCRunTimes.py" --tripid 89-29 --locoid 4014 --swversion DE.1.0.9.0 --startMP 204:1150 --initTime 2017-06-29T23:13:06 --startdatetime 2017-06-29T23:15:29 --delay 1 --endMP 204:1396 --enddatetime 1969-12-31T17:00:00 --enforcementcount 0 &gt;&gt;C:\Users\stu\Documents\GitHub\eaglep3-reporting\EC\2017-06-29-refined-times.txt</v>
      </c>
      <c r="AI250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0.1396"},{"id":17,"name":"Train ID","value":"89-29"},{"id":16,"name":"Locomotive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5"/>
        <v>start /low /b %USERPROFILE%\Documents\GitHub\eaglep3\Utilities\DownloadLogsFromS3.py --loco 4014 --day 2017-06-29</v>
      </c>
      <c r="AN250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</sheetData>
  <autoFilter ref="A12:AG269"/>
  <sortState ref="A13:AN233">
    <sortCondition ref="AG13:AG233"/>
    <sortCondition ref="AD13:AD233"/>
  </sortState>
  <mergeCells count="1">
    <mergeCell ref="A11:P11"/>
  </mergeCells>
  <conditionalFormatting sqref="W11:W12 W274:X1048576 W13:X250">
    <cfRule type="cellIs" dxfId="10" priority="415" operator="equal">
      <formula>"Y"</formula>
    </cfRule>
  </conditionalFormatting>
  <conditionalFormatting sqref="X274:X1048576 X13:X250">
    <cfRule type="cellIs" dxfId="9" priority="398" operator="greaterThan">
      <formula>1</formula>
    </cfRule>
  </conditionalFormatting>
  <conditionalFormatting sqref="X274:X1048576 X12:X250">
    <cfRule type="cellIs" dxfId="8" priority="395" operator="equal">
      <formula>0</formula>
    </cfRule>
  </conditionalFormatting>
  <conditionalFormatting sqref="A13:S25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Values'!$C$2:$C$15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66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460</v>
      </c>
      <c r="X6" s="208" t="s">
        <v>453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42915.839259259257</v>
      </c>
      <c r="B7" s="30" t="s">
        <v>400</v>
      </c>
      <c r="C7" s="30" t="s">
        <v>621</v>
      </c>
      <c r="D7" s="30" t="s">
        <v>49</v>
      </c>
      <c r="E7" s="30" t="s">
        <v>187</v>
      </c>
      <c r="F7" s="42">
        <v>0</v>
      </c>
      <c r="G7" s="42">
        <v>235</v>
      </c>
      <c r="H7" s="42">
        <v>26859</v>
      </c>
      <c r="I7" s="42">
        <v>27154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-53.328000000000003</v>
      </c>
      <c r="N7" s="133" t="str">
        <f>VLOOKUP(C7,'Trips&amp;Operators'!$C$1:$G$99999,5,FALSE)</f>
        <v>PERKINS DARREN</v>
      </c>
      <c r="O7" s="203" t="s">
        <v>180</v>
      </c>
      <c r="P7" s="134" t="s">
        <v>1056</v>
      </c>
      <c r="Q7" s="30"/>
      <c r="R7" s="81" t="str">
        <f>VLOOKUP(C7,'Train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7" s="84" t="str">
        <f>VLOOKUP(C7,'Train Runs'!$A$13:$AE$9928,22,0)</f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/stypes="*4060*201706300*" /stext=" 02:.+((SYSTEM_STATE.+slice.+state.+changed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4060</v>
      </c>
      <c r="V7" s="31">
        <f t="shared" ref="V7:V38" si="3">A7-utc_offset/24</f>
        <v>42916.089259259257</v>
      </c>
      <c r="W7" s="45" t="str">
        <f t="shared" ref="W7:W38" si="4">DetSubdiv(C7)</f>
        <v>EC</v>
      </c>
      <c r="X7" s="22">
        <f t="shared" ref="X7:X38" si="5">VALUE(LEFT(C7,LEN(C7)-3))</f>
        <v>225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arrival","project_id":79,"tracker_id":40,"status_id":1,"priority_id":2,"assigned_to_id":23,"start_date":"2017-06-29","description":"","custom_fields":[{"id":1,"name":"Subdivision","value":"EC"},{"id":4,"name":"Milepost","value":"2.7053"},{"id":17,"name":"Train ID","value":"225-29"},{"id":16,"name":"Locomotive ID","value":"4060"},{"id":130,"name":"Impact","value":""},{"id":150,"name":"Time of Event (Mountain Time)","value":"20:08:32"},{"id":151,"name":"Denver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/c/Users/stu/AppData/Local/Temp/OnboardLogs/RTDC4060 --include="*4060*201706300*"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4060 --day 2017-06-30</v>
      </c>
    </row>
    <row r="8" spans="1:32" s="1" customFormat="1" x14ac:dyDescent="0.25">
      <c r="A8" s="31">
        <v>42915.307314814818</v>
      </c>
      <c r="B8" s="30" t="s">
        <v>470</v>
      </c>
      <c r="C8" s="30" t="s">
        <v>580</v>
      </c>
      <c r="D8" s="30" t="s">
        <v>96</v>
      </c>
      <c r="E8" s="30" t="s">
        <v>187</v>
      </c>
      <c r="F8" s="42">
        <v>200</v>
      </c>
      <c r="G8" s="42">
        <v>260</v>
      </c>
      <c r="H8" s="42">
        <v>30972</v>
      </c>
      <c r="I8" s="42">
        <v>31475</v>
      </c>
      <c r="J8" s="30" t="s">
        <v>188</v>
      </c>
      <c r="K8" s="42">
        <v>30830</v>
      </c>
      <c r="L8" s="131" t="s">
        <v>50</v>
      </c>
      <c r="M8" s="132">
        <f t="shared" si="0"/>
        <v>-340.56</v>
      </c>
      <c r="N8" s="133" t="str">
        <f>VLOOKUP(C8,'Trips&amp;Operators'!$C$1:$G$99999,5,FALSE)</f>
        <v>YANAI IAN</v>
      </c>
      <c r="O8" s="203" t="s">
        <v>180</v>
      </c>
      <c r="P8" s="134" t="s">
        <v>1056</v>
      </c>
      <c r="Q8" s="30"/>
      <c r="R8" s="81" t="str">
        <f>VLOOKUP(C8,'Train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8" s="84" t="str">
        <f>VLOOKUP(C8,'Train Runs'!$A$13:$AE$9928,22,0)</f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8" s="86" t="str">
        <f t="shared" si="1"/>
        <v>"C:\Program Files (x86)\AstroGrep\AstroGrep.exe" /e /r /s /spath="%USERPROFILE%\AppData\Local\Temp\OnboardLogs" /stypes="*4010*201706291*"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4010</v>
      </c>
      <c r="V8" s="31">
        <f t="shared" si="3"/>
        <v>42915.557314814818</v>
      </c>
      <c r="W8" s="45" t="str">
        <f t="shared" si="4"/>
        <v>EC</v>
      </c>
      <c r="X8" s="22">
        <f t="shared" si="5"/>
        <v>129</v>
      </c>
      <c r="Y8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arrival","project_id":79,"tracker_id":40,"status_id":1,"priority_id":2,"assigned_to_id":23,"start_date":"2017-06-29","description":"","custom_fields":[{"id":1,"name":"Subdivision","value":"EC"},{"id":4,"name":"Milepost","value":"3.083"},{"id":17,"name":"Train ID","value":"129-29"},{"id":16,"name":"Locomotive ID","value":"4010"},{"id":130,"name":"Impact","value":""},{"id":150,"name":"Time of Event (Mountain Time)","value":"07:22:32"},{"id":151,"name":"Denver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/c/Users/stu/AppData/Local/Temp/OnboardLogs/RTDC4010 --include="*4010*201706291*"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8" s="145" t="str">
        <f t="shared" ref="AE8:AE70" si="9">"start /low /b "&amp;dls3logs&amp;" --loco "&amp;U8&amp;" --day "&amp;TEXT(V8,"YYYY-MM-DD")</f>
        <v>start /low /b %USERPROFILE%\Documents\GitHub\eaglep3\Utilities\DownloadLogsFromS3.py --loco 4010 --day 2017-06-29</v>
      </c>
    </row>
    <row r="9" spans="1:32" s="1" customFormat="1" x14ac:dyDescent="0.25">
      <c r="A9" s="31">
        <v>42915.289583333331</v>
      </c>
      <c r="B9" s="30" t="s">
        <v>473</v>
      </c>
      <c r="C9" s="30" t="s">
        <v>578</v>
      </c>
      <c r="D9" s="30" t="s">
        <v>96</v>
      </c>
      <c r="E9" s="30" t="s">
        <v>187</v>
      </c>
      <c r="F9" s="42">
        <v>0</v>
      </c>
      <c r="G9" s="42">
        <v>207</v>
      </c>
      <c r="H9" s="42">
        <v>30939</v>
      </c>
      <c r="I9" s="42">
        <v>30622</v>
      </c>
      <c r="J9" s="30" t="s">
        <v>188</v>
      </c>
      <c r="K9" s="42">
        <v>30970</v>
      </c>
      <c r="L9" s="131" t="s">
        <v>51</v>
      </c>
      <c r="M9" s="132">
        <f t="shared" si="0"/>
        <v>-183.744</v>
      </c>
      <c r="N9" s="133" t="str">
        <f>VLOOKUP(C9,'Trips&amp;Operators'!$C$1:$G$99999,5,FALSE)</f>
        <v>YANAI IAN</v>
      </c>
      <c r="O9" s="203" t="s">
        <v>180</v>
      </c>
      <c r="P9" s="134" t="s">
        <v>1056</v>
      </c>
      <c r="Q9" s="30"/>
      <c r="R9" s="81" t="str">
        <f>VLOOKUP(C9,'Train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9" s="84" t="str">
        <f>VLOOKUP(C9,'Train Runs'!$A$13:$AE$9928,22,0)</f>
        <v>https://d0f6bd738d7f1b3e5a7ca70fe4ff75f0.us-east-1.aws.found.io/app/kibana#/discover/Steve-Slow-Train-Analysis-(2080s-and-2083s)?_g=(refreshInterval:(display:Off,pause:!f,section:0,value:0),time:(from:'2017-06-29T05:08:45-0600',mode:absolute,to:'2017-06-29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6" t="str">
        <f t="shared" si="1"/>
        <v>"C:\Program Files (x86)\AstroGrep\AstroGrep.exe" /e /r /s /spath="%USERPROFILE%\AppData\Local\Temp\OnboardLogs" /stypes="*4009*201706291*"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4009</v>
      </c>
      <c r="V9" s="31">
        <f t="shared" si="3"/>
        <v>42915.539583333331</v>
      </c>
      <c r="W9" s="45" t="str">
        <f t="shared" si="4"/>
        <v>EC</v>
      </c>
      <c r="X9" s="22">
        <f t="shared" si="5"/>
        <v>116</v>
      </c>
      <c r="Y9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arrival","project_id":79,"tracker_id":40,"status_id":1,"priority_id":2,"assigned_to_id":23,"start_date":"2017-06-29","description":"","custom_fields":[{"id":1,"name":"Subdivision","value":"EC"},{"id":4,"name":"Milepost","value":"3.097"},{"id":17,"name":"Train ID","value":"116-29"},{"id":16,"name":"Locomotive ID","value":"4009"},{"id":130,"name":"Impact","value":""},{"id":150,"name":"Time of Event (Mountain Time)","value":"06:57:00"},{"id":151,"name":"Denver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/c/Users/stu/AppData/Local/Temp/OnboardLogs/RTDC4009 --include="*4009*201706291*"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"%USERPROFILE%\AppData\Local\Temp\OnboardLogs"\RTDC4009\*4009*201706291* &gt;&gt; 2017-06-29-SliceDisagreementCheck.txt</v>
      </c>
      <c r="AE9" s="145" t="str">
        <f t="shared" si="9"/>
        <v>start /low /b %USERPROFILE%\Documents\GitHub\eaglep3\Utilities\DownloadLogsFromS3.py --loco 4009 --day 2017-06-29</v>
      </c>
    </row>
    <row r="10" spans="1:32" s="1" customFormat="1" x14ac:dyDescent="0.25">
      <c r="A10" s="31">
        <v>42915.664236111108</v>
      </c>
      <c r="B10" s="30" t="s">
        <v>594</v>
      </c>
      <c r="C10" s="30" t="s">
        <v>602</v>
      </c>
      <c r="D10" s="30" t="s">
        <v>49</v>
      </c>
      <c r="E10" s="30" t="s">
        <v>187</v>
      </c>
      <c r="F10" s="42">
        <v>0</v>
      </c>
      <c r="G10" s="42">
        <v>211</v>
      </c>
      <c r="H10" s="42">
        <v>31085</v>
      </c>
      <c r="I10" s="42">
        <v>30852</v>
      </c>
      <c r="J10" s="30" t="s">
        <v>188</v>
      </c>
      <c r="K10" s="42">
        <v>30970</v>
      </c>
      <c r="L10" s="131" t="s">
        <v>51</v>
      </c>
      <c r="M10" s="132">
        <f t="shared" si="0"/>
        <v>-62.304000000000002</v>
      </c>
      <c r="N10" s="133" t="str">
        <f>VLOOKUP(C10,'Trips&amp;Operators'!$C$1:$G$99999,5,FALSE)</f>
        <v>HOLCOMB KAMDEN</v>
      </c>
      <c r="O10" s="203" t="s">
        <v>180</v>
      </c>
      <c r="P10" s="134" t="s">
        <v>1056</v>
      </c>
      <c r="Q10" s="30"/>
      <c r="R10" s="81" t="str">
        <f>VLOOKUP(C10,'Train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10" s="84" t="str">
        <f>VLOOKUP(C10,'Train Runs'!$A$13:$AE$9928,22,0)</f>
        <v>https://d0f6bd738d7f1b3e5a7ca70fe4ff75f0.us-east-1.aws.found.io/app/kibana#/discover/Steve-Slow-Train-Analysis-(2080s-and-2083s)?_g=(refreshInterval:(display:Off,pause:!f,section:0,value:0),time:(from:'2017-06-29T14:22:51-0600',mode:absolute,to:'2017-06-29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/stypes="*4005*201706292*"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42915.914236111108</v>
      </c>
      <c r="W10" s="45" t="str">
        <f t="shared" si="4"/>
        <v>EC</v>
      </c>
      <c r="X10" s="22">
        <f t="shared" si="5"/>
        <v>188</v>
      </c>
      <c r="Y10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arrival","project_id":79,"tracker_id":40,"status_id":1,"priority_id":2,"assigned_to_id":23,"start_date":"2017-06-29","description":"","custom_fields":[{"id":1,"name":"Subdivision","value":"EC"},{"id":4,"name":"Milepost","value":"3.097"},{"id":17,"name":"Train ID","value":"188-29"},{"id":16,"name":"Locomotive ID","value":"4005"},{"id":130,"name":"Impact","value":""},{"id":150,"name":"Time of Event (Mountain Time)","value":"15:56:30"},{"id":151,"name":"Denver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/c/Users/stu/AppData/Local/Temp/OnboardLogs/RTDC4005 --include="*4005*201706292*"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10" s="145" t="str">
        <f t="shared" si="9"/>
        <v>start /low /b %USERPROFILE%\Documents\GitHub\eaglep3\Utilities\DownloadLogsFromS3.py --loco 4005 --day 2017-06-29</v>
      </c>
    </row>
    <row r="11" spans="1:32" s="1" customFormat="1" x14ac:dyDescent="0.25">
      <c r="A11" s="31">
        <v>42915.946458333332</v>
      </c>
      <c r="B11" s="30" t="s">
        <v>526</v>
      </c>
      <c r="C11" s="30" t="s">
        <v>624</v>
      </c>
      <c r="D11" s="30" t="s">
        <v>49</v>
      </c>
      <c r="E11" s="30" t="s">
        <v>187</v>
      </c>
      <c r="F11" s="42">
        <v>390</v>
      </c>
      <c r="G11" s="42">
        <v>441</v>
      </c>
      <c r="H11" s="42">
        <v>32813</v>
      </c>
      <c r="I11" s="42">
        <v>33725</v>
      </c>
      <c r="J11" s="30" t="s">
        <v>188</v>
      </c>
      <c r="K11" s="42">
        <v>33137</v>
      </c>
      <c r="L11" s="131" t="s">
        <v>50</v>
      </c>
      <c r="M11" s="132">
        <f t="shared" si="0"/>
        <v>-310.464</v>
      </c>
      <c r="N11" s="133" t="str">
        <f>VLOOKUP(C11,'Trips&amp;Operators'!$C$1:$G$99999,5,FALSE)</f>
        <v>FORTUNATO FRANK</v>
      </c>
      <c r="O11" s="203" t="s">
        <v>180</v>
      </c>
      <c r="P11" s="134" t="s">
        <v>1056</v>
      </c>
      <c r="Q11" s="30"/>
      <c r="R11" s="81" t="str">
        <f>VLOOKUP(C11,'Train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11" s="84" t="str">
        <f>VLOOKUP(C11,'Train Runs'!$A$13:$AE$9928,22,0)</f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1" s="86" t="str">
        <f t="shared" si="1"/>
        <v>"C:\Program Files (x86)\AstroGrep\AstroGrep.exe" /e /r /s /spath="%USERPROFILE%\AppData\Local\Temp\OnboardLogs" /stypes="*4062*201706300*"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4062</v>
      </c>
      <c r="V11" s="31">
        <f t="shared" si="3"/>
        <v>42916.196458333332</v>
      </c>
      <c r="W11" s="45" t="str">
        <f t="shared" si="4"/>
        <v>EC</v>
      </c>
      <c r="X11" s="22">
        <f t="shared" si="5"/>
        <v>235</v>
      </c>
      <c r="Y11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arrival","project_id":79,"tracker_id":40,"status_id":1,"priority_id":2,"assigned_to_id":23,"start_date":"2017-06-29","description":"","custom_fields":[{"id":1,"name":"Subdivision","value":"EC"},{"id":4,"name":"Milepost","value":"3.3137"},{"id":17,"name":"Train ID","value":"235-29"},{"id":16,"name":"Locomotive ID","value":"4062"},{"id":130,"name":"Impact","value":""},{"id":150,"name":"Time of Event (Mountain Time)","value":"22:42:54"},{"id":151,"name":"Denver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/c/Users/stu/AppData/Local/Temp/OnboardLogs/RTDC4062 --include="*4062*201706300*"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"%USERPROFILE%\AppData\Local\Temp\OnboardLogs"\RTDC4062\*4062*201706300* &gt;&gt; 2017-06-29-SliceDisagreementCheck.txt</v>
      </c>
      <c r="AE11" s="145" t="str">
        <f t="shared" si="9"/>
        <v>start /low /b %USERPROFILE%\Documents\GitHub\eaglep3\Utilities\DownloadLogsFromS3.py --loco 4062 --day 2017-06-30</v>
      </c>
    </row>
    <row r="12" spans="1:32" s="1" customFormat="1" x14ac:dyDescent="0.25">
      <c r="A12" s="31">
        <v>42915.869814814818</v>
      </c>
      <c r="B12" s="30" t="s">
        <v>473</v>
      </c>
      <c r="C12" s="30" t="s">
        <v>622</v>
      </c>
      <c r="D12" s="30" t="s">
        <v>49</v>
      </c>
      <c r="E12" s="30" t="s">
        <v>187</v>
      </c>
      <c r="F12" s="42">
        <v>230</v>
      </c>
      <c r="G12" s="42">
        <v>345</v>
      </c>
      <c r="H12" s="42">
        <v>59290</v>
      </c>
      <c r="I12" s="42">
        <v>58683</v>
      </c>
      <c r="J12" s="30" t="s">
        <v>188</v>
      </c>
      <c r="K12" s="42">
        <v>58301</v>
      </c>
      <c r="L12" s="131" t="s">
        <v>51</v>
      </c>
      <c r="M12" s="132">
        <f t="shared" si="0"/>
        <v>201.696</v>
      </c>
      <c r="N12" s="133" t="str">
        <f>VLOOKUP(C12,'Trips&amp;Operators'!$C$1:$G$99999,5,FALSE)</f>
        <v>SMITH MICHAEL</v>
      </c>
      <c r="O12" s="203" t="s">
        <v>180</v>
      </c>
      <c r="P12" s="134" t="s">
        <v>1056</v>
      </c>
      <c r="Q12" s="30"/>
      <c r="R12" s="81" t="str">
        <f>VLOOKUP(C12,'Train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12" s="84" t="str">
        <f>VLOOKUP(C12,'Train Runs'!$A$13:$AE$9928,22,0)</f>
        <v>https://d0f6bd738d7f1b3e5a7ca70fe4ff75f0.us-east-1.aws.found.io/app/kibana#/discover/Steve-Slow-Train-Analysis-(2080s-and-2083s)?_g=(refreshInterval:(display:Off,pause:!f,section:0,value:0),time:(from:'2017-06-29T19:14:38-0600',mode:absolute,to:'2017-06-29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/stypes="*4009*201706300*"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42916.119814814818</v>
      </c>
      <c r="W12" s="45" t="str">
        <f t="shared" si="4"/>
        <v>EC</v>
      </c>
      <c r="X12" s="22">
        <f t="shared" si="5"/>
        <v>224</v>
      </c>
      <c r="Y12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arrival","project_id":79,"tracker_id":40,"status_id":1,"priority_id":2,"assigned_to_id":23,"start_date":"2017-06-29","description":"","custom_fields":[{"id":1,"name":"Subdivision","value":"EC"},{"id":4,"name":"Milepost","value":"5.8301"},{"id":17,"name":"Train ID","value":"224-29"},{"id":16,"name":"Locomotive ID","value":"4009"},{"id":130,"name":"Impact","value":""},{"id":150,"name":"Time of Event (Mountain Time)","value":"20:52:32"},{"id":151,"name":"Denver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/c/Users/stu/AppData/Local/Temp/OnboardLogs/RTDC4009 --include="*4009*201706300*"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"%USERPROFILE%\AppData\Local\Temp\OnboardLogs"\RTDC4009\*4009*201706300* &gt;&gt; 2017-06-29-SliceDisagreementCheck.txt</v>
      </c>
      <c r="AE12" s="145" t="str">
        <f t="shared" si="9"/>
        <v>start /low /b %USERPROFILE%\Documents\GitHub\eaglep3\Utilities\DownloadLogsFromS3.py --loco 4009 --day 2017-06-30</v>
      </c>
    </row>
    <row r="13" spans="1:32" s="1" customFormat="1" x14ac:dyDescent="0.25">
      <c r="A13" s="31">
        <v>42915.953622685185</v>
      </c>
      <c r="B13" s="30" t="s">
        <v>526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35</v>
      </c>
      <c r="H13" s="42">
        <v>62997</v>
      </c>
      <c r="I13" s="42">
        <v>63039</v>
      </c>
      <c r="J13" s="30" t="s">
        <v>188</v>
      </c>
      <c r="K13" s="42">
        <v>63068</v>
      </c>
      <c r="L13" s="131" t="s">
        <v>50</v>
      </c>
      <c r="M13" s="132">
        <f t="shared" si="0"/>
        <v>15.311999999999999</v>
      </c>
      <c r="N13" s="133" t="str">
        <f>VLOOKUP(C13,'Trips&amp;Operators'!$C$1:$G$99999,5,FALSE)</f>
        <v>FORTUNATO FRANK</v>
      </c>
      <c r="O13" s="203" t="s">
        <v>180</v>
      </c>
      <c r="P13" s="134" t="s">
        <v>1057</v>
      </c>
      <c r="Q13" s="30"/>
      <c r="R13" s="81" t="str">
        <f>VLOOKUP(C13,'Train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13" s="84" t="str">
        <f>VLOOKUP(C13,'Train Runs'!$A$13:$AE$9928,22,0)</f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3" s="86" t="str">
        <f t="shared" si="1"/>
        <v>"C:\Program Files (x86)\AstroGrep\AstroGrep.exe" /e /r /s /spath="%USERPROFILE%\AppData\Local\Temp\OnboardLogs" /stypes="*4062*201706300*"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4062</v>
      </c>
      <c r="V13" s="31">
        <f t="shared" si="3"/>
        <v>42916.203622685185</v>
      </c>
      <c r="W13" s="45" t="str">
        <f t="shared" si="4"/>
        <v>EC</v>
      </c>
      <c r="X13" s="22">
        <f t="shared" si="5"/>
        <v>235</v>
      </c>
      <c r="Y13" s="96" t="str">
        <f t="shared" si="6"/>
        <v>echo {"issue":{"subject":"Form C","project_id":79,"tracker_id":40,"status_id":1,"priority_id":2,"assigned_to_id":23,"start_date":"2017-06-29","description":"","custom_fields":[{"id":1,"name":"Subdivision","value":"EC"},{"id":4,"name":"Milepost","value":"6.3068"},{"id":17,"name":"Train ID","value":"235-29"},{"id":16,"name":"Locomotive ID","value":"4062"},{"id":130,"name":"Impact","value":""},{"id":150,"name":"Time of Event (Mountain Time)","value":"22:53:13"},{"id":151,"name":"Denver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/c/Users/stu/AppData/Local/Temp/OnboardLogs/RTDC4062 --include="*4062*201706300*"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"%USERPROFILE%\AppData\Local\Temp\OnboardLogs"\RTDC4062\*4062*201706300* &gt;&gt; 2017-06-29-SliceDisagreementCheck.txt</v>
      </c>
      <c r="AE13" s="145" t="str">
        <f t="shared" si="9"/>
        <v>start /low /b %USERPROFILE%\Documents\GitHub\eaglep3\Utilities\DownloadLogsFromS3.py --loco 4062 --day 2017-06-30</v>
      </c>
    </row>
    <row r="14" spans="1:32" x14ac:dyDescent="0.25">
      <c r="A14" s="31">
        <v>42915.624143518522</v>
      </c>
      <c r="B14" s="30" t="s">
        <v>400</v>
      </c>
      <c r="C14" s="30" t="s">
        <v>600</v>
      </c>
      <c r="D14" s="30" t="s">
        <v>49</v>
      </c>
      <c r="E14" s="30" t="s">
        <v>187</v>
      </c>
      <c r="F14" s="42">
        <v>0</v>
      </c>
      <c r="G14" s="42">
        <v>392</v>
      </c>
      <c r="H14" s="42">
        <v>62355</v>
      </c>
      <c r="I14" s="42">
        <v>63246</v>
      </c>
      <c r="J14" s="30" t="s">
        <v>188</v>
      </c>
      <c r="K14" s="42">
        <v>63069</v>
      </c>
      <c r="L14" s="131" t="s">
        <v>50</v>
      </c>
      <c r="M14" s="132">
        <f t="shared" si="0"/>
        <v>-93.456000000000003</v>
      </c>
      <c r="N14" s="133" t="str">
        <f>VLOOKUP(C14,'Trips&amp;Operators'!$C$1:$G$99999,5,FALSE)</f>
        <v>STEWART MICHAEL</v>
      </c>
      <c r="O14" s="203" t="s">
        <v>180</v>
      </c>
      <c r="P14" s="134" t="s">
        <v>1056</v>
      </c>
      <c r="Q14" s="30"/>
      <c r="R14" s="81" t="str">
        <f>VLOOKUP(C14,'Train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4" s="84" t="str">
        <f>VLOOKUP(C14,'Train Runs'!$A$13:$AE$9928,22,0)</f>
        <v>https://d0f6bd738d7f1b3e5a7ca70fe4ff75f0.us-east-1.aws.found.io/app/kibana#/discover/Steve-Slow-Train-Analysis-(2080s-and-2083s)?_g=(refreshInterval:(display:Off,pause:!f,section:0,value:0),time:(from:'2017-06-29T13:42:31-0600',mode:absolute,to:'2017-06-29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/stypes="*4060*201706292*"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42915.874143518522</v>
      </c>
      <c r="W14" s="45" t="str">
        <f t="shared" si="4"/>
        <v>EC</v>
      </c>
      <c r="X14" s="22">
        <f t="shared" si="5"/>
        <v>189</v>
      </c>
      <c r="Y14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arrival","project_id":79,"tracker_id":40,"status_id":1,"priority_id":2,"assigned_to_id":23,"start_date":"2017-06-29","description":"","custom_fields":[{"id":1,"name":"Subdivision","value":"EC"},{"id":4,"name":"Milepost","value":"6.3069"},{"id":17,"name":"Train ID","value":"189-29"},{"id":16,"name":"Locomotive ID","value":"4060"},{"id":130,"name":"Impact","value":""},{"id":150,"name":"Time of Event (Mountain Time)","value":"14:58:46"},{"id":151,"name":"Denver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/c/Users/stu/AppData/Local/Temp/OnboardLogs/RTDC4060 --include="*4060*201706292*"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"%USERPROFILE%\AppData\Local\Temp\OnboardLogs"\RTDC4060\*4060*201706292* &gt;&gt; 2017-06-29-SliceDisagreementCheck.txt</v>
      </c>
      <c r="AE14" s="145" t="str">
        <f t="shared" si="9"/>
        <v>start /low /b %USERPROFILE%\Documents\GitHub\eaglep3\Utilities\DownloadLogsFromS3.py --loco 4060 --day 2017-06-29</v>
      </c>
      <c r="AF14" s="1"/>
    </row>
    <row r="15" spans="1:32" x14ac:dyDescent="0.25">
      <c r="A15" s="31">
        <v>42915.534953703704</v>
      </c>
      <c r="B15" s="30" t="s">
        <v>525</v>
      </c>
      <c r="C15" s="30" t="s">
        <v>590</v>
      </c>
      <c r="D15" s="30" t="s">
        <v>49</v>
      </c>
      <c r="E15" s="30" t="s">
        <v>187</v>
      </c>
      <c r="F15" s="42">
        <v>0</v>
      </c>
      <c r="G15" s="42">
        <v>446</v>
      </c>
      <c r="H15" s="42">
        <v>65055</v>
      </c>
      <c r="I15" s="42">
        <v>64224</v>
      </c>
      <c r="J15" s="30" t="s">
        <v>188</v>
      </c>
      <c r="K15" s="42">
        <v>63309</v>
      </c>
      <c r="L15" s="131" t="s">
        <v>51</v>
      </c>
      <c r="M15" s="132">
        <f t="shared" si="0"/>
        <v>483.12</v>
      </c>
      <c r="N15" s="133" t="str">
        <f>VLOOKUP(C15,'Trips&amp;Operators'!$C$1:$G$99999,5,FALSE)</f>
        <v>ROMERO CHAD</v>
      </c>
      <c r="O15" s="203" t="s">
        <v>180</v>
      </c>
      <c r="P15" s="134" t="s">
        <v>1056</v>
      </c>
      <c r="Q15" s="30"/>
      <c r="R15" s="81" t="str">
        <f>VLOOKUP(C15,'Train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15" s="84" t="str">
        <f>VLOOKUP(C15,'Train Runs'!$A$13:$AE$9928,22,0)</f>
        <v>https://d0f6bd738d7f1b3e5a7ca70fe4ff75f0.us-east-1.aws.found.io/app/kibana#/discover/Steve-Slow-Train-Analysis-(2080s-and-2083s)?_g=(refreshInterval:(display:Off,pause:!f,section:0,value:0),time:(from:'2017-06-29T11:07:08-0600',mode:absolute,to:'2017-06-29T14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5" s="86" t="str">
        <f t="shared" si="1"/>
        <v>"C:\Program Files (x86)\AstroGrep\AstroGrep.exe" /e /r /s /spath="%USERPROFILE%\AppData\Local\Temp\OnboardLogs" /stypes="*4061*201706291*"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4061</v>
      </c>
      <c r="V15" s="31">
        <f t="shared" si="3"/>
        <v>42915.784953703704</v>
      </c>
      <c r="W15" s="45" t="str">
        <f t="shared" si="4"/>
        <v>EC</v>
      </c>
      <c r="X15" s="22">
        <f t="shared" si="5"/>
        <v>164</v>
      </c>
      <c r="Y15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arrival","project_id":79,"tracker_id":40,"status_id":1,"priority_id":2,"assigned_to_id":23,"start_date":"2017-06-29","description":"","custom_fields":[{"id":1,"name":"Subdivision","value":"EC"},{"id":4,"name":"Milepost","value":"6.3309"},{"id":17,"name":"Train ID","value":"164-29"},{"id":16,"name":"Locomotive ID","value":"4061"},{"id":130,"name":"Impact","value":""},{"id":150,"name":"Time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/c/Users/stu/AppData/Local/Temp/OnboardLogs/RTDC4061 --include="*4061*201706291*"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"%USERPROFILE%\AppData\Local\Temp\OnboardLogs"\RTDC4061\*4061*201706291* &gt;&gt; 2017-06-29-SliceDisagreementCheck.txt</v>
      </c>
      <c r="AE15" s="145" t="str">
        <f t="shared" si="9"/>
        <v>start /low /b %USERPROFILE%\Documents\GitHub\eaglep3\Utilities\DownloadLogsFromS3.py --loco 4061 --day 2017-06-29</v>
      </c>
      <c r="AF15" s="1"/>
    </row>
    <row r="16" spans="1:32" x14ac:dyDescent="0.25">
      <c r="A16" s="31">
        <v>42915.264826388891</v>
      </c>
      <c r="B16" s="30" t="s">
        <v>400</v>
      </c>
      <c r="C16" s="30" t="s">
        <v>576</v>
      </c>
      <c r="D16" s="30" t="s">
        <v>49</v>
      </c>
      <c r="E16" s="30" t="s">
        <v>187</v>
      </c>
      <c r="F16" s="42">
        <v>0</v>
      </c>
      <c r="G16" s="42">
        <v>781</v>
      </c>
      <c r="H16" s="42">
        <v>108622</v>
      </c>
      <c r="I16" s="42">
        <v>112425</v>
      </c>
      <c r="J16" s="30" t="s">
        <v>188</v>
      </c>
      <c r="K16" s="42">
        <v>108954</v>
      </c>
      <c r="L16" s="131" t="s">
        <v>50</v>
      </c>
      <c r="M16" s="132">
        <f t="shared" si="0"/>
        <v>-1832.6880000000001</v>
      </c>
      <c r="N16" s="133" t="str">
        <f>VLOOKUP(C16,'Trips&amp;Operators'!$C$1:$G$99999,5,FALSE)</f>
        <v>BONDS REYNALDO</v>
      </c>
      <c r="O16" s="203" t="s">
        <v>180</v>
      </c>
      <c r="P16" s="134" t="s">
        <v>1056</v>
      </c>
      <c r="Q16" s="30"/>
      <c r="R16" s="81" t="str">
        <f>VLOOKUP(C16,'Train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6" s="84" t="str">
        <f>VLOOKUP(C16,'Train Runs'!$A$13:$AE$9928,22,0)</f>
        <v>https://d0f6bd738d7f1b3e5a7ca70fe4ff75f0.us-east-1.aws.found.io/app/kibana#/discover/Steve-Slow-Train-Analysis-(2080s-and-2083s)?_g=(refreshInterval:(display:Off,pause:!f,section:0,value:0),time:(from:'2017-06-29T04:54:26-0600',mode:absolute,to:'2017-06-29T07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/stypes="*4060*201706291*"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42915.514826388891</v>
      </c>
      <c r="W16" s="45" t="str">
        <f t="shared" si="4"/>
        <v>EC</v>
      </c>
      <c r="X16" s="22">
        <f t="shared" si="5"/>
        <v>119</v>
      </c>
      <c r="Y16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arrival","project_id":79,"tracker_id":40,"status_id":1,"priority_id":2,"assigned_to_id":23,"start_date":"2017-06-29","description":"","custom_fields":[{"id":1,"name":"Subdivision","value":"EC"},{"id":4,"name":"Milepost","value":"10.8954"},{"id":17,"name":"Train ID","value":"119-29"},{"id":16,"name":"Locomotive ID","value":"4060"},{"id":130,"name":"Impact","value":""},{"id":150,"name":"Time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/c/Users/stu/AppData/Local/Temp/OnboardLogs/RTDC4060 --include="*4060*201706291*"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"%USERPROFILE%\AppData\Local\Temp\OnboardLogs"\RTDC4060\*4060*201706291* &gt;&gt; 2017-06-29-SliceDisagreementCheck.txt</v>
      </c>
      <c r="AE16" s="145" t="str">
        <f t="shared" si="9"/>
        <v>start /low /b %USERPROFILE%\Documents\GitHub\eaglep3\Utilities\DownloadLogsFromS3.py --loco 4060 --day 2017-06-29</v>
      </c>
      <c r="AF16" s="1"/>
    </row>
    <row r="17" spans="1:32" x14ac:dyDescent="0.25">
      <c r="A17" s="31">
        <v>42915.926724537036</v>
      </c>
      <c r="B17" s="30" t="s">
        <v>393</v>
      </c>
      <c r="C17" s="30" t="s">
        <v>623</v>
      </c>
      <c r="D17" s="30" t="s">
        <v>49</v>
      </c>
      <c r="E17" s="30" t="s">
        <v>187</v>
      </c>
      <c r="F17" s="42">
        <v>370</v>
      </c>
      <c r="G17" s="42">
        <v>421</v>
      </c>
      <c r="H17" s="42">
        <v>110109</v>
      </c>
      <c r="I17" s="42">
        <v>109038</v>
      </c>
      <c r="J17" s="30" t="s">
        <v>188</v>
      </c>
      <c r="K17" s="42">
        <v>109135</v>
      </c>
      <c r="L17" s="131" t="s">
        <v>51</v>
      </c>
      <c r="M17" s="132">
        <f t="shared" si="0"/>
        <v>-51.216000000000001</v>
      </c>
      <c r="N17" s="133" t="str">
        <f>VLOOKUP(C17,'Trips&amp;Operators'!$C$1:$G$99999,5,FALSE)</f>
        <v>LAMAR NEKESHA</v>
      </c>
      <c r="O17" s="203" t="s">
        <v>180</v>
      </c>
      <c r="P17" s="134" t="s">
        <v>1056</v>
      </c>
      <c r="Q17" s="30"/>
      <c r="R17" s="81" t="str">
        <f>VLOOKUP(C17,'Train Runs'!$A$13:$AE$9928,31,0)</f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S17" s="84" t="str">
        <f>VLOOKUP(C17,'Train Runs'!$A$13:$AE$9928,22,0)</f>
        <v>https://d0f6bd738d7f1b3e5a7ca70fe4ff75f0.us-east-1.aws.found.io/app/kibana#/discover/Steve-Slow-Train-Analysis-(2080s-and-2083s)?_g=(refreshInterval:(display:Off,pause:!f,section:0,value:0),time:(from:'2017-06-29T20:49:20-0600',mode:absolute,to:'2017-06-29T23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/stypes="*4049*201706300*" /stext=" 04:.+((SYSTEM_STATE.+slice.+state.+changed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42916.176724537036</v>
      </c>
      <c r="W17" s="45" t="str">
        <f t="shared" si="4"/>
        <v>EC</v>
      </c>
      <c r="X17" s="22">
        <f t="shared" si="5"/>
        <v>230</v>
      </c>
      <c r="Y17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arrival","project_id":79,"tracker_id":40,"status_id":1,"priority_id":2,"assigned_to_id":23,"start_date":"2017-06-29","description":"","custom_fields":[{"id":1,"name":"Subdivision","value":"EC"},{"id":4,"name":"Milepost","value":"10.9135"},{"id":17,"name":"Train ID","value":"230-29"},{"id":16,"name":"Locomotive ID","value":"4049"},{"id":130,"name":"Impact","value":""},{"id":150,"name":"Time of Event (Mountain Time)","value":"22:14:29"},{"id":151,"name":"Denver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/c/Users/stu/AppData/Local/Temp/OnboardLogs/RTDC4049 --include="*4049*201706300*"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"%USERPROFILE%\AppData\Local\Temp\OnboardLogs"\RTDC4049\*4049*201706300* &gt;&gt; 2017-06-29-SliceDisagreementCheck.txt</v>
      </c>
      <c r="AE17" s="145" t="str">
        <f t="shared" si="9"/>
        <v>start /low /b %USERPROFILE%\Documents\GitHub\eaglep3\Utilities\DownloadLogsFromS3.py --loco 4049 --day 2017-06-30</v>
      </c>
      <c r="AF17" s="1"/>
    </row>
    <row r="18" spans="1:32" x14ac:dyDescent="0.25">
      <c r="A18" s="31">
        <v>42915.471018518518</v>
      </c>
      <c r="B18" s="30" t="s">
        <v>400</v>
      </c>
      <c r="C18" s="30" t="s">
        <v>589</v>
      </c>
      <c r="D18" s="30" t="s">
        <v>96</v>
      </c>
      <c r="E18" s="30" t="s">
        <v>199</v>
      </c>
      <c r="F18" s="42">
        <v>200</v>
      </c>
      <c r="G18" s="42">
        <v>252</v>
      </c>
      <c r="H18" s="42">
        <v>5373</v>
      </c>
      <c r="I18" s="42">
        <v>5899</v>
      </c>
      <c r="J18" s="30" t="s">
        <v>200</v>
      </c>
      <c r="K18" s="42">
        <v>4677</v>
      </c>
      <c r="L18" s="131" t="s">
        <v>50</v>
      </c>
      <c r="M18" s="132">
        <f t="shared" si="0"/>
        <v>-645.21600000000001</v>
      </c>
      <c r="N18" s="133" t="str">
        <f>VLOOKUP(C18,'Trips&amp;Operators'!$C$1:$G$99999,5,FALSE)</f>
        <v>STEWART MICHAEL</v>
      </c>
      <c r="O18" s="203" t="s">
        <v>180</v>
      </c>
      <c r="P18" s="134"/>
      <c r="Q18" s="30"/>
      <c r="R18" s="81" t="str">
        <f>VLOOKUP(C18,'Train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8" s="84" t="str">
        <f>VLOOKUP(C18,'Train Runs'!$A$13:$AE$9928,22,0)</f>
        <v>https://d0f6bd738d7f1b3e5a7ca70fe4ff75f0.us-east-1.aws.found.io/app/kibana#/discover/Steve-Slow-Train-Analysis-(2080s-and-2083s)?_g=(refreshInterval:(display:Off,pause:!f,section:0,value:0),time:(from:'2017-06-29T10:10:10-0600',mode:absolute,to:'2017-06-29T12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8" s="86" t="str">
        <f t="shared" si="1"/>
        <v>"C:\Program Files (x86)\AstroGrep\AstroGrep.exe" /e /r /s /spath="%USERPROFILE%\AppData\Local\Temp\OnboardLogs" /stypes="*4060*201706291*"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4060</v>
      </c>
      <c r="V18" s="31">
        <f t="shared" si="3"/>
        <v>42915.721018518518</v>
      </c>
      <c r="W18" s="45" t="str">
        <f t="shared" si="4"/>
        <v>EC</v>
      </c>
      <c r="X18" s="22">
        <f t="shared" si="5"/>
        <v>161</v>
      </c>
      <c r="Y1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{"issue":{"subject":"","project_id":79,"tracker_id":40,"status_id":1,"priority_id":2,"assigned_to_id":23,"start_date":"2017-06-29","description":"","custom_fields":[{"id":1,"name":"Subdivision","value":"EC"},{"id":4,"name":"Milepost","value":"0.4677"},{"id":17,"name":"Train ID","value":"161-29"},{"id":16,"name":"Locomotive ID","value":"4060"},{"id":130,"name":"Impact","value":""},{"id":150,"name":"Time of Event (Mountain Time)","value":"11:18:16"},{"id":151,"name":"Denver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/c/Users/stu/AppData/Local/Temp/OnboardLogs/RTDC4060 --include="*4060*201706291*"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"%USERPROFILE%\AppData\Local\Temp\OnboardLogs"\RTDC4060\*4060*201706291* &gt;&gt; 2017-06-29-SliceDisagreementCheck.txt</v>
      </c>
      <c r="AE18" s="145" t="str">
        <f t="shared" si="9"/>
        <v>start /low /b %USERPROFILE%\Documents\GitHub\eaglep3\Utilities\DownloadLogsFromS3.py --loco 4060 --day 2017-06-29</v>
      </c>
      <c r="AF18" s="1"/>
    </row>
    <row r="19" spans="1:32" x14ac:dyDescent="0.25">
      <c r="A19" s="31">
        <v>42915.595289351855</v>
      </c>
      <c r="B19" s="30" t="s">
        <v>594</v>
      </c>
      <c r="C19" s="30" t="s">
        <v>595</v>
      </c>
      <c r="D19" s="30" t="s">
        <v>49</v>
      </c>
      <c r="E19" s="30" t="s">
        <v>199</v>
      </c>
      <c r="F19" s="42">
        <v>200</v>
      </c>
      <c r="G19" s="42">
        <v>343</v>
      </c>
      <c r="H19" s="42">
        <v>6958</v>
      </c>
      <c r="I19" s="42">
        <v>6258</v>
      </c>
      <c r="J19" s="30" t="s">
        <v>200</v>
      </c>
      <c r="K19" s="42">
        <v>5439</v>
      </c>
      <c r="L19" s="131" t="s">
        <v>51</v>
      </c>
      <c r="M19" s="132">
        <f t="shared" si="0"/>
        <v>432.43200000000002</v>
      </c>
      <c r="N19" s="133" t="str">
        <f>VLOOKUP(C19,'Trips&amp;Operators'!$C$1:$G$99999,5,FALSE)</f>
        <v>HOLCOMB KAMDEN</v>
      </c>
      <c r="O19" s="203" t="s">
        <v>180</v>
      </c>
      <c r="P19" s="134"/>
      <c r="Q19" s="30"/>
      <c r="R19" s="81" t="str">
        <f>VLOOKUP(C19,'Train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19" s="84" t="str">
        <f>VLOOKUP(C19,'Train Runs'!$A$13:$AE$9928,22,0)</f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/stypes="*4005*201706292*"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42915.845289351855</v>
      </c>
      <c r="W19" s="45" t="str">
        <f t="shared" si="4"/>
        <v>EC</v>
      </c>
      <c r="X19" s="22">
        <f t="shared" si="5"/>
        <v>174</v>
      </c>
      <c r="Y19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{"issue":{"subject":"","project_id":79,"tracker_id":40,"status_id":1,"priority_id":2,"assigned_to_id":23,"start_date":"2017-06-29","description":"","custom_fields":[{"id":1,"name":"Subdivision","value":"EC"},{"id":4,"name":"Milepost","value":"0.5439"},{"id":17,"name":"Train ID","value":"174-29"},{"id":16,"name":"Locomotive ID","value":"4005"},{"id":130,"name":"Impact","value":""},{"id":150,"name":"Time of Event (Mountain Time)","value":"14:17:13"},{"id":151,"name":"Denver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/c/Users/stu/AppData/Local/Temp/OnboardLogs/RTDC4005 --include="*4005*201706292*"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19" s="145" t="str">
        <f t="shared" si="9"/>
        <v>start /low /b %USERPROFILE%\Documents\GitHub\eaglep3\Utilities\DownloadLogsFromS3.py --loco 4005 --day 2017-06-29</v>
      </c>
      <c r="AF19" s="1"/>
    </row>
    <row r="20" spans="1:32" x14ac:dyDescent="0.25">
      <c r="A20" s="31">
        <v>42915.607673611114</v>
      </c>
      <c r="B20" s="30" t="s">
        <v>597</v>
      </c>
      <c r="C20" s="30" t="s">
        <v>598</v>
      </c>
      <c r="D20" s="30" t="s">
        <v>96</v>
      </c>
      <c r="E20" s="30" t="s">
        <v>199</v>
      </c>
      <c r="F20" s="42">
        <v>300</v>
      </c>
      <c r="G20" s="42">
        <v>351</v>
      </c>
      <c r="H20" s="42">
        <v>20383</v>
      </c>
      <c r="I20" s="42">
        <v>21163</v>
      </c>
      <c r="J20" s="30" t="s">
        <v>200</v>
      </c>
      <c r="K20" s="42">
        <v>20338</v>
      </c>
      <c r="L20" s="131" t="s">
        <v>50</v>
      </c>
      <c r="M20" s="132">
        <f t="shared" si="0"/>
        <v>-435.6</v>
      </c>
      <c r="N20" s="133" t="str">
        <f>VLOOKUP(C20,'Trips&amp;Operators'!$C$1:$G$99999,5,FALSE)</f>
        <v>HOLCOMB KAMDEN</v>
      </c>
      <c r="O20" s="203" t="s">
        <v>180</v>
      </c>
      <c r="P20" s="134"/>
      <c r="Q20" s="30"/>
      <c r="R20" s="81" t="str">
        <f>VLOOKUP(C20,'Train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20" s="84" t="str">
        <f>VLOOKUP(C20,'Train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 t="shared" si="1"/>
        <v>"C:\Program Files (x86)\AstroGrep\AstroGrep.exe" /e /r /s /spath="%USERPROFILE%\AppData\Local\Temp\OnboardLogs" /stypes="*4006*201706292*"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42915.857673611114</v>
      </c>
      <c r="W20" s="45" t="str">
        <f t="shared" si="4"/>
        <v>EC</v>
      </c>
      <c r="X20" s="22">
        <f t="shared" si="5"/>
        <v>187</v>
      </c>
      <c r="Y20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{"issue":{"subject":"","project_id":79,"tracker_id":40,"status_id":1,"priority_id":2,"assigned_to_id":23,"start_date":"2017-06-29","description":"","custom_fields":[{"id":1,"name":"Subdivision","value":"EC"},{"id":4,"name":"Milepost","value":"2.0338"},{"id":17,"name":"Train ID","value":"187-29"},{"id":16,"name":"Locomotive ID","value":"4006"},{"id":130,"name":"Impact","value":""},{"id":150,"name":"Time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/c/Users/stu/AppData/Local/Temp/OnboardLogs/RTDC4006 --include="*4006*201706292*"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20" s="145" t="str">
        <f t="shared" si="9"/>
        <v>start /low /b %USERPROFILE%\Documents\GitHub\eaglep3\Utilities\DownloadLogsFromS3.py --loco 4006 --day 2017-06-29</v>
      </c>
      <c r="AF20" s="1"/>
    </row>
    <row r="21" spans="1:32" x14ac:dyDescent="0.25">
      <c r="A21" s="31">
        <v>42915.677986111114</v>
      </c>
      <c r="B21" s="30" t="s">
        <v>397</v>
      </c>
      <c r="C21" s="30" t="s">
        <v>605</v>
      </c>
      <c r="D21" s="30" t="s">
        <v>49</v>
      </c>
      <c r="E21" s="30" t="s">
        <v>199</v>
      </c>
      <c r="F21" s="42">
        <v>300</v>
      </c>
      <c r="G21" s="42">
        <v>449</v>
      </c>
      <c r="H21" s="42">
        <v>23638</v>
      </c>
      <c r="I21" s="42">
        <v>22051</v>
      </c>
      <c r="J21" s="30" t="s">
        <v>200</v>
      </c>
      <c r="K21" s="42">
        <v>21848</v>
      </c>
      <c r="L21" s="131" t="s">
        <v>51</v>
      </c>
      <c r="M21" s="132">
        <f t="shared" si="0"/>
        <v>107.184</v>
      </c>
      <c r="N21" s="133" t="str">
        <f>VLOOKUP(C21,'Trips&amp;Operators'!$C$1:$G$99999,5,FALSE)</f>
        <v>STEWART MICHAEL</v>
      </c>
      <c r="O21" s="203" t="s">
        <v>180</v>
      </c>
      <c r="P21" s="134"/>
      <c r="Q21" s="30"/>
      <c r="R21" s="81" t="str">
        <f>VLOOKUP(C21,'Train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21" s="84" t="str">
        <f>VLOOKUP(C21,'Train Runs'!$A$13:$AE$9928,22,0)</f>
        <v>https://d0f6bd738d7f1b3e5a7ca70fe4ff75f0.us-east-1.aws.found.io/app/kibana#/discover/Steve-Slow-Train-Analysis-(2080s-and-2083s)?_g=(refreshInterval:(display:Off,pause:!f,section:0,value:0),time:(from:'2017-06-29T14:40:44-0600',mode:absolute,to:'2017-06-29T17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/stypes="*4059*201706292*"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42915.927986111114</v>
      </c>
      <c r="W21" s="45" t="str">
        <f t="shared" si="4"/>
        <v>EC</v>
      </c>
      <c r="X21" s="22">
        <f t="shared" si="5"/>
        <v>190</v>
      </c>
      <c r="Y21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{"issue":{"subject":"","project_id":79,"tracker_id":40,"status_id":1,"priority_id":2,"assigned_to_id":23,"start_date":"2017-06-29","description":"","custom_fields":[{"id":1,"name":"Subdivision","value":"EC"},{"id":4,"name":"Milepost","value":"2.1848"},{"id":17,"name":"Train ID","value":"190-29"},{"id":16,"name":"Locomotive ID","value":"4059"},{"id":130,"name":"Impact","value":""},{"id":150,"name":"Time of Event (Mountain Time)","value":"16:16:18"},{"id":151,"name":"Denver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/c/Users/stu/AppData/Local/Temp/OnboardLogs/RTDC4059 --include="*4059*201706292*"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21" s="145" t="str">
        <f t="shared" si="9"/>
        <v>start /low /b %USERPROFILE%\Documents\GitHub\eaglep3\Utilities\DownloadLogsFromS3.py --loco 4059 --day 2017-06-29</v>
      </c>
      <c r="AF21" s="1"/>
    </row>
    <row r="22" spans="1:32" x14ac:dyDescent="0.25">
      <c r="A22" s="31">
        <v>42916.005659722221</v>
      </c>
      <c r="B22" s="30" t="s">
        <v>525</v>
      </c>
      <c r="C22" s="30" t="s">
        <v>625</v>
      </c>
      <c r="D22" s="30" t="s">
        <v>49</v>
      </c>
      <c r="E22" s="30" t="s">
        <v>199</v>
      </c>
      <c r="F22" s="42">
        <v>300</v>
      </c>
      <c r="G22" s="42">
        <v>371</v>
      </c>
      <c r="H22" s="42">
        <v>22772</v>
      </c>
      <c r="I22" s="42">
        <v>21639</v>
      </c>
      <c r="J22" s="30" t="s">
        <v>200</v>
      </c>
      <c r="K22" s="42">
        <v>21848</v>
      </c>
      <c r="L22" s="131" t="s">
        <v>51</v>
      </c>
      <c r="M22" s="132">
        <f t="shared" si="0"/>
        <v>-110.352</v>
      </c>
      <c r="N22" s="133" t="str">
        <f>VLOOKUP(C22,'Trips&amp;Operators'!$C$1:$G$99999,5,FALSE)</f>
        <v>FORTUNATO FRANK</v>
      </c>
      <c r="O22" s="203" t="s">
        <v>180</v>
      </c>
      <c r="P22" s="134"/>
      <c r="Q22" s="30"/>
      <c r="R22" s="81" t="str">
        <f>VLOOKUP(C22,'Train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22" s="84" t="str">
        <f>VLOOKUP(C22,'Train Runs'!$A$13:$AE$9928,22,0)</f>
        <v>https://d0f6bd738d7f1b3e5a7ca70fe4ff75f0.us-east-1.aws.found.io/app/kibana#/discover/Steve-Slow-Train-Analysis-(2080s-and-2083s)?_g=(refreshInterval:(display:Off,pause:!f,section:0,value:0),time:(from:'2017-06-29T22:19:53-0600',mode:absolute,to:'2017-06-30T01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2" s="86" t="str">
        <f t="shared" si="1"/>
        <v>"C:\Program Files (x86)\AstroGrep\AstroGrep.exe" /e /r /s /spath="%USERPROFILE%\AppData\Local\Temp\OnboardLogs" /stypes="*4061*201706300*" /stext=" 06:.+((SYSTEM_STATE.+slice.+state.+changed )|(ment ac)|(multiple cpu faults)|(system.+state.+changed )|(\[timeout)|(PRM\|1\|D)|(kpr)|(kdp)|(train st.+moving)|(\|lc)|(penalty))"</v>
      </c>
      <c r="U22" s="9" t="str">
        <f t="shared" si="2"/>
        <v>4061</v>
      </c>
      <c r="V22" s="31">
        <f t="shared" si="3"/>
        <v>42916.255659722221</v>
      </c>
      <c r="W22" s="45" t="str">
        <f t="shared" si="4"/>
        <v>EC</v>
      </c>
      <c r="X22" s="22">
        <f t="shared" si="5"/>
        <v>236</v>
      </c>
      <c r="Y22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{"issue":{"subject":"","project_id":79,"tracker_id":40,"status_id":1,"priority_id":2,"assigned_to_id":23,"start_date":"2017-06-30","description":"","custom_fields":[{"id":1,"name":"Subdivision","value":"EC"},{"id":4,"name":"Milepost","value":"2.1848"},{"id":17,"name":"Train ID","value":"236-29"},{"id":16,"name":"Locomotive ID","value":"4061"},{"id":130,"name":"Impact","value":""},{"id":150,"name":"Time of Event (Mountain Time)","value":"00:08:09"},{"id":151,"name":"Denver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/c/Users/stu/AppData/Local/Temp/OnboardLogs/RTDC4061 --include="*4061*201706300*"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"%USERPROFILE%\AppData\Local\Temp\OnboardLogs"\RTDC4061\*4061*201706300* &gt;&gt; 2017-06-29-SliceDisagreementCheck.txt</v>
      </c>
      <c r="AE22" s="145" t="str">
        <f t="shared" si="9"/>
        <v>start /low /b %USERPROFILE%\Documents\GitHub\eaglep3\Utilities\DownloadLogsFromS3.py --loco 4061 --day 2017-06-30</v>
      </c>
      <c r="AF22" s="1"/>
    </row>
    <row r="23" spans="1:32" x14ac:dyDescent="0.25">
      <c r="A23" s="31">
        <v>42915.566736111112</v>
      </c>
      <c r="B23" s="30" t="s">
        <v>526</v>
      </c>
      <c r="C23" s="30" t="s">
        <v>592</v>
      </c>
      <c r="D23" s="30" t="s">
        <v>49</v>
      </c>
      <c r="E23" s="30" t="s">
        <v>199</v>
      </c>
      <c r="F23" s="42">
        <v>400</v>
      </c>
      <c r="G23" s="42">
        <v>579</v>
      </c>
      <c r="H23" s="42">
        <v>115471</v>
      </c>
      <c r="I23" s="42">
        <v>117310</v>
      </c>
      <c r="J23" s="30" t="s">
        <v>200</v>
      </c>
      <c r="K23" s="42">
        <v>116838</v>
      </c>
      <c r="L23" s="131" t="s">
        <v>50</v>
      </c>
      <c r="M23" s="132">
        <f t="shared" si="0"/>
        <v>-249.21600000000001</v>
      </c>
      <c r="N23" s="133" t="str">
        <f>VLOOKUP(C23,'Trips&amp;Operators'!$C$1:$G$99999,5,FALSE)</f>
        <v>ROMERO CHAD</v>
      </c>
      <c r="O23" s="203" t="s">
        <v>180</v>
      </c>
      <c r="P23" s="134"/>
      <c r="Q23" s="30"/>
      <c r="R23" s="81" t="str">
        <f>VLOOKUP(C23,'Train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23" s="84" t="str">
        <f>VLOOKUP(C23,'Train Runs'!$A$13:$AE$9928,22,0)</f>
        <v>https://d0f6bd738d7f1b3e5a7ca70fe4ff75f0.us-east-1.aws.found.io/app/kibana#/discover/Steve-Slow-Train-Analysis-(2080s-and-2083s)?_g=(refreshInterval:(display:Off,pause:!f,section:0,value:0),time:(from:'2017-06-29T12:08:31-0600',mode:absolute,to:'2017-06-29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3" s="86" t="str">
        <f t="shared" si="1"/>
        <v>"C:\Program Files (x86)\AstroGrep\AstroGrep.exe" /e /r /s /spath="%USERPROFILE%\AppData\Local\Temp\OnboardLogs" /stypes="*4062*201706291*"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4062</v>
      </c>
      <c r="V23" s="31">
        <f t="shared" si="3"/>
        <v>42915.816736111112</v>
      </c>
      <c r="W23" s="45" t="str">
        <f t="shared" si="4"/>
        <v>EC</v>
      </c>
      <c r="X23" s="22">
        <f t="shared" si="5"/>
        <v>177</v>
      </c>
      <c r="Y23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{"issue":{"subject":"","project_id":79,"tracker_id":40,"status_id":1,"priority_id":2,"assigned_to_id":23,"start_date":"2017-06-29","description":"","custom_fields":[{"id":1,"name":"Subdivision","value":"EC"},{"id":4,"name":"Milepost","value":"11.6838"},{"id":17,"name":"Train ID","value":"177-29"},{"id":16,"name":"Locomotive ID","value":"4062"},{"id":130,"name":"Impact","value":""},{"id":150,"name":"Time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/c/Users/stu/AppData/Local/Temp/OnboardLogs/RTDC4062 --include="*4062*201706291*"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"%USERPROFILE%\AppData\Local\Temp\OnboardLogs"\RTDC4062\*4062*201706291* &gt;&gt; 2017-06-29-SliceDisagreementCheck.txt</v>
      </c>
      <c r="AE23" s="145" t="str">
        <f t="shared" si="9"/>
        <v>start /low /b %USERPROFILE%\Documents\GitHub\eaglep3\Utilities\DownloadLogsFromS3.py --loco 4062 --day 2017-06-29</v>
      </c>
      <c r="AF23" s="1"/>
    </row>
    <row r="24" spans="1:32" x14ac:dyDescent="0.25">
      <c r="A24" s="31">
        <v>42915.775497685187</v>
      </c>
      <c r="B24" s="30" t="s">
        <v>400</v>
      </c>
      <c r="C24" s="30" t="s">
        <v>615</v>
      </c>
      <c r="D24" s="30" t="s">
        <v>96</v>
      </c>
      <c r="E24" s="30" t="s">
        <v>199</v>
      </c>
      <c r="F24" s="42">
        <v>400</v>
      </c>
      <c r="G24" s="42">
        <v>452</v>
      </c>
      <c r="H24" s="42">
        <v>118650</v>
      </c>
      <c r="I24" s="42">
        <v>119915</v>
      </c>
      <c r="J24" s="30" t="s">
        <v>200</v>
      </c>
      <c r="K24" s="42">
        <v>116838</v>
      </c>
      <c r="L24" s="131" t="s">
        <v>50</v>
      </c>
      <c r="M24" s="132">
        <f t="shared" si="0"/>
        <v>-1624.6559999999999</v>
      </c>
      <c r="N24" s="133" t="str">
        <f>VLOOKUP(C24,'Trips&amp;Operators'!$C$1:$G$99999,5,FALSE)</f>
        <v>PERKINS DARREN</v>
      </c>
      <c r="O24" s="203" t="s">
        <v>180</v>
      </c>
      <c r="P24" s="134"/>
      <c r="Q24" s="30"/>
      <c r="R24" s="81" t="str">
        <f>VLOOKUP(C24,'Train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24" s="84" t="str">
        <f>VLOOKUP(C24,'Train Runs'!$A$13:$AE$9928,22,0)</f>
        <v>https://d0f6bd738d7f1b3e5a7ca70fe4ff75f0.us-east-1.aws.found.io/app/kibana#/discover/Steve-Slow-Train-Analysis-(2080s-and-2083s)?_g=(refreshInterval:(display:Off,pause:!f,section:0,value:0),time:(from:'2017-06-29T17:08:17-0600',mode:absolute,to:'2017-06-29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 t="shared" si="1"/>
        <v>"C:\Program Files (x86)\AstroGrep\AstroGrep.exe" /e /r /s /spath="%USERPROFILE%\AppData\Local\Temp\OnboardLogs" /stypes="*4060*201706300*"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4060</v>
      </c>
      <c r="V24" s="31">
        <f t="shared" si="3"/>
        <v>42916.025497685187</v>
      </c>
      <c r="W24" s="45" t="str">
        <f t="shared" si="4"/>
        <v>EC</v>
      </c>
      <c r="X24" s="22">
        <f t="shared" si="5"/>
        <v>217</v>
      </c>
      <c r="Y24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{"issue":{"subject":"","project_id":79,"tracker_id":40,"status_id":1,"priority_id":2,"assigned_to_id":23,"start_date":"2017-06-29","description":"","custom_fields":[{"id":1,"name":"Subdivision","value":"EC"},{"id":4,"name":"Milepost","value":"11.6838"},{"id":17,"name":"Train ID","value":"217-29"},{"id":16,"name":"Locomotive ID","value":"4060"},{"id":130,"name":"Impact","value":""},{"id":150,"name":"Time of Event (Mountain Time)","value":"18:36:43"},{"id":151,"name":"Denver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/c/Users/stu/AppData/Local/Temp/OnboardLogs/RTDC4060 --include="*4060*201706300*"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24" s="145" t="str">
        <f t="shared" si="9"/>
        <v>start /low /b %USERPROFILE%\Documents\GitHub\eaglep3\Utilities\DownloadLogsFromS3.py --loco 4060 --day 2017-06-30</v>
      </c>
      <c r="AF24" s="1"/>
    </row>
    <row r="25" spans="1:32" x14ac:dyDescent="0.25">
      <c r="A25" s="31">
        <v>42916.022164351853</v>
      </c>
      <c r="B25" s="30" t="s">
        <v>400</v>
      </c>
      <c r="C25" s="30" t="s">
        <v>626</v>
      </c>
      <c r="D25" s="30" t="s">
        <v>96</v>
      </c>
      <c r="E25" s="30" t="s">
        <v>199</v>
      </c>
      <c r="F25" s="42">
        <v>400</v>
      </c>
      <c r="G25" s="42">
        <v>450</v>
      </c>
      <c r="H25" s="42">
        <v>119477</v>
      </c>
      <c r="I25" s="42">
        <v>121189</v>
      </c>
      <c r="J25" s="30" t="s">
        <v>200</v>
      </c>
      <c r="K25" s="42">
        <v>116838</v>
      </c>
      <c r="L25" s="131" t="s">
        <v>50</v>
      </c>
      <c r="M25" s="132">
        <f t="shared" si="0"/>
        <v>-2297.328</v>
      </c>
      <c r="N25" s="133" t="str">
        <f>VLOOKUP(C25,'Trips&amp;Operators'!$C$1:$G$99999,5,FALSE)</f>
        <v>PERKINS DARREN</v>
      </c>
      <c r="O25" s="203" t="s">
        <v>180</v>
      </c>
      <c r="P25" s="134"/>
      <c r="Q25" s="30"/>
      <c r="R25" s="81" t="str">
        <f>VLOOKUP(C25,'Train Runs'!$A$13:$AE$9928,31,0)</f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S25" s="84" t="str">
        <f>VLOOKUP(C25,'Train Runs'!$A$13:$AE$9928,22,0)</f>
        <v>https://d0f6bd738d7f1b3e5a7ca70fe4ff75f0.us-east-1.aws.found.io/app/kibana#/discover/Steve-Slow-Train-Analysis-(2080s-and-2083s)?_g=(refreshInterval:(display:Off,pause:!f,section:0,value:0),time:(from:'2017-06-29T22:51:44-0600',mode:absolute,to:'2017-06-30T01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5" s="86" t="str">
        <f t="shared" si="1"/>
        <v>"C:\Program Files (x86)\AstroGrep\AstroGrep.exe" /e /r /s /spath="%USERPROFILE%\AppData\Local\Temp\OnboardLogs" /stypes="*4060*201706300*"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4060</v>
      </c>
      <c r="V25" s="31">
        <f t="shared" si="3"/>
        <v>42916.272164351853</v>
      </c>
      <c r="W25" s="45" t="str">
        <f t="shared" si="4"/>
        <v>EC</v>
      </c>
      <c r="X25" s="22">
        <f t="shared" si="5"/>
        <v>241</v>
      </c>
      <c r="Y25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{"issue":{"subject":"","project_id":79,"tracker_id":40,"status_id":1,"priority_id":2,"assigned_to_id":23,"start_date":"2017-06-30","description":"","custom_fields":[{"id":1,"name":"Subdivision","value":"EC"},{"id":4,"name":"Milepost","value":"11.6838"},{"id":17,"name":"Train ID","value":"241-29"},{"id":16,"name":"Locomotive ID","value":"4060"},{"id":130,"name":"Impact","value":""},{"id":150,"name":"Time of Event (Mountain Time)","value":"00:31:55"},{"id":151,"name":"Denver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/c/Users/stu/AppData/Local/Temp/OnboardLogs/RTDC4060 --include="*4060*201706300*"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25" s="145" t="str">
        <f t="shared" si="9"/>
        <v>start /low /b %USERPROFILE%\Documents\GitHub\eaglep3\Utilities\DownloadLogsFromS3.py --loco 4060 --day 2017-06-30</v>
      </c>
      <c r="AF25" s="1"/>
    </row>
    <row r="26" spans="1:32" x14ac:dyDescent="0.25">
      <c r="A26" s="31">
        <v>42915.822557870371</v>
      </c>
      <c r="B26" s="30" t="s">
        <v>525</v>
      </c>
      <c r="C26" s="30" t="s">
        <v>620</v>
      </c>
      <c r="D26" s="30" t="s">
        <v>96</v>
      </c>
      <c r="E26" s="30" t="s">
        <v>199</v>
      </c>
      <c r="F26" s="42">
        <v>400</v>
      </c>
      <c r="G26" s="42">
        <v>452</v>
      </c>
      <c r="H26" s="42">
        <v>116805</v>
      </c>
      <c r="I26" s="42">
        <v>115056</v>
      </c>
      <c r="J26" s="30" t="s">
        <v>200</v>
      </c>
      <c r="K26" s="42">
        <v>119716</v>
      </c>
      <c r="L26" s="131" t="s">
        <v>51</v>
      </c>
      <c r="M26" s="132">
        <f t="shared" si="0"/>
        <v>-2460.48</v>
      </c>
      <c r="N26" s="133" t="str">
        <f>VLOOKUP(C26,'Trips&amp;Operators'!$C$1:$G$99999,5,FALSE)</f>
        <v>FORTUNATO FRANK</v>
      </c>
      <c r="O26" s="203" t="s">
        <v>180</v>
      </c>
      <c r="P26" s="134"/>
      <c r="Q26" s="30"/>
      <c r="R26" s="81" t="str">
        <f>VLOOKUP(C26,'Train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26" s="84" t="str">
        <f>VLOOKUP(C26,'Train Runs'!$A$13:$AE$9928,22,0)</f>
        <v>https://d0f6bd738d7f1b3e5a7ca70fe4ff75f0.us-east-1.aws.found.io/app/kibana#/discover/Steve-Slow-Train-Analysis-(2080s-and-2083s)?_g=(refreshInterval:(display:Off,pause:!f,section:0,value:0),time:(from:'2017-06-29T18:23:46-0600',mode:absolute,to:'2017-06-29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6" s="86" t="str">
        <f t="shared" si="1"/>
        <v>"C:\Program Files (x86)\AstroGrep\AstroGrep.exe" /e /r /s /spath="%USERPROFILE%\AppData\Local\Temp\OnboardLogs" /stypes="*4061*201706300*"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4061</v>
      </c>
      <c r="V26" s="31">
        <f t="shared" si="3"/>
        <v>42916.072557870371</v>
      </c>
      <c r="W26" s="45" t="str">
        <f t="shared" si="4"/>
        <v>EC</v>
      </c>
      <c r="X26" s="22">
        <f t="shared" si="5"/>
        <v>220</v>
      </c>
      <c r="Y26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{"issue":{"subject":"","project_id":79,"tracker_id":40,"status_id":1,"priority_id":2,"assigned_to_id":23,"start_date":"2017-06-29","description":"","custom_fields":[{"id":1,"name":"Subdivision","value":"EC"},{"id":4,"name":"Milepost","value":"11.9716"},{"id":17,"name":"Train ID","value":"220-29"},{"id":16,"name":"Locomotive ID","value":"4061"},{"id":130,"name":"Impact","value":""},{"id":150,"name":"Time of Event (Mountain Time)","value":"19:44:29"},{"id":151,"name":"Denver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/c/Users/stu/AppData/Local/Temp/OnboardLogs/RTDC4061 --include="*4061*201706300*"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"%USERPROFILE%\AppData\Local\Temp\OnboardLogs"\RTDC4061\*4061*201706300* &gt;&gt; 2017-06-29-SliceDisagreementCheck.txt</v>
      </c>
      <c r="AE26" s="145" t="str">
        <f t="shared" si="9"/>
        <v>start /low /b %USERPROFILE%\Documents\GitHub\eaglep3\Utilities\DownloadLogsFromS3.py --loco 4061 --day 2017-06-30</v>
      </c>
      <c r="AF26" s="1"/>
    </row>
    <row r="27" spans="1:32" x14ac:dyDescent="0.25">
      <c r="A27" s="31">
        <v>42915.291932870372</v>
      </c>
      <c r="B27" s="30" t="s">
        <v>338</v>
      </c>
      <c r="C27" s="30" t="s">
        <v>579</v>
      </c>
      <c r="D27" s="30" t="s">
        <v>49</v>
      </c>
      <c r="E27" s="30" t="s">
        <v>199</v>
      </c>
      <c r="F27" s="42">
        <v>600</v>
      </c>
      <c r="G27" s="42">
        <v>693</v>
      </c>
      <c r="H27" s="42">
        <v>181809</v>
      </c>
      <c r="I27" s="42">
        <v>184693</v>
      </c>
      <c r="J27" s="30" t="s">
        <v>200</v>
      </c>
      <c r="K27" s="42">
        <v>183829</v>
      </c>
      <c r="L27" s="131" t="s">
        <v>50</v>
      </c>
      <c r="M27" s="132">
        <f t="shared" si="0"/>
        <v>-456.19200000000001</v>
      </c>
      <c r="N27" s="133" t="str">
        <f>VLOOKUP(C27,'Trips&amp;Operators'!$C$1:$G$99999,5,FALSE)</f>
        <v>GUZMAN DANNY</v>
      </c>
      <c r="O27" s="203" t="s">
        <v>180</v>
      </c>
      <c r="P27" s="134"/>
      <c r="Q27" s="30"/>
      <c r="R27" s="81" t="str">
        <f>VLOOKUP(C27,'Train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27" s="84" t="str">
        <f>VLOOKUP(C27,'Train Runs'!$A$13:$AE$9928,22,0)</f>
        <v>https://d0f6bd738d7f1b3e5a7ca70fe4ff75f0.us-east-1.aws.found.io/app/kibana#/discover/Steve-Slow-Train-Analysis-(2080s-and-2083s)?_g=(refreshInterval:(display:Off,pause:!f,section:0,value:0),time:(from:'2017-06-29T05:23:17-0600',mode:absolute,to:'2017-06-29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86" t="str">
        <f t="shared" si="1"/>
        <v>"C:\Program Files (x86)\AstroGrep\AstroGrep.exe" /e /r /s /spath="%USERPROFILE%\AppData\Local\Temp\OnboardLogs" /stypes="*4028*201706291*"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4028</v>
      </c>
      <c r="V27" s="31">
        <f t="shared" si="3"/>
        <v>42915.541932870372</v>
      </c>
      <c r="W27" s="45" t="str">
        <f t="shared" si="4"/>
        <v>EC</v>
      </c>
      <c r="X27" s="22">
        <f t="shared" si="5"/>
        <v>123</v>
      </c>
      <c r="Y27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{"issue":{"subject":"","project_id":79,"tracker_id":40,"status_id":1,"priority_id":2,"assigned_to_id":23,"start_date":"2017-06-29","description":"","custom_fields":[{"id":1,"name":"Subdivision","value":"EC"},{"id":4,"name":"Milepost","value":"18.3829"},{"id":17,"name":"Train ID","value":"123-29"},{"id":16,"name":"Locomotive ID","value":"4028"},{"id":130,"name":"Impact","value":""},{"id":150,"name":"Time of Event (Mountain Time)","value":"07:00:23"},{"id":151,"name":"Denver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/c/Users/stu/AppData/Local/Temp/OnboardLogs/RTDC4028 --include="*4028*201706291*"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"%USERPROFILE%\AppData\Local\Temp\OnboardLogs"\RTDC4028\*4028*201706291* &gt;&gt; 2017-06-29-SliceDisagreementCheck.txt</v>
      </c>
      <c r="AE27" s="145" t="str">
        <f t="shared" si="9"/>
        <v>start /low /b %USERPROFILE%\Documents\GitHub\eaglep3\Utilities\DownloadLogsFromS3.py --loco 4028 --day 2017-06-29</v>
      </c>
      <c r="AF27" s="1"/>
    </row>
    <row r="28" spans="1:32" x14ac:dyDescent="0.25">
      <c r="A28" s="31">
        <v>42915.627187500002</v>
      </c>
      <c r="B28" s="30" t="s">
        <v>597</v>
      </c>
      <c r="C28" s="30" t="s">
        <v>598</v>
      </c>
      <c r="D28" s="30" t="s">
        <v>49</v>
      </c>
      <c r="E28" s="30" t="s">
        <v>199</v>
      </c>
      <c r="F28" s="42">
        <v>550</v>
      </c>
      <c r="G28" s="42">
        <v>785</v>
      </c>
      <c r="H28" s="42">
        <v>217783</v>
      </c>
      <c r="I28" s="42">
        <v>221640</v>
      </c>
      <c r="J28" s="30" t="s">
        <v>200</v>
      </c>
      <c r="K28" s="42">
        <v>222091</v>
      </c>
      <c r="L28" s="131" t="s">
        <v>50</v>
      </c>
      <c r="M28" s="132">
        <f t="shared" si="0"/>
        <v>238.12799999999999</v>
      </c>
      <c r="N28" s="133" t="str">
        <f>VLOOKUP(C28,'Trips&amp;Operators'!$C$1:$G$99999,5,FALSE)</f>
        <v>HOLCOMB KAMDEN</v>
      </c>
      <c r="O28" s="203" t="s">
        <v>180</v>
      </c>
      <c r="P28" s="134"/>
      <c r="Q28" s="30"/>
      <c r="R28" s="81" t="str">
        <f>VLOOKUP(C28,'Train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28" s="84" t="str">
        <f>VLOOKUP(C28,'Train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6" t="str">
        <f t="shared" si="1"/>
        <v>"C:\Program Files (x86)\AstroGrep\AstroGrep.exe" /e /r /s /spath="%USERPROFILE%\AppData\Local\Temp\OnboardLogs" /stypes="*4006*201706292*"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4006</v>
      </c>
      <c r="V28" s="31">
        <f t="shared" si="3"/>
        <v>42915.877187500002</v>
      </c>
      <c r="W28" s="45" t="str">
        <f t="shared" si="4"/>
        <v>EC</v>
      </c>
      <c r="X28" s="22">
        <f t="shared" si="5"/>
        <v>187</v>
      </c>
      <c r="Y2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{"issue":{"subject":"","project_id":79,"tracker_id":40,"status_id":1,"priority_id":2,"assigned_to_id":23,"start_date":"2017-06-29","description":"","custom_fields":[{"id":1,"name":"Subdivision","value":"EC"},{"id":4,"name":"Milepost","value":"22.2091"},{"id":17,"name":"Train ID","value":"187-29"},{"id":16,"name":"Locomotive ID","value":"4006"},{"id":130,"name":"Impact","value":""},{"id":150,"name":"Time of Event (Mountain Time)","value":"15:03:09"},{"id":151,"name":"Denver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/c/Users/stu/AppData/Local/Temp/OnboardLogs/RTDC4006 --include="*4006*201706292*"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28" s="145" t="str">
        <f t="shared" si="9"/>
        <v>start /low /b %USERPROFILE%\Documents\GitHub\eaglep3\Utilities\DownloadLogsFromS3.py --loco 4006 --day 2017-06-29</v>
      </c>
      <c r="AF28" s="1"/>
    </row>
    <row r="29" spans="1:32" x14ac:dyDescent="0.25">
      <c r="A29" s="31">
        <v>42915.39947916667</v>
      </c>
      <c r="B29" s="30" t="s">
        <v>470</v>
      </c>
      <c r="C29" s="30" t="s">
        <v>585</v>
      </c>
      <c r="D29" s="30" t="s">
        <v>49</v>
      </c>
      <c r="E29" s="30" t="s">
        <v>199</v>
      </c>
      <c r="F29" s="42">
        <v>350</v>
      </c>
      <c r="G29" s="42">
        <v>405</v>
      </c>
      <c r="H29" s="42">
        <v>223806</v>
      </c>
      <c r="I29" s="42">
        <v>224860</v>
      </c>
      <c r="J29" s="30" t="s">
        <v>200</v>
      </c>
      <c r="K29" s="42">
        <v>224581</v>
      </c>
      <c r="L29" s="131" t="s">
        <v>50</v>
      </c>
      <c r="M29" s="132">
        <f t="shared" si="0"/>
        <v>-147.31200000000001</v>
      </c>
      <c r="N29" s="133" t="str">
        <f>VLOOKUP(C29,'Trips&amp;Operators'!$C$1:$G$99999,5,FALSE)</f>
        <v>YANAI IAN</v>
      </c>
      <c r="O29" s="203" t="s">
        <v>180</v>
      </c>
      <c r="P29" s="134"/>
      <c r="Q29" s="30"/>
      <c r="R29" s="81" t="str">
        <f>VLOOKUP(C29,'Train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29" s="84" t="str">
        <f>VLOOKUP(C29,'Train Runs'!$A$13:$AE$9928,22,0)</f>
        <v>https://d0f6bd738d7f1b3e5a7ca70fe4ff75f0.us-east-1.aws.found.io/app/kibana#/discover/Steve-Slow-Train-Analysis-(2080s-and-2083s)?_g=(refreshInterval:(display:Off,pause:!f,section:0,value:0),time:(from:'2017-06-29T07:51:13-0600',mode:absolute,to:'2017-06-29T10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 t="shared" si="1"/>
        <v>"C:\Program Files (x86)\AstroGrep\AstroGrep.exe" /e /r /s /spath="%USERPROFILE%\AppData\Local\Temp\OnboardLogs" /stypes="*4010*201706291*"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42915.64947916667</v>
      </c>
      <c r="W29" s="45" t="str">
        <f t="shared" si="4"/>
        <v>EC</v>
      </c>
      <c r="X29" s="22">
        <f t="shared" si="5"/>
        <v>143</v>
      </c>
      <c r="Y29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{"issue":{"subject":"","project_id":79,"tracker_id":40,"status_id":1,"priority_id":2,"assigned_to_id":23,"start_date":"2017-06-29","description":"","custom_fields":[{"id":1,"name":"Subdivision","value":"EC"},{"id":4,"name":"Milepost","value":"22.4581"},{"id":17,"name":"Train ID","value":"143-29"},{"id":16,"name":"Locomotive ID","value":"4010"},{"id":130,"name":"Impact","value":""},{"id":150,"name":"Time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/c/Users/stu/AppData/Local/Temp/OnboardLogs/RTDC4010 --include="*4010*201706291*"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29" s="145" t="str">
        <f t="shared" si="9"/>
        <v>start /low /b %USERPROFILE%\Documents\GitHub\eaglep3\Utilities\DownloadLogsFromS3.py --loco 4010 --day 2017-06-29</v>
      </c>
      <c r="AF29" s="1"/>
    </row>
    <row r="30" spans="1:32" x14ac:dyDescent="0.25">
      <c r="A30" s="31">
        <v>42915.665775462963</v>
      </c>
      <c r="B30" s="30" t="s">
        <v>525</v>
      </c>
      <c r="C30" s="30" t="s">
        <v>604</v>
      </c>
      <c r="D30" s="30" t="s">
        <v>96</v>
      </c>
      <c r="E30" s="30" t="s">
        <v>199</v>
      </c>
      <c r="F30" s="42">
        <v>350</v>
      </c>
      <c r="G30" s="42">
        <v>404</v>
      </c>
      <c r="H30" s="42">
        <v>228948</v>
      </c>
      <c r="I30" s="42">
        <v>227993</v>
      </c>
      <c r="J30" s="30" t="s">
        <v>200</v>
      </c>
      <c r="K30" s="42">
        <v>232107</v>
      </c>
      <c r="L30" s="131" t="s">
        <v>51</v>
      </c>
      <c r="M30" s="132">
        <f t="shared" si="0"/>
        <v>-2172.192</v>
      </c>
      <c r="N30" s="133" t="str">
        <f>VLOOKUP(C30,'Trips&amp;Operators'!$C$1:$G$99999,5,FALSE)</f>
        <v>ROMERO CHAD</v>
      </c>
      <c r="O30" s="203" t="s">
        <v>180</v>
      </c>
      <c r="P30" s="134"/>
      <c r="Q30" s="30"/>
      <c r="R30" s="81" t="str">
        <f>VLOOKUP(C30,'Train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30" s="84" t="str">
        <f>VLOOKUP(C30,'Train Runs'!$A$13:$AE$9928,22,0)</f>
        <v>https://d0f6bd738d7f1b3e5a7ca70fe4ff75f0.us-east-1.aws.found.io/app/kibana#/discover/Steve-Slow-Train-Analysis-(2080s-and-2083s)?_g=(refreshInterval:(display:Off,pause:!f,section:0,value:0),time:(from:'2017-06-29T14:40:45-0600',mode:absolute,to:'2017-06-29T17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0" s="86" t="str">
        <f t="shared" si="1"/>
        <v>"C:\Program Files (x86)\AstroGrep\AstroGrep.exe" /e /r /s /spath="%USERPROFILE%\AppData\Local\Temp\OnboardLogs" /stypes="*4061*201706292*"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4061</v>
      </c>
      <c r="V30" s="31">
        <f t="shared" si="3"/>
        <v>42915.915775462963</v>
      </c>
      <c r="W30" s="45" t="str">
        <f t="shared" si="4"/>
        <v>EC</v>
      </c>
      <c r="X30" s="22">
        <f t="shared" si="5"/>
        <v>192</v>
      </c>
      <c r="Y30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{"issue":{"subject":"","project_id":79,"tracker_id":40,"status_id":1,"priority_id":2,"assigned_to_id":23,"start_date":"2017-06-29","description":"","custom_fields":[{"id":1,"name":"Subdivision","value":"EC"},{"id":4,"name":"Milepost","value":"23.2107"},{"id":17,"name":"Train ID","value":"192-29"},{"id":16,"name":"Locomotive ID","value":"4061"},{"id":130,"name":"Impact","value":""},{"id":150,"name":"Time of Event (Mountain Time)","value":"15:58:43"},{"id":151,"name":"Denver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/c/Users/stu/AppData/Local/Temp/OnboardLogs/RTDC4061 --include="*4061*201706292*"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"%USERPROFILE%\AppData\Local\Temp\OnboardLogs"\RTDC4061\*4061*201706292* &gt;&gt; 2017-06-29-SliceDisagreementCheck.txt</v>
      </c>
      <c r="AE30" s="145" t="str">
        <f t="shared" si="9"/>
        <v>start /low /b %USERPROFILE%\Documents\GitHub\eaglep3\Utilities\DownloadLogsFromS3.py --loco 4061 --day 2017-06-29</v>
      </c>
      <c r="AF30" s="1"/>
    </row>
    <row r="31" spans="1:32" s="20" customFormat="1" x14ac:dyDescent="0.25">
      <c r="A31" s="31">
        <v>42916.041250000002</v>
      </c>
      <c r="B31" s="30" t="s">
        <v>397</v>
      </c>
      <c r="C31" s="30" t="s">
        <v>627</v>
      </c>
      <c r="D31" s="30" t="s">
        <v>96</v>
      </c>
      <c r="E31" s="30" t="s">
        <v>199</v>
      </c>
      <c r="F31" s="42">
        <v>150</v>
      </c>
      <c r="G31" s="42">
        <v>214</v>
      </c>
      <c r="H31" s="42">
        <v>232418</v>
      </c>
      <c r="I31" s="42">
        <v>232118</v>
      </c>
      <c r="J31" s="30" t="s">
        <v>200</v>
      </c>
      <c r="K31" s="42">
        <v>233492</v>
      </c>
      <c r="L31" s="131" t="s">
        <v>51</v>
      </c>
      <c r="M31" s="132">
        <f t="shared" si="0"/>
        <v>-725.47199999999998</v>
      </c>
      <c r="N31" s="133" t="str">
        <f>VLOOKUP(C31,'Trips&amp;Operators'!$C$1:$G$99999,5,FALSE)</f>
        <v>PERKINS DARREN</v>
      </c>
      <c r="O31" s="203" t="s">
        <v>180</v>
      </c>
      <c r="P31" s="134"/>
      <c r="Q31" s="30"/>
      <c r="R31" s="81" t="str">
        <f>VLOOKUP(C31,'Train Runs'!$A$13:$AE$9928,31,0)</f>
        <v>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 &amp; aws s3 cp s3://rtdc.mdm.uploadarchive.raw/RTDC4059/ "%USERPROFILE%\AppData\Local\Temp\OnboardLogs"\RTDC4059\2017-07-01 --exclude "*" --recursive --include "*20170701*" &amp; "%USERPROFILE%\Documents\GitHub\mrs-test-scripts\Headless Mode &amp; Sideloading\WalkAndUnGZ.bat" "%USERPROFILE%\AppData\Local\Temp\OnboardLogs"\RTDC4059\2017-07-01</v>
      </c>
      <c r="S31" s="84" t="str">
        <f>VLOOKUP(C31,'Train Runs'!$A$13:$AE$9928,22,0)</f>
        <v>https://d0f6bd738d7f1b3e5a7ca70fe4ff75f0.us-east-1.aws.found.io/app/kibana#/discover/Steve-Slow-Train-Analysis-(2080s-and-2083s)?_g=(refreshInterval:(display:Off,pause:!f,section:0,value:0),time:(from:'2017-06-29T23:50:53-0600',mode:absolute,to:'2017-06-30T02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1" s="86" t="str">
        <f t="shared" si="1"/>
        <v>"C:\Program Files (x86)\AstroGrep\AstroGrep.exe" /e /r /s /spath="%USERPROFILE%\AppData\Local\Temp\OnboardLogs" /stypes="*4059*201706300*"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4059</v>
      </c>
      <c r="V31" s="31">
        <f t="shared" si="3"/>
        <v>42916.291250000002</v>
      </c>
      <c r="W31" s="45" t="str">
        <f t="shared" si="4"/>
        <v>EC</v>
      </c>
      <c r="X31" s="22">
        <f t="shared" si="5"/>
        <v>242</v>
      </c>
      <c r="Y31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{"issue":{"subject":"","project_id":79,"tracker_id":40,"status_id":1,"priority_id":2,"assigned_to_id":23,"start_date":"2017-06-30","description":"","custom_fields":[{"id":1,"name":"Subdivision","value":"EC"},{"id":4,"name":"Milepost","value":"23.3492"},{"id":17,"name":"Train ID","value":"242-29"},{"id":16,"name":"Locomotive ID","value":"4059"},{"id":130,"name":"Impact","value":""},{"id":150,"name":"Time of Event (Mountain Time)","value":"00:59:24"},{"id":151,"name":"Denver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/c/Users/stu/AppData/Local/Temp/OnboardLogs/RTDC4059 --include="*4059*201706300*"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"%USERPROFILE%\AppData\Local\Temp\OnboardLogs"\RTDC4059\*4059*201706300* &gt;&gt; 2017-06-29-SliceDisagreementCheck.txt</v>
      </c>
      <c r="AE31" s="145" t="str">
        <f t="shared" si="9"/>
        <v>start /low /b %USERPROFILE%\Documents\GitHub\eaglep3\Utilities\DownloadLogsFromS3.py --loco 4059 --day 2017-06-30</v>
      </c>
      <c r="AF31" s="1"/>
    </row>
    <row r="32" spans="1:32" x14ac:dyDescent="0.25">
      <c r="A32" s="31">
        <v>42915.755787037036</v>
      </c>
      <c r="B32" s="30" t="s">
        <v>339</v>
      </c>
      <c r="C32" s="30" t="s">
        <v>613</v>
      </c>
      <c r="D32" s="30" t="s">
        <v>49</v>
      </c>
      <c r="E32" s="30" t="s">
        <v>359</v>
      </c>
      <c r="F32" s="42">
        <v>0</v>
      </c>
      <c r="G32" s="42">
        <v>230</v>
      </c>
      <c r="H32" s="42">
        <v>150782</v>
      </c>
      <c r="I32" s="42">
        <v>150395</v>
      </c>
      <c r="J32" s="30" t="s">
        <v>360</v>
      </c>
      <c r="K32" s="42">
        <v>149700</v>
      </c>
      <c r="L32" s="131" t="s">
        <v>51</v>
      </c>
      <c r="M32" s="132">
        <f t="shared" si="0"/>
        <v>366.96</v>
      </c>
      <c r="N32" s="133" t="str">
        <f>VLOOKUP(C32,'Trips&amp;Operators'!$C$1:$G$99999,5,FALSE)</f>
        <v>LEVIN SCOTT</v>
      </c>
      <c r="O32" s="203" t="s">
        <v>406</v>
      </c>
      <c r="P32" s="134" t="s">
        <v>1053</v>
      </c>
      <c r="Q32" s="30"/>
      <c r="R32" s="81" t="str">
        <f>VLOOKUP(C32,'Train Runs'!$A$13:$AE$9928,31,0)</f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S32" s="84" t="str">
        <f>VLOOKUP(C32,'Train Runs'!$A$13:$AE$9928,22,0)</f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6" t="str">
        <f t="shared" si="1"/>
        <v>"C:\Program Files (x86)\AstroGrep\AstroGrep.exe" /e /r /s /spath="%USERPROFILE%\AppData\Local\Temp\OnboardLogs" /stypes="*4027*201706300*"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4027</v>
      </c>
      <c r="V32" s="31">
        <f t="shared" si="3"/>
        <v>42916.005787037036</v>
      </c>
      <c r="W32" s="45" t="str">
        <f t="shared" si="4"/>
        <v>EC</v>
      </c>
      <c r="X32" s="22">
        <f t="shared" si="5"/>
        <v>208</v>
      </c>
      <c r="Y32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drop","project_id":79,"tracker_id":40,"status_id":1,"priority_id":2,"assigned_to_id":23,"start_date":"2017-06-29","description":"","custom_fields":[{"id":1,"name":"Subdivision","value":"EC"},{"id":4,"name":"Milepost","value":"14.97"},{"id":17,"name":"Train ID","value":"208-29"},{"id":16,"name":"Locomotive ID","value":"4027"},{"id":130,"name":"Impact","value":""},{"id":150,"name":"Time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/c/Users/stu/AppData/Local/Temp/OnboardLogs/RTDC4027 --include="*4027*201706300*"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"%USERPROFILE%\AppData\Local\Temp\OnboardLogs"\RTDC4027\*4027*201706300* &gt;&gt; 2017-06-29-SliceDisagreementCheck.txt</v>
      </c>
      <c r="AE32" s="145" t="str">
        <f t="shared" si="9"/>
        <v>start /low /b %USERPROFILE%\Documents\GitHub\eaglep3\Utilities\DownloadLogsFromS3.py --loco 4027 --day 2017-06-30</v>
      </c>
      <c r="AF32" s="1"/>
    </row>
    <row r="33" spans="1:32" x14ac:dyDescent="0.25">
      <c r="A33" s="31">
        <v>42915.600081018521</v>
      </c>
      <c r="B33" s="30" t="s">
        <v>397</v>
      </c>
      <c r="C33" s="30" t="s">
        <v>596</v>
      </c>
      <c r="D33" s="30" t="s">
        <v>49</v>
      </c>
      <c r="E33" s="30" t="s">
        <v>569</v>
      </c>
      <c r="F33" s="42">
        <v>0</v>
      </c>
      <c r="G33" s="42">
        <v>274</v>
      </c>
      <c r="H33" s="42">
        <v>58816</v>
      </c>
      <c r="I33" s="42">
        <v>58076</v>
      </c>
      <c r="J33" s="30" t="s">
        <v>570</v>
      </c>
      <c r="K33" s="42">
        <v>57801</v>
      </c>
      <c r="L33" s="131" t="s">
        <v>51</v>
      </c>
      <c r="M33" s="132">
        <f t="shared" si="0"/>
        <v>145.19999999999999</v>
      </c>
      <c r="N33" s="133" t="str">
        <f>VLOOKUP(C33,'Trips&amp;Operators'!$C$1:$G$99999,5,FALSE)</f>
        <v>STEWART MICHAEL</v>
      </c>
      <c r="O33" s="203" t="s">
        <v>406</v>
      </c>
      <c r="P33" s="134" t="s">
        <v>1053</v>
      </c>
      <c r="Q33" s="30"/>
      <c r="R33" s="81" t="str">
        <f>VLOOKUP(C33,'Train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3" s="84" t="str">
        <f>VLOOKUP(C33,'Train Runs'!$A$13:$AE$9928,22,0)</f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3" s="86" t="str">
        <f t="shared" si="1"/>
        <v>"C:\Program Files (x86)\AstroGrep\AstroGrep.exe" /e /r /s /spath="%USERPROFILE%\AppData\Local\Temp\OnboardLogs" /stypes="*4059*201706292*"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4059</v>
      </c>
      <c r="V33" s="31">
        <f t="shared" si="3"/>
        <v>42915.850081018521</v>
      </c>
      <c r="W33" s="45" t="str">
        <f t="shared" si="4"/>
        <v>EC</v>
      </c>
      <c r="X33" s="22">
        <f t="shared" si="5"/>
        <v>176</v>
      </c>
      <c r="Y33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drop","project_id":79,"tracker_id":40,"status_id":1,"priority_id":2,"assigned_to_id":23,"start_date":"2017-06-29","description":"","custom_fields":[{"id":1,"name":"Subdivision","value":"EC"},{"id":4,"name":"Milepost","value":"5.7801"},{"id":17,"name":"Train ID","value":"176-29"},{"id":16,"name":"Locomotive ID","value":"4059"},{"id":130,"name":"Impact","value":""},{"id":150,"name":"Time of Event (Mountain Time)","value":"14:24:07"},{"id":151,"name":"Denver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/c/Users/stu/AppData/Local/Temp/OnboardLogs/RTDC4059 --include="*4059*201706292*"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33" s="145" t="str">
        <f t="shared" si="9"/>
        <v>start /low /b %USERPROFILE%\Documents\GitHub\eaglep3\Utilities\DownloadLogsFromS3.py --loco 4059 --day 2017-06-29</v>
      </c>
      <c r="AF33" s="1"/>
    </row>
    <row r="34" spans="1:32" x14ac:dyDescent="0.25">
      <c r="A34" s="31">
        <v>42915.596805555557</v>
      </c>
      <c r="B34" s="30" t="s">
        <v>397</v>
      </c>
      <c r="C34" s="30" t="s">
        <v>596</v>
      </c>
      <c r="D34" s="30" t="s">
        <v>96</v>
      </c>
      <c r="E34" s="30" t="s">
        <v>569</v>
      </c>
      <c r="F34" s="42">
        <v>0</v>
      </c>
      <c r="G34" s="42">
        <v>685</v>
      </c>
      <c r="H34" s="42">
        <v>69140</v>
      </c>
      <c r="I34" s="42">
        <v>66024</v>
      </c>
      <c r="J34" s="30" t="s">
        <v>570</v>
      </c>
      <c r="K34" s="42">
        <v>69363</v>
      </c>
      <c r="L34" s="131" t="s">
        <v>51</v>
      </c>
      <c r="M34" s="132">
        <f t="shared" si="0"/>
        <v>-1762.992</v>
      </c>
      <c r="N34" s="133" t="str">
        <f>VLOOKUP(C34,'Trips&amp;Operators'!$C$1:$G$99999,5,FALSE)</f>
        <v>STEWART MICHAEL</v>
      </c>
      <c r="O34" s="203" t="s">
        <v>406</v>
      </c>
      <c r="P34" s="134" t="s">
        <v>1053</v>
      </c>
      <c r="Q34" s="30"/>
      <c r="R34" s="81" t="str">
        <f>VLOOKUP(C34,'Train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4" s="84" t="str">
        <f>VLOOKUP(C34,'Train Runs'!$A$13:$AE$9928,22,0)</f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4" s="86" t="str">
        <f t="shared" si="1"/>
        <v>"C:\Program Files (x86)\AstroGrep\AstroGrep.exe" /e /r /s /spath="%USERPROFILE%\AppData\Local\Temp\OnboardLogs" /stypes="*4059*201706292*"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4059</v>
      </c>
      <c r="V34" s="31">
        <f t="shared" si="3"/>
        <v>42915.846805555557</v>
      </c>
      <c r="W34" s="45" t="str">
        <f t="shared" si="4"/>
        <v>EC</v>
      </c>
      <c r="X34" s="22">
        <f t="shared" si="5"/>
        <v>176</v>
      </c>
      <c r="Y34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drop","project_id":79,"tracker_id":40,"status_id":1,"priority_id":2,"assigned_to_id":23,"start_date":"2017-06-29","description":"","custom_fields":[{"id":1,"name":"Subdivision","value":"EC"},{"id":4,"name":"Milepost","value":"6.9363"},{"id":17,"name":"Train ID","value":"176-29"},{"id":16,"name":"Locomotive ID","value":"4059"},{"id":130,"name":"Impact","value":""},{"id":150,"name":"Time of Event (Mountain Time)","value":"14:19:24"},{"id":151,"name":"Denver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/c/Users/stu/AppData/Local/Temp/OnboardLogs/RTDC4059 --include="*4059*201706292*"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34" s="145" t="str">
        <f t="shared" si="9"/>
        <v>start /low /b %USERPROFILE%\Documents\GitHub\eaglep3\Utilities\DownloadLogsFromS3.py --loco 4059 --day 2017-06-29</v>
      </c>
      <c r="AF34" s="1"/>
    </row>
    <row r="35" spans="1:32" x14ac:dyDescent="0.25">
      <c r="A35" s="31">
        <v>42915.807175925926</v>
      </c>
      <c r="B35" s="30" t="s">
        <v>394</v>
      </c>
      <c r="C35" s="30" t="s">
        <v>617</v>
      </c>
      <c r="D35" s="30" t="s">
        <v>49</v>
      </c>
      <c r="E35" s="30" t="s">
        <v>569</v>
      </c>
      <c r="F35" s="42">
        <v>0</v>
      </c>
      <c r="G35" s="42">
        <v>526</v>
      </c>
      <c r="H35" s="42">
        <v>126329</v>
      </c>
      <c r="I35" s="42">
        <v>127856</v>
      </c>
      <c r="J35" s="30" t="s">
        <v>570</v>
      </c>
      <c r="K35" s="42">
        <v>126678</v>
      </c>
      <c r="L35" s="131" t="s">
        <v>50</v>
      </c>
      <c r="M35" s="132">
        <f t="shared" si="0"/>
        <v>-621.98400000000004</v>
      </c>
      <c r="N35" s="133" t="str">
        <f>VLOOKUP(C35,'Trips&amp;Operators'!$C$1:$G$99999,5,FALSE)</f>
        <v>BIRENBAUM THOMAS</v>
      </c>
      <c r="O35" s="203" t="s">
        <v>406</v>
      </c>
      <c r="P35" s="134" t="s">
        <v>1053</v>
      </c>
      <c r="Q35" s="30"/>
      <c r="R35" s="81" t="str">
        <f>VLOOKUP(C35,'Train Runs'!$A$13:$AE$9928,31,0)</f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S35" s="84" t="str">
        <f>VLOOKUP(C35,'Train Runs'!$A$13:$AE$9928,22,0)</f>
        <v>https://d0f6bd738d7f1b3e5a7ca70fe4ff75f0.us-east-1.aws.found.io/app/kibana#/discover/Steve-Slow-Train-Analysis-(2080s-and-2083s)?_g=(refreshInterval:(display:Off,pause:!f,section:0,value:0),time:(from:'2017-06-29T18:27:13-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6" t="str">
        <f t="shared" si="1"/>
        <v>"C:\Program Files (x86)\AstroGrep\AstroGrep.exe" /e /r /s /spath="%USERPROFILE%\AppData\Local\Temp\OnboardLogs" /stypes="*4050*201706300*"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42916.057175925926</v>
      </c>
      <c r="W35" s="45" t="str">
        <f t="shared" si="4"/>
        <v>EC</v>
      </c>
      <c r="X35" s="22">
        <f t="shared" si="5"/>
        <v>221</v>
      </c>
      <c r="Y35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drop","project_id":79,"tracker_id":40,"status_id":1,"priority_id":2,"assigned_to_id":23,"start_date":"2017-06-29","description":"","custom_fields":[{"id":1,"name":"Subdivision","value":"EC"},{"id":4,"name":"Milepost","value":"12.6678"},{"id":17,"name":"Train ID","value":"221-29"},{"id":16,"name":"Locomotive ID","value":"4050"},{"id":130,"name":"Impact","value":""},{"id":150,"name":"Time of Event (Mountain Time)","value":"19:22:20"},{"id":151,"name":"Denver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/c/Users/stu/AppData/Local/Temp/OnboardLogs/RTDC4050 --include="*4050*201706300*"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"%USERPROFILE%\AppData\Local\Temp\OnboardLogs"\RTDC4050\*4050*201706300* &gt;&gt; 2017-06-29-SliceDisagreementCheck.txt</v>
      </c>
      <c r="AE35" s="145" t="str">
        <f t="shared" si="9"/>
        <v>start /low /b %USERPROFILE%\Documents\GitHub\eaglep3\Utilities\DownloadLogsFromS3.py --loco 4050 --day 2017-06-30</v>
      </c>
      <c r="AF35" s="1"/>
    </row>
    <row r="36" spans="1:32" x14ac:dyDescent="0.25">
      <c r="A36" s="31">
        <v>42915.357534722221</v>
      </c>
      <c r="B36" s="30" t="s">
        <v>582</v>
      </c>
      <c r="C36" s="30" t="s">
        <v>583</v>
      </c>
      <c r="D36" s="30" t="s">
        <v>49</v>
      </c>
      <c r="E36" s="30" t="s">
        <v>181</v>
      </c>
      <c r="F36" s="42">
        <v>0</v>
      </c>
      <c r="G36" s="42">
        <v>55</v>
      </c>
      <c r="H36" s="42">
        <v>156</v>
      </c>
      <c r="I36" s="42">
        <v>112</v>
      </c>
      <c r="J36" s="30" t="s">
        <v>182</v>
      </c>
      <c r="K36" s="42">
        <v>1</v>
      </c>
      <c r="L36" s="131" t="s">
        <v>51</v>
      </c>
      <c r="M36" s="132">
        <f t="shared" si="0"/>
        <v>58.607999999999997</v>
      </c>
      <c r="N36" s="133" t="str">
        <f>VLOOKUP(C36,'Trips&amp;Operators'!$C$1:$G$99999,5,FALSE)</f>
        <v>SANTIZO D. EDY</v>
      </c>
      <c r="O36" s="203" t="s">
        <v>180</v>
      </c>
      <c r="P36" s="134"/>
      <c r="Q36" s="30"/>
      <c r="R36" s="81" t="str">
        <f>VLOOKUP(C36,'Train Runs'!$A$13:$AE$9928,31,0)</f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S36" s="84" t="str">
        <f>VLOOKUP(C36,'Train Runs'!$A$13:$AE$9928,22,0)</f>
        <v>https://d0f6bd738d7f1b3e5a7ca70fe4ff75f0.us-east-1.aws.found.io/app/kibana#/discover/Steve-Slow-Train-Analysis-(2080s-and-2083s)?_g=(refreshInterval:(display:Off,pause:!f,section:0,value:0),time:(from:'2017-06-29T06:41:25-0600',mode:absolute,to:'2017-06-29T09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6" s="86" t="str">
        <f t="shared" si="1"/>
        <v>"C:\Program Files (x86)\AstroGrep\AstroGrep.exe" /e /r /s /spath="%USERPROFILE%\AppData\Local\Temp\OnboardLogs" /stypes="*4055*201706291*" /stext=" 14:.+((SYSTEM_STATE.+slice.+state.+changed )|(ment ac)|(multiple cpu faults)|(system.+state.+changed )|(\[timeout)|(PRM\|1\|D)|(kpr)|(kdp)|(train st.+moving)|(\|lc)|(penalty))"</v>
      </c>
      <c r="U36" s="9" t="str">
        <f t="shared" si="2"/>
        <v>4055</v>
      </c>
      <c r="V36" s="31">
        <f t="shared" si="3"/>
        <v>42915.607534722221</v>
      </c>
      <c r="W36" s="45" t="str">
        <f t="shared" si="4"/>
        <v>EC</v>
      </c>
      <c r="X36" s="22">
        <f t="shared" si="5"/>
        <v>128</v>
      </c>
      <c r="Y36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ID","value":"128-29"},{"id":16,"name":"Locomotive ID","value":"4055"},{"id":130,"name":"Impact","value":""},{"id":150,"name":"Time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/c/Users/stu/AppData/Local/Temp/OnboardLogs/RTDC4055 --include="*4055*201706291*"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"%USERPROFILE%\AppData\Local\Temp\OnboardLogs"\RTDC4055\*4055*201706291* &gt;&gt; 2017-06-29-SliceDisagreementCheck.txt</v>
      </c>
      <c r="AE36" s="145" t="str">
        <f t="shared" si="9"/>
        <v>start /low /b %USERPROFILE%\Documents\GitHub\eaglep3\Utilities\DownloadLogsFromS3.py --loco 4055 --day 2017-06-29</v>
      </c>
      <c r="AF36" s="1"/>
    </row>
    <row r="37" spans="1:32" x14ac:dyDescent="0.25">
      <c r="A37" s="31">
        <v>42915.38962962963</v>
      </c>
      <c r="B37" s="30" t="s">
        <v>397</v>
      </c>
      <c r="C37" s="30" t="s">
        <v>584</v>
      </c>
      <c r="D37" s="30" t="s">
        <v>49</v>
      </c>
      <c r="E37" s="30" t="s">
        <v>181</v>
      </c>
      <c r="F37" s="42">
        <v>0</v>
      </c>
      <c r="G37" s="42">
        <v>53</v>
      </c>
      <c r="H37" s="42">
        <v>205</v>
      </c>
      <c r="I37" s="42">
        <v>154</v>
      </c>
      <c r="J37" s="30" t="s">
        <v>182</v>
      </c>
      <c r="K37" s="42">
        <v>1</v>
      </c>
      <c r="L37" s="131" t="s">
        <v>51</v>
      </c>
      <c r="M37" s="132">
        <f t="shared" si="0"/>
        <v>80.784000000000006</v>
      </c>
      <c r="N37" s="133" t="str">
        <f>VLOOKUP(C37,'Trips&amp;Operators'!$C$1:$G$99999,5,FALSE)</f>
        <v>BONDS REYNALDO</v>
      </c>
      <c r="O37" s="203" t="s">
        <v>180</v>
      </c>
      <c r="P37" s="134"/>
      <c r="Q37" s="30"/>
      <c r="R37" s="81" t="str">
        <f>VLOOKUP(C37,'Train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7" s="84" t="str">
        <f>VLOOKUP(C37,'Train Runs'!$A$13:$AE$9928,22,0)</f>
        <v>https://d0f6bd738d7f1b3e5a7ca70fe4ff75f0.us-east-1.aws.found.io/app/kibana#/discover/Steve-Slow-Train-Analysis-(2080s-and-2083s)?_g=(refreshInterval:(display:Off,pause:!f,section:0,value:0),time:(from:'2017-06-29T07:39:02-0600',mode:absolute,to:'2017-06-29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7" s="86" t="str">
        <f t="shared" si="1"/>
        <v>"C:\Program Files (x86)\AstroGrep\AstroGrep.exe" /e /r /s /spath="%USERPROFILE%\AppData\Local\Temp\OnboardLogs" /stypes="*4059*201706291*" /stext=" 15:.+((SYSTEM_STATE.+slice.+state.+changed )|(ment ac)|(multiple cpu faults)|(system.+state.+changed )|(\[timeout)|(PRM\|1\|D)|(kpr)|(kdp)|(train st.+moving)|(\|lc)|(penalty))"</v>
      </c>
      <c r="U37" s="9" t="str">
        <f t="shared" si="2"/>
        <v>4059</v>
      </c>
      <c r="V37" s="31">
        <f t="shared" si="3"/>
        <v>42915.63962962963</v>
      </c>
      <c r="W37" s="45" t="str">
        <f t="shared" si="4"/>
        <v>EC</v>
      </c>
      <c r="X37" s="22">
        <f t="shared" si="5"/>
        <v>134</v>
      </c>
      <c r="Y37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ID","value":"134-29"},{"id":16,"name":"Locomotive ID","value":"4059"},{"id":130,"name":"Impact","value":""},{"id":150,"name":"Time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/c/Users/stu/AppData/Local/Temp/OnboardLogs/RTDC4059 --include="*4059*201706291*"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"%USERPROFILE%\AppData\Local\Temp\OnboardLogs"\RTDC4059\*4059*201706291* &gt;&gt; 2017-06-29-SliceDisagreementCheck.txt</v>
      </c>
      <c r="AE37" s="145" t="str">
        <f t="shared" si="9"/>
        <v>start /low /b %USERPROFILE%\Documents\GitHub\eaglep3\Utilities\DownloadLogsFromS3.py --loco 4059 --day 2017-06-29</v>
      </c>
      <c r="AF37" s="1"/>
    </row>
    <row r="38" spans="1:32" x14ac:dyDescent="0.25">
      <c r="A38" s="31">
        <v>42915.597627314812</v>
      </c>
      <c r="B38" s="30" t="s">
        <v>594</v>
      </c>
      <c r="C38" s="30" t="s">
        <v>595</v>
      </c>
      <c r="D38" s="30" t="s">
        <v>49</v>
      </c>
      <c r="E38" s="30" t="s">
        <v>181</v>
      </c>
      <c r="F38" s="42">
        <v>0</v>
      </c>
      <c r="G38" s="42">
        <v>48</v>
      </c>
      <c r="H38" s="42">
        <v>143</v>
      </c>
      <c r="I38" s="42">
        <v>107</v>
      </c>
      <c r="J38" s="30" t="s">
        <v>182</v>
      </c>
      <c r="K38" s="42">
        <v>1</v>
      </c>
      <c r="L38" s="131" t="s">
        <v>51</v>
      </c>
      <c r="M38" s="132">
        <f t="shared" si="0"/>
        <v>55.968000000000004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38" s="84" t="str">
        <f>VLOOKUP(C38,'Train Runs'!$A$13:$AE$9928,22,0)</f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8" s="86" t="str">
        <f t="shared" si="1"/>
        <v>"C:\Program Files (x86)\AstroGrep\AstroGrep.exe" /e /r /s /spath="%USERPROFILE%\AppData\Local\Temp\OnboardLogs" /stypes="*4005*201706292*"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4005</v>
      </c>
      <c r="V38" s="31">
        <f t="shared" si="3"/>
        <v>42915.847627314812</v>
      </c>
      <c r="W38" s="45" t="str">
        <f t="shared" si="4"/>
        <v>EC</v>
      </c>
      <c r="X38" s="22">
        <f t="shared" si="5"/>
        <v>174</v>
      </c>
      <c r="Y3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ID","value":"174-29"},{"id":16,"name":"Locomotive ID","value":"4005"},{"id":130,"name":"Impact","value":""},{"id":150,"name":"Time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/c/Users/stu/AppData/Local/Temp/OnboardLogs/RTDC4005 --include="*4005*201706292*"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38" s="145" t="str">
        <f t="shared" si="9"/>
        <v>start /low /b %USERPROFILE%\Documents\GitHub\eaglep3\Utilities\DownloadLogsFromS3.py --loco 4005 --day 2017-06-29</v>
      </c>
      <c r="AF38" s="1"/>
    </row>
    <row r="39" spans="1:32" x14ac:dyDescent="0.25">
      <c r="A39" s="31">
        <v>42915.77484953704</v>
      </c>
      <c r="B39" s="30" t="s">
        <v>339</v>
      </c>
      <c r="C39" s="30" t="s">
        <v>613</v>
      </c>
      <c r="D39" s="30" t="s">
        <v>49</v>
      </c>
      <c r="E39" s="30" t="s">
        <v>181</v>
      </c>
      <c r="F39" s="42">
        <v>0</v>
      </c>
      <c r="G39" s="42">
        <v>47</v>
      </c>
      <c r="H39" s="42">
        <v>163</v>
      </c>
      <c r="I39" s="42">
        <v>121</v>
      </c>
      <c r="J39" s="30" t="s">
        <v>182</v>
      </c>
      <c r="K39" s="42">
        <v>1</v>
      </c>
      <c r="L39" s="131" t="s">
        <v>51</v>
      </c>
      <c r="M39" s="132">
        <f t="shared" ref="M39:M70" si="10">CONVERT((I39-K39)/10000,"mi","ft")*IF(L39="Increasing Mileposts (1)",-1,1)</f>
        <v>63.36</v>
      </c>
      <c r="N39" s="133" t="str">
        <f>VLOOKUP(C39,'Trips&amp;Operators'!$C$1:$G$99999,5,FALSE)</f>
        <v>LEVIN SCOTT</v>
      </c>
      <c r="O39" s="203" t="s">
        <v>180</v>
      </c>
      <c r="P39" s="134"/>
      <c r="Q39" s="30"/>
      <c r="R39" s="81" t="str">
        <f>VLOOKUP(C39,'Train Runs'!$A$13:$AE$9928,31,0)</f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S39" s="84" t="str">
        <f>VLOOKUP(C39,'Train Runs'!$A$13:$AE$9928,22,0)</f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/stypes="*4027*201706300*" /stext=" 00:.+((SYSTEM_STATE.+slice.+state.+changed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4027</v>
      </c>
      <c r="V39" s="31">
        <f t="shared" ref="V39:V70" si="13">A39-utc_offset/24</f>
        <v>42916.02484953704</v>
      </c>
      <c r="W39" s="45" t="str">
        <f t="shared" ref="W39:W70" si="14">DetSubdiv(C39)</f>
        <v>EC</v>
      </c>
      <c r="X39" s="22">
        <f t="shared" ref="X39:X70" si="15">VALUE(LEFT(C39,LEN(C39)-3))</f>
        <v>208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ID","value":"208-29"},{"id":16,"name":"Locomotive ID","value":"4027"},{"id":130,"name":"Impact","value":""},{"id":150,"name":"Time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/c/Users/stu/AppData/Local/Temp/OnboardLogs/RTDC4027 --include="*4027*201706300*"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"%USERPROFILE%\AppData\Local\Temp\OnboardLogs"\RTDC4027\*4027*201706300* &gt;&gt; 2017-06-29-SliceDisagreementCheck.txt</v>
      </c>
      <c r="AE39" s="145" t="str">
        <f t="shared" si="9"/>
        <v>start /low /b %USERPROFILE%\Documents\GitHub\eaglep3\Utilities\DownloadLogsFromS3.py --loco 4027 --day 2017-06-30</v>
      </c>
      <c r="AF39" s="1"/>
    </row>
    <row r="40" spans="1:32" x14ac:dyDescent="0.25">
      <c r="A40" s="31">
        <v>42915.815706018519</v>
      </c>
      <c r="B40" s="30" t="s">
        <v>594</v>
      </c>
      <c r="C40" s="30" t="s">
        <v>618</v>
      </c>
      <c r="D40" s="30" t="s">
        <v>49</v>
      </c>
      <c r="E40" s="30" t="s">
        <v>181</v>
      </c>
      <c r="F40" s="42">
        <v>0</v>
      </c>
      <c r="G40" s="42">
        <v>42</v>
      </c>
      <c r="H40" s="42">
        <v>170</v>
      </c>
      <c r="I40" s="42">
        <v>136</v>
      </c>
      <c r="J40" s="30" t="s">
        <v>182</v>
      </c>
      <c r="K40" s="42">
        <v>1</v>
      </c>
      <c r="L40" s="131" t="s">
        <v>51</v>
      </c>
      <c r="M40" s="132">
        <f t="shared" si="10"/>
        <v>71.28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40" s="84" t="str">
        <f>VLOOKUP(C40,'Train Runs'!$A$13:$AE$9928,22,0)</f>
        <v>https://d0f6bd738d7f1b3e5a7ca70fe4ff75f0.us-east-1.aws.found.io/app/kibana#/discover/Steve-Slow-Train-Analysis-(2080s-and-2083s)?_g=(refreshInterval:(display:Off,pause:!f,section:0,value:0),time:(from:'2017-06-29T17:53:09-0600',mode:absolute,to:'2017-06-29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6" t="str">
        <f t="shared" si="11"/>
        <v>"C:\Program Files (x86)\AstroGrep\AstroGrep.exe" /e /r /s /spath="%USERPROFILE%\AppData\Local\Temp\OnboardLogs" /stypes="*4005*201706300*" /stext=" 01:.+((SYSTEM_STATE.+slice.+state.+changed )|(ment ac)|(multiple cpu faults)|(system.+state.+changed )|(\[timeout)|(PRM\|1\|D)|(kpr)|(kdp)|(train st.+moving)|(\|lc)|(penalty))"</v>
      </c>
      <c r="U40" s="9" t="str">
        <f t="shared" si="12"/>
        <v>4005</v>
      </c>
      <c r="V40" s="31">
        <f t="shared" si="13"/>
        <v>42916.065706018519</v>
      </c>
      <c r="W40" s="45" t="str">
        <f t="shared" si="14"/>
        <v>EC</v>
      </c>
      <c r="X40" s="22">
        <f t="shared" si="15"/>
        <v>216</v>
      </c>
      <c r="Y40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ID","value":"216-29"},{"id":16,"name":"Locomotive ID","value":"4005"},{"id":130,"name":"Impact","value":""},{"id":150,"name":"Time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/c/Users/stu/AppData/Local/Temp/OnboardLogs/RTDC4005 --include="*4005*201706300*"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"%USERPROFILE%\AppData\Local\Temp\OnboardLogs"\RTDC4005\*4005*201706300* &gt;&gt; 2017-06-29-SliceDisagreementCheck.txt</v>
      </c>
      <c r="AE40" s="145" t="str">
        <f t="shared" si="9"/>
        <v>start /low /b %USERPROFILE%\Documents\GitHub\eaglep3\Utilities\DownloadLogsFromS3.py --loco 4005 --day 2017-06-30</v>
      </c>
      <c r="AF40" s="1"/>
    </row>
    <row r="41" spans="1:32" x14ac:dyDescent="0.25">
      <c r="A41" s="31">
        <v>42915.243923611109</v>
      </c>
      <c r="B41" s="30" t="s">
        <v>537</v>
      </c>
      <c r="C41" s="30" t="s">
        <v>574</v>
      </c>
      <c r="D41" s="30" t="s">
        <v>49</v>
      </c>
      <c r="E41" s="30" t="s">
        <v>181</v>
      </c>
      <c r="F41" s="42">
        <v>0</v>
      </c>
      <c r="G41" s="42">
        <v>26</v>
      </c>
      <c r="H41" s="42">
        <v>233435</v>
      </c>
      <c r="I41" s="42">
        <v>233451</v>
      </c>
      <c r="J41" s="30" t="s">
        <v>182</v>
      </c>
      <c r="K41" s="42">
        <v>233491</v>
      </c>
      <c r="L41" s="131" t="s">
        <v>50</v>
      </c>
      <c r="M41" s="132">
        <f t="shared" si="10"/>
        <v>21.12</v>
      </c>
      <c r="N41" s="133" t="str">
        <f>VLOOKUP(C41,'Trips&amp;Operators'!$C$1:$G$99999,5,FALSE)</f>
        <v>SANTIZO D. EDY</v>
      </c>
      <c r="O41" s="203" t="s">
        <v>180</v>
      </c>
      <c r="P41" s="134"/>
      <c r="Q41" s="30"/>
      <c r="R41" s="81" t="str">
        <f>VLOOKUP(C41,'Train Runs'!$A$13:$AE$9928,31,0)</f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S41" s="84" t="str">
        <f>VLOOKUP(C41,'Train Runs'!$A$13:$AE$9928,22,0)</f>
        <v>https://d0f6bd738d7f1b3e5a7ca70fe4ff75f0.us-east-1.aws.found.io/app/kibana#/discover/Steve-Slow-Train-Analysis-(2080s-and-2083s)?_g=(refreshInterval:(display:Off,pause:!f,section:0,value:0),time:(from:'2017-06-29T04:06:33-0600',mode:absolute,to:'2017-06-29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1" s="86" t="str">
        <f t="shared" si="11"/>
        <v>"C:\Program Files (x86)\AstroGrep\AstroGrep.exe" /e /r /s /spath="%USERPROFILE%\AppData\Local\Temp\OnboardLogs" /stypes="*4056*201706291*" /stext=" 11:.+((SYSTEM_STATE.+slice.+state.+changed )|(ment ac)|(multiple cpu faults)|(system.+state.+changed )|(\[timeout)|(PRM\|1\|D)|(kpr)|(kdp)|(train st.+moving)|(\|lc)|(penalty))"</v>
      </c>
      <c r="U41" s="9" t="str">
        <f t="shared" si="12"/>
        <v>4056</v>
      </c>
      <c r="V41" s="31">
        <f t="shared" si="13"/>
        <v>42915.493923611109</v>
      </c>
      <c r="W41" s="45" t="str">
        <f t="shared" si="14"/>
        <v>EC</v>
      </c>
      <c r="X41" s="22">
        <f t="shared" si="15"/>
        <v>113</v>
      </c>
      <c r="Y41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ID","value":"113-29"},{"id":16,"name":"Locomotive ID","value":"4056"},{"id":130,"name":"Impact","value":""},{"id":150,"name":"Time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/c/Users/stu/AppData/Local/Temp/OnboardLogs/RTDC4056 --include="*4056*201706291*"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"%USERPROFILE%\AppData\Local\Temp\OnboardLogs"\RTDC4056\*4056*201706291* &gt;&gt; 2017-06-29-SliceDisagreementCheck.txt</v>
      </c>
      <c r="AE41" s="145" t="str">
        <f t="shared" si="9"/>
        <v>start /low /b %USERPROFILE%\Documents\GitHub\eaglep3\Utilities\DownloadLogsFromS3.py --loco 4056 --day 2017-06-29</v>
      </c>
      <c r="AF41" s="1"/>
    </row>
    <row r="42" spans="1:32" x14ac:dyDescent="0.25">
      <c r="A42" s="31">
        <v>42915.326979166668</v>
      </c>
      <c r="B42" s="30" t="s">
        <v>470</v>
      </c>
      <c r="C42" s="30" t="s">
        <v>580</v>
      </c>
      <c r="D42" s="30" t="s">
        <v>49</v>
      </c>
      <c r="E42" s="30" t="s">
        <v>181</v>
      </c>
      <c r="F42" s="42">
        <v>0</v>
      </c>
      <c r="G42" s="42">
        <v>115</v>
      </c>
      <c r="H42" s="42">
        <v>233119</v>
      </c>
      <c r="I42" s="42">
        <v>233228</v>
      </c>
      <c r="J42" s="30" t="s">
        <v>182</v>
      </c>
      <c r="K42" s="42">
        <v>233491</v>
      </c>
      <c r="L42" s="131" t="s">
        <v>50</v>
      </c>
      <c r="M42" s="132">
        <f t="shared" si="10"/>
        <v>138.864</v>
      </c>
      <c r="N42" s="133" t="str">
        <f>VLOOKUP(C42,'Trips&amp;Operators'!$C$1:$G$99999,5,FALSE)</f>
        <v>YANAI IAN</v>
      </c>
      <c r="O42" s="203" t="s">
        <v>180</v>
      </c>
      <c r="P42" s="134"/>
      <c r="Q42" s="30"/>
      <c r="R42" s="81" t="str">
        <f>VLOOKUP(C42,'Train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2" s="84" t="str">
        <f>VLOOKUP(C42,'Train Runs'!$A$13:$AE$9928,22,0)</f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2" s="86" t="str">
        <f t="shared" si="11"/>
        <v>"C:\Program Files (x86)\AstroGrep\AstroGrep.exe" /e /r /s /spath="%USERPROFILE%\AppData\Local\Temp\OnboardLogs" /stypes="*4010*201706291*"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4010</v>
      </c>
      <c r="V42" s="31">
        <f t="shared" si="13"/>
        <v>42915.576979166668</v>
      </c>
      <c r="W42" s="45" t="str">
        <f t="shared" si="14"/>
        <v>EC</v>
      </c>
      <c r="X42" s="22">
        <f t="shared" si="15"/>
        <v>129</v>
      </c>
      <c r="Y42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ID","value":"129-29"},{"id":16,"name":"Locomotive ID","value":"4010"},{"id":130,"name":"Impact","value":""},{"id":150,"name":"Time of Event (Mountain Time)","value":"07:50:51"},{"id":151,"name":"Denver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/c/Users/stu/AppData/Local/Temp/OnboardLogs/RTDC4010 --include="*4010*201706291*"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42" s="145" t="str">
        <f t="shared" si="9"/>
        <v>start /low /b %USERPROFILE%\Documents\GitHub\eaglep3\Utilities\DownloadLogsFromS3.py --loco 4010 --day 2017-06-29</v>
      </c>
      <c r="AF42" s="1"/>
    </row>
    <row r="43" spans="1:32" x14ac:dyDescent="0.25">
      <c r="A43" s="31">
        <v>42915.462476851855</v>
      </c>
      <c r="B43" s="30" t="s">
        <v>537</v>
      </c>
      <c r="C43" s="30" t="s">
        <v>588</v>
      </c>
      <c r="D43" s="30" t="s">
        <v>49</v>
      </c>
      <c r="E43" s="30" t="s">
        <v>181</v>
      </c>
      <c r="F43" s="42">
        <v>0</v>
      </c>
      <c r="G43" s="42">
        <v>52</v>
      </c>
      <c r="H43" s="42">
        <v>233314</v>
      </c>
      <c r="I43" s="42">
        <v>233351</v>
      </c>
      <c r="J43" s="30" t="s">
        <v>182</v>
      </c>
      <c r="K43" s="42">
        <v>233491</v>
      </c>
      <c r="L43" s="131" t="s">
        <v>50</v>
      </c>
      <c r="M43" s="132">
        <f t="shared" si="10"/>
        <v>73.92</v>
      </c>
      <c r="N43" s="133" t="str">
        <f>VLOOKUP(C43,'Trips&amp;Operators'!$C$1:$G$99999,5,FALSE)</f>
        <v>SANTIZO D. EDY</v>
      </c>
      <c r="O43" s="203" t="s">
        <v>180</v>
      </c>
      <c r="P43" s="134"/>
      <c r="Q43" s="30"/>
      <c r="R43" s="81" t="str">
        <f>VLOOKUP(C43,'Train Runs'!$A$13:$AE$9928,31,0)</f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S43" s="84" t="str">
        <f>VLOOKUP(C43,'Train Runs'!$A$13:$AE$9928,22,0)</f>
        <v>https://d0f6bd738d7f1b3e5a7ca70fe4ff75f0.us-east-1.aws.found.io/app/kibana#/discover/Steve-Slow-Train-Analysis-(2080s-and-2083s)?_g=(refreshInterval:(display:Off,pause:!f,section:0,value:0),time:(from:'2017-06-29T09:20:45-0600',mode:absolute,to:'2017-06-29T12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3" s="86" t="str">
        <f t="shared" si="11"/>
        <v>"C:\Program Files (x86)\AstroGrep\AstroGrep.exe" /e /r /s /spath="%USERPROFILE%\AppData\Local\Temp\OnboardLogs" /stypes="*4056*201706291*" /stext=" 17:.+((SYSTEM_STATE.+slice.+state.+changed )|(ment ac)|(multiple cpu faults)|(system.+state.+changed )|(\[timeout)|(PRM\|1\|D)|(kpr)|(kdp)|(train st.+moving)|(\|lc)|(penalty))"</v>
      </c>
      <c r="U43" s="9" t="str">
        <f t="shared" si="12"/>
        <v>4056</v>
      </c>
      <c r="V43" s="31">
        <f t="shared" si="13"/>
        <v>42915.712476851855</v>
      </c>
      <c r="W43" s="45" t="str">
        <f t="shared" si="14"/>
        <v>EC</v>
      </c>
      <c r="X43" s="22">
        <f t="shared" si="15"/>
        <v>155</v>
      </c>
      <c r="Y43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ID","value":"155-29"},{"id":16,"name":"Locomotive ID","value":"4056"},{"id":130,"name":"Impact","value":""},{"id":150,"name":"Time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/c/Users/stu/AppData/Local/Temp/OnboardLogs/RTDC4056 --include="*4056*201706291*"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"%USERPROFILE%\AppData\Local\Temp\OnboardLogs"\RTDC4056\*4056*201706291* &gt;&gt; 2017-06-29-SliceDisagreementCheck.txt</v>
      </c>
      <c r="AE43" s="145" t="str">
        <f t="shared" si="9"/>
        <v>start /low /b %USERPROFILE%\Documents\GitHub\eaglep3\Utilities\DownloadLogsFromS3.py --loco 4056 --day 2017-06-29</v>
      </c>
      <c r="AF43" s="1"/>
    </row>
    <row r="44" spans="1:32" x14ac:dyDescent="0.25">
      <c r="A44" s="31">
        <v>42915.546203703707</v>
      </c>
      <c r="B44" s="30" t="s">
        <v>470</v>
      </c>
      <c r="C44" s="30" t="s">
        <v>591</v>
      </c>
      <c r="D44" s="30" t="s">
        <v>49</v>
      </c>
      <c r="E44" s="30" t="s">
        <v>181</v>
      </c>
      <c r="F44" s="42">
        <v>0</v>
      </c>
      <c r="G44" s="42">
        <v>52</v>
      </c>
      <c r="H44" s="42">
        <v>233297</v>
      </c>
      <c r="I44" s="42">
        <v>233376</v>
      </c>
      <c r="J44" s="30" t="s">
        <v>182</v>
      </c>
      <c r="K44" s="42">
        <v>233491</v>
      </c>
      <c r="L44" s="131" t="s">
        <v>50</v>
      </c>
      <c r="M44" s="132">
        <f t="shared" si="10"/>
        <v>60.72</v>
      </c>
      <c r="N44" s="133" t="str">
        <f>VLOOKUP(C44,'Trips&amp;Operators'!$C$1:$G$99999,5,FALSE)</f>
        <v>SULLIVAN BRANDON</v>
      </c>
      <c r="O44" s="203" t="s">
        <v>180</v>
      </c>
      <c r="P44" s="134"/>
      <c r="Q44" s="30"/>
      <c r="R44" s="81" t="str">
        <f>VLOOKUP(C44,'Train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4" s="84" t="str">
        <f>VLOOKUP(C44,'Train Runs'!$A$13:$AE$9928,22,0)</f>
        <v>https://d0f6bd738d7f1b3e5a7ca70fe4ff75f0.us-east-1.aws.found.io/app/kibana#/discover/Steve-Slow-Train-Analysis-(2080s-and-2083s)?_g=(refreshInterval:(display:Off,pause:!f,section:0,value:0),time:(from:'2017-06-29T11:23:36-0600',mode:absolute,to:'2017-06-29T14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86" t="str">
        <f t="shared" si="11"/>
        <v>"C:\Program Files (x86)\AstroGrep\AstroGrep.exe" /e /r /s /spath="%USERPROFILE%\AppData\Local\Temp\OnboardLogs" /stypes="*4010*201706291*" /stext=" 19:.+((SYSTEM_STATE.+slice.+state.+changed )|(ment ac)|(multiple cpu faults)|(system.+state.+changed )|(\[timeout)|(PRM\|1\|D)|(kpr)|(kdp)|(train st.+moving)|(\|lc)|(penalty))"</v>
      </c>
      <c r="U44" s="9" t="str">
        <f t="shared" si="12"/>
        <v>4010</v>
      </c>
      <c r="V44" s="31">
        <f t="shared" si="13"/>
        <v>42915.796203703707</v>
      </c>
      <c r="W44" s="45" t="str">
        <f t="shared" si="14"/>
        <v>EC</v>
      </c>
      <c r="X44" s="22">
        <f t="shared" si="15"/>
        <v>171</v>
      </c>
      <c r="Y44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ID","value":"171-29"},{"id":16,"name":"Locomotive ID","value":"4010"},{"id":130,"name":"Impact","value":""},{"id":150,"name":"Time of Event (Mountain Time)","value":"13:06:32"},{"id":151,"name":"Denver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/c/Users/stu/AppData/Local/Temp/OnboardLogs/RTDC4010 --include="*4010*201706291*"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44" s="145" t="str">
        <f t="shared" si="9"/>
        <v>start /low /b %USERPROFILE%\Documents\GitHub\eaglep3\Utilities\DownloadLogsFromS3.py --loco 4010 --day 2017-06-29</v>
      </c>
      <c r="AF44" s="1"/>
    </row>
    <row r="45" spans="1:32" x14ac:dyDescent="0.25">
      <c r="A45" s="31">
        <v>42915.619780092595</v>
      </c>
      <c r="B45" s="30" t="s">
        <v>470</v>
      </c>
      <c r="C45" s="30" t="s">
        <v>599</v>
      </c>
      <c r="D45" s="30" t="s">
        <v>49</v>
      </c>
      <c r="E45" s="30" t="s">
        <v>181</v>
      </c>
      <c r="F45" s="42">
        <v>0</v>
      </c>
      <c r="G45" s="42">
        <v>41</v>
      </c>
      <c r="H45" s="42">
        <v>233347</v>
      </c>
      <c r="I45" s="42">
        <v>233380</v>
      </c>
      <c r="J45" s="30" t="s">
        <v>182</v>
      </c>
      <c r="K45" s="42">
        <v>233491</v>
      </c>
      <c r="L45" s="131" t="s">
        <v>50</v>
      </c>
      <c r="M45" s="132">
        <f t="shared" si="10"/>
        <v>58.607999999999997</v>
      </c>
      <c r="N45" s="133" t="str">
        <f>VLOOKUP(C45,'Trips&amp;Operators'!$C$1:$G$99999,5,FALSE)</f>
        <v>SULLIVAN BRANDON</v>
      </c>
      <c r="O45" s="203" t="s">
        <v>180</v>
      </c>
      <c r="P45" s="134"/>
      <c r="Q45" s="30"/>
      <c r="R45" s="81" t="str">
        <f>VLOOKUP(C45,'Train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5" s="84" t="str">
        <f>VLOOKUP(C45,'Train Runs'!$A$13:$AE$9928,22,0)</f>
        <v>https://d0f6bd738d7f1b3e5a7ca70fe4ff75f0.us-east-1.aws.found.io/app/kibana#/discover/Steve-Slow-Train-Analysis-(2080s-and-2083s)?_g=(refreshInterval:(display:Off,pause:!f,section:0,value:0),time:(from:'2017-06-29T13:07:28-0600',mode:absolute,to:'2017-06-29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5" s="86" t="str">
        <f t="shared" si="11"/>
        <v>"C:\Program Files (x86)\AstroGrep\AstroGrep.exe" /e /r /s /spath="%USERPROFILE%\AppData\Local\Temp\OnboardLogs" /stypes="*4010*201706292*" /stext=" 20:.+((SYSTEM_STATE.+slice.+state.+changed )|(ment ac)|(multiple cpu faults)|(system.+state.+changed )|(\[timeout)|(PRM\|1\|D)|(kpr)|(kdp)|(train st.+moving)|(\|lc)|(penalty))"</v>
      </c>
      <c r="U45" s="9" t="str">
        <f t="shared" si="12"/>
        <v>4010</v>
      </c>
      <c r="V45" s="31">
        <f t="shared" si="13"/>
        <v>42915.869780092595</v>
      </c>
      <c r="W45" s="45" t="str">
        <f t="shared" si="14"/>
        <v>EC</v>
      </c>
      <c r="X45" s="22">
        <f t="shared" si="15"/>
        <v>185</v>
      </c>
      <c r="Y45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ID","value":"185-29"},{"id":16,"name":"Locomotive ID","value":"4010"},{"id":130,"name":"Impact","value":""},{"id":150,"name":"Time of Event (Mountain Time)","value":"14:52:29"},{"id":151,"name":"Denver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/c/Users/stu/AppData/Local/Temp/OnboardLogs/RTDC4010 --include="*4010*201706292*"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"%USERPROFILE%\AppData\Local\Temp\OnboardLogs"\RTDC4010\*4010*201706292* &gt;&gt; 2017-06-29-SliceDisagreementCheck.txt</v>
      </c>
      <c r="AE45" s="145" t="str">
        <f t="shared" si="9"/>
        <v>start /low /b %USERPROFILE%\Documents\GitHub\eaglep3\Utilities\DownloadLogsFromS3.py --loco 4010 --day 2017-06-29</v>
      </c>
      <c r="AF45" s="1"/>
    </row>
    <row r="46" spans="1:32" x14ac:dyDescent="0.25">
      <c r="A46" s="31">
        <v>42915.629780092589</v>
      </c>
      <c r="B46" s="30" t="s">
        <v>597</v>
      </c>
      <c r="C46" s="30" t="s">
        <v>598</v>
      </c>
      <c r="D46" s="30" t="s">
        <v>49</v>
      </c>
      <c r="E46" s="30" t="s">
        <v>181</v>
      </c>
      <c r="F46" s="42">
        <v>0</v>
      </c>
      <c r="G46" s="42">
        <v>47</v>
      </c>
      <c r="H46" s="42">
        <v>233353</v>
      </c>
      <c r="I46" s="42">
        <v>233372</v>
      </c>
      <c r="J46" s="30" t="s">
        <v>182</v>
      </c>
      <c r="K46" s="42">
        <v>233491</v>
      </c>
      <c r="L46" s="131" t="s">
        <v>50</v>
      </c>
      <c r="M46" s="132">
        <f t="shared" si="10"/>
        <v>62.832000000000001</v>
      </c>
      <c r="N46" s="133" t="str">
        <f>VLOOKUP(C46,'Trips&amp;Operators'!$C$1:$G$99999,5,FALSE)</f>
        <v>HOLCOMB KAMDEN</v>
      </c>
      <c r="O46" s="203" t="s">
        <v>180</v>
      </c>
      <c r="P46" s="134"/>
      <c r="Q46" s="30"/>
      <c r="R46" s="81" t="str">
        <f>VLOOKUP(C46,'Train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6" s="84" t="str">
        <f>VLOOKUP(C46,'Train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6" s="86" t="str">
        <f t="shared" si="11"/>
        <v>"C:\Program Files (x86)\AstroGrep\AstroGrep.exe" /e /r /s /spath="%USERPROFILE%\AppData\Local\Temp\OnboardLogs" /stypes="*4006*201706292*" /stext=" 21:.+((SYSTEM_STATE.+slice.+state.+changed )|(ment ac)|(multiple cpu faults)|(system.+state.+changed )|(\[timeout)|(PRM\|1\|D)|(kpr)|(kdp)|(train st.+moving)|(\|lc)|(penalty))"</v>
      </c>
      <c r="U46" s="9" t="str">
        <f t="shared" si="12"/>
        <v>4006</v>
      </c>
      <c r="V46" s="31">
        <f t="shared" si="13"/>
        <v>42915.879780092589</v>
      </c>
      <c r="W46" s="45" t="str">
        <f t="shared" si="14"/>
        <v>EC</v>
      </c>
      <c r="X46" s="22">
        <f t="shared" si="15"/>
        <v>187</v>
      </c>
      <c r="Y46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ID","value":"187-29"},{"id":16,"name":"Locomotive ID","value":"4006"},{"id":130,"name":"Impact","value":""},{"id":150,"name":"Time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/c/Users/stu/AppData/Local/Temp/OnboardLogs/RTDC4006 --include="*4006*201706292*"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46" s="145" t="str">
        <f t="shared" si="9"/>
        <v>start /low /b %USERPROFILE%\Documents\GitHub\eaglep3\Utilities\DownloadLogsFromS3.py --loco 4006 --day 2017-06-29</v>
      </c>
      <c r="AF46" s="1"/>
    </row>
    <row r="47" spans="1:32" x14ac:dyDescent="0.25">
      <c r="A47" s="31">
        <v>42915.703032407408</v>
      </c>
      <c r="B47" s="30" t="s">
        <v>597</v>
      </c>
      <c r="C47" s="30" t="s">
        <v>608</v>
      </c>
      <c r="D47" s="30" t="s">
        <v>49</v>
      </c>
      <c r="E47" s="30" t="s">
        <v>181</v>
      </c>
      <c r="F47" s="42">
        <v>0</v>
      </c>
      <c r="G47" s="42">
        <v>59</v>
      </c>
      <c r="H47" s="42">
        <v>233255</v>
      </c>
      <c r="I47" s="42">
        <v>233299</v>
      </c>
      <c r="J47" s="30" t="s">
        <v>182</v>
      </c>
      <c r="K47" s="42">
        <v>233491</v>
      </c>
      <c r="L47" s="131" t="s">
        <v>50</v>
      </c>
      <c r="M47" s="132">
        <f t="shared" si="10"/>
        <v>101.376</v>
      </c>
      <c r="N47" s="133" t="str">
        <f>VLOOKUP(C47,'Trips&amp;Operators'!$C$1:$G$99999,5,FALSE)</f>
        <v>HOLCOMB KAMDEN</v>
      </c>
      <c r="O47" s="203" t="s">
        <v>180</v>
      </c>
      <c r="P47" s="134"/>
      <c r="Q47" s="30"/>
      <c r="R47" s="81" t="str">
        <f>VLOOKUP(C47,'Train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7" s="84" t="str">
        <f>VLOOKUP(C47,'Train Runs'!$A$13:$AE$9928,22,0)</f>
        <v>https://d0f6bd738d7f1b3e5a7ca70fe4ff75f0.us-east-1.aws.found.io/app/kibana#/discover/Steve-Slow-Train-Analysis-(2080s-and-2083s)?_g=(refreshInterval:(display:Off,pause:!f,section:0,value:0),time:(from:'2017-06-29T15:07:07-0600',mode:absolute,to:'2017-06-29T17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7" s="86" t="str">
        <f t="shared" si="11"/>
        <v>"C:\Program Files (x86)\AstroGrep\AstroGrep.exe" /e /r /s /spath="%USERPROFILE%\AppData\Local\Temp\OnboardLogs" /stypes="*4006*201706292*" /stext=" 22:.+((SYSTEM_STATE.+slice.+state.+changed )|(ment ac)|(multiple cpu faults)|(system.+state.+changed )|(\[timeout)|(PRM\|1\|D)|(kpr)|(kdp)|(train st.+moving)|(\|lc)|(penalty))"</v>
      </c>
      <c r="U47" s="9" t="str">
        <f t="shared" si="12"/>
        <v>4006</v>
      </c>
      <c r="V47" s="31">
        <f t="shared" si="13"/>
        <v>42915.953032407408</v>
      </c>
      <c r="W47" s="45" t="str">
        <f t="shared" si="14"/>
        <v>EC</v>
      </c>
      <c r="X47" s="22">
        <f t="shared" si="15"/>
        <v>201</v>
      </c>
      <c r="Y47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ID","value":"201-29"},{"id":16,"name":"Locomotive ID","value":"4006"},{"id":130,"name":"Impact","value":""},{"id":150,"name":"Time of Event (Mountain Time)","value":"16:52:22"},{"id":151,"name":"Denver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/c/Users/stu/AppData/Local/Temp/OnboardLogs/RTDC4006 --include="*4006*201706292*"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47" s="145" t="str">
        <f t="shared" si="9"/>
        <v>start /low /b %USERPROFILE%\Documents\GitHub\eaglep3\Utilities\DownloadLogsFromS3.py --loco 4006 --day 2017-06-29</v>
      </c>
      <c r="AF47" s="1"/>
    </row>
    <row r="48" spans="1:32" x14ac:dyDescent="0.25">
      <c r="A48" s="31">
        <v>42915.733749999999</v>
      </c>
      <c r="B48" s="30" t="s">
        <v>338</v>
      </c>
      <c r="C48" s="30" t="s">
        <v>611</v>
      </c>
      <c r="D48" s="30" t="s">
        <v>49</v>
      </c>
      <c r="E48" s="30" t="s">
        <v>181</v>
      </c>
      <c r="F48" s="42">
        <v>0</v>
      </c>
      <c r="G48" s="42">
        <v>33</v>
      </c>
      <c r="H48" s="42">
        <v>233378</v>
      </c>
      <c r="I48" s="42">
        <v>233387</v>
      </c>
      <c r="J48" s="30" t="s">
        <v>182</v>
      </c>
      <c r="K48" s="42">
        <v>233491</v>
      </c>
      <c r="L48" s="131" t="s">
        <v>50</v>
      </c>
      <c r="M48" s="132">
        <f t="shared" si="10"/>
        <v>54.911999999999999</v>
      </c>
      <c r="N48" s="133" t="str">
        <f>VLOOKUP(C48,'Trips&amp;Operators'!$C$1:$G$99999,5,FALSE)</f>
        <v>LEVIN SCOTT</v>
      </c>
      <c r="O48" s="203" t="s">
        <v>180</v>
      </c>
      <c r="P48" s="134"/>
      <c r="Q48" s="30"/>
      <c r="R48" s="81" t="str">
        <f>VLOOKUP(C48,'Train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48" s="84" t="str">
        <f>VLOOKUP(C48,'Train Runs'!$A$13:$AE$9928,22,0)</f>
        <v>https://d0f6bd738d7f1b3e5a7ca70fe4ff75f0.us-east-1.aws.found.io/app/kibana#/discover/Steve-Slow-Train-Analysis-(2080s-and-2083s)?_g=(refreshInterval:(display:Off,pause:!f,section:0,value:0),time:(from:'2017-06-29T15:51:24-0600',mode:absolute,to:'2017-06-29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8" s="86" t="str">
        <f t="shared" si="11"/>
        <v>"C:\Program Files (x86)\AstroGrep\AstroGrep.exe" /e /r /s /spath="%USERPROFILE%\AppData\Local\Temp\OnboardLogs" /stypes="*4028*201706292*"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4028</v>
      </c>
      <c r="V48" s="31">
        <f t="shared" si="13"/>
        <v>42915.983749999999</v>
      </c>
      <c r="W48" s="45" t="str">
        <f t="shared" si="14"/>
        <v>EC</v>
      </c>
      <c r="X48" s="22">
        <f t="shared" si="15"/>
        <v>207</v>
      </c>
      <c r="Y48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ID","value":"207-29"},{"id":16,"name":"Locomotive ID","value":"4028"},{"id":130,"name":"Impact","value":""},{"id":150,"name":"Time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/c/Users/stu/AppData/Local/Temp/OnboardLogs/RTDC4028 --include="*4028*201706292*"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"%USERPROFILE%\AppData\Local\Temp\OnboardLogs"\RTDC4028\*4028*201706292* &gt;&gt; 2017-06-29-SliceDisagreementCheck.txt</v>
      </c>
      <c r="AE48" s="145" t="str">
        <f t="shared" si="9"/>
        <v>start /low /b %USERPROFILE%\Documents\GitHub\eaglep3\Utilities\DownloadLogsFromS3.py --loco 4028 --day 2017-06-29</v>
      </c>
      <c r="AF48" s="1"/>
    </row>
    <row r="49" spans="1:32" x14ac:dyDescent="0.25">
      <c r="A49" s="31">
        <v>42915.775358796294</v>
      </c>
      <c r="B49" s="30" t="s">
        <v>597</v>
      </c>
      <c r="C49" s="30" t="s">
        <v>614</v>
      </c>
      <c r="D49" s="30" t="s">
        <v>49</v>
      </c>
      <c r="E49" s="30" t="s">
        <v>181</v>
      </c>
      <c r="F49" s="42">
        <v>0</v>
      </c>
      <c r="G49" s="42">
        <v>56</v>
      </c>
      <c r="H49" s="42">
        <v>233319</v>
      </c>
      <c r="I49" s="42">
        <v>233363</v>
      </c>
      <c r="J49" s="30" t="s">
        <v>182</v>
      </c>
      <c r="K49" s="42">
        <v>233491</v>
      </c>
      <c r="L49" s="131" t="s">
        <v>50</v>
      </c>
      <c r="M49" s="132">
        <f t="shared" si="10"/>
        <v>67.584000000000003</v>
      </c>
      <c r="N49" s="133" t="str">
        <f>VLOOKUP(C49,'Trips&amp;Operators'!$C$1:$G$99999,5,FALSE)</f>
        <v>HOLCOMB KAMDEN</v>
      </c>
      <c r="O49" s="203" t="s">
        <v>180</v>
      </c>
      <c r="P49" s="134"/>
      <c r="Q49" s="30"/>
      <c r="R49" s="81" t="str">
        <f>VLOOKUP(C49,'Train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9" s="84" t="str">
        <f>VLOOKUP(C49,'Train Runs'!$A$13:$AE$9928,22,0)</f>
        <v>https://d0f6bd738d7f1b3e5a7ca70fe4ff75f0.us-east-1.aws.found.io/app/kibana#/discover/Steve-Slow-Train-Analysis-(2080s-and-2083s)?_g=(refreshInterval:(display:Off,pause:!f,section:0,value:0),time:(from:'2017-06-29T16:56:21-0600',mode:absolute,to:'2017-06-29T19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9" s="86" t="str">
        <f t="shared" si="11"/>
        <v>"C:\Program Files (x86)\AstroGrep\AstroGrep.exe" /e /r /s /spath="%USERPROFILE%\AppData\Local\Temp\OnboardLogs" /stypes="*4006*201706300*"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4006</v>
      </c>
      <c r="V49" s="31">
        <f t="shared" si="13"/>
        <v>42916.025358796294</v>
      </c>
      <c r="W49" s="45" t="str">
        <f t="shared" si="14"/>
        <v>EC</v>
      </c>
      <c r="X49" s="22">
        <f t="shared" si="15"/>
        <v>215</v>
      </c>
      <c r="Y49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ID","value":"215-29"},{"id":16,"name":"Locomotive ID","value":"4006"},{"id":130,"name":"Impact","value":""},{"id":150,"name":"Time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/c/Users/stu/AppData/Local/Temp/OnboardLogs/RTDC4006 --include="*4006*201706300*"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"%USERPROFILE%\AppData\Local\Temp\OnboardLogs"\RTDC4006\*4006*201706300* &gt;&gt; 2017-06-29-SliceDisagreementCheck.txt</v>
      </c>
      <c r="AE49" s="145" t="str">
        <f t="shared" si="9"/>
        <v>start /low /b %USERPROFILE%\Documents\GitHub\eaglep3\Utilities\DownloadLogsFromS3.py --loco 4006 --day 2017-06-30</v>
      </c>
      <c r="AF49" s="1"/>
    </row>
    <row r="50" spans="1:32" x14ac:dyDescent="0.25">
      <c r="A50" s="31">
        <v>42915.860393518517</v>
      </c>
      <c r="B50" s="30" t="s">
        <v>400</v>
      </c>
      <c r="C50" s="30" t="s">
        <v>621</v>
      </c>
      <c r="D50" s="30" t="s">
        <v>49</v>
      </c>
      <c r="E50" s="30" t="s">
        <v>181</v>
      </c>
      <c r="F50" s="42">
        <v>0</v>
      </c>
      <c r="G50" s="42">
        <v>150</v>
      </c>
      <c r="H50" s="42">
        <v>232840</v>
      </c>
      <c r="I50" s="42">
        <v>233011</v>
      </c>
      <c r="J50" s="30" t="s">
        <v>182</v>
      </c>
      <c r="K50" s="42">
        <v>233491</v>
      </c>
      <c r="L50" s="131" t="s">
        <v>50</v>
      </c>
      <c r="M50" s="132">
        <f t="shared" si="10"/>
        <v>253.44</v>
      </c>
      <c r="N50" s="133" t="str">
        <f>VLOOKUP(C50,'Trips&amp;Operators'!$C$1:$G$99999,5,FALSE)</f>
        <v>PERKINS DARREN</v>
      </c>
      <c r="O50" s="203" t="s">
        <v>180</v>
      </c>
      <c r="P50" s="134"/>
      <c r="Q50" s="30"/>
      <c r="R50" s="81" t="str">
        <f>VLOOKUP(C50,'Train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50" s="84" t="str">
        <f>VLOOKUP(C50,'Train Runs'!$A$13:$AE$9928,22,0)</f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50" s="86" t="str">
        <f t="shared" si="11"/>
        <v>"C:\Program Files (x86)\AstroGrep\AstroGrep.exe" /e /r /s /spath="%USERPROFILE%\AppData\Local\Temp\OnboardLogs" /stypes="*4060*201706300*" /stext=" 02:.+((SYSTEM_STATE.+slice.+state.+changed )|(ment ac)|(multiple cpu faults)|(system.+state.+changed )|(\[timeout)|(PRM\|1\|D)|(kpr)|(kdp)|(train st.+moving)|(\|lc)|(penalty))"</v>
      </c>
      <c r="U50" s="9" t="str">
        <f t="shared" si="12"/>
        <v>4060</v>
      </c>
      <c r="V50" s="31">
        <f t="shared" si="13"/>
        <v>42916.110393518517</v>
      </c>
      <c r="W50" s="45" t="str">
        <f t="shared" si="14"/>
        <v>EC</v>
      </c>
      <c r="X50" s="22">
        <f t="shared" si="15"/>
        <v>225</v>
      </c>
      <c r="Y50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ID","value":"225-29"},{"id":16,"name":"Locomotive ID","value":"4060"},{"id":130,"name":"Impact","value":""},{"id":150,"name":"Time of Event (Mountain Time)","value":"20:38:58"},{"id":151,"name":"Denver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/c/Users/stu/AppData/Local/Temp/OnboardLogs/RTDC4060 --include="*4060*201706300*"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50" s="145" t="str">
        <f t="shared" si="9"/>
        <v>start /low /b %USERPROFILE%\Documents\GitHub\eaglep3\Utilities\DownloadLogsFromS3.py --loco 4060 --day 2017-06-30</v>
      </c>
      <c r="AF50" s="1"/>
    </row>
    <row r="51" spans="1:32" x14ac:dyDescent="0.25">
      <c r="A51" s="31">
        <v>42915.24627314815</v>
      </c>
      <c r="B51" s="30" t="s">
        <v>355</v>
      </c>
      <c r="C51" s="30" t="s">
        <v>575</v>
      </c>
      <c r="D51" s="30" t="s">
        <v>49</v>
      </c>
      <c r="E51" s="30" t="s">
        <v>187</v>
      </c>
      <c r="F51" s="42">
        <v>0</v>
      </c>
      <c r="G51" s="42">
        <v>233</v>
      </c>
      <c r="H51" s="42">
        <v>10651</v>
      </c>
      <c r="I51" s="42">
        <v>11151</v>
      </c>
      <c r="J51" s="30" t="s">
        <v>188</v>
      </c>
      <c r="K51" s="42">
        <v>10714</v>
      </c>
      <c r="L51" s="131" t="s">
        <v>50</v>
      </c>
      <c r="M51" s="132">
        <f t="shared" si="10"/>
        <v>-230.73599999999999</v>
      </c>
      <c r="N51" s="133" t="str">
        <f>VLOOKUP(C51,'Trips&amp;Operators'!$C$1:$G$99999,5,FALSE)</f>
        <v>DAVIS WENDY</v>
      </c>
      <c r="O51" s="203" t="s">
        <v>180</v>
      </c>
      <c r="P51" s="134" t="s">
        <v>1056</v>
      </c>
      <c r="Q51" s="30"/>
      <c r="R51" s="81" t="str">
        <f>VLOOKUP(C51,'Train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51" s="84" t="str">
        <f>VLOOKUP(C51,'Train Runs'!$A$13:$AE$9928,22,0)</f>
        <v>https://d0f6bd738d7f1b3e5a7ca70fe4ff75f0.us-east-1.aws.found.io/app/kibana#/discover/Steve-Slow-Train-Analysis-(2080s-and-2083s)?_g=(refreshInterval:(display:Off,pause:!f,section:0,value:0),time:(from:'2017-06-29T04:46:39-0600',mode:absolute,to:'2017-06-29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1" s="86" t="str">
        <f t="shared" si="11"/>
        <v>"C:\Program Files (x86)\AstroGrep\AstroGrep.exe" /e /r /s /spath="%USERPROFILE%\AppData\Local\Temp\OnboardLogs" /stypes="*4042*201706291*" /stext=" 11:.+((SYSTEM_STATE.+slice.+state.+changed )|(ment ac)|(multiple cpu faults)|(system.+state.+changed )|(\[timeout)|(PRM\|1\|D)|(kpr)|(kdp)|(train st.+moving)|(\|lc)|(penalty))"</v>
      </c>
      <c r="U51" s="9" t="str">
        <f t="shared" si="12"/>
        <v>4042</v>
      </c>
      <c r="V51" s="31">
        <f t="shared" si="13"/>
        <v>42915.49627314815</v>
      </c>
      <c r="W51" s="45" t="str">
        <f t="shared" si="14"/>
        <v>NW</v>
      </c>
      <c r="X51" s="22">
        <f t="shared" si="15"/>
        <v>801</v>
      </c>
      <c r="Y51" s="96" t="str">
        <f t="shared" si="16"/>
        <v>echo {"issue":{"subject":"Early arrival","project_id":79,"tracker_id":40,"status_id":1,"priority_id":2,"assigned_to_id":23,"start_date":"2017-06-29","description":"","custom_fields":[{"id":1,"name":"Subdivision","value":"NW"},{"id":4,"name":"Milepost","value":"1.0714"},{"id":17,"name":"Train ID","value":"801-29"},{"id":16,"name":"Locomotive ID","value":"4042"},{"id":130,"name":"Impact","value":""},{"id":150,"name":"Time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/c/Users/stu/AppData/Local/Temp/OnboardLogs/RTDC4042 --include="*4042*201706291*"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51" s="145" t="str">
        <f t="shared" si="9"/>
        <v>start /low /b %USERPROFILE%\Documents\GitHub\eaglep3\Utilities\DownloadLogsFromS3.py --loco 4042 --day 2017-06-29</v>
      </c>
      <c r="AF51" s="1"/>
    </row>
    <row r="52" spans="1:32" x14ac:dyDescent="0.25">
      <c r="A52" s="31">
        <v>42915.688935185186</v>
      </c>
      <c r="B52" s="30" t="s">
        <v>468</v>
      </c>
      <c r="C52" s="30" t="s">
        <v>607</v>
      </c>
      <c r="D52" s="30" t="s">
        <v>49</v>
      </c>
      <c r="E52" s="30" t="s">
        <v>199</v>
      </c>
      <c r="F52" s="42">
        <v>150</v>
      </c>
      <c r="G52" s="42">
        <v>355</v>
      </c>
      <c r="H52" s="42">
        <v>55287</v>
      </c>
      <c r="I52" s="42">
        <v>55909</v>
      </c>
      <c r="J52" s="30" t="s">
        <v>200</v>
      </c>
      <c r="K52" s="42">
        <v>57008</v>
      </c>
      <c r="L52" s="131" t="s">
        <v>50</v>
      </c>
      <c r="M52" s="132">
        <f t="shared" si="10"/>
        <v>580.27200000000005</v>
      </c>
      <c r="N52" s="133" t="str">
        <f>VLOOKUP(C52,'Trips&amp;Operators'!$C$1:$G$99999,5,FALSE)</f>
        <v>ARVIDSON DANIEL</v>
      </c>
      <c r="O52" s="203" t="s">
        <v>180</v>
      </c>
      <c r="P52" s="134"/>
      <c r="Q52" s="30"/>
      <c r="R52" s="81" t="str">
        <f>VLOOKUP(C52,'Train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52" s="84" t="str">
        <f>VLOOKUP(C52,'Train Runs'!$A$13:$AE$9928,22,0)</f>
        <v>https://d0f6bd738d7f1b3e5a7ca70fe4ff75f0.us-east-1.aws.found.io/app/kibana#/discover/Steve-Slow-Train-Analysis-(2080s-and-2083s)?_g=(refreshInterval:(display:Off,pause:!f,section:0,value:0),time:(from:'2017-06-29T15:15:23-0600',mode:absolute,to:'2017-06-29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2" s="86" t="str">
        <f t="shared" si="11"/>
        <v>"C:\Program Files (x86)\AstroGrep\AstroGrep.exe" /e /r /s /spath="%USERPROFILE%\AppData\Local\Temp\OnboardLogs" /stypes="*4018*201706292*" /stext=" 22:.+((SYSTEM_STATE.+slice.+state.+changed )|(ment ac)|(multiple cpu faults)|(system.+state.+changed )|(\[timeout)|(PRM\|1\|D)|(kpr)|(kdp)|(train st.+moving)|(\|lc)|(penalty))"</v>
      </c>
      <c r="U52" s="9" t="str">
        <f t="shared" si="12"/>
        <v>4018</v>
      </c>
      <c r="V52" s="31">
        <f t="shared" si="13"/>
        <v>42915.938935185186</v>
      </c>
      <c r="W52" s="45" t="str">
        <f t="shared" si="14"/>
        <v>NW</v>
      </c>
      <c r="X52" s="22">
        <f t="shared" si="15"/>
        <v>829</v>
      </c>
      <c r="Y52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{"issue":{"subject":"","project_id":79,"tracker_id":40,"status_id":1,"priority_id":2,"assigned_to_id":23,"start_date":"2017-06-29","description":"","custom_fields":[{"id":1,"name":"Subdivision","value":"NW"},{"id":4,"name":"Milepost","value":"5.7008"},{"id":17,"name":"Train ID","value":"829-29"},{"id":16,"name":"Locomotive ID","value":"4018"},{"id":130,"name":"Impact","value":""},{"id":150,"name":"Time of Event (Mountain Time)","value":"16:32:04"},{"id":151,"name":"Denver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/c/Users/stu/AppData/Local/Temp/OnboardLogs/RTDC4018 --include="*4018*201706292*"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"%USERPROFILE%\AppData\Local\Temp\OnboardLogs"\RTDC4018\*4018*201706292* &gt;&gt; 2017-06-29-SliceDisagreementCheck.txt</v>
      </c>
      <c r="AE52" s="145" t="str">
        <f t="shared" si="9"/>
        <v>start /low /b %USERPROFILE%\Documents\GitHub\eaglep3\Utilities\DownloadLogsFromS3.py --loco 4018 --day 2017-06-29</v>
      </c>
      <c r="AF52" s="1"/>
    </row>
    <row r="53" spans="1:32" x14ac:dyDescent="0.25">
      <c r="A53" s="31">
        <v>42915.730833333335</v>
      </c>
      <c r="B53" s="30" t="s">
        <v>468</v>
      </c>
      <c r="C53" s="30" t="s">
        <v>610</v>
      </c>
      <c r="D53" s="30" t="s">
        <v>49</v>
      </c>
      <c r="E53" s="30" t="s">
        <v>199</v>
      </c>
      <c r="F53" s="42">
        <v>150</v>
      </c>
      <c r="G53" s="42">
        <v>334</v>
      </c>
      <c r="H53" s="42">
        <v>55207</v>
      </c>
      <c r="I53" s="42">
        <v>55773</v>
      </c>
      <c r="J53" s="30" t="s">
        <v>200</v>
      </c>
      <c r="K53" s="42">
        <v>57008</v>
      </c>
      <c r="L53" s="131" t="s">
        <v>50</v>
      </c>
      <c r="M53" s="132">
        <f t="shared" si="10"/>
        <v>652.08000000000004</v>
      </c>
      <c r="N53" s="133" t="str">
        <f>VLOOKUP(C53,'Trips&amp;Operators'!$C$1:$G$99999,5,FALSE)</f>
        <v>ARVIDSON DANIEL</v>
      </c>
      <c r="O53" s="203" t="s">
        <v>180</v>
      </c>
      <c r="P53" s="134"/>
      <c r="Q53" s="30"/>
      <c r="R53" s="81" t="str">
        <f>VLOOKUP(C53,'Train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53" s="84" t="str">
        <f>VLOOKUP(C53,'Train Runs'!$A$13:$AE$9928,22,0)</f>
        <v>https://d0f6bd738d7f1b3e5a7ca70fe4ff75f0.us-east-1.aws.found.io/app/kibana#/discover/Steve-Slow-Train-Analysis-(2080s-and-2083s)?_g=(refreshInterval:(display:Off,pause:!f,section:0,value:0),time:(from:'2017-06-29T16:16:09-0600',mode:absolute,to:'2017-06-29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3" s="86" t="str">
        <f t="shared" si="11"/>
        <v>"C:\Program Files (x86)\AstroGrep\AstroGrep.exe" /e /r /s /spath="%USERPROFILE%\AppData\Local\Temp\OnboardLogs" /stypes="*4018*201706292*"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4018</v>
      </c>
      <c r="V53" s="31">
        <f t="shared" si="13"/>
        <v>42915.980833333335</v>
      </c>
      <c r="W53" s="45" t="str">
        <f t="shared" si="14"/>
        <v>NW</v>
      </c>
      <c r="X53" s="22">
        <f t="shared" si="15"/>
        <v>833</v>
      </c>
      <c r="Y53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{"issue":{"subject":"","project_id":79,"tracker_id":40,"status_id":1,"priority_id":2,"assigned_to_id":23,"start_date":"2017-06-29","description":"","custom_fields":[{"id":1,"name":"Subdivision","value":"NW"},{"id":4,"name":"Milepost","value":"5.7008"},{"id":17,"name":"Train ID","value":"833-29"},{"id":16,"name":"Locomotive ID","value":"4018"},{"id":130,"name":"Impact","value":""},{"id":150,"name":"Time of Event (Mountain Time)","value":"17:32:24"},{"id":151,"name":"Denver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/c/Users/stu/AppData/Local/Temp/OnboardLogs/RTDC4018 --include="*4018*201706292*"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"%USERPROFILE%\AppData\Local\Temp\OnboardLogs"\RTDC4018\*4018*201706292* &gt;&gt; 2017-06-29-SliceDisagreementCheck.txt</v>
      </c>
      <c r="AE53" s="145" t="str">
        <f t="shared" si="9"/>
        <v>start /low /b %USERPROFILE%\Documents\GitHub\eaglep3\Utilities\DownloadLogsFromS3.py --loco 4018 --day 2017-06-29</v>
      </c>
      <c r="AF53" s="1"/>
    </row>
    <row r="54" spans="1:32" x14ac:dyDescent="0.25">
      <c r="A54" s="31">
        <v>42915.225578703707</v>
      </c>
      <c r="B54" s="30" t="s">
        <v>572</v>
      </c>
      <c r="C54" s="30" t="s">
        <v>573</v>
      </c>
      <c r="D54" s="30" t="s">
        <v>49</v>
      </c>
      <c r="E54" s="30" t="s">
        <v>181</v>
      </c>
      <c r="F54" s="42">
        <v>0</v>
      </c>
      <c r="G54" s="42">
        <v>23</v>
      </c>
      <c r="H54" s="42">
        <v>638</v>
      </c>
      <c r="I54" s="42">
        <v>615</v>
      </c>
      <c r="J54" s="30" t="s">
        <v>182</v>
      </c>
      <c r="K54" s="42">
        <v>575</v>
      </c>
      <c r="L54" s="131" t="s">
        <v>51</v>
      </c>
      <c r="M54" s="132">
        <f t="shared" si="10"/>
        <v>21.12</v>
      </c>
      <c r="N54" s="133" t="str">
        <f>VLOOKUP(C54,'Trips&amp;Operators'!$C$1:$G$99999,5,FALSE)</f>
        <v>DAVIS WENDY</v>
      </c>
      <c r="O54" s="203" t="s">
        <v>180</v>
      </c>
      <c r="P54" s="134"/>
      <c r="Q54" s="30"/>
      <c r="R54" s="81" t="str">
        <f>VLOOKUP(C54,'Train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4" s="84" t="str">
        <f>VLOOKUP(C54,'Train Runs'!$A$13:$AE$9928,22,0)</f>
        <v>https://d0f6bd738d7f1b3e5a7ca70fe4ff75f0.us-east-1.aws.found.io/app/kibana#/discover/Steve-Slow-Train-Analysis-(2080s-and-2083s)?_g=(refreshInterval:(display:Off,pause:!f,section:0,value:0),time:(from:'2017-06-29T04:02:20-0600',mode:absolute,to:'2017-06-29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4" s="86" t="str">
        <f t="shared" si="11"/>
        <v>"C:\Program Files (x86)\AstroGrep\AstroGrep.exe" /e /r /s /spath="%USERPROFILE%\AppData\Local\Temp\OnboardLogs" /stypes="*4041*201706291*" /stext=" 11:.+((SYSTEM_STATE.+slice.+state.+changed )|(ment ac)|(multiple cpu faults)|(system.+state.+changed )|(\[timeout)|(PRM\|1\|D)|(kpr)|(kdp)|(train st.+moving)|(\|lc)|(penalty))"</v>
      </c>
      <c r="U54" s="9" t="str">
        <f t="shared" si="12"/>
        <v>4041</v>
      </c>
      <c r="V54" s="31">
        <f t="shared" si="13"/>
        <v>42915.475578703707</v>
      </c>
      <c r="W54" s="45" t="str">
        <f t="shared" si="14"/>
        <v>NW</v>
      </c>
      <c r="X54" s="22">
        <f t="shared" si="15"/>
        <v>800</v>
      </c>
      <c r="Y54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ID","value":"800-29"},{"id":16,"name":"Locomotive ID","value":"4041"},{"id":130,"name":"Impact","value":""},{"id":150,"name":"Time of Event (Mountain Time)","value":"05:24:50"},{"id":151,"name":"Denver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/c/Users/stu/AppData/Local/Temp/OnboardLogs/RTDC4041 --include="*4041*201706291*"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"%USERPROFILE%\AppData\Local\Temp\OnboardLogs"\RTDC4041\*4041*201706291* &gt;&gt; 2017-06-29-SliceDisagreementCheck.txt</v>
      </c>
      <c r="AE54" s="145" t="str">
        <f t="shared" si="9"/>
        <v>start /low /b %USERPROFILE%\Documents\GitHub\eaglep3\Utilities\DownloadLogsFromS3.py --loco 4041 --day 2017-06-29</v>
      </c>
      <c r="AF54" s="1"/>
    </row>
    <row r="55" spans="1:32" x14ac:dyDescent="0.25">
      <c r="A55" s="31">
        <v>42915.267627314817</v>
      </c>
      <c r="B55" s="30" t="s">
        <v>572</v>
      </c>
      <c r="C55" s="30" t="s">
        <v>577</v>
      </c>
      <c r="D55" s="30" t="s">
        <v>49</v>
      </c>
      <c r="E55" s="30" t="s">
        <v>181</v>
      </c>
      <c r="F55" s="42">
        <v>0</v>
      </c>
      <c r="G55" s="42">
        <v>41</v>
      </c>
      <c r="H55" s="42">
        <v>694</v>
      </c>
      <c r="I55" s="42">
        <v>659</v>
      </c>
      <c r="J55" s="30" t="s">
        <v>182</v>
      </c>
      <c r="K55" s="42">
        <v>575</v>
      </c>
      <c r="L55" s="131" t="s">
        <v>51</v>
      </c>
      <c r="M55" s="132">
        <f t="shared" si="10"/>
        <v>44.351999999999997</v>
      </c>
      <c r="N55" s="133" t="str">
        <f>VLOOKUP(C55,'Trips&amp;Operators'!$C$1:$G$99999,5,FALSE)</f>
        <v>DAVIS WENDY</v>
      </c>
      <c r="O55" s="203" t="s">
        <v>180</v>
      </c>
      <c r="P55" s="134"/>
      <c r="Q55" s="30"/>
      <c r="R55" s="81" t="str">
        <f>VLOOKUP(C55,'Train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5" s="84" t="str">
        <f>VLOOKUP(C55,'Train Runs'!$A$13:$AE$9928,22,0)</f>
        <v>https://d0f6bd738d7f1b3e5a7ca70fe4ff75f0.us-east-1.aws.found.io/app/kibana#/discover/Steve-Slow-Train-Analysis-(2080s-and-2083s)?_g=(refreshInterval:(display:Off,pause:!f,section:0,value:0),time:(from:'2017-06-29T05:06:33-0600',mode:absolute,to:'2017-06-29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5" s="86" t="str">
        <f t="shared" si="11"/>
        <v>"C:\Program Files (x86)\AstroGrep\AstroGrep.exe" /e /r /s /spath="%USERPROFILE%\AppData\Local\Temp\OnboardLogs" /stypes="*4041*201706291*" /stext=" 12:.+((SYSTEM_STATE.+slice.+state.+changed )|(ment ac)|(multiple cpu faults)|(system.+state.+changed )|(\[timeout)|(PRM\|1\|D)|(kpr)|(kdp)|(train st.+moving)|(\|lc)|(penalty))"</v>
      </c>
      <c r="U55" s="9" t="str">
        <f t="shared" si="12"/>
        <v>4041</v>
      </c>
      <c r="V55" s="31">
        <f t="shared" si="13"/>
        <v>42915.517627314817</v>
      </c>
      <c r="W55" s="45" t="str">
        <f t="shared" si="14"/>
        <v>NW</v>
      </c>
      <c r="X55" s="22">
        <f t="shared" si="15"/>
        <v>802</v>
      </c>
      <c r="Y55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ID","value":"802-29"},{"id":16,"name":"Locomotive ID","value":"4041"},{"id":130,"name":"Impact","value":""},{"id":150,"name":"Time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/c/Users/stu/AppData/Local/Temp/OnboardLogs/RTDC4041 --include="*4041*201706291*"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"%USERPROFILE%\AppData\Local\Temp\OnboardLogs"\RTDC4041\*4041*201706291* &gt;&gt; 2017-06-29-SliceDisagreementCheck.txt</v>
      </c>
      <c r="AE55" s="145" t="str">
        <f t="shared" si="9"/>
        <v>start /low /b %USERPROFILE%\Documents\GitHub\eaglep3\Utilities\DownloadLogsFromS3.py --loco 4041 --day 2017-06-29</v>
      </c>
      <c r="AF55" s="1"/>
    </row>
    <row r="56" spans="1:32" x14ac:dyDescent="0.25">
      <c r="A56" s="31">
        <v>42915.664282407408</v>
      </c>
      <c r="B56" s="30" t="s">
        <v>472</v>
      </c>
      <c r="C56" s="30" t="s">
        <v>603</v>
      </c>
      <c r="D56" s="30" t="s">
        <v>49</v>
      </c>
      <c r="E56" s="30" t="s">
        <v>181</v>
      </c>
      <c r="F56" s="42">
        <v>0</v>
      </c>
      <c r="G56" s="42">
        <v>47</v>
      </c>
      <c r="H56" s="42">
        <v>687</v>
      </c>
      <c r="I56" s="42">
        <v>663</v>
      </c>
      <c r="J56" s="30" t="s">
        <v>182</v>
      </c>
      <c r="K56" s="42">
        <v>575</v>
      </c>
      <c r="L56" s="131" t="s">
        <v>51</v>
      </c>
      <c r="M56" s="132">
        <f t="shared" si="10"/>
        <v>46.463999999999999</v>
      </c>
      <c r="N56" s="133" t="str">
        <f>VLOOKUP(C56,'Trips&amp;Operators'!$C$1:$G$99999,5,FALSE)</f>
        <v>ARVIDSON DANIEL</v>
      </c>
      <c r="O56" s="203" t="s">
        <v>180</v>
      </c>
      <c r="P56" s="134"/>
      <c r="Q56" s="30"/>
      <c r="R56" s="81" t="str">
        <f>VLOOKUP(C56,'Train Runs'!$A$13:$AE$9928,31,0)</f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S56" s="84" t="str">
        <f>VLOOKUP(C56,'Train Runs'!$A$13:$AE$9928,22,0)</f>
        <v>https://d0f6bd738d7f1b3e5a7ca70fe4ff75f0.us-east-1.aws.found.io/app/kibana#/discover/Steve-Slow-Train-Analysis-(2080s-and-2083s)?_g=(refreshInterval:(display:Off,pause:!f,section:0,value:0),time:(from:'2017-06-29T14:38:24-0600',mode:absolute,to:'2017-06-29T16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6" s="86" t="str">
        <f t="shared" si="11"/>
        <v>"C:\Program Files (x86)\AstroGrep\AstroGrep.exe" /e /r /s /spath="%USERPROFILE%\AppData\Local\Temp\OnboardLogs" /stypes="*4017*201706292*" /stext=" 21:.+((SYSTEM_STATE.+slice.+state.+changed )|(ment ac)|(multiple cpu faults)|(system.+state.+changed )|(\[timeout)|(PRM\|1\|D)|(kpr)|(kdp)|(train st.+moving)|(\|lc)|(penalty))"</v>
      </c>
      <c r="U56" s="9" t="str">
        <f t="shared" si="12"/>
        <v>4017</v>
      </c>
      <c r="V56" s="31">
        <f t="shared" si="13"/>
        <v>42915.914282407408</v>
      </c>
      <c r="W56" s="45" t="str">
        <f t="shared" si="14"/>
        <v>NW</v>
      </c>
      <c r="X56" s="22">
        <f t="shared" si="15"/>
        <v>826</v>
      </c>
      <c r="Y56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ID","value":"826-29"},{"id":16,"name":"Locomotive ID","value":"4017"},{"id":130,"name":"Impact","value":""},{"id":150,"name":"Time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/c/Users/stu/AppData/Local/Temp/OnboardLogs/RTDC4017 --include="*4017*201706292*"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"%USERPROFILE%\AppData\Local\Temp\OnboardLogs"\RTDC4017\*4017*201706292* &gt;&gt; 2017-06-29-SliceDisagreementCheck.txt</v>
      </c>
      <c r="AE56" s="145" t="str">
        <f t="shared" si="9"/>
        <v>start /low /b %USERPROFILE%\Documents\GitHub\eaglep3\Utilities\DownloadLogsFromS3.py --loco 4017 --day 2017-06-29</v>
      </c>
      <c r="AF56" s="1"/>
    </row>
    <row r="57" spans="1:32" x14ac:dyDescent="0.25">
      <c r="A57" s="31">
        <v>42915.684803240743</v>
      </c>
      <c r="B57" s="30" t="s">
        <v>572</v>
      </c>
      <c r="C57" s="30" t="s">
        <v>606</v>
      </c>
      <c r="D57" s="30" t="s">
        <v>49</v>
      </c>
      <c r="E57" s="30" t="s">
        <v>181</v>
      </c>
      <c r="F57" s="42">
        <v>0</v>
      </c>
      <c r="G57" s="42">
        <v>28</v>
      </c>
      <c r="H57" s="42">
        <v>659</v>
      </c>
      <c r="I57" s="42">
        <v>642</v>
      </c>
      <c r="J57" s="30" t="s">
        <v>182</v>
      </c>
      <c r="K57" s="42">
        <v>575</v>
      </c>
      <c r="L57" s="131" t="s">
        <v>51</v>
      </c>
      <c r="M57" s="132">
        <f t="shared" si="10"/>
        <v>35.375999999999998</v>
      </c>
      <c r="N57" s="133" t="str">
        <f>VLOOKUP(C57,'Trips&amp;Operators'!$C$1:$G$99999,5,FALSE)</f>
        <v>HAITHCOX MICHAEL</v>
      </c>
      <c r="O57" s="203" t="s">
        <v>180</v>
      </c>
      <c r="P57" s="134"/>
      <c r="Q57" s="30"/>
      <c r="R57" s="81" t="str">
        <f>VLOOKUP(C57,'Train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7" s="84" t="str">
        <f>VLOOKUP(C57,'Train Runs'!$A$13:$AE$9928,22,0)</f>
        <v>https://d0f6bd738d7f1b3e5a7ca70fe4ff75f0.us-east-1.aws.found.io/app/kibana#/discover/Steve-Slow-Train-Analysis-(2080s-and-2083s)?_g=(refreshInterval:(display:Off,pause:!f,section:0,value:0),time:(from:'2017-06-29T15:07:44-0600',mode:absolute,to:'2017-06-29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7" s="86" t="str">
        <f t="shared" si="11"/>
        <v>"C:\Program Files (x86)\AstroGrep\AstroGrep.exe" /e /r /s /spath="%USERPROFILE%\AppData\Local\Temp\OnboardLogs" /stypes="*4041*201706292*" /stext=" 22:.+((SYSTEM_STATE.+slice.+state.+changed )|(ment ac)|(multiple cpu faults)|(system.+state.+changed )|(\[timeout)|(PRM\|1\|D)|(kpr)|(kdp)|(train st.+moving)|(\|lc)|(penalty))"</v>
      </c>
      <c r="U57" s="9" t="str">
        <f t="shared" si="12"/>
        <v>4041</v>
      </c>
      <c r="V57" s="31">
        <f t="shared" si="13"/>
        <v>42915.934803240743</v>
      </c>
      <c r="W57" s="45" t="str">
        <f t="shared" si="14"/>
        <v>NW</v>
      </c>
      <c r="X57" s="22">
        <f t="shared" si="15"/>
        <v>828</v>
      </c>
      <c r="Y57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ID","value":"828-29"},{"id":16,"name":"Locomotive ID","value":"4041"},{"id":130,"name":"Impact","value":""},{"id":150,"name":"Time of Event (Mountain Time)","value":"16:26:07"},{"id":151,"name":"Denver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/c/Users/stu/AppData/Local/Temp/OnboardLogs/RTDC4041 --include="*4041*201706292*"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57" s="145" t="str">
        <f t="shared" si="9"/>
        <v>start /low /b %USERPROFILE%\Documents\GitHub\eaglep3\Utilities\DownloadLogsFromS3.py --loco 4041 --day 2017-06-29</v>
      </c>
      <c r="AF57" s="1"/>
    </row>
    <row r="58" spans="1:32" x14ac:dyDescent="0.25">
      <c r="A58" s="31">
        <v>42915.726157407407</v>
      </c>
      <c r="B58" s="30" t="s">
        <v>572</v>
      </c>
      <c r="C58" s="30" t="s">
        <v>609</v>
      </c>
      <c r="D58" s="30" t="s">
        <v>49</v>
      </c>
      <c r="E58" s="30" t="s">
        <v>181</v>
      </c>
      <c r="F58" s="42">
        <v>0</v>
      </c>
      <c r="G58" s="42">
        <v>30</v>
      </c>
      <c r="H58" s="42">
        <v>675</v>
      </c>
      <c r="I58" s="42">
        <v>657</v>
      </c>
      <c r="J58" s="30" t="s">
        <v>182</v>
      </c>
      <c r="K58" s="42">
        <v>575</v>
      </c>
      <c r="L58" s="131" t="s">
        <v>51</v>
      </c>
      <c r="M58" s="132">
        <f t="shared" si="10"/>
        <v>43.296000000000006</v>
      </c>
      <c r="N58" s="133" t="str">
        <f>VLOOKUP(C58,'Trips&amp;Operators'!$C$1:$G$99999,5,FALSE)</f>
        <v>HAITHCOX MICHAEL</v>
      </c>
      <c r="O58" s="203" t="s">
        <v>180</v>
      </c>
      <c r="P58" s="134"/>
      <c r="Q58" s="30"/>
      <c r="R58" s="81" t="str">
        <f>VLOOKUP(C58,'Train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8" s="84" t="str">
        <f>VLOOKUP(C58,'Train Runs'!$A$13:$AE$9928,22,0)</f>
        <v>https://d0f6bd738d7f1b3e5a7ca70fe4ff75f0.us-east-1.aws.found.io/app/kibana#/discover/Steve-Slow-Train-Analysis-(2080s-and-2083s)?_g=(refreshInterval:(display:Off,pause:!f,section:0,value:0),time:(from:'2017-06-29T16:06:38-0600',mode:absolute,to:'2017-06-29T18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8" s="86" t="str">
        <f t="shared" si="11"/>
        <v>"C:\Program Files (x86)\AstroGrep\AstroGrep.exe" /e /r /s /spath="%USERPROFILE%\AppData\Local\Temp\OnboardLogs" /stypes="*4041*201706292*" /stext=" 23:.+((SYSTEM_STATE.+slice.+state.+changed )|(ment ac)|(multiple cpu faults)|(system.+state.+changed )|(\[timeout)|(PRM\|1\|D)|(kpr)|(kdp)|(train st.+moving)|(\|lc)|(penalty))"</v>
      </c>
      <c r="U58" s="9" t="str">
        <f t="shared" si="12"/>
        <v>4041</v>
      </c>
      <c r="V58" s="31">
        <f t="shared" si="13"/>
        <v>42915.976157407407</v>
      </c>
      <c r="W58" s="45" t="str">
        <f t="shared" si="14"/>
        <v>NW</v>
      </c>
      <c r="X58" s="22">
        <f t="shared" si="15"/>
        <v>832</v>
      </c>
      <c r="Y58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ID","value":"832-29"},{"id":16,"name":"Locomotive ID","value":"4041"},{"id":130,"name":"Impact","value":""},{"id":150,"name":"Time of Event (Mountain Time)","value":"17:25:40"},{"id":151,"name":"Denver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/c/Users/stu/AppData/Local/Temp/OnboardLogs/RTDC4041 --include="*4041*201706292*"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58" s="145" t="str">
        <f t="shared" si="9"/>
        <v>start /low /b %USERPROFILE%\Documents\GitHub\eaglep3\Utilities\DownloadLogsFromS3.py --loco 4041 --day 2017-06-29</v>
      </c>
      <c r="AF58" s="1"/>
    </row>
    <row r="59" spans="1:32" x14ac:dyDescent="0.25">
      <c r="A59" s="31">
        <v>42915.336701388886</v>
      </c>
      <c r="B59" s="30" t="s">
        <v>355</v>
      </c>
      <c r="C59" s="30" t="s">
        <v>581</v>
      </c>
      <c r="D59" s="30" t="s">
        <v>49</v>
      </c>
      <c r="E59" s="30" t="s">
        <v>181</v>
      </c>
      <c r="F59" s="42">
        <v>0</v>
      </c>
      <c r="G59" s="42">
        <v>21</v>
      </c>
      <c r="H59" s="42">
        <v>59032</v>
      </c>
      <c r="I59" s="42">
        <v>59047</v>
      </c>
      <c r="J59" s="30" t="s">
        <v>182</v>
      </c>
      <c r="K59" s="42">
        <v>59058</v>
      </c>
      <c r="L59" s="131" t="s">
        <v>50</v>
      </c>
      <c r="M59" s="132">
        <f t="shared" si="10"/>
        <v>5.8079999999999998</v>
      </c>
      <c r="N59" s="133" t="str">
        <f>VLOOKUP(C59,'Trips&amp;Operators'!$C$1:$G$99999,5,FALSE)</f>
        <v>DAVIS WENDY</v>
      </c>
      <c r="O59" s="203" t="s">
        <v>180</v>
      </c>
      <c r="P59" s="134"/>
      <c r="Q59" s="30"/>
      <c r="R59" s="81" t="str">
        <f>VLOOKUP(C59,'Train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59" s="84" t="str">
        <f>VLOOKUP(C59,'Train Runs'!$A$13:$AE$9928,22,0)</f>
        <v>https://d0f6bd738d7f1b3e5a7ca70fe4ff75f0.us-east-1.aws.found.io/app/kibana#/discover/Steve-Slow-Train-Analysis-(2080s-and-2083s)?_g=(refreshInterval:(display:Off,pause:!f,section:0,value:0),time:(from:'2017-06-29T06:46:30-0600',mode:absolute,to:'2017-06-29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9" s="86" t="str">
        <f t="shared" si="11"/>
        <v>"C:\Program Files (x86)\AstroGrep\AstroGrep.exe" /e /r /s /spath="%USERPROFILE%\AppData\Local\Temp\OnboardLogs" /stypes="*4042*201706291*" /stext=" 14:.+((SYSTEM_STATE.+slice.+state.+changed )|(ment ac)|(multiple cpu faults)|(system.+state.+changed )|(\[timeout)|(PRM\|1\|D)|(kpr)|(kdp)|(train st.+moving)|(\|lc)|(penalty))"</v>
      </c>
      <c r="U59" s="9" t="str">
        <f t="shared" si="12"/>
        <v>4042</v>
      </c>
      <c r="V59" s="31">
        <f t="shared" si="13"/>
        <v>42915.586701388886</v>
      </c>
      <c r="W59" s="45" t="str">
        <f t="shared" si="14"/>
        <v>NW</v>
      </c>
      <c r="X59" s="22">
        <f t="shared" si="15"/>
        <v>809</v>
      </c>
      <c r="Y59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{"issue":{"subject":"","project_id":79,"tracker_id":40,"status_id":1,"priority_id":2,"assigned_to_id":23,"start_date":"2017-06-29","description":"","custom_fields":[{"id":1,"name":"Subdivision","value":"NW"},{"id":4,"name":"Milepost","value":"5.9058"},{"id":17,"name":"Train ID","value":"809-29"},{"id":16,"name":"Locomotive ID","value":"4042"},{"id":130,"name":"Impact","value":""},{"id":150,"name":"Time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/c/Users/stu/AppData/Local/Temp/OnboardLogs/RTDC4042 --include="*4042*201706291*"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59" s="145" t="str">
        <f t="shared" si="9"/>
        <v>start /low /b %USERPROFILE%\Documents\GitHub\eaglep3\Utilities\DownloadLogsFromS3.py --loco 4042 --day 2017-06-29</v>
      </c>
      <c r="AF59" s="1"/>
    </row>
    <row r="60" spans="1:32" x14ac:dyDescent="0.25">
      <c r="A60" s="31">
        <v>42915.816006944442</v>
      </c>
      <c r="B60" s="30" t="s">
        <v>468</v>
      </c>
      <c r="C60" s="30" t="s">
        <v>619</v>
      </c>
      <c r="D60" s="30" t="s">
        <v>49</v>
      </c>
      <c r="E60" s="30" t="s">
        <v>181</v>
      </c>
      <c r="F60" s="42">
        <v>0</v>
      </c>
      <c r="G60" s="42">
        <v>48</v>
      </c>
      <c r="H60" s="42">
        <v>58924</v>
      </c>
      <c r="I60" s="42">
        <v>58954</v>
      </c>
      <c r="J60" s="30" t="s">
        <v>182</v>
      </c>
      <c r="K60" s="42">
        <v>59058</v>
      </c>
      <c r="L60" s="131" t="s">
        <v>50</v>
      </c>
      <c r="M60" s="132">
        <f t="shared" si="10"/>
        <v>54.911999999999999</v>
      </c>
      <c r="N60" s="133" t="str">
        <f>VLOOKUP(C60,'Trips&amp;Operators'!$C$1:$G$99999,5,FALSE)</f>
        <v>SAFIEF AEIMEN</v>
      </c>
      <c r="O60" s="203" t="s">
        <v>180</v>
      </c>
      <c r="P60" s="134"/>
      <c r="Q60" s="30"/>
      <c r="R60" s="81" t="str">
        <f>VLOOKUP(C60,'Train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60" s="84" t="str">
        <f>VLOOKUP(C60,'Train Runs'!$A$13:$AE$9928,22,0)</f>
        <v>https://d0f6bd738d7f1b3e5a7ca70fe4ff75f0.us-east-1.aws.found.io/app/kibana#/discover/Steve-Slow-Train-Analysis-(2080s-and-2083s)?_g=(refreshInterval:(display:Off,pause:!f,section:0,value:0),time:(from:'2017-06-29T18:19:17-0600',mode:absolute,to:'2017-06-29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0" s="86" t="str">
        <f t="shared" si="11"/>
        <v>"C:\Program Files (x86)\AstroGrep\AstroGrep.exe" /e /r /s /spath="%USERPROFILE%\AppData\Local\Temp\OnboardLogs" /stypes="*4018*201706300*" /stext=" 01:.+((SYSTEM_STATE.+slice.+state.+changed )|(ment ac)|(multiple cpu faults)|(system.+state.+changed )|(\[timeout)|(PRM\|1\|D)|(kpr)|(kdp)|(train st.+moving)|(\|lc)|(penalty))"</v>
      </c>
      <c r="U60" s="9" t="str">
        <f t="shared" si="12"/>
        <v>4018</v>
      </c>
      <c r="V60" s="31">
        <f t="shared" si="13"/>
        <v>42916.066006944442</v>
      </c>
      <c r="W60" s="45" t="str">
        <f t="shared" si="14"/>
        <v>NW</v>
      </c>
      <c r="X60" s="22">
        <f t="shared" si="15"/>
        <v>841</v>
      </c>
      <c r="Y60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{"issue":{"subject":"","project_id":79,"tracker_id":40,"status_id":1,"priority_id":2,"assigned_to_id":23,"start_date":"2017-06-29","description":"","custom_fields":[{"id":1,"name":"Subdivision","value":"NW"},{"id":4,"name":"Milepost","value":"5.9058"},{"id":17,"name":"Train ID","value":"841-29"},{"id":16,"name":"Locomotive ID","value":"4018"},{"id":130,"name":"Impact","value":""},{"id":150,"name":"Time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/c/Users/stu/AppData/Local/Temp/OnboardLogs/RTDC4018 --include="*4018*201706300*"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"%USERPROFILE%\AppData\Local\Temp\OnboardLogs"\RTDC4018\*4018*201706300* &gt;&gt; 2017-06-29-SliceDisagreementCheck.txt</v>
      </c>
      <c r="AE60" s="145" t="str">
        <f t="shared" si="9"/>
        <v>start /low /b %USERPROFILE%\Documents\GitHub\eaglep3\Utilities\DownloadLogsFromS3.py --loco 4018 --day 2017-06-30</v>
      </c>
      <c r="AF60" s="1"/>
    </row>
    <row r="61" spans="1:32" x14ac:dyDescent="0.25">
      <c r="A61" s="31">
        <v>42915.778703703705</v>
      </c>
      <c r="B61" s="30" t="s">
        <v>338</v>
      </c>
      <c r="C61" s="30" t="s">
        <v>616</v>
      </c>
      <c r="D61" s="30" t="s">
        <v>49</v>
      </c>
      <c r="E61" s="30" t="s">
        <v>359</v>
      </c>
      <c r="F61" s="42">
        <v>0</v>
      </c>
      <c r="G61" s="42">
        <v>79</v>
      </c>
      <c r="H61" s="42">
        <v>1366</v>
      </c>
      <c r="I61" s="42">
        <v>1428</v>
      </c>
      <c r="J61" s="30" t="s">
        <v>360</v>
      </c>
      <c r="K61" s="42">
        <v>1692</v>
      </c>
      <c r="L61" s="131" t="s">
        <v>50</v>
      </c>
      <c r="M61" s="132">
        <f t="shared" si="10"/>
        <v>139.392</v>
      </c>
      <c r="N61" s="133" t="str">
        <f>VLOOKUP(C61,'Trips&amp;Operators'!$C$1:$G$99999,5,FALSE)</f>
        <v>LEVIN SCOTT</v>
      </c>
      <c r="O61" s="203" t="s">
        <v>180</v>
      </c>
      <c r="P61" s="134"/>
      <c r="Q61" s="30"/>
      <c r="R61" s="81" t="str">
        <f>VLOOKUP(C61,'Train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61" s="84" t="str">
        <f>VLOOKUP(C61,'Train Runs'!$A$13:$AE$9928,22,0)</f>
        <v>https://d0f6bd738d7f1b3e5a7ca70fe4ff75f0.us-east-1.aws.found.io/app/kibana#/discover/Steve-Slow-Train-Analysis-(2080s-and-2083s)?_g=(refreshInterval:(display:Off,pause:!f,section:0,value:0),time:(from:'2017-06-29T17:38:32-0600',mode:absolute,to:'2017-06-29T19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61" s="86" t="str">
        <f t="shared" si="11"/>
        <v>"C:\Program Files (x86)\AstroGrep\AstroGrep.exe" /e /r /s /spath="%USERPROFILE%\AppData\Local\Temp\OnboardLogs" /stypes="*4028*201706300*" /stext=" 00:.+((SYSTEM_STATE.+slice.+state.+changed )|(ment ac)|(multiple cpu faults)|(system.+state.+changed )|(\[timeout)|(PRM\|1\|D)|(kpr)|(kdp)|(train st.+moving)|(\|lc)|(penalty))"</v>
      </c>
      <c r="U61" s="9" t="str">
        <f t="shared" si="12"/>
        <v>4028</v>
      </c>
      <c r="V61" s="31">
        <f t="shared" si="13"/>
        <v>42916.028703703705</v>
      </c>
      <c r="W61" s="45" t="str">
        <f t="shared" si="14"/>
        <v>Other</v>
      </c>
      <c r="X61" s="22">
        <f t="shared" si="15"/>
        <v>301</v>
      </c>
      <c r="Y61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{"issue":{"subject":"","project_id":79,"tracker_id":40,"status_id":1,"priority_id":2,"assigned_to_id":23,"start_date":"2017-06-29","description":"","custom_fields":[{"id":1,"name":"Subdivision","value":"Other"},{"id":4,"name":"Milepost","value":"0.1692"},{"id":17,"name":"Train ID","value":"301-29"},{"id":16,"name":"Locomotive ID","value":"4028"},{"id":130,"name":"Impact","value":""},{"id":150,"name":"Time of Event (Mountain Time)","value":"18:41:20"},{"id":151,"name":"Denver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/c/Users/stu/AppData/Local/Temp/OnboardLogs/RTDC4028 --include="*4028*201706300*"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"%USERPROFILE%\AppData\Local\Temp\OnboardLogs"\RTDC4028\*4028*201706300* &gt;&gt; 2017-06-29-SliceDisagreementCheck.txt</v>
      </c>
      <c r="AE61" s="145" t="str">
        <f t="shared" si="9"/>
        <v>start /low /b %USERPROFILE%\Documents\GitHub\eaglep3\Utilities\DownloadLogsFromS3.py --loco 4028 --day 2017-06-30</v>
      </c>
      <c r="AF61" s="1"/>
    </row>
    <row r="62" spans="1:32" x14ac:dyDescent="0.25">
      <c r="A62" s="31">
        <v>42915.143553240741</v>
      </c>
      <c r="B62" s="30" t="s">
        <v>473</v>
      </c>
      <c r="C62" s="30" t="s">
        <v>568</v>
      </c>
      <c r="D62" s="30" t="s">
        <v>96</v>
      </c>
      <c r="E62" s="30" t="s">
        <v>569</v>
      </c>
      <c r="F62" s="42">
        <v>0</v>
      </c>
      <c r="G62" s="42">
        <v>151</v>
      </c>
      <c r="H62" s="42">
        <v>22944</v>
      </c>
      <c r="I62" s="42">
        <v>22709</v>
      </c>
      <c r="J62" s="30" t="s">
        <v>570</v>
      </c>
      <c r="K62" s="42">
        <v>24235</v>
      </c>
      <c r="L62" s="131" t="s">
        <v>51</v>
      </c>
      <c r="M62" s="132">
        <f t="shared" si="10"/>
        <v>-805.72799999999995</v>
      </c>
      <c r="N62" s="133" t="str">
        <f>VLOOKUP(C62,'Trips&amp;Operators'!$C$1:$G$99999,5,FALSE)</f>
        <v>YANAI IAN</v>
      </c>
      <c r="O62" s="203" t="s">
        <v>180</v>
      </c>
      <c r="P62" s="134"/>
      <c r="Q62" s="30"/>
      <c r="R62" s="81" t="str">
        <f>VLOOKUP(C62,'Train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62" s="84" t="str">
        <f>VLOOKUP(C62,'Train Runs'!$A$13:$AE$9928,22,0)</f>
        <v>https://d0f6bd738d7f1b3e5a7ca70fe4ff75f0.us-east-1.aws.found.io/app/kibana#/discover/Steve-Slow-Train-Analysis-(2080s-and-2083s)?_g=(refreshInterval:(display:Off,pause:!f,section:0,value:0),time:(from:'2017-06-29T02:21:29-0600',mode:absolute,to:'2017-06-29T04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62" s="86" t="str">
        <f t="shared" si="11"/>
        <v>"C:\Program Files (x86)\AstroGrep\AstroGrep.exe" /e /r /s /spath="%USERPROFILE%\AppData\Local\Temp\OnboardLogs" /stypes="*4009*201706290*" /stext=" 09:.+((SYSTEM_STATE.+slice.+state.+changed )|(ment ac)|(multiple cpu faults)|(system.+state.+changed )|(\[timeout)|(PRM\|1\|D)|(kpr)|(kdp)|(train st.+moving)|(\|lc)|(penalty))"</v>
      </c>
      <c r="U62" s="9" t="str">
        <f t="shared" si="12"/>
        <v>4009</v>
      </c>
      <c r="V62" s="31">
        <f t="shared" si="13"/>
        <v>42915.393553240741</v>
      </c>
      <c r="W62" s="45" t="str">
        <f t="shared" si="14"/>
        <v>Other</v>
      </c>
      <c r="X62" s="22">
        <f t="shared" si="15"/>
        <v>302</v>
      </c>
      <c r="Y62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{"issue":{"subject":"","project_id":79,"tracker_id":40,"status_id":1,"priority_id":2,"assigned_to_id":23,"start_date":"2017-06-29","description":"","custom_fields":[{"id":1,"name":"Subdivision","value":"Other"},{"id":4,"name":"Milepost","value":"2.4235"},{"id":17,"name":"Train ID","value":"302-29"},{"id":16,"name":"Locomotive ID","value":"4009"},{"id":130,"name":"Impact","value":""},{"id":150,"name":"Time of Event (Mountain Time)","value":"03:26:43"},{"id":151,"name":"Denver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/c/Users/stu/AppData/Local/Temp/OnboardLogs/RTDC4009 --include="*4009*201706290*"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"%USERPROFILE%\AppData\Local\Temp\OnboardLogs"\RTDC4009\*4009*201706290* &gt;&gt; 2017-06-29-SliceDisagreementCheck.txt</v>
      </c>
      <c r="AE62" s="145" t="str">
        <f t="shared" si="9"/>
        <v>start /low /b %USERPROFILE%\Documents\GitHub\eaglep3\Utilities\DownloadLogsFromS3.py --loco 4009 --day 2017-06-29</v>
      </c>
      <c r="AF62" s="1"/>
    </row>
    <row r="63" spans="1:32" x14ac:dyDescent="0.25">
      <c r="A63" s="31">
        <v>42915.123900462961</v>
      </c>
      <c r="B63" s="30" t="s">
        <v>393</v>
      </c>
      <c r="C63" s="30" t="s">
        <v>567</v>
      </c>
      <c r="D63" s="30" t="s">
        <v>49</v>
      </c>
      <c r="E63" s="30" t="s">
        <v>181</v>
      </c>
      <c r="F63" s="42">
        <v>0</v>
      </c>
      <c r="G63" s="42">
        <v>50</v>
      </c>
      <c r="H63" s="42">
        <v>183</v>
      </c>
      <c r="I63" s="42">
        <v>141</v>
      </c>
      <c r="J63" s="30" t="s">
        <v>182</v>
      </c>
      <c r="K63" s="42">
        <v>1</v>
      </c>
      <c r="L63" s="131" t="s">
        <v>51</v>
      </c>
      <c r="M63" s="132">
        <f t="shared" si="10"/>
        <v>73.92</v>
      </c>
      <c r="N63" s="133" t="str">
        <f>VLOOKUP(C63,'Trips&amp;Operators'!$C$1:$G$99999,5,FALSE)</f>
        <v>STARKS ANGELINA</v>
      </c>
      <c r="O63" s="203" t="s">
        <v>180</v>
      </c>
      <c r="P63" s="134"/>
      <c r="Q63" s="30"/>
      <c r="R63" s="81" t="str">
        <f>VLOOKUP(C63,'Train Runs'!$A$13:$AE$9928,31,0)</f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S63" s="84" t="str">
        <f>VLOOKUP(C63,'Train Runs'!$A$13:$AE$9928,22,0)</f>
        <v>https://d0f6bd738d7f1b3e5a7ca70fe4ff75f0.us-east-1.aws.found.io/app/kibana#/discover/Steve-Slow-Train-Analysis-(2080s-and-2083s)?_g=(refreshInterval:(display:Off,pause:!f,section:0,value:0),time:(from:'2017-06-29T01:45:47-0600',mode:absolute,to:'2017-06-29T03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3" s="86" t="str">
        <f t="shared" si="11"/>
        <v>"C:\Program Files (x86)\AstroGrep\AstroGrep.exe" /e /r /s /spath="%USERPROFILE%\AppData\Local\Temp\OnboardLogs" /stypes="*4049*201706290*" /stext=" 08:.+((SYSTEM_STATE.+slice.+state.+changed )|(ment ac)|(multiple cpu faults)|(system.+state.+changed )|(\[timeout)|(PRM\|1\|D)|(kpr)|(kdp)|(train st.+moving)|(\|lc)|(penalty))"</v>
      </c>
      <c r="U63" s="9" t="str">
        <f t="shared" si="12"/>
        <v>4049</v>
      </c>
      <c r="V63" s="31">
        <f t="shared" si="13"/>
        <v>42915.373900462961</v>
      </c>
      <c r="W63" s="45" t="str">
        <f t="shared" si="14"/>
        <v>Other</v>
      </c>
      <c r="X63" s="22">
        <f t="shared" si="15"/>
        <v>300</v>
      </c>
      <c r="Y63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{"issue":{"subject":"","project_id":79,"tracker_id":40,"status_id":1,"priority_id":2,"assigned_to_id":23,"start_date":"2017-06-29","description":"","custom_fields":[{"id":1,"name":"Subdivision","value":"Other"},{"id":4,"name":"Milepost","value":"0.0001"},{"id":17,"name":"Train ID","value":"300-29"},{"id":16,"name":"Locomotive ID","value":"4049"},{"id":130,"name":"Impact","value":""},{"id":150,"name":"Time of Event (Mountain Time)","value":"02:58:25"},{"id":151,"name":"Denver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/c/Users/stu/AppData/Local/Temp/OnboardLogs/RTDC4049 --include="*4049*201706290*"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"%USERPROFILE%\AppData\Local\Temp\OnboardLogs"\RTDC4049\*4049*201706290* &gt;&gt; 2017-06-29-SliceDisagreementCheck.txt</v>
      </c>
      <c r="AE63" s="145" t="str">
        <f t="shared" si="9"/>
        <v>start /low /b %USERPROFILE%\Documents\GitHub\eaglep3\Utilities\DownloadLogsFromS3.py --loco 4049 --day 2017-06-29</v>
      </c>
      <c r="AF63" s="1"/>
    </row>
    <row r="64" spans="1:32" x14ac:dyDescent="0.25">
      <c r="A64" s="31">
        <v>42915.643553240741</v>
      </c>
      <c r="B64" s="30" t="s">
        <v>572</v>
      </c>
      <c r="C64" s="30" t="s">
        <v>601</v>
      </c>
      <c r="D64" s="30" t="s">
        <v>49</v>
      </c>
      <c r="E64" s="30" t="s">
        <v>181</v>
      </c>
      <c r="F64" s="42">
        <v>0</v>
      </c>
      <c r="G64" s="42">
        <v>41</v>
      </c>
      <c r="H64" s="42">
        <v>685</v>
      </c>
      <c r="I64" s="42">
        <v>635</v>
      </c>
      <c r="J64" s="30" t="s">
        <v>182</v>
      </c>
      <c r="K64" s="42">
        <v>575</v>
      </c>
      <c r="L64" s="131" t="s">
        <v>51</v>
      </c>
      <c r="M64" s="132">
        <f t="shared" si="10"/>
        <v>31.68</v>
      </c>
      <c r="N64" s="133" t="str">
        <f>VLOOKUP(C64,'Trips&amp;Operators'!$C$1:$G$99999,5,FALSE)</f>
        <v>HAITHCOX MICHAEL</v>
      </c>
      <c r="O64" s="203" t="s">
        <v>180</v>
      </c>
      <c r="P64" s="134"/>
      <c r="Q64" s="30"/>
      <c r="R64" s="81" t="str">
        <f>VLOOKUP(C64,'Train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64" s="84" t="str">
        <f>VLOOKUP(C64,'Train Runs'!$A$13:$AE$9928,22,0)</f>
        <v>https://d0f6bd738d7f1b3e5a7ca70fe4ff75f0.us-east-1.aws.found.io/app/kibana#/discover/Steve-Slow-Train-Analysis-(2080s-and-2083s)?_g=(refreshInterval:(display:Off,pause:!f,section:0,value:0),time:(from:'2017-06-29T14:11:43-0600',mode:absolute,to:'2017-06-29T16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64" s="86" t="str">
        <f t="shared" si="11"/>
        <v>"C:\Program Files (x86)\AstroGrep\AstroGrep.exe" /e /r /s /spath="%USERPROFILE%\AppData\Local\Temp\OnboardLogs" /stypes="*4041*201706292*" /stext=" 21:.+((SYSTEM_STATE.+slice.+state.+changed )|(ment ac)|(multiple cpu faults)|(system.+state.+changed )|(\[timeout)|(PRM\|1\|D)|(kpr)|(kdp)|(train st.+moving)|(\|lc)|(penalty))"</v>
      </c>
      <c r="U64" s="9" t="str">
        <f t="shared" si="12"/>
        <v>4041</v>
      </c>
      <c r="V64" s="31">
        <f t="shared" si="13"/>
        <v>42915.893553240741</v>
      </c>
      <c r="W64" s="45" t="str">
        <f t="shared" si="14"/>
        <v>Other</v>
      </c>
      <c r="X64" s="22">
        <f t="shared" si="15"/>
        <v>904</v>
      </c>
      <c r="Y64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{"issue":{"subject":"","project_id":79,"tracker_id":40,"status_id":1,"priority_id":2,"assigned_to_id":23,"start_date":"2017-06-29","description":"","custom_fields":[{"id":1,"name":"Subdivision","value":"Other"},{"id":4,"name":"Milepost","value":"0.0575"},{"id":17,"name":"Train ID","value":"904-29"},{"id":16,"name":"Locomotive ID","value":"4041"},{"id":130,"name":"Impact","value":""},{"id":150,"name":"Time of Event (Mountain Time)","value":"15:26:43"},{"id":151,"name":"Denver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/c/Users/stu/AppData/Local/Temp/OnboardLogs/RTDC4041 --include="*4041*201706292*"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64" s="145" t="str">
        <f t="shared" si="9"/>
        <v>start /low /b %USERPROFILE%\Documents\GitHub\eaglep3\Utilities\DownloadLogsFromS3.py --loco 4041 --day 2017-06-29</v>
      </c>
      <c r="AF64" s="1"/>
    </row>
    <row r="65" spans="1:32" x14ac:dyDescent="0.25">
      <c r="A65" s="31">
        <v>42915.208541666667</v>
      </c>
      <c r="B65" s="30" t="s">
        <v>355</v>
      </c>
      <c r="C65" s="30" t="s">
        <v>571</v>
      </c>
      <c r="D65" s="30" t="s">
        <v>96</v>
      </c>
      <c r="E65" s="30" t="s">
        <v>181</v>
      </c>
      <c r="F65" s="42">
        <v>0</v>
      </c>
      <c r="G65" s="42">
        <v>6</v>
      </c>
      <c r="H65" s="42">
        <v>59048</v>
      </c>
      <c r="I65" s="42">
        <v>0</v>
      </c>
      <c r="J65" s="30" t="s">
        <v>182</v>
      </c>
      <c r="K65" s="42">
        <v>59048</v>
      </c>
      <c r="L65" s="131" t="s">
        <v>50</v>
      </c>
      <c r="M65" s="132">
        <f t="shared" si="10"/>
        <v>31177.344000000001</v>
      </c>
      <c r="N65" s="133" t="str">
        <f>VLOOKUP(C65,'Trips&amp;Operators'!$C$1:$G$99999,5,FALSE)</f>
        <v>DAVIS WENDY</v>
      </c>
      <c r="O65" s="203" t="s">
        <v>180</v>
      </c>
      <c r="P65" s="134"/>
      <c r="Q65" s="30"/>
      <c r="R65" s="81" t="str">
        <f>VLOOKUP(C65,'Train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65" s="84" t="str">
        <f>VLOOKUP(C65,'Train Runs'!$A$13:$AE$9928,22,0)</f>
        <v>https://d0f6bd738d7f1b3e5a7ca70fe4ff75f0.us-east-1.aws.found.io/app/kibana#/discover/Steve-Slow-Train-Analysis-(2080s-and-2083s)?_g=(refreshInterval:(display:Off,pause:!f,section:0,value:0),time:(from:'2017-06-29T03:44:24-0600',mode:absolute,to:'2017-06-29T05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65" s="86" t="str">
        <f t="shared" si="11"/>
        <v>"C:\Program Files (x86)\AstroGrep\AstroGrep.exe" /e /r /s /spath="%USERPROFILE%\AppData\Local\Temp\OnboardLogs" /stypes="*4042*201706291*" /stext=" 11:.+((SYSTEM_STATE.+slice.+state.+changed )|(ment ac)|(multiple cpu faults)|(system.+state.+changed )|(\[timeout)|(PRM\|1\|D)|(kpr)|(kdp)|(train st.+moving)|(\|lc)|(penalty))"</v>
      </c>
      <c r="U65" s="9" t="str">
        <f t="shared" si="12"/>
        <v>4042</v>
      </c>
      <c r="V65" s="31">
        <f t="shared" si="13"/>
        <v>42915.458541666667</v>
      </c>
      <c r="W65" s="45" t="str">
        <f t="shared" si="14"/>
        <v>Other</v>
      </c>
      <c r="X65" s="22">
        <f t="shared" si="15"/>
        <v>901</v>
      </c>
      <c r="Y65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{"issue":{"subject":"","project_id":79,"tracker_id":40,"status_id":1,"priority_id":2,"assigned_to_id":23,"start_date":"2017-06-29","description":"","custom_fields":[{"id":1,"name":"Subdivision","value":"Other"},{"id":4,"name":"Milepost","value":"5.9048"},{"id":17,"name":"Train ID","value":"901-29"},{"id":16,"name":"Locomotive ID","value":"4042"},{"id":130,"name":"Impact","value":""},{"id":150,"name":"Time of Event (Mountain Time)","value":"05:00:18"},{"id":151,"name":"Denver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/c/Users/stu/AppData/Local/Temp/OnboardLogs/RTDC4042 --include="*4042*201706291*"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65" s="145" t="str">
        <f t="shared" si="9"/>
        <v>start /low /b %USERPROFILE%\Documents\GitHub\eaglep3\Utilities\DownloadLogsFromS3.py --loco 4042 --day 2017-06-29</v>
      </c>
      <c r="AF65" s="1"/>
    </row>
    <row r="66" spans="1:32" x14ac:dyDescent="0.25">
      <c r="A66" s="31">
        <v>42915.746608796297</v>
      </c>
      <c r="B66" s="30" t="s">
        <v>366</v>
      </c>
      <c r="C66" s="30" t="s">
        <v>612</v>
      </c>
      <c r="D66" s="30" t="s">
        <v>49</v>
      </c>
      <c r="E66" s="30" t="s">
        <v>187</v>
      </c>
      <c r="F66" s="42">
        <v>70</v>
      </c>
      <c r="G66" s="42">
        <v>275</v>
      </c>
      <c r="H66" s="42">
        <v>11718</v>
      </c>
      <c r="I66" s="42">
        <v>11226</v>
      </c>
      <c r="J66" s="30" t="s">
        <v>188</v>
      </c>
      <c r="K66" s="42">
        <v>10988</v>
      </c>
      <c r="L66" s="131" t="s">
        <v>51</v>
      </c>
      <c r="M66" s="132">
        <f t="shared" si="10"/>
        <v>125.664</v>
      </c>
      <c r="N66" s="133" t="str">
        <f>VLOOKUP(C66,'Trips&amp;Operators'!$C$1:$G$99999,5,FALSE)</f>
        <v>BIRENBAUM THOMAS</v>
      </c>
      <c r="O66" s="203" t="s">
        <v>180</v>
      </c>
      <c r="P66" s="134"/>
      <c r="Q66" s="30"/>
      <c r="R66" s="81" t="str">
        <f>VLOOKUP(C66,'Train Runs'!$A$13:$AE$9928,31,0)</f>
        <v>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 &amp; 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</v>
      </c>
      <c r="S66" s="84" t="str">
        <f>VLOOKUP(C66,'Train Runs'!$A$13:$AE$9928,22,0)</f>
        <v>https://d0f6bd738d7f1b3e5a7ca70fe4ff75f0.us-east-1.aws.found.io/app/kibana#/discover/Steve-Slow-Train-Analysis-(2080s-and-2083s)?_g=(refreshInterval:(display:Off,pause:!f,section:0,value:0),time:(from:'2017-06-29T16:47:42-0600',mode:absolute,to:'2017-06-29T18:59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6" s="86" t="str">
        <f t="shared" si="11"/>
        <v>"C:\Program Files (x86)\AstroGrep\AstroGrep.exe" /e /r /s /spath="%USERPROFILE%\AppData\Local\Temp\OnboardLogs" /stypes="*4013*201706292*" /stext=" 23:.+((SYSTEM_STATE.+slice.+state.+changed )|(ment ac)|(multiple cpu faults)|(system.+state.+changed )|(\[timeout)|(PRM\|1\|D)|(kpr)|(kdp)|(train st.+moving)|(\|lc)|(penalty))"</v>
      </c>
      <c r="U66" s="9" t="str">
        <f t="shared" si="12"/>
        <v>4013</v>
      </c>
      <c r="V66" s="31">
        <f t="shared" si="13"/>
        <v>42915.996608796297</v>
      </c>
      <c r="W66" s="45" t="str">
        <f t="shared" si="14"/>
        <v>Shuttle/Test</v>
      </c>
      <c r="X66" s="22">
        <f t="shared" si="15"/>
        <v>78</v>
      </c>
      <c r="Y66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1.0988"},{"id":17,"name":"Train ID","value":"78-29"},{"id":16,"name":"Locomotive ID","value":"4013"},{"id":130,"name":"Impact","value":""},{"id":150,"name":"Time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/c/Users/stu/AppData/Local/Temp/OnboardLogs/RTDC4013 --include="*4013*201706292*"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"%USERPROFILE%\AppData\Local\Temp\OnboardLogs"\RTDC4013\*4013*201706292* &gt;&gt; 2017-06-29-SliceDisagreementCheck.txt</v>
      </c>
      <c r="AE66" s="145" t="str">
        <f t="shared" si="9"/>
        <v>start /low /b %USERPROFILE%\Documents\GitHub\eaglep3\Utilities\DownloadLogsFromS3.py --loco 4013 --day 2017-06-29</v>
      </c>
      <c r="AF66" s="1"/>
    </row>
    <row r="67" spans="1:32" x14ac:dyDescent="0.25">
      <c r="A67" s="31">
        <v>42915.627500000002</v>
      </c>
      <c r="B67" s="30" t="s">
        <v>437</v>
      </c>
      <c r="C67" s="30" t="s">
        <v>593</v>
      </c>
      <c r="D67" s="30" t="s">
        <v>49</v>
      </c>
      <c r="E67" s="30" t="s">
        <v>187</v>
      </c>
      <c r="F67" s="42">
        <v>60</v>
      </c>
      <c r="G67" s="42">
        <v>235</v>
      </c>
      <c r="H67" s="42">
        <v>81595</v>
      </c>
      <c r="I67" s="42">
        <v>81040</v>
      </c>
      <c r="J67" s="30" t="s">
        <v>188</v>
      </c>
      <c r="K67" s="42">
        <v>80485</v>
      </c>
      <c r="L67" s="131" t="s">
        <v>51</v>
      </c>
      <c r="M67" s="132">
        <f t="shared" si="10"/>
        <v>293.04000000000002</v>
      </c>
      <c r="N67" s="133" t="str">
        <f>VLOOKUP(C67,'Trips&amp;Operators'!$C$1:$G$99999,5,FALSE)</f>
        <v>LOPES KIMBERLY</v>
      </c>
      <c r="O67" s="203" t="s">
        <v>180</v>
      </c>
      <c r="P67" s="134"/>
      <c r="Q67" s="30"/>
      <c r="R67" s="81" t="str">
        <f>VLOOKUP(C67,'Train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7" s="84" t="str">
        <f>VLOOKUP(C67,'Train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7" s="86" t="str">
        <f t="shared" si="11"/>
        <v>"C:\Program Files (x86)\AstroGrep\AstroGrep.exe" /e /r /s /spath="%USERPROFILE%\AppData\Local\Temp\OnboardLogs" /stypes="*4045*201706292*" /stext=" 21:.+((SYSTEM_STATE.+slice.+state.+changed )|(ment ac)|(multiple cpu faults)|(system.+state.+changed )|(\[timeout)|(PRM\|1\|D)|(kpr)|(kdp)|(train st.+moving)|(\|lc)|(penalty))"</v>
      </c>
      <c r="U67" s="9" t="str">
        <f t="shared" si="12"/>
        <v>4045</v>
      </c>
      <c r="V67" s="31">
        <f t="shared" si="13"/>
        <v>42915.877500000002</v>
      </c>
      <c r="W67" s="45" t="str">
        <f t="shared" si="14"/>
        <v>Shuttle/Test</v>
      </c>
      <c r="X67" s="22">
        <f t="shared" si="15"/>
        <v>57</v>
      </c>
      <c r="Y67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8.0485"},{"id":17,"name":"Train ID","value":"57-29"},{"id":16,"name":"Locomotive ID","value":"4045"},{"id":130,"name":"Impact","value":""},{"id":150,"name":"Time of Event (Mountain Time)","value":"15:03:36"},{"id":151,"name":"Denver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/c/Users/stu/AppData/Local/Temp/OnboardLogs/RTDC4045 --include="*4045*201706292*"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7" s="145" t="str">
        <f t="shared" si="9"/>
        <v>start /low /b %USERPROFILE%\Documents\GitHub\eaglep3\Utilities\DownloadLogsFromS3.py --loco 4045 --day 2017-06-29</v>
      </c>
      <c r="AF67" s="1"/>
    </row>
    <row r="68" spans="1:32" x14ac:dyDescent="0.25">
      <c r="A68" s="31">
        <v>42915.623611111114</v>
      </c>
      <c r="B68" s="30" t="s">
        <v>437</v>
      </c>
      <c r="C68" s="30" t="s">
        <v>593</v>
      </c>
      <c r="D68" s="30" t="s">
        <v>96</v>
      </c>
      <c r="E68" s="30" t="s">
        <v>187</v>
      </c>
      <c r="F68" s="42">
        <v>180</v>
      </c>
      <c r="G68" s="42">
        <v>245</v>
      </c>
      <c r="H68" s="42">
        <v>108881</v>
      </c>
      <c r="I68" s="42">
        <v>108132</v>
      </c>
      <c r="J68" s="30" t="s">
        <v>188</v>
      </c>
      <c r="K68" s="42">
        <v>109120</v>
      </c>
      <c r="L68" s="131" t="s">
        <v>51</v>
      </c>
      <c r="M68" s="132">
        <f t="shared" si="10"/>
        <v>-521.66399999999999</v>
      </c>
      <c r="N68" s="133" t="str">
        <f>VLOOKUP(C68,'Trips&amp;Operators'!$C$1:$G$99999,5,FALSE)</f>
        <v>LOPES KIMBERLY</v>
      </c>
      <c r="O68" s="203" t="s">
        <v>180</v>
      </c>
      <c r="P68" s="134"/>
      <c r="Q68" s="30"/>
      <c r="R68" s="81" t="str">
        <f>VLOOKUP(C68,'Train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8" s="84" t="str">
        <f>VLOOKUP(C68,'Train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8" s="86" t="str">
        <f t="shared" si="11"/>
        <v>"C:\Program Files (x86)\AstroGrep\AstroGrep.exe" /e /r /s /spath="%USERPROFILE%\AppData\Local\Temp\OnboardLogs" /stypes="*4045*201706292*" /stext=" 20:.+((SYSTEM_STATE.+slice.+state.+changed )|(ment ac)|(multiple cpu faults)|(system.+state.+changed )|(\[timeout)|(PRM\|1\|D)|(kpr)|(kdp)|(train st.+moving)|(\|lc)|(penalty))"</v>
      </c>
      <c r="U68" s="9" t="str">
        <f t="shared" si="12"/>
        <v>4045</v>
      </c>
      <c r="V68" s="31">
        <f t="shared" si="13"/>
        <v>42915.873611111114</v>
      </c>
      <c r="W68" s="45" t="str">
        <f t="shared" si="14"/>
        <v>Shuttle/Test</v>
      </c>
      <c r="X68" s="22">
        <f t="shared" si="15"/>
        <v>57</v>
      </c>
      <c r="Y68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10.912"},{"id":17,"name":"Train ID","value":"57-29"},{"id":16,"name":"Locomotive ID","value":"4045"},{"id":130,"name":"Impact","value":""},{"id":150,"name":"Time of Event (Mountain Time)","value":"14:58:00"},{"id":151,"name":"Denver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/c/Users/stu/AppData/Local/Temp/OnboardLogs/RTDC4045 --include="*4045*201706292*"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8" s="145" t="str">
        <f t="shared" si="9"/>
        <v>start /low /b %USERPROFILE%\Documents\GitHub\eaglep3\Utilities\DownloadLogsFromS3.py --loco 4045 --day 2017-06-29</v>
      </c>
      <c r="AF68" s="1"/>
    </row>
    <row r="69" spans="1:32" x14ac:dyDescent="0.25">
      <c r="A69" s="31">
        <v>42915.649699074071</v>
      </c>
      <c r="B69" s="30" t="s">
        <v>437</v>
      </c>
      <c r="C69" s="30" t="s">
        <v>593</v>
      </c>
      <c r="D69" s="30" t="s">
        <v>96</v>
      </c>
      <c r="E69" s="30" t="s">
        <v>187</v>
      </c>
      <c r="F69" s="42">
        <v>190</v>
      </c>
      <c r="G69" s="42">
        <v>257</v>
      </c>
      <c r="H69" s="42">
        <v>108834</v>
      </c>
      <c r="I69" s="42">
        <v>108069</v>
      </c>
      <c r="J69" s="30" t="s">
        <v>188</v>
      </c>
      <c r="K69" s="42">
        <v>109120</v>
      </c>
      <c r="L69" s="131" t="s">
        <v>51</v>
      </c>
      <c r="M69" s="132">
        <f t="shared" si="10"/>
        <v>-554.928</v>
      </c>
      <c r="N69" s="133" t="str">
        <f>VLOOKUP(C69,'Trips&amp;Operators'!$C$1:$G$99999,5,FALSE)</f>
        <v>LOPES KIMBERLY</v>
      </c>
      <c r="O69" s="203" t="s">
        <v>180</v>
      </c>
      <c r="P69" s="134"/>
      <c r="Q69" s="30"/>
      <c r="R69" s="81" t="str">
        <f>VLOOKUP(C69,'Train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9" s="84" t="str">
        <f>VLOOKUP(C69,'Train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9" s="86" t="str">
        <f t="shared" si="11"/>
        <v>"C:\Program Files (x86)\AstroGrep\AstroGrep.exe" /e /r /s /spath="%USERPROFILE%\AppData\Local\Temp\OnboardLogs" /stypes="*4045*201706292*" /stext=" 21:.+((SYSTEM_STATE.+slice.+state.+changed )|(ment ac)|(multiple cpu faults)|(system.+state.+changed )|(\[timeout)|(PRM\|1\|D)|(kpr)|(kdp)|(train st.+moving)|(\|lc)|(penalty))"</v>
      </c>
      <c r="U69" s="9" t="str">
        <f t="shared" si="12"/>
        <v>4045</v>
      </c>
      <c r="V69" s="31">
        <f t="shared" si="13"/>
        <v>42915.899699074071</v>
      </c>
      <c r="W69" s="45" t="str">
        <f t="shared" si="14"/>
        <v>Shuttle/Test</v>
      </c>
      <c r="X69" s="22">
        <f t="shared" si="15"/>
        <v>57</v>
      </c>
      <c r="Y69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10.912"},{"id":17,"name":"Train ID","value":"57-29"},{"id":16,"name":"Locomotive ID","value":"4045"},{"id":130,"name":"Impact","value":""},{"id":150,"name":"Time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/c/Users/stu/AppData/Local/Temp/OnboardLogs/RTDC4045 --include="*4045*201706292*"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9" s="145" t="str">
        <f t="shared" si="9"/>
        <v>start /low /b %USERPROFILE%\Documents\GitHub\eaglep3\Utilities\DownloadLogsFromS3.py --loco 4045 --day 2017-06-29</v>
      </c>
      <c r="AF69" s="1"/>
    </row>
    <row r="70" spans="1:32" x14ac:dyDescent="0.25">
      <c r="A70" s="31">
        <v>42915.460138888891</v>
      </c>
      <c r="B70" s="30" t="s">
        <v>586</v>
      </c>
      <c r="C70" s="30" t="s">
        <v>587</v>
      </c>
      <c r="D70" s="30" t="s">
        <v>49</v>
      </c>
      <c r="E70" s="30" t="s">
        <v>181</v>
      </c>
      <c r="F70" s="42">
        <v>0</v>
      </c>
      <c r="G70" s="42">
        <v>51</v>
      </c>
      <c r="H70" s="42">
        <v>1017</v>
      </c>
      <c r="I70" s="42">
        <v>969</v>
      </c>
      <c r="J70" s="30" t="s">
        <v>182</v>
      </c>
      <c r="K70" s="42">
        <v>826</v>
      </c>
      <c r="L70" s="131" t="s">
        <v>51</v>
      </c>
      <c r="M70" s="132">
        <f t="shared" si="10"/>
        <v>75.504000000000005</v>
      </c>
      <c r="N70" s="133" t="str">
        <f>VLOOKUP(C70,'Trips&amp;Operators'!$C$1:$G$99999,5,FALSE)</f>
        <v>MOSES BRADLEY</v>
      </c>
      <c r="O70" s="203" t="s">
        <v>180</v>
      </c>
      <c r="P70" s="134"/>
      <c r="Q70" s="30"/>
      <c r="R70" s="81" t="str">
        <f>VLOOKUP(C70,'Train Runs'!$A$13:$AE$9928,31,0)</f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S70" s="84" t="str">
        <f>VLOOKUP(C70,'Train Runs'!$A$13:$AE$9928,22,0)</f>
        <v>https://d0f6bd738d7f1b3e5a7ca70fe4ff75f0.us-east-1.aws.found.io/app/kibana#/discover/Steve-Slow-Train-Analysis-(2080s-and-2083s)?_g=(refreshInterval:(display:Off,pause:!f,section:0,value:0),time:(from:'2017-06-29T09:45:10-0600',mode:absolute,to:'2017-06-29T12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70" s="86" t="str">
        <f t="shared" si="11"/>
        <v>"C:\Program Files (x86)\AstroGrep\AstroGrep.exe" /e /r /s /spath="%USERPROFILE%\AppData\Local\Temp\OnboardLogs" /stypes="*4023*201706291*" /stext=" 17:.+((SYSTEM_STATE.+slice.+state.+changed )|(ment ac)|(multiple cpu faults)|(system.+state.+changed )|(\[timeout)|(PRM\|1\|D)|(kpr)|(kdp)|(train st.+moving)|(\|lc)|(penalty))"</v>
      </c>
      <c r="U70" s="9" t="str">
        <f t="shared" si="12"/>
        <v>4023</v>
      </c>
      <c r="V70" s="31">
        <f t="shared" si="13"/>
        <v>42915.710138888891</v>
      </c>
      <c r="W70" s="45" t="str">
        <f t="shared" si="14"/>
        <v>Shuttle/Test</v>
      </c>
      <c r="X70" s="22">
        <f t="shared" si="15"/>
        <v>54</v>
      </c>
      <c r="Y70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0.0826"},{"id":17,"name":"Train ID","value":"54-29"},{"id":16,"name":"Locomotive ID","value":"4023"},{"id":130,"name":"Impact","value":""},{"id":150,"name":"Time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/c/Users/stu/AppData/Local/Temp/OnboardLogs/RTDC4023 --include="*4023*201706291*"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"%USERPROFILE%\AppData\Local\Temp\OnboardLogs"\RTDC4023\*4023*201706291* &gt;&gt; 2017-06-29-SliceDisagreementCheck.txt</v>
      </c>
      <c r="AE70" s="145" t="str">
        <f t="shared" si="9"/>
        <v>start /low /b %USERPROFILE%\Documents\GitHub\eaglep3\Utilities\DownloadLogsFromS3.py --loco 4023 --day 2017-06-29</v>
      </c>
      <c r="AF70" s="1"/>
    </row>
    <row r="71" spans="1:32" x14ac:dyDescent="0.25">
      <c r="A71" s="31">
        <v>42915.588125000002</v>
      </c>
      <c r="B71" s="30" t="s">
        <v>436</v>
      </c>
      <c r="C71" s="30" t="s">
        <v>593</v>
      </c>
      <c r="D71" s="30" t="s">
        <v>49</v>
      </c>
      <c r="E71" s="30" t="s">
        <v>181</v>
      </c>
      <c r="F71" s="42">
        <v>0</v>
      </c>
      <c r="G71" s="42">
        <v>24</v>
      </c>
      <c r="H71" s="42">
        <v>112509</v>
      </c>
      <c r="I71" s="42">
        <v>112532</v>
      </c>
      <c r="J71" s="30" t="s">
        <v>182</v>
      </c>
      <c r="K71" s="42">
        <v>112547</v>
      </c>
      <c r="L71" s="131" t="s">
        <v>50</v>
      </c>
      <c r="M71" s="132">
        <f t="shared" ref="M71:M76" si="18">CONVERT((I71-K71)/10000,"mi","ft")*IF(L71="Increasing Mileposts (1)",-1,1)</f>
        <v>7.92</v>
      </c>
      <c r="N71" s="133" t="str">
        <f>VLOOKUP(C71,'Trips&amp;Operators'!$C$1:$G$99999,5,FALSE)</f>
        <v>LOPES KIMBERLY</v>
      </c>
      <c r="O71" s="203" t="s">
        <v>180</v>
      </c>
      <c r="P71" s="134"/>
      <c r="Q71" s="30"/>
      <c r="R71" s="81" t="str">
        <f>VLOOKUP(C71,'Train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1" s="84" t="str">
        <f>VLOOKUP(C71,'Train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1" s="86" t="str">
        <f t="shared" ref="T71:T76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1" s="9" t="str">
        <f t="shared" ref="U71:U76" si="20">MID(B71,13,4)</f>
        <v>4046</v>
      </c>
      <c r="V71" s="31">
        <f t="shared" ref="V71:V76" si="21">A71-utc_offset/24</f>
        <v>42915.838125000002</v>
      </c>
      <c r="W71" s="45" t="str">
        <f t="shared" ref="W71:W76" si="22">DetSubdiv(C71)</f>
        <v>Shuttle/Test</v>
      </c>
      <c r="X71" s="22">
        <f t="shared" ref="X71:X76" si="23">VALUE(LEFT(C71,LEN(C71)-3))</f>
        <v>57</v>
      </c>
      <c r="Y71" s="96" t="str">
        <f t="shared" ref="Y71:Y76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Time)","value":"14:06:54"},{"id":151,"name":"Denver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ref="AC71:AC76" si="25">"grep -hrE -A400 ""Enforcement Action"" "&amp;"/c/Users/stu/AppData/Local/Temp/OnboardLogs"&amp;"/RTDC"&amp;U71&amp;"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/c/Users/stu/AppData/Local/Temp/OnboardLogs/RTDC4046 --include="*4046*201706292*"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1" s="145" t="str">
        <f t="shared" ref="AE71:AE76" si="26">"start /low /b "&amp;dls3logs&amp;" --loco "&amp;U71&amp;" --day "&amp;TEXT(V71,"YYYY-MM-DD")</f>
        <v>start /low /b %USERPROFILE%\Documents\GitHub\eaglep3\Utilities\DownloadLogsFromS3.py --loco 4046 --day 2017-06-29</v>
      </c>
      <c r="AF71" s="1"/>
    </row>
    <row r="72" spans="1:32" x14ac:dyDescent="0.25">
      <c r="A72" s="31">
        <v>42915.588553240741</v>
      </c>
      <c r="B72" s="30" t="s">
        <v>436</v>
      </c>
      <c r="C72" s="30" t="s">
        <v>593</v>
      </c>
      <c r="D72" s="30" t="s">
        <v>96</v>
      </c>
      <c r="E72" s="30" t="s">
        <v>181</v>
      </c>
      <c r="F72" s="42">
        <v>0</v>
      </c>
      <c r="G72" s="42">
        <v>3</v>
      </c>
      <c r="H72" s="42">
        <v>112547</v>
      </c>
      <c r="I72" s="42">
        <v>112547</v>
      </c>
      <c r="J72" s="30" t="s">
        <v>182</v>
      </c>
      <c r="K72" s="42">
        <v>112547</v>
      </c>
      <c r="L72" s="131" t="s">
        <v>50</v>
      </c>
      <c r="M72" s="132">
        <f t="shared" si="18"/>
        <v>0</v>
      </c>
      <c r="N72" s="133" t="str">
        <f>VLOOKUP(C72,'Trips&amp;Operators'!$C$1:$G$99999,5,FALSE)</f>
        <v>LOPES KIMBERLY</v>
      </c>
      <c r="O72" s="203" t="s">
        <v>180</v>
      </c>
      <c r="P72" s="134"/>
      <c r="Q72" s="30"/>
      <c r="R72" s="81" t="str">
        <f>VLOOKUP(C72,'Train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2" s="84" t="str">
        <f>VLOOKUP(C72,'Train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2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2" s="9" t="str">
        <f t="shared" si="20"/>
        <v>4046</v>
      </c>
      <c r="V72" s="31">
        <f t="shared" si="21"/>
        <v>42915.838553240741</v>
      </c>
      <c r="W72" s="45" t="str">
        <f t="shared" si="22"/>
        <v>Shuttle/Test</v>
      </c>
      <c r="X72" s="22">
        <f t="shared" si="23"/>
        <v>57</v>
      </c>
      <c r="Y72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Time)","value":"14:07:31"},{"id":151,"name":"Denver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25"/>
        <v>grep -hrE -A400 "Enforcement Action" /c/Users/stu/AppData/Local/Temp/OnboardLogs/RTDC4046 --include="*4046*201706292*"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2" s="145" t="str">
        <f t="shared" si="26"/>
        <v>start /low /b %USERPROFILE%\Documents\GitHub\eaglep3\Utilities\DownloadLogsFromS3.py --loco 4046 --day 2017-06-29</v>
      </c>
      <c r="AF72" s="1"/>
    </row>
    <row r="73" spans="1:32" x14ac:dyDescent="0.25">
      <c r="A73" s="31">
        <v>42915.644004629627</v>
      </c>
      <c r="B73" s="30" t="s">
        <v>436</v>
      </c>
      <c r="C73" s="30" t="s">
        <v>593</v>
      </c>
      <c r="D73" s="30" t="s">
        <v>96</v>
      </c>
      <c r="E73" s="30" t="s">
        <v>181</v>
      </c>
      <c r="F73" s="42">
        <v>0</v>
      </c>
      <c r="G73" s="42">
        <v>7</v>
      </c>
      <c r="H73" s="42">
        <v>112547</v>
      </c>
      <c r="I73" s="42">
        <v>0</v>
      </c>
      <c r="J73" s="30" t="s">
        <v>182</v>
      </c>
      <c r="K73" s="42">
        <v>112547</v>
      </c>
      <c r="L73" s="131" t="s">
        <v>50</v>
      </c>
      <c r="M73" s="132">
        <f t="shared" si="18"/>
        <v>59424.815999999999</v>
      </c>
      <c r="N73" s="133" t="str">
        <f>VLOOKUP(C73,'Trips&amp;Operators'!$C$1:$G$99999,5,FALSE)</f>
        <v>LOPES KIMBERLY</v>
      </c>
      <c r="O73" s="203" t="s">
        <v>180</v>
      </c>
      <c r="P73" s="134"/>
      <c r="Q73" s="30"/>
      <c r="R73" s="81" t="str">
        <f>VLOOKUP(C73,'Train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3" s="84" t="str">
        <f>VLOOKUP(C73,'Train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3" s="86" t="str">
        <f t="shared" si="19"/>
        <v>"C:\Program Files (x86)\AstroGrep\AstroGrep.exe" /e /r /s /spath="%USERPROFILE%\AppData\Local\Temp\OnboardLogs" /stypes="*4046*201706292*" /stext=" 21:.+((SYSTEM_STATE.+slice.+state.+changed )|(ment ac)|(multiple cpu faults)|(system.+state.+changed )|(\[timeout)|(PRM\|1\|D)|(kpr)|(kdp)|(train st.+moving)|(\|lc)|(penalty))"</v>
      </c>
      <c r="U73" s="9" t="str">
        <f t="shared" si="20"/>
        <v>4046</v>
      </c>
      <c r="V73" s="31">
        <f t="shared" si="21"/>
        <v>42915.894004629627</v>
      </c>
      <c r="W73" s="45" t="str">
        <f t="shared" si="22"/>
        <v>Shuttle/Test</v>
      </c>
      <c r="X73" s="22">
        <f t="shared" si="23"/>
        <v>57</v>
      </c>
      <c r="Y73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Time)","value":"15:27:22"},{"id":151,"name":"Denver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59"/>
      <c r="AA73" s="47"/>
      <c r="AB73" s="47"/>
      <c r="AC73" s="115" t="str">
        <f t="shared" si="25"/>
        <v>grep -hrE -A400 "Enforcement Action" /c/Users/stu/AppData/Local/Temp/OnboardLogs/RTDC4046 --include="*4046*201706292*"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3" s="145" t="str">
        <f t="shared" si="26"/>
        <v>start /low /b %USERPROFILE%\Documents\GitHub\eaglep3\Utilities\DownloadLogsFromS3.py --loco 4046 --day 2017-06-29</v>
      </c>
      <c r="AF73" s="1"/>
    </row>
    <row r="74" spans="1:32" x14ac:dyDescent="0.25">
      <c r="A74" s="31">
        <v>42915.66746527778</v>
      </c>
      <c r="B74" s="30" t="s">
        <v>436</v>
      </c>
      <c r="C74" s="30" t="s">
        <v>593</v>
      </c>
      <c r="D74" s="30" t="s">
        <v>96</v>
      </c>
      <c r="E74" s="30" t="s">
        <v>181</v>
      </c>
      <c r="F74" s="42">
        <v>0</v>
      </c>
      <c r="G74" s="42">
        <v>7</v>
      </c>
      <c r="H74" s="42">
        <v>112547</v>
      </c>
      <c r="I74" s="42">
        <v>0</v>
      </c>
      <c r="J74" s="30" t="s">
        <v>182</v>
      </c>
      <c r="K74" s="42">
        <v>112547</v>
      </c>
      <c r="L74" s="131" t="s">
        <v>50</v>
      </c>
      <c r="M74" s="132">
        <f t="shared" si="18"/>
        <v>59424.815999999999</v>
      </c>
      <c r="N74" s="133" t="str">
        <f>VLOOKUP(C74,'Trips&amp;Operators'!$C$1:$G$99999,5,FALSE)</f>
        <v>LOPES KIMBERLY</v>
      </c>
      <c r="O74" s="203" t="s">
        <v>180</v>
      </c>
      <c r="P74" s="134"/>
      <c r="Q74" s="30"/>
      <c r="R74" s="81" t="str">
        <f>VLOOKUP(C74,'Train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4" s="84" t="str">
        <f>VLOOKUP(C74,'Train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4" s="86" t="str">
        <f t="shared" si="19"/>
        <v>"C:\Program Files (x86)\AstroGrep\AstroGrep.exe" /e /r /s /spath="%USERPROFILE%\AppData\Local\Temp\OnboardLogs" /stypes="*4046*201706292*" /stext=" 22:.+((SYSTEM_STATE.+slice.+state.+changed )|(ment ac)|(multiple cpu faults)|(system.+state.+changed )|(\[timeout)|(PRM\|1\|D)|(kpr)|(kdp)|(train st.+moving)|(\|lc)|(penalty))"</v>
      </c>
      <c r="U74" s="9" t="str">
        <f t="shared" si="20"/>
        <v>4046</v>
      </c>
      <c r="V74" s="31">
        <f t="shared" si="21"/>
        <v>42915.91746527778</v>
      </c>
      <c r="W74" s="45" t="str">
        <f t="shared" si="22"/>
        <v>Shuttle/Test</v>
      </c>
      <c r="X74" s="22">
        <f t="shared" si="23"/>
        <v>57</v>
      </c>
      <c r="Y74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Time)","value":"16:01:09"},{"id":151,"name":"Denver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59"/>
      <c r="AA74" s="47"/>
      <c r="AB74" s="47"/>
      <c r="AC74" s="115" t="str">
        <f t="shared" si="25"/>
        <v>grep -hrE -A400 "Enforcement Action" /c/Users/stu/AppData/Local/Temp/OnboardLogs/RTDC4046 --include="*4046*201706292*"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4" s="145" t="str">
        <f t="shared" si="26"/>
        <v>start /low /b %USERPROFILE%\Documents\GitHub\eaglep3\Utilities\DownloadLogsFromS3.py --loco 4046 --day 2017-06-29</v>
      </c>
      <c r="AF74" s="1"/>
    </row>
    <row r="75" spans="1:32" x14ac:dyDescent="0.25">
      <c r="A75" s="31">
        <v>42915.616759259261</v>
      </c>
      <c r="B75" s="30" t="s">
        <v>436</v>
      </c>
      <c r="C75" s="30" t="s">
        <v>593</v>
      </c>
      <c r="D75" s="30" t="s">
        <v>49</v>
      </c>
      <c r="E75" s="30" t="s">
        <v>181</v>
      </c>
      <c r="F75" s="42">
        <v>0</v>
      </c>
      <c r="G75" s="42">
        <v>13</v>
      </c>
      <c r="H75" s="42">
        <v>112587</v>
      </c>
      <c r="I75" s="42">
        <v>112589</v>
      </c>
      <c r="J75" s="30" t="s">
        <v>182</v>
      </c>
      <c r="K75" s="42">
        <v>112612</v>
      </c>
      <c r="L75" s="131" t="s">
        <v>50</v>
      </c>
      <c r="M75" s="132">
        <f t="shared" si="18"/>
        <v>12.144</v>
      </c>
      <c r="N75" s="133" t="str">
        <f>VLOOKUP(C75,'Trips&amp;Operators'!$C$1:$G$99999,5,FALSE)</f>
        <v>LOPES KIMBERLY</v>
      </c>
      <c r="O75" s="203" t="s">
        <v>180</v>
      </c>
      <c r="P75" s="134"/>
      <c r="Q75" s="30"/>
      <c r="R75" s="81" t="str">
        <f>VLOOKUP(C75,'Train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5" s="84" t="str">
        <f>VLOOKUP(C75,'Train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5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5" s="9" t="str">
        <f t="shared" si="20"/>
        <v>4046</v>
      </c>
      <c r="V75" s="31">
        <f t="shared" si="21"/>
        <v>42915.866759259261</v>
      </c>
      <c r="W75" s="45" t="str">
        <f t="shared" si="22"/>
        <v>Shuttle/Test</v>
      </c>
      <c r="X75" s="22">
        <f t="shared" si="23"/>
        <v>57</v>
      </c>
      <c r="Y75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11.2612"},{"id":17,"name":"Train ID","value":"57-29"},{"id":16,"name":"Locomotive ID","value":"4046"},{"id":130,"name":"Impact","value":""},{"id":150,"name":"Time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59"/>
      <c r="AA75" s="47"/>
      <c r="AB75" s="47"/>
      <c r="AC75" s="115" t="str">
        <f t="shared" si="25"/>
        <v>grep -hrE -A400 "Enforcement Action" /c/Users/stu/AppData/Local/Temp/OnboardLogs/RTDC4046 --include="*4046*201706292*"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5" s="145" t="str">
        <f t="shared" si="26"/>
        <v>start /low /b %USERPROFILE%\Documents\GitHub\eaglep3\Utilities\DownloadLogsFromS3.py --loco 4046 --day 2017-06-29</v>
      </c>
      <c r="AF75" s="1"/>
    </row>
    <row r="76" spans="1:32" x14ac:dyDescent="0.25">
      <c r="A76" s="31">
        <v>42915.617222222223</v>
      </c>
      <c r="B76" s="30" t="s">
        <v>436</v>
      </c>
      <c r="C76" s="30" t="s">
        <v>593</v>
      </c>
      <c r="D76" s="30" t="s">
        <v>96</v>
      </c>
      <c r="E76" s="30" t="s">
        <v>181</v>
      </c>
      <c r="F76" s="42">
        <v>0</v>
      </c>
      <c r="G76" s="42">
        <v>4</v>
      </c>
      <c r="H76" s="42">
        <v>112612</v>
      </c>
      <c r="I76" s="42">
        <v>112612</v>
      </c>
      <c r="J76" s="30" t="s">
        <v>182</v>
      </c>
      <c r="K76" s="42">
        <v>112612</v>
      </c>
      <c r="L76" s="131" t="s">
        <v>50</v>
      </c>
      <c r="M76" s="132">
        <f t="shared" si="18"/>
        <v>0</v>
      </c>
      <c r="N76" s="133" t="str">
        <f>VLOOKUP(C76,'Trips&amp;Operators'!$C$1:$G$99999,5,FALSE)</f>
        <v>LOPES KIMBERLY</v>
      </c>
      <c r="O76" s="203" t="s">
        <v>180</v>
      </c>
      <c r="P76" s="134"/>
      <c r="Q76" s="30"/>
      <c r="R76" s="81" t="str">
        <f>VLOOKUP(C76,'Train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6" s="84" t="str">
        <f>VLOOKUP(C76,'Train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6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6" s="9" t="str">
        <f t="shared" si="20"/>
        <v>4046</v>
      </c>
      <c r="V76" s="31">
        <f t="shared" si="21"/>
        <v>42915.867222222223</v>
      </c>
      <c r="W76" s="45" t="str">
        <f t="shared" si="22"/>
        <v>Shuttle/Test</v>
      </c>
      <c r="X76" s="22">
        <f t="shared" si="23"/>
        <v>57</v>
      </c>
      <c r="Y76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11.2612"},{"id":17,"name":"Train ID","value":"57-29"},{"id":16,"name":"Locomotive ID","value":"4046"},{"id":130,"name":"Impact","value":""},{"id":150,"name":"Time of Event (Mountain Time)","value":"14:48:48"},{"id":151,"name":"Denver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59"/>
      <c r="AA76" s="47"/>
      <c r="AB76" s="47"/>
      <c r="AC76" s="115" t="str">
        <f t="shared" si="25"/>
        <v>grep -hrE -A400 "Enforcement Action" /c/Users/stu/AppData/Local/Temp/OnboardLogs/RTDC4046 --include="*4046*201706292*"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6" s="145" t="str">
        <f t="shared" si="26"/>
        <v>start /low /b %USERPROFILE%\Documents\GitHub\eaglep3\Utilities\DownloadLogsFromS3.py --loco 4046 --day 2017-06-29</v>
      </c>
      <c r="AF76" s="1"/>
    </row>
  </sheetData>
  <autoFilter ref="A6:AC73">
    <sortState ref="A7:AC77">
      <sortCondition ref="W7:W77"/>
      <sortCondition ref="E7:E77"/>
      <sortCondition ref="K7:K77"/>
      <sortCondition ref="F7:F7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AA7:AA76</xm:sqref>
        </x14:dataValidation>
        <x14:dataValidation type="list" allowBlank="1" showInputMessage="1" showErrorMessage="1">
          <x14:formula1>
            <xm:f>'Redmine List Values'!$C$2:$C$15</xm:f>
          </x14:formula1>
          <xm:sqref>AB7:AB76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Runs'!$A$13:$A$99925,1,FALSE)</f>
        <v>#N/A</v>
      </c>
    </row>
    <row r="4" spans="1:10" x14ac:dyDescent="0.25">
      <c r="A4" s="195"/>
      <c r="B4" s="42" t="str">
        <f>A4&amp;"-"&amp;IF(DAY(Variables!$A$2)&lt;10,0,"")&amp;DAY(Variables!$A$2)</f>
        <v>-29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Runs'!$A$13:$A$99925,1,FALSE)</f>
        <v>#N/A</v>
      </c>
    </row>
    <row r="5" spans="1:10" x14ac:dyDescent="0.25">
      <c r="A5" s="195"/>
      <c r="B5" s="42" t="str">
        <f>A5&amp;"-"&amp;IF(DAY(Variables!$A$2)&lt;10,0,"")&amp;DAY(Variables!$A$2)</f>
        <v>-29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Runs'!$A$13:$A$99925,1,FALSE)</f>
        <v>#N/A</v>
      </c>
    </row>
    <row r="6" spans="1:10" x14ac:dyDescent="0.25">
      <c r="A6" s="195"/>
      <c r="B6" s="42" t="str">
        <f>A6&amp;"-"&amp;IF(DAY(Variables!$A$2)&lt;10,0,"")&amp;DAY(Variables!$A$2)</f>
        <v>-29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Runs'!$A$13:$A$99925,1,FALSE)</f>
        <v>#N/A</v>
      </c>
    </row>
    <row r="7" spans="1:10" x14ac:dyDescent="0.25">
      <c r="A7" s="195"/>
      <c r="B7" s="42" t="str">
        <f>A7&amp;"-"&amp;IF(DAY(Variables!$A$2)&lt;10,0,"")&amp;DAY(Variables!$A$2)</f>
        <v>-29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Runs'!$A$13:$A$99925,1,FALSE)</f>
        <v>#N/A</v>
      </c>
    </row>
    <row r="8" spans="1:10" x14ac:dyDescent="0.25">
      <c r="A8" s="195"/>
      <c r="B8" s="42" t="str">
        <f>A8&amp;"-"&amp;IF(DAY(Variables!$A$2)&lt;10,0,"")&amp;DAY(Variables!$A$2)</f>
        <v>-29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Runs'!$A$13:$A$99925,1,FALSE)</f>
        <v>#N/A</v>
      </c>
    </row>
    <row r="9" spans="1:10" x14ac:dyDescent="0.25">
      <c r="A9" s="195"/>
      <c r="B9" s="42" t="str">
        <f>A9&amp;"-"&amp;IF(DAY(Variables!$A$2)&lt;10,0,"")&amp;DAY(Variables!$A$2)</f>
        <v>-29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Runs'!$A$13:$A$99925,1,FALSE)</f>
        <v>#N/A</v>
      </c>
    </row>
    <row r="10" spans="1:10" x14ac:dyDescent="0.25">
      <c r="A10" s="195"/>
      <c r="B10" s="42" t="str">
        <f>A10&amp;"-"&amp;IF(DAY(Variables!$A$2)&lt;10,0,"")&amp;DAY(Variables!$A$2)</f>
        <v>-29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Runs'!$A$13:$A$99925,1,FALSE)</f>
        <v>#N/A</v>
      </c>
    </row>
    <row r="11" spans="1:10" x14ac:dyDescent="0.25">
      <c r="A11" s="195"/>
      <c r="B11" s="42" t="str">
        <f>A11&amp;"-"&amp;IF(DAY(Variables!$A$2)&lt;10,0,"")&amp;DAY(Variables!$A$2)</f>
        <v>-29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Runs'!$A$13:$A$99925,1,FALSE)</f>
        <v>#N/A</v>
      </c>
    </row>
    <row r="12" spans="1:10" x14ac:dyDescent="0.25">
      <c r="A12" s="195"/>
      <c r="B12" s="42" t="str">
        <f>A12&amp;"-"&amp;IF(DAY(Variables!$A$2)&lt;10,0,"")&amp;DAY(Variables!$A$2)</f>
        <v>-29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Runs'!$A$13:$A$99925,1,FALSE)</f>
        <v>#N/A</v>
      </c>
    </row>
    <row r="13" spans="1:10" x14ac:dyDescent="0.25">
      <c r="A13" s="195"/>
      <c r="B13" s="42" t="str">
        <f>A13&amp;"-"&amp;IF(DAY(Variables!$A$2)&lt;10,0,"")&amp;DAY(Variables!$A$2)</f>
        <v>-29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Runs'!$A$13:$A$99925,1,FALSE)</f>
        <v>#N/A</v>
      </c>
    </row>
    <row r="14" spans="1:10" x14ac:dyDescent="0.25">
      <c r="A14" s="195"/>
      <c r="B14" s="42" t="str">
        <f>A14&amp;"-"&amp;IF(DAY(Variables!$A$2)&lt;10,0,"")&amp;DAY(Variables!$A$2)</f>
        <v>-29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Runs'!$A$13:$A$99925,1,FALSE)</f>
        <v>#N/A</v>
      </c>
    </row>
    <row r="15" spans="1:10" x14ac:dyDescent="0.25">
      <c r="A15" s="195"/>
      <c r="B15" s="42" t="str">
        <f>A15&amp;"-"&amp;IF(DAY(Variables!$A$2)&lt;10,0,"")&amp;DAY(Variables!$A$2)</f>
        <v>-29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Runs'!$A$13:$A$99925,1,FALSE)</f>
        <v>#N/A</v>
      </c>
    </row>
    <row r="16" spans="1:10" x14ac:dyDescent="0.25">
      <c r="A16" s="195"/>
      <c r="B16" s="42" t="str">
        <f>A16&amp;"-"&amp;IF(DAY(Variables!$A$2)&lt;10,0,"")&amp;DAY(Variables!$A$2)</f>
        <v>-29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Runs'!$A$13:$A$99925,1,FALSE)</f>
        <v>#N/A</v>
      </c>
    </row>
    <row r="17" spans="1:10" x14ac:dyDescent="0.25">
      <c r="A17" s="195"/>
      <c r="B17" s="42" t="str">
        <f>A17&amp;"-"&amp;IF(DAY(Variables!$A$2)&lt;10,0,"")&amp;DAY(Variables!$A$2)</f>
        <v>-29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Runs'!$A$13:$A$99925,1,FALSE)</f>
        <v>#N/A</v>
      </c>
    </row>
    <row r="18" spans="1:10" x14ac:dyDescent="0.25">
      <c r="A18" s="195"/>
      <c r="B18" s="42" t="str">
        <f>A18&amp;"-"&amp;IF(DAY(Variables!$A$2)&lt;10,0,"")&amp;DAY(Variables!$A$2)</f>
        <v>-29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Runs'!$A$13:$A$99925,1,FALSE)</f>
        <v>#N/A</v>
      </c>
    </row>
    <row r="19" spans="1:10" x14ac:dyDescent="0.25">
      <c r="A19" s="195"/>
      <c r="B19" s="42" t="str">
        <f>A19&amp;"-"&amp;IF(DAY(Variables!$A$2)&lt;10,0,"")&amp;DAY(Variables!$A$2)</f>
        <v>-29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Runs'!$A$13:$A$99925,1,FALSE)</f>
        <v>#N/A</v>
      </c>
    </row>
    <row r="20" spans="1:10" x14ac:dyDescent="0.25">
      <c r="A20" s="195"/>
      <c r="B20" s="42" t="str">
        <f>A20&amp;"-"&amp;IF(DAY(Variables!$A$2)&lt;10,0,"")&amp;DAY(Variables!$A$2)</f>
        <v>-29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Runs'!$A$13:$A$99925,1,FALSE)</f>
        <v>#N/A</v>
      </c>
    </row>
    <row r="21" spans="1:10" x14ac:dyDescent="0.25">
      <c r="A21" s="195"/>
      <c r="B21" s="42" t="str">
        <f>A21&amp;"-"&amp;IF(DAY(Variables!$A$2)&lt;10,0,"")&amp;DAY(Variables!$A$2)</f>
        <v>-29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Runs'!$A$13:$A$99925,1,FALSE)</f>
        <v>#N/A</v>
      </c>
    </row>
    <row r="22" spans="1:10" x14ac:dyDescent="0.25">
      <c r="A22" s="195"/>
      <c r="B22" s="42" t="str">
        <f>A22&amp;"-"&amp;IF(DAY(Variables!$A$2)&lt;10,0,"")&amp;DAY(Variables!$A$2)</f>
        <v>-29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Runs'!$A$13:$A$99925,1,FALSE)</f>
        <v>#N/A</v>
      </c>
    </row>
    <row r="23" spans="1:10" x14ac:dyDescent="0.25">
      <c r="A23" s="195"/>
      <c r="B23" s="42" t="str">
        <f>A23&amp;"-"&amp;IF(DAY(Variables!$A$2)&lt;10,0,"")&amp;DAY(Variables!$A$2)</f>
        <v>-29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Runs'!$A$13:$A$99925,1,FALSE)</f>
        <v>#N/A</v>
      </c>
    </row>
    <row r="24" spans="1:10" x14ac:dyDescent="0.25">
      <c r="A24" s="195"/>
      <c r="B24" s="42" t="str">
        <f>A24&amp;"-"&amp;IF(DAY(Variables!$A$2)&lt;10,0,"")&amp;DAY(Variables!$A$2)</f>
        <v>-29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0" t="e">
        <f>VLOOKUP(B24,'Train Runs'!$A$13:$A$99925,1,FALSE)</f>
        <v>#N/A</v>
      </c>
    </row>
    <row r="25" spans="1:10" x14ac:dyDescent="0.25">
      <c r="A25" s="195"/>
      <c r="B25" s="42" t="str">
        <f>A25&amp;"-"&amp;IF(DAY(Variables!$A$2)&lt;10,0,"")&amp;DAY(Variables!$A$2)</f>
        <v>-29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0" t="e">
        <f>VLOOKUP(B25,'Train Runs'!$A$13:$A$99925,1,FALSE)</f>
        <v>#N/A</v>
      </c>
    </row>
    <row r="26" spans="1:10" x14ac:dyDescent="0.25">
      <c r="A26" s="195"/>
      <c r="B26" s="42" t="str">
        <f>A26&amp;"-"&amp;IF(DAY(Variables!$A$2)&lt;10,0,"")&amp;DAY(Variables!$A$2)</f>
        <v>-29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0" t="e">
        <f>VLOOKUP(B26,'Train Runs'!$A$13:$A$99925,1,FALSE)</f>
        <v>#N/A</v>
      </c>
    </row>
    <row r="27" spans="1:10" x14ac:dyDescent="0.25">
      <c r="A27" s="195"/>
      <c r="B27" s="42" t="str">
        <f>A27&amp;"-"&amp;IF(DAY(Variables!$A$2)&lt;10,0,"")&amp;DAY(Variables!$A$2)</f>
        <v>-29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0" t="e">
        <f>VLOOKUP(B27,'Train Runs'!$A$13:$A$99925,1,FALSE)</f>
        <v>#N/A</v>
      </c>
    </row>
    <row r="28" spans="1:10" x14ac:dyDescent="0.25">
      <c r="A28" s="195"/>
      <c r="B28" s="42" t="str">
        <f>A28&amp;"-"&amp;IF(DAY(Variables!$A$2)&lt;10,0,"")&amp;DAY(Variables!$A$2)</f>
        <v>-29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0" t="e">
        <f>VLOOKUP(B28,'Train Runs'!$A$13:$A$99925,1,FALSE)</f>
        <v>#N/A</v>
      </c>
    </row>
    <row r="29" spans="1:10" x14ac:dyDescent="0.25">
      <c r="A29" s="195"/>
      <c r="B29" s="42" t="str">
        <f>A29&amp;"-"&amp;IF(DAY(Variables!$A$2)&lt;10,0,"")&amp;DAY(Variables!$A$2)</f>
        <v>-29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9" s="30" t="e">
        <f>VLOOKUP(B29,'Train Runs'!$A$13:$A$99925,1,FALSE)</f>
        <v>#N/A</v>
      </c>
    </row>
    <row r="30" spans="1:10" x14ac:dyDescent="0.25">
      <c r="A30" s="195"/>
      <c r="B30" s="42" t="str">
        <f>A30&amp;"-"&amp;IF(DAY(Variables!$A$2)&lt;10,0,"")&amp;DAY(Variables!$A$2)</f>
        <v>-29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0" s="30" t="e">
        <f>VLOOKUP(B30,'Train Runs'!$A$13:$A$99925,1,FALSE)</f>
        <v>#N/A</v>
      </c>
    </row>
    <row r="31" spans="1:10" x14ac:dyDescent="0.25">
      <c r="A31" s="195"/>
      <c r="B31" s="42" t="str">
        <f>A31&amp;"-"&amp;IF(DAY(Variables!$A$2)&lt;10,0,"")&amp;DAY(Variables!$A$2)</f>
        <v>-29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1" s="30" t="e">
        <f>VLOOKUP(B31,'Train Runs'!$A$13:$A$99925,1,FALSE)</f>
        <v>#N/A</v>
      </c>
    </row>
    <row r="32" spans="1:10" x14ac:dyDescent="0.25">
      <c r="A32" s="195"/>
      <c r="B32" s="42" t="str">
        <f>A32&amp;"-"&amp;IF(DAY(Variables!$A$2)&lt;10,0,"")&amp;DAY(Variables!$A$2)</f>
        <v>-29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2" s="30" t="e">
        <f>VLOOKUP(B32,'Train Runs'!$A$13:$A$99925,1,FALSE)</f>
        <v>#N/A</v>
      </c>
    </row>
    <row r="33" spans="1:10" x14ac:dyDescent="0.25">
      <c r="A33" s="195"/>
      <c r="B33" s="42" t="str">
        <f>A33&amp;"-"&amp;IF(DAY(Variables!$A$2)&lt;10,0,"")&amp;DAY(Variables!$A$2)</f>
        <v>-29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3" s="30" t="e">
        <f>VLOOKUP(B33,'Train Runs'!$A$13:$A$99925,1,FALSE)</f>
        <v>#N/A</v>
      </c>
    </row>
    <row r="34" spans="1:10" x14ac:dyDescent="0.25">
      <c r="A34" s="195"/>
      <c r="B34" s="42" t="str">
        <f>A34&amp;"-"&amp;IF(DAY(Variables!$A$2)&lt;10,0,"")&amp;DAY(Variables!$A$2)</f>
        <v>-29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4" s="30" t="e">
        <f>VLOOKUP(B34,'Train Runs'!$A$13:$A$99925,1,FALSE)</f>
        <v>#N/A</v>
      </c>
    </row>
    <row r="35" spans="1:10" x14ac:dyDescent="0.25">
      <c r="A35" s="195"/>
      <c r="B35" s="42" t="str">
        <f>A35&amp;"-"&amp;IF(DAY(Variables!$A$2)&lt;10,0,"")&amp;DAY(Variables!$A$2)</f>
        <v>-29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5" s="30" t="e">
        <f>VLOOKUP(B35,'Train Runs'!$A$13:$A$99925,1,FALSE)</f>
        <v>#N/A</v>
      </c>
    </row>
    <row r="36" spans="1:10" x14ac:dyDescent="0.25">
      <c r="A36" s="195"/>
      <c r="B36" s="42" t="str">
        <f>A36&amp;"-"&amp;IF(DAY(Variables!$A$2)&lt;10,0,"")&amp;DAY(Variables!$A$2)</f>
        <v>-29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6" s="30" t="e">
        <f>VLOOKUP(B36,'Train Runs'!$A$13:$A$99925,1,FALSE)</f>
        <v>#N/A</v>
      </c>
    </row>
    <row r="37" spans="1:10" x14ac:dyDescent="0.25">
      <c r="A37" s="195"/>
      <c r="B37" s="42" t="str">
        <f>A37&amp;"-"&amp;IF(DAY(Variables!$A$2)&lt;10,0,"")&amp;DAY(Variables!$A$2)</f>
        <v>-29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7" s="30" t="e">
        <f>VLOOKUP(B37,'Train Runs'!$A$13:$A$99925,1,FALSE)</f>
        <v>#N/A</v>
      </c>
    </row>
    <row r="38" spans="1:10" x14ac:dyDescent="0.25">
      <c r="A38" s="195"/>
      <c r="B38" s="42" t="str">
        <f>A38&amp;"-"&amp;IF(DAY(Variables!$A$2)&lt;10,0,"")&amp;DAY(Variables!$A$2)</f>
        <v>-29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8" s="30" t="e">
        <f>VLOOKUP(B38,'Train Runs'!$A$13:$A$99925,1,FALSE)</f>
        <v>#N/A</v>
      </c>
    </row>
    <row r="39" spans="1:10" x14ac:dyDescent="0.25">
      <c r="A39" s="195"/>
      <c r="B39" s="42" t="str">
        <f>A39&amp;"-"&amp;IF(DAY(Variables!$A$2)&lt;10,0,"")&amp;DAY(Variables!$A$2)</f>
        <v>-29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9" s="30" t="e">
        <f>VLOOKUP(B39,'Train Runs'!$A$13:$A$99925,1,FALSE)</f>
        <v>#N/A</v>
      </c>
    </row>
    <row r="40" spans="1:10" x14ac:dyDescent="0.25">
      <c r="A40" s="195"/>
      <c r="B40" s="42" t="str">
        <f>A40&amp;"-"&amp;IF(DAY(Variables!$A$2)&lt;10,0,"")&amp;DAY(Variables!$A$2)</f>
        <v>-29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0" s="30" t="e">
        <f>VLOOKUP(B40,'Train Runs'!$A$13:$A$99925,1,FALSE)</f>
        <v>#N/A</v>
      </c>
    </row>
    <row r="41" spans="1:10" x14ac:dyDescent="0.25">
      <c r="A41" s="195"/>
      <c r="B41" s="42" t="str">
        <f>A41&amp;"-"&amp;IF(DAY(Variables!$A$2)&lt;10,0,"")&amp;DAY(Variables!$A$2)</f>
        <v>-29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1" s="30" t="e">
        <f>VLOOKUP(B41,'Train Runs'!$A$13:$A$99925,1,FALSE)</f>
        <v>#N/A</v>
      </c>
    </row>
    <row r="42" spans="1:10" x14ac:dyDescent="0.25">
      <c r="A42" s="195"/>
      <c r="B42" s="42" t="str">
        <f>A42&amp;"-"&amp;IF(DAY(Variables!$A$2)&lt;10,0,"")&amp;DAY(Variables!$A$2)</f>
        <v>-29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2" s="30" t="e">
        <f>VLOOKUP(B42,'Train Runs'!$A$13:$A$99925,1,FALSE)</f>
        <v>#N/A</v>
      </c>
    </row>
    <row r="43" spans="1:10" x14ac:dyDescent="0.25">
      <c r="A43" s="195"/>
      <c r="B43" s="42" t="str">
        <f>A43&amp;"-"&amp;IF(DAY(Variables!$A$2)&lt;10,0,"")&amp;DAY(Variables!$A$2)</f>
        <v>-29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3" s="30" t="e">
        <f>VLOOKUP(B43,'Train Runs'!$A$13:$A$99925,1,FALSE)</f>
        <v>#N/A</v>
      </c>
    </row>
    <row r="44" spans="1:10" x14ac:dyDescent="0.25">
      <c r="A44" s="195"/>
      <c r="B44" s="42" t="str">
        <f>A44&amp;"-"&amp;IF(DAY(Variables!$A$2)&lt;10,0,"")&amp;DAY(Variables!$A$2)</f>
        <v>-29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4" s="30" t="e">
        <f>VLOOKUP(B44,'Train Runs'!$A$13:$A$99925,1,FALSE)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42915.032314814816</v>
      </c>
      <c r="B2" s="20" t="s">
        <v>372</v>
      </c>
      <c r="C2" s="20" t="s">
        <v>538</v>
      </c>
      <c r="D2" s="138">
        <v>3000000</v>
      </c>
      <c r="E2" s="20" t="s">
        <v>420</v>
      </c>
      <c r="F2" s="20" t="s">
        <v>421</v>
      </c>
      <c r="G2" s="8" t="str">
        <f>E2&amp;" "&amp;F2</f>
        <v>FORTUNATO FRANK</v>
      </c>
    </row>
    <row r="3" spans="1:7" x14ac:dyDescent="0.25">
      <c r="A3" s="8">
        <v>42915.037002314813</v>
      </c>
      <c r="B3" s="20" t="s">
        <v>500</v>
      </c>
      <c r="C3" s="20" t="s">
        <v>539</v>
      </c>
      <c r="D3" s="138">
        <v>2230000</v>
      </c>
      <c r="E3" s="20" t="s">
        <v>341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42915.051759259259</v>
      </c>
      <c r="B4" s="20" t="s">
        <v>395</v>
      </c>
      <c r="C4" s="20" t="s">
        <v>540</v>
      </c>
      <c r="D4" s="138">
        <v>2090000</v>
      </c>
      <c r="E4" s="20" t="s">
        <v>440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42915.057268518518</v>
      </c>
      <c r="B5" s="20" t="s">
        <v>416</v>
      </c>
      <c r="C5" s="20" t="s">
        <v>527</v>
      </c>
      <c r="D5" s="138">
        <v>3090000</v>
      </c>
      <c r="E5" s="20" t="s">
        <v>373</v>
      </c>
      <c r="F5" s="20" t="s">
        <v>374</v>
      </c>
      <c r="G5" s="8" t="str">
        <f t="shared" si="0"/>
        <v>LAMAR NEKESHA</v>
      </c>
    </row>
    <row r="6" spans="1:7" x14ac:dyDescent="0.25">
      <c r="A6" s="8">
        <v>42915.070543981485</v>
      </c>
      <c r="B6" s="20" t="s">
        <v>502</v>
      </c>
      <c r="C6" s="20" t="s">
        <v>541</v>
      </c>
      <c r="D6" s="138">
        <v>2230000</v>
      </c>
      <c r="E6" s="20" t="s">
        <v>341</v>
      </c>
      <c r="F6" s="20" t="s">
        <v>192</v>
      </c>
      <c r="G6" s="8" t="str">
        <f t="shared" si="0"/>
        <v>SMITH MICHAEL</v>
      </c>
    </row>
    <row r="7" spans="1:7" x14ac:dyDescent="0.25">
      <c r="A7" s="8">
        <v>42915.096736111111</v>
      </c>
      <c r="B7" s="20" t="s">
        <v>418</v>
      </c>
      <c r="C7" s="20" t="s">
        <v>542</v>
      </c>
      <c r="D7" s="138">
        <v>3090000</v>
      </c>
      <c r="E7" s="20" t="s">
        <v>373</v>
      </c>
      <c r="F7" s="20" t="s">
        <v>374</v>
      </c>
      <c r="G7" s="8" t="str">
        <f t="shared" si="0"/>
        <v>LAMAR NEKESHA</v>
      </c>
    </row>
    <row r="8" spans="1:7" x14ac:dyDescent="0.25">
      <c r="A8" s="8">
        <v>42915.115694444445</v>
      </c>
      <c r="B8" s="20" t="s">
        <v>393</v>
      </c>
      <c r="C8" s="20" t="s">
        <v>567</v>
      </c>
      <c r="D8" s="138">
        <v>1110000</v>
      </c>
      <c r="E8" s="20" t="s">
        <v>487</v>
      </c>
      <c r="F8" s="20" t="s">
        <v>488</v>
      </c>
      <c r="G8" s="8" t="str">
        <f t="shared" si="0"/>
        <v>STARKS ANGELINA</v>
      </c>
    </row>
    <row r="9" spans="1:7" ht="15.75" thickBot="1" x14ac:dyDescent="0.3">
      <c r="A9" s="24">
        <v>42915.131944444445</v>
      </c>
      <c r="B9" s="20" t="s">
        <v>446</v>
      </c>
      <c r="C9" s="20" t="s">
        <v>628</v>
      </c>
      <c r="D9" s="138">
        <v>1110000</v>
      </c>
      <c r="E9" s="20" t="s">
        <v>487</v>
      </c>
      <c r="F9" s="20" t="s">
        <v>488</v>
      </c>
      <c r="G9" s="8" t="str">
        <f t="shared" si="0"/>
        <v>STARKS ANGELINA</v>
      </c>
    </row>
    <row r="10" spans="1:7" x14ac:dyDescent="0.25">
      <c r="A10" s="8">
        <v>42915.138333333336</v>
      </c>
      <c r="B10" s="20" t="s">
        <v>394</v>
      </c>
      <c r="C10" s="20" t="s">
        <v>629</v>
      </c>
      <c r="D10" s="138">
        <v>1200000</v>
      </c>
      <c r="E10" s="20" t="s">
        <v>630</v>
      </c>
      <c r="F10" s="20" t="s">
        <v>631</v>
      </c>
      <c r="G10" s="8" t="str">
        <f t="shared" si="0"/>
        <v>CUSHING HARRY</v>
      </c>
    </row>
    <row r="11" spans="1:7" x14ac:dyDescent="0.25">
      <c r="A11" s="8">
        <v>42915.141284722224</v>
      </c>
      <c r="B11" s="20" t="s">
        <v>473</v>
      </c>
      <c r="C11" s="20" t="s">
        <v>568</v>
      </c>
      <c r="D11" s="138">
        <v>1230000</v>
      </c>
      <c r="E11" s="20" t="s">
        <v>632</v>
      </c>
      <c r="F11" s="20" t="s">
        <v>633</v>
      </c>
      <c r="G11" s="8" t="str">
        <f t="shared" si="0"/>
        <v>YANAI IAN</v>
      </c>
    </row>
    <row r="12" spans="1:7" x14ac:dyDescent="0.25">
      <c r="A12" s="8">
        <v>42915.143530092595</v>
      </c>
      <c r="B12" s="20" t="s">
        <v>393</v>
      </c>
      <c r="C12" s="20" t="s">
        <v>634</v>
      </c>
      <c r="D12" s="138">
        <v>1200000</v>
      </c>
      <c r="E12" s="20" t="s">
        <v>630</v>
      </c>
      <c r="F12" s="20" t="s">
        <v>631</v>
      </c>
      <c r="G12" s="8" t="str">
        <f t="shared" si="0"/>
        <v>CUSHING HARRY</v>
      </c>
    </row>
    <row r="13" spans="1:7" x14ac:dyDescent="0.25">
      <c r="A13" s="8">
        <v>42915.150810185187</v>
      </c>
      <c r="B13" s="20" t="s">
        <v>470</v>
      </c>
      <c r="C13" s="20" t="s">
        <v>635</v>
      </c>
      <c r="D13" s="138">
        <v>1230000</v>
      </c>
      <c r="E13" s="20" t="s">
        <v>632</v>
      </c>
      <c r="F13" s="20" t="s">
        <v>633</v>
      </c>
      <c r="G13" s="8" t="str">
        <f t="shared" si="0"/>
        <v>YANAI IAN</v>
      </c>
    </row>
    <row r="14" spans="1:7" x14ac:dyDescent="0.25">
      <c r="A14" s="8">
        <v>42915.158194444448</v>
      </c>
      <c r="B14" s="20" t="s">
        <v>397</v>
      </c>
      <c r="C14" s="20" t="s">
        <v>636</v>
      </c>
      <c r="D14" s="138">
        <v>940000</v>
      </c>
      <c r="E14" s="20" t="s">
        <v>485</v>
      </c>
      <c r="F14" s="20" t="s">
        <v>486</v>
      </c>
      <c r="G14" s="8" t="str">
        <f t="shared" si="0"/>
        <v>BONDS REYNALDO</v>
      </c>
    </row>
    <row r="15" spans="1:7" x14ac:dyDescent="0.25">
      <c r="A15" s="8">
        <v>42915.168379629627</v>
      </c>
      <c r="B15" s="20" t="s">
        <v>525</v>
      </c>
      <c r="C15" s="20" t="s">
        <v>637</v>
      </c>
      <c r="D15" s="138">
        <v>1100000</v>
      </c>
      <c r="E15" s="20" t="s">
        <v>529</v>
      </c>
      <c r="F15" s="20" t="s">
        <v>530</v>
      </c>
      <c r="G15" s="8" t="str">
        <f t="shared" si="0"/>
        <v>GEBRETEKLE DAGNEW</v>
      </c>
    </row>
    <row r="16" spans="1:7" x14ac:dyDescent="0.25">
      <c r="A16" s="8">
        <v>42915.168958333335</v>
      </c>
      <c r="B16" s="20" t="s">
        <v>400</v>
      </c>
      <c r="C16" s="20" t="s">
        <v>638</v>
      </c>
      <c r="D16" s="138">
        <v>940000</v>
      </c>
      <c r="E16" s="20" t="s">
        <v>485</v>
      </c>
      <c r="F16" s="20" t="s">
        <v>486</v>
      </c>
      <c r="G16" s="8" t="str">
        <f t="shared" si="0"/>
        <v>BONDS REYNALDO</v>
      </c>
    </row>
    <row r="17" spans="1:7" x14ac:dyDescent="0.25">
      <c r="A17" s="8">
        <v>42915.17324074074</v>
      </c>
      <c r="B17" s="20" t="s">
        <v>481</v>
      </c>
      <c r="C17" s="20" t="s">
        <v>639</v>
      </c>
      <c r="D17" s="138">
        <v>1110000</v>
      </c>
      <c r="E17" s="20" t="s">
        <v>487</v>
      </c>
      <c r="F17" s="20" t="s">
        <v>488</v>
      </c>
      <c r="G17" s="8" t="str">
        <f t="shared" si="0"/>
        <v>STARKS ANGELINA</v>
      </c>
    </row>
    <row r="18" spans="1:7" x14ac:dyDescent="0.25">
      <c r="A18" s="8">
        <v>42915.175358796296</v>
      </c>
      <c r="B18" s="20" t="s">
        <v>339</v>
      </c>
      <c r="C18" s="20" t="s">
        <v>640</v>
      </c>
      <c r="D18" s="138">
        <v>2970000</v>
      </c>
      <c r="E18" s="20" t="s">
        <v>377</v>
      </c>
      <c r="F18" s="20" t="s">
        <v>378</v>
      </c>
      <c r="G18" s="8" t="str">
        <f t="shared" si="0"/>
        <v>GUZMAN DANNY</v>
      </c>
    </row>
    <row r="19" spans="1:7" x14ac:dyDescent="0.25">
      <c r="A19" s="8">
        <v>42915.183078703703</v>
      </c>
      <c r="B19" s="20" t="s">
        <v>526</v>
      </c>
      <c r="C19" s="20" t="s">
        <v>641</v>
      </c>
      <c r="D19" s="138">
        <v>1100000</v>
      </c>
      <c r="E19" s="20" t="s">
        <v>529</v>
      </c>
      <c r="F19" s="20" t="s">
        <v>530</v>
      </c>
      <c r="G19" s="8" t="str">
        <f t="shared" si="0"/>
        <v>GEBRETEKLE DAGNEW</v>
      </c>
    </row>
    <row r="20" spans="1:7" x14ac:dyDescent="0.25">
      <c r="A20" s="8">
        <v>42915.184467592589</v>
      </c>
      <c r="B20" s="20" t="s">
        <v>473</v>
      </c>
      <c r="C20" s="20" t="s">
        <v>642</v>
      </c>
      <c r="D20" s="138">
        <v>1230000</v>
      </c>
      <c r="E20" s="20" t="s">
        <v>632</v>
      </c>
      <c r="F20" s="20" t="s">
        <v>633</v>
      </c>
      <c r="G20" s="8" t="str">
        <f t="shared" si="0"/>
        <v>YANAI IAN</v>
      </c>
    </row>
    <row r="21" spans="1:7" x14ac:dyDescent="0.25">
      <c r="A21" s="8">
        <v>42915.192685185182</v>
      </c>
      <c r="B21" s="20" t="s">
        <v>338</v>
      </c>
      <c r="C21" s="20" t="s">
        <v>643</v>
      </c>
      <c r="D21" s="138">
        <v>2970000</v>
      </c>
      <c r="E21" s="20" t="s">
        <v>377</v>
      </c>
      <c r="F21" s="20" t="s">
        <v>378</v>
      </c>
      <c r="G21" s="8" t="str">
        <f t="shared" si="0"/>
        <v>GUZMAN DANNY</v>
      </c>
    </row>
    <row r="22" spans="1:7" x14ac:dyDescent="0.25">
      <c r="A22" s="26">
        <v>42915.19803240741</v>
      </c>
      <c r="B22" s="20" t="s">
        <v>355</v>
      </c>
      <c r="C22" s="20" t="s">
        <v>571</v>
      </c>
      <c r="D22" s="138">
        <v>1990000</v>
      </c>
      <c r="E22" s="20" t="s">
        <v>409</v>
      </c>
      <c r="F22" s="20" t="s">
        <v>528</v>
      </c>
      <c r="G22" s="8" t="str">
        <f t="shared" si="0"/>
        <v>DAVIS WENDY</v>
      </c>
    </row>
    <row r="23" spans="1:7" x14ac:dyDescent="0.25">
      <c r="A23" s="8">
        <v>42915.202604166669</v>
      </c>
      <c r="B23" s="20" t="s">
        <v>582</v>
      </c>
      <c r="C23" s="20" t="s">
        <v>644</v>
      </c>
      <c r="D23" s="138">
        <v>1360000</v>
      </c>
      <c r="E23" s="20" t="s">
        <v>505</v>
      </c>
      <c r="F23" s="20" t="s">
        <v>506</v>
      </c>
      <c r="G23" s="8" t="str">
        <f t="shared" si="0"/>
        <v>SANTIZO D. EDY</v>
      </c>
    </row>
    <row r="24" spans="1:7" x14ac:dyDescent="0.25">
      <c r="A24" s="8">
        <v>42915.20511574074</v>
      </c>
      <c r="B24" s="20" t="s">
        <v>446</v>
      </c>
      <c r="C24" s="20" t="s">
        <v>645</v>
      </c>
      <c r="D24" s="138">
        <v>1110000</v>
      </c>
      <c r="E24" s="20" t="s">
        <v>487</v>
      </c>
      <c r="F24" s="20" t="s">
        <v>488</v>
      </c>
      <c r="G24" s="8" t="str">
        <f t="shared" si="0"/>
        <v>STARKS ANGELINA</v>
      </c>
    </row>
    <row r="25" spans="1:7" x14ac:dyDescent="0.25">
      <c r="A25" s="8">
        <v>42915.210474537038</v>
      </c>
      <c r="B25" s="20" t="s">
        <v>572</v>
      </c>
      <c r="C25" s="20" t="s">
        <v>573</v>
      </c>
      <c r="D25" s="138">
        <v>1990000</v>
      </c>
      <c r="E25" s="20" t="s">
        <v>409</v>
      </c>
      <c r="F25" s="20" t="s">
        <v>528</v>
      </c>
      <c r="G25" s="8" t="str">
        <f t="shared" si="0"/>
        <v>DAVIS WENDY</v>
      </c>
    </row>
    <row r="26" spans="1:7" x14ac:dyDescent="0.25">
      <c r="A26" s="8">
        <v>42915.212673611109</v>
      </c>
      <c r="B26" s="20" t="s">
        <v>397</v>
      </c>
      <c r="C26" s="20" t="s">
        <v>646</v>
      </c>
      <c r="D26" s="138">
        <v>940000</v>
      </c>
      <c r="E26" s="20" t="s">
        <v>485</v>
      </c>
      <c r="F26" s="20" t="s">
        <v>486</v>
      </c>
      <c r="G26" s="8" t="str">
        <f t="shared" si="0"/>
        <v>BONDS REYNALDO</v>
      </c>
    </row>
    <row r="27" spans="1:7" x14ac:dyDescent="0.25">
      <c r="A27" s="8">
        <v>42915.213460648149</v>
      </c>
      <c r="B27" s="20" t="s">
        <v>537</v>
      </c>
      <c r="C27" s="20" t="s">
        <v>574</v>
      </c>
      <c r="D27" s="138">
        <v>1360000</v>
      </c>
      <c r="E27" s="20" t="s">
        <v>505</v>
      </c>
      <c r="F27" s="20" t="s">
        <v>506</v>
      </c>
      <c r="G27" s="8" t="str">
        <f t="shared" si="0"/>
        <v>SANTIZO D. EDY</v>
      </c>
    </row>
    <row r="28" spans="1:7" x14ac:dyDescent="0.25">
      <c r="A28" s="8">
        <v>42915.214456018519</v>
      </c>
      <c r="B28" s="20" t="s">
        <v>525</v>
      </c>
      <c r="C28" s="20" t="s">
        <v>647</v>
      </c>
      <c r="D28" s="138">
        <v>1100000</v>
      </c>
      <c r="E28" s="20" t="s">
        <v>529</v>
      </c>
      <c r="F28" s="20" t="s">
        <v>530</v>
      </c>
      <c r="G28" s="8" t="str">
        <f t="shared" si="0"/>
        <v>GEBRETEKLE DAGNEW</v>
      </c>
    </row>
    <row r="29" spans="1:7" x14ac:dyDescent="0.25">
      <c r="A29" s="8">
        <v>42915.217060185183</v>
      </c>
      <c r="B29" s="20" t="s">
        <v>594</v>
      </c>
      <c r="C29" s="20" t="s">
        <v>648</v>
      </c>
      <c r="D29" s="138">
        <v>1540000</v>
      </c>
      <c r="E29" s="20" t="s">
        <v>489</v>
      </c>
      <c r="F29" s="20" t="s">
        <v>490</v>
      </c>
      <c r="G29" s="8" t="str">
        <f t="shared" si="0"/>
        <v>HELVIE ADAM</v>
      </c>
    </row>
    <row r="30" spans="1:7" x14ac:dyDescent="0.25">
      <c r="A30" s="8">
        <v>42915.225902777776</v>
      </c>
      <c r="B30" s="20" t="s">
        <v>339</v>
      </c>
      <c r="C30" s="20" t="s">
        <v>649</v>
      </c>
      <c r="D30" s="138">
        <v>2970000</v>
      </c>
      <c r="E30" s="20" t="s">
        <v>377</v>
      </c>
      <c r="F30" s="20" t="s">
        <v>378</v>
      </c>
      <c r="G30" s="8" t="str">
        <f t="shared" si="0"/>
        <v>GUZMAN DANNY</v>
      </c>
    </row>
    <row r="31" spans="1:7" x14ac:dyDescent="0.25">
      <c r="A31" s="8">
        <v>42915.226030092592</v>
      </c>
      <c r="B31" s="20" t="s">
        <v>470</v>
      </c>
      <c r="C31" s="20" t="s">
        <v>650</v>
      </c>
      <c r="D31" s="138">
        <v>1230000</v>
      </c>
      <c r="E31" s="20" t="s">
        <v>632</v>
      </c>
      <c r="F31" s="20" t="s">
        <v>633</v>
      </c>
      <c r="G31" s="8" t="str">
        <f t="shared" si="0"/>
        <v>YANAI IAN</v>
      </c>
    </row>
    <row r="32" spans="1:7" x14ac:dyDescent="0.25">
      <c r="A32" s="8">
        <v>42915.237557870372</v>
      </c>
      <c r="B32" s="20" t="s">
        <v>597</v>
      </c>
      <c r="C32" s="20" t="s">
        <v>651</v>
      </c>
      <c r="D32" s="138">
        <v>1540000</v>
      </c>
      <c r="E32" s="20" t="s">
        <v>489</v>
      </c>
      <c r="F32" s="20" t="s">
        <v>490</v>
      </c>
      <c r="G32" s="8" t="str">
        <f t="shared" si="0"/>
        <v>HELVIE ADAM</v>
      </c>
    </row>
    <row r="33" spans="1:7" x14ac:dyDescent="0.25">
      <c r="A33" s="8">
        <v>42915.241076388891</v>
      </c>
      <c r="B33" s="20" t="s">
        <v>355</v>
      </c>
      <c r="C33" s="20" t="s">
        <v>575</v>
      </c>
      <c r="D33" s="138">
        <v>1990000</v>
      </c>
      <c r="E33" s="20" t="s">
        <v>409</v>
      </c>
      <c r="F33" s="20" t="s">
        <v>528</v>
      </c>
      <c r="G33" s="8" t="str">
        <f t="shared" si="0"/>
        <v>DAVIS WENDY</v>
      </c>
    </row>
    <row r="34" spans="1:7" x14ac:dyDescent="0.25">
      <c r="A34" s="8">
        <v>42915.245300925926</v>
      </c>
      <c r="B34" s="20" t="s">
        <v>582</v>
      </c>
      <c r="C34" s="20" t="s">
        <v>652</v>
      </c>
      <c r="D34" s="138">
        <v>1360000</v>
      </c>
      <c r="E34" s="20" t="s">
        <v>505</v>
      </c>
      <c r="F34" s="20" t="s">
        <v>506</v>
      </c>
      <c r="G34" s="8" t="str">
        <f t="shared" si="0"/>
        <v>SANTIZO D. EDY</v>
      </c>
    </row>
    <row r="35" spans="1:7" x14ac:dyDescent="0.25">
      <c r="A35" s="8">
        <v>42915.246481481481</v>
      </c>
      <c r="B35" s="20" t="s">
        <v>400</v>
      </c>
      <c r="C35" s="20" t="s">
        <v>576</v>
      </c>
      <c r="D35" s="138">
        <v>940000</v>
      </c>
      <c r="E35" s="20" t="s">
        <v>485</v>
      </c>
      <c r="F35" s="20" t="s">
        <v>486</v>
      </c>
      <c r="G35" s="8" t="str">
        <f t="shared" si="0"/>
        <v>BONDS REYNALDO</v>
      </c>
    </row>
    <row r="36" spans="1:7" x14ac:dyDescent="0.25">
      <c r="A36" s="8">
        <v>42915.246678240743</v>
      </c>
      <c r="B36" s="20" t="s">
        <v>481</v>
      </c>
      <c r="C36" s="20" t="s">
        <v>653</v>
      </c>
      <c r="D36" s="138">
        <v>1110000</v>
      </c>
      <c r="E36" s="20" t="s">
        <v>487</v>
      </c>
      <c r="F36" s="20" t="s">
        <v>488</v>
      </c>
      <c r="G36" s="8" t="str">
        <f t="shared" si="0"/>
        <v>STARKS ANGELINA</v>
      </c>
    </row>
    <row r="37" spans="1:7" x14ac:dyDescent="0.25">
      <c r="A37" s="8">
        <v>42915.247719907406</v>
      </c>
      <c r="B37" s="20" t="s">
        <v>472</v>
      </c>
      <c r="C37" s="20" t="s">
        <v>654</v>
      </c>
      <c r="D37" s="138">
        <v>2730000</v>
      </c>
      <c r="E37" s="20" t="s">
        <v>503</v>
      </c>
      <c r="F37" s="20" t="s">
        <v>504</v>
      </c>
      <c r="G37" s="8" t="str">
        <f t="shared" si="0"/>
        <v>YANG JAN</v>
      </c>
    </row>
    <row r="38" spans="1:7" x14ac:dyDescent="0.25">
      <c r="A38" s="8">
        <v>42915.254814814813</v>
      </c>
      <c r="B38" s="20" t="s">
        <v>572</v>
      </c>
      <c r="C38" s="20" t="s">
        <v>577</v>
      </c>
      <c r="D38" s="138">
        <v>1990000</v>
      </c>
      <c r="E38" s="20" t="s">
        <v>409</v>
      </c>
      <c r="F38" s="20" t="s">
        <v>528</v>
      </c>
      <c r="G38" s="8" t="str">
        <f t="shared" si="0"/>
        <v>DAVIS WENDY</v>
      </c>
    </row>
    <row r="39" spans="1:7" x14ac:dyDescent="0.25">
      <c r="A39" s="8">
        <v>42915.25640046296</v>
      </c>
      <c r="B39" s="20" t="s">
        <v>473</v>
      </c>
      <c r="C39" s="20" t="s">
        <v>578</v>
      </c>
      <c r="D39" s="138">
        <v>1230000</v>
      </c>
      <c r="E39" s="20" t="s">
        <v>632</v>
      </c>
      <c r="F39" s="20" t="s">
        <v>633</v>
      </c>
      <c r="G39" s="8" t="str">
        <f t="shared" si="0"/>
        <v>YANAI IAN</v>
      </c>
    </row>
    <row r="40" spans="1:7" x14ac:dyDescent="0.25">
      <c r="A40" s="8">
        <v>42915.256944444445</v>
      </c>
      <c r="B40" s="25" t="s">
        <v>526</v>
      </c>
      <c r="C40" s="20" t="s">
        <v>655</v>
      </c>
      <c r="D40" s="138">
        <v>1100000</v>
      </c>
      <c r="E40" s="20" t="s">
        <v>529</v>
      </c>
      <c r="F40" s="20" t="s">
        <v>530</v>
      </c>
      <c r="G40" s="8" t="str">
        <f t="shared" si="0"/>
        <v>GEBRETEKLE DAGNEW</v>
      </c>
    </row>
    <row r="41" spans="1:7" x14ac:dyDescent="0.25">
      <c r="A41" s="8">
        <v>42915.261956018519</v>
      </c>
      <c r="B41" s="20" t="s">
        <v>468</v>
      </c>
      <c r="C41" s="20" t="s">
        <v>656</v>
      </c>
      <c r="D41" s="138">
        <v>2730000</v>
      </c>
      <c r="E41" s="20" t="s">
        <v>503</v>
      </c>
      <c r="F41" s="20" t="s">
        <v>504</v>
      </c>
      <c r="G41" s="8" t="str">
        <f t="shared" si="0"/>
        <v>YANG JAN</v>
      </c>
    </row>
    <row r="42" spans="1:7" x14ac:dyDescent="0.25">
      <c r="A42" s="8">
        <v>42915.266840277778</v>
      </c>
      <c r="B42" s="20" t="s">
        <v>338</v>
      </c>
      <c r="C42" s="20" t="s">
        <v>579</v>
      </c>
      <c r="D42" s="138">
        <v>2970000</v>
      </c>
      <c r="E42" s="20" t="s">
        <v>377</v>
      </c>
      <c r="F42" s="20" t="s">
        <v>378</v>
      </c>
      <c r="G42" s="8" t="str">
        <f t="shared" si="0"/>
        <v>GUZMAN DANNY</v>
      </c>
    </row>
    <row r="43" spans="1:7" x14ac:dyDescent="0.25">
      <c r="A43" s="8">
        <v>42915.266979166663</v>
      </c>
      <c r="B43" s="20" t="s">
        <v>394</v>
      </c>
      <c r="C43" s="20" t="s">
        <v>657</v>
      </c>
      <c r="D43" s="138">
        <v>1200000</v>
      </c>
      <c r="E43" s="20" t="s">
        <v>630</v>
      </c>
      <c r="F43" s="20" t="s">
        <v>631</v>
      </c>
      <c r="G43" s="8" t="str">
        <f t="shared" si="0"/>
        <v>CUSHING HARRY</v>
      </c>
    </row>
    <row r="44" spans="1:7" x14ac:dyDescent="0.25">
      <c r="A44" s="8">
        <v>42915.275740740741</v>
      </c>
      <c r="B44" s="20" t="s">
        <v>594</v>
      </c>
      <c r="C44" s="20" t="s">
        <v>658</v>
      </c>
      <c r="D44" s="138">
        <v>1540000</v>
      </c>
      <c r="E44" s="20" t="s">
        <v>489</v>
      </c>
      <c r="F44" s="20" t="s">
        <v>490</v>
      </c>
      <c r="G44" s="8" t="str">
        <f t="shared" si="0"/>
        <v>HELVIE ADAM</v>
      </c>
    </row>
    <row r="45" spans="1:7" x14ac:dyDescent="0.25">
      <c r="A45" s="8">
        <v>42915.276412037034</v>
      </c>
      <c r="B45" s="20" t="s">
        <v>472</v>
      </c>
      <c r="C45" s="20" t="s">
        <v>659</v>
      </c>
      <c r="D45" s="138">
        <v>2730000</v>
      </c>
      <c r="E45" s="20" t="s">
        <v>503</v>
      </c>
      <c r="F45" s="20" t="s">
        <v>504</v>
      </c>
      <c r="G45" s="8" t="str">
        <f t="shared" si="0"/>
        <v>YANG JAN</v>
      </c>
    </row>
    <row r="46" spans="1:7" x14ac:dyDescent="0.25">
      <c r="A46" s="8">
        <v>42915.281689814816</v>
      </c>
      <c r="B46" s="20" t="s">
        <v>394</v>
      </c>
      <c r="C46" s="20" t="s">
        <v>660</v>
      </c>
      <c r="D46" s="138">
        <v>1110000</v>
      </c>
      <c r="E46" s="20" t="s">
        <v>487</v>
      </c>
      <c r="F46" s="20" t="s">
        <v>488</v>
      </c>
      <c r="G46" s="8" t="str">
        <f t="shared" si="0"/>
        <v>STARKS ANGELINA</v>
      </c>
    </row>
    <row r="47" spans="1:7" x14ac:dyDescent="0.25">
      <c r="A47" s="8">
        <v>42915.282638888886</v>
      </c>
      <c r="B47" s="20" t="s">
        <v>355</v>
      </c>
      <c r="C47" s="20" t="s">
        <v>661</v>
      </c>
      <c r="D47" s="138">
        <v>1990000</v>
      </c>
      <c r="E47" s="20" t="s">
        <v>409</v>
      </c>
      <c r="F47" s="20" t="s">
        <v>528</v>
      </c>
      <c r="G47" s="8" t="str">
        <f t="shared" si="0"/>
        <v>DAVIS WENDY</v>
      </c>
    </row>
    <row r="48" spans="1:7" x14ac:dyDescent="0.25">
      <c r="A48" s="8">
        <v>42915.285937499997</v>
      </c>
      <c r="B48" s="20" t="s">
        <v>537</v>
      </c>
      <c r="C48" s="20" t="s">
        <v>662</v>
      </c>
      <c r="D48" s="138">
        <v>1360000</v>
      </c>
      <c r="E48" s="20" t="s">
        <v>505</v>
      </c>
      <c r="F48" s="20" t="s">
        <v>506</v>
      </c>
      <c r="G48" s="8" t="str">
        <f t="shared" si="0"/>
        <v>SANTIZO D. EDY</v>
      </c>
    </row>
    <row r="49" spans="1:7" x14ac:dyDescent="0.25">
      <c r="A49" s="8">
        <v>42915.286574074074</v>
      </c>
      <c r="B49" s="20" t="s">
        <v>537</v>
      </c>
      <c r="C49" s="20" t="s">
        <v>662</v>
      </c>
      <c r="D49" s="138">
        <v>1360000</v>
      </c>
      <c r="E49" s="20" t="s">
        <v>505</v>
      </c>
      <c r="F49" s="20" t="s">
        <v>506</v>
      </c>
      <c r="G49" s="8" t="str">
        <f t="shared" si="0"/>
        <v>SANTIZO D. EDY</v>
      </c>
    </row>
    <row r="50" spans="1:7" x14ac:dyDescent="0.25">
      <c r="A50" s="8">
        <v>42915.287094907406</v>
      </c>
      <c r="B50" s="20" t="s">
        <v>525</v>
      </c>
      <c r="C50" s="20" t="s">
        <v>663</v>
      </c>
      <c r="D50" s="138">
        <v>1100000</v>
      </c>
      <c r="E50" s="20" t="s">
        <v>529</v>
      </c>
      <c r="F50" s="20" t="s">
        <v>530</v>
      </c>
      <c r="G50" s="8" t="str">
        <f t="shared" si="0"/>
        <v>GEBRETEKLE DAGNEW</v>
      </c>
    </row>
    <row r="51" spans="1:7" x14ac:dyDescent="0.25">
      <c r="A51" s="8">
        <v>42915.287280092591</v>
      </c>
      <c r="B51" s="20" t="s">
        <v>397</v>
      </c>
      <c r="C51" s="20" t="s">
        <v>664</v>
      </c>
      <c r="D51" s="138">
        <v>940000</v>
      </c>
      <c r="E51" s="20" t="s">
        <v>485</v>
      </c>
      <c r="F51" s="20" t="s">
        <v>486</v>
      </c>
      <c r="G51" s="8" t="str">
        <f t="shared" si="0"/>
        <v>BONDS REYNALDO</v>
      </c>
    </row>
    <row r="52" spans="1:7" x14ac:dyDescent="0.25">
      <c r="A52" s="8">
        <v>42915.287581018521</v>
      </c>
      <c r="B52" s="20" t="s">
        <v>537</v>
      </c>
      <c r="C52" s="20" t="s">
        <v>662</v>
      </c>
      <c r="D52" s="138">
        <v>1360000</v>
      </c>
      <c r="E52" s="20" t="s">
        <v>505</v>
      </c>
      <c r="F52" s="20" t="s">
        <v>506</v>
      </c>
      <c r="G52" s="8" t="str">
        <f t="shared" si="0"/>
        <v>SANTIZO D. EDY</v>
      </c>
    </row>
    <row r="53" spans="1:7" x14ac:dyDescent="0.25">
      <c r="A53" s="8">
        <v>42915.293229166666</v>
      </c>
      <c r="B53" s="20" t="s">
        <v>468</v>
      </c>
      <c r="C53" s="20" t="s">
        <v>665</v>
      </c>
      <c r="D53" s="138">
        <v>2730000</v>
      </c>
      <c r="E53" s="20" t="s">
        <v>503</v>
      </c>
      <c r="F53" s="20" t="s">
        <v>504</v>
      </c>
      <c r="G53" s="8" t="str">
        <f t="shared" si="0"/>
        <v>YANG JAN</v>
      </c>
    </row>
    <row r="54" spans="1:7" x14ac:dyDescent="0.25">
      <c r="A54" s="8">
        <v>42915.296539351853</v>
      </c>
      <c r="B54" s="20" t="s">
        <v>572</v>
      </c>
      <c r="C54" s="20" t="s">
        <v>666</v>
      </c>
      <c r="D54" s="138">
        <v>1990000</v>
      </c>
      <c r="E54" s="20" t="s">
        <v>409</v>
      </c>
      <c r="F54" s="20" t="s">
        <v>528</v>
      </c>
      <c r="G54" s="8" t="str">
        <f t="shared" si="0"/>
        <v>DAVIS WENDY</v>
      </c>
    </row>
    <row r="55" spans="1:7" x14ac:dyDescent="0.25">
      <c r="A55" s="8">
        <v>42915.297372685185</v>
      </c>
      <c r="B55" s="20" t="s">
        <v>470</v>
      </c>
      <c r="C55" s="20" t="s">
        <v>580</v>
      </c>
      <c r="D55" s="138">
        <v>1230000</v>
      </c>
      <c r="E55" s="20" t="s">
        <v>632</v>
      </c>
      <c r="F55" s="20" t="s">
        <v>633</v>
      </c>
      <c r="G55" s="8" t="str">
        <f t="shared" si="0"/>
        <v>YANAI IAN</v>
      </c>
    </row>
    <row r="56" spans="1:7" x14ac:dyDescent="0.25">
      <c r="A56" s="8">
        <v>42915.299537037034</v>
      </c>
      <c r="B56" s="20" t="s">
        <v>470</v>
      </c>
      <c r="C56" s="20" t="s">
        <v>580</v>
      </c>
      <c r="D56" s="138">
        <v>1230000</v>
      </c>
      <c r="E56" s="20" t="s">
        <v>632</v>
      </c>
      <c r="F56" s="20" t="s">
        <v>633</v>
      </c>
      <c r="G56" s="8" t="str">
        <f t="shared" si="0"/>
        <v>YANAI IAN</v>
      </c>
    </row>
    <row r="57" spans="1:7" x14ac:dyDescent="0.25">
      <c r="A57" s="8">
        <v>42915.300868055558</v>
      </c>
      <c r="B57" s="20" t="s">
        <v>339</v>
      </c>
      <c r="C57" s="20" t="s">
        <v>667</v>
      </c>
      <c r="D57" s="138">
        <v>2970000</v>
      </c>
      <c r="E57" s="20" t="s">
        <v>377</v>
      </c>
      <c r="F57" s="20" t="s">
        <v>378</v>
      </c>
      <c r="G57" s="8" t="str">
        <f t="shared" si="0"/>
        <v>GUZMAN DANNY</v>
      </c>
    </row>
    <row r="58" spans="1:7" x14ac:dyDescent="0.25">
      <c r="A58" s="8">
        <v>42915.311435185184</v>
      </c>
      <c r="B58" s="20" t="s">
        <v>597</v>
      </c>
      <c r="C58" s="20" t="s">
        <v>668</v>
      </c>
      <c r="D58" s="138">
        <v>1540000</v>
      </c>
      <c r="E58" s="20" t="s">
        <v>489</v>
      </c>
      <c r="F58" s="20" t="s">
        <v>490</v>
      </c>
      <c r="G58" s="8" t="str">
        <f t="shared" si="0"/>
        <v>HELVIE ADAM</v>
      </c>
    </row>
    <row r="59" spans="1:7" x14ac:dyDescent="0.25">
      <c r="A59" s="8">
        <v>42915.317800925928</v>
      </c>
      <c r="B59" s="20" t="s">
        <v>472</v>
      </c>
      <c r="C59" s="20" t="s">
        <v>669</v>
      </c>
      <c r="D59" s="138">
        <v>2730000</v>
      </c>
      <c r="E59" s="20" t="s">
        <v>503</v>
      </c>
      <c r="F59" s="20" t="s">
        <v>504</v>
      </c>
      <c r="G59" s="8" t="str">
        <f t="shared" si="0"/>
        <v>YANG JAN</v>
      </c>
    </row>
    <row r="60" spans="1:7" x14ac:dyDescent="0.25">
      <c r="A60" s="8">
        <v>42915.319120370368</v>
      </c>
      <c r="B60" s="20" t="s">
        <v>400</v>
      </c>
      <c r="C60" s="20" t="s">
        <v>670</v>
      </c>
      <c r="D60" s="138">
        <v>940000</v>
      </c>
      <c r="E60" s="20" t="s">
        <v>485</v>
      </c>
      <c r="F60" s="20" t="s">
        <v>486</v>
      </c>
      <c r="G60" s="8" t="str">
        <f t="shared" si="0"/>
        <v>BONDS REYNALDO</v>
      </c>
    </row>
    <row r="61" spans="1:7" x14ac:dyDescent="0.25">
      <c r="A61" s="8">
        <v>42915.31962962963</v>
      </c>
      <c r="B61" s="20" t="s">
        <v>393</v>
      </c>
      <c r="C61" s="20" t="s">
        <v>671</v>
      </c>
      <c r="D61" s="138">
        <v>1110000</v>
      </c>
      <c r="E61" s="20" t="s">
        <v>487</v>
      </c>
      <c r="F61" s="20" t="s">
        <v>488</v>
      </c>
      <c r="G61" s="8" t="str">
        <f t="shared" si="0"/>
        <v>STARKS ANGELINA</v>
      </c>
    </row>
    <row r="62" spans="1:7" x14ac:dyDescent="0.25">
      <c r="A62" s="8">
        <v>42915.320428240739</v>
      </c>
      <c r="B62" s="20" t="s">
        <v>393</v>
      </c>
      <c r="C62" s="20" t="s">
        <v>671</v>
      </c>
      <c r="D62" s="138">
        <v>1110000</v>
      </c>
      <c r="E62" s="20" t="s">
        <v>487</v>
      </c>
      <c r="F62" s="20" t="s">
        <v>488</v>
      </c>
      <c r="G62" s="8" t="str">
        <f t="shared" si="0"/>
        <v>STARKS ANGELINA</v>
      </c>
    </row>
    <row r="63" spans="1:7" x14ac:dyDescent="0.25">
      <c r="A63" s="8">
        <v>42915.320694444446</v>
      </c>
      <c r="B63" s="20" t="s">
        <v>582</v>
      </c>
      <c r="C63" s="20" t="s">
        <v>583</v>
      </c>
      <c r="D63" s="138">
        <v>1360000</v>
      </c>
      <c r="E63" s="20" t="s">
        <v>505</v>
      </c>
      <c r="F63" s="20" t="s">
        <v>506</v>
      </c>
      <c r="G63" s="8" t="str">
        <f t="shared" si="0"/>
        <v>SANTIZO D. EDY</v>
      </c>
    </row>
    <row r="64" spans="1:7" x14ac:dyDescent="0.25">
      <c r="A64" s="26">
        <v>42915.32439814815</v>
      </c>
      <c r="B64" s="20" t="s">
        <v>355</v>
      </c>
      <c r="C64" s="20" t="s">
        <v>581</v>
      </c>
      <c r="D64" s="138">
        <v>1990000</v>
      </c>
      <c r="E64" s="20" t="s">
        <v>409</v>
      </c>
      <c r="F64" s="20" t="s">
        <v>528</v>
      </c>
      <c r="G64" s="8" t="str">
        <f t="shared" si="0"/>
        <v>DAVIS WENDY</v>
      </c>
    </row>
    <row r="65" spans="1:7" x14ac:dyDescent="0.25">
      <c r="A65" s="8">
        <v>42915.329212962963</v>
      </c>
      <c r="B65" s="20" t="s">
        <v>473</v>
      </c>
      <c r="C65" s="20" t="s">
        <v>672</v>
      </c>
      <c r="D65" s="138">
        <v>1230000</v>
      </c>
      <c r="E65" s="20" t="s">
        <v>632</v>
      </c>
      <c r="F65" s="20" t="s">
        <v>633</v>
      </c>
      <c r="G65" s="8" t="str">
        <f t="shared" si="0"/>
        <v>YANAI IAN</v>
      </c>
    </row>
    <row r="66" spans="1:7" x14ac:dyDescent="0.25">
      <c r="A66" s="8">
        <v>42915.329687500001</v>
      </c>
      <c r="B66" s="20" t="s">
        <v>526</v>
      </c>
      <c r="C66" s="20" t="s">
        <v>673</v>
      </c>
      <c r="D66" s="138">
        <v>1100000</v>
      </c>
      <c r="E66" s="20" t="s">
        <v>529</v>
      </c>
      <c r="F66" s="20" t="s">
        <v>530</v>
      </c>
      <c r="G66" s="8" t="str">
        <f t="shared" si="0"/>
        <v>GEBRETEKLE DAGNEW</v>
      </c>
    </row>
    <row r="67" spans="1:7" x14ac:dyDescent="0.25">
      <c r="A67" s="8">
        <v>42915.334039351852</v>
      </c>
      <c r="B67" s="20" t="s">
        <v>468</v>
      </c>
      <c r="C67" s="20" t="s">
        <v>674</v>
      </c>
      <c r="D67" s="138">
        <v>2730000</v>
      </c>
      <c r="E67" s="20" t="s">
        <v>503</v>
      </c>
      <c r="F67" s="20" t="s">
        <v>504</v>
      </c>
      <c r="G67" s="8" t="str">
        <f t="shared" ref="G67:G130" si="1">E67&amp;" "&amp;F67</f>
        <v>YANG JAN</v>
      </c>
    </row>
    <row r="68" spans="1:7" x14ac:dyDescent="0.25">
      <c r="A68" s="8">
        <v>42915.33798611111</v>
      </c>
      <c r="B68" s="20" t="s">
        <v>572</v>
      </c>
      <c r="C68" s="20" t="s">
        <v>675</v>
      </c>
      <c r="D68" s="138">
        <v>1990000</v>
      </c>
      <c r="E68" s="20" t="s">
        <v>409</v>
      </c>
      <c r="F68" s="20" t="s">
        <v>528</v>
      </c>
      <c r="G68" s="8" t="str">
        <f t="shared" si="1"/>
        <v>DAVIS WENDY</v>
      </c>
    </row>
    <row r="69" spans="1:7" x14ac:dyDescent="0.25">
      <c r="A69" s="8">
        <v>42915.340509259258</v>
      </c>
      <c r="B69" s="20" t="s">
        <v>338</v>
      </c>
      <c r="C69" s="20" t="s">
        <v>676</v>
      </c>
      <c r="D69" s="138">
        <v>2970000</v>
      </c>
      <c r="E69" s="20" t="s">
        <v>377</v>
      </c>
      <c r="F69" s="20" t="s">
        <v>378</v>
      </c>
      <c r="G69" s="8" t="str">
        <f t="shared" si="1"/>
        <v>GUZMAN DANNY</v>
      </c>
    </row>
    <row r="70" spans="1:7" x14ac:dyDescent="0.25">
      <c r="A70" s="8">
        <v>42915.350624999999</v>
      </c>
      <c r="B70" s="20" t="s">
        <v>594</v>
      </c>
      <c r="C70" s="20" t="s">
        <v>677</v>
      </c>
      <c r="D70" s="138">
        <v>1540000</v>
      </c>
      <c r="E70" s="20" t="s">
        <v>489</v>
      </c>
      <c r="F70" s="20" t="s">
        <v>490</v>
      </c>
      <c r="G70" s="8" t="str">
        <f t="shared" si="1"/>
        <v>HELVIE ADAM</v>
      </c>
    </row>
    <row r="71" spans="1:7" x14ac:dyDescent="0.25">
      <c r="A71" s="8">
        <v>42915.3512962963</v>
      </c>
      <c r="B71" s="20" t="s">
        <v>394</v>
      </c>
      <c r="C71" s="20" t="s">
        <v>678</v>
      </c>
      <c r="D71" s="138">
        <v>1110000</v>
      </c>
      <c r="E71" s="20" t="s">
        <v>487</v>
      </c>
      <c r="F71" s="20" t="s">
        <v>488</v>
      </c>
      <c r="G71" s="8" t="str">
        <f t="shared" si="1"/>
        <v>STARKS ANGELINA</v>
      </c>
    </row>
    <row r="72" spans="1:7" x14ac:dyDescent="0.25">
      <c r="A72" s="8">
        <v>42915.352314814816</v>
      </c>
      <c r="B72" s="20" t="s">
        <v>355</v>
      </c>
      <c r="C72" s="20" t="s">
        <v>679</v>
      </c>
      <c r="D72" s="138">
        <v>1990000</v>
      </c>
      <c r="E72" s="20" t="s">
        <v>409</v>
      </c>
      <c r="F72" s="20" t="s">
        <v>528</v>
      </c>
      <c r="G72" s="8" t="str">
        <f t="shared" si="1"/>
        <v>DAVIS WENDY</v>
      </c>
    </row>
    <row r="73" spans="1:7" x14ac:dyDescent="0.25">
      <c r="A73" s="8">
        <v>42915.357314814813</v>
      </c>
      <c r="B73" s="20" t="s">
        <v>366</v>
      </c>
      <c r="C73" s="20" t="s">
        <v>680</v>
      </c>
      <c r="D73" s="138">
        <v>1340000</v>
      </c>
      <c r="E73" s="20" t="s">
        <v>681</v>
      </c>
      <c r="F73" s="20" t="s">
        <v>682</v>
      </c>
      <c r="G73" s="8" t="str">
        <f t="shared" si="1"/>
        <v>BEAM ROSS</v>
      </c>
    </row>
    <row r="74" spans="1:7" x14ac:dyDescent="0.25">
      <c r="A74" s="8">
        <v>42915.358067129629</v>
      </c>
      <c r="B74" s="20" t="s">
        <v>366</v>
      </c>
      <c r="C74" s="20" t="s">
        <v>680</v>
      </c>
      <c r="D74" s="138">
        <v>1340000</v>
      </c>
      <c r="E74" s="20" t="s">
        <v>681</v>
      </c>
      <c r="F74" s="20" t="s">
        <v>682</v>
      </c>
      <c r="G74" s="8" t="str">
        <f t="shared" si="1"/>
        <v>BEAM ROSS</v>
      </c>
    </row>
    <row r="75" spans="1:7" x14ac:dyDescent="0.25">
      <c r="A75" s="8">
        <v>42915.358865740738</v>
      </c>
      <c r="B75" s="20" t="s">
        <v>537</v>
      </c>
      <c r="C75" s="20" t="s">
        <v>683</v>
      </c>
      <c r="D75" s="138">
        <v>1360000</v>
      </c>
      <c r="E75" s="20" t="s">
        <v>505</v>
      </c>
      <c r="F75" s="20" t="s">
        <v>506</v>
      </c>
      <c r="G75" s="8" t="str">
        <f t="shared" si="1"/>
        <v>SANTIZO D. EDY</v>
      </c>
    </row>
    <row r="76" spans="1:7" x14ac:dyDescent="0.25">
      <c r="A76" s="8">
        <v>42915.360092592593</v>
      </c>
      <c r="B76" s="20" t="s">
        <v>525</v>
      </c>
      <c r="C76" s="20" t="s">
        <v>684</v>
      </c>
      <c r="D76" s="138">
        <v>1100000</v>
      </c>
      <c r="E76" s="20" t="s">
        <v>529</v>
      </c>
      <c r="F76" s="20" t="s">
        <v>530</v>
      </c>
      <c r="G76" s="8" t="str">
        <f t="shared" si="1"/>
        <v>GEBRETEKLE DAGNEW</v>
      </c>
    </row>
    <row r="77" spans="1:7" x14ac:dyDescent="0.25">
      <c r="A77" s="8">
        <v>42915.360173611109</v>
      </c>
      <c r="B77" s="20" t="s">
        <v>472</v>
      </c>
      <c r="C77" s="20" t="s">
        <v>685</v>
      </c>
      <c r="D77" s="138">
        <v>2730000</v>
      </c>
      <c r="E77" s="20" t="s">
        <v>503</v>
      </c>
      <c r="F77" s="20" t="s">
        <v>504</v>
      </c>
      <c r="G77" s="8" t="str">
        <f t="shared" si="1"/>
        <v>YANG JAN</v>
      </c>
    </row>
    <row r="78" spans="1:7" x14ac:dyDescent="0.25">
      <c r="A78" s="8">
        <v>42915.360821759263</v>
      </c>
      <c r="B78" s="20" t="s">
        <v>397</v>
      </c>
      <c r="C78" s="20" t="s">
        <v>584</v>
      </c>
      <c r="D78" s="138">
        <v>940000</v>
      </c>
      <c r="E78" s="20" t="s">
        <v>485</v>
      </c>
      <c r="F78" s="20" t="s">
        <v>486</v>
      </c>
      <c r="G78" s="8" t="str">
        <f t="shared" si="1"/>
        <v>BONDS REYNALDO</v>
      </c>
    </row>
    <row r="79" spans="1:7" x14ac:dyDescent="0.25">
      <c r="A79" s="8">
        <v>42915.36246527778</v>
      </c>
      <c r="B79" s="20" t="s">
        <v>372</v>
      </c>
      <c r="C79" s="20" t="s">
        <v>680</v>
      </c>
      <c r="D79" s="138">
        <v>1340000</v>
      </c>
      <c r="E79" s="20" t="s">
        <v>681</v>
      </c>
      <c r="F79" s="20" t="s">
        <v>682</v>
      </c>
      <c r="G79" s="8" t="str">
        <f t="shared" si="1"/>
        <v>BEAM ROSS</v>
      </c>
    </row>
    <row r="80" spans="1:7" x14ac:dyDescent="0.25">
      <c r="A80" s="8">
        <v>42915.36922453704</v>
      </c>
      <c r="B80" s="20" t="s">
        <v>470</v>
      </c>
      <c r="C80" s="20" t="s">
        <v>585</v>
      </c>
      <c r="D80" s="138">
        <v>1230000</v>
      </c>
      <c r="E80" s="20" t="s">
        <v>632</v>
      </c>
      <c r="F80" s="20" t="s">
        <v>633</v>
      </c>
      <c r="G80" s="8" t="str">
        <f t="shared" si="1"/>
        <v>YANAI IAN</v>
      </c>
    </row>
    <row r="81" spans="1:7" x14ac:dyDescent="0.25">
      <c r="A81" s="8">
        <v>42915.369537037041</v>
      </c>
      <c r="B81" s="20" t="s">
        <v>586</v>
      </c>
      <c r="C81" s="20" t="s">
        <v>680</v>
      </c>
      <c r="D81" s="138">
        <v>1340000</v>
      </c>
      <c r="E81" s="20" t="s">
        <v>681</v>
      </c>
      <c r="F81" s="20" t="s">
        <v>682</v>
      </c>
      <c r="G81" s="8" t="str">
        <f t="shared" si="1"/>
        <v>BEAM ROSS</v>
      </c>
    </row>
    <row r="82" spans="1:7" x14ac:dyDescent="0.25">
      <c r="A82" s="8">
        <v>42915.372129629628</v>
      </c>
      <c r="B82" s="20" t="s">
        <v>339</v>
      </c>
      <c r="C82" s="20" t="s">
        <v>686</v>
      </c>
      <c r="D82" s="138">
        <v>2970000</v>
      </c>
      <c r="E82" s="20" t="s">
        <v>377</v>
      </c>
      <c r="F82" s="20" t="s">
        <v>378</v>
      </c>
      <c r="G82" s="8" t="str">
        <f t="shared" si="1"/>
        <v>GUZMAN DANNY</v>
      </c>
    </row>
    <row r="83" spans="1:7" x14ac:dyDescent="0.25">
      <c r="A83" s="8">
        <v>42915.373333333337</v>
      </c>
      <c r="B83" s="20" t="s">
        <v>687</v>
      </c>
      <c r="C83" s="20" t="s">
        <v>680</v>
      </c>
      <c r="D83" s="138">
        <v>1340000</v>
      </c>
      <c r="E83" s="20" t="s">
        <v>681</v>
      </c>
      <c r="F83" s="20" t="s">
        <v>682</v>
      </c>
      <c r="G83" s="8" t="str">
        <f t="shared" si="1"/>
        <v>BEAM ROSS</v>
      </c>
    </row>
    <row r="84" spans="1:7" x14ac:dyDescent="0.25">
      <c r="A84" s="8">
        <v>42915.375173611108</v>
      </c>
      <c r="B84" s="20" t="s">
        <v>687</v>
      </c>
      <c r="C84" s="20" t="s">
        <v>680</v>
      </c>
      <c r="D84" s="138">
        <v>1340000</v>
      </c>
      <c r="E84" s="20" t="s">
        <v>681</v>
      </c>
      <c r="F84" s="20" t="s">
        <v>682</v>
      </c>
      <c r="G84" s="8" t="str">
        <f t="shared" si="1"/>
        <v>BEAM ROSS</v>
      </c>
    </row>
    <row r="85" spans="1:7" x14ac:dyDescent="0.25">
      <c r="A85" s="8">
        <v>42915.382928240739</v>
      </c>
      <c r="B85" s="20" t="s">
        <v>468</v>
      </c>
      <c r="C85" s="20" t="s">
        <v>688</v>
      </c>
      <c r="D85" s="138">
        <v>2730000</v>
      </c>
      <c r="E85" s="20" t="s">
        <v>503</v>
      </c>
      <c r="F85" s="20" t="s">
        <v>504</v>
      </c>
      <c r="G85" s="8" t="str">
        <f t="shared" si="1"/>
        <v>YANG JAN</v>
      </c>
    </row>
    <row r="86" spans="1:7" x14ac:dyDescent="0.25">
      <c r="A86" s="8">
        <v>42915.384629629632</v>
      </c>
      <c r="B86" s="20" t="s">
        <v>597</v>
      </c>
      <c r="C86" s="20" t="s">
        <v>689</v>
      </c>
      <c r="D86" s="138">
        <v>1540000</v>
      </c>
      <c r="E86" s="20" t="s">
        <v>489</v>
      </c>
      <c r="F86" s="20" t="s">
        <v>490</v>
      </c>
      <c r="G86" s="8" t="str">
        <f t="shared" si="1"/>
        <v>HELVIE ADAM</v>
      </c>
    </row>
    <row r="87" spans="1:7" x14ac:dyDescent="0.25">
      <c r="A87" s="8">
        <v>42915.390601851854</v>
      </c>
      <c r="B87" s="20" t="s">
        <v>582</v>
      </c>
      <c r="C87" s="20" t="s">
        <v>690</v>
      </c>
      <c r="D87" s="138">
        <v>1360000</v>
      </c>
      <c r="E87" s="20" t="s">
        <v>505</v>
      </c>
      <c r="F87" s="20" t="s">
        <v>506</v>
      </c>
      <c r="G87" s="8" t="str">
        <f t="shared" si="1"/>
        <v>SANTIZO D. EDY</v>
      </c>
    </row>
    <row r="88" spans="1:7" x14ac:dyDescent="0.25">
      <c r="A88" s="8">
        <v>42915.392002314817</v>
      </c>
      <c r="B88" s="20" t="s">
        <v>400</v>
      </c>
      <c r="C88" s="20" t="s">
        <v>691</v>
      </c>
      <c r="D88" s="138">
        <v>940000</v>
      </c>
      <c r="E88" s="20" t="s">
        <v>485</v>
      </c>
      <c r="F88" s="20" t="s">
        <v>486</v>
      </c>
      <c r="G88" s="8" t="str">
        <f t="shared" si="1"/>
        <v>BONDS REYNALDO</v>
      </c>
    </row>
    <row r="89" spans="1:7" x14ac:dyDescent="0.25">
      <c r="A89" s="8">
        <v>42915.393229166664</v>
      </c>
      <c r="B89" s="20" t="s">
        <v>393</v>
      </c>
      <c r="C89" s="20" t="s">
        <v>692</v>
      </c>
      <c r="D89" s="138">
        <v>1110000</v>
      </c>
      <c r="E89" s="20" t="s">
        <v>487</v>
      </c>
      <c r="F89" s="20" t="s">
        <v>488</v>
      </c>
      <c r="G89" s="8" t="str">
        <f t="shared" si="1"/>
        <v>STARKS ANGELINA</v>
      </c>
    </row>
    <row r="90" spans="1:7" x14ac:dyDescent="0.25">
      <c r="A90" s="8">
        <v>42915.401076388887</v>
      </c>
      <c r="B90" s="20" t="s">
        <v>472</v>
      </c>
      <c r="C90" s="20" t="s">
        <v>693</v>
      </c>
      <c r="D90" s="138">
        <v>2730000</v>
      </c>
      <c r="E90" s="20" t="s">
        <v>503</v>
      </c>
      <c r="F90" s="20" t="s">
        <v>504</v>
      </c>
      <c r="G90" s="8" t="str">
        <f t="shared" si="1"/>
        <v>YANG JAN</v>
      </c>
    </row>
    <row r="91" spans="1:7" x14ac:dyDescent="0.25">
      <c r="A91" s="8">
        <v>42915.403298611112</v>
      </c>
      <c r="B91" s="20" t="s">
        <v>526</v>
      </c>
      <c r="C91" s="20" t="s">
        <v>694</v>
      </c>
      <c r="D91" s="138">
        <v>1100000</v>
      </c>
      <c r="E91" s="20" t="s">
        <v>529</v>
      </c>
      <c r="F91" s="20" t="s">
        <v>530</v>
      </c>
      <c r="G91" s="8" t="str">
        <f t="shared" si="1"/>
        <v>GEBRETEKLE DAGNEW</v>
      </c>
    </row>
    <row r="92" spans="1:7" x14ac:dyDescent="0.25">
      <c r="A92" s="8">
        <v>42915.404085648152</v>
      </c>
      <c r="B92" s="20" t="s">
        <v>473</v>
      </c>
      <c r="C92" s="20" t="s">
        <v>695</v>
      </c>
      <c r="D92" s="138">
        <v>1230000</v>
      </c>
      <c r="E92" s="20" t="s">
        <v>632</v>
      </c>
      <c r="F92" s="20" t="s">
        <v>633</v>
      </c>
      <c r="G92" s="8" t="str">
        <f t="shared" si="1"/>
        <v>YANAI IAN</v>
      </c>
    </row>
    <row r="93" spans="1:7" x14ac:dyDescent="0.25">
      <c r="A93" s="8">
        <v>42915.41033564815</v>
      </c>
      <c r="B93" s="20" t="s">
        <v>472</v>
      </c>
      <c r="C93" s="20" t="s">
        <v>693</v>
      </c>
      <c r="D93" s="138">
        <v>2730000</v>
      </c>
      <c r="E93" s="20" t="s">
        <v>503</v>
      </c>
      <c r="F93" s="20" t="s">
        <v>504</v>
      </c>
      <c r="G93" s="8" t="str">
        <f t="shared" si="1"/>
        <v>YANG JAN</v>
      </c>
    </row>
    <row r="94" spans="1:7" x14ac:dyDescent="0.25">
      <c r="A94" s="8">
        <v>42915.41300925926</v>
      </c>
      <c r="B94" s="20" t="s">
        <v>338</v>
      </c>
      <c r="C94" s="20" t="s">
        <v>696</v>
      </c>
      <c r="D94" s="138">
        <v>2970000</v>
      </c>
      <c r="E94" s="20" t="s">
        <v>377</v>
      </c>
      <c r="F94" s="20" t="s">
        <v>378</v>
      </c>
      <c r="G94" s="8" t="str">
        <f t="shared" si="1"/>
        <v>GUZMAN DANNY</v>
      </c>
    </row>
    <row r="95" spans="1:7" x14ac:dyDescent="0.25">
      <c r="A95" s="8">
        <v>42915.423888888887</v>
      </c>
      <c r="B95" s="20" t="s">
        <v>594</v>
      </c>
      <c r="C95" s="20" t="s">
        <v>697</v>
      </c>
      <c r="D95" s="138">
        <v>1540000</v>
      </c>
      <c r="E95" s="20" t="s">
        <v>489</v>
      </c>
      <c r="F95" s="20" t="s">
        <v>490</v>
      </c>
      <c r="G95" s="8" t="str">
        <f t="shared" si="1"/>
        <v>HELVIE ADAM</v>
      </c>
    </row>
    <row r="96" spans="1:7" x14ac:dyDescent="0.25">
      <c r="A96" s="8">
        <v>42915.424710648149</v>
      </c>
      <c r="B96" s="20" t="s">
        <v>394</v>
      </c>
      <c r="C96" s="20" t="s">
        <v>698</v>
      </c>
      <c r="D96" s="138">
        <v>1990000</v>
      </c>
      <c r="E96" s="20" t="s">
        <v>409</v>
      </c>
      <c r="F96" s="20" t="s">
        <v>528</v>
      </c>
      <c r="G96" s="8" t="str">
        <f t="shared" si="1"/>
        <v>DAVIS WENDY</v>
      </c>
    </row>
    <row r="97" spans="1:7" x14ac:dyDescent="0.25">
      <c r="A97" s="8">
        <v>42915.427268518521</v>
      </c>
      <c r="B97" s="20" t="s">
        <v>468</v>
      </c>
      <c r="C97" s="20" t="s">
        <v>699</v>
      </c>
      <c r="D97" s="138">
        <v>2730000</v>
      </c>
      <c r="E97" s="20" t="s">
        <v>503</v>
      </c>
      <c r="F97" s="20" t="s">
        <v>504</v>
      </c>
      <c r="G97" s="8" t="str">
        <f t="shared" si="1"/>
        <v>YANG JAN</v>
      </c>
    </row>
    <row r="98" spans="1:7" x14ac:dyDescent="0.25">
      <c r="A98" s="8">
        <v>42915.431400462963</v>
      </c>
      <c r="B98" s="20" t="s">
        <v>537</v>
      </c>
      <c r="C98" s="20" t="s">
        <v>588</v>
      </c>
      <c r="D98" s="138">
        <v>1360000</v>
      </c>
      <c r="E98" s="20" t="s">
        <v>505</v>
      </c>
      <c r="F98" s="20" t="s">
        <v>506</v>
      </c>
      <c r="G98" s="8" t="str">
        <f t="shared" si="1"/>
        <v>SANTIZO D. EDY</v>
      </c>
    </row>
    <row r="99" spans="1:7" x14ac:dyDescent="0.25">
      <c r="A99" s="8">
        <v>42915.432175925926</v>
      </c>
      <c r="B99" s="20" t="s">
        <v>397</v>
      </c>
      <c r="C99" s="20" t="s">
        <v>700</v>
      </c>
      <c r="D99" s="138">
        <v>940000</v>
      </c>
      <c r="E99" s="20" t="s">
        <v>485</v>
      </c>
      <c r="F99" s="20" t="s">
        <v>486</v>
      </c>
      <c r="G99" s="8" t="str">
        <f t="shared" si="1"/>
        <v>BONDS REYNALDO</v>
      </c>
    </row>
    <row r="100" spans="1:7" x14ac:dyDescent="0.25">
      <c r="A100" s="8">
        <v>42915.433680555558</v>
      </c>
      <c r="B100" s="20" t="s">
        <v>525</v>
      </c>
      <c r="C100" s="20" t="s">
        <v>701</v>
      </c>
      <c r="D100" s="138">
        <v>1100000</v>
      </c>
      <c r="E100" s="20" t="s">
        <v>529</v>
      </c>
      <c r="F100" s="20" t="s">
        <v>530</v>
      </c>
      <c r="G100" s="8" t="str">
        <f t="shared" si="1"/>
        <v>GEBRETEKLE DAGNEW</v>
      </c>
    </row>
    <row r="101" spans="1:7" x14ac:dyDescent="0.25">
      <c r="A101" s="8">
        <v>42915.442187499997</v>
      </c>
      <c r="B101" s="20" t="s">
        <v>472</v>
      </c>
      <c r="C101" s="20" t="s">
        <v>702</v>
      </c>
      <c r="D101" s="138">
        <v>2730000</v>
      </c>
      <c r="E101" s="20" t="s">
        <v>503</v>
      </c>
      <c r="F101" s="20" t="s">
        <v>504</v>
      </c>
      <c r="G101" s="8" t="str">
        <f t="shared" si="1"/>
        <v>YANG JAN</v>
      </c>
    </row>
    <row r="102" spans="1:7" x14ac:dyDescent="0.25">
      <c r="A102" s="8">
        <v>42915.443657407406</v>
      </c>
      <c r="B102" s="20" t="s">
        <v>470</v>
      </c>
      <c r="C102" s="20" t="s">
        <v>703</v>
      </c>
      <c r="D102" s="138">
        <v>3010000</v>
      </c>
      <c r="E102" s="20" t="s">
        <v>390</v>
      </c>
      <c r="F102" s="20" t="s">
        <v>391</v>
      </c>
      <c r="G102" s="8" t="str">
        <f t="shared" si="1"/>
        <v>SULLIVAN BRANDON</v>
      </c>
    </row>
    <row r="103" spans="1:7" x14ac:dyDescent="0.25">
      <c r="A103" s="8">
        <v>42915.444351851853</v>
      </c>
      <c r="B103" s="20" t="s">
        <v>339</v>
      </c>
      <c r="C103" s="20" t="s">
        <v>704</v>
      </c>
      <c r="D103" s="138">
        <v>2970000</v>
      </c>
      <c r="E103" s="20" t="s">
        <v>377</v>
      </c>
      <c r="F103" s="20" t="s">
        <v>378</v>
      </c>
      <c r="G103" s="8" t="str">
        <f t="shared" si="1"/>
        <v>GUZMAN DANNY</v>
      </c>
    </row>
    <row r="104" spans="1:7" x14ac:dyDescent="0.25">
      <c r="A104" s="8">
        <v>42915.448750000003</v>
      </c>
      <c r="B104" s="20" t="s">
        <v>586</v>
      </c>
      <c r="C104" s="20" t="s">
        <v>587</v>
      </c>
      <c r="D104" s="138">
        <v>2040000</v>
      </c>
      <c r="E104" s="20" t="s">
        <v>493</v>
      </c>
      <c r="F104" s="20" t="s">
        <v>494</v>
      </c>
      <c r="G104" s="8" t="str">
        <f t="shared" si="1"/>
        <v>MOSES BRADLEY</v>
      </c>
    </row>
    <row r="105" spans="1:7" x14ac:dyDescent="0.25">
      <c r="A105" s="8">
        <v>42915.456724537034</v>
      </c>
      <c r="B105" s="20" t="s">
        <v>597</v>
      </c>
      <c r="C105" s="20" t="s">
        <v>705</v>
      </c>
      <c r="D105" s="138">
        <v>1540000</v>
      </c>
      <c r="E105" s="20" t="s">
        <v>489</v>
      </c>
      <c r="F105" s="20" t="s">
        <v>490</v>
      </c>
      <c r="G105" s="8" t="str">
        <f t="shared" si="1"/>
        <v>HELVIE ADAM</v>
      </c>
    </row>
    <row r="106" spans="1:7" x14ac:dyDescent="0.25">
      <c r="A106" s="8">
        <v>42915.46371527778</v>
      </c>
      <c r="B106" s="20" t="s">
        <v>582</v>
      </c>
      <c r="C106" s="20" t="s">
        <v>706</v>
      </c>
      <c r="D106" s="138">
        <v>1360000</v>
      </c>
      <c r="E106" s="20" t="s">
        <v>505</v>
      </c>
      <c r="F106" s="20" t="s">
        <v>506</v>
      </c>
      <c r="G106" s="8" t="str">
        <f t="shared" si="1"/>
        <v>SANTIZO D. EDY</v>
      </c>
    </row>
    <row r="107" spans="1:7" x14ac:dyDescent="0.25">
      <c r="A107" s="8">
        <v>42915.464016203703</v>
      </c>
      <c r="B107" s="20" t="s">
        <v>393</v>
      </c>
      <c r="C107" s="20" t="s">
        <v>707</v>
      </c>
      <c r="D107" s="138">
        <v>1990000</v>
      </c>
      <c r="E107" s="20" t="s">
        <v>409</v>
      </c>
      <c r="F107" s="20" t="s">
        <v>528</v>
      </c>
      <c r="G107" s="8" t="str">
        <f t="shared" si="1"/>
        <v>DAVIS WENDY</v>
      </c>
    </row>
    <row r="108" spans="1:7" x14ac:dyDescent="0.25">
      <c r="A108" s="8">
        <v>42915.466331018521</v>
      </c>
      <c r="B108" s="20" t="s">
        <v>400</v>
      </c>
      <c r="C108" s="20" t="s">
        <v>589</v>
      </c>
      <c r="D108" s="138">
        <v>880000</v>
      </c>
      <c r="E108" s="20" t="s">
        <v>507</v>
      </c>
      <c r="F108" s="20" t="s">
        <v>192</v>
      </c>
      <c r="G108" s="8" t="str">
        <f t="shared" si="1"/>
        <v>STEWART MICHAEL</v>
      </c>
    </row>
    <row r="109" spans="1:7" x14ac:dyDescent="0.25">
      <c r="A109" s="8">
        <v>42915.467048611114</v>
      </c>
      <c r="B109" s="20" t="s">
        <v>468</v>
      </c>
      <c r="C109" s="20" t="s">
        <v>708</v>
      </c>
      <c r="D109" s="138">
        <v>2730000</v>
      </c>
      <c r="E109" s="20" t="s">
        <v>503</v>
      </c>
      <c r="F109" s="20" t="s">
        <v>504</v>
      </c>
      <c r="G109" s="8" t="str">
        <f t="shared" si="1"/>
        <v>YANG JAN</v>
      </c>
    </row>
    <row r="110" spans="1:7" x14ac:dyDescent="0.25">
      <c r="A110" s="8">
        <v>42915.473067129627</v>
      </c>
      <c r="B110" s="20" t="s">
        <v>687</v>
      </c>
      <c r="C110" s="20" t="s">
        <v>709</v>
      </c>
      <c r="D110" s="138">
        <v>940000</v>
      </c>
      <c r="E110" s="20" t="s">
        <v>485</v>
      </c>
      <c r="F110" s="20" t="s">
        <v>486</v>
      </c>
      <c r="G110" s="8" t="str">
        <f t="shared" si="1"/>
        <v>BONDS REYNALDO</v>
      </c>
    </row>
    <row r="111" spans="1:7" x14ac:dyDescent="0.25">
      <c r="A111" s="8">
        <v>42915.475613425922</v>
      </c>
      <c r="B111" s="20" t="s">
        <v>526</v>
      </c>
      <c r="C111" s="20" t="s">
        <v>710</v>
      </c>
      <c r="D111" s="138">
        <v>2470000</v>
      </c>
      <c r="E111" s="20" t="s">
        <v>463</v>
      </c>
      <c r="F111" s="20" t="s">
        <v>464</v>
      </c>
      <c r="G111" s="8" t="str">
        <f t="shared" si="1"/>
        <v>ROMERO CHAD</v>
      </c>
    </row>
    <row r="112" spans="1:7" x14ac:dyDescent="0.25">
      <c r="A112" s="8">
        <v>42915.481504629628</v>
      </c>
      <c r="B112" s="20" t="s">
        <v>473</v>
      </c>
      <c r="C112" s="20" t="s">
        <v>711</v>
      </c>
      <c r="D112" s="138">
        <v>3010000</v>
      </c>
      <c r="E112" s="20" t="s">
        <v>390</v>
      </c>
      <c r="F112" s="20" t="s">
        <v>391</v>
      </c>
      <c r="G112" s="8" t="str">
        <f t="shared" si="1"/>
        <v>SULLIVAN BRANDON</v>
      </c>
    </row>
    <row r="113" spans="1:7" x14ac:dyDescent="0.25">
      <c r="A113" s="8">
        <v>42915.4841087963</v>
      </c>
      <c r="B113" s="20" t="s">
        <v>473</v>
      </c>
      <c r="C113" s="20" t="s">
        <v>711</v>
      </c>
      <c r="D113" s="138">
        <v>3010000</v>
      </c>
      <c r="E113" s="20" t="s">
        <v>390</v>
      </c>
      <c r="F113" s="20" t="s">
        <v>391</v>
      </c>
      <c r="G113" s="8" t="str">
        <f t="shared" si="1"/>
        <v>SULLIVAN BRANDON</v>
      </c>
    </row>
    <row r="114" spans="1:7" x14ac:dyDescent="0.25">
      <c r="A114" s="8">
        <v>42915.484155092592</v>
      </c>
      <c r="B114" s="20" t="s">
        <v>472</v>
      </c>
      <c r="C114" s="20" t="s">
        <v>712</v>
      </c>
      <c r="D114" s="138">
        <v>2730000</v>
      </c>
      <c r="E114" s="20" t="s">
        <v>503</v>
      </c>
      <c r="F114" s="20" t="s">
        <v>504</v>
      </c>
      <c r="G114" s="8" t="str">
        <f t="shared" si="1"/>
        <v>YANG JAN</v>
      </c>
    </row>
    <row r="115" spans="1:7" x14ac:dyDescent="0.25">
      <c r="A115" s="8">
        <v>42915.486226851855</v>
      </c>
      <c r="B115" s="20" t="s">
        <v>338</v>
      </c>
      <c r="C115" s="20" t="s">
        <v>713</v>
      </c>
      <c r="D115" s="138">
        <v>1300000</v>
      </c>
      <c r="E115" s="20" t="s">
        <v>508</v>
      </c>
      <c r="F115" s="20" t="s">
        <v>509</v>
      </c>
      <c r="G115" s="8" t="str">
        <f t="shared" si="1"/>
        <v>LEVIN SCOTT</v>
      </c>
    </row>
    <row r="116" spans="1:7" x14ac:dyDescent="0.25">
      <c r="A116" s="8">
        <v>42915.495138888888</v>
      </c>
      <c r="B116" s="20" t="s">
        <v>594</v>
      </c>
      <c r="C116" s="20" t="s">
        <v>714</v>
      </c>
      <c r="D116" s="138">
        <v>1540000</v>
      </c>
      <c r="E116" s="20" t="s">
        <v>489</v>
      </c>
      <c r="F116" s="20" t="s">
        <v>490</v>
      </c>
      <c r="G116" s="8" t="str">
        <f t="shared" si="1"/>
        <v>HELVIE ADAM</v>
      </c>
    </row>
    <row r="117" spans="1:7" x14ac:dyDescent="0.25">
      <c r="A117" s="8">
        <v>42915.497847222221</v>
      </c>
      <c r="B117" s="20" t="s">
        <v>394</v>
      </c>
      <c r="C117" s="20" t="s">
        <v>715</v>
      </c>
      <c r="D117" s="138">
        <v>2370000</v>
      </c>
      <c r="E117" s="20" t="s">
        <v>531</v>
      </c>
      <c r="F117" s="20" t="s">
        <v>532</v>
      </c>
      <c r="G117" s="8" t="str">
        <f t="shared" si="1"/>
        <v>DELGADO DIANAH</v>
      </c>
    </row>
    <row r="118" spans="1:7" x14ac:dyDescent="0.25">
      <c r="A118" s="8">
        <v>42915.505509259259</v>
      </c>
      <c r="B118" s="20" t="s">
        <v>525</v>
      </c>
      <c r="C118" s="20" t="s">
        <v>590</v>
      </c>
      <c r="D118" s="138">
        <v>2470000</v>
      </c>
      <c r="E118" s="20" t="s">
        <v>463</v>
      </c>
      <c r="F118" s="20" t="s">
        <v>464</v>
      </c>
      <c r="G118" s="8" t="str">
        <f t="shared" si="1"/>
        <v>ROMERO CHAD</v>
      </c>
    </row>
    <row r="119" spans="1:7" x14ac:dyDescent="0.25">
      <c r="A119" s="8">
        <v>42915.505810185183</v>
      </c>
      <c r="B119" s="20" t="s">
        <v>397</v>
      </c>
      <c r="C119" s="20" t="s">
        <v>716</v>
      </c>
      <c r="D119" s="138">
        <v>880000</v>
      </c>
      <c r="E119" s="20" t="s">
        <v>507</v>
      </c>
      <c r="F119" s="20" t="s">
        <v>192</v>
      </c>
      <c r="G119" s="8" t="str">
        <f t="shared" si="1"/>
        <v>STEWART MICHAEL</v>
      </c>
    </row>
    <row r="120" spans="1:7" x14ac:dyDescent="0.25">
      <c r="A120" s="8">
        <v>42915.506736111114</v>
      </c>
      <c r="B120" s="20" t="s">
        <v>537</v>
      </c>
      <c r="C120" s="20" t="s">
        <v>717</v>
      </c>
      <c r="D120" s="138">
        <v>1180000</v>
      </c>
      <c r="E120" s="20" t="s">
        <v>491</v>
      </c>
      <c r="F120" s="20" t="s">
        <v>492</v>
      </c>
      <c r="G120" s="8" t="str">
        <f t="shared" si="1"/>
        <v>LEVERE CRAIG</v>
      </c>
    </row>
    <row r="121" spans="1:7" x14ac:dyDescent="0.25">
      <c r="A121" s="8">
        <v>42915.506967592592</v>
      </c>
      <c r="B121" s="20" t="s">
        <v>468</v>
      </c>
      <c r="C121" s="20" t="s">
        <v>718</v>
      </c>
      <c r="D121" s="138">
        <v>2730000</v>
      </c>
      <c r="E121" s="20" t="s">
        <v>503</v>
      </c>
      <c r="F121" s="20" t="s">
        <v>504</v>
      </c>
      <c r="G121" s="8" t="str">
        <f t="shared" si="1"/>
        <v>YANG JAN</v>
      </c>
    </row>
    <row r="122" spans="1:7" x14ac:dyDescent="0.25">
      <c r="A122" s="8">
        <v>42915.516689814816</v>
      </c>
      <c r="B122" s="25" t="s">
        <v>470</v>
      </c>
      <c r="C122" s="20" t="s">
        <v>591</v>
      </c>
      <c r="D122" s="138">
        <v>3010000</v>
      </c>
      <c r="E122" s="20" t="s">
        <v>390</v>
      </c>
      <c r="F122" s="20" t="s">
        <v>391</v>
      </c>
      <c r="G122" s="8" t="str">
        <f t="shared" si="1"/>
        <v>SULLIVAN BRANDON</v>
      </c>
    </row>
    <row r="123" spans="1:7" x14ac:dyDescent="0.25">
      <c r="A123" s="8">
        <v>42915.525914351849</v>
      </c>
      <c r="B123" s="20" t="s">
        <v>472</v>
      </c>
      <c r="C123" s="20" t="s">
        <v>719</v>
      </c>
      <c r="D123" s="138">
        <v>2730000</v>
      </c>
      <c r="E123" s="20" t="s">
        <v>503</v>
      </c>
      <c r="F123" s="20" t="s">
        <v>504</v>
      </c>
      <c r="G123" s="8" t="str">
        <f t="shared" si="1"/>
        <v>YANG JAN</v>
      </c>
    </row>
    <row r="124" spans="1:7" x14ac:dyDescent="0.25">
      <c r="A124" s="8">
        <v>42915.526388888888</v>
      </c>
      <c r="B124" s="20" t="s">
        <v>597</v>
      </c>
      <c r="C124" s="20" t="s">
        <v>720</v>
      </c>
      <c r="D124" s="138">
        <v>2420000</v>
      </c>
      <c r="E124" s="20" t="s">
        <v>533</v>
      </c>
      <c r="F124" s="20" t="s">
        <v>534</v>
      </c>
      <c r="G124" s="8" t="str">
        <f t="shared" si="1"/>
        <v>HOLCOMB KAMDEN</v>
      </c>
    </row>
    <row r="125" spans="1:7" x14ac:dyDescent="0.25">
      <c r="A125" s="8">
        <v>42915.527708333335</v>
      </c>
      <c r="B125" s="20" t="s">
        <v>339</v>
      </c>
      <c r="C125" s="20" t="s">
        <v>721</v>
      </c>
      <c r="D125" s="138">
        <v>1300000</v>
      </c>
      <c r="E125" s="20" t="s">
        <v>508</v>
      </c>
      <c r="F125" s="20" t="s">
        <v>509</v>
      </c>
      <c r="G125" s="8" t="str">
        <f t="shared" si="1"/>
        <v>LEVIN SCOTT</v>
      </c>
    </row>
    <row r="126" spans="1:7" x14ac:dyDescent="0.25">
      <c r="A126" s="8">
        <v>42915.537141203706</v>
      </c>
      <c r="B126" s="20" t="s">
        <v>393</v>
      </c>
      <c r="C126" s="20" t="s">
        <v>722</v>
      </c>
      <c r="D126" s="138">
        <v>2370000</v>
      </c>
      <c r="E126" s="20" t="s">
        <v>531</v>
      </c>
      <c r="F126" s="20" t="s">
        <v>532</v>
      </c>
      <c r="G126" s="8" t="str">
        <f t="shared" si="1"/>
        <v>DELGADO DIANAH</v>
      </c>
    </row>
    <row r="127" spans="1:7" x14ac:dyDescent="0.25">
      <c r="A127" s="8">
        <v>42915.538819444446</v>
      </c>
      <c r="B127" s="20" t="s">
        <v>400</v>
      </c>
      <c r="C127" s="20" t="s">
        <v>723</v>
      </c>
      <c r="D127" s="138">
        <v>880000</v>
      </c>
      <c r="E127" s="20" t="s">
        <v>507</v>
      </c>
      <c r="F127" s="20" t="s">
        <v>192</v>
      </c>
      <c r="G127" s="8" t="str">
        <f t="shared" si="1"/>
        <v>STEWART MICHAEL</v>
      </c>
    </row>
    <row r="128" spans="1:7" x14ac:dyDescent="0.25">
      <c r="A128" s="8">
        <v>42915.544502314813</v>
      </c>
      <c r="B128" s="20" t="s">
        <v>468</v>
      </c>
      <c r="C128" s="20" t="s">
        <v>724</v>
      </c>
      <c r="D128" s="138">
        <v>2260000</v>
      </c>
      <c r="E128" s="20" t="s">
        <v>535</v>
      </c>
      <c r="F128" s="20" t="s">
        <v>536</v>
      </c>
      <c r="G128" s="8" t="str">
        <f t="shared" si="1"/>
        <v>ARVIDSON DANIEL</v>
      </c>
    </row>
    <row r="129" spans="1:7" x14ac:dyDescent="0.25">
      <c r="A129" s="8">
        <v>42915.54451388889</v>
      </c>
      <c r="B129" s="20" t="s">
        <v>582</v>
      </c>
      <c r="C129" s="20" t="s">
        <v>725</v>
      </c>
      <c r="D129" s="138">
        <v>1180000</v>
      </c>
      <c r="E129" s="20" t="s">
        <v>491</v>
      </c>
      <c r="F129" s="20" t="s">
        <v>492</v>
      </c>
      <c r="G129" s="8" t="str">
        <f t="shared" si="1"/>
        <v>LEVERE CRAIG</v>
      </c>
    </row>
    <row r="130" spans="1:7" x14ac:dyDescent="0.25">
      <c r="A130" s="8">
        <v>42915.548159722224</v>
      </c>
      <c r="B130" s="20" t="s">
        <v>526</v>
      </c>
      <c r="C130" s="20" t="s">
        <v>592</v>
      </c>
      <c r="D130" s="138">
        <v>2470000</v>
      </c>
      <c r="E130" s="20" t="s">
        <v>463</v>
      </c>
      <c r="F130" s="20" t="s">
        <v>464</v>
      </c>
      <c r="G130" s="8" t="str">
        <f t="shared" si="1"/>
        <v>ROMERO CHAD</v>
      </c>
    </row>
    <row r="131" spans="1:7" x14ac:dyDescent="0.25">
      <c r="A131" s="8">
        <v>42915.554918981485</v>
      </c>
      <c r="B131" s="20" t="s">
        <v>473</v>
      </c>
      <c r="C131" s="20" t="s">
        <v>726</v>
      </c>
      <c r="D131" s="138">
        <v>3010000</v>
      </c>
      <c r="E131" s="20" t="s">
        <v>390</v>
      </c>
      <c r="F131" s="20" t="s">
        <v>391</v>
      </c>
      <c r="G131" s="8" t="str">
        <f t="shared" ref="G131:G194" si="2">E131&amp;" "&amp;F131</f>
        <v>SULLIVAN BRANDON</v>
      </c>
    </row>
    <row r="132" spans="1:7" x14ac:dyDescent="0.25">
      <c r="A132" s="8">
        <v>42915.555902777778</v>
      </c>
      <c r="B132" s="20" t="s">
        <v>436</v>
      </c>
      <c r="C132" s="20" t="s">
        <v>593</v>
      </c>
      <c r="D132" s="138">
        <v>2440000</v>
      </c>
      <c r="E132" s="20" t="s">
        <v>727</v>
      </c>
      <c r="F132" s="20" t="s">
        <v>728</v>
      </c>
      <c r="G132" s="8" t="str">
        <f t="shared" si="2"/>
        <v>LOPES KIMBERLY</v>
      </c>
    </row>
    <row r="133" spans="1:7" x14ac:dyDescent="0.25">
      <c r="A133" s="8">
        <v>42915.559293981481</v>
      </c>
      <c r="B133" s="20" t="s">
        <v>338</v>
      </c>
      <c r="C133" s="20" t="s">
        <v>729</v>
      </c>
      <c r="D133" s="138">
        <v>1300000</v>
      </c>
      <c r="E133" s="20" t="s">
        <v>508</v>
      </c>
      <c r="F133" s="20" t="s">
        <v>509</v>
      </c>
      <c r="G133" s="8" t="str">
        <f t="shared" si="2"/>
        <v>LEVIN SCOTT</v>
      </c>
    </row>
    <row r="134" spans="1:7" x14ac:dyDescent="0.25">
      <c r="A134" s="8">
        <v>42915.567881944444</v>
      </c>
      <c r="B134" s="20" t="s">
        <v>472</v>
      </c>
      <c r="C134" s="20" t="s">
        <v>730</v>
      </c>
      <c r="D134" s="138">
        <v>2260000</v>
      </c>
      <c r="E134" s="20" t="s">
        <v>535</v>
      </c>
      <c r="F134" s="20" t="s">
        <v>536</v>
      </c>
      <c r="G134" s="8" t="str">
        <f t="shared" si="2"/>
        <v>ARVIDSON DANIEL</v>
      </c>
    </row>
    <row r="135" spans="1:7" x14ac:dyDescent="0.25">
      <c r="A135" s="8">
        <v>42915.568356481483</v>
      </c>
      <c r="B135" s="20" t="s">
        <v>394</v>
      </c>
      <c r="C135" s="20" t="s">
        <v>731</v>
      </c>
      <c r="D135" s="138">
        <v>2370000</v>
      </c>
      <c r="E135" s="20" t="s">
        <v>531</v>
      </c>
      <c r="F135" s="20" t="s">
        <v>532</v>
      </c>
      <c r="G135" s="8" t="str">
        <f t="shared" si="2"/>
        <v>DELGADO DIANAH</v>
      </c>
    </row>
    <row r="136" spans="1:7" x14ac:dyDescent="0.25">
      <c r="A136" s="8">
        <v>42915.569710648146</v>
      </c>
      <c r="B136" s="20" t="s">
        <v>472</v>
      </c>
      <c r="C136" s="20" t="s">
        <v>732</v>
      </c>
      <c r="D136" s="138">
        <v>2260000</v>
      </c>
      <c r="E136" s="20" t="s">
        <v>535</v>
      </c>
      <c r="F136" s="20" t="s">
        <v>536</v>
      </c>
      <c r="G136" s="8" t="str">
        <f t="shared" si="2"/>
        <v>ARVIDSON DANIEL</v>
      </c>
    </row>
    <row r="137" spans="1:7" x14ac:dyDescent="0.25">
      <c r="A137" s="8">
        <v>42915.570115740738</v>
      </c>
      <c r="B137" s="20" t="s">
        <v>594</v>
      </c>
      <c r="C137" s="20" t="s">
        <v>595</v>
      </c>
      <c r="D137" s="138">
        <v>2420000</v>
      </c>
      <c r="E137" s="20" t="s">
        <v>533</v>
      </c>
      <c r="F137" s="20" t="s">
        <v>534</v>
      </c>
      <c r="G137" s="8" t="str">
        <f t="shared" si="2"/>
        <v>HOLCOMB KAMDEN</v>
      </c>
    </row>
    <row r="138" spans="1:7" x14ac:dyDescent="0.25">
      <c r="A138" s="8">
        <v>42915.577905092592</v>
      </c>
      <c r="B138" s="20" t="s">
        <v>397</v>
      </c>
      <c r="C138" s="20" t="s">
        <v>596</v>
      </c>
      <c r="D138" s="138">
        <v>880000</v>
      </c>
      <c r="E138" s="20" t="s">
        <v>507</v>
      </c>
      <c r="F138" s="20" t="s">
        <v>192</v>
      </c>
      <c r="G138" s="8" t="str">
        <f t="shared" si="2"/>
        <v>STEWART MICHAEL</v>
      </c>
    </row>
    <row r="139" spans="1:7" x14ac:dyDescent="0.25">
      <c r="A139" s="8">
        <v>42915.579305555555</v>
      </c>
      <c r="B139" s="20" t="s">
        <v>537</v>
      </c>
      <c r="C139" s="20" t="s">
        <v>733</v>
      </c>
      <c r="D139" s="138">
        <v>1180000</v>
      </c>
      <c r="E139" s="20" t="s">
        <v>491</v>
      </c>
      <c r="F139" s="20" t="s">
        <v>492</v>
      </c>
      <c r="G139" s="8" t="str">
        <f t="shared" si="2"/>
        <v>LEVERE CRAIG</v>
      </c>
    </row>
    <row r="140" spans="1:7" x14ac:dyDescent="0.25">
      <c r="A140" s="8">
        <v>42915.580925925926</v>
      </c>
      <c r="B140" s="20" t="s">
        <v>525</v>
      </c>
      <c r="C140" s="20" t="s">
        <v>734</v>
      </c>
      <c r="D140" s="138">
        <v>2470000</v>
      </c>
      <c r="E140" s="20" t="s">
        <v>463</v>
      </c>
      <c r="F140" s="20" t="s">
        <v>464</v>
      </c>
      <c r="G140" s="8" t="str">
        <f t="shared" si="2"/>
        <v>ROMERO CHAD</v>
      </c>
    </row>
    <row r="141" spans="1:7" x14ac:dyDescent="0.25">
      <c r="A141" s="8">
        <v>42915.583854166667</v>
      </c>
      <c r="B141" s="20" t="s">
        <v>436</v>
      </c>
      <c r="C141" s="20" t="s">
        <v>593</v>
      </c>
      <c r="D141" s="138">
        <v>2440000</v>
      </c>
      <c r="E141" s="20" t="s">
        <v>727</v>
      </c>
      <c r="F141" s="20" t="s">
        <v>728</v>
      </c>
      <c r="G141" s="8" t="str">
        <f t="shared" si="2"/>
        <v>LOPES KIMBERLY</v>
      </c>
    </row>
    <row r="142" spans="1:7" x14ac:dyDescent="0.25">
      <c r="A142" s="8">
        <v>42915.588831018518</v>
      </c>
      <c r="B142" s="20" t="s">
        <v>470</v>
      </c>
      <c r="C142" s="20" t="s">
        <v>599</v>
      </c>
      <c r="D142" s="138">
        <v>3010000</v>
      </c>
      <c r="E142" s="20" t="s">
        <v>390</v>
      </c>
      <c r="F142" s="20" t="s">
        <v>391</v>
      </c>
      <c r="G142" s="8" t="str">
        <f t="shared" si="2"/>
        <v>SULLIVAN BRANDON</v>
      </c>
    </row>
    <row r="143" spans="1:7" x14ac:dyDescent="0.25">
      <c r="A143" s="8">
        <v>42915.591006944444</v>
      </c>
      <c r="B143" s="20" t="s">
        <v>437</v>
      </c>
      <c r="C143" s="20" t="s">
        <v>593</v>
      </c>
      <c r="D143" s="138">
        <v>2440000</v>
      </c>
      <c r="E143" s="20" t="s">
        <v>727</v>
      </c>
      <c r="F143" s="20" t="s">
        <v>728</v>
      </c>
      <c r="G143" s="8" t="str">
        <f t="shared" si="2"/>
        <v>LOPES KIMBERLY</v>
      </c>
    </row>
    <row r="144" spans="1:7" x14ac:dyDescent="0.25">
      <c r="A144" s="8">
        <v>42915.591874999998</v>
      </c>
      <c r="B144" s="20" t="s">
        <v>437</v>
      </c>
      <c r="C144" s="20" t="s">
        <v>593</v>
      </c>
      <c r="D144" s="138">
        <v>2440000</v>
      </c>
      <c r="E144" s="20" t="s">
        <v>727</v>
      </c>
      <c r="F144" s="20" t="s">
        <v>728</v>
      </c>
      <c r="G144" s="8" t="str">
        <f t="shared" si="2"/>
        <v>LOPES KIMBERLY</v>
      </c>
    </row>
    <row r="145" spans="1:7" x14ac:dyDescent="0.25">
      <c r="A145" s="8">
        <v>42915.593391203707</v>
      </c>
      <c r="B145" s="20" t="s">
        <v>468</v>
      </c>
      <c r="C145" s="20" t="s">
        <v>730</v>
      </c>
      <c r="D145" s="138">
        <v>2260000</v>
      </c>
      <c r="E145" s="20" t="s">
        <v>535</v>
      </c>
      <c r="F145" s="20" t="s">
        <v>536</v>
      </c>
      <c r="G145" s="8" t="str">
        <f t="shared" si="2"/>
        <v>ARVIDSON DANIEL</v>
      </c>
    </row>
    <row r="146" spans="1:7" x14ac:dyDescent="0.25">
      <c r="A146" s="8">
        <v>42915.599421296298</v>
      </c>
      <c r="B146" s="20" t="s">
        <v>597</v>
      </c>
      <c r="C146" s="20" t="s">
        <v>598</v>
      </c>
      <c r="D146" s="138">
        <v>2420000</v>
      </c>
      <c r="E146" s="20" t="s">
        <v>533</v>
      </c>
      <c r="F146" s="20" t="s">
        <v>534</v>
      </c>
      <c r="G146" s="8" t="str">
        <f t="shared" si="2"/>
        <v>HOLCOMB KAMDEN</v>
      </c>
    </row>
    <row r="147" spans="1:7" x14ac:dyDescent="0.25">
      <c r="A147" s="8">
        <v>42915.600023148145</v>
      </c>
      <c r="B147" s="20" t="s">
        <v>339</v>
      </c>
      <c r="C147" s="20" t="s">
        <v>735</v>
      </c>
      <c r="D147" s="138">
        <v>1300000</v>
      </c>
      <c r="E147" s="20" t="s">
        <v>508</v>
      </c>
      <c r="F147" s="20" t="s">
        <v>509</v>
      </c>
      <c r="G147" s="8" t="str">
        <f t="shared" si="2"/>
        <v>LEVIN SCOTT</v>
      </c>
    </row>
    <row r="148" spans="1:7" x14ac:dyDescent="0.25">
      <c r="A148" s="8">
        <v>42915.602627314816</v>
      </c>
      <c r="B148" s="20" t="s">
        <v>436</v>
      </c>
      <c r="C148" s="20" t="s">
        <v>593</v>
      </c>
      <c r="D148" s="138">
        <v>3130000</v>
      </c>
      <c r="E148" s="20" t="s">
        <v>382</v>
      </c>
      <c r="F148" s="20" t="s">
        <v>383</v>
      </c>
      <c r="G148" s="8" t="str">
        <f t="shared" si="2"/>
        <v>ZEWDU DEREJE</v>
      </c>
    </row>
    <row r="149" spans="1:7" x14ac:dyDescent="0.25">
      <c r="A149" s="8">
        <v>42915.606064814812</v>
      </c>
      <c r="B149" s="20" t="s">
        <v>393</v>
      </c>
      <c r="C149" s="20" t="s">
        <v>736</v>
      </c>
      <c r="D149" s="138">
        <v>2370000</v>
      </c>
      <c r="E149" s="20" t="s">
        <v>531</v>
      </c>
      <c r="F149" s="20" t="s">
        <v>532</v>
      </c>
      <c r="G149" s="8" t="str">
        <f t="shared" si="2"/>
        <v>DELGADO DIANAH</v>
      </c>
    </row>
    <row r="150" spans="1:7" x14ac:dyDescent="0.25">
      <c r="A150" s="8">
        <v>42915.609293981484</v>
      </c>
      <c r="B150" s="20" t="s">
        <v>472</v>
      </c>
      <c r="C150" s="20" t="s">
        <v>737</v>
      </c>
      <c r="D150" s="138">
        <v>2260000</v>
      </c>
      <c r="E150" s="20" t="s">
        <v>535</v>
      </c>
      <c r="F150" s="20" t="s">
        <v>536</v>
      </c>
      <c r="G150" s="8" t="str">
        <f t="shared" si="2"/>
        <v>ARVIDSON DANIEL</v>
      </c>
    </row>
    <row r="151" spans="1:7" x14ac:dyDescent="0.25">
      <c r="A151" s="8">
        <v>42915.613344907404</v>
      </c>
      <c r="B151" s="20" t="s">
        <v>400</v>
      </c>
      <c r="C151" s="20" t="s">
        <v>600</v>
      </c>
      <c r="D151" s="138">
        <v>880000</v>
      </c>
      <c r="E151" s="20" t="s">
        <v>507</v>
      </c>
      <c r="F151" s="20" t="s">
        <v>192</v>
      </c>
      <c r="G151" s="8" t="str">
        <f t="shared" si="2"/>
        <v>STEWART MICHAEL</v>
      </c>
    </row>
    <row r="152" spans="1:7" x14ac:dyDescent="0.25">
      <c r="A152" s="8">
        <v>42915.617581018516</v>
      </c>
      <c r="B152" s="20" t="s">
        <v>582</v>
      </c>
      <c r="C152" s="20" t="s">
        <v>738</v>
      </c>
      <c r="D152" s="138">
        <v>1180000</v>
      </c>
      <c r="E152" s="20" t="s">
        <v>491</v>
      </c>
      <c r="F152" s="20" t="s">
        <v>492</v>
      </c>
      <c r="G152" s="8" t="str">
        <f t="shared" si="2"/>
        <v>LEVERE CRAIG</v>
      </c>
    </row>
    <row r="153" spans="1:7" x14ac:dyDescent="0.25">
      <c r="A153" s="8">
        <v>42915.619375000002</v>
      </c>
      <c r="B153" s="20" t="s">
        <v>437</v>
      </c>
      <c r="C153" s="20" t="s">
        <v>593</v>
      </c>
      <c r="D153" s="138">
        <v>3130000</v>
      </c>
      <c r="E153" s="20" t="s">
        <v>382</v>
      </c>
      <c r="F153" s="20" t="s">
        <v>383</v>
      </c>
      <c r="G153" s="8" t="str">
        <f t="shared" si="2"/>
        <v>ZEWDU DEREJE</v>
      </c>
    </row>
    <row r="154" spans="1:7" x14ac:dyDescent="0.25">
      <c r="A154" s="8">
        <v>42915.620208333334</v>
      </c>
      <c r="B154" s="20" t="s">
        <v>526</v>
      </c>
      <c r="C154" s="20" t="s">
        <v>739</v>
      </c>
      <c r="D154" s="138">
        <v>2470000</v>
      </c>
      <c r="E154" s="20" t="s">
        <v>463</v>
      </c>
      <c r="F154" s="20" t="s">
        <v>464</v>
      </c>
      <c r="G154" s="8" t="str">
        <f t="shared" si="2"/>
        <v>ROMERO CHAD</v>
      </c>
    </row>
    <row r="155" spans="1:7" x14ac:dyDescent="0.25">
      <c r="A155" s="8">
        <v>42915.626666666663</v>
      </c>
      <c r="B155" s="20" t="s">
        <v>473</v>
      </c>
      <c r="C155" s="20" t="s">
        <v>740</v>
      </c>
      <c r="D155" s="138">
        <v>3010000</v>
      </c>
      <c r="E155" s="20" t="s">
        <v>390</v>
      </c>
      <c r="F155" s="20" t="s">
        <v>391</v>
      </c>
      <c r="G155" s="8" t="str">
        <f t="shared" si="2"/>
        <v>SULLIVAN BRANDON</v>
      </c>
    </row>
    <row r="156" spans="1:7" x14ac:dyDescent="0.25">
      <c r="A156" s="8">
        <v>42915.631724537037</v>
      </c>
      <c r="B156" s="20" t="s">
        <v>436</v>
      </c>
      <c r="C156" s="20" t="s">
        <v>593</v>
      </c>
      <c r="D156" s="138">
        <v>2440000</v>
      </c>
      <c r="E156" s="20" t="s">
        <v>727</v>
      </c>
      <c r="F156" s="20" t="s">
        <v>728</v>
      </c>
      <c r="G156" s="8" t="str">
        <f t="shared" si="2"/>
        <v>LOPES KIMBERLY</v>
      </c>
    </row>
    <row r="157" spans="1:7" x14ac:dyDescent="0.25">
      <c r="A157" s="8">
        <v>42915.632754629631</v>
      </c>
      <c r="B157" s="20" t="s">
        <v>338</v>
      </c>
      <c r="C157" s="20" t="s">
        <v>741</v>
      </c>
      <c r="D157" s="138">
        <v>1300000</v>
      </c>
      <c r="E157" s="20" t="s">
        <v>508</v>
      </c>
      <c r="F157" s="20" t="s">
        <v>509</v>
      </c>
      <c r="G157" s="8" t="str">
        <f t="shared" si="2"/>
        <v>LEVIN SCOTT</v>
      </c>
    </row>
    <row r="158" spans="1:7" x14ac:dyDescent="0.25">
      <c r="A158" s="8">
        <v>42915.633819444447</v>
      </c>
      <c r="B158" s="20" t="s">
        <v>572</v>
      </c>
      <c r="C158" s="20" t="s">
        <v>601</v>
      </c>
      <c r="D158" s="138">
        <v>2090000</v>
      </c>
      <c r="E158" s="20" t="s">
        <v>440</v>
      </c>
      <c r="F158" s="20" t="s">
        <v>192</v>
      </c>
      <c r="G158" s="8" t="str">
        <f t="shared" si="2"/>
        <v>HAITHCOX MICHAEL</v>
      </c>
    </row>
    <row r="159" spans="1:7" x14ac:dyDescent="0.25">
      <c r="A159" s="8">
        <v>42915.636053240742</v>
      </c>
      <c r="B159" s="20" t="s">
        <v>468</v>
      </c>
      <c r="C159" s="20" t="s">
        <v>742</v>
      </c>
      <c r="D159" s="138">
        <v>2260000</v>
      </c>
      <c r="E159" s="20" t="s">
        <v>535</v>
      </c>
      <c r="F159" s="20" t="s">
        <v>536</v>
      </c>
      <c r="G159" s="8" t="str">
        <f t="shared" si="2"/>
        <v>ARVIDSON DANIEL</v>
      </c>
    </row>
    <row r="160" spans="1:7" x14ac:dyDescent="0.25">
      <c r="A160" s="8">
        <v>42915.641203703701</v>
      </c>
      <c r="B160" s="20" t="s">
        <v>594</v>
      </c>
      <c r="C160" s="20" t="s">
        <v>602</v>
      </c>
      <c r="D160" s="138">
        <v>2420000</v>
      </c>
      <c r="E160" s="20" t="s">
        <v>533</v>
      </c>
      <c r="F160" s="20" t="s">
        <v>534</v>
      </c>
      <c r="G160" s="8" t="str">
        <f t="shared" si="2"/>
        <v>HOLCOMB KAMDEN</v>
      </c>
    </row>
    <row r="161" spans="1:7" x14ac:dyDescent="0.25">
      <c r="A161" s="8">
        <v>42915.642476851855</v>
      </c>
      <c r="B161" s="20" t="s">
        <v>394</v>
      </c>
      <c r="C161" s="20" t="s">
        <v>743</v>
      </c>
      <c r="D161" s="138">
        <v>2370000</v>
      </c>
      <c r="E161" s="20" t="s">
        <v>531</v>
      </c>
      <c r="F161" s="20" t="s">
        <v>532</v>
      </c>
      <c r="G161" s="8" t="str">
        <f t="shared" si="2"/>
        <v>DELGADO DIANAH</v>
      </c>
    </row>
    <row r="162" spans="1:7" x14ac:dyDescent="0.25">
      <c r="A162" s="8">
        <v>42915.64502314815</v>
      </c>
      <c r="B162" s="20" t="s">
        <v>355</v>
      </c>
      <c r="C162" s="20" t="s">
        <v>744</v>
      </c>
      <c r="D162" s="138">
        <v>2090000</v>
      </c>
      <c r="E162" s="20" t="s">
        <v>440</v>
      </c>
      <c r="F162" s="20" t="s">
        <v>192</v>
      </c>
      <c r="G162" s="8" t="str">
        <f t="shared" si="2"/>
        <v>HAITHCOX MICHAEL</v>
      </c>
    </row>
    <row r="163" spans="1:7" x14ac:dyDescent="0.25">
      <c r="A163" s="8">
        <v>42915.646041666667</v>
      </c>
      <c r="B163" s="20" t="s">
        <v>437</v>
      </c>
      <c r="C163" s="20" t="s">
        <v>593</v>
      </c>
      <c r="D163" s="138">
        <v>2440000</v>
      </c>
      <c r="E163" s="20" t="s">
        <v>727</v>
      </c>
      <c r="F163" s="20" t="s">
        <v>728</v>
      </c>
      <c r="G163" s="8" t="str">
        <f t="shared" si="2"/>
        <v>LOPES KIMBERLY</v>
      </c>
    </row>
    <row r="164" spans="1:7" x14ac:dyDescent="0.25">
      <c r="A164" s="8">
        <v>42915.651307870372</v>
      </c>
      <c r="B164" s="20" t="s">
        <v>397</v>
      </c>
      <c r="C164" s="20" t="s">
        <v>605</v>
      </c>
      <c r="D164" s="138">
        <v>880000</v>
      </c>
      <c r="E164" s="20" t="s">
        <v>507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42915.65215277778</v>
      </c>
      <c r="B165" s="20" t="s">
        <v>472</v>
      </c>
      <c r="C165" s="20" t="s">
        <v>603</v>
      </c>
      <c r="D165" s="138">
        <v>2260000</v>
      </c>
      <c r="E165" s="20" t="s">
        <v>535</v>
      </c>
      <c r="F165" s="20" t="s">
        <v>536</v>
      </c>
      <c r="G165" s="8" t="str">
        <f t="shared" si="2"/>
        <v>ARVIDSON DANIEL</v>
      </c>
    </row>
    <row r="166" spans="1:7" x14ac:dyDescent="0.25">
      <c r="A166" s="8">
        <v>42915.65216435185</v>
      </c>
      <c r="B166" s="20" t="s">
        <v>537</v>
      </c>
      <c r="C166" s="20" t="s">
        <v>745</v>
      </c>
      <c r="D166" s="138">
        <v>1180000</v>
      </c>
      <c r="E166" s="20" t="s">
        <v>491</v>
      </c>
      <c r="F166" s="20" t="s">
        <v>492</v>
      </c>
      <c r="G166" s="8" t="str">
        <f t="shared" si="2"/>
        <v>LEVERE CRAIG</v>
      </c>
    </row>
    <row r="167" spans="1:7" x14ac:dyDescent="0.25">
      <c r="A167" s="8">
        <v>42915.653611111113</v>
      </c>
      <c r="B167" s="20" t="s">
        <v>525</v>
      </c>
      <c r="C167" s="20" t="s">
        <v>604</v>
      </c>
      <c r="D167" s="138">
        <v>2470000</v>
      </c>
      <c r="E167" s="20" t="s">
        <v>463</v>
      </c>
      <c r="F167" s="20" t="s">
        <v>464</v>
      </c>
      <c r="G167" s="8" t="str">
        <f t="shared" si="2"/>
        <v>ROMERO CHAD</v>
      </c>
    </row>
    <row r="168" spans="1:7" x14ac:dyDescent="0.25">
      <c r="A168" s="8">
        <v>42915.653668981482</v>
      </c>
      <c r="B168" s="20" t="s">
        <v>397</v>
      </c>
      <c r="C168" s="20" t="s">
        <v>605</v>
      </c>
      <c r="D168" s="138">
        <v>880000</v>
      </c>
      <c r="E168" s="20" t="s">
        <v>507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42915.656631944446</v>
      </c>
      <c r="B169" s="20" t="s">
        <v>436</v>
      </c>
      <c r="C169" s="20" t="s">
        <v>593</v>
      </c>
      <c r="D169" s="138">
        <v>2440000</v>
      </c>
      <c r="E169" s="20" t="s">
        <v>727</v>
      </c>
      <c r="F169" s="20" t="s">
        <v>728</v>
      </c>
      <c r="G169" s="8" t="str">
        <f t="shared" si="2"/>
        <v>LOPES KIMBERLY</v>
      </c>
    </row>
    <row r="170" spans="1:7" x14ac:dyDescent="0.25">
      <c r="A170" s="8">
        <v>42915.657638888886</v>
      </c>
      <c r="B170" s="20" t="s">
        <v>436</v>
      </c>
      <c r="C170" s="20" t="s">
        <v>593</v>
      </c>
      <c r="D170" s="138">
        <v>2440000</v>
      </c>
      <c r="E170" s="20" t="s">
        <v>727</v>
      </c>
      <c r="F170" s="20" t="s">
        <v>728</v>
      </c>
      <c r="G170" s="8" t="str">
        <f t="shared" si="2"/>
        <v>LOPES KIMBERLY</v>
      </c>
    </row>
    <row r="171" spans="1:7" x14ac:dyDescent="0.25">
      <c r="A171" s="8">
        <v>42915.662361111114</v>
      </c>
      <c r="B171" s="20" t="s">
        <v>470</v>
      </c>
      <c r="C171" s="20" t="s">
        <v>746</v>
      </c>
      <c r="D171" s="138">
        <v>3010000</v>
      </c>
      <c r="E171" s="20" t="s">
        <v>390</v>
      </c>
      <c r="F171" s="20" t="s">
        <v>391</v>
      </c>
      <c r="G171" s="8" t="str">
        <f t="shared" si="2"/>
        <v>SULLIVAN BRANDON</v>
      </c>
    </row>
    <row r="172" spans="1:7" x14ac:dyDescent="0.25">
      <c r="A172" s="8">
        <v>42915.66878472222</v>
      </c>
      <c r="B172" s="20" t="s">
        <v>437</v>
      </c>
      <c r="C172" s="20" t="s">
        <v>593</v>
      </c>
      <c r="D172" s="138">
        <v>2440000</v>
      </c>
      <c r="E172" s="20" t="s">
        <v>727</v>
      </c>
      <c r="F172" s="20" t="s">
        <v>728</v>
      </c>
      <c r="G172" s="8" t="str">
        <f t="shared" si="2"/>
        <v>LOPES KIMBERLY</v>
      </c>
    </row>
    <row r="173" spans="1:7" x14ac:dyDescent="0.25">
      <c r="A173" s="8">
        <v>42915.669872685183</v>
      </c>
      <c r="B173" s="20" t="s">
        <v>437</v>
      </c>
      <c r="C173" s="20" t="s">
        <v>593</v>
      </c>
      <c r="D173" s="138">
        <v>2440000</v>
      </c>
      <c r="E173" s="20" t="s">
        <v>727</v>
      </c>
      <c r="F173" s="20" t="s">
        <v>728</v>
      </c>
      <c r="G173" s="8" t="str">
        <f t="shared" si="2"/>
        <v>LOPES KIMBERLY</v>
      </c>
    </row>
    <row r="174" spans="1:7" x14ac:dyDescent="0.25">
      <c r="A174" s="8">
        <v>42915.67050925926</v>
      </c>
      <c r="B174" s="20" t="s">
        <v>437</v>
      </c>
      <c r="C174" s="20" t="s">
        <v>593</v>
      </c>
      <c r="D174" s="138">
        <v>2440000</v>
      </c>
      <c r="E174" s="20" t="s">
        <v>727</v>
      </c>
      <c r="F174" s="20" t="s">
        <v>728</v>
      </c>
      <c r="G174" s="8" t="str">
        <f t="shared" si="2"/>
        <v>LOPES KIMBERLY</v>
      </c>
    </row>
    <row r="175" spans="1:7" x14ac:dyDescent="0.25">
      <c r="A175" s="8">
        <v>42915.6719212963</v>
      </c>
      <c r="B175" s="20" t="s">
        <v>597</v>
      </c>
      <c r="C175" s="20" t="s">
        <v>608</v>
      </c>
      <c r="D175" s="138">
        <v>2420000</v>
      </c>
      <c r="E175" s="20" t="s">
        <v>533</v>
      </c>
      <c r="F175" s="20" t="s">
        <v>534</v>
      </c>
      <c r="G175" s="8" t="str">
        <f t="shared" si="2"/>
        <v>HOLCOMB KAMDEN</v>
      </c>
    </row>
    <row r="176" spans="1:7" x14ac:dyDescent="0.25">
      <c r="A176" s="8">
        <v>42915.672199074077</v>
      </c>
      <c r="B176" s="20" t="s">
        <v>339</v>
      </c>
      <c r="C176" s="20" t="s">
        <v>747</v>
      </c>
      <c r="D176" s="138">
        <v>1300000</v>
      </c>
      <c r="E176" s="20" t="s">
        <v>508</v>
      </c>
      <c r="F176" s="20" t="s">
        <v>509</v>
      </c>
      <c r="G176" s="8" t="str">
        <f t="shared" si="2"/>
        <v>LEVIN SCOTT</v>
      </c>
    </row>
    <row r="177" spans="1:7" x14ac:dyDescent="0.25">
      <c r="A177" s="8">
        <v>42915.672442129631</v>
      </c>
      <c r="B177" s="20" t="s">
        <v>572</v>
      </c>
      <c r="C177" s="20" t="s">
        <v>606</v>
      </c>
      <c r="D177" s="138">
        <v>2090000</v>
      </c>
      <c r="E177" s="20" t="s">
        <v>440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42915.677673611113</v>
      </c>
      <c r="B178" s="20" t="s">
        <v>468</v>
      </c>
      <c r="C178" s="20" t="s">
        <v>607</v>
      </c>
      <c r="D178" s="138">
        <v>2260000</v>
      </c>
      <c r="E178" s="20" t="s">
        <v>535</v>
      </c>
      <c r="F178" s="20" t="s">
        <v>536</v>
      </c>
      <c r="G178" s="8" t="str">
        <f t="shared" si="2"/>
        <v>ARVIDSON DANIEL</v>
      </c>
    </row>
    <row r="179" spans="1:7" x14ac:dyDescent="0.25">
      <c r="A179" s="8">
        <v>42915.681481481479</v>
      </c>
      <c r="B179" s="20" t="s">
        <v>393</v>
      </c>
      <c r="C179" s="20" t="s">
        <v>748</v>
      </c>
      <c r="D179" s="138">
        <v>2370000</v>
      </c>
      <c r="E179" s="20" t="s">
        <v>531</v>
      </c>
      <c r="F179" s="20" t="s">
        <v>532</v>
      </c>
      <c r="G179" s="8" t="str">
        <f t="shared" si="2"/>
        <v>DELGADO DIANAH</v>
      </c>
    </row>
    <row r="180" spans="1:7" x14ac:dyDescent="0.25">
      <c r="A180" s="8">
        <v>42915.685590277775</v>
      </c>
      <c r="B180" s="20" t="s">
        <v>400</v>
      </c>
      <c r="C180" s="20" t="s">
        <v>749</v>
      </c>
      <c r="D180" s="138">
        <v>880000</v>
      </c>
      <c r="E180" s="20" t="s">
        <v>507</v>
      </c>
      <c r="F180" s="20" t="s">
        <v>192</v>
      </c>
      <c r="G180" s="8" t="str">
        <f t="shared" si="2"/>
        <v>STEWART MICHAEL</v>
      </c>
    </row>
    <row r="181" spans="1:7" x14ac:dyDescent="0.25">
      <c r="A181" s="8">
        <v>42915.686111111114</v>
      </c>
      <c r="B181" s="20" t="s">
        <v>355</v>
      </c>
      <c r="C181" s="20" t="s">
        <v>750</v>
      </c>
      <c r="D181" s="138">
        <v>2090000</v>
      </c>
      <c r="E181" s="20" t="s">
        <v>440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42915.686493055553</v>
      </c>
      <c r="B182" s="20" t="s">
        <v>436</v>
      </c>
      <c r="C182" s="20" t="s">
        <v>593</v>
      </c>
      <c r="D182" s="138">
        <v>2440000</v>
      </c>
      <c r="E182" s="20" t="s">
        <v>727</v>
      </c>
      <c r="F182" s="20" t="s">
        <v>728</v>
      </c>
      <c r="G182" s="8" t="str">
        <f t="shared" si="2"/>
        <v>LOPES KIMBERLY</v>
      </c>
    </row>
    <row r="183" spans="1:7" x14ac:dyDescent="0.25">
      <c r="A183" s="8">
        <v>42915.68959490741</v>
      </c>
      <c r="B183" s="20" t="s">
        <v>582</v>
      </c>
      <c r="C183" s="20" t="s">
        <v>751</v>
      </c>
      <c r="D183" s="138">
        <v>1180000</v>
      </c>
      <c r="E183" s="20" t="s">
        <v>491</v>
      </c>
      <c r="F183" s="20" t="s">
        <v>492</v>
      </c>
      <c r="G183" s="8" t="str">
        <f t="shared" si="2"/>
        <v>LEVERE CRAIG</v>
      </c>
    </row>
    <row r="184" spans="1:7" x14ac:dyDescent="0.25">
      <c r="A184" s="8">
        <v>42915.692893518521</v>
      </c>
      <c r="B184" s="20" t="s">
        <v>472</v>
      </c>
      <c r="C184" s="20" t="s">
        <v>752</v>
      </c>
      <c r="D184" s="138">
        <v>2260000</v>
      </c>
      <c r="E184" s="20" t="s">
        <v>535</v>
      </c>
      <c r="F184" s="20" t="s">
        <v>536</v>
      </c>
      <c r="G184" s="8" t="str">
        <f t="shared" si="2"/>
        <v>ARVIDSON DANIEL</v>
      </c>
    </row>
    <row r="185" spans="1:7" x14ac:dyDescent="0.25">
      <c r="A185" s="8">
        <v>42915.695034722223</v>
      </c>
      <c r="B185" s="20" t="s">
        <v>526</v>
      </c>
      <c r="C185" s="20" t="s">
        <v>753</v>
      </c>
      <c r="D185" s="138">
        <v>2470000</v>
      </c>
      <c r="E185" s="20" t="s">
        <v>463</v>
      </c>
      <c r="F185" s="20" t="s">
        <v>464</v>
      </c>
      <c r="G185" s="8" t="str">
        <f t="shared" si="2"/>
        <v>ROMERO CHAD</v>
      </c>
    </row>
    <row r="186" spans="1:7" x14ac:dyDescent="0.25">
      <c r="A186" s="8">
        <v>42915.699062500003</v>
      </c>
      <c r="B186" s="20" t="s">
        <v>473</v>
      </c>
      <c r="C186" s="20" t="s">
        <v>754</v>
      </c>
      <c r="D186" s="138">
        <v>3010000</v>
      </c>
      <c r="E186" s="20" t="s">
        <v>390</v>
      </c>
      <c r="F186" s="20" t="s">
        <v>391</v>
      </c>
      <c r="G186" s="8" t="str">
        <f t="shared" si="2"/>
        <v>SULLIVAN BRANDON</v>
      </c>
    </row>
    <row r="187" spans="1:7" x14ac:dyDescent="0.25">
      <c r="A187" s="8">
        <v>42915.702662037038</v>
      </c>
      <c r="B187" s="20" t="s">
        <v>338</v>
      </c>
      <c r="C187" s="20" t="s">
        <v>611</v>
      </c>
      <c r="D187" s="138">
        <v>1300000</v>
      </c>
      <c r="E187" s="20" t="s">
        <v>508</v>
      </c>
      <c r="F187" s="20" t="s">
        <v>509</v>
      </c>
      <c r="G187" s="8" t="str">
        <f t="shared" si="2"/>
        <v>LEVIN SCOTT</v>
      </c>
    </row>
    <row r="188" spans="1:7" x14ac:dyDescent="0.25">
      <c r="A188" s="8">
        <v>42915.709513888891</v>
      </c>
      <c r="B188" s="20" t="s">
        <v>446</v>
      </c>
      <c r="C188" s="20" t="s">
        <v>755</v>
      </c>
      <c r="D188" s="138">
        <v>2040000</v>
      </c>
      <c r="E188" s="20" t="s">
        <v>493</v>
      </c>
      <c r="F188" s="20" t="s">
        <v>494</v>
      </c>
      <c r="G188" s="8" t="str">
        <f t="shared" si="2"/>
        <v>MOSES BRADLEY</v>
      </c>
    </row>
    <row r="189" spans="1:7" x14ac:dyDescent="0.25">
      <c r="A189" s="8">
        <v>42915.713113425925</v>
      </c>
      <c r="B189" s="20" t="s">
        <v>594</v>
      </c>
      <c r="C189" s="20" t="s">
        <v>756</v>
      </c>
      <c r="D189" s="138">
        <v>2420000</v>
      </c>
      <c r="E189" s="20" t="s">
        <v>533</v>
      </c>
      <c r="F189" s="20" t="s">
        <v>534</v>
      </c>
      <c r="G189" s="8" t="str">
        <f t="shared" si="2"/>
        <v>HOLCOMB KAMDEN</v>
      </c>
    </row>
    <row r="190" spans="1:7" x14ac:dyDescent="0.25">
      <c r="A190" s="8">
        <v>42915.713356481479</v>
      </c>
      <c r="B190" s="20" t="s">
        <v>572</v>
      </c>
      <c r="C190" s="20" t="s">
        <v>609</v>
      </c>
      <c r="D190" s="138">
        <v>2090000</v>
      </c>
      <c r="E190" s="20" t="s">
        <v>440</v>
      </c>
      <c r="F190" s="20" t="s">
        <v>192</v>
      </c>
      <c r="G190" s="8" t="str">
        <f t="shared" si="2"/>
        <v>HAITHCOX MICHAEL</v>
      </c>
    </row>
    <row r="191" spans="1:7" x14ac:dyDescent="0.25">
      <c r="A191" s="8">
        <v>42915.715254629627</v>
      </c>
      <c r="B191" s="20" t="s">
        <v>394</v>
      </c>
      <c r="C191" s="20" t="s">
        <v>757</v>
      </c>
      <c r="D191" s="138">
        <v>2370000</v>
      </c>
      <c r="E191" s="20" t="s">
        <v>531</v>
      </c>
      <c r="F191" s="20" t="s">
        <v>532</v>
      </c>
      <c r="G191" s="8" t="str">
        <f t="shared" si="2"/>
        <v>DELGADO DIANAH</v>
      </c>
    </row>
    <row r="192" spans="1:7" x14ac:dyDescent="0.25">
      <c r="A192" s="8">
        <v>42915.72011574074</v>
      </c>
      <c r="B192" s="20" t="s">
        <v>468</v>
      </c>
      <c r="C192" s="20" t="s">
        <v>610</v>
      </c>
      <c r="D192" s="138">
        <v>2260000</v>
      </c>
      <c r="E192" s="20" t="s">
        <v>535</v>
      </c>
      <c r="F192" s="20" t="s">
        <v>536</v>
      </c>
      <c r="G192" s="8" t="str">
        <f t="shared" si="2"/>
        <v>ARVIDSON DANIEL</v>
      </c>
    </row>
    <row r="193" spans="1:7" x14ac:dyDescent="0.25">
      <c r="A193" s="8">
        <v>42915.722662037035</v>
      </c>
      <c r="B193" s="20" t="s">
        <v>397</v>
      </c>
      <c r="C193" s="20" t="s">
        <v>758</v>
      </c>
      <c r="D193" s="138">
        <v>880000</v>
      </c>
      <c r="E193" s="20" t="s">
        <v>507</v>
      </c>
      <c r="F193" s="20" t="s">
        <v>192</v>
      </c>
      <c r="G193" s="8" t="str">
        <f t="shared" si="2"/>
        <v>STEWART MICHAEL</v>
      </c>
    </row>
    <row r="194" spans="1:7" x14ac:dyDescent="0.25">
      <c r="A194" s="8">
        <v>42915.724479166667</v>
      </c>
      <c r="B194" s="20" t="s">
        <v>435</v>
      </c>
      <c r="C194" s="20" t="s">
        <v>759</v>
      </c>
      <c r="D194" s="138">
        <v>2140000</v>
      </c>
      <c r="E194" s="20" t="s">
        <v>407</v>
      </c>
      <c r="F194" s="20" t="s">
        <v>408</v>
      </c>
      <c r="G194" s="8" t="str">
        <f t="shared" si="2"/>
        <v>ROBINSON KADDIBA</v>
      </c>
    </row>
    <row r="195" spans="1:7" x14ac:dyDescent="0.25">
      <c r="A195" s="8">
        <v>42915.725011574075</v>
      </c>
      <c r="B195" s="20" t="s">
        <v>525</v>
      </c>
      <c r="C195" s="20" t="s">
        <v>760</v>
      </c>
      <c r="D195" s="138">
        <v>2470000</v>
      </c>
      <c r="E195" s="20" t="s">
        <v>463</v>
      </c>
      <c r="F195" s="20" t="s">
        <v>464</v>
      </c>
      <c r="G195" s="8" t="str">
        <f t="shared" ref="G195:G258" si="3">E195&amp;" "&amp;F195</f>
        <v>ROMERO CHAD</v>
      </c>
    </row>
    <row r="196" spans="1:7" x14ac:dyDescent="0.25">
      <c r="A196" s="8">
        <v>42915.726238425923</v>
      </c>
      <c r="B196" s="20" t="s">
        <v>537</v>
      </c>
      <c r="C196" s="20" t="s">
        <v>761</v>
      </c>
      <c r="D196" s="138">
        <v>1180000</v>
      </c>
      <c r="E196" s="20" t="s">
        <v>491</v>
      </c>
      <c r="F196" s="20" t="s">
        <v>492</v>
      </c>
      <c r="G196" s="8" t="str">
        <f t="shared" si="3"/>
        <v>LEVERE CRAIG</v>
      </c>
    </row>
    <row r="197" spans="1:7" x14ac:dyDescent="0.25">
      <c r="A197" s="8">
        <v>42915.727326388886</v>
      </c>
      <c r="B197" s="20" t="s">
        <v>355</v>
      </c>
      <c r="C197" s="20" t="s">
        <v>762</v>
      </c>
      <c r="D197" s="138">
        <v>2090000</v>
      </c>
      <c r="E197" s="20" t="s">
        <v>440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42915.734131944446</v>
      </c>
      <c r="B198" s="20" t="s">
        <v>586</v>
      </c>
      <c r="C198" s="20" t="s">
        <v>763</v>
      </c>
      <c r="D198" s="138">
        <v>3000000</v>
      </c>
      <c r="E198" s="20" t="s">
        <v>420</v>
      </c>
      <c r="F198" s="20" t="s">
        <v>421</v>
      </c>
      <c r="G198" s="8" t="str">
        <f t="shared" si="3"/>
        <v>FORTUNATO FRANK</v>
      </c>
    </row>
    <row r="199" spans="1:7" x14ac:dyDescent="0.25">
      <c r="A199" s="8">
        <v>42915.735891203702</v>
      </c>
      <c r="B199" s="20" t="s">
        <v>472</v>
      </c>
      <c r="C199" s="20" t="s">
        <v>764</v>
      </c>
      <c r="D199" s="138">
        <v>2260000</v>
      </c>
      <c r="E199" s="20" t="s">
        <v>535</v>
      </c>
      <c r="F199" s="20" t="s">
        <v>536</v>
      </c>
      <c r="G199" s="8" t="str">
        <f t="shared" si="3"/>
        <v>ARVIDSON DANIEL</v>
      </c>
    </row>
    <row r="200" spans="1:7" x14ac:dyDescent="0.25">
      <c r="A200" s="8">
        <v>42915.737222222226</v>
      </c>
      <c r="B200" s="20" t="s">
        <v>470</v>
      </c>
      <c r="C200" s="20" t="s">
        <v>765</v>
      </c>
      <c r="D200" s="138">
        <v>2230000</v>
      </c>
      <c r="E200" s="20" t="s">
        <v>341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42915.7419212963</v>
      </c>
      <c r="B201" s="20" t="s">
        <v>366</v>
      </c>
      <c r="C201" s="20" t="s">
        <v>612</v>
      </c>
      <c r="D201" s="138">
        <v>3030000</v>
      </c>
      <c r="E201" s="20" t="s">
        <v>379</v>
      </c>
      <c r="F201" s="20" t="s">
        <v>364</v>
      </c>
      <c r="G201" s="8" t="str">
        <f t="shared" si="3"/>
        <v>BIRENBAUM THOMAS</v>
      </c>
    </row>
    <row r="202" spans="1:7" x14ac:dyDescent="0.25">
      <c r="A202" s="26">
        <v>42915.744502314818</v>
      </c>
      <c r="B202" s="20" t="s">
        <v>339</v>
      </c>
      <c r="C202" s="20" t="s">
        <v>613</v>
      </c>
      <c r="D202" s="138">
        <v>1300000</v>
      </c>
      <c r="E202" s="20" t="s">
        <v>508</v>
      </c>
      <c r="F202" s="20" t="s">
        <v>509</v>
      </c>
      <c r="G202" s="8" t="str">
        <f t="shared" si="3"/>
        <v>LEVIN SCOTT</v>
      </c>
    </row>
    <row r="203" spans="1:7" x14ac:dyDescent="0.25">
      <c r="A203" s="8">
        <v>42915.747743055559</v>
      </c>
      <c r="B203" s="20" t="s">
        <v>597</v>
      </c>
      <c r="C203" s="20" t="s">
        <v>614</v>
      </c>
      <c r="D203" s="138">
        <v>2420000</v>
      </c>
      <c r="E203" s="20" t="s">
        <v>533</v>
      </c>
      <c r="F203" s="20" t="s">
        <v>534</v>
      </c>
      <c r="G203" s="8" t="str">
        <f t="shared" si="3"/>
        <v>HOLCOMB KAMDEN</v>
      </c>
    </row>
    <row r="204" spans="1:7" x14ac:dyDescent="0.25">
      <c r="A204" s="8">
        <v>42915.7502662037</v>
      </c>
      <c r="B204" s="20" t="s">
        <v>393</v>
      </c>
      <c r="C204" s="20" t="s">
        <v>766</v>
      </c>
      <c r="D204" s="138">
        <v>2370000</v>
      </c>
      <c r="E204" s="20" t="s">
        <v>531</v>
      </c>
      <c r="F204" s="20" t="s">
        <v>532</v>
      </c>
      <c r="G204" s="8" t="str">
        <f t="shared" si="3"/>
        <v>DELGADO DIANAH</v>
      </c>
    </row>
    <row r="205" spans="1:7" x14ac:dyDescent="0.25">
      <c r="A205" s="8">
        <v>42915.753576388888</v>
      </c>
      <c r="B205" s="20" t="s">
        <v>468</v>
      </c>
      <c r="C205" s="20" t="s">
        <v>767</v>
      </c>
      <c r="D205" s="138">
        <v>2630000</v>
      </c>
      <c r="E205" s="20" t="s">
        <v>768</v>
      </c>
      <c r="F205" s="20" t="s">
        <v>769</v>
      </c>
      <c r="G205" s="8" t="str">
        <f t="shared" si="3"/>
        <v>SAFIEF AEIMEN</v>
      </c>
    </row>
    <row r="206" spans="1:7" x14ac:dyDescent="0.25">
      <c r="A206" s="8">
        <v>42915.755393518521</v>
      </c>
      <c r="B206" s="20" t="s">
        <v>572</v>
      </c>
      <c r="C206" s="20" t="s">
        <v>770</v>
      </c>
      <c r="D206" s="138">
        <v>2090000</v>
      </c>
      <c r="E206" s="20" t="s">
        <v>440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42915.756249999999</v>
      </c>
      <c r="B207" s="20" t="s">
        <v>400</v>
      </c>
      <c r="C207" s="20" t="s">
        <v>615</v>
      </c>
      <c r="D207" s="138">
        <v>2620000</v>
      </c>
      <c r="E207" s="20" t="s">
        <v>771</v>
      </c>
      <c r="F207" s="20" t="s">
        <v>772</v>
      </c>
      <c r="G207" s="8" t="str">
        <f t="shared" si="3"/>
        <v>PERKINS DARREN</v>
      </c>
    </row>
    <row r="208" spans="1:7" x14ac:dyDescent="0.25">
      <c r="A208" s="8">
        <v>42915.759155092594</v>
      </c>
      <c r="B208" s="20" t="s">
        <v>687</v>
      </c>
      <c r="C208" s="20" t="s">
        <v>773</v>
      </c>
      <c r="D208" s="138">
        <v>880000</v>
      </c>
      <c r="E208" s="20" t="s">
        <v>507</v>
      </c>
      <c r="F208" s="20" t="s">
        <v>192</v>
      </c>
      <c r="G208" s="8" t="str">
        <f t="shared" si="3"/>
        <v>STEWART MICHAEL</v>
      </c>
    </row>
    <row r="209" spans="1:7" x14ac:dyDescent="0.25">
      <c r="A209" s="8">
        <v>42915.763773148145</v>
      </c>
      <c r="B209" s="20" t="s">
        <v>582</v>
      </c>
      <c r="C209" s="20" t="s">
        <v>774</v>
      </c>
      <c r="D209" s="138">
        <v>1180000</v>
      </c>
      <c r="E209" s="20" t="s">
        <v>491</v>
      </c>
      <c r="F209" s="20" t="s">
        <v>492</v>
      </c>
      <c r="G209" s="8" t="str">
        <f t="shared" si="3"/>
        <v>LEVERE CRAIG</v>
      </c>
    </row>
    <row r="210" spans="1:7" x14ac:dyDescent="0.25">
      <c r="A210" s="8">
        <v>42915.765266203707</v>
      </c>
      <c r="B210" s="20" t="s">
        <v>526</v>
      </c>
      <c r="C210" s="20" t="s">
        <v>775</v>
      </c>
      <c r="D210" s="138">
        <v>3000000</v>
      </c>
      <c r="E210" s="20" t="s">
        <v>420</v>
      </c>
      <c r="F210" s="20" t="s">
        <v>421</v>
      </c>
      <c r="G210" s="8" t="str">
        <f t="shared" si="3"/>
        <v>FORTUNATO FRANK</v>
      </c>
    </row>
    <row r="211" spans="1:7" x14ac:dyDescent="0.25">
      <c r="A211" s="8">
        <v>42915.767650462964</v>
      </c>
      <c r="B211" s="20" t="s">
        <v>473</v>
      </c>
      <c r="C211" s="20" t="s">
        <v>776</v>
      </c>
      <c r="D211" s="138">
        <v>2230000</v>
      </c>
      <c r="E211" s="20" t="s">
        <v>341</v>
      </c>
      <c r="F211" s="20" t="s">
        <v>192</v>
      </c>
      <c r="G211" s="8" t="str">
        <f t="shared" si="3"/>
        <v>SMITH MICHAEL</v>
      </c>
    </row>
    <row r="212" spans="1:7" x14ac:dyDescent="0.25">
      <c r="A212" s="8">
        <v>42915.769421296296</v>
      </c>
      <c r="B212" s="20" t="s">
        <v>355</v>
      </c>
      <c r="C212" s="20" t="s">
        <v>777</v>
      </c>
      <c r="D212" s="138">
        <v>2090000</v>
      </c>
      <c r="E212" s="20" t="s">
        <v>440</v>
      </c>
      <c r="F212" s="20" t="s">
        <v>192</v>
      </c>
      <c r="G212" s="8" t="str">
        <f t="shared" si="3"/>
        <v>HAITHCOX MICHAEL</v>
      </c>
    </row>
    <row r="213" spans="1:7" x14ac:dyDescent="0.25">
      <c r="A213" s="8">
        <v>42915.775983796295</v>
      </c>
      <c r="B213" s="20" t="s">
        <v>472</v>
      </c>
      <c r="C213" s="20" t="s">
        <v>778</v>
      </c>
      <c r="D213" s="138">
        <v>2630000</v>
      </c>
      <c r="E213" s="20" t="s">
        <v>768</v>
      </c>
      <c r="F213" s="20" t="s">
        <v>769</v>
      </c>
      <c r="G213" s="8" t="str">
        <f t="shared" si="3"/>
        <v>SAFIEF AEIMEN</v>
      </c>
    </row>
    <row r="214" spans="1:7" x14ac:dyDescent="0.25">
      <c r="A214" s="8">
        <v>42915.777094907404</v>
      </c>
      <c r="B214" s="20" t="s">
        <v>338</v>
      </c>
      <c r="C214" s="20" t="s">
        <v>616</v>
      </c>
      <c r="D214" s="138">
        <v>1300000</v>
      </c>
      <c r="E214" s="20" t="s">
        <v>508</v>
      </c>
      <c r="F214" s="20" t="s">
        <v>509</v>
      </c>
      <c r="G214" s="8" t="str">
        <f t="shared" si="3"/>
        <v>LEVIN SCOTT</v>
      </c>
    </row>
    <row r="215" spans="1:7" x14ac:dyDescent="0.25">
      <c r="A215" s="8">
        <v>42915.786481481482</v>
      </c>
      <c r="B215" s="20" t="s">
        <v>594</v>
      </c>
      <c r="C215" s="20" t="s">
        <v>618</v>
      </c>
      <c r="D215" s="138">
        <v>2420000</v>
      </c>
      <c r="E215" s="20" t="s">
        <v>533</v>
      </c>
      <c r="F215" s="20" t="s">
        <v>534</v>
      </c>
      <c r="G215" s="8" t="str">
        <f t="shared" si="3"/>
        <v>HOLCOMB KAMDEN</v>
      </c>
    </row>
    <row r="216" spans="1:7" x14ac:dyDescent="0.25">
      <c r="A216" s="8">
        <v>42915.787187499998</v>
      </c>
      <c r="B216" s="20" t="s">
        <v>594</v>
      </c>
      <c r="C216" s="20" t="s">
        <v>618</v>
      </c>
      <c r="D216" s="138">
        <v>2420000</v>
      </c>
      <c r="E216" s="20" t="s">
        <v>533</v>
      </c>
      <c r="F216" s="20" t="s">
        <v>534</v>
      </c>
      <c r="G216" s="8" t="str">
        <f t="shared" si="3"/>
        <v>HOLCOMB KAMDEN</v>
      </c>
    </row>
    <row r="217" spans="1:7" x14ac:dyDescent="0.25">
      <c r="A217" s="8">
        <v>42915.787939814814</v>
      </c>
      <c r="B217" s="20" t="s">
        <v>394</v>
      </c>
      <c r="C217" s="20" t="s">
        <v>617</v>
      </c>
      <c r="D217" s="138">
        <v>3030000</v>
      </c>
      <c r="E217" s="20" t="s">
        <v>379</v>
      </c>
      <c r="F217" s="20" t="s">
        <v>364</v>
      </c>
      <c r="G217" s="8" t="str">
        <f t="shared" si="3"/>
        <v>BIRENBAUM THOMAS</v>
      </c>
    </row>
    <row r="218" spans="1:7" x14ac:dyDescent="0.25">
      <c r="A218" s="8">
        <v>42915.79315972222</v>
      </c>
      <c r="B218" s="20" t="s">
        <v>397</v>
      </c>
      <c r="C218" s="20" t="s">
        <v>779</v>
      </c>
      <c r="D218" s="138">
        <v>2620000</v>
      </c>
      <c r="E218" s="20" t="s">
        <v>771</v>
      </c>
      <c r="F218" s="20" t="s">
        <v>772</v>
      </c>
      <c r="G218" s="8" t="str">
        <f t="shared" si="3"/>
        <v>PERKINS DARREN</v>
      </c>
    </row>
    <row r="219" spans="1:7" x14ac:dyDescent="0.25">
      <c r="A219" s="8">
        <v>42915.796134259261</v>
      </c>
      <c r="B219" s="20" t="s">
        <v>572</v>
      </c>
      <c r="C219" s="20" t="s">
        <v>780</v>
      </c>
      <c r="D219" s="138">
        <v>2090000</v>
      </c>
      <c r="E219" s="20" t="s">
        <v>440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42915.799039351848</v>
      </c>
      <c r="B220" s="20" t="s">
        <v>537</v>
      </c>
      <c r="C220" s="20" t="s">
        <v>781</v>
      </c>
      <c r="D220" s="138">
        <v>1180000</v>
      </c>
      <c r="E220" s="20" t="s">
        <v>491</v>
      </c>
      <c r="F220" s="20" t="s">
        <v>492</v>
      </c>
      <c r="G220" s="8" t="str">
        <f t="shared" si="3"/>
        <v>LEVERE CRAIG</v>
      </c>
    </row>
    <row r="221" spans="1:7" x14ac:dyDescent="0.25">
      <c r="A221" s="8">
        <v>42915.805439814816</v>
      </c>
      <c r="B221" s="20" t="s">
        <v>468</v>
      </c>
      <c r="C221" s="20" t="s">
        <v>619</v>
      </c>
      <c r="D221" s="138">
        <v>2630000</v>
      </c>
      <c r="E221" s="20" t="s">
        <v>768</v>
      </c>
      <c r="F221" s="20" t="s">
        <v>769</v>
      </c>
      <c r="G221" s="8" t="str">
        <f t="shared" si="3"/>
        <v>SAFIEF AEIMEN</v>
      </c>
    </row>
    <row r="222" spans="1:7" x14ac:dyDescent="0.25">
      <c r="A222" s="8">
        <v>42915.808125000003</v>
      </c>
      <c r="B222" s="20" t="s">
        <v>470</v>
      </c>
      <c r="C222" s="20" t="s">
        <v>782</v>
      </c>
      <c r="D222" s="138">
        <v>2230000</v>
      </c>
      <c r="E222" s="20" t="s">
        <v>341</v>
      </c>
      <c r="F222" s="20" t="s">
        <v>192</v>
      </c>
      <c r="G222" s="8" t="str">
        <f t="shared" si="3"/>
        <v>SMITH MICHAEL</v>
      </c>
    </row>
    <row r="223" spans="1:7" x14ac:dyDescent="0.25">
      <c r="A223" s="8">
        <v>42915.809328703705</v>
      </c>
      <c r="B223" s="20" t="s">
        <v>525</v>
      </c>
      <c r="C223" s="20" t="s">
        <v>620</v>
      </c>
      <c r="D223" s="138">
        <v>3000000</v>
      </c>
      <c r="E223" s="20" t="s">
        <v>420</v>
      </c>
      <c r="F223" s="20" t="s">
        <v>421</v>
      </c>
      <c r="G223" s="8" t="str">
        <f t="shared" si="3"/>
        <v>FORTUNATO FRANK</v>
      </c>
    </row>
    <row r="224" spans="1:7" x14ac:dyDescent="0.25">
      <c r="A224" s="8">
        <v>42915.810844907406</v>
      </c>
      <c r="B224" t="s">
        <v>394</v>
      </c>
      <c r="C224" t="s">
        <v>617</v>
      </c>
      <c r="D224" s="138">
        <v>3030000</v>
      </c>
      <c r="E224" t="s">
        <v>379</v>
      </c>
      <c r="F224" s="20" t="s">
        <v>364</v>
      </c>
      <c r="G224" s="8" t="str">
        <f t="shared" si="3"/>
        <v>BIRENBAUM THOMAS</v>
      </c>
    </row>
    <row r="225" spans="1:7" x14ac:dyDescent="0.25">
      <c r="A225" s="8">
        <v>42915.817881944444</v>
      </c>
      <c r="B225" t="s">
        <v>472</v>
      </c>
      <c r="C225" t="s">
        <v>783</v>
      </c>
      <c r="D225" s="138">
        <v>2630000</v>
      </c>
      <c r="E225" t="s">
        <v>768</v>
      </c>
      <c r="F225" s="20" t="s">
        <v>769</v>
      </c>
      <c r="G225" s="8" t="str">
        <f t="shared" si="3"/>
        <v>SAFIEF AEIMEN</v>
      </c>
    </row>
    <row r="226" spans="1:7" x14ac:dyDescent="0.25">
      <c r="A226" s="8">
        <v>42915.820162037038</v>
      </c>
      <c r="B226" t="s">
        <v>597</v>
      </c>
      <c r="C226" t="s">
        <v>784</v>
      </c>
      <c r="D226" s="138">
        <v>2420000</v>
      </c>
      <c r="E226" t="s">
        <v>533</v>
      </c>
      <c r="F226" s="20" t="s">
        <v>534</v>
      </c>
      <c r="G226" s="8" t="str">
        <f t="shared" si="3"/>
        <v>HOLCOMB KAMDEN</v>
      </c>
    </row>
    <row r="227" spans="1:7" x14ac:dyDescent="0.25">
      <c r="A227" s="8">
        <v>42915.825613425928</v>
      </c>
      <c r="B227" t="s">
        <v>393</v>
      </c>
      <c r="C227" t="s">
        <v>785</v>
      </c>
      <c r="D227" s="138">
        <v>3030000</v>
      </c>
      <c r="E227" t="s">
        <v>379</v>
      </c>
      <c r="F227" s="20" t="s">
        <v>364</v>
      </c>
      <c r="G227" s="8" t="str">
        <f t="shared" si="3"/>
        <v>BIRENBAUM THOMAS</v>
      </c>
    </row>
    <row r="228" spans="1:7" x14ac:dyDescent="0.25">
      <c r="A228" s="8">
        <v>42915.828564814816</v>
      </c>
      <c r="B228" t="s">
        <v>400</v>
      </c>
      <c r="C228" t="s">
        <v>621</v>
      </c>
      <c r="D228" s="138">
        <v>2620000</v>
      </c>
      <c r="E228" t="s">
        <v>771</v>
      </c>
      <c r="F228" s="20" t="s">
        <v>772</v>
      </c>
      <c r="G228" s="8" t="str">
        <f t="shared" si="3"/>
        <v>PERKINS DARREN</v>
      </c>
    </row>
    <row r="229" spans="1:7" x14ac:dyDescent="0.25">
      <c r="A229" s="8">
        <v>42915.832939814813</v>
      </c>
      <c r="B229" t="s">
        <v>468</v>
      </c>
      <c r="C229" t="s">
        <v>786</v>
      </c>
      <c r="D229" s="138">
        <v>2630000</v>
      </c>
      <c r="E229" t="s">
        <v>768</v>
      </c>
      <c r="F229" s="20" t="s">
        <v>769</v>
      </c>
      <c r="G229" s="8" t="str">
        <f t="shared" si="3"/>
        <v>SAFIEF AEIMEN</v>
      </c>
    </row>
    <row r="230" spans="1:7" x14ac:dyDescent="0.25">
      <c r="A230" s="8">
        <v>42915.844097222223</v>
      </c>
      <c r="B230" t="s">
        <v>473</v>
      </c>
      <c r="C230" t="s">
        <v>622</v>
      </c>
      <c r="D230" s="138">
        <v>2230000</v>
      </c>
      <c r="E230" t="s">
        <v>341</v>
      </c>
      <c r="F230" s="20" t="s">
        <v>192</v>
      </c>
      <c r="G230" s="8" t="str">
        <f t="shared" si="3"/>
        <v>SMITH MICHAEL</v>
      </c>
    </row>
    <row r="231" spans="1:7" x14ac:dyDescent="0.25">
      <c r="A231" s="8">
        <v>42915.847534722219</v>
      </c>
      <c r="B231" t="s">
        <v>526</v>
      </c>
      <c r="C231" t="s">
        <v>787</v>
      </c>
      <c r="D231" s="138">
        <v>3000000</v>
      </c>
      <c r="E231" t="s">
        <v>420</v>
      </c>
      <c r="F231" s="20" t="s">
        <v>421</v>
      </c>
      <c r="G231" s="8" t="str">
        <f t="shared" si="3"/>
        <v>FORTUNATO FRANK</v>
      </c>
    </row>
    <row r="232" spans="1:7" x14ac:dyDescent="0.25">
      <c r="A232" s="8">
        <v>42915.86146990741</v>
      </c>
      <c r="B232" t="s">
        <v>472</v>
      </c>
      <c r="C232" t="s">
        <v>788</v>
      </c>
      <c r="D232" s="138">
        <v>2630000</v>
      </c>
      <c r="E232" t="s">
        <v>768</v>
      </c>
      <c r="F232" s="20" t="s">
        <v>769</v>
      </c>
      <c r="G232" s="8" t="str">
        <f t="shared" si="3"/>
        <v>SAFIEF AEIMEN</v>
      </c>
    </row>
    <row r="233" spans="1:7" x14ac:dyDescent="0.25">
      <c r="A233" s="8">
        <v>42915.866990740738</v>
      </c>
      <c r="B233" t="s">
        <v>397</v>
      </c>
      <c r="C233" t="s">
        <v>789</v>
      </c>
      <c r="D233" s="138">
        <v>2620000</v>
      </c>
      <c r="E233" t="s">
        <v>771</v>
      </c>
      <c r="F233" s="20" t="s">
        <v>772</v>
      </c>
      <c r="G233" s="8" t="str">
        <f t="shared" si="3"/>
        <v>PERKINS DARREN</v>
      </c>
    </row>
    <row r="234" spans="1:7" x14ac:dyDescent="0.25">
      <c r="A234" s="8">
        <v>42915.868634259263</v>
      </c>
      <c r="B234" t="s">
        <v>394</v>
      </c>
      <c r="C234" t="s">
        <v>790</v>
      </c>
      <c r="D234" s="138">
        <v>3090000</v>
      </c>
      <c r="E234" t="s">
        <v>373</v>
      </c>
      <c r="F234" s="20" t="s">
        <v>374</v>
      </c>
      <c r="G234" s="8" t="str">
        <f t="shared" si="3"/>
        <v>LAMAR NEKESHA</v>
      </c>
    </row>
    <row r="235" spans="1:7" x14ac:dyDescent="0.25">
      <c r="A235" s="8">
        <v>42915.885706018518</v>
      </c>
      <c r="B235" t="s">
        <v>468</v>
      </c>
      <c r="C235" t="s">
        <v>791</v>
      </c>
      <c r="D235" s="138">
        <v>2610000</v>
      </c>
      <c r="E235" t="s">
        <v>412</v>
      </c>
      <c r="F235" s="20" t="s">
        <v>413</v>
      </c>
      <c r="G235" s="8" t="str">
        <f t="shared" si="3"/>
        <v>MAGEE KENYA</v>
      </c>
    </row>
    <row r="236" spans="1:7" x14ac:dyDescent="0.25">
      <c r="A236" s="8">
        <v>42915.887777777774</v>
      </c>
      <c r="B236" t="s">
        <v>470</v>
      </c>
      <c r="C236" t="s">
        <v>792</v>
      </c>
      <c r="D236" s="138">
        <v>2230000</v>
      </c>
      <c r="E236" t="s">
        <v>341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42915.888541666667</v>
      </c>
      <c r="B237" t="s">
        <v>525</v>
      </c>
      <c r="C237" t="s">
        <v>793</v>
      </c>
      <c r="D237" s="138">
        <v>3000000</v>
      </c>
      <c r="E237" t="s">
        <v>420</v>
      </c>
      <c r="F237" s="20" t="s">
        <v>421</v>
      </c>
      <c r="G237" s="8" t="str">
        <f t="shared" si="3"/>
        <v>FORTUNATO FRANK</v>
      </c>
    </row>
    <row r="238" spans="1:7" x14ac:dyDescent="0.25">
      <c r="A238" s="8">
        <v>42915.902013888888</v>
      </c>
      <c r="B238" t="s">
        <v>472</v>
      </c>
      <c r="C238" t="s">
        <v>794</v>
      </c>
      <c r="D238" s="138">
        <v>2610000</v>
      </c>
      <c r="E238" t="s">
        <v>412</v>
      </c>
      <c r="F238" s="20" t="s">
        <v>413</v>
      </c>
      <c r="G238" s="8" t="str">
        <f t="shared" si="3"/>
        <v>MAGEE KENYA</v>
      </c>
    </row>
    <row r="239" spans="1:7" x14ac:dyDescent="0.25">
      <c r="A239" s="8">
        <v>42915.91070601852</v>
      </c>
      <c r="B239" t="s">
        <v>393</v>
      </c>
      <c r="C239" t="s">
        <v>623</v>
      </c>
      <c r="D239" s="138">
        <v>3090000</v>
      </c>
      <c r="E239" t="s">
        <v>373</v>
      </c>
      <c r="F239" s="20" t="s">
        <v>374</v>
      </c>
      <c r="G239" s="8" t="str">
        <f t="shared" si="3"/>
        <v>LAMAR NEKESHA</v>
      </c>
    </row>
    <row r="240" spans="1:7" x14ac:dyDescent="0.25">
      <c r="A240" s="8">
        <v>42915.910960648151</v>
      </c>
      <c r="B240" t="s">
        <v>400</v>
      </c>
      <c r="C240" t="s">
        <v>795</v>
      </c>
      <c r="D240" s="138">
        <v>2620000</v>
      </c>
      <c r="E240" t="s">
        <v>771</v>
      </c>
      <c r="F240" s="20" t="s">
        <v>772</v>
      </c>
      <c r="G240" s="8" t="str">
        <f t="shared" si="3"/>
        <v>PERKINS DARREN</v>
      </c>
    </row>
    <row r="241" spans="1:7" x14ac:dyDescent="0.25">
      <c r="A241" s="8">
        <v>42915.918923611112</v>
      </c>
      <c r="B241" t="s">
        <v>468</v>
      </c>
      <c r="C241" t="s">
        <v>796</v>
      </c>
      <c r="D241" s="138">
        <v>2090000</v>
      </c>
      <c r="E241" t="s">
        <v>440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42915.931597222225</v>
      </c>
      <c r="B242" t="s">
        <v>473</v>
      </c>
      <c r="C242" t="s">
        <v>797</v>
      </c>
      <c r="D242" s="138">
        <v>2230000</v>
      </c>
      <c r="E242" t="s">
        <v>341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42915.932638888888</v>
      </c>
      <c r="B243" t="s">
        <v>526</v>
      </c>
      <c r="C243" t="s">
        <v>624</v>
      </c>
      <c r="D243" s="138">
        <v>3000000</v>
      </c>
      <c r="E243" t="s">
        <v>420</v>
      </c>
      <c r="F243" s="20" t="s">
        <v>421</v>
      </c>
      <c r="G243" s="8" t="str">
        <f t="shared" si="3"/>
        <v>FORTUNATO FRANK</v>
      </c>
    </row>
    <row r="244" spans="1:7" x14ac:dyDescent="0.25">
      <c r="A244" s="8">
        <v>42915.942407407405</v>
      </c>
      <c r="B244" t="s">
        <v>472</v>
      </c>
      <c r="C244" t="s">
        <v>798</v>
      </c>
      <c r="D244" s="138">
        <v>2090000</v>
      </c>
      <c r="E244" t="s">
        <v>440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42915.952499999999</v>
      </c>
      <c r="B245" t="s">
        <v>397</v>
      </c>
      <c r="C245" t="s">
        <v>799</v>
      </c>
      <c r="D245" s="138">
        <v>2620000</v>
      </c>
      <c r="E245" t="s">
        <v>771</v>
      </c>
      <c r="F245" s="20" t="s">
        <v>772</v>
      </c>
      <c r="G245" s="8" t="str">
        <f t="shared" si="3"/>
        <v>PERKINS DARREN</v>
      </c>
    </row>
    <row r="246" spans="1:7" x14ac:dyDescent="0.25">
      <c r="A246" s="8">
        <v>42915.955358796295</v>
      </c>
      <c r="B246" t="s">
        <v>394</v>
      </c>
      <c r="C246" t="s">
        <v>800</v>
      </c>
      <c r="D246" s="138">
        <v>3090000</v>
      </c>
      <c r="E246" t="s">
        <v>373</v>
      </c>
      <c r="F246" s="20" t="s">
        <v>374</v>
      </c>
      <c r="G246" s="8" t="str">
        <f t="shared" si="3"/>
        <v>LAMAR NEKESHA</v>
      </c>
    </row>
    <row r="247" spans="1:7" x14ac:dyDescent="0.25">
      <c r="A247" s="8">
        <v>42915.967847222222</v>
      </c>
      <c r="B247" t="s">
        <v>372</v>
      </c>
      <c r="C247" t="s">
        <v>801</v>
      </c>
      <c r="D247" s="138">
        <v>3030000</v>
      </c>
      <c r="E247" t="s">
        <v>379</v>
      </c>
      <c r="F247" s="20" t="s">
        <v>364</v>
      </c>
      <c r="G247" s="8" t="str">
        <f t="shared" si="3"/>
        <v>BIRENBAUM THOMAS</v>
      </c>
    </row>
    <row r="248" spans="1:7" x14ac:dyDescent="0.25">
      <c r="A248" s="8">
        <v>42915.971006944441</v>
      </c>
      <c r="B248" t="s">
        <v>470</v>
      </c>
      <c r="C248" t="s">
        <v>802</v>
      </c>
      <c r="D248" s="138">
        <v>2230000</v>
      </c>
      <c r="E248" t="s">
        <v>341</v>
      </c>
      <c r="F248" s="20" t="s">
        <v>192</v>
      </c>
      <c r="G248" s="8" t="str">
        <f t="shared" si="3"/>
        <v>SMITH MICHAEL</v>
      </c>
    </row>
    <row r="249" spans="1:7" x14ac:dyDescent="0.25">
      <c r="A249" s="8">
        <v>42915.972615740742</v>
      </c>
      <c r="B249" t="s">
        <v>525</v>
      </c>
      <c r="C249" t="s">
        <v>625</v>
      </c>
      <c r="D249" s="138">
        <v>3000000</v>
      </c>
      <c r="E249" t="s">
        <v>420</v>
      </c>
      <c r="F249" s="20" t="s">
        <v>421</v>
      </c>
      <c r="G249" s="8" t="str">
        <f t="shared" si="3"/>
        <v>FORTUNATO FRANK</v>
      </c>
    </row>
    <row r="250" spans="1:7" x14ac:dyDescent="0.25">
      <c r="A250" s="8">
        <v>42915.984560185185</v>
      </c>
      <c r="B250" t="s">
        <v>394</v>
      </c>
      <c r="C250" t="s">
        <v>800</v>
      </c>
      <c r="D250" s="138">
        <v>3090000</v>
      </c>
      <c r="E250" t="s">
        <v>373</v>
      </c>
      <c r="F250" s="20" t="s">
        <v>374</v>
      </c>
      <c r="G250" s="8" t="str">
        <f t="shared" si="3"/>
        <v>LAMAR NEKESHA</v>
      </c>
    </row>
    <row r="251" spans="1:7" x14ac:dyDescent="0.25">
      <c r="A251" s="8">
        <v>42915.994641203702</v>
      </c>
      <c r="B251" t="s">
        <v>400</v>
      </c>
      <c r="C251" t="s">
        <v>626</v>
      </c>
      <c r="D251" s="138">
        <v>2620000</v>
      </c>
      <c r="E251" t="s">
        <v>771</v>
      </c>
      <c r="F251" s="20" t="s">
        <v>772</v>
      </c>
      <c r="G251" s="8" t="str">
        <f t="shared" si="3"/>
        <v>PERKINS DARREN</v>
      </c>
    </row>
    <row r="252" spans="1:7" x14ac:dyDescent="0.25">
      <c r="A252" s="8">
        <v>42915.995104166665</v>
      </c>
      <c r="B252" t="s">
        <v>393</v>
      </c>
      <c r="C252" t="s">
        <v>803</v>
      </c>
      <c r="D252" s="138">
        <v>3090000</v>
      </c>
      <c r="E252" t="s">
        <v>373</v>
      </c>
      <c r="F252" s="20" t="s">
        <v>374</v>
      </c>
      <c r="G252" s="8" t="str">
        <f t="shared" si="3"/>
        <v>LAMAR NEKESHA</v>
      </c>
    </row>
    <row r="253" spans="1:7" x14ac:dyDescent="0.25">
      <c r="A253" s="8">
        <v>42916.014374999999</v>
      </c>
      <c r="B253" t="s">
        <v>473</v>
      </c>
      <c r="C253" t="s">
        <v>804</v>
      </c>
      <c r="D253" s="138">
        <v>2230000</v>
      </c>
      <c r="E253" t="s">
        <v>341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42916.015416666669</v>
      </c>
      <c r="B254" t="s">
        <v>526</v>
      </c>
      <c r="C254" t="s">
        <v>805</v>
      </c>
      <c r="D254" s="138">
        <v>3000000</v>
      </c>
      <c r="E254" t="s">
        <v>420</v>
      </c>
      <c r="F254" s="20" t="s">
        <v>421</v>
      </c>
      <c r="G254" s="8" t="str">
        <f t="shared" si="3"/>
        <v>FORTUNATO FRANK</v>
      </c>
    </row>
    <row r="255" spans="1:7" x14ac:dyDescent="0.25">
      <c r="A255" s="8">
        <v>42916.036134259259</v>
      </c>
      <c r="B255" t="s">
        <v>397</v>
      </c>
      <c r="C255" t="s">
        <v>627</v>
      </c>
      <c r="D255" s="138">
        <v>2620000</v>
      </c>
      <c r="E255" t="s">
        <v>771</v>
      </c>
      <c r="F255" s="20" t="s">
        <v>772</v>
      </c>
      <c r="G255" s="8" t="str">
        <f t="shared" si="3"/>
        <v>PERKINS DARREN</v>
      </c>
    </row>
    <row r="256" spans="1:7" x14ac:dyDescent="0.25">
      <c r="A256" s="8">
        <v>42916.041446759256</v>
      </c>
      <c r="B256" t="s">
        <v>394</v>
      </c>
      <c r="C256" t="s">
        <v>806</v>
      </c>
      <c r="D256" s="138">
        <v>3090000</v>
      </c>
      <c r="E256" t="s">
        <v>373</v>
      </c>
      <c r="F256" s="20" t="s">
        <v>374</v>
      </c>
      <c r="G256" s="8" t="str">
        <f t="shared" si="3"/>
        <v>LAMAR NEKESHA</v>
      </c>
    </row>
    <row r="257" spans="1:7" x14ac:dyDescent="0.25">
      <c r="A257" s="8">
        <v>42916.063900462963</v>
      </c>
      <c r="B257" t="s">
        <v>525</v>
      </c>
      <c r="C257" t="s">
        <v>807</v>
      </c>
      <c r="D257" s="138">
        <v>3000000</v>
      </c>
      <c r="E257" t="s">
        <v>420</v>
      </c>
      <c r="F257" s="20" t="s">
        <v>421</v>
      </c>
      <c r="G257" s="8" t="str">
        <f t="shared" si="3"/>
        <v>FORTUNATO FRANK</v>
      </c>
    </row>
    <row r="258" spans="1:7" x14ac:dyDescent="0.25">
      <c r="A258" s="8">
        <v>42916.065115740741</v>
      </c>
      <c r="B258" t="s">
        <v>470</v>
      </c>
      <c r="C258" t="s">
        <v>808</v>
      </c>
      <c r="D258" s="138">
        <v>2230000</v>
      </c>
      <c r="E258" t="s">
        <v>341</v>
      </c>
      <c r="F258" s="20" t="s">
        <v>192</v>
      </c>
      <c r="G258" s="8" t="str">
        <f t="shared" si="3"/>
        <v>SMITH MICHAEL</v>
      </c>
    </row>
    <row r="259" spans="1:7" x14ac:dyDescent="0.25">
      <c r="A259" s="8">
        <v>42916.066250000003</v>
      </c>
      <c r="B259" t="s">
        <v>470</v>
      </c>
      <c r="C259" t="s">
        <v>808</v>
      </c>
      <c r="D259" s="138">
        <v>2230000</v>
      </c>
      <c r="E259" t="s">
        <v>341</v>
      </c>
      <c r="F259" s="20" t="s">
        <v>192</v>
      </c>
      <c r="G259" s="8" t="str">
        <f t="shared" ref="G259:G322" si="4">E259&amp;" "&amp;F259</f>
        <v>SMITH MICHAEL</v>
      </c>
    </row>
    <row r="260" spans="1:7" x14ac:dyDescent="0.25">
      <c r="A260" s="8">
        <v>42916.076481481483</v>
      </c>
      <c r="B260" t="s">
        <v>400</v>
      </c>
      <c r="C260" t="s">
        <v>809</v>
      </c>
      <c r="D260" s="138">
        <v>2620000</v>
      </c>
      <c r="E260" t="s">
        <v>771</v>
      </c>
      <c r="F260" s="20" t="s">
        <v>772</v>
      </c>
      <c r="G260" s="8" t="str">
        <f t="shared" si="4"/>
        <v>PERKINS DARREN</v>
      </c>
    </row>
    <row r="261" spans="1:7" x14ac:dyDescent="0.25">
      <c r="A261" s="8">
        <v>42916.077152777776</v>
      </c>
      <c r="B261" t="s">
        <v>400</v>
      </c>
      <c r="C261" t="s">
        <v>809</v>
      </c>
      <c r="D261" s="138">
        <v>2620000</v>
      </c>
      <c r="E261" t="s">
        <v>771</v>
      </c>
      <c r="F261" s="20" t="s">
        <v>772</v>
      </c>
      <c r="G261" s="8" t="str">
        <f t="shared" si="4"/>
        <v>PERKINS DARREN</v>
      </c>
    </row>
    <row r="262" spans="1:7" x14ac:dyDescent="0.25">
      <c r="A262" s="8">
        <v>42916.078356481485</v>
      </c>
      <c r="B262" t="s">
        <v>400</v>
      </c>
      <c r="C262" t="s">
        <v>809</v>
      </c>
      <c r="D262" s="138">
        <v>2620000</v>
      </c>
      <c r="E262" t="s">
        <v>771</v>
      </c>
      <c r="F262" s="20" t="s">
        <v>772</v>
      </c>
      <c r="G262" s="8" t="str">
        <f t="shared" si="4"/>
        <v>PERKINS DARREN</v>
      </c>
    </row>
    <row r="263" spans="1:7" x14ac:dyDescent="0.25">
      <c r="A263" s="8">
        <v>42916.094965277778</v>
      </c>
      <c r="B263" t="s">
        <v>526</v>
      </c>
      <c r="C263" t="s">
        <v>810</v>
      </c>
      <c r="D263" s="138">
        <v>3000000</v>
      </c>
      <c r="E263" t="s">
        <v>420</v>
      </c>
      <c r="F263" s="20" t="s">
        <v>421</v>
      </c>
      <c r="G263" s="8" t="str">
        <f t="shared" si="4"/>
        <v>FORTUNATO FRANK</v>
      </c>
    </row>
    <row r="264" spans="1:7" x14ac:dyDescent="0.25">
      <c r="A264" s="8">
        <v>42916.110671296294</v>
      </c>
      <c r="B264" t="s">
        <v>811</v>
      </c>
      <c r="C264" t="s">
        <v>812</v>
      </c>
      <c r="D264" s="138">
        <v>1090000</v>
      </c>
      <c r="E264" t="s">
        <v>501</v>
      </c>
      <c r="F264" s="20" t="s">
        <v>192</v>
      </c>
      <c r="G264" s="8" t="str">
        <f t="shared" si="4"/>
        <v>SPECTOR MICHAEL</v>
      </c>
    </row>
    <row r="265" spans="1:7" x14ac:dyDescent="0.25">
      <c r="A265" s="8">
        <v>42914.092777777776</v>
      </c>
      <c r="B265" t="s">
        <v>470</v>
      </c>
      <c r="C265" t="s">
        <v>510</v>
      </c>
      <c r="D265" s="138">
        <v>3090000</v>
      </c>
      <c r="E265" t="s">
        <v>373</v>
      </c>
      <c r="F265" s="20" t="s">
        <v>374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482</v>
      </c>
      <c r="C266" t="s">
        <v>511</v>
      </c>
      <c r="D266" s="138">
        <v>940000</v>
      </c>
      <c r="E266" t="s">
        <v>485</v>
      </c>
      <c r="F266" s="20" t="s">
        <v>486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436</v>
      </c>
      <c r="C267" t="s">
        <v>447</v>
      </c>
      <c r="D267" s="138">
        <v>3090000</v>
      </c>
      <c r="E267" t="s">
        <v>373</v>
      </c>
      <c r="F267" s="20" t="s">
        <v>374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393</v>
      </c>
      <c r="C268" t="s">
        <v>417</v>
      </c>
      <c r="D268" s="138">
        <v>2680000</v>
      </c>
      <c r="E268" t="s">
        <v>410</v>
      </c>
      <c r="F268" s="20" t="s">
        <v>411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339</v>
      </c>
      <c r="C269" t="s">
        <v>423</v>
      </c>
      <c r="D269" s="138">
        <v>2230000</v>
      </c>
      <c r="E269" t="s">
        <v>341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419</v>
      </c>
      <c r="C270" t="s">
        <v>424</v>
      </c>
      <c r="D270" s="138">
        <v>2610000</v>
      </c>
      <c r="E270" t="s">
        <v>412</v>
      </c>
      <c r="F270" s="20" t="s">
        <v>413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355</v>
      </c>
      <c r="C271" t="s">
        <v>425</v>
      </c>
      <c r="D271" s="138">
        <v>2140000</v>
      </c>
      <c r="E271" t="s">
        <v>407</v>
      </c>
      <c r="F271" s="20" t="s">
        <v>408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416</v>
      </c>
      <c r="C272" t="s">
        <v>426</v>
      </c>
      <c r="D272" s="138">
        <v>3000000</v>
      </c>
      <c r="E272" t="s">
        <v>420</v>
      </c>
      <c r="F272" s="20" t="s">
        <v>421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394</v>
      </c>
      <c r="C273" t="s">
        <v>422</v>
      </c>
      <c r="D273" s="138">
        <v>2680000</v>
      </c>
      <c r="E273" t="s">
        <v>410</v>
      </c>
      <c r="F273" s="20" t="s">
        <v>411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338</v>
      </c>
      <c r="C274" t="s">
        <v>427</v>
      </c>
      <c r="D274" s="138">
        <v>2230000</v>
      </c>
      <c r="E274" t="s">
        <v>341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415</v>
      </c>
      <c r="C275" t="s">
        <v>428</v>
      </c>
      <c r="D275" s="138">
        <v>2610000</v>
      </c>
      <c r="E275" t="s">
        <v>412</v>
      </c>
      <c r="F275" s="20" t="s">
        <v>413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418</v>
      </c>
      <c r="C276" t="s">
        <v>429</v>
      </c>
      <c r="D276" s="138">
        <v>3000000</v>
      </c>
      <c r="E276" t="s">
        <v>420</v>
      </c>
      <c r="F276" s="20" t="s">
        <v>421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419</v>
      </c>
      <c r="C277" t="s">
        <v>430</v>
      </c>
      <c r="D277" s="138">
        <v>2610000</v>
      </c>
      <c r="E277" t="s">
        <v>412</v>
      </c>
      <c r="F277" s="20" t="s">
        <v>413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397</v>
      </c>
      <c r="C278" t="s">
        <v>398</v>
      </c>
      <c r="D278" s="138">
        <v>2970000</v>
      </c>
      <c r="E278" t="s">
        <v>377</v>
      </c>
      <c r="F278" s="20" t="s">
        <v>378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396</v>
      </c>
      <c r="C279" t="s">
        <v>402</v>
      </c>
      <c r="D279" s="138">
        <v>1810000</v>
      </c>
      <c r="E279" t="s">
        <v>365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339</v>
      </c>
      <c r="C280" t="s">
        <v>403</v>
      </c>
      <c r="D280" s="138">
        <v>3090000</v>
      </c>
      <c r="E280" t="s">
        <v>373</v>
      </c>
      <c r="F280" s="20" t="s">
        <v>374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394</v>
      </c>
      <c r="C281" t="s">
        <v>399</v>
      </c>
      <c r="D281" s="138">
        <v>3010000</v>
      </c>
      <c r="E281" t="s">
        <v>390</v>
      </c>
      <c r="F281" s="20" t="s">
        <v>391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400</v>
      </c>
      <c r="C282" t="s">
        <v>401</v>
      </c>
      <c r="D282" s="138">
        <v>2970000</v>
      </c>
      <c r="E282" t="s">
        <v>377</v>
      </c>
      <c r="F282" s="20" t="s">
        <v>378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393</v>
      </c>
      <c r="C283" t="s">
        <v>399</v>
      </c>
      <c r="D283" s="138">
        <v>3010000</v>
      </c>
      <c r="E283" t="s">
        <v>390</v>
      </c>
      <c r="F283" s="20" t="s">
        <v>391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395</v>
      </c>
      <c r="C284" t="s">
        <v>404</v>
      </c>
      <c r="D284" s="138">
        <v>3030000</v>
      </c>
      <c r="E284" t="s">
        <v>379</v>
      </c>
      <c r="F284" s="20" t="s">
        <v>364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393</v>
      </c>
      <c r="C285" t="s">
        <v>399</v>
      </c>
      <c r="D285" s="138">
        <v>3010000</v>
      </c>
      <c r="E285" t="s">
        <v>390</v>
      </c>
      <c r="F285" s="20" t="s">
        <v>391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397</v>
      </c>
      <c r="C286" t="s">
        <v>398</v>
      </c>
      <c r="D286" s="138">
        <v>2970000</v>
      </c>
      <c r="E286" t="s">
        <v>377</v>
      </c>
      <c r="F286" s="20" t="s">
        <v>378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400</v>
      </c>
      <c r="C287" t="s">
        <v>401</v>
      </c>
      <c r="D287" s="138">
        <v>2970000</v>
      </c>
      <c r="E287" t="s">
        <v>377</v>
      </c>
      <c r="F287" s="20" t="s">
        <v>378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338</v>
      </c>
      <c r="C288" t="s">
        <v>405</v>
      </c>
      <c r="D288" s="138">
        <v>3090000</v>
      </c>
      <c r="E288" t="s">
        <v>373</v>
      </c>
      <c r="F288" s="20" t="s">
        <v>374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397</v>
      </c>
      <c r="C289" t="s">
        <v>398</v>
      </c>
      <c r="D289" s="138">
        <v>2970000</v>
      </c>
      <c r="E289" t="s">
        <v>377</v>
      </c>
      <c r="F289" s="20" t="s">
        <v>378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394</v>
      </c>
      <c r="C290" t="s">
        <v>399</v>
      </c>
      <c r="D290" s="138">
        <v>3010000</v>
      </c>
      <c r="E290" t="s">
        <v>390</v>
      </c>
      <c r="F290" s="20" t="s">
        <v>391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394</v>
      </c>
      <c r="C291" t="s">
        <v>399</v>
      </c>
      <c r="D291" s="138">
        <v>3010000</v>
      </c>
      <c r="E291" t="s">
        <v>390</v>
      </c>
      <c r="F291" s="20" t="s">
        <v>391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394</v>
      </c>
      <c r="C292" t="s">
        <v>399</v>
      </c>
      <c r="D292" s="138">
        <v>3010000</v>
      </c>
      <c r="E292" t="s">
        <v>390</v>
      </c>
      <c r="F292" s="20" t="s">
        <v>391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394</v>
      </c>
      <c r="C293" t="s">
        <v>399</v>
      </c>
      <c r="D293" s="138">
        <v>3010000</v>
      </c>
      <c r="E293" t="s">
        <v>390</v>
      </c>
      <c r="F293" s="20" t="s">
        <v>391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400</v>
      </c>
      <c r="C294" t="s">
        <v>401</v>
      </c>
      <c r="D294" s="138">
        <v>2970000</v>
      </c>
      <c r="E294" t="s">
        <v>377</v>
      </c>
      <c r="F294" s="20" t="s">
        <v>378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338</v>
      </c>
      <c r="C295" t="s">
        <v>384</v>
      </c>
      <c r="D295" s="138">
        <v>1800000</v>
      </c>
      <c r="E295" t="s">
        <v>375</v>
      </c>
      <c r="F295" s="20" t="s">
        <v>376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363</v>
      </c>
      <c r="C296" t="s">
        <v>385</v>
      </c>
      <c r="D296" s="138">
        <v>3030000</v>
      </c>
      <c r="E296" t="s">
        <v>379</v>
      </c>
      <c r="F296" s="20" t="s">
        <v>364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372</v>
      </c>
      <c r="C297" t="s">
        <v>368</v>
      </c>
      <c r="D297" s="138">
        <v>2970000</v>
      </c>
      <c r="E297" t="s">
        <v>377</v>
      </c>
      <c r="F297" s="20" t="s">
        <v>378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355</v>
      </c>
      <c r="C298" t="s">
        <v>386</v>
      </c>
      <c r="D298" s="138">
        <v>2230000</v>
      </c>
      <c r="E298" t="s">
        <v>341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366</v>
      </c>
      <c r="C299" t="s">
        <v>368</v>
      </c>
      <c r="D299" s="138">
        <v>2970000</v>
      </c>
      <c r="E299" t="s">
        <v>377</v>
      </c>
      <c r="F299" s="20" t="s">
        <v>378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367</v>
      </c>
      <c r="C300" t="s">
        <v>371</v>
      </c>
      <c r="D300" s="138">
        <v>3130000</v>
      </c>
      <c r="E300" t="s">
        <v>382</v>
      </c>
      <c r="F300" s="20" t="s">
        <v>383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366</v>
      </c>
      <c r="C301" t="s">
        <v>368</v>
      </c>
      <c r="D301" s="138">
        <v>2970000</v>
      </c>
      <c r="E301" t="s">
        <v>377</v>
      </c>
      <c r="F301" s="20" t="s">
        <v>378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361</v>
      </c>
      <c r="C302" t="s">
        <v>369</v>
      </c>
      <c r="D302" s="138">
        <v>3040000</v>
      </c>
      <c r="E302" t="s">
        <v>380</v>
      </c>
      <c r="F302" s="20" t="s">
        <v>381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361</v>
      </c>
      <c r="C303" t="s">
        <v>369</v>
      </c>
      <c r="D303" s="138">
        <v>3040000</v>
      </c>
      <c r="E303" t="s">
        <v>380</v>
      </c>
      <c r="F303" s="20" t="s">
        <v>381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340</v>
      </c>
      <c r="C304" t="s">
        <v>387</v>
      </c>
      <c r="D304" s="138">
        <v>3030000</v>
      </c>
      <c r="E304" t="s">
        <v>379</v>
      </c>
      <c r="F304" s="20" t="s">
        <v>364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372</v>
      </c>
      <c r="C305" t="s">
        <v>368</v>
      </c>
      <c r="D305" s="138">
        <v>2970000</v>
      </c>
      <c r="E305" t="s">
        <v>377</v>
      </c>
      <c r="F305" s="20" t="s">
        <v>378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366</v>
      </c>
      <c r="C306" t="s">
        <v>368</v>
      </c>
      <c r="D306" s="138">
        <v>2970000</v>
      </c>
      <c r="E306" t="s">
        <v>377</v>
      </c>
      <c r="F306" s="20" t="s">
        <v>378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362</v>
      </c>
      <c r="C307" t="s">
        <v>369</v>
      </c>
      <c r="D307" s="138">
        <v>3040000</v>
      </c>
      <c r="E307" t="s">
        <v>380</v>
      </c>
      <c r="F307" s="20" t="s">
        <v>381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370</v>
      </c>
      <c r="C308" t="s">
        <v>388</v>
      </c>
      <c r="D308" s="138">
        <v>3130000</v>
      </c>
      <c r="E308" t="s">
        <v>382</v>
      </c>
      <c r="F308" s="20" t="s">
        <v>383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361</v>
      </c>
      <c r="C309" t="s">
        <v>369</v>
      </c>
      <c r="D309" s="138">
        <v>3040000</v>
      </c>
      <c r="E309" t="s">
        <v>380</v>
      </c>
      <c r="F309" s="20" t="s">
        <v>381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372</v>
      </c>
      <c r="C310" t="s">
        <v>368</v>
      </c>
      <c r="D310" s="138">
        <v>2970000</v>
      </c>
      <c r="E310" t="s">
        <v>377</v>
      </c>
      <c r="F310" s="20" t="s">
        <v>378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366</v>
      </c>
      <c r="C311" t="s">
        <v>368</v>
      </c>
      <c r="D311" s="138">
        <v>2970000</v>
      </c>
      <c r="E311" t="s">
        <v>377</v>
      </c>
      <c r="F311" s="20" t="s">
        <v>378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449</v>
      </c>
      <c r="P1" s="171" t="s">
        <v>156</v>
      </c>
      <c r="Q1" s="171" t="s">
        <v>163</v>
      </c>
      <c r="R1" s="171" t="s">
        <v>450</v>
      </c>
      <c r="S1" s="171" t="s">
        <v>160</v>
      </c>
    </row>
    <row r="2" spans="1:19" x14ac:dyDescent="0.25">
      <c r="A2" s="172">
        <v>69.19</v>
      </c>
      <c r="B2" s="172">
        <v>0.48</v>
      </c>
      <c r="C2" s="172">
        <v>42.68</v>
      </c>
      <c r="D2" s="8">
        <v>42915</v>
      </c>
      <c r="E2" s="172">
        <v>0.38</v>
      </c>
      <c r="F2" s="172" t="s">
        <v>545</v>
      </c>
      <c r="G2" s="172">
        <v>313.73</v>
      </c>
      <c r="H2" s="172">
        <v>0</v>
      </c>
      <c r="I2" s="172">
        <v>0</v>
      </c>
      <c r="J2" s="172"/>
      <c r="K2" s="172">
        <v>1004.47</v>
      </c>
      <c r="L2" s="172" t="s">
        <v>462</v>
      </c>
      <c r="M2" s="172">
        <v>69.19</v>
      </c>
      <c r="N2" s="172">
        <v>1498716000</v>
      </c>
      <c r="O2" s="172">
        <v>0</v>
      </c>
      <c r="P2" s="172">
        <v>10</v>
      </c>
      <c r="Q2" s="172">
        <v>350</v>
      </c>
      <c r="R2" s="172">
        <v>4.3</v>
      </c>
      <c r="S2" s="172">
        <v>2.94</v>
      </c>
    </row>
    <row r="3" spans="1:19" x14ac:dyDescent="0.25">
      <c r="A3" s="172">
        <v>66.58</v>
      </c>
      <c r="B3" s="172">
        <v>0.4</v>
      </c>
      <c r="C3" s="172">
        <v>43.17</v>
      </c>
      <c r="D3" s="8">
        <v>42915.041666666664</v>
      </c>
      <c r="E3" s="172">
        <v>0.43</v>
      </c>
      <c r="F3" s="172" t="s">
        <v>545</v>
      </c>
      <c r="G3" s="172">
        <v>314.25</v>
      </c>
      <c r="H3" s="172">
        <v>0</v>
      </c>
      <c r="I3" s="172">
        <v>0</v>
      </c>
      <c r="J3" s="172"/>
      <c r="K3" s="172">
        <v>1005.18</v>
      </c>
      <c r="L3" s="172" t="s">
        <v>462</v>
      </c>
      <c r="M3" s="172">
        <v>66.58</v>
      </c>
      <c r="N3" s="172">
        <v>1498719600</v>
      </c>
      <c r="O3" s="172">
        <v>0</v>
      </c>
      <c r="P3" s="172">
        <v>10</v>
      </c>
      <c r="Q3" s="172">
        <v>308</v>
      </c>
      <c r="R3" s="172">
        <v>5.39</v>
      </c>
      <c r="S3" s="172">
        <v>3.35</v>
      </c>
    </row>
    <row r="4" spans="1:19" x14ac:dyDescent="0.25">
      <c r="A4" s="172">
        <v>64.69</v>
      </c>
      <c r="B4" s="172">
        <v>0.18</v>
      </c>
      <c r="C4" s="172">
        <v>42.47</v>
      </c>
      <c r="D4" s="8">
        <v>42915.083333333336</v>
      </c>
      <c r="E4" s="172">
        <v>0.44</v>
      </c>
      <c r="F4" s="172" t="s">
        <v>442</v>
      </c>
      <c r="G4" s="172">
        <v>313.51</v>
      </c>
      <c r="H4" s="172">
        <v>0</v>
      </c>
      <c r="I4" s="172">
        <v>0</v>
      </c>
      <c r="J4" s="172"/>
      <c r="K4" s="172">
        <v>1005.81</v>
      </c>
      <c r="L4" s="172" t="s">
        <v>443</v>
      </c>
      <c r="M4" s="172">
        <v>64.69</v>
      </c>
      <c r="N4" s="172">
        <v>1498723200</v>
      </c>
      <c r="O4" s="172">
        <v>0</v>
      </c>
      <c r="P4" s="172">
        <v>10</v>
      </c>
      <c r="Q4" s="172">
        <v>19</v>
      </c>
      <c r="R4" s="172">
        <v>5.99</v>
      </c>
      <c r="S4" s="172">
        <v>3.01</v>
      </c>
    </row>
    <row r="5" spans="1:19" x14ac:dyDescent="0.25">
      <c r="A5" s="172">
        <v>63.13</v>
      </c>
      <c r="B5" s="172">
        <v>0.11</v>
      </c>
      <c r="C5" s="172">
        <v>42.04</v>
      </c>
      <c r="D5" s="8">
        <v>42915.125</v>
      </c>
      <c r="E5" s="172">
        <v>0.46</v>
      </c>
      <c r="F5" s="172" t="s">
        <v>442</v>
      </c>
      <c r="G5" s="172">
        <v>312.77</v>
      </c>
      <c r="H5" s="172">
        <v>0</v>
      </c>
      <c r="I5" s="172">
        <v>0</v>
      </c>
      <c r="J5" s="172"/>
      <c r="K5" s="172">
        <v>1006.47</v>
      </c>
      <c r="L5" s="172" t="s">
        <v>443</v>
      </c>
      <c r="M5" s="172">
        <v>63.13</v>
      </c>
      <c r="N5" s="172">
        <v>1498726800</v>
      </c>
      <c r="O5" s="172">
        <v>0</v>
      </c>
      <c r="P5" s="172">
        <v>10</v>
      </c>
      <c r="Q5" s="172">
        <v>299</v>
      </c>
      <c r="R5" s="172">
        <v>8.5</v>
      </c>
      <c r="S5" s="172">
        <v>2.7</v>
      </c>
    </row>
    <row r="6" spans="1:19" x14ac:dyDescent="0.25">
      <c r="A6" s="172">
        <v>62.03</v>
      </c>
      <c r="B6" s="172">
        <v>7.0000000000000007E-2</v>
      </c>
      <c r="C6" s="172">
        <v>41.66</v>
      </c>
      <c r="D6" s="8">
        <v>42915.166666666664</v>
      </c>
      <c r="E6" s="172">
        <v>0.47</v>
      </c>
      <c r="F6" s="172" t="s">
        <v>442</v>
      </c>
      <c r="G6" s="172">
        <v>312.67</v>
      </c>
      <c r="H6" s="172">
        <v>0</v>
      </c>
      <c r="I6" s="172">
        <v>0</v>
      </c>
      <c r="J6" s="172"/>
      <c r="K6" s="172">
        <v>1006.54</v>
      </c>
      <c r="L6" s="172" t="s">
        <v>443</v>
      </c>
      <c r="M6" s="172">
        <v>62.03</v>
      </c>
      <c r="N6" s="172">
        <v>1498730400</v>
      </c>
      <c r="O6" s="172">
        <v>0</v>
      </c>
      <c r="P6" s="172">
        <v>10</v>
      </c>
      <c r="Q6" s="172">
        <v>210</v>
      </c>
      <c r="R6" s="172">
        <v>6.66</v>
      </c>
      <c r="S6" s="172">
        <v>2.36</v>
      </c>
    </row>
    <row r="7" spans="1:19" x14ac:dyDescent="0.25">
      <c r="A7" s="172">
        <v>60.62</v>
      </c>
      <c r="B7" s="172">
        <v>0.03</v>
      </c>
      <c r="C7" s="172">
        <v>40.619999999999997</v>
      </c>
      <c r="D7" s="8">
        <v>42915.208333333336</v>
      </c>
      <c r="E7" s="172">
        <v>0.48</v>
      </c>
      <c r="F7" s="172" t="s">
        <v>442</v>
      </c>
      <c r="G7" s="172">
        <v>312.58</v>
      </c>
      <c r="H7" s="172">
        <v>0</v>
      </c>
      <c r="I7" s="172">
        <v>0</v>
      </c>
      <c r="J7" s="172"/>
      <c r="K7" s="172">
        <v>1006.67</v>
      </c>
      <c r="L7" s="172" t="s">
        <v>443</v>
      </c>
      <c r="M7" s="172">
        <v>60.62</v>
      </c>
      <c r="N7" s="172">
        <v>1498734000</v>
      </c>
      <c r="O7" s="172">
        <v>0</v>
      </c>
      <c r="P7" s="172">
        <v>10</v>
      </c>
      <c r="Q7" s="172">
        <v>221</v>
      </c>
      <c r="R7" s="172">
        <v>6.2</v>
      </c>
      <c r="S7" s="172">
        <v>2.99</v>
      </c>
    </row>
    <row r="8" spans="1:19" x14ac:dyDescent="0.25">
      <c r="A8" s="172">
        <v>61.12</v>
      </c>
      <c r="B8" s="172">
        <v>0</v>
      </c>
      <c r="C8" s="172">
        <v>40.869999999999997</v>
      </c>
      <c r="D8" s="8">
        <v>42915.25</v>
      </c>
      <c r="E8" s="172">
        <v>0.47</v>
      </c>
      <c r="F8" s="172" t="s">
        <v>444</v>
      </c>
      <c r="G8" s="172">
        <v>310.58</v>
      </c>
      <c r="H8" s="172">
        <v>0</v>
      </c>
      <c r="I8" s="172">
        <v>0</v>
      </c>
      <c r="J8" s="172"/>
      <c r="K8" s="172">
        <v>1007.47</v>
      </c>
      <c r="L8" s="172" t="s">
        <v>443</v>
      </c>
      <c r="M8" s="172">
        <v>61.12</v>
      </c>
      <c r="N8" s="172">
        <v>1498737600</v>
      </c>
      <c r="O8" s="172">
        <v>0</v>
      </c>
      <c r="P8" s="172">
        <v>10</v>
      </c>
      <c r="Q8" s="172">
        <v>218</v>
      </c>
      <c r="R8" s="172">
        <v>4.54</v>
      </c>
      <c r="S8" s="172">
        <v>3.32</v>
      </c>
    </row>
    <row r="9" spans="1:19" x14ac:dyDescent="0.25">
      <c r="A9" s="172">
        <v>63.64</v>
      </c>
      <c r="B9" s="172">
        <v>0</v>
      </c>
      <c r="C9" s="172">
        <v>41.34</v>
      </c>
      <c r="D9" s="8">
        <v>42915.291666666664</v>
      </c>
      <c r="E9" s="172">
        <v>0.44</v>
      </c>
      <c r="F9" s="172" t="s">
        <v>444</v>
      </c>
      <c r="G9" s="172">
        <v>310.37</v>
      </c>
      <c r="H9" s="172">
        <v>0</v>
      </c>
      <c r="I9" s="172">
        <v>0</v>
      </c>
      <c r="J9" s="172"/>
      <c r="K9" s="172">
        <v>1007.79</v>
      </c>
      <c r="L9" s="172" t="s">
        <v>443</v>
      </c>
      <c r="M9" s="172">
        <v>63.64</v>
      </c>
      <c r="N9" s="172">
        <v>1498741200</v>
      </c>
      <c r="O9" s="172">
        <v>1</v>
      </c>
      <c r="P9" s="172">
        <v>10</v>
      </c>
      <c r="Q9" s="172">
        <v>181</v>
      </c>
      <c r="R9" s="172">
        <v>5.38</v>
      </c>
      <c r="S9" s="172">
        <v>4.18</v>
      </c>
    </row>
    <row r="10" spans="1:19" x14ac:dyDescent="0.25">
      <c r="A10" s="172">
        <v>68.17</v>
      </c>
      <c r="B10" s="172">
        <v>0</v>
      </c>
      <c r="C10" s="172">
        <v>41.55</v>
      </c>
      <c r="D10" s="8">
        <v>42915.333333333336</v>
      </c>
      <c r="E10" s="172">
        <v>0.38</v>
      </c>
      <c r="F10" s="172" t="s">
        <v>444</v>
      </c>
      <c r="G10" s="172">
        <v>310.47000000000003</v>
      </c>
      <c r="H10" s="172">
        <v>0</v>
      </c>
      <c r="I10" s="172">
        <v>0</v>
      </c>
      <c r="J10" s="172"/>
      <c r="K10" s="172">
        <v>1008.03</v>
      </c>
      <c r="L10" s="172" t="s">
        <v>443</v>
      </c>
      <c r="M10" s="172">
        <v>68.17</v>
      </c>
      <c r="N10" s="172">
        <v>1498744800</v>
      </c>
      <c r="O10" s="172">
        <v>1</v>
      </c>
      <c r="P10" s="172">
        <v>10</v>
      </c>
      <c r="Q10" s="172">
        <v>44</v>
      </c>
      <c r="R10" s="172">
        <v>4.63</v>
      </c>
      <c r="S10" s="172">
        <v>3.88</v>
      </c>
    </row>
    <row r="11" spans="1:19" x14ac:dyDescent="0.25">
      <c r="A11" s="172">
        <v>72.81</v>
      </c>
      <c r="B11" s="172">
        <v>0</v>
      </c>
      <c r="C11" s="172">
        <v>43.27</v>
      </c>
      <c r="D11" s="8">
        <v>42915.375</v>
      </c>
      <c r="E11" s="172">
        <v>0.35</v>
      </c>
      <c r="F11" s="172" t="s">
        <v>444</v>
      </c>
      <c r="G11" s="172">
        <v>310.36</v>
      </c>
      <c r="H11" s="172">
        <v>0</v>
      </c>
      <c r="I11" s="172">
        <v>0</v>
      </c>
      <c r="J11" s="172"/>
      <c r="K11" s="172">
        <v>1007.93</v>
      </c>
      <c r="L11" s="172" t="s">
        <v>443</v>
      </c>
      <c r="M11" s="172">
        <v>72.81</v>
      </c>
      <c r="N11" s="172">
        <v>1498748400</v>
      </c>
      <c r="O11" s="172">
        <v>3</v>
      </c>
      <c r="P11" s="172">
        <v>10</v>
      </c>
      <c r="Q11" s="172">
        <v>34</v>
      </c>
      <c r="R11" s="172">
        <v>5.33</v>
      </c>
      <c r="S11" s="172">
        <v>4.4400000000000004</v>
      </c>
    </row>
    <row r="12" spans="1:19" x14ac:dyDescent="0.25">
      <c r="A12" s="172">
        <v>76.09</v>
      </c>
      <c r="B12" s="172">
        <v>0</v>
      </c>
      <c r="C12" s="172">
        <v>43.25</v>
      </c>
      <c r="D12" s="8">
        <v>42915.416666666664</v>
      </c>
      <c r="E12" s="172">
        <v>0.31</v>
      </c>
      <c r="F12" s="172" t="s">
        <v>444</v>
      </c>
      <c r="G12" s="172">
        <v>309.94</v>
      </c>
      <c r="H12" s="172">
        <v>0</v>
      </c>
      <c r="I12" s="172">
        <v>0</v>
      </c>
      <c r="J12" s="172"/>
      <c r="K12" s="172">
        <v>1007.68</v>
      </c>
      <c r="L12" s="172" t="s">
        <v>443</v>
      </c>
      <c r="M12" s="172">
        <v>76.09</v>
      </c>
      <c r="N12" s="172">
        <v>1498752000</v>
      </c>
      <c r="O12" s="172">
        <v>5</v>
      </c>
      <c r="P12" s="172">
        <v>10</v>
      </c>
      <c r="Q12" s="172">
        <v>42</v>
      </c>
      <c r="R12" s="172">
        <v>6.3</v>
      </c>
      <c r="S12" s="172">
        <v>5.32</v>
      </c>
    </row>
    <row r="13" spans="1:19" x14ac:dyDescent="0.25">
      <c r="A13" s="172">
        <v>79.239999999999995</v>
      </c>
      <c r="B13" s="172">
        <v>0</v>
      </c>
      <c r="C13" s="172">
        <v>41.8</v>
      </c>
      <c r="D13" s="8">
        <v>42915.458333333336</v>
      </c>
      <c r="E13" s="172">
        <v>0.26</v>
      </c>
      <c r="F13" s="172" t="s">
        <v>444</v>
      </c>
      <c r="G13" s="172">
        <v>309.31</v>
      </c>
      <c r="H13" s="172">
        <v>0</v>
      </c>
      <c r="I13" s="172">
        <v>0</v>
      </c>
      <c r="J13" s="172"/>
      <c r="K13" s="172">
        <v>1007.16</v>
      </c>
      <c r="L13" s="172" t="s">
        <v>443</v>
      </c>
      <c r="M13" s="172">
        <v>79.239999999999995</v>
      </c>
      <c r="N13" s="172">
        <v>1498755600</v>
      </c>
      <c r="O13" s="172">
        <v>8</v>
      </c>
      <c r="P13" s="172">
        <v>10</v>
      </c>
      <c r="Q13" s="172">
        <v>56</v>
      </c>
      <c r="R13" s="172">
        <v>7.48</v>
      </c>
      <c r="S13" s="172">
        <v>7.47</v>
      </c>
    </row>
    <row r="14" spans="1:19" x14ac:dyDescent="0.25">
      <c r="A14" s="172">
        <v>81.72</v>
      </c>
      <c r="B14" s="172">
        <v>0.02</v>
      </c>
      <c r="C14" s="172">
        <v>41.31</v>
      </c>
      <c r="D14" s="8">
        <v>42915.5</v>
      </c>
      <c r="E14" s="172">
        <v>0.24</v>
      </c>
      <c r="F14" s="172" t="s">
        <v>444</v>
      </c>
      <c r="G14" s="172">
        <v>307.08</v>
      </c>
      <c r="H14" s="172">
        <v>0</v>
      </c>
      <c r="I14" s="172">
        <v>0</v>
      </c>
      <c r="J14" s="172"/>
      <c r="K14" s="172">
        <v>1007.02</v>
      </c>
      <c r="L14" s="172" t="s">
        <v>443</v>
      </c>
      <c r="M14" s="172">
        <v>81.72</v>
      </c>
      <c r="N14" s="172">
        <v>1498759200</v>
      </c>
      <c r="O14" s="172">
        <v>11</v>
      </c>
      <c r="P14" s="172">
        <v>10</v>
      </c>
      <c r="Q14" s="172">
        <v>68</v>
      </c>
      <c r="R14" s="172">
        <v>10.82</v>
      </c>
      <c r="S14" s="172">
        <v>8.82</v>
      </c>
    </row>
    <row r="15" spans="1:19" x14ac:dyDescent="0.25">
      <c r="A15" s="172">
        <v>83.52</v>
      </c>
      <c r="B15" s="172">
        <v>0.14000000000000001</v>
      </c>
      <c r="C15" s="172">
        <v>40.4</v>
      </c>
      <c r="D15" s="8">
        <v>42915.541666666664</v>
      </c>
      <c r="E15" s="172">
        <v>0.22</v>
      </c>
      <c r="F15" s="172" t="s">
        <v>444</v>
      </c>
      <c r="G15" s="172">
        <v>307.52</v>
      </c>
      <c r="H15" s="172">
        <v>0</v>
      </c>
      <c r="I15" s="172">
        <v>0</v>
      </c>
      <c r="J15" s="172"/>
      <c r="K15" s="172">
        <v>1006.51</v>
      </c>
      <c r="L15" s="172" t="s">
        <v>443</v>
      </c>
      <c r="M15" s="172">
        <v>83.52</v>
      </c>
      <c r="N15" s="172">
        <v>1498762800</v>
      </c>
      <c r="O15" s="172">
        <v>12</v>
      </c>
      <c r="P15" s="172">
        <v>10</v>
      </c>
      <c r="Q15" s="172">
        <v>75</v>
      </c>
      <c r="R15" s="172">
        <v>11</v>
      </c>
      <c r="S15" s="172">
        <v>8.43</v>
      </c>
    </row>
    <row r="16" spans="1:19" x14ac:dyDescent="0.25">
      <c r="A16" s="172">
        <v>84.64</v>
      </c>
      <c r="B16" s="172">
        <v>0.32</v>
      </c>
      <c r="C16" s="172">
        <v>39.42</v>
      </c>
      <c r="D16" s="8">
        <v>42915.583333333336</v>
      </c>
      <c r="E16" s="172">
        <v>0.2</v>
      </c>
      <c r="F16" s="172" t="s">
        <v>513</v>
      </c>
      <c r="G16" s="172">
        <v>308.70999999999998</v>
      </c>
      <c r="H16" s="172">
        <v>7.6E-3</v>
      </c>
      <c r="I16" s="172">
        <v>0.01</v>
      </c>
      <c r="J16" s="172" t="s">
        <v>513</v>
      </c>
      <c r="K16" s="172">
        <v>1006.07</v>
      </c>
      <c r="L16" s="172" t="s">
        <v>813</v>
      </c>
      <c r="M16" s="172">
        <v>84.64</v>
      </c>
      <c r="N16" s="172">
        <v>1498766400</v>
      </c>
      <c r="O16" s="172">
        <v>10</v>
      </c>
      <c r="P16" s="172">
        <v>10</v>
      </c>
      <c r="Q16" s="172">
        <v>81</v>
      </c>
      <c r="R16" s="172">
        <v>9.25</v>
      </c>
      <c r="S16" s="172">
        <v>6.7</v>
      </c>
    </row>
    <row r="17" spans="1:19" x14ac:dyDescent="0.25">
      <c r="A17" s="172">
        <v>83.24</v>
      </c>
      <c r="B17" s="172">
        <v>0.43</v>
      </c>
      <c r="C17" s="172">
        <v>37.229999999999997</v>
      </c>
      <c r="D17" s="8">
        <v>42915.625</v>
      </c>
      <c r="E17" s="172">
        <v>0.19</v>
      </c>
      <c r="F17" s="172" t="s">
        <v>513</v>
      </c>
      <c r="G17" s="172">
        <v>310.43</v>
      </c>
      <c r="H17" s="172">
        <v>1.18E-2</v>
      </c>
      <c r="I17" s="172">
        <v>0.02</v>
      </c>
      <c r="J17" s="172" t="s">
        <v>513</v>
      </c>
      <c r="K17" s="172">
        <v>1005.42</v>
      </c>
      <c r="L17" s="172" t="s">
        <v>544</v>
      </c>
      <c r="M17" s="172">
        <v>83.24</v>
      </c>
      <c r="N17" s="172">
        <v>1498770000</v>
      </c>
      <c r="O17" s="172">
        <v>7</v>
      </c>
      <c r="P17" s="172">
        <v>10</v>
      </c>
      <c r="Q17" s="172">
        <v>81</v>
      </c>
      <c r="R17" s="172">
        <v>10.4</v>
      </c>
      <c r="S17" s="172">
        <v>6.98</v>
      </c>
    </row>
    <row r="18" spans="1:19" x14ac:dyDescent="0.25">
      <c r="A18" s="172">
        <v>82.32</v>
      </c>
      <c r="B18" s="172">
        <v>0.52</v>
      </c>
      <c r="C18" s="172">
        <v>37.42</v>
      </c>
      <c r="D18" s="8">
        <v>42915.666666666664</v>
      </c>
      <c r="E18" s="172">
        <v>0.2</v>
      </c>
      <c r="F18" s="172" t="s">
        <v>513</v>
      </c>
      <c r="G18" s="172">
        <v>312.77</v>
      </c>
      <c r="H18" s="172">
        <v>9.5999999999999992E-3</v>
      </c>
      <c r="I18" s="172">
        <v>0.02</v>
      </c>
      <c r="J18" s="172" t="s">
        <v>513</v>
      </c>
      <c r="K18" s="172">
        <v>1005.46</v>
      </c>
      <c r="L18" s="172" t="s">
        <v>544</v>
      </c>
      <c r="M18" s="172">
        <v>82.32</v>
      </c>
      <c r="N18" s="172">
        <v>1498773600</v>
      </c>
      <c r="O18" s="172">
        <v>4</v>
      </c>
      <c r="P18" s="172">
        <v>10</v>
      </c>
      <c r="Q18" s="172">
        <v>85</v>
      </c>
      <c r="R18" s="172">
        <v>12.36</v>
      </c>
      <c r="S18" s="172">
        <v>7.4</v>
      </c>
    </row>
    <row r="19" spans="1:19" x14ac:dyDescent="0.25">
      <c r="A19" s="172">
        <v>80.87</v>
      </c>
      <c r="B19" s="172">
        <v>0.63</v>
      </c>
      <c r="C19" s="172">
        <v>38.729999999999997</v>
      </c>
      <c r="D19" s="8">
        <v>42915.708333333336</v>
      </c>
      <c r="E19" s="172">
        <v>0.22</v>
      </c>
      <c r="F19" s="172" t="s">
        <v>513</v>
      </c>
      <c r="G19" s="172">
        <v>315.73</v>
      </c>
      <c r="H19" s="172">
        <v>1.0800000000000001E-2</v>
      </c>
      <c r="I19" s="172">
        <v>0.02</v>
      </c>
      <c r="J19" s="172" t="s">
        <v>513</v>
      </c>
      <c r="K19" s="172">
        <v>1005.7</v>
      </c>
      <c r="L19" s="172" t="s">
        <v>544</v>
      </c>
      <c r="M19" s="172">
        <v>80.87</v>
      </c>
      <c r="N19" s="172">
        <v>1498777200</v>
      </c>
      <c r="O19" s="172">
        <v>2</v>
      </c>
      <c r="P19" s="172">
        <v>10</v>
      </c>
      <c r="Q19" s="172">
        <v>70</v>
      </c>
      <c r="R19" s="172">
        <v>12.64</v>
      </c>
      <c r="S19" s="172">
        <v>8.2899999999999991</v>
      </c>
    </row>
    <row r="20" spans="1:19" x14ac:dyDescent="0.25">
      <c r="A20" s="172">
        <v>76.38</v>
      </c>
      <c r="B20" s="172">
        <v>0.78</v>
      </c>
      <c r="C20" s="172">
        <v>41.78</v>
      </c>
      <c r="D20" s="8">
        <v>42915.75</v>
      </c>
      <c r="E20" s="172">
        <v>0.28999999999999998</v>
      </c>
      <c r="F20" s="172" t="s">
        <v>461</v>
      </c>
      <c r="G20" s="172">
        <v>317.82</v>
      </c>
      <c r="H20" s="172">
        <v>0</v>
      </c>
      <c r="I20" s="172">
        <v>0</v>
      </c>
      <c r="J20" s="172"/>
      <c r="K20" s="172">
        <v>1007.29</v>
      </c>
      <c r="L20" s="172" t="s">
        <v>543</v>
      </c>
      <c r="M20" s="172">
        <v>76.38</v>
      </c>
      <c r="N20" s="172">
        <v>1498780800</v>
      </c>
      <c r="O20" s="172">
        <v>1</v>
      </c>
      <c r="P20" s="172">
        <v>10</v>
      </c>
      <c r="Q20" s="172">
        <v>63</v>
      </c>
      <c r="R20" s="172">
        <v>21.3</v>
      </c>
      <c r="S20" s="172">
        <v>13.85</v>
      </c>
    </row>
    <row r="21" spans="1:19" x14ac:dyDescent="0.25">
      <c r="A21" s="172">
        <v>74.03</v>
      </c>
      <c r="B21" s="172">
        <v>0.66</v>
      </c>
      <c r="C21" s="172">
        <v>43.67</v>
      </c>
      <c r="D21" s="8">
        <v>42915.791666666664</v>
      </c>
      <c r="E21" s="172">
        <v>0.34</v>
      </c>
      <c r="F21" s="172" t="s">
        <v>461</v>
      </c>
      <c r="G21" s="172">
        <v>320.51</v>
      </c>
      <c r="H21" s="172">
        <v>0</v>
      </c>
      <c r="I21" s="172">
        <v>0</v>
      </c>
      <c r="J21" s="172"/>
      <c r="K21" s="172">
        <v>1008.47</v>
      </c>
      <c r="L21" s="172" t="s">
        <v>543</v>
      </c>
      <c r="M21" s="172">
        <v>74.03</v>
      </c>
      <c r="N21" s="172">
        <v>1498784400</v>
      </c>
      <c r="O21" s="172">
        <v>0</v>
      </c>
      <c r="P21" s="172">
        <v>10</v>
      </c>
      <c r="Q21" s="172">
        <v>90</v>
      </c>
      <c r="R21" s="172">
        <v>16.07</v>
      </c>
      <c r="S21" s="172">
        <v>10.51</v>
      </c>
    </row>
    <row r="22" spans="1:19" x14ac:dyDescent="0.25">
      <c r="A22" s="172">
        <v>71.92</v>
      </c>
      <c r="B22" s="172">
        <v>0.43</v>
      </c>
      <c r="C22" s="172">
        <v>43.56</v>
      </c>
      <c r="D22" s="8">
        <v>42915.833333333336</v>
      </c>
      <c r="E22" s="172">
        <v>0.36</v>
      </c>
      <c r="F22" s="172" t="s">
        <v>461</v>
      </c>
      <c r="G22" s="172">
        <v>323.18</v>
      </c>
      <c r="H22" s="172">
        <v>2.8999999999999998E-3</v>
      </c>
      <c r="I22" s="172">
        <v>0.01</v>
      </c>
      <c r="J22" s="172" t="s">
        <v>513</v>
      </c>
      <c r="K22" s="172">
        <v>1009.77</v>
      </c>
      <c r="L22" s="172" t="s">
        <v>462</v>
      </c>
      <c r="M22" s="172">
        <v>71.92</v>
      </c>
      <c r="N22" s="172">
        <v>1498788000</v>
      </c>
      <c r="O22" s="172">
        <v>0</v>
      </c>
      <c r="P22" s="172">
        <v>10</v>
      </c>
      <c r="Q22" s="172">
        <v>90</v>
      </c>
      <c r="R22" s="172">
        <v>8.7899999999999991</v>
      </c>
      <c r="S22" s="172">
        <v>7.61</v>
      </c>
    </row>
    <row r="23" spans="1:19" x14ac:dyDescent="0.25">
      <c r="A23" s="172">
        <v>69.59</v>
      </c>
      <c r="B23" s="172">
        <v>0.33</v>
      </c>
      <c r="C23" s="172">
        <v>43.6</v>
      </c>
      <c r="D23" s="8">
        <v>42915.875</v>
      </c>
      <c r="E23" s="172">
        <v>0.39</v>
      </c>
      <c r="F23" s="172" t="s">
        <v>545</v>
      </c>
      <c r="G23" s="172">
        <v>325.13</v>
      </c>
      <c r="H23" s="172">
        <v>2.8E-3</v>
      </c>
      <c r="I23" s="172">
        <v>0.01</v>
      </c>
      <c r="J23" s="172" t="s">
        <v>513</v>
      </c>
      <c r="K23" s="172">
        <v>1011.42</v>
      </c>
      <c r="L23" s="172" t="s">
        <v>462</v>
      </c>
      <c r="M23" s="172">
        <v>69.59</v>
      </c>
      <c r="N23" s="172">
        <v>1498791600</v>
      </c>
      <c r="O23" s="172">
        <v>0</v>
      </c>
      <c r="P23" s="172">
        <v>10</v>
      </c>
      <c r="Q23" s="172">
        <v>69</v>
      </c>
      <c r="R23" s="172">
        <v>9.59</v>
      </c>
      <c r="S23" s="172">
        <v>5.39</v>
      </c>
    </row>
    <row r="24" spans="1:19" x14ac:dyDescent="0.25">
      <c r="A24" s="172">
        <v>67.569999999999993</v>
      </c>
      <c r="B24" s="172">
        <v>0.4</v>
      </c>
      <c r="C24" s="172">
        <v>46.02</v>
      </c>
      <c r="D24" s="8">
        <v>42915.916666666664</v>
      </c>
      <c r="E24" s="172">
        <v>0.46</v>
      </c>
      <c r="F24" s="172" t="s">
        <v>513</v>
      </c>
      <c r="G24" s="172">
        <v>325.83999999999997</v>
      </c>
      <c r="H24" s="172">
        <v>7.6E-3</v>
      </c>
      <c r="I24" s="172">
        <v>0.04</v>
      </c>
      <c r="J24" s="172" t="s">
        <v>513</v>
      </c>
      <c r="K24" s="172">
        <v>1013.07</v>
      </c>
      <c r="L24" s="172" t="s">
        <v>813</v>
      </c>
      <c r="M24" s="172">
        <v>67.569999999999993</v>
      </c>
      <c r="N24" s="172">
        <v>1498795200</v>
      </c>
      <c r="O24" s="172">
        <v>0</v>
      </c>
      <c r="P24" s="172">
        <v>10</v>
      </c>
      <c r="Q24" s="172">
        <v>41</v>
      </c>
      <c r="R24" s="172">
        <v>5.07</v>
      </c>
      <c r="S24" s="172">
        <v>4.8899999999999997</v>
      </c>
    </row>
    <row r="25" spans="1:19" x14ac:dyDescent="0.25">
      <c r="A25" s="172">
        <v>65.099999999999994</v>
      </c>
      <c r="B25" s="172">
        <v>0.55000000000000004</v>
      </c>
      <c r="C25" s="172">
        <v>46.98</v>
      </c>
      <c r="D25" s="8">
        <v>42915.958333333336</v>
      </c>
      <c r="E25" s="172">
        <v>0.52</v>
      </c>
      <c r="F25" s="172" t="s">
        <v>513</v>
      </c>
      <c r="G25" s="172">
        <v>325.74</v>
      </c>
      <c r="H25" s="172">
        <v>1.83E-2</v>
      </c>
      <c r="I25" s="172">
        <v>0.09</v>
      </c>
      <c r="J25" s="172" t="s">
        <v>513</v>
      </c>
      <c r="K25" s="172">
        <v>1014.46</v>
      </c>
      <c r="L25" s="172" t="s">
        <v>544</v>
      </c>
      <c r="M25" s="172">
        <v>65.099999999999994</v>
      </c>
      <c r="N25" s="172">
        <v>1498798800</v>
      </c>
      <c r="O25" s="172">
        <v>0</v>
      </c>
      <c r="P25" s="172">
        <v>10</v>
      </c>
      <c r="Q25" s="172">
        <v>28</v>
      </c>
      <c r="R25" s="172">
        <v>14.27</v>
      </c>
      <c r="S25" s="172">
        <v>9.08</v>
      </c>
    </row>
    <row r="26" spans="1:19" x14ac:dyDescent="0.25">
      <c r="A26" s="172">
        <v>62.39</v>
      </c>
      <c r="B26" s="172">
        <v>0.69</v>
      </c>
      <c r="C26" s="172">
        <v>48.9</v>
      </c>
      <c r="D26" s="8">
        <v>42916</v>
      </c>
      <c r="E26" s="172">
        <v>0.61</v>
      </c>
      <c r="F26" s="172" t="s">
        <v>513</v>
      </c>
      <c r="G26" s="172">
        <v>326.14999999999998</v>
      </c>
      <c r="H26" s="172">
        <v>1.12E-2</v>
      </c>
      <c r="I26" s="172">
        <v>7.0000000000000007E-2</v>
      </c>
      <c r="J26" s="172" t="s">
        <v>513</v>
      </c>
      <c r="K26" s="172">
        <v>1016.47</v>
      </c>
      <c r="L26" s="172" t="s">
        <v>544</v>
      </c>
      <c r="M26" s="172">
        <v>62.39</v>
      </c>
      <c r="N26" s="172">
        <v>1498802400</v>
      </c>
      <c r="O26" s="172">
        <v>0</v>
      </c>
      <c r="P26" s="172">
        <v>10</v>
      </c>
      <c r="Q26" s="172">
        <v>7</v>
      </c>
      <c r="R26" s="172">
        <v>12.57</v>
      </c>
      <c r="S26" s="172">
        <v>7.49</v>
      </c>
    </row>
    <row r="27" spans="1:19" x14ac:dyDescent="0.25">
      <c r="A27" s="172">
        <v>59.71</v>
      </c>
      <c r="B27" s="172">
        <v>0.73</v>
      </c>
      <c r="C27" s="172">
        <v>49.98</v>
      </c>
      <c r="D27" s="8">
        <v>42916.041666666664</v>
      </c>
      <c r="E27" s="172">
        <v>0.7</v>
      </c>
      <c r="F27" s="172" t="s">
        <v>513</v>
      </c>
      <c r="G27" s="172">
        <v>327.36</v>
      </c>
      <c r="H27" s="172">
        <v>1.0699999999999999E-2</v>
      </c>
      <c r="I27" s="172">
        <v>0.1</v>
      </c>
      <c r="J27" s="172" t="s">
        <v>513</v>
      </c>
      <c r="K27" s="172">
        <v>1017.28</v>
      </c>
      <c r="L27" s="172" t="s">
        <v>544</v>
      </c>
      <c r="M27" s="172">
        <v>59.71</v>
      </c>
      <c r="N27" s="172">
        <v>1498806000</v>
      </c>
      <c r="O27" s="172">
        <v>0</v>
      </c>
      <c r="P27" s="172">
        <v>6.82</v>
      </c>
      <c r="Q27" s="172">
        <v>348</v>
      </c>
      <c r="R27" s="172">
        <v>17.61</v>
      </c>
      <c r="S27" s="172">
        <v>10.39</v>
      </c>
    </row>
    <row r="28" spans="1:19" x14ac:dyDescent="0.25">
      <c r="A28" s="172">
        <v>57.95</v>
      </c>
      <c r="B28" s="172">
        <v>0.66</v>
      </c>
      <c r="C28" s="172">
        <v>49.7</v>
      </c>
      <c r="D28" s="8">
        <v>42916.083333333336</v>
      </c>
      <c r="E28" s="172">
        <v>0.74</v>
      </c>
      <c r="F28" s="172" t="s">
        <v>513</v>
      </c>
      <c r="G28" s="172">
        <v>328.98</v>
      </c>
      <c r="H28" s="172">
        <v>1.67E-2</v>
      </c>
      <c r="I28" s="172">
        <v>0.14000000000000001</v>
      </c>
      <c r="J28" s="172" t="s">
        <v>513</v>
      </c>
      <c r="K28" s="172">
        <v>1017.94</v>
      </c>
      <c r="L28" s="172" t="s">
        <v>544</v>
      </c>
      <c r="M28" s="172">
        <v>57.95</v>
      </c>
      <c r="N28" s="172">
        <v>1498809600</v>
      </c>
      <c r="O28" s="172">
        <v>0</v>
      </c>
      <c r="P28" s="172">
        <v>8.4600000000000009</v>
      </c>
      <c r="Q28" s="172">
        <v>343</v>
      </c>
      <c r="R28" s="172">
        <v>11</v>
      </c>
      <c r="S28" s="172">
        <v>6.33</v>
      </c>
    </row>
    <row r="29" spans="1:19" x14ac:dyDescent="0.25">
      <c r="A29" s="172">
        <v>56.51</v>
      </c>
      <c r="B29" s="172">
        <v>0.63</v>
      </c>
      <c r="C29" s="172">
        <v>50.07</v>
      </c>
      <c r="D29" s="8">
        <v>42916.125</v>
      </c>
      <c r="E29" s="172">
        <v>0.79</v>
      </c>
      <c r="F29" s="172" t="s">
        <v>545</v>
      </c>
      <c r="G29" s="172">
        <v>330.6</v>
      </c>
      <c r="H29" s="172">
        <v>2.3999999999999998E-3</v>
      </c>
      <c r="I29" s="172">
        <v>0.01</v>
      </c>
      <c r="J29" s="172" t="s">
        <v>513</v>
      </c>
      <c r="K29" s="172">
        <v>1017.93</v>
      </c>
      <c r="L29" s="172" t="s">
        <v>543</v>
      </c>
      <c r="M29" s="172">
        <v>56.51</v>
      </c>
      <c r="N29" s="172">
        <v>1498813200</v>
      </c>
      <c r="O29" s="172">
        <v>0</v>
      </c>
      <c r="P29" s="172">
        <v>6.68</v>
      </c>
      <c r="Q29" s="172">
        <v>342</v>
      </c>
      <c r="R29" s="172">
        <v>8.48</v>
      </c>
      <c r="S29" s="172">
        <v>5.24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333</v>
      </c>
      <c r="U1" s="156"/>
      <c r="V1" s="156"/>
      <c r="W1" s="156"/>
      <c r="X1" s="156"/>
    </row>
    <row r="2" spans="1:32" ht="15.75" thickBot="1" x14ac:dyDescent="0.3">
      <c r="A2" s="12">
        <v>42915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334</v>
      </c>
      <c r="U2" s="155">
        <v>167</v>
      </c>
      <c r="V2" s="155">
        <v>168</v>
      </c>
      <c r="W2" s="155">
        <v>199</v>
      </c>
      <c r="X2" s="155">
        <v>200</v>
      </c>
      <c r="AD2" t="s">
        <v>454</v>
      </c>
      <c r="AE2" s="56" t="s">
        <v>457</v>
      </c>
      <c r="AF2" s="56" t="s">
        <v>458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335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336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337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459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890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891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892</v>
      </c>
      <c r="J20" s="140" t="s">
        <v>87</v>
      </c>
      <c r="M20" s="154" t="s">
        <v>358</v>
      </c>
      <c r="N20" s="154" t="s">
        <v>332</v>
      </c>
      <c r="T20" s="155"/>
      <c r="U20" s="155"/>
      <c r="V20" s="155"/>
      <c r="W20" s="155"/>
      <c r="X20" s="155"/>
    </row>
    <row r="21" spans="3:24" x14ac:dyDescent="0.25">
      <c r="C21" t="s">
        <v>893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894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895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896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897</v>
      </c>
      <c r="J25" s="140" t="s">
        <v>146</v>
      </c>
      <c r="M25" s="154" t="b">
        <v>1</v>
      </c>
    </row>
    <row r="26" spans="3:24" x14ac:dyDescent="0.25">
      <c r="C26" t="s">
        <v>898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C:\Users\stu\Documents\GitHub\eaglep3-reporting\EC\2017-06-29-refined-times.txt</v>
      </c>
    </row>
    <row r="27" spans="3:24" x14ac:dyDescent="0.25">
      <c r="C27" t="s">
        <v>899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C:\Users\stu\Documents\GitHub\eaglep3-reporting\EC\2017-06-29-Enforcements.txt</v>
      </c>
    </row>
    <row r="28" spans="3:24" x14ac:dyDescent="0.25">
      <c r="C28" t="s">
        <v>900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C:\Users\stu\Documents\GitHub\eaglep3-reporting\EC\2017-06-29-Runs-refined.txt</v>
      </c>
    </row>
    <row r="29" spans="3:24" x14ac:dyDescent="0.25">
      <c r="C29" t="s">
        <v>901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C:\Users\stu\Documents\GitHub\eaglep3-reporting\EC\2017-06-29-Trips.txt</v>
      </c>
    </row>
    <row r="30" spans="3:24" x14ac:dyDescent="0.25">
      <c r="C30" t="s">
        <v>902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C:\Users\stu\Documents\GitHub\eaglep3-reporting\EC\2017-06-29-Weather.txt</v>
      </c>
    </row>
    <row r="31" spans="3:24" x14ac:dyDescent="0.25">
      <c r="C31" t="s">
        <v>903</v>
      </c>
      <c r="J31" s="140" t="s">
        <v>195</v>
      </c>
      <c r="M31" s="154" t="s">
        <v>196</v>
      </c>
    </row>
    <row r="32" spans="3:24" x14ac:dyDescent="0.25">
      <c r="C32" t="s">
        <v>566</v>
      </c>
    </row>
    <row r="33" spans="3:3" x14ac:dyDescent="0.25">
      <c r="C33" t="s">
        <v>904</v>
      </c>
    </row>
    <row r="34" spans="3:3" x14ac:dyDescent="0.25">
      <c r="C34" t="s">
        <v>905</v>
      </c>
    </row>
    <row r="35" spans="3:3" x14ac:dyDescent="0.25">
      <c r="C35" t="s">
        <v>906</v>
      </c>
    </row>
    <row r="36" spans="3:3" x14ac:dyDescent="0.25">
      <c r="C36" t="s">
        <v>907</v>
      </c>
    </row>
    <row r="37" spans="3:3" x14ac:dyDescent="0.25">
      <c r="C37" t="s">
        <v>908</v>
      </c>
    </row>
    <row r="38" spans="3:3" x14ac:dyDescent="0.25">
      <c r="C38" t="s">
        <v>909</v>
      </c>
    </row>
    <row r="39" spans="3:3" x14ac:dyDescent="0.25">
      <c r="C39" t="s">
        <v>910</v>
      </c>
    </row>
    <row r="40" spans="3:3" x14ac:dyDescent="0.25">
      <c r="C40" t="s">
        <v>911</v>
      </c>
    </row>
    <row r="41" spans="3:3" x14ac:dyDescent="0.25">
      <c r="C41" t="s">
        <v>912</v>
      </c>
    </row>
    <row r="42" spans="3:3" x14ac:dyDescent="0.25">
      <c r="C42" t="s">
        <v>913</v>
      </c>
    </row>
    <row r="43" spans="3:3" x14ac:dyDescent="0.25">
      <c r="C43" t="s">
        <v>914</v>
      </c>
    </row>
    <row r="44" spans="3:3" x14ac:dyDescent="0.25">
      <c r="C44" t="s">
        <v>915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344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345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2017-07-05T15:37:47Z</dcterms:modified>
</cp:coreProperties>
</file>