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Trips'!$A$2:$J$39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4" i="1" l="1"/>
  <c r="P235" i="1"/>
  <c r="X177" i="1"/>
  <c r="X178" i="1"/>
  <c r="X176" i="1"/>
  <c r="P75" i="1"/>
  <c r="X53" i="1"/>
  <c r="K50" i="1"/>
  <c r="L50" i="1"/>
  <c r="M50" i="1"/>
  <c r="P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H38" i="1"/>
  <c r="AM38" i="1"/>
  <c r="AN38" i="1"/>
  <c r="K39" i="1"/>
  <c r="L39" i="1"/>
  <c r="M39" i="1"/>
  <c r="P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S20" i="3" s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T54" i="1"/>
  <c r="V54" i="1"/>
  <c r="Y54" i="1"/>
  <c r="Z54" i="1"/>
  <c r="AA54" i="1"/>
  <c r="AB54" i="1"/>
  <c r="AC54" i="1"/>
  <c r="AD54" i="1"/>
  <c r="X54" i="1" s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P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R8" i="3" s="1"/>
  <c r="AF78" i="1"/>
  <c r="AH78" i="1"/>
  <c r="AM78" i="1"/>
  <c r="AN78" i="1"/>
  <c r="K79" i="1"/>
  <c r="L79" i="1"/>
  <c r="M79" i="1"/>
  <c r="N79" i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22" i="3" s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X104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X107" i="1"/>
  <c r="Y107" i="1"/>
  <c r="AA107" i="1" s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Z120" i="1"/>
  <c r="AB120" i="1"/>
  <c r="AC120" i="1"/>
  <c r="AD120" i="1"/>
  <c r="X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R26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X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T155" i="1"/>
  <c r="V155" i="1"/>
  <c r="X155" i="1"/>
  <c r="Y155" i="1"/>
  <c r="Z155" i="1"/>
  <c r="AA155" i="1" s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AA211" i="1" s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S37" i="3" s="1"/>
  <c r="Y227" i="1"/>
  <c r="Z227" i="1"/>
  <c r="AA227" i="1" s="1"/>
  <c r="AB227" i="1"/>
  <c r="AC227" i="1"/>
  <c r="AD227" i="1"/>
  <c r="T227" i="1" s="1"/>
  <c r="AE227" i="1"/>
  <c r="R41" i="3" s="1"/>
  <c r="AF227" i="1"/>
  <c r="AH174" i="1"/>
  <c r="AM174" i="1"/>
  <c r="AN174" i="1"/>
  <c r="K228" i="1"/>
  <c r="L228" i="1"/>
  <c r="M228" i="1"/>
  <c r="N228" i="1" s="1"/>
  <c r="T228" i="1"/>
  <c r="V228" i="1"/>
  <c r="X228" i="1"/>
  <c r="Y228" i="1"/>
  <c r="Z228" i="1"/>
  <c r="AA228" i="1" s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AA229" i="1" s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S35" i="3" s="1"/>
  <c r="Y230" i="1"/>
  <c r="Z230" i="1"/>
  <c r="AA230" i="1" s="1"/>
  <c r="AB230" i="1"/>
  <c r="AC230" i="1"/>
  <c r="AD230" i="1"/>
  <c r="T230" i="1" s="1"/>
  <c r="AE230" i="1"/>
  <c r="AF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V234" i="1"/>
  <c r="S34" i="3" s="1"/>
  <c r="Y234" i="1"/>
  <c r="Z234" i="1"/>
  <c r="AB234" i="1"/>
  <c r="AC234" i="1"/>
  <c r="AD234" i="1"/>
  <c r="T234" i="1" s="1"/>
  <c r="AE234" i="1"/>
  <c r="R34" i="3" s="1"/>
  <c r="AF234" i="1"/>
  <c r="AH180" i="1"/>
  <c r="AM180" i="1"/>
  <c r="AN180" i="1"/>
  <c r="K235" i="1"/>
  <c r="L235" i="1"/>
  <c r="M235" i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X236" i="1" s="1"/>
  <c r="AE236" i="1"/>
  <c r="AF236" i="1"/>
  <c r="AH182" i="1"/>
  <c r="AM182" i="1"/>
  <c r="AN182" i="1"/>
  <c r="K237" i="1"/>
  <c r="L237" i="1"/>
  <c r="M237" i="1"/>
  <c r="N237" i="1" s="1"/>
  <c r="T237" i="1"/>
  <c r="V237" i="1"/>
  <c r="S33" i="3" s="1"/>
  <c r="Y237" i="1"/>
  <c r="Z237" i="1"/>
  <c r="AB237" i="1"/>
  <c r="AC237" i="1"/>
  <c r="AD237" i="1"/>
  <c r="AE237" i="1"/>
  <c r="R33" i="3" s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T240" i="1"/>
  <c r="V240" i="1"/>
  <c r="X240" i="1"/>
  <c r="Y240" i="1"/>
  <c r="Z240" i="1"/>
  <c r="AA240" i="1" s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88" i="1"/>
  <c r="AM188" i="1"/>
  <c r="AN18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9" i="1"/>
  <c r="AM189" i="1"/>
  <c r="AN189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90" i="1"/>
  <c r="AM190" i="1"/>
  <c r="AN19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1" i="1"/>
  <c r="AM191" i="1"/>
  <c r="AN19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K165" i="1"/>
  <c r="L165" i="1"/>
  <c r="M165" i="1"/>
  <c r="N165" i="1" s="1"/>
  <c r="T165" i="1"/>
  <c r="V165" i="1"/>
  <c r="Y165" i="1"/>
  <c r="Z165" i="1"/>
  <c r="AB165" i="1"/>
  <c r="AC165" i="1"/>
  <c r="AD165" i="1"/>
  <c r="AE165" i="1"/>
  <c r="AF165" i="1"/>
  <c r="AH194" i="1"/>
  <c r="AM194" i="1"/>
  <c r="AN1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6" i="1"/>
  <c r="AM196" i="1"/>
  <c r="AN196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7" i="1"/>
  <c r="AM197" i="1"/>
  <c r="AN197" i="1"/>
  <c r="K169" i="1"/>
  <c r="L169" i="1"/>
  <c r="M169" i="1"/>
  <c r="N169" i="1" s="1"/>
  <c r="T169" i="1"/>
  <c r="V169" i="1"/>
  <c r="Y169" i="1"/>
  <c r="Z169" i="1"/>
  <c r="AA169" i="1" s="1"/>
  <c r="AB169" i="1"/>
  <c r="AC169" i="1"/>
  <c r="AD169" i="1"/>
  <c r="X169" i="1" s="1"/>
  <c r="AE169" i="1"/>
  <c r="AF169" i="1"/>
  <c r="AH198" i="1"/>
  <c r="AM198" i="1"/>
  <c r="AN1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9" i="1"/>
  <c r="AM199" i="1"/>
  <c r="AN199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200" i="1"/>
  <c r="AM200" i="1"/>
  <c r="AN200" i="1"/>
  <c r="K172" i="1"/>
  <c r="L172" i="1"/>
  <c r="M172" i="1"/>
  <c r="N172" i="1" s="1"/>
  <c r="V172" i="1"/>
  <c r="S27" i="3" s="1"/>
  <c r="Y172" i="1"/>
  <c r="Z172" i="1"/>
  <c r="AB172" i="1"/>
  <c r="AC172" i="1"/>
  <c r="AD172" i="1"/>
  <c r="T172" i="1" s="1"/>
  <c r="AE172" i="1"/>
  <c r="AF172" i="1"/>
  <c r="AH201" i="1"/>
  <c r="AM201" i="1"/>
  <c r="AN20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2" i="1"/>
  <c r="AM202" i="1"/>
  <c r="AN20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3" i="1"/>
  <c r="AM203" i="1"/>
  <c r="AN20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4" i="1"/>
  <c r="AM204" i="1"/>
  <c r="AN204" i="1"/>
  <c r="K176" i="1"/>
  <c r="L176" i="1"/>
  <c r="M176" i="1"/>
  <c r="N176" i="1" s="1"/>
  <c r="V176" i="1"/>
  <c r="S31" i="3" s="1"/>
  <c r="Y176" i="1"/>
  <c r="Z176" i="1"/>
  <c r="AB176" i="1"/>
  <c r="AC176" i="1"/>
  <c r="AD176" i="1"/>
  <c r="T176" i="1" s="1"/>
  <c r="AE176" i="1"/>
  <c r="AF176" i="1"/>
  <c r="AH205" i="1"/>
  <c r="AM205" i="1"/>
  <c r="AN205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9" i="1"/>
  <c r="AM209" i="1"/>
  <c r="AN20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0" i="1"/>
  <c r="AM210" i="1"/>
  <c r="AN21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1" i="1"/>
  <c r="AM211" i="1"/>
  <c r="AN21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2" i="1"/>
  <c r="AM212" i="1"/>
  <c r="AN21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3" i="1"/>
  <c r="AM213" i="1"/>
  <c r="AN213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5" i="1"/>
  <c r="AM215" i="1"/>
  <c r="AN21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6" i="1"/>
  <c r="AM216" i="1"/>
  <c r="AN216" i="1"/>
  <c r="K187" i="1"/>
  <c r="L187" i="1"/>
  <c r="M187" i="1"/>
  <c r="N187" i="1"/>
  <c r="V187" i="1"/>
  <c r="Y187" i="1"/>
  <c r="Z187" i="1"/>
  <c r="AB187" i="1"/>
  <c r="AC187" i="1"/>
  <c r="AD187" i="1"/>
  <c r="T187" i="1" s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0" i="1"/>
  <c r="AM220" i="1"/>
  <c r="AN220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221" i="1"/>
  <c r="AM221" i="1"/>
  <c r="AN22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2" i="1"/>
  <c r="AM222" i="1"/>
  <c r="AN22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4" i="1"/>
  <c r="AM224" i="1"/>
  <c r="AN224" i="1"/>
  <c r="K195" i="1"/>
  <c r="L195" i="1"/>
  <c r="M195" i="1"/>
  <c r="N195" i="1" s="1"/>
  <c r="V195" i="1"/>
  <c r="S29" i="3" s="1"/>
  <c r="Y195" i="1"/>
  <c r="Z195" i="1"/>
  <c r="AB195" i="1"/>
  <c r="AC195" i="1"/>
  <c r="AD195" i="1"/>
  <c r="T195" i="1" s="1"/>
  <c r="AE195" i="1"/>
  <c r="AF195" i="1"/>
  <c r="AH225" i="1"/>
  <c r="AM225" i="1"/>
  <c r="AN22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7" i="1"/>
  <c r="AM227" i="1"/>
  <c r="AN22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9" i="1"/>
  <c r="AM229" i="1"/>
  <c r="AN22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0" i="1"/>
  <c r="AM230" i="1"/>
  <c r="AN23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1" i="1"/>
  <c r="AM231" i="1"/>
  <c r="AN231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32" i="1"/>
  <c r="AM232" i="1"/>
  <c r="AN232" i="1"/>
  <c r="K203" i="1"/>
  <c r="L203" i="1"/>
  <c r="M203" i="1"/>
  <c r="N203" i="1" s="1"/>
  <c r="V203" i="1"/>
  <c r="S30" i="3" s="1"/>
  <c r="Y203" i="1"/>
  <c r="Z203" i="1"/>
  <c r="AA203" i="1" s="1"/>
  <c r="AB203" i="1"/>
  <c r="AC203" i="1"/>
  <c r="AD203" i="1"/>
  <c r="T203" i="1" s="1"/>
  <c r="AE203" i="1"/>
  <c r="R30" i="3" s="1"/>
  <c r="AF203" i="1"/>
  <c r="AH233" i="1"/>
  <c r="AM233" i="1"/>
  <c r="AN233" i="1"/>
  <c r="K204" i="1"/>
  <c r="L204" i="1"/>
  <c r="M204" i="1"/>
  <c r="N204" i="1"/>
  <c r="V204" i="1"/>
  <c r="Y204" i="1"/>
  <c r="AA204" i="1" s="1"/>
  <c r="Z204" i="1"/>
  <c r="AB204" i="1"/>
  <c r="AC204" i="1"/>
  <c r="AD204" i="1"/>
  <c r="T204" i="1" s="1"/>
  <c r="AE204" i="1"/>
  <c r="AF204" i="1"/>
  <c r="AH234" i="1"/>
  <c r="AM234" i="1"/>
  <c r="AN234" i="1"/>
  <c r="K205" i="1"/>
  <c r="L205" i="1"/>
  <c r="M205" i="1"/>
  <c r="N205" i="1"/>
  <c r="V205" i="1"/>
  <c r="Y205" i="1"/>
  <c r="AA205" i="1" s="1"/>
  <c r="Z205" i="1"/>
  <c r="AB205" i="1"/>
  <c r="AC205" i="1"/>
  <c r="AD205" i="1"/>
  <c r="X206" i="1" s="1"/>
  <c r="AE205" i="1"/>
  <c r="AF205" i="1"/>
  <c r="AH235" i="1"/>
  <c r="AM235" i="1"/>
  <c r="AN23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6" i="1"/>
  <c r="AM236" i="1"/>
  <c r="AN23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7" i="1"/>
  <c r="AM237" i="1"/>
  <c r="AN23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8" i="1"/>
  <c r="AM238" i="1"/>
  <c r="AN23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9" i="1"/>
  <c r="AM239" i="1"/>
  <c r="AN23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1" i="1"/>
  <c r="AM241" i="1"/>
  <c r="AN241" i="1"/>
  <c r="M9" i="3"/>
  <c r="R9" i="3"/>
  <c r="S9" i="3"/>
  <c r="U9" i="3"/>
  <c r="T9" i="3" s="1"/>
  <c r="V9" i="3"/>
  <c r="X9" i="3"/>
  <c r="M7" i="3"/>
  <c r="R7" i="3"/>
  <c r="S7" i="3"/>
  <c r="U7" i="3"/>
  <c r="V7" i="3"/>
  <c r="X7" i="3"/>
  <c r="AC7" i="3"/>
  <c r="M17" i="3"/>
  <c r="R17" i="3"/>
  <c r="S17" i="3"/>
  <c r="U17" i="3"/>
  <c r="AC17" i="3" s="1"/>
  <c r="V17" i="3"/>
  <c r="X17" i="3"/>
  <c r="M36" i="3"/>
  <c r="R36" i="3"/>
  <c r="U36" i="3"/>
  <c r="AD36" i="3" s="1"/>
  <c r="V36" i="3"/>
  <c r="X36" i="3"/>
  <c r="M37" i="3"/>
  <c r="U37" i="3"/>
  <c r="T37" i="3" s="1"/>
  <c r="V37" i="3"/>
  <c r="X37" i="3"/>
  <c r="M38" i="3"/>
  <c r="R38" i="3"/>
  <c r="S38" i="3"/>
  <c r="U38" i="3"/>
  <c r="V38" i="3"/>
  <c r="X38" i="3"/>
  <c r="AC38" i="3"/>
  <c r="M20" i="3"/>
  <c r="R20" i="3"/>
  <c r="U20" i="3"/>
  <c r="AC20" i="3" s="1"/>
  <c r="V20" i="3"/>
  <c r="X20" i="3"/>
  <c r="M27" i="3"/>
  <c r="R27" i="3"/>
  <c r="T27" i="3"/>
  <c r="U27" i="3"/>
  <c r="V27" i="3"/>
  <c r="X27" i="3"/>
  <c r="AC27" i="3"/>
  <c r="M34" i="3"/>
  <c r="U34" i="3"/>
  <c r="T34" i="3" s="1"/>
  <c r="V34" i="3"/>
  <c r="X34" i="3"/>
  <c r="M35" i="3"/>
  <c r="R35" i="3"/>
  <c r="U35" i="3"/>
  <c r="V35" i="3"/>
  <c r="X35" i="3"/>
  <c r="M39" i="3"/>
  <c r="S39" i="3"/>
  <c r="U39" i="3"/>
  <c r="AC39" i="3" s="1"/>
  <c r="V39" i="3"/>
  <c r="X39" i="3"/>
  <c r="M40" i="3"/>
  <c r="R40" i="3"/>
  <c r="S40" i="3"/>
  <c r="U40" i="3"/>
  <c r="V40" i="3"/>
  <c r="X40" i="3"/>
  <c r="M33" i="3"/>
  <c r="U33" i="3"/>
  <c r="T33" i="3" s="1"/>
  <c r="V33" i="3"/>
  <c r="X33" i="3"/>
  <c r="AC33" i="3"/>
  <c r="M28" i="3"/>
  <c r="R28" i="3"/>
  <c r="S28" i="3"/>
  <c r="U28" i="3"/>
  <c r="V28" i="3"/>
  <c r="X28" i="3"/>
  <c r="AC28" i="3"/>
  <c r="M31" i="3"/>
  <c r="R31" i="3"/>
  <c r="U31" i="3"/>
  <c r="AC31" i="3" s="1"/>
  <c r="V31" i="3"/>
  <c r="X31" i="3"/>
  <c r="M18" i="3"/>
  <c r="R18" i="3"/>
  <c r="S18" i="3"/>
  <c r="U18" i="3"/>
  <c r="T18" i="3" s="1"/>
  <c r="V18" i="3"/>
  <c r="X18" i="3"/>
  <c r="M10" i="3"/>
  <c r="R10" i="3"/>
  <c r="S10" i="3"/>
  <c r="U10" i="3"/>
  <c r="T10" i="3" s="1"/>
  <c r="V10" i="3"/>
  <c r="X10" i="3"/>
  <c r="M41" i="3"/>
  <c r="U41" i="3"/>
  <c r="V41" i="3"/>
  <c r="X41" i="3"/>
  <c r="M42" i="3"/>
  <c r="R42" i="3"/>
  <c r="S42" i="3"/>
  <c r="U42" i="3"/>
  <c r="AC42" i="3" s="1"/>
  <c r="V42" i="3"/>
  <c r="X42" i="3"/>
  <c r="M43" i="3"/>
  <c r="R43" i="3"/>
  <c r="U43" i="3"/>
  <c r="V43" i="3"/>
  <c r="X43" i="3"/>
  <c r="AD27" i="3"/>
  <c r="M13" i="3"/>
  <c r="R13" i="3"/>
  <c r="S13" i="3"/>
  <c r="U13" i="3"/>
  <c r="T13" i="3" s="1"/>
  <c r="V13" i="3"/>
  <c r="X13" i="3"/>
  <c r="AD28" i="3"/>
  <c r="M15" i="3"/>
  <c r="R15" i="3"/>
  <c r="S15" i="3"/>
  <c r="U15" i="3"/>
  <c r="AC15" i="3" s="1"/>
  <c r="V15" i="3"/>
  <c r="X15" i="3"/>
  <c r="M8" i="3"/>
  <c r="S8" i="3"/>
  <c r="U8" i="3"/>
  <c r="AC8" i="3" s="1"/>
  <c r="V8" i="3"/>
  <c r="X8" i="3"/>
  <c r="M21" i="3"/>
  <c r="R21" i="3"/>
  <c r="S21" i="3"/>
  <c r="T21" i="3"/>
  <c r="U21" i="3"/>
  <c r="V21" i="3"/>
  <c r="X21" i="3"/>
  <c r="AC21" i="3"/>
  <c r="M22" i="3"/>
  <c r="R22" i="3"/>
  <c r="U22" i="3"/>
  <c r="T22" i="3" s="1"/>
  <c r="V22" i="3"/>
  <c r="X22" i="3"/>
  <c r="M16" i="3"/>
  <c r="R16" i="3"/>
  <c r="S16" i="3"/>
  <c r="U16" i="3"/>
  <c r="AD33" i="3" s="1"/>
  <c r="V16" i="3"/>
  <c r="X16" i="3"/>
  <c r="M11" i="3"/>
  <c r="R11" i="3"/>
  <c r="S11" i="3"/>
  <c r="U11" i="3"/>
  <c r="AC11" i="3" s="1"/>
  <c r="V11" i="3"/>
  <c r="X11" i="3"/>
  <c r="M23" i="3"/>
  <c r="R23" i="3"/>
  <c r="S23" i="3"/>
  <c r="U23" i="3"/>
  <c r="V23" i="3"/>
  <c r="X23" i="3"/>
  <c r="M24" i="3"/>
  <c r="R24" i="3"/>
  <c r="S24" i="3"/>
  <c r="U24" i="3"/>
  <c r="T24" i="3" s="1"/>
  <c r="V24" i="3"/>
  <c r="X24" i="3"/>
  <c r="AC24" i="3"/>
  <c r="M32" i="3"/>
  <c r="R32" i="3"/>
  <c r="S32" i="3"/>
  <c r="U32" i="3"/>
  <c r="V32" i="3"/>
  <c r="X32" i="3"/>
  <c r="AC32" i="3"/>
  <c r="M25" i="3"/>
  <c r="R25" i="3"/>
  <c r="S25" i="3"/>
  <c r="U25" i="3"/>
  <c r="AC25" i="3" s="1"/>
  <c r="V25" i="3"/>
  <c r="X25" i="3"/>
  <c r="M29" i="3"/>
  <c r="R29" i="3"/>
  <c r="U29" i="3"/>
  <c r="T29" i="3" s="1"/>
  <c r="V29" i="3"/>
  <c r="X29" i="3"/>
  <c r="AE39" i="3"/>
  <c r="M26" i="3"/>
  <c r="S26" i="3"/>
  <c r="U26" i="3"/>
  <c r="T26" i="3" s="1"/>
  <c r="V26" i="3"/>
  <c r="X26" i="3"/>
  <c r="AD40" i="3"/>
  <c r="M12" i="3"/>
  <c r="R12" i="3"/>
  <c r="S12" i="3"/>
  <c r="U12" i="3"/>
  <c r="V12" i="3"/>
  <c r="X12" i="3"/>
  <c r="M30" i="3"/>
  <c r="U30" i="3"/>
  <c r="AC30" i="3" s="1"/>
  <c r="V30" i="3"/>
  <c r="X30" i="3"/>
  <c r="M19" i="3"/>
  <c r="R19" i="3"/>
  <c r="S19" i="3"/>
  <c r="U19" i="3"/>
  <c r="AE43" i="3" s="1"/>
  <c r="V19" i="3"/>
  <c r="X19" i="3"/>
  <c r="AD43" i="3"/>
  <c r="AG50" i="1"/>
  <c r="AG28" i="1"/>
  <c r="AG44" i="1"/>
  <c r="AG23" i="1"/>
  <c r="AG39" i="1"/>
  <c r="AG18" i="1"/>
  <c r="AG34" i="1"/>
  <c r="AG51" i="1"/>
  <c r="AG29" i="1"/>
  <c r="AG45" i="1"/>
  <c r="AG59" i="1"/>
  <c r="AG75" i="1"/>
  <c r="AG58" i="1"/>
  <c r="AG74" i="1"/>
  <c r="AG57" i="1"/>
  <c r="AG73" i="1"/>
  <c r="AG56" i="1"/>
  <c r="AG90" i="1"/>
  <c r="AG106" i="1"/>
  <c r="AG89" i="1"/>
  <c r="AG105" i="1"/>
  <c r="AG91" i="1"/>
  <c r="AG107" i="1"/>
  <c r="AG113" i="1"/>
  <c r="AG96" i="1"/>
  <c r="AG130" i="1"/>
  <c r="AG92" i="1"/>
  <c r="AG116" i="1"/>
  <c r="AG112" i="1"/>
  <c r="AG136" i="1"/>
  <c r="AG150" i="1"/>
  <c r="AG213" i="1"/>
  <c r="AG235" i="1"/>
  <c r="AG168" i="1"/>
  <c r="AG133" i="1"/>
  <c r="AG153" i="1"/>
  <c r="AG216" i="1"/>
  <c r="AG238" i="1"/>
  <c r="AG171" i="1"/>
  <c r="AG144" i="1"/>
  <c r="AG207" i="1"/>
  <c r="AG229" i="1"/>
  <c r="AG162" i="1"/>
  <c r="AG143" i="1"/>
  <c r="AG206" i="1"/>
  <c r="AG228" i="1"/>
  <c r="AG161" i="1"/>
  <c r="AG172" i="1"/>
  <c r="AG188" i="1"/>
  <c r="AG204" i="1"/>
  <c r="AG183" i="1"/>
  <c r="AG199" i="1"/>
  <c r="AG178" i="1"/>
  <c r="AG194" i="1"/>
  <c r="AG224" i="1"/>
  <c r="AG177" i="1"/>
  <c r="AG193" i="1"/>
  <c r="AG223" i="1"/>
  <c r="AG63" i="1"/>
  <c r="AG16" i="1"/>
  <c r="AG32" i="1"/>
  <c r="AG48" i="1"/>
  <c r="AG27" i="1"/>
  <c r="AG43" i="1"/>
  <c r="AG22" i="1"/>
  <c r="AG17" i="1"/>
  <c r="AG33" i="1"/>
  <c r="AG49" i="1"/>
  <c r="AG20" i="1"/>
  <c r="AG36" i="1"/>
  <c r="AG15" i="1"/>
  <c r="AG31" i="1"/>
  <c r="AG47" i="1"/>
  <c r="AG26" i="1"/>
  <c r="AG42" i="1"/>
  <c r="AG21" i="1"/>
  <c r="AG37" i="1"/>
  <c r="AG52" i="1"/>
  <c r="AG67" i="1"/>
  <c r="AG83" i="1"/>
  <c r="AG66" i="1"/>
  <c r="AG82" i="1"/>
  <c r="AG65" i="1"/>
  <c r="AG81" i="1"/>
  <c r="AG72" i="1"/>
  <c r="AG98" i="1"/>
  <c r="AG114" i="1"/>
  <c r="AG97" i="1"/>
  <c r="AG76" i="1"/>
  <c r="AG99" i="1"/>
  <c r="AG88" i="1"/>
  <c r="AG123" i="1"/>
  <c r="AG122" i="1"/>
  <c r="AG138" i="1"/>
  <c r="AG104" i="1"/>
  <c r="AG124" i="1"/>
  <c r="AG125" i="1"/>
  <c r="AG142" i="1"/>
  <c r="AG158" i="1"/>
  <c r="AG227" i="1"/>
  <c r="AG160" i="1"/>
  <c r="AG131" i="1"/>
  <c r="AG145" i="1"/>
  <c r="AG208" i="1"/>
  <c r="AG230" i="1"/>
  <c r="AG163" i="1"/>
  <c r="AG128" i="1"/>
  <c r="AG152" i="1"/>
  <c r="AG215" i="1"/>
  <c r="AG237" i="1"/>
  <c r="AG139" i="1"/>
  <c r="AG151" i="1"/>
  <c r="AG214" i="1"/>
  <c r="AG236" i="1"/>
  <c r="AG169" i="1"/>
  <c r="AG180" i="1"/>
  <c r="AG196" i="1"/>
  <c r="AG176" i="1"/>
  <c r="AG191" i="1"/>
  <c r="AG221" i="1"/>
  <c r="AG186" i="1"/>
  <c r="AG202" i="1"/>
  <c r="AG174" i="1"/>
  <c r="AG185" i="1"/>
  <c r="AG201" i="1"/>
  <c r="AG54" i="1"/>
  <c r="AG69" i="1"/>
  <c r="AG86" i="1"/>
  <c r="AG84" i="1"/>
  <c r="AG87" i="1"/>
  <c r="AG108" i="1"/>
  <c r="AG127" i="1"/>
  <c r="AG80" i="1"/>
  <c r="AG68" i="1"/>
  <c r="AG146" i="1"/>
  <c r="AG209" i="1"/>
  <c r="AG164" i="1"/>
  <c r="AG132" i="1"/>
  <c r="AG212" i="1"/>
  <c r="AG234" i="1"/>
  <c r="AG129" i="1"/>
  <c r="AG156" i="1"/>
  <c r="AG241" i="1"/>
  <c r="AG155" i="1"/>
  <c r="AG240" i="1"/>
  <c r="AG173" i="1"/>
  <c r="AG200" i="1"/>
  <c r="AG195" i="1"/>
  <c r="AG190" i="1"/>
  <c r="AG175" i="1"/>
  <c r="AG189" i="1"/>
  <c r="AG38" i="1"/>
  <c r="AG24" i="1"/>
  <c r="AG40" i="1"/>
  <c r="AG19" i="1"/>
  <c r="AG35" i="1"/>
  <c r="AG14" i="1"/>
  <c r="AG30" i="1"/>
  <c r="AG46" i="1"/>
  <c r="AG25" i="1"/>
  <c r="AG41" i="1"/>
  <c r="AG55" i="1"/>
  <c r="AG71" i="1"/>
  <c r="AG70" i="1"/>
  <c r="AG53" i="1"/>
  <c r="AG85" i="1"/>
  <c r="AG102" i="1"/>
  <c r="AG101" i="1"/>
  <c r="AG103" i="1"/>
  <c r="AG126" i="1"/>
  <c r="AG115" i="1"/>
  <c r="AG135" i="1"/>
  <c r="AG231" i="1"/>
  <c r="AG149" i="1"/>
  <c r="AG167" i="1"/>
  <c r="AG219" i="1"/>
  <c r="AG140" i="1"/>
  <c r="AG218" i="1"/>
  <c r="AG184" i="1"/>
  <c r="AG179" i="1"/>
  <c r="AG225" i="1"/>
  <c r="AG220" i="1"/>
  <c r="AG205" i="1"/>
  <c r="AG79" i="1"/>
  <c r="AG77" i="1"/>
  <c r="AG93" i="1"/>
  <c r="AG119" i="1"/>
  <c r="AG120" i="1"/>
  <c r="AG217" i="1"/>
  <c r="AG157" i="1"/>
  <c r="AG148" i="1"/>
  <c r="AG147" i="1"/>
  <c r="AG203" i="1"/>
  <c r="AG117" i="1"/>
  <c r="AG192" i="1"/>
  <c r="AG62" i="1"/>
  <c r="AG64" i="1"/>
  <c r="AG109" i="1"/>
  <c r="AG118" i="1"/>
  <c r="AG239" i="1"/>
  <c r="AG210" i="1"/>
  <c r="AG78" i="1"/>
  <c r="AG94" i="1"/>
  <c r="AG95" i="1"/>
  <c r="AG134" i="1"/>
  <c r="AG137" i="1"/>
  <c r="AG60" i="1"/>
  <c r="AG159" i="1"/>
  <c r="AG233" i="1"/>
  <c r="AG232" i="1"/>
  <c r="AG222" i="1"/>
  <c r="AG198" i="1"/>
  <c r="AG121" i="1"/>
  <c r="AG165" i="1"/>
  <c r="AG187" i="1"/>
  <c r="AG181" i="1"/>
  <c r="AG211" i="1"/>
  <c r="AG182" i="1"/>
  <c r="AG61" i="1"/>
  <c r="AG110" i="1"/>
  <c r="AG111" i="1"/>
  <c r="AG100" i="1"/>
  <c r="AG154" i="1"/>
  <c r="AG141" i="1"/>
  <c r="AG166" i="1"/>
  <c r="AG170" i="1"/>
  <c r="AG226" i="1"/>
  <c r="AG197" i="1"/>
  <c r="W7" i="3"/>
  <c r="W41" i="3"/>
  <c r="W12" i="3"/>
  <c r="W19" i="3"/>
  <c r="W31" i="3"/>
  <c r="W21" i="3"/>
  <c r="W18" i="3"/>
  <c r="W37" i="3"/>
  <c r="W13" i="3"/>
  <c r="W16" i="3"/>
  <c r="W30" i="3"/>
  <c r="W8" i="3"/>
  <c r="W29" i="3"/>
  <c r="W24" i="3"/>
  <c r="W28" i="3"/>
  <c r="W32" i="3"/>
  <c r="W23" i="3"/>
  <c r="W25" i="3"/>
  <c r="W40" i="3"/>
  <c r="W10" i="3"/>
  <c r="W38" i="3"/>
  <c r="W15" i="3"/>
  <c r="W11" i="3"/>
  <c r="W17" i="3"/>
  <c r="W42" i="3"/>
  <c r="W36" i="3"/>
  <c r="W43" i="3"/>
  <c r="W34" i="3"/>
  <c r="W22" i="3"/>
  <c r="W35" i="3"/>
  <c r="W20" i="3"/>
  <c r="W27" i="3"/>
  <c r="W33" i="3"/>
  <c r="W39" i="3"/>
  <c r="W9" i="3"/>
  <c r="W26" i="3"/>
  <c r="AD31" i="3" l="1"/>
  <c r="AE31" i="3"/>
  <c r="AA222" i="1"/>
  <c r="W222" i="1" s="1"/>
  <c r="AA200" i="1"/>
  <c r="AA196" i="1"/>
  <c r="AA192" i="1"/>
  <c r="AA161" i="1"/>
  <c r="T161" i="1"/>
  <c r="AA160" i="1"/>
  <c r="AA238" i="1"/>
  <c r="AA216" i="1"/>
  <c r="AA124" i="1"/>
  <c r="X111" i="1"/>
  <c r="AA94" i="1"/>
  <c r="AA71" i="1"/>
  <c r="W71" i="1" s="1"/>
  <c r="T51" i="1"/>
  <c r="AA49" i="1"/>
  <c r="X29" i="1"/>
  <c r="X21" i="1"/>
  <c r="AA19" i="1"/>
  <c r="AA14" i="1"/>
  <c r="X50" i="1"/>
  <c r="AE35" i="3"/>
  <c r="AA139" i="1"/>
  <c r="AA135" i="1"/>
  <c r="AA15" i="1"/>
  <c r="X52" i="1"/>
  <c r="AD39" i="3"/>
  <c r="AC22" i="3"/>
  <c r="AD17" i="3"/>
  <c r="AC34" i="3"/>
  <c r="X220" i="1"/>
  <c r="X214" i="1"/>
  <c r="X83" i="1"/>
  <c r="AD41" i="3"/>
  <c r="AC29" i="3"/>
  <c r="AD37" i="3"/>
  <c r="AD35" i="3"/>
  <c r="AE27" i="3"/>
  <c r="AC18" i="3"/>
  <c r="AD20" i="3"/>
  <c r="S36" i="3"/>
  <c r="AD9" i="3"/>
  <c r="AC9" i="3"/>
  <c r="AA180" i="1"/>
  <c r="X174" i="1"/>
  <c r="AA174" i="1"/>
  <c r="AA167" i="1"/>
  <c r="AA165" i="1"/>
  <c r="AA162" i="1"/>
  <c r="AA235" i="1"/>
  <c r="AA215" i="1"/>
  <c r="AA209" i="1"/>
  <c r="X147" i="1"/>
  <c r="AA143" i="1"/>
  <c r="W143" i="1" s="1"/>
  <c r="AA142" i="1"/>
  <c r="X127" i="1"/>
  <c r="AA122" i="1"/>
  <c r="AA120" i="1"/>
  <c r="W120" i="1" s="1"/>
  <c r="AA82" i="1"/>
  <c r="X79" i="1"/>
  <c r="AA72" i="1"/>
  <c r="AA69" i="1"/>
  <c r="AA67" i="1"/>
  <c r="AA62" i="1"/>
  <c r="AA27" i="1"/>
  <c r="X20" i="1"/>
  <c r="T17" i="1"/>
  <c r="AA16" i="1"/>
  <c r="AI50" i="1"/>
  <c r="U50" i="1"/>
  <c r="S50" i="1" s="1"/>
  <c r="W50" i="1"/>
  <c r="X189" i="1"/>
  <c r="X181" i="1"/>
  <c r="R37" i="3"/>
  <c r="R39" i="3"/>
  <c r="X218" i="1"/>
  <c r="T210" i="1"/>
  <c r="X115" i="1"/>
  <c r="X108" i="1"/>
  <c r="T108" i="1"/>
  <c r="T103" i="1"/>
  <c r="X103" i="1"/>
  <c r="T87" i="1"/>
  <c r="U87" i="1" s="1"/>
  <c r="S87" i="1" s="1"/>
  <c r="X87" i="1"/>
  <c r="X223" i="1"/>
  <c r="AA194" i="1"/>
  <c r="AA186" i="1"/>
  <c r="T136" i="1"/>
  <c r="X136" i="1"/>
  <c r="X114" i="1"/>
  <c r="T114" i="1"/>
  <c r="AA224" i="1"/>
  <c r="T236" i="1"/>
  <c r="X232" i="1"/>
  <c r="AA202" i="1"/>
  <c r="X197" i="1"/>
  <c r="AA189" i="1"/>
  <c r="AA188" i="1"/>
  <c r="X185" i="1"/>
  <c r="AA181" i="1"/>
  <c r="AA179" i="1"/>
  <c r="AA166" i="1"/>
  <c r="AA164" i="1"/>
  <c r="AA241" i="1"/>
  <c r="AA236" i="1"/>
  <c r="AA233" i="1"/>
  <c r="W233" i="1" s="1"/>
  <c r="AA212" i="1"/>
  <c r="AA210" i="1"/>
  <c r="T151" i="1"/>
  <c r="AA150" i="1"/>
  <c r="W150" i="1" s="1"/>
  <c r="AA144" i="1"/>
  <c r="T139" i="1"/>
  <c r="X139" i="1"/>
  <c r="AA133" i="1"/>
  <c r="W133" i="1" s="1"/>
  <c r="AA131" i="1"/>
  <c r="W131" i="1" s="1"/>
  <c r="T128" i="1"/>
  <c r="X128" i="1"/>
  <c r="AA118" i="1"/>
  <c r="AA113" i="1"/>
  <c r="W113" i="1" s="1"/>
  <c r="AA91" i="1"/>
  <c r="AA90" i="1"/>
  <c r="T75" i="1"/>
  <c r="X75" i="1"/>
  <c r="S41" i="3"/>
  <c r="S43" i="3"/>
  <c r="AA226" i="1"/>
  <c r="AA218" i="1"/>
  <c r="W218" i="1" s="1"/>
  <c r="AA217" i="1"/>
  <c r="AA151" i="1"/>
  <c r="AA138" i="1"/>
  <c r="W138" i="1" s="1"/>
  <c r="T131" i="1"/>
  <c r="U131" i="1" s="1"/>
  <c r="S131" i="1" s="1"/>
  <c r="X131" i="1"/>
  <c r="AA114" i="1"/>
  <c r="AA98" i="1"/>
  <c r="W98" i="1" s="1"/>
  <c r="X95" i="1"/>
  <c r="T95" i="1"/>
  <c r="X91" i="1"/>
  <c r="T91" i="1"/>
  <c r="U91" i="1" s="1"/>
  <c r="S91" i="1" s="1"/>
  <c r="AA225" i="1"/>
  <c r="W225" i="1" s="1"/>
  <c r="AA223" i="1"/>
  <c r="X201" i="1"/>
  <c r="AA197" i="1"/>
  <c r="W197" i="1" s="1"/>
  <c r="AA195" i="1"/>
  <c r="W195" i="1" s="1"/>
  <c r="AA178" i="1"/>
  <c r="AA170" i="1"/>
  <c r="AA163" i="1"/>
  <c r="W163" i="1" s="1"/>
  <c r="AA237" i="1"/>
  <c r="W237" i="1" s="1"/>
  <c r="AA234" i="1"/>
  <c r="AA232" i="1"/>
  <c r="AA231" i="1"/>
  <c r="W231" i="1" s="1"/>
  <c r="AA219" i="1"/>
  <c r="W219" i="1" s="1"/>
  <c r="AA214" i="1"/>
  <c r="AA213" i="1"/>
  <c r="AA158" i="1"/>
  <c r="AA146" i="1"/>
  <c r="W146" i="1" s="1"/>
  <c r="X132" i="1"/>
  <c r="AA130" i="1"/>
  <c r="AA127" i="1"/>
  <c r="AA121" i="1"/>
  <c r="AA117" i="1"/>
  <c r="X116" i="1"/>
  <c r="X112" i="1"/>
  <c r="AA108" i="1"/>
  <c r="AA102" i="1"/>
  <c r="AA95" i="1"/>
  <c r="AA92" i="1"/>
  <c r="W92" i="1" s="1"/>
  <c r="AA86" i="1"/>
  <c r="W86" i="1" s="1"/>
  <c r="AA80" i="1"/>
  <c r="T79" i="1"/>
  <c r="AA68" i="1"/>
  <c r="W68" i="1" s="1"/>
  <c r="AA58" i="1"/>
  <c r="X55" i="1"/>
  <c r="AA45" i="1"/>
  <c r="AA42" i="1"/>
  <c r="W42" i="1" s="1"/>
  <c r="T38" i="1"/>
  <c r="U38" i="1" s="1"/>
  <c r="S38" i="1" s="1"/>
  <c r="AA31" i="1"/>
  <c r="X25" i="1"/>
  <c r="AA23" i="1"/>
  <c r="X63" i="1"/>
  <c r="AA56" i="1"/>
  <c r="AA46" i="1"/>
  <c r="AA34" i="1"/>
  <c r="W34" i="1" s="1"/>
  <c r="X134" i="1"/>
  <c r="X124" i="1"/>
  <c r="AA119" i="1"/>
  <c r="AA110" i="1"/>
  <c r="W110" i="1" s="1"/>
  <c r="X71" i="1"/>
  <c r="X46" i="1"/>
  <c r="AA33" i="1"/>
  <c r="X28" i="1"/>
  <c r="AA25" i="1"/>
  <c r="X24" i="1"/>
  <c r="T21" i="1"/>
  <c r="AA187" i="1"/>
  <c r="X175" i="1"/>
  <c r="X165" i="1"/>
  <c r="X224" i="1"/>
  <c r="AA221" i="1"/>
  <c r="AA220" i="1"/>
  <c r="T205" i="1"/>
  <c r="U205" i="1" s="1"/>
  <c r="S205" i="1" s="1"/>
  <c r="T202" i="1"/>
  <c r="AA201" i="1"/>
  <c r="W201" i="1" s="1"/>
  <c r="T201" i="1"/>
  <c r="AA199" i="1"/>
  <c r="AA198" i="1"/>
  <c r="X193" i="1"/>
  <c r="AA185" i="1"/>
  <c r="T185" i="1"/>
  <c r="AA183" i="1"/>
  <c r="AA182" i="1"/>
  <c r="T174" i="1"/>
  <c r="AA173" i="1"/>
  <c r="AA172" i="1"/>
  <c r="W172" i="1" s="1"/>
  <c r="X205" i="1"/>
  <c r="AA193" i="1"/>
  <c r="AA191" i="1"/>
  <c r="AA190" i="1"/>
  <c r="W190" i="1" s="1"/>
  <c r="AA177" i="1"/>
  <c r="W177" i="1" s="1"/>
  <c r="AA176" i="1"/>
  <c r="X171" i="1"/>
  <c r="X166" i="1"/>
  <c r="X241" i="1"/>
  <c r="X233" i="1"/>
  <c r="X219" i="1"/>
  <c r="X211" i="1"/>
  <c r="AA208" i="1"/>
  <c r="AA207" i="1"/>
  <c r="AA153" i="1"/>
  <c r="AA152" i="1"/>
  <c r="W152" i="1" s="1"/>
  <c r="AA145" i="1"/>
  <c r="W145" i="1" s="1"/>
  <c r="X138" i="1"/>
  <c r="T130" i="1"/>
  <c r="T127" i="1"/>
  <c r="U127" i="1" s="1"/>
  <c r="S127" i="1" s="1"/>
  <c r="AA126" i="1"/>
  <c r="W126" i="1" s="1"/>
  <c r="X99" i="1"/>
  <c r="X41" i="1"/>
  <c r="AA36" i="1"/>
  <c r="T29" i="1"/>
  <c r="U29" i="1" s="1"/>
  <c r="S29" i="1" s="1"/>
  <c r="AA22" i="1"/>
  <c r="X16" i="1"/>
  <c r="AA101" i="1"/>
  <c r="W101" i="1" s="1"/>
  <c r="AA89" i="1"/>
  <c r="W89" i="1" s="1"/>
  <c r="AA88" i="1"/>
  <c r="X85" i="1"/>
  <c r="AA77" i="1"/>
  <c r="AA76" i="1"/>
  <c r="AA65" i="1"/>
  <c r="AA64" i="1"/>
  <c r="X59" i="1"/>
  <c r="AA48" i="1"/>
  <c r="W48" i="1" s="1"/>
  <c r="AA43" i="1"/>
  <c r="X42" i="1"/>
  <c r="AA38" i="1"/>
  <c r="W38" i="1" s="1"/>
  <c r="X37" i="1"/>
  <c r="T34" i="1"/>
  <c r="AA32" i="1"/>
  <c r="T28" i="1"/>
  <c r="AA26" i="1"/>
  <c r="X170" i="1"/>
  <c r="X162" i="1"/>
  <c r="X237" i="1"/>
  <c r="X229" i="1"/>
  <c r="X215" i="1"/>
  <c r="AA157" i="1"/>
  <c r="AA156" i="1"/>
  <c r="W156" i="1" s="1"/>
  <c r="AA149" i="1"/>
  <c r="W149" i="1" s="1"/>
  <c r="AA148" i="1"/>
  <c r="AA141" i="1"/>
  <c r="AA134" i="1"/>
  <c r="W134" i="1" s="1"/>
  <c r="AA129" i="1"/>
  <c r="AA109" i="1"/>
  <c r="AA105" i="1"/>
  <c r="AA99" i="1"/>
  <c r="AA97" i="1"/>
  <c r="AA87" i="1"/>
  <c r="AA83" i="1"/>
  <c r="AA75" i="1"/>
  <c r="W75" i="1" s="1"/>
  <c r="AA63" i="1"/>
  <c r="AA61" i="1"/>
  <c r="AA60" i="1"/>
  <c r="AA51" i="1"/>
  <c r="X49" i="1"/>
  <c r="AA44" i="1"/>
  <c r="X33" i="1"/>
  <c r="AA17" i="1"/>
  <c r="AA147" i="1"/>
  <c r="T138" i="1"/>
  <c r="AA136" i="1"/>
  <c r="AA128" i="1"/>
  <c r="AA125" i="1"/>
  <c r="AA115" i="1"/>
  <c r="AA93" i="1"/>
  <c r="AA85" i="1"/>
  <c r="W85" i="1" s="1"/>
  <c r="AA84" i="1"/>
  <c r="AA81" i="1"/>
  <c r="AA73" i="1"/>
  <c r="AA59" i="1"/>
  <c r="W59" i="1" s="1"/>
  <c r="AA57" i="1"/>
  <c r="AA52" i="1"/>
  <c r="X45" i="1"/>
  <c r="AA40" i="1"/>
  <c r="W40" i="1" s="1"/>
  <c r="AA35" i="1"/>
  <c r="AA21" i="1"/>
  <c r="AA18" i="1"/>
  <c r="AI239" i="1"/>
  <c r="U223" i="1"/>
  <c r="S223" i="1" s="1"/>
  <c r="AI235" i="1"/>
  <c r="AI231" i="1"/>
  <c r="U201" i="1"/>
  <c r="S201" i="1" s="1"/>
  <c r="AI227" i="1"/>
  <c r="U197" i="1"/>
  <c r="S197" i="1" s="1"/>
  <c r="AI223" i="1"/>
  <c r="U193" i="1"/>
  <c r="S193" i="1" s="1"/>
  <c r="AI219" i="1"/>
  <c r="U189" i="1"/>
  <c r="S189" i="1" s="1"/>
  <c r="AI215" i="1"/>
  <c r="U185" i="1"/>
  <c r="S185" i="1" s="1"/>
  <c r="AI211" i="1"/>
  <c r="U181" i="1"/>
  <c r="S181" i="1" s="1"/>
  <c r="AI207" i="1"/>
  <c r="U177" i="1"/>
  <c r="S177" i="1" s="1"/>
  <c r="AI204" i="1"/>
  <c r="U175" i="1"/>
  <c r="S175" i="1" s="1"/>
  <c r="AI203" i="1"/>
  <c r="U174" i="1"/>
  <c r="S174" i="1" s="1"/>
  <c r="AI199" i="1"/>
  <c r="U170" i="1"/>
  <c r="S170" i="1" s="1"/>
  <c r="AI240" i="1"/>
  <c r="U224" i="1"/>
  <c r="S224" i="1" s="1"/>
  <c r="AI236" i="1"/>
  <c r="U220" i="1"/>
  <c r="S220" i="1" s="1"/>
  <c r="AI232" i="1"/>
  <c r="U202" i="1"/>
  <c r="S202" i="1" s="1"/>
  <c r="AI228" i="1"/>
  <c r="U198" i="1"/>
  <c r="S198" i="1" s="1"/>
  <c r="AI224" i="1"/>
  <c r="U194" i="1"/>
  <c r="S194" i="1" s="1"/>
  <c r="AI220" i="1"/>
  <c r="U190" i="1"/>
  <c r="S190" i="1" s="1"/>
  <c r="AI216" i="1"/>
  <c r="U186" i="1"/>
  <c r="S186" i="1" s="1"/>
  <c r="AI212" i="1"/>
  <c r="U182" i="1"/>
  <c r="S182" i="1" s="1"/>
  <c r="S178" i="1"/>
  <c r="AI208" i="1"/>
  <c r="U178" i="1"/>
  <c r="U225" i="1"/>
  <c r="S225" i="1" s="1"/>
  <c r="AI241" i="1"/>
  <c r="U221" i="1"/>
  <c r="S221" i="1" s="1"/>
  <c r="AI237" i="1"/>
  <c r="U203" i="1"/>
  <c r="S203" i="1" s="1"/>
  <c r="AI233" i="1"/>
  <c r="U199" i="1"/>
  <c r="S199" i="1" s="1"/>
  <c r="AI229" i="1"/>
  <c r="U195" i="1"/>
  <c r="S195" i="1" s="1"/>
  <c r="AI225" i="1"/>
  <c r="U191" i="1"/>
  <c r="S191" i="1" s="1"/>
  <c r="AI221" i="1"/>
  <c r="U187" i="1"/>
  <c r="S187" i="1" s="1"/>
  <c r="AI217" i="1"/>
  <c r="U183" i="1"/>
  <c r="S183" i="1" s="1"/>
  <c r="AI213" i="1"/>
  <c r="U179" i="1"/>
  <c r="S179" i="1" s="1"/>
  <c r="AI209" i="1"/>
  <c r="U176" i="1"/>
  <c r="S176" i="1"/>
  <c r="AI205" i="1"/>
  <c r="U222" i="1"/>
  <c r="S222" i="1" s="1"/>
  <c r="AI238" i="1"/>
  <c r="U204" i="1"/>
  <c r="S204" i="1" s="1"/>
  <c r="AI234" i="1"/>
  <c r="U200" i="1"/>
  <c r="S200" i="1" s="1"/>
  <c r="AI230" i="1"/>
  <c r="U196" i="1"/>
  <c r="S196" i="1" s="1"/>
  <c r="AI226" i="1"/>
  <c r="U192" i="1"/>
  <c r="S192" i="1" s="1"/>
  <c r="AI222" i="1"/>
  <c r="U188" i="1"/>
  <c r="S188" i="1" s="1"/>
  <c r="AI218" i="1"/>
  <c r="U184" i="1"/>
  <c r="S184" i="1" s="1"/>
  <c r="AI214" i="1"/>
  <c r="U180" i="1"/>
  <c r="S180" i="1" s="1"/>
  <c r="AI210" i="1"/>
  <c r="AI206" i="1"/>
  <c r="U172" i="1"/>
  <c r="S172" i="1" s="1"/>
  <c r="AI201" i="1"/>
  <c r="AI202" i="1"/>
  <c r="U173" i="1"/>
  <c r="S173" i="1" s="1"/>
  <c r="AI198" i="1"/>
  <c r="U169" i="1"/>
  <c r="S169" i="1" s="1"/>
  <c r="AI194" i="1"/>
  <c r="U165" i="1"/>
  <c r="S165" i="1" s="1"/>
  <c r="AI190" i="1"/>
  <c r="U161" i="1"/>
  <c r="S161" i="1" s="1"/>
  <c r="AI186" i="1"/>
  <c r="U240" i="1"/>
  <c r="S240" i="1" s="1"/>
  <c r="AI182" i="1"/>
  <c r="U236" i="1"/>
  <c r="S236" i="1" s="1"/>
  <c r="AI178" i="1"/>
  <c r="U232" i="1"/>
  <c r="S232" i="1" s="1"/>
  <c r="AI175" i="1"/>
  <c r="U228" i="1"/>
  <c r="S228" i="1" s="1"/>
  <c r="AI171" i="1"/>
  <c r="U218" i="1"/>
  <c r="S218" i="1" s="1"/>
  <c r="AI167" i="1"/>
  <c r="U214" i="1"/>
  <c r="S214" i="1" s="1"/>
  <c r="AI163" i="1"/>
  <c r="U210" i="1"/>
  <c r="S210" i="1" s="1"/>
  <c r="AI159" i="1"/>
  <c r="U206" i="1"/>
  <c r="S206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40" i="1"/>
  <c r="U140" i="1"/>
  <c r="S140" i="1" s="1"/>
  <c r="AI139" i="1"/>
  <c r="U139" i="1"/>
  <c r="S139" i="1" s="1"/>
  <c r="AI195" i="1"/>
  <c r="U166" i="1"/>
  <c r="S166" i="1" s="1"/>
  <c r="AI191" i="1"/>
  <c r="U162" i="1"/>
  <c r="S162" i="1" s="1"/>
  <c r="AI187" i="1"/>
  <c r="U241" i="1"/>
  <c r="S241" i="1" s="1"/>
  <c r="AI183" i="1"/>
  <c r="U237" i="1"/>
  <c r="S237" i="1" s="1"/>
  <c r="AI179" i="1"/>
  <c r="U233" i="1"/>
  <c r="S233" i="1" s="1"/>
  <c r="AI176" i="1"/>
  <c r="U229" i="1"/>
  <c r="S229" i="1" s="1"/>
  <c r="AI172" i="1"/>
  <c r="U219" i="1"/>
  <c r="S219" i="1" s="1"/>
  <c r="AI168" i="1"/>
  <c r="U215" i="1"/>
  <c r="S215" i="1" s="1"/>
  <c r="AI164" i="1"/>
  <c r="U211" i="1"/>
  <c r="S211" i="1" s="1"/>
  <c r="AI160" i="1"/>
  <c r="U207" i="1"/>
  <c r="S207" i="1" s="1"/>
  <c r="AI156" i="1"/>
  <c r="U156" i="1"/>
  <c r="S156" i="1" s="1"/>
  <c r="AI152" i="1"/>
  <c r="U152" i="1"/>
  <c r="S152" i="1" s="1"/>
  <c r="AI148" i="1"/>
  <c r="U148" i="1"/>
  <c r="S148" i="1" s="1"/>
  <c r="AI144" i="1"/>
  <c r="U144" i="1"/>
  <c r="S144" i="1" s="1"/>
  <c r="AI129" i="1"/>
  <c r="AI128" i="1"/>
  <c r="U128" i="1"/>
  <c r="S128" i="1" s="1"/>
  <c r="AI121" i="1"/>
  <c r="U121" i="1"/>
  <c r="S121" i="1" s="1"/>
  <c r="U171" i="1"/>
  <c r="S171" i="1" s="1"/>
  <c r="AI200" i="1"/>
  <c r="AI196" i="1"/>
  <c r="U163" i="1"/>
  <c r="S163" i="1" s="1"/>
  <c r="AI192" i="1"/>
  <c r="U159" i="1"/>
  <c r="S159" i="1" s="1"/>
  <c r="AI188" i="1"/>
  <c r="U238" i="1"/>
  <c r="S238" i="1" s="1"/>
  <c r="AI184" i="1"/>
  <c r="U234" i="1"/>
  <c r="S234" i="1" s="1"/>
  <c r="AI180" i="1"/>
  <c r="U230" i="1"/>
  <c r="S230" i="1" s="1"/>
  <c r="U226" i="1"/>
  <c r="S226" i="1" s="1"/>
  <c r="AI173" i="1"/>
  <c r="U216" i="1"/>
  <c r="S216" i="1" s="1"/>
  <c r="AI169" i="1"/>
  <c r="U212" i="1"/>
  <c r="S212" i="1" s="1"/>
  <c r="AI165" i="1"/>
  <c r="U208" i="1"/>
  <c r="S208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AI133" i="1"/>
  <c r="AI132" i="1"/>
  <c r="AI131" i="1"/>
  <c r="AI60" i="1"/>
  <c r="U60" i="1"/>
  <c r="S60" i="1" s="1"/>
  <c r="U168" i="1"/>
  <c r="S168" i="1" s="1"/>
  <c r="W168" i="1"/>
  <c r="AI197" i="1"/>
  <c r="U164" i="1"/>
  <c r="S164" i="1" s="1"/>
  <c r="AI193" i="1"/>
  <c r="U160" i="1"/>
  <c r="S160" i="1"/>
  <c r="AI189" i="1"/>
  <c r="U239" i="1"/>
  <c r="S239" i="1" s="1"/>
  <c r="AI185" i="1"/>
  <c r="U235" i="1"/>
  <c r="S235" i="1" s="1"/>
  <c r="AI181" i="1"/>
  <c r="U231" i="1"/>
  <c r="S231" i="1" s="1"/>
  <c r="AI177" i="1"/>
  <c r="U227" i="1"/>
  <c r="S227" i="1" s="1"/>
  <c r="AI174" i="1"/>
  <c r="U217" i="1"/>
  <c r="S217" i="1" s="1"/>
  <c r="AI170" i="1"/>
  <c r="U213" i="1"/>
  <c r="S213" i="1" s="1"/>
  <c r="AI166" i="1"/>
  <c r="U209" i="1"/>
  <c r="S209" i="1" s="1"/>
  <c r="AI162" i="1"/>
  <c r="U158" i="1"/>
  <c r="S158" i="1" s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 s="1"/>
  <c r="AI142" i="1"/>
  <c r="AI137" i="1"/>
  <c r="AI136" i="1"/>
  <c r="U136" i="1"/>
  <c r="S136" i="1" s="1"/>
  <c r="U135" i="1"/>
  <c r="S135" i="1" s="1"/>
  <c r="AI135" i="1"/>
  <c r="AI125" i="1"/>
  <c r="U125" i="1"/>
  <c r="S125" i="1" s="1"/>
  <c r="AI117" i="1"/>
  <c r="U117" i="1"/>
  <c r="S117" i="1" s="1"/>
  <c r="AI112" i="1"/>
  <c r="U112" i="1"/>
  <c r="S112" i="1" s="1"/>
  <c r="AI68" i="1"/>
  <c r="U68" i="1"/>
  <c r="S68" i="1" s="1"/>
  <c r="AI124" i="1"/>
  <c r="U124" i="1"/>
  <c r="S124" i="1" s="1"/>
  <c r="AI120" i="1"/>
  <c r="U120" i="1"/>
  <c r="S120" i="1" s="1"/>
  <c r="U116" i="1"/>
  <c r="S116" i="1" s="1"/>
  <c r="AI116" i="1"/>
  <c r="AI115" i="1"/>
  <c r="U115" i="1"/>
  <c r="S115" i="1" s="1"/>
  <c r="AI104" i="1"/>
  <c r="U104" i="1"/>
  <c r="S104" i="1" s="1"/>
  <c r="AI100" i="1"/>
  <c r="U100" i="1"/>
  <c r="S100" i="1" s="1"/>
  <c r="AI92" i="1"/>
  <c r="U92" i="1"/>
  <c r="S92" i="1" s="1"/>
  <c r="AI80" i="1"/>
  <c r="U80" i="1"/>
  <c r="S80" i="1" s="1"/>
  <c r="U138" i="1"/>
  <c r="S138" i="1" s="1"/>
  <c r="AI138" i="1"/>
  <c r="AI134" i="1"/>
  <c r="U130" i="1"/>
  <c r="S130" i="1" s="1"/>
  <c r="AI130" i="1"/>
  <c r="AI126" i="1"/>
  <c r="AI122" i="1"/>
  <c r="AI118" i="1"/>
  <c r="AI96" i="1"/>
  <c r="U96" i="1"/>
  <c r="S96" i="1" s="1"/>
  <c r="AI127" i="1"/>
  <c r="U123" i="1"/>
  <c r="S123" i="1" s="1"/>
  <c r="AI123" i="1"/>
  <c r="U119" i="1"/>
  <c r="S119" i="1" s="1"/>
  <c r="AI119" i="1"/>
  <c r="AI113" i="1"/>
  <c r="AI108" i="1"/>
  <c r="U108" i="1"/>
  <c r="S108" i="1" s="1"/>
  <c r="AI88" i="1"/>
  <c r="U88" i="1"/>
  <c r="S88" i="1" s="1"/>
  <c r="U111" i="1"/>
  <c r="S111" i="1" s="1"/>
  <c r="AI111" i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AI87" i="1"/>
  <c r="AI76" i="1"/>
  <c r="U76" i="1"/>
  <c r="AI109" i="1"/>
  <c r="AI105" i="1"/>
  <c r="AI101" i="1"/>
  <c r="AI97" i="1"/>
  <c r="AI93" i="1"/>
  <c r="AI89" i="1"/>
  <c r="AI84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W94" i="1"/>
  <c r="AI94" i="1"/>
  <c r="U90" i="1"/>
  <c r="S90" i="1" s="1"/>
  <c r="AI90" i="1"/>
  <c r="U86" i="1"/>
  <c r="S86" i="1" s="1"/>
  <c r="AI86" i="1"/>
  <c r="AI72" i="1"/>
  <c r="U72" i="1"/>
  <c r="S72" i="1" s="1"/>
  <c r="AI64" i="1"/>
  <c r="U64" i="1"/>
  <c r="S64" i="1" s="1"/>
  <c r="AI56" i="1"/>
  <c r="U56" i="1"/>
  <c r="S56" i="1" s="1"/>
  <c r="U85" i="1"/>
  <c r="S85" i="1" s="1"/>
  <c r="AI85" i="1"/>
  <c r="AI81" i="1"/>
  <c r="AI77" i="1"/>
  <c r="AI73" i="1"/>
  <c r="AI69" i="1"/>
  <c r="AI65" i="1"/>
  <c r="AI61" i="1"/>
  <c r="AI57" i="1"/>
  <c r="AI53" i="1"/>
  <c r="U82" i="1"/>
  <c r="S82" i="1" s="1"/>
  <c r="AI82" i="1"/>
  <c r="U78" i="1"/>
  <c r="S78" i="1" s="1"/>
  <c r="W78" i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/>
  <c r="AI59" i="1"/>
  <c r="U55" i="1"/>
  <c r="S55" i="1" s="1"/>
  <c r="AI55" i="1"/>
  <c r="AI52" i="1"/>
  <c r="S49" i="1"/>
  <c r="U49" i="1"/>
  <c r="AI49" i="1"/>
  <c r="S45" i="1"/>
  <c r="AI45" i="1"/>
  <c r="U45" i="1"/>
  <c r="AI41" i="1"/>
  <c r="U41" i="1"/>
  <c r="S41" i="1" s="1"/>
  <c r="AI37" i="1"/>
  <c r="U37" i="1"/>
  <c r="S37" i="1" s="1"/>
  <c r="AI33" i="1"/>
  <c r="U33" i="1"/>
  <c r="S33" i="1" s="1"/>
  <c r="AI29" i="1"/>
  <c r="AI25" i="1"/>
  <c r="U25" i="1"/>
  <c r="S25" i="1" s="1"/>
  <c r="AI21" i="1"/>
  <c r="U21" i="1"/>
  <c r="S21" i="1" s="1"/>
  <c r="AI17" i="1"/>
  <c r="U17" i="1"/>
  <c r="S17" i="1" s="1"/>
  <c r="AI51" i="1"/>
  <c r="U51" i="1"/>
  <c r="S51" i="1" s="1"/>
  <c r="AI46" i="1"/>
  <c r="U46" i="1"/>
  <c r="S46" i="1" s="1"/>
  <c r="AI42" i="1"/>
  <c r="U42" i="1"/>
  <c r="S42" i="1" s="1"/>
  <c r="AI38" i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48" i="1"/>
  <c r="AI44" i="1"/>
  <c r="AI40" i="1"/>
  <c r="AI36" i="1"/>
  <c r="AI32" i="1"/>
  <c r="U28" i="1"/>
  <c r="S28" i="1"/>
  <c r="AI28" i="1"/>
  <c r="U24" i="1"/>
  <c r="S24" i="1" s="1"/>
  <c r="AI24" i="1"/>
  <c r="U20" i="1"/>
  <c r="S20" i="1" s="1"/>
  <c r="AI20" i="1"/>
  <c r="U16" i="1"/>
  <c r="S16" i="1" s="1"/>
  <c r="AI16" i="1"/>
  <c r="W224" i="1"/>
  <c r="W205" i="1"/>
  <c r="W189" i="1"/>
  <c r="W188" i="1"/>
  <c r="W187" i="1"/>
  <c r="W186" i="1"/>
  <c r="W221" i="1"/>
  <c r="W220" i="1"/>
  <c r="W200" i="1"/>
  <c r="W199" i="1"/>
  <c r="W198" i="1"/>
  <c r="W185" i="1"/>
  <c r="W184" i="1"/>
  <c r="W183" i="1"/>
  <c r="W182" i="1"/>
  <c r="W204" i="1"/>
  <c r="W203" i="1"/>
  <c r="W202" i="1"/>
  <c r="W196" i="1"/>
  <c r="W194" i="1"/>
  <c r="W181" i="1"/>
  <c r="W180" i="1"/>
  <c r="W179" i="1"/>
  <c r="W178" i="1"/>
  <c r="W174" i="1"/>
  <c r="W223" i="1"/>
  <c r="W193" i="1"/>
  <c r="W192" i="1"/>
  <c r="W191" i="1"/>
  <c r="W176" i="1"/>
  <c r="X222" i="1"/>
  <c r="X204" i="1"/>
  <c r="X200" i="1"/>
  <c r="X196" i="1"/>
  <c r="X192" i="1"/>
  <c r="X188" i="1"/>
  <c r="X184" i="1"/>
  <c r="X180" i="1"/>
  <c r="X173" i="1"/>
  <c r="W164" i="1"/>
  <c r="W239" i="1"/>
  <c r="W217" i="1"/>
  <c r="W209" i="1"/>
  <c r="W208" i="1"/>
  <c r="W207" i="1"/>
  <c r="W154" i="1"/>
  <c r="W153" i="1"/>
  <c r="W144" i="1"/>
  <c r="W139" i="1"/>
  <c r="W137" i="1"/>
  <c r="W135" i="1"/>
  <c r="W167" i="1"/>
  <c r="W166" i="1"/>
  <c r="W161" i="1"/>
  <c r="W159" i="1"/>
  <c r="W241" i="1"/>
  <c r="W236" i="1"/>
  <c r="W234" i="1"/>
  <c r="W228" i="1"/>
  <c r="W226" i="1"/>
  <c r="W214" i="1"/>
  <c r="W212" i="1"/>
  <c r="W211" i="1"/>
  <c r="W206" i="1"/>
  <c r="W151" i="1"/>
  <c r="W123" i="1"/>
  <c r="X198" i="1"/>
  <c r="X194" i="1"/>
  <c r="X190" i="1"/>
  <c r="X186" i="1"/>
  <c r="X182" i="1"/>
  <c r="AA175" i="1"/>
  <c r="W175" i="1" s="1"/>
  <c r="W173" i="1"/>
  <c r="W169" i="1"/>
  <c r="T167" i="1"/>
  <c r="U167" i="1" s="1"/>
  <c r="S167" i="1" s="1"/>
  <c r="X167" i="1"/>
  <c r="W160" i="1"/>
  <c r="W235" i="1"/>
  <c r="W227" i="1"/>
  <c r="W213" i="1"/>
  <c r="W158" i="1"/>
  <c r="W157" i="1"/>
  <c r="W148" i="1"/>
  <c r="W142" i="1"/>
  <c r="W141" i="1"/>
  <c r="W129" i="1"/>
  <c r="W119" i="1"/>
  <c r="X225" i="1"/>
  <c r="X221" i="1"/>
  <c r="X203" i="1"/>
  <c r="X199" i="1"/>
  <c r="X195" i="1"/>
  <c r="X191" i="1"/>
  <c r="X187" i="1"/>
  <c r="X183" i="1"/>
  <c r="X179" i="1"/>
  <c r="W171" i="1"/>
  <c r="W170" i="1"/>
  <c r="W165" i="1"/>
  <c r="W162" i="1"/>
  <c r="W240" i="1"/>
  <c r="W238" i="1"/>
  <c r="W232" i="1"/>
  <c r="W230" i="1"/>
  <c r="W229" i="1"/>
  <c r="W216" i="1"/>
  <c r="W215" i="1"/>
  <c r="W210" i="1"/>
  <c r="W155" i="1"/>
  <c r="W147" i="1"/>
  <c r="W130" i="1"/>
  <c r="W127" i="1"/>
  <c r="X172" i="1"/>
  <c r="X168" i="1"/>
  <c r="X164" i="1"/>
  <c r="X160" i="1"/>
  <c r="X239" i="1"/>
  <c r="X235" i="1"/>
  <c r="X231" i="1"/>
  <c r="X227" i="1"/>
  <c r="X217" i="1"/>
  <c r="X213" i="1"/>
  <c r="X209" i="1"/>
  <c r="X158" i="1"/>
  <c r="X154" i="1"/>
  <c r="X150" i="1"/>
  <c r="X146" i="1"/>
  <c r="X142" i="1"/>
  <c r="X140" i="1"/>
  <c r="X135" i="1"/>
  <c r="T134" i="1"/>
  <c r="U134" i="1" s="1"/>
  <c r="S134" i="1" s="1"/>
  <c r="AA132" i="1"/>
  <c r="W132" i="1" s="1"/>
  <c r="T129" i="1"/>
  <c r="U129" i="1" s="1"/>
  <c r="S129" i="1" s="1"/>
  <c r="X129" i="1"/>
  <c r="W124" i="1"/>
  <c r="T122" i="1"/>
  <c r="U122" i="1" s="1"/>
  <c r="S122" i="1" s="1"/>
  <c r="X122" i="1"/>
  <c r="X123" i="1"/>
  <c r="W115" i="1"/>
  <c r="W106" i="1"/>
  <c r="T97" i="1"/>
  <c r="U97" i="1" s="1"/>
  <c r="S97" i="1" s="1"/>
  <c r="X97" i="1"/>
  <c r="X98" i="1"/>
  <c r="W90" i="1"/>
  <c r="W84" i="1"/>
  <c r="W74" i="1"/>
  <c r="W136" i="1"/>
  <c r="T133" i="1"/>
  <c r="U133" i="1" s="1"/>
  <c r="S133" i="1" s="1"/>
  <c r="X133" i="1"/>
  <c r="T132" i="1"/>
  <c r="U132" i="1" s="1"/>
  <c r="S132" i="1" s="1"/>
  <c r="W125" i="1"/>
  <c r="W118" i="1"/>
  <c r="W117" i="1"/>
  <c r="W111" i="1"/>
  <c r="W108" i="1"/>
  <c r="W102" i="1"/>
  <c r="X207" i="1"/>
  <c r="X156" i="1"/>
  <c r="X152" i="1"/>
  <c r="X148" i="1"/>
  <c r="X144" i="1"/>
  <c r="AA140" i="1"/>
  <c r="W140" i="1" s="1"/>
  <c r="T137" i="1"/>
  <c r="U137" i="1" s="1"/>
  <c r="S137" i="1" s="1"/>
  <c r="X137" i="1"/>
  <c r="T126" i="1"/>
  <c r="U126" i="1" s="1"/>
  <c r="S126" i="1" s="1"/>
  <c r="X126" i="1"/>
  <c r="T118" i="1"/>
  <c r="U118" i="1" s="1"/>
  <c r="S118" i="1" s="1"/>
  <c r="X118" i="1"/>
  <c r="X119" i="1"/>
  <c r="W109" i="1"/>
  <c r="W99" i="1"/>
  <c r="W58" i="1"/>
  <c r="X163" i="1"/>
  <c r="X159" i="1"/>
  <c r="X238" i="1"/>
  <c r="X234" i="1"/>
  <c r="X230" i="1"/>
  <c r="X226" i="1"/>
  <c r="X216" i="1"/>
  <c r="X212" i="1"/>
  <c r="X208" i="1"/>
  <c r="X157" i="1"/>
  <c r="X153" i="1"/>
  <c r="X149" i="1"/>
  <c r="X145" i="1"/>
  <c r="X141" i="1"/>
  <c r="W128" i="1"/>
  <c r="W122" i="1"/>
  <c r="W121" i="1"/>
  <c r="W114" i="1"/>
  <c r="W91" i="1"/>
  <c r="W66" i="1"/>
  <c r="W97" i="1"/>
  <c r="AA96" i="1"/>
  <c r="W96" i="1" s="1"/>
  <c r="W87" i="1"/>
  <c r="X125" i="1"/>
  <c r="X121" i="1"/>
  <c r="X117" i="1"/>
  <c r="AA116" i="1"/>
  <c r="W116" i="1" s="1"/>
  <c r="T113" i="1"/>
  <c r="U113" i="1" s="1"/>
  <c r="S113" i="1" s="1"/>
  <c r="X113" i="1"/>
  <c r="T109" i="1"/>
  <c r="U109" i="1" s="1"/>
  <c r="S109" i="1" s="1"/>
  <c r="X109" i="1"/>
  <c r="W107" i="1"/>
  <c r="W105" i="1"/>
  <c r="AA104" i="1"/>
  <c r="W104" i="1" s="1"/>
  <c r="AA100" i="1"/>
  <c r="W100" i="1" s="1"/>
  <c r="W93" i="1"/>
  <c r="T89" i="1"/>
  <c r="U89" i="1" s="1"/>
  <c r="S89" i="1" s="1"/>
  <c r="X89" i="1"/>
  <c r="X90" i="1"/>
  <c r="W88" i="1"/>
  <c r="T84" i="1"/>
  <c r="U84" i="1" s="1"/>
  <c r="S84" i="1" s="1"/>
  <c r="X84" i="1"/>
  <c r="W82" i="1"/>
  <c r="W73" i="1"/>
  <c r="W65" i="1"/>
  <c r="W57" i="1"/>
  <c r="AA112" i="1"/>
  <c r="W112" i="1" s="1"/>
  <c r="T105" i="1"/>
  <c r="U105" i="1" s="1"/>
  <c r="S105" i="1" s="1"/>
  <c r="X105" i="1"/>
  <c r="W103" i="1"/>
  <c r="T101" i="1"/>
  <c r="U101" i="1" s="1"/>
  <c r="S101" i="1" s="1"/>
  <c r="X101" i="1"/>
  <c r="W95" i="1"/>
  <c r="T93" i="1"/>
  <c r="U93" i="1" s="1"/>
  <c r="S93" i="1" s="1"/>
  <c r="X93" i="1"/>
  <c r="X94" i="1"/>
  <c r="W70" i="1"/>
  <c r="W62" i="1"/>
  <c r="W54" i="1"/>
  <c r="X110" i="1"/>
  <c r="X106" i="1"/>
  <c r="X102" i="1"/>
  <c r="X86" i="1"/>
  <c r="X82" i="1"/>
  <c r="T81" i="1"/>
  <c r="U81" i="1" s="1"/>
  <c r="S81" i="1" s="1"/>
  <c r="X81" i="1"/>
  <c r="W80" i="1"/>
  <c r="X70" i="1"/>
  <c r="T69" i="1"/>
  <c r="U69" i="1" s="1"/>
  <c r="S69" i="1" s="1"/>
  <c r="X69" i="1"/>
  <c r="W63" i="1"/>
  <c r="X62" i="1"/>
  <c r="T61" i="1"/>
  <c r="U61" i="1" s="1"/>
  <c r="S61" i="1" s="1"/>
  <c r="X61" i="1"/>
  <c r="W60" i="1"/>
  <c r="W55" i="1"/>
  <c r="T53" i="1"/>
  <c r="U53" i="1" s="1"/>
  <c r="S53" i="1" s="1"/>
  <c r="W47" i="1"/>
  <c r="W37" i="1"/>
  <c r="W36" i="1"/>
  <c r="W31" i="1"/>
  <c r="W28" i="1"/>
  <c r="W25" i="1"/>
  <c r="W23" i="1"/>
  <c r="W22" i="1"/>
  <c r="X100" i="1"/>
  <c r="X96" i="1"/>
  <c r="X92" i="1"/>
  <c r="X88" i="1"/>
  <c r="W79" i="1"/>
  <c r="W77" i="1"/>
  <c r="X74" i="1"/>
  <c r="T73" i="1"/>
  <c r="U73" i="1" s="1"/>
  <c r="S73" i="1" s="1"/>
  <c r="X73" i="1"/>
  <c r="W72" i="1"/>
  <c r="W67" i="1"/>
  <c r="X66" i="1"/>
  <c r="T65" i="1"/>
  <c r="U65" i="1" s="1"/>
  <c r="S65" i="1" s="1"/>
  <c r="X65" i="1"/>
  <c r="W64" i="1"/>
  <c r="X58" i="1"/>
  <c r="T57" i="1"/>
  <c r="U57" i="1" s="1"/>
  <c r="S57" i="1" s="1"/>
  <c r="X57" i="1"/>
  <c r="W56" i="1"/>
  <c r="W83" i="1"/>
  <c r="W81" i="1"/>
  <c r="X78" i="1"/>
  <c r="T77" i="1"/>
  <c r="U77" i="1" s="1"/>
  <c r="S77" i="1" s="1"/>
  <c r="X77" i="1"/>
  <c r="W76" i="1"/>
  <c r="W69" i="1"/>
  <c r="W61" i="1"/>
  <c r="W53" i="1"/>
  <c r="X80" i="1"/>
  <c r="X76" i="1"/>
  <c r="X72" i="1"/>
  <c r="X68" i="1"/>
  <c r="X64" i="1"/>
  <c r="X60" i="1"/>
  <c r="X56" i="1"/>
  <c r="W52" i="1"/>
  <c r="W51" i="1"/>
  <c r="W49" i="1"/>
  <c r="W43" i="1"/>
  <c r="W33" i="1"/>
  <c r="W32" i="1"/>
  <c r="W29" i="1"/>
  <c r="W27" i="1"/>
  <c r="W26" i="1"/>
  <c r="W16" i="1"/>
  <c r="T52" i="1"/>
  <c r="U52" i="1" s="1"/>
  <c r="S52" i="1" s="1"/>
  <c r="W45" i="1"/>
  <c r="W44" i="1"/>
  <c r="W39" i="1"/>
  <c r="W30" i="1"/>
  <c r="W20" i="1"/>
  <c r="W17" i="1"/>
  <c r="W15" i="1"/>
  <c r="W14" i="1"/>
  <c r="W46" i="1"/>
  <c r="W41" i="1"/>
  <c r="W35" i="1"/>
  <c r="W24" i="1"/>
  <c r="W21" i="1"/>
  <c r="W19" i="1"/>
  <c r="W18" i="1"/>
  <c r="X48" i="1"/>
  <c r="T48" i="1"/>
  <c r="U48" i="1" s="1"/>
  <c r="S48" i="1" s="1"/>
  <c r="X44" i="1"/>
  <c r="T44" i="1"/>
  <c r="U44" i="1" s="1"/>
  <c r="S44" i="1" s="1"/>
  <c r="X40" i="1"/>
  <c r="T40" i="1"/>
  <c r="U40" i="1" s="1"/>
  <c r="X36" i="1"/>
  <c r="T36" i="1"/>
  <c r="U36" i="1" s="1"/>
  <c r="S36" i="1" s="1"/>
  <c r="X32" i="1"/>
  <c r="T32" i="1"/>
  <c r="U32" i="1" s="1"/>
  <c r="S32" i="1" s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D29" i="3"/>
  <c r="AD23" i="3"/>
  <c r="AD21" i="3"/>
  <c r="AD16" i="3"/>
  <c r="AD25" i="3"/>
  <c r="AE19" i="3"/>
  <c r="AD15" i="3"/>
  <c r="AE15" i="3"/>
  <c r="AD13" i="3"/>
  <c r="AC26" i="3"/>
  <c r="AC43" i="3"/>
  <c r="T43" i="3"/>
  <c r="AC41" i="3"/>
  <c r="AD24" i="3"/>
  <c r="AD19" i="3"/>
  <c r="AD12" i="3"/>
  <c r="AD11" i="3"/>
  <c r="AE11" i="3"/>
  <c r="AC19" i="3"/>
  <c r="T19" i="3"/>
  <c r="AC12" i="3"/>
  <c r="AD32" i="3"/>
  <c r="AC10" i="3"/>
  <c r="AE23" i="3"/>
  <c r="AC36" i="3"/>
  <c r="T36" i="3"/>
  <c r="AD8" i="3"/>
  <c r="AC23" i="3"/>
  <c r="T23" i="3"/>
  <c r="AC16" i="3"/>
  <c r="AC13" i="3"/>
  <c r="AC40" i="3"/>
  <c r="T40" i="3"/>
  <c r="AC35" i="3"/>
  <c r="AC37" i="3"/>
  <c r="Y26" i="3"/>
  <c r="Y24" i="3"/>
  <c r="Y22" i="3"/>
  <c r="Y13" i="3"/>
  <c r="Y10" i="3"/>
  <c r="Y33" i="3"/>
  <c r="Y34" i="3"/>
  <c r="Y37" i="3"/>
  <c r="Y9" i="3"/>
  <c r="Y29" i="3"/>
  <c r="Y43" i="3"/>
  <c r="Y18" i="3"/>
  <c r="Y40" i="3"/>
  <c r="Y27" i="3"/>
  <c r="Y36" i="3"/>
  <c r="Y21" i="3"/>
  <c r="Y25" i="3"/>
  <c r="Y8" i="3"/>
  <c r="Y42" i="3"/>
  <c r="Y31" i="3"/>
  <c r="Y39" i="3"/>
  <c r="Y20" i="3"/>
  <c r="Y17" i="3"/>
  <c r="Y19" i="3"/>
  <c r="Y23" i="3"/>
  <c r="Y30" i="3"/>
  <c r="Y11" i="3"/>
  <c r="Y12" i="3"/>
  <c r="Y32" i="3"/>
  <c r="Y16" i="3"/>
  <c r="Y15" i="3"/>
  <c r="Y41" i="3"/>
  <c r="Y28" i="3"/>
  <c r="Y35" i="3"/>
  <c r="Y38" i="3"/>
  <c r="Y7" i="3"/>
  <c r="AE22" i="3"/>
  <c r="T31" i="3"/>
  <c r="AE18" i="3"/>
  <c r="T39" i="3"/>
  <c r="T20" i="3"/>
  <c r="AE10" i="3"/>
  <c r="T17" i="3"/>
  <c r="T30" i="3"/>
  <c r="AE38" i="3"/>
  <c r="T25" i="3"/>
  <c r="AE34" i="3"/>
  <c r="T11" i="3"/>
  <c r="AE41" i="3"/>
  <c r="T12" i="3"/>
  <c r="AD38" i="3"/>
  <c r="AE33" i="3"/>
  <c r="T16" i="3"/>
  <c r="AD30" i="3"/>
  <c r="AE29" i="3"/>
  <c r="T15" i="3"/>
  <c r="AD26" i="3"/>
  <c r="AE25" i="3"/>
  <c r="T41" i="3"/>
  <c r="AD22" i="3"/>
  <c r="AE21" i="3"/>
  <c r="T28" i="3"/>
  <c r="AD18" i="3"/>
  <c r="AE17" i="3"/>
  <c r="T35" i="3"/>
  <c r="AE13" i="3"/>
  <c r="T38" i="3"/>
  <c r="AD10" i="3"/>
  <c r="AE9" i="3"/>
  <c r="T7" i="3"/>
  <c r="AE42" i="3"/>
  <c r="AE30" i="3"/>
  <c r="T8" i="3"/>
  <c r="AE26" i="3"/>
  <c r="T42" i="3"/>
  <c r="AD42" i="3"/>
  <c r="AE37" i="3"/>
  <c r="T32" i="3"/>
  <c r="AD34" i="3"/>
  <c r="AE40" i="3"/>
  <c r="AE36" i="3"/>
  <c r="AE32" i="3"/>
  <c r="AE28" i="3"/>
  <c r="AE24" i="3"/>
  <c r="AE20" i="3"/>
  <c r="AE16" i="3"/>
  <c r="AE12" i="3"/>
  <c r="AE8" i="3"/>
  <c r="M14" i="3"/>
  <c r="R14" i="3"/>
  <c r="S14" i="3"/>
  <c r="U14" i="3"/>
  <c r="AD14" i="3" s="1"/>
  <c r="V14" i="3"/>
  <c r="X14" i="3"/>
  <c r="W14" i="3"/>
  <c r="AE14" i="3" l="1"/>
  <c r="AC14" i="3"/>
  <c r="Y14" i="3"/>
  <c r="T14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9" i="3" s="1"/>
  <c r="G54" i="4"/>
  <c r="G55" i="4"/>
  <c r="G56" i="4"/>
  <c r="G57" i="4"/>
  <c r="G58" i="4"/>
  <c r="N7" i="3" s="1"/>
  <c r="G59" i="4"/>
  <c r="G60" i="4"/>
  <c r="N17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20" i="3" s="1"/>
  <c r="G74" i="4"/>
  <c r="G75" i="4"/>
  <c r="G76" i="4"/>
  <c r="G77" i="4"/>
  <c r="G78" i="4"/>
  <c r="G79" i="4"/>
  <c r="G80" i="4"/>
  <c r="G81" i="4"/>
  <c r="N27" i="3" s="1"/>
  <c r="G82" i="4"/>
  <c r="N35" i="3" s="1"/>
  <c r="G83" i="4"/>
  <c r="G84" i="4"/>
  <c r="G85" i="4"/>
  <c r="G86" i="4"/>
  <c r="G87" i="4"/>
  <c r="N34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33" i="3" s="1"/>
  <c r="G102" i="4"/>
  <c r="G103" i="4"/>
  <c r="G104" i="4"/>
  <c r="N28" i="3" s="1"/>
  <c r="G105" i="4"/>
  <c r="G106" i="4"/>
  <c r="G107" i="4"/>
  <c r="G108" i="4"/>
  <c r="N31" i="3" s="1"/>
  <c r="G109" i="4"/>
  <c r="N18" i="3" s="1"/>
  <c r="G110" i="4"/>
  <c r="G111" i="4"/>
  <c r="G112" i="4"/>
  <c r="G113" i="4"/>
  <c r="G114" i="4"/>
  <c r="N10" i="3" s="1"/>
  <c r="G115" i="4"/>
  <c r="G116" i="4"/>
  <c r="G117" i="4"/>
  <c r="G118" i="4"/>
  <c r="G119" i="4"/>
  <c r="G120" i="4"/>
  <c r="G121" i="4"/>
  <c r="G122" i="4"/>
  <c r="G123" i="4"/>
  <c r="G124" i="4"/>
  <c r="G125" i="4"/>
  <c r="N8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22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N16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11" i="3" s="1"/>
  <c r="G184" i="4"/>
  <c r="G185" i="4"/>
  <c r="N23" i="3" s="1"/>
  <c r="G186" i="4"/>
  <c r="G187" i="4"/>
  <c r="G188" i="4"/>
  <c r="G189" i="4"/>
  <c r="G190" i="4"/>
  <c r="G191" i="4"/>
  <c r="G192" i="4"/>
  <c r="G193" i="4"/>
  <c r="N24" i="3" s="1"/>
  <c r="G194" i="4"/>
  <c r="G195" i="4"/>
  <c r="G196" i="4"/>
  <c r="G197" i="4"/>
  <c r="G198" i="4"/>
  <c r="N25" i="3" s="1"/>
  <c r="G199" i="4"/>
  <c r="G200" i="4"/>
  <c r="N32" i="3" s="1"/>
  <c r="G201" i="4"/>
  <c r="G202" i="4"/>
  <c r="N14" i="3" s="1"/>
  <c r="G203" i="4"/>
  <c r="G204" i="4"/>
  <c r="G205" i="4"/>
  <c r="G206" i="4"/>
  <c r="G207" i="4"/>
  <c r="G208" i="4"/>
  <c r="N29" i="3" s="1"/>
  <c r="G209" i="4"/>
  <c r="G210" i="4"/>
  <c r="G211" i="4"/>
  <c r="N26" i="3" s="1"/>
  <c r="G212" i="4"/>
  <c r="G213" i="4"/>
  <c r="G214" i="4"/>
  <c r="G215" i="4"/>
  <c r="G216" i="4"/>
  <c r="G217" i="4"/>
  <c r="G218" i="4"/>
  <c r="G219" i="4"/>
  <c r="G220" i="4"/>
  <c r="N12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N30" i="3" s="1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N19" i="3" s="1"/>
  <c r="G254" i="4"/>
  <c r="G255" i="4"/>
  <c r="G256" i="4"/>
  <c r="G257" i="4"/>
  <c r="G258" i="4"/>
  <c r="G2" i="4"/>
  <c r="N36" i="3" l="1"/>
  <c r="N40" i="3"/>
  <c r="N39" i="3"/>
  <c r="N43" i="3"/>
  <c r="N38" i="3"/>
  <c r="N42" i="3"/>
  <c r="N41" i="3"/>
  <c r="N37" i="3"/>
  <c r="N21" i="3"/>
  <c r="N13" i="3"/>
  <c r="N1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B3" i="6" l="1"/>
  <c r="M18" i="5"/>
  <c r="B4" i="6" l="1"/>
  <c r="F3" i="6"/>
  <c r="G3" i="6"/>
  <c r="I3" i="6"/>
  <c r="J3" i="6"/>
  <c r="H3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I4" i="6"/>
  <c r="J4" i="6"/>
  <c r="F4" i="6"/>
  <c r="H4" i="6"/>
  <c r="B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6" i="6" l="1"/>
  <c r="F5" i="6"/>
  <c r="G5" i="6"/>
  <c r="I5" i="6"/>
  <c r="H5" i="6"/>
  <c r="J5" i="6"/>
  <c r="G259" i="4"/>
  <c r="G260" i="4"/>
  <c r="G261" i="4"/>
  <c r="G262" i="4"/>
  <c r="G263" i="4"/>
  <c r="G264" i="4"/>
  <c r="G265" i="4"/>
  <c r="B7" i="6" l="1"/>
  <c r="G6" i="6"/>
  <c r="I6" i="6"/>
  <c r="H6" i="6"/>
  <c r="J6" i="6"/>
  <c r="F6" i="6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G7" i="6"/>
  <c r="I7" i="6"/>
  <c r="J7" i="6"/>
  <c r="H7" i="6"/>
  <c r="B8" i="6"/>
  <c r="O3" i="3"/>
  <c r="H8" i="6" l="1"/>
  <c r="I8" i="6"/>
  <c r="F8" i="6"/>
  <c r="G8" i="6"/>
  <c r="J8" i="6"/>
  <c r="B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0" i="6" l="1"/>
  <c r="F10" i="6" s="1"/>
  <c r="F9" i="6"/>
  <c r="G9" i="6"/>
  <c r="I9" i="6"/>
  <c r="H9" i="6"/>
  <c r="J9" i="6"/>
  <c r="J8" i="1"/>
  <c r="J4" i="1"/>
  <c r="S8" i="1"/>
  <c r="S4" i="1"/>
  <c r="J10" i="6" l="1"/>
  <c r="I10" i="6"/>
  <c r="G10" i="6"/>
  <c r="H10" i="6"/>
  <c r="B11" i="6"/>
  <c r="S9" i="1"/>
  <c r="J9" i="1"/>
  <c r="B12" i="6" l="1"/>
  <c r="H11" i="6"/>
  <c r="J11" i="6"/>
  <c r="F11" i="6"/>
  <c r="G11" i="6"/>
  <c r="I11" i="6"/>
  <c r="S11" i="1"/>
  <c r="A11" i="1"/>
  <c r="B13" i="6" l="1"/>
  <c r="F12" i="6"/>
  <c r="I12" i="6"/>
  <c r="J12" i="6"/>
  <c r="G12" i="6"/>
  <c r="H12" i="6"/>
  <c r="B1" i="6"/>
  <c r="A5" i="3"/>
  <c r="B14" i="6" l="1"/>
  <c r="G13" i="6"/>
  <c r="H13" i="6"/>
  <c r="F13" i="6"/>
  <c r="I13" i="6"/>
  <c r="J13" i="6"/>
  <c r="G14" i="6" l="1"/>
  <c r="H14" i="6"/>
  <c r="I14" i="6"/>
  <c r="J14" i="6"/>
  <c r="F14" i="6"/>
  <c r="B15" i="6"/>
  <c r="H15" i="6" l="1"/>
  <c r="F15" i="6"/>
  <c r="G15" i="6"/>
  <c r="I15" i="6"/>
  <c r="J15" i="6"/>
  <c r="B16" i="6"/>
  <c r="B17" i="6" l="1"/>
  <c r="G16" i="6"/>
  <c r="H16" i="6"/>
  <c r="I16" i="6"/>
  <c r="J16" i="6"/>
  <c r="F16" i="6"/>
  <c r="B18" i="6" l="1"/>
  <c r="I17" i="6"/>
  <c r="G17" i="6"/>
  <c r="F17" i="6"/>
  <c r="H17" i="6"/>
  <c r="J17" i="6"/>
  <c r="G18" i="6" l="1"/>
  <c r="F18" i="6"/>
  <c r="H18" i="6"/>
  <c r="I18" i="6"/>
  <c r="J18" i="6"/>
  <c r="B19" i="6"/>
  <c r="H19" i="6" l="1"/>
  <c r="J19" i="6"/>
  <c r="F19" i="6"/>
  <c r="G19" i="6"/>
  <c r="I19" i="6"/>
  <c r="B20" i="6"/>
  <c r="B21" i="6" l="1"/>
  <c r="F20" i="6"/>
  <c r="G20" i="6"/>
  <c r="I20" i="6"/>
  <c r="H20" i="6"/>
  <c r="J20" i="6"/>
  <c r="F21" i="6" l="1"/>
  <c r="G21" i="6"/>
  <c r="J21" i="6"/>
  <c r="H21" i="6"/>
  <c r="I21" i="6"/>
  <c r="B22" i="6"/>
  <c r="G22" i="6" l="1"/>
  <c r="J22" i="6"/>
  <c r="F22" i="6"/>
  <c r="H22" i="6"/>
  <c r="I22" i="6"/>
  <c r="B23" i="6"/>
  <c r="B24" i="6" l="1"/>
  <c r="F23" i="6"/>
  <c r="G23" i="6"/>
  <c r="H23" i="6"/>
  <c r="I23" i="6"/>
  <c r="J23" i="6"/>
  <c r="B25" i="6" l="1"/>
  <c r="J24" i="6"/>
  <c r="F24" i="6"/>
  <c r="I24" i="6"/>
  <c r="G24" i="6"/>
  <c r="H24" i="6"/>
  <c r="B26" i="6" l="1"/>
  <c r="G25" i="6"/>
  <c r="H25" i="6"/>
  <c r="F25" i="6"/>
  <c r="I25" i="6"/>
  <c r="J25" i="6"/>
  <c r="G26" i="6" l="1"/>
  <c r="I26" i="6"/>
  <c r="J26" i="6"/>
  <c r="F26" i="6"/>
  <c r="H26" i="6"/>
  <c r="B27" i="6"/>
  <c r="B28" i="6" l="1"/>
  <c r="J27" i="6"/>
  <c r="F27" i="6"/>
  <c r="H27" i="6"/>
  <c r="G27" i="6"/>
  <c r="I27" i="6"/>
  <c r="B29" i="6" l="1"/>
  <c r="H28" i="6"/>
  <c r="F28" i="6"/>
  <c r="I28" i="6"/>
  <c r="J28" i="6"/>
  <c r="G28" i="6"/>
  <c r="B31" i="6" l="1"/>
  <c r="B30" i="6"/>
  <c r="G29" i="6"/>
  <c r="H29" i="6"/>
  <c r="F29" i="6"/>
  <c r="I29" i="6"/>
  <c r="J29" i="6"/>
  <c r="G30" i="6" l="1"/>
  <c r="H30" i="6"/>
  <c r="I30" i="6"/>
  <c r="J30" i="6"/>
  <c r="F30" i="6"/>
  <c r="H31" i="6"/>
  <c r="J31" i="6"/>
  <c r="G31" i="6"/>
  <c r="I31" i="6"/>
  <c r="F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<sst xmlns="http://schemas.openxmlformats.org/spreadsheetml/2006/main" count="2881" uniqueCount="1045">
  <si>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</si>
  <si>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</si>
  <si>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</si>
  <si>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</si>
  <si>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</si>
  <si>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</si>
  <si>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</si>
  <si>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</si>
  <si>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</si>
  <si>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</si>
  <si>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</si>
  <si>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</si>
  <si>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</si>
  <si>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</si>
  <si>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</si>
  <si>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</si>
  <si>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</si>
  <si>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</si>
  <si>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</si>
  <si>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</si>
  <si>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</si>
  <si>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</si>
  <si>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</si>
  <si>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</si>
  <si>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</si>
  <si>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</si>
  <si>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</si>
  <si>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</si>
  <si>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</si>
  <si>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</si>
  <si>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</si>
  <si>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</si>
  <si>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</si>
  <si>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</si>
  <si>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</si>
  <si>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</si>
  <si>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</si>
  <si>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</si>
  <si>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</si>
  <si>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</si>
  <si>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</si>
  <si>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</si>
  <si>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</si>
  <si>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</si>
  <si>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</si>
  <si>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</si>
  <si>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</si>
  <si>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</si>
  <si>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</si>
  <si>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</si>
  <si>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</si>
  <si>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</si>
  <si>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</si>
  <si>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</si>
  <si>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</si>
  <si>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</si>
  <si>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</si>
  <si>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</si>
  <si>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</si>
  <si>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</si>
  <si>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</si>
  <si>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</si>
  <si>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</si>
  <si>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</si>
  <si>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</si>
  <si>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</si>
  <si>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</si>
  <si>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</si>
  <si>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</si>
  <si>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</si>
  <si>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</si>
  <si>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</si>
  <si>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</si>
  <si>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</si>
  <si>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</si>
  <si>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</si>
  <si>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</si>
  <si>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</si>
  <si>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</si>
  <si>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</si>
  <si>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</si>
  <si>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</si>
  <si>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</si>
  <si>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</si>
  <si>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</si>
  <si>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</si>
  <si>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</si>
  <si>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</si>
  <si>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</si>
  <si>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</si>
  <si>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</si>
  <si>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</si>
  <si>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</si>
  <si>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</si>
  <si>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</si>
  <si>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</si>
  <si>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</si>
  <si>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</si>
  <si>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</si>
  <si>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</si>
  <si>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</si>
  <si>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</si>
  <si>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</si>
  <si>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</si>
  <si>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</si>
  <si>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</si>
  <si>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</si>
  <si>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</si>
  <si>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</si>
  <si>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</si>
  <si>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</si>
  <si>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</si>
  <si>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</si>
  <si>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</si>
  <si>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</si>
  <si>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</si>
  <si>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</si>
  <si>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</si>
  <si>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</si>
  <si>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</si>
  <si>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</si>
  <si>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</si>
  <si>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</si>
  <si>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</si>
  <si>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</si>
  <si>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</si>
  <si>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</si>
  <si>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</si>
  <si>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</si>
  <si>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</si>
  <si>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</si>
  <si>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</si>
  <si>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</si>
  <si>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</si>
  <si>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</si>
  <si>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</si>
  <si>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</si>
  <si>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</si>
  <si>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</si>
  <si>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</si>
  <si>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</si>
  <si>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</si>
  <si>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</si>
  <si>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</si>
  <si>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</si>
  <si>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</si>
  <si>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</si>
  <si>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</si>
  <si>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</si>
  <si>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</si>
  <si>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</si>
  <si>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</si>
  <si>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</si>
  <si>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</si>
  <si>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</si>
  <si>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</si>
  <si>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</si>
  <si>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</si>
  <si>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</si>
  <si>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</si>
  <si>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</si>
  <si>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</si>
  <si>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</si>
  <si>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</si>
  <si>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</si>
  <si>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</si>
  <si>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</si>
  <si>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</si>
  <si>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</si>
  <si>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</si>
  <si>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</si>
  <si>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</si>
  <si>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</si>
  <si>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</si>
  <si>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</si>
  <si>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</si>
  <si>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</si>
  <si>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</si>
  <si>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</si>
  <si>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</si>
  <si>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</si>
  <si>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</si>
  <si>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</si>
  <si>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</si>
  <si>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</si>
  <si>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</si>
  <si>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</si>
  <si>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</si>
  <si>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</si>
  <si>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</si>
  <si>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</si>
  <si>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</si>
  <si>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</si>
  <si>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</si>
  <si>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</si>
  <si>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</si>
  <si>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</si>
  <si>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</si>
  <si>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</si>
  <si>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</si>
  <si>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</si>
  <si>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</si>
  <si>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</si>
  <si>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</si>
  <si>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</si>
  <si>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</si>
  <si>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</si>
  <si>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</si>
  <si>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</si>
  <si>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</si>
  <si>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</si>
  <si>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</si>
  <si>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</si>
  <si>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</si>
  <si>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</si>
  <si>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</si>
  <si>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</si>
  <si>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</si>
  <si>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</si>
  <si>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</si>
  <si>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</si>
  <si>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</si>
  <si>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</si>
  <si>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</si>
  <si>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</si>
  <si>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</si>
  <si>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</si>
  <si>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</si>
  <si>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</si>
  <si>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</si>
  <si>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</si>
  <si>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</si>
  <si>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</si>
  <si>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</si>
  <si>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</si>
  <si>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</si>
  <si>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</si>
  <si>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</si>
  <si>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</si>
  <si>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</si>
  <si>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</si>
  <si>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</si>
  <si>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</si>
  <si>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</si>
  <si>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</si>
  <si>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</si>
  <si>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</si>
  <si>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</si>
  <si>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</si>
  <si>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</si>
  <si>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</si>
  <si>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</si>
  <si>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</si>
  <si>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</si>
  <si>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</si>
  <si>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</si>
  <si>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</si>
  <si>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</si>
  <si>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</si>
  <si>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</si>
  <si>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</si>
  <si>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</si>
  <si>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</si>
  <si>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</si>
  <si>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</si>
  <si>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</si>
  <si>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</si>
  <si>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</si>
  <si>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</si>
  <si>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</si>
  <si>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</si>
  <si>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</si>
  <si>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</si>
  <si>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</si>
  <si>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</si>
  <si>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</si>
  <si>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</si>
  <si>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</si>
  <si>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</si>
  <si>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</si>
  <si>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</si>
  <si>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</si>
  <si>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</si>
  <si>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</si>
  <si>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</si>
  <si>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</si>
  <si>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</si>
  <si>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</si>
  <si>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</si>
  <si>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</si>
  <si>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</si>
  <si>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</si>
  <si>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</si>
  <si>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</si>
  <si>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</si>
  <si>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</si>
  <si>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</si>
  <si>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</si>
  <si>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</si>
  <si>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</si>
  <si>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</si>
  <si>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</si>
  <si>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</si>
  <si>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</si>
  <si>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</si>
  <si>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</si>
  <si>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</si>
  <si>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</si>
  <si>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</si>
  <si>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</si>
  <si>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</si>
  <si>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</si>
  <si>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</si>
  <si>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</si>
  <si>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</si>
  <si>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</si>
  <si>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</si>
  <si>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</si>
  <si>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</si>
  <si>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</si>
  <si>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</si>
  <si>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</si>
  <si>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</si>
  <si>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</si>
  <si>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</si>
  <si>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</si>
  <si>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</si>
  <si>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</si>
  <si>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</si>
  <si>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</si>
  <si>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</si>
  <si>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</si>
  <si>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</si>
  <si>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</si>
  <si>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</si>
  <si>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</si>
  <si>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</si>
  <si>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</si>
  <si>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</si>
  <si>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</si>
  <si>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</si>
  <si>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</si>
  <si>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</si>
  <si>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</si>
  <si>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</si>
  <si>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</si>
  <si>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</si>
  <si>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</si>
  <si>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</si>
  <si>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</si>
  <si>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</si>
  <si>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</si>
  <si>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</si>
  <si>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</si>
  <si>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</si>
  <si>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</si>
  <si>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</si>
  <si>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</si>
  <si>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</si>
  <si>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</si>
  <si>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</si>
  <si>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</si>
  <si>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</si>
  <si>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</si>
  <si>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</si>
  <si>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</si>
  <si>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</si>
  <si>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</si>
  <si>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</si>
  <si>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</si>
  <si>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</si>
  <si>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</si>
  <si>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</si>
  <si>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</si>
  <si>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</si>
  <si>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</si>
  <si>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</si>
  <si>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</si>
  <si>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</si>
  <si>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</si>
  <si>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</si>
  <si>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</si>
  <si>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</si>
  <si>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</si>
  <si>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</si>
  <si>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</si>
  <si>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</si>
  <si>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</si>
  <si>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</si>
  <si>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</si>
  <si>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</si>
  <si>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</si>
  <si>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</si>
  <si>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</si>
  <si>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</si>
  <si>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</si>
  <si>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</si>
  <si>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</si>
  <si>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</si>
  <si>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</si>
  <si>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</si>
  <si>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</si>
  <si>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</si>
  <si>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</si>
  <si>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</si>
  <si>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</si>
  <si>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</si>
  <si>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</si>
  <si>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</si>
  <si>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</si>
  <si>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</si>
  <si>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</si>
  <si>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</si>
  <si>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</si>
  <si>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</si>
  <si>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</si>
  <si>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</si>
  <si>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</si>
  <si>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</si>
  <si>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204:136</t>
  </si>
  <si>
    <t>204:233297</t>
  </si>
  <si>
    <t>204:435</t>
  </si>
  <si>
    <t>204:471</t>
  </si>
  <si>
    <t>STARKS</t>
  </si>
  <si>
    <t>ANGELINA</t>
  </si>
  <si>
    <t>MOSES</t>
  </si>
  <si>
    <t>BRADLEY</t>
  </si>
  <si>
    <t>204:232973</t>
  </si>
  <si>
    <t>204:232971</t>
  </si>
  <si>
    <t>204:694</t>
  </si>
  <si>
    <t>rtdc.l.rtdc.4041:itc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</si>
  <si>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</si>
  <si>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</si>
  <si>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</si>
  <si>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</si>
  <si>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</si>
  <si>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</si>
  <si>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</si>
  <si>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</si>
  <si>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</si>
  <si>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</si>
  <si>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</si>
  <si>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</si>
  <si>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</si>
  <si>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</si>
  <si>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</si>
  <si>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</si>
  <si>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</si>
  <si>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</si>
  <si>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</si>
  <si>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</si>
  <si>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</si>
  <si>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</si>
  <si>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</si>
  <si>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</si>
  <si>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</si>
  <si>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</si>
  <si>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</si>
  <si>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</si>
  <si>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</si>
  <si>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</si>
  <si>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204:161</t>
  </si>
  <si>
    <t>rtdc.l.rtdc.4027:itc</t>
  </si>
  <si>
    <t>313-06</t>
  </si>
  <si>
    <t>BIRKHOLZ</t>
  </si>
  <si>
    <t>NADINE</t>
  </si>
  <si>
    <t>ELBAUM</t>
  </si>
  <si>
    <t>MIKE</t>
  </si>
  <si>
    <t>rtdc.l.rtdc.4031:itc</t>
  </si>
  <si>
    <t>300-07</t>
  </si>
  <si>
    <t>204:464</t>
  </si>
  <si>
    <t>rtdc.l.rtdc.4023:itc</t>
  </si>
  <si>
    <t>rtdc.l.rtdc.4032:itc</t>
  </si>
  <si>
    <t>204:158</t>
  </si>
  <si>
    <t>204:475</t>
  </si>
  <si>
    <t>KEVIN</t>
  </si>
  <si>
    <t>311-11</t>
  </si>
  <si>
    <t>313-11</t>
  </si>
  <si>
    <t>precipType</t>
  </si>
  <si>
    <t>rain</t>
  </si>
  <si>
    <t>204:442</t>
  </si>
  <si>
    <t>204:232994</t>
  </si>
  <si>
    <t>204:467</t>
  </si>
  <si>
    <t>204:233305</t>
  </si>
  <si>
    <t>204:692</t>
  </si>
  <si>
    <t>WILLIAM</t>
  </si>
  <si>
    <t>204:232965</t>
  </si>
  <si>
    <t>204:152</t>
  </si>
  <si>
    <t>204:232975</t>
  </si>
  <si>
    <t>204:129</t>
  </si>
  <si>
    <t>204:971</t>
  </si>
  <si>
    <t>rtdc.l.rtdc.4064:itc</t>
  </si>
  <si>
    <t>clear-night</t>
  </si>
  <si>
    <t>Clear</t>
  </si>
  <si>
    <t>clear-day</t>
  </si>
  <si>
    <t>204:233291</t>
  </si>
  <si>
    <t>204:233293</t>
  </si>
  <si>
    <t>204:460</t>
  </si>
  <si>
    <t>204:233011</t>
  </si>
  <si>
    <t>rtdc.l.rtdc.4054:itc</t>
  </si>
  <si>
    <t>MAELZER</t>
  </si>
  <si>
    <t>KURT</t>
  </si>
  <si>
    <t>BROWN</t>
  </si>
  <si>
    <t>JACOB</t>
  </si>
  <si>
    <t>BRUDER</t>
  </si>
  <si>
    <t>RICHARD</t>
  </si>
  <si>
    <t>204:449</t>
  </si>
  <si>
    <t>204:233325</t>
  </si>
  <si>
    <t>204:431</t>
  </si>
  <si>
    <t>204:437</t>
  </si>
  <si>
    <t>204:232983</t>
  </si>
  <si>
    <t>204:233288</t>
  </si>
  <si>
    <t>204:232977</t>
  </si>
  <si>
    <t>204:979</t>
  </si>
  <si>
    <t>204:232979</t>
  </si>
  <si>
    <t>204:134</t>
  </si>
  <si>
    <t>204:232967</t>
  </si>
  <si>
    <t>MILLER</t>
  </si>
  <si>
    <t>NICHOLSON</t>
  </si>
  <si>
    <t>WESLEY</t>
  </si>
  <si>
    <t>DE LA ROSA</t>
  </si>
  <si>
    <t>ALEX</t>
  </si>
  <si>
    <t>LANGERAK</t>
  </si>
  <si>
    <t>GONZALEZ</t>
  </si>
  <si>
    <t>ARMANDO</t>
  </si>
  <si>
    <t>PAGE</t>
  </si>
  <si>
    <t>MARCUS</t>
  </si>
  <si>
    <t>ANDERS</t>
  </si>
  <si>
    <t>STEVEN</t>
  </si>
  <si>
    <t>LEVIN</t>
  </si>
  <si>
    <t>SCOTT</t>
  </si>
  <si>
    <t>CASSIDY</t>
  </si>
  <si>
    <t>BRANDON</t>
  </si>
  <si>
    <t>Light Rain</t>
  </si>
  <si>
    <t>204:233321</t>
  </si>
  <si>
    <t>204:232980</t>
  </si>
  <si>
    <t>204:232968</t>
  </si>
  <si>
    <t>204:233330</t>
  </si>
  <si>
    <t>204:233017</t>
  </si>
  <si>
    <t>204:233299</t>
  </si>
  <si>
    <t>204:232985</t>
  </si>
  <si>
    <t>204:478</t>
  </si>
  <si>
    <t>204:233319</t>
  </si>
  <si>
    <t>204:232987</t>
  </si>
  <si>
    <t>204:233307</t>
  </si>
  <si>
    <t>204:233308</t>
  </si>
  <si>
    <t>204:233298</t>
  </si>
  <si>
    <t>300:58636</t>
  </si>
  <si>
    <t>204:1014</t>
  </si>
  <si>
    <t>300:58929</t>
  </si>
  <si>
    <t>300:58928</t>
  </si>
  <si>
    <t>Selected wrong track</t>
  </si>
  <si>
    <t>Wi-MAX data drop</t>
  </si>
  <si>
    <t>rtdc.l.rtdc.4063:itc</t>
  </si>
  <si>
    <t>SWITCH UNKNOWN</t>
  </si>
  <si>
    <t>Track device (7)</t>
  </si>
  <si>
    <t>LOZA</t>
  </si>
  <si>
    <t>FIDEL</t>
  </si>
  <si>
    <t>YANG</t>
  </si>
  <si>
    <t>JAN</t>
  </si>
  <si>
    <t>rtdc.l.rtdc.4024:itc</t>
  </si>
  <si>
    <t>ROMERO</t>
  </si>
  <si>
    <t>CHAD</t>
  </si>
  <si>
    <t>STEWART</t>
  </si>
  <si>
    <t>DUNCAN</t>
  </si>
  <si>
    <t>SHEILA</t>
  </si>
  <si>
    <t>309-18</t>
  </si>
  <si>
    <t>244-18</t>
  </si>
  <si>
    <t>311-18</t>
  </si>
  <si>
    <t>313-18</t>
  </si>
  <si>
    <t>300-19</t>
  </si>
  <si>
    <t>partly-cloudy-day</t>
  </si>
  <si>
    <t>Partly Cloudy</t>
  </si>
  <si>
    <t>partly-cloudy-night</t>
  </si>
  <si>
    <t>204:710</t>
  </si>
  <si>
    <t>204:132</t>
  </si>
  <si>
    <t>204:233283</t>
  </si>
  <si>
    <t>204:232964</t>
  </si>
  <si>
    <t>204:493</t>
  </si>
  <si>
    <t>204:233261</t>
  </si>
  <si>
    <t>204:232961</t>
  </si>
  <si>
    <t>204:232969</t>
  </si>
  <si>
    <t>204:440</t>
  </si>
  <si>
    <t>204:233015</t>
  </si>
  <si>
    <t>204:233272</t>
  </si>
  <si>
    <t>204:233280</t>
  </si>
  <si>
    <t>204:233353</t>
  </si>
  <si>
    <t>204:233336</t>
  </si>
  <si>
    <t>204:232998</t>
  </si>
  <si>
    <t>204:232955</t>
  </si>
  <si>
    <t>204:233351</t>
  </si>
  <si>
    <t>204:232959</t>
  </si>
  <si>
    <t>204:233295</t>
  </si>
  <si>
    <t>204:233300</t>
  </si>
  <si>
    <t>204:233314</t>
  </si>
  <si>
    <t>204:233317</t>
  </si>
  <si>
    <t>204:1145</t>
  </si>
  <si>
    <t>204:689</t>
  </si>
  <si>
    <t>300:58613</t>
  </si>
  <si>
    <t>204:978</t>
  </si>
  <si>
    <t>300:58950</t>
  </si>
  <si>
    <t>300:58965</t>
  </si>
  <si>
    <t>204:715</t>
  </si>
  <si>
    <t>204:981</t>
  </si>
  <si>
    <t>204:726</t>
  </si>
  <si>
    <t>204:731</t>
  </si>
  <si>
    <t>204:974</t>
  </si>
  <si>
    <t>204:1025</t>
  </si>
  <si>
    <t>119-19</t>
  </si>
  <si>
    <t>rtdc.l.rtdc.4053:itc</t>
  </si>
  <si>
    <t>120-19</t>
  </si>
  <si>
    <t>rtdc.l.rtdc.4029:itc</t>
  </si>
  <si>
    <t>122-19</t>
  </si>
  <si>
    <t>124-19</t>
  </si>
  <si>
    <t>51-19</t>
  </si>
  <si>
    <t>139-19</t>
  </si>
  <si>
    <t>rtdc.l.rtdc.4056:itc</t>
  </si>
  <si>
    <t>813-19</t>
  </si>
  <si>
    <t>rtdc.l.rtdc.4066:itc</t>
  </si>
  <si>
    <t>53-19</t>
  </si>
  <si>
    <t>52-19</t>
  </si>
  <si>
    <t>56-19</t>
  </si>
  <si>
    <t>rtdc.l.rtdc.4055:itc</t>
  </si>
  <si>
    <t>816-19</t>
  </si>
  <si>
    <t>817-19</t>
  </si>
  <si>
    <t>161-19</t>
  </si>
  <si>
    <t>rtdc.l.rtdc.4030:itc</t>
  </si>
  <si>
    <t>163-19</t>
  </si>
  <si>
    <t>169-19</t>
  </si>
  <si>
    <t>164-19</t>
  </si>
  <si>
    <t>181-19</t>
  </si>
  <si>
    <t>192-19</t>
  </si>
  <si>
    <t>198-19</t>
  </si>
  <si>
    <t>205-19</t>
  </si>
  <si>
    <t>209-19</t>
  </si>
  <si>
    <t>rtdc.l.rtdc.4060:itc</t>
  </si>
  <si>
    <t>835-19</t>
  </si>
  <si>
    <t>211-19</t>
  </si>
  <si>
    <t>rtdc.l.rtdc.4059:itc</t>
  </si>
  <si>
    <t>836-19</t>
  </si>
  <si>
    <t>217-19</t>
  </si>
  <si>
    <t>221-19</t>
  </si>
  <si>
    <t>844-19</t>
  </si>
  <si>
    <t>240-19</t>
  </si>
  <si>
    <t>rtdc.l.rtdc.4057:itc</t>
  </si>
  <si>
    <t>50-19</t>
  </si>
  <si>
    <t>CUSHING</t>
  </si>
  <si>
    <t>HARRY</t>
  </si>
  <si>
    <t>101-19</t>
  </si>
  <si>
    <t>302-19</t>
  </si>
  <si>
    <t>103-19</t>
  </si>
  <si>
    <t>304-19</t>
  </si>
  <si>
    <t>GEBRETEKLE</t>
  </si>
  <si>
    <t>DAGNEW</t>
  </si>
  <si>
    <t>102-19</t>
  </si>
  <si>
    <t>306-19</t>
  </si>
  <si>
    <t>105-19</t>
  </si>
  <si>
    <t>308-19</t>
  </si>
  <si>
    <t>WENDY</t>
  </si>
  <si>
    <t>107-19</t>
  </si>
  <si>
    <t>104-19</t>
  </si>
  <si>
    <t>109-19</t>
  </si>
  <si>
    <t>901-19</t>
  </si>
  <si>
    <t>MACDONALD</t>
  </si>
  <si>
    <t>310-19</t>
  </si>
  <si>
    <t>111-19</t>
  </si>
  <si>
    <t>800-19</t>
  </si>
  <si>
    <t>113-19</t>
  </si>
  <si>
    <t>106-19</t>
  </si>
  <si>
    <t>rtdc.l.rtdc.4003:itc</t>
  </si>
  <si>
    <t>312-19</t>
  </si>
  <si>
    <t>108-19</t>
  </si>
  <si>
    <t>115-19</t>
  </si>
  <si>
    <t>rtdc.l.rtdc.4065:itc</t>
  </si>
  <si>
    <t>801-19</t>
  </si>
  <si>
    <t>110-19</t>
  </si>
  <si>
    <t>rtdc.l.rtdc.4004:itc</t>
  </si>
  <si>
    <t>117-19</t>
  </si>
  <si>
    <t>112-19</t>
  </si>
  <si>
    <t>902-19</t>
  </si>
  <si>
    <t>802-19</t>
  </si>
  <si>
    <t>114-19</t>
  </si>
  <si>
    <t>803-19</t>
  </si>
  <si>
    <t>121-19</t>
  </si>
  <si>
    <t>116-19</t>
  </si>
  <si>
    <t>123-19</t>
  </si>
  <si>
    <t>805-19</t>
  </si>
  <si>
    <t>118-19</t>
  </si>
  <si>
    <t>804-19</t>
  </si>
  <si>
    <t>125-19</t>
  </si>
  <si>
    <t>127-19</t>
  </si>
  <si>
    <t>807-19</t>
  </si>
  <si>
    <t>806-19</t>
  </si>
  <si>
    <t>129-19</t>
  </si>
  <si>
    <t>126-19</t>
  </si>
  <si>
    <t>131-19</t>
  </si>
  <si>
    <t>808-19</t>
  </si>
  <si>
    <t>133-19</t>
  </si>
  <si>
    <t>809-19</t>
  </si>
  <si>
    <t>128-19</t>
  </si>
  <si>
    <t>811-19</t>
  </si>
  <si>
    <t>135-19</t>
  </si>
  <si>
    <t>130-19</t>
  </si>
  <si>
    <t>810-19</t>
  </si>
  <si>
    <t>137-19</t>
  </si>
  <si>
    <t>132-19</t>
  </si>
  <si>
    <t>903-19</t>
  </si>
  <si>
    <t>812-19</t>
  </si>
  <si>
    <t>134-19</t>
  </si>
  <si>
    <t>141-19</t>
  </si>
  <si>
    <t>136-19</t>
  </si>
  <si>
    <t>143-19</t>
  </si>
  <si>
    <t>138-19</t>
  </si>
  <si>
    <t>145-19</t>
  </si>
  <si>
    <t>140-19</t>
  </si>
  <si>
    <t>147-19</t>
  </si>
  <si>
    <t>142-19</t>
  </si>
  <si>
    <t>814-19</t>
  </si>
  <si>
    <t>149-19</t>
  </si>
  <si>
    <t>144-19</t>
  </si>
  <si>
    <t>YORK</t>
  </si>
  <si>
    <t>EDGAR</t>
  </si>
  <si>
    <t>151-19</t>
  </si>
  <si>
    <t>815-19</t>
  </si>
  <si>
    <t>146-19</t>
  </si>
  <si>
    <t>153-19</t>
  </si>
  <si>
    <t>148-19</t>
  </si>
  <si>
    <t>155-19</t>
  </si>
  <si>
    <t>150-19</t>
  </si>
  <si>
    <t>157-19</t>
  </si>
  <si>
    <t>58-19</t>
  </si>
  <si>
    <t>152-19</t>
  </si>
  <si>
    <t>159-19</t>
  </si>
  <si>
    <t>154-19</t>
  </si>
  <si>
    <t>156-19</t>
  </si>
  <si>
    <t>59-19</t>
  </si>
  <si>
    <t>158-19</t>
  </si>
  <si>
    <t>818-19</t>
  </si>
  <si>
    <t>165-19</t>
  </si>
  <si>
    <t>160-19</t>
  </si>
  <si>
    <t>167-19</t>
  </si>
  <si>
    <t>819-19</t>
  </si>
  <si>
    <t>162-19</t>
  </si>
  <si>
    <t>DELGADO</t>
  </si>
  <si>
    <t>DIANAH</t>
  </si>
  <si>
    <t>171-19</t>
  </si>
  <si>
    <t>820-19</t>
  </si>
  <si>
    <t>166-19</t>
  </si>
  <si>
    <t>173-19</t>
  </si>
  <si>
    <t>168-19</t>
  </si>
  <si>
    <t>170-19</t>
  </si>
  <si>
    <t>821-19</t>
  </si>
  <si>
    <t>177-19</t>
  </si>
  <si>
    <t>175-19</t>
  </si>
  <si>
    <t>172-19</t>
  </si>
  <si>
    <t>179-19</t>
  </si>
  <si>
    <t>174-19</t>
  </si>
  <si>
    <t>822-19</t>
  </si>
  <si>
    <t>178-19</t>
  </si>
  <si>
    <t>183-19</t>
  </si>
  <si>
    <t>176-19</t>
  </si>
  <si>
    <t>185-19</t>
  </si>
  <si>
    <t>823-19</t>
  </si>
  <si>
    <t>187-19</t>
  </si>
  <si>
    <t>180-19</t>
  </si>
  <si>
    <t>182-19</t>
  </si>
  <si>
    <t>824-19</t>
  </si>
  <si>
    <t>189-19</t>
  </si>
  <si>
    <t>184-19</t>
  </si>
  <si>
    <t>191-19</t>
  </si>
  <si>
    <t>193-19</t>
  </si>
  <si>
    <t>186-19</t>
  </si>
  <si>
    <t>825-19</t>
  </si>
  <si>
    <t>904-19</t>
  </si>
  <si>
    <t>188-19</t>
  </si>
  <si>
    <t>BADERTSCHER</t>
  </si>
  <si>
    <t>DIANE</t>
  </si>
  <si>
    <t>195-19</t>
  </si>
  <si>
    <t>190-19</t>
  </si>
  <si>
    <t>197-19</t>
  </si>
  <si>
    <t>826-19</t>
  </si>
  <si>
    <t>827-19</t>
  </si>
  <si>
    <t>199-19</t>
  </si>
  <si>
    <t>828-19</t>
  </si>
  <si>
    <t>201-19</t>
  </si>
  <si>
    <t>194-19</t>
  </si>
  <si>
    <t>829-19</t>
  </si>
  <si>
    <t>196-19</t>
  </si>
  <si>
    <t>203-19</t>
  </si>
  <si>
    <t>830-19</t>
  </si>
  <si>
    <t>831-19</t>
  </si>
  <si>
    <t>200-19</t>
  </si>
  <si>
    <t>207-19</t>
  </si>
  <si>
    <t>73-19</t>
  </si>
  <si>
    <t>202-19</t>
  </si>
  <si>
    <t>832-19</t>
  </si>
  <si>
    <t>71-19</t>
  </si>
  <si>
    <t>LOPES</t>
  </si>
  <si>
    <t>KIMBERLY</t>
  </si>
  <si>
    <t>833-19</t>
  </si>
  <si>
    <t>204-19</t>
  </si>
  <si>
    <t>206-19</t>
  </si>
  <si>
    <t>834-19</t>
  </si>
  <si>
    <t>213-19</t>
  </si>
  <si>
    <t>54-19</t>
  </si>
  <si>
    <t>HART</t>
  </si>
  <si>
    <t>208-19</t>
  </si>
  <si>
    <t>215-19</t>
  </si>
  <si>
    <t>60-19</t>
  </si>
  <si>
    <t>210-19</t>
  </si>
  <si>
    <t>837-19</t>
  </si>
  <si>
    <t>212-19</t>
  </si>
  <si>
    <t>219-19</t>
  </si>
  <si>
    <t>214-19</t>
  </si>
  <si>
    <t>301-19</t>
  </si>
  <si>
    <t>838-19</t>
  </si>
  <si>
    <t>839-19</t>
  </si>
  <si>
    <t>216-19</t>
  </si>
  <si>
    <t>218-19</t>
  </si>
  <si>
    <t>906-19</t>
  </si>
  <si>
    <t>303-19</t>
  </si>
  <si>
    <t>841-19</t>
  </si>
  <si>
    <t>220-19</t>
  </si>
  <si>
    <t>223-19</t>
  </si>
  <si>
    <t>840-19</t>
  </si>
  <si>
    <t>305-19</t>
  </si>
  <si>
    <t>222-19</t>
  </si>
  <si>
    <t>225-19</t>
  </si>
  <si>
    <t>224-19</t>
  </si>
  <si>
    <t>843-19</t>
  </si>
  <si>
    <t>227-19</t>
  </si>
  <si>
    <t>842-19</t>
  </si>
  <si>
    <t>226-19</t>
  </si>
  <si>
    <t>229-19</t>
  </si>
  <si>
    <t>845-19</t>
  </si>
  <si>
    <t>231-19</t>
  </si>
  <si>
    <t>228-19</t>
  </si>
  <si>
    <t>233-19</t>
  </si>
  <si>
    <t>230-19</t>
  </si>
  <si>
    <t>847-19</t>
  </si>
  <si>
    <t>232-19</t>
  </si>
  <si>
    <t>235-19</t>
  </si>
  <si>
    <t>908-19</t>
  </si>
  <si>
    <t>237-19</t>
  </si>
  <si>
    <t>234-19</t>
  </si>
  <si>
    <t>239-19</t>
  </si>
  <si>
    <t>236-19</t>
  </si>
  <si>
    <t>241-19</t>
  </si>
  <si>
    <t>238-19</t>
  </si>
  <si>
    <t>243-19</t>
  </si>
  <si>
    <t>307-19</t>
  </si>
  <si>
    <t>242-19</t>
  </si>
  <si>
    <t>244-19</t>
  </si>
  <si>
    <t>309-19</t>
  </si>
  <si>
    <t>311-19</t>
  </si>
  <si>
    <t>313-19</t>
  </si>
  <si>
    <t>Mostly Cloudy</t>
  </si>
  <si>
    <t>204:233323</t>
  </si>
  <si>
    <t>204:233008</t>
  </si>
  <si>
    <t>204:232962</t>
  </si>
  <si>
    <t>204:233264</t>
  </si>
  <si>
    <t>204:232989</t>
  </si>
  <si>
    <t>204:233282</t>
  </si>
  <si>
    <t>204:19130</t>
  </si>
  <si>
    <t>204:1468</t>
  </si>
  <si>
    <t>204:233266</t>
  </si>
  <si>
    <t>204:233306</t>
  </si>
  <si>
    <t>204:232974</t>
  </si>
  <si>
    <t>204:1148</t>
  </si>
  <si>
    <t>204:233140</t>
  </si>
  <si>
    <t>204:232817</t>
  </si>
  <si>
    <t>204:233310</t>
  </si>
  <si>
    <t>204:233284</t>
  </si>
  <si>
    <t>204:232953</t>
  </si>
  <si>
    <t>204:165</t>
  </si>
  <si>
    <t>204:233302</t>
  </si>
  <si>
    <t>204:127869</t>
  </si>
  <si>
    <t>204:127860</t>
  </si>
  <si>
    <t>204:426</t>
  </si>
  <si>
    <t>204:233398</t>
  </si>
  <si>
    <t>204:233060</t>
  </si>
  <si>
    <t>204:233442</t>
  </si>
  <si>
    <t>204:233125</t>
  </si>
  <si>
    <t>204:433</t>
  </si>
  <si>
    <t>204:233364</t>
  </si>
  <si>
    <t>204:233044</t>
  </si>
  <si>
    <t>204:232992</t>
  </si>
  <si>
    <t>204:19133</t>
  </si>
  <si>
    <t>204:233378</t>
  </si>
  <si>
    <t>204:233059</t>
  </si>
  <si>
    <t>204:232993</t>
  </si>
  <si>
    <t>204:420</t>
  </si>
  <si>
    <t>204:233397</t>
  </si>
  <si>
    <t>204:233071</t>
  </si>
  <si>
    <t>204:233349</t>
  </si>
  <si>
    <t>204:233087</t>
  </si>
  <si>
    <t>204:260</t>
  </si>
  <si>
    <t>204:233007</t>
  </si>
  <si>
    <t>204:233002</t>
  </si>
  <si>
    <t>204:233326</t>
  </si>
  <si>
    <t>204:233421</t>
  </si>
  <si>
    <t>204:233127</t>
  </si>
  <si>
    <t>204:568</t>
  </si>
  <si>
    <t>204:233101</t>
  </si>
  <si>
    <t>204:233328</t>
  </si>
  <si>
    <t>204:233276</t>
  </si>
  <si>
    <t>204:233061</t>
  </si>
  <si>
    <t>204:233441</t>
  </si>
  <si>
    <t>204:233090</t>
  </si>
  <si>
    <t>204:233404</t>
  </si>
  <si>
    <t>204:233268</t>
  </si>
  <si>
    <t>204:232976</t>
  </si>
  <si>
    <t>204:233255</t>
  </si>
  <si>
    <t>204:232938</t>
  </si>
  <si>
    <t>204:233337</t>
  </si>
  <si>
    <t>204:482</t>
  </si>
  <si>
    <t>204:119</t>
  </si>
  <si>
    <t>204:233078</t>
  </si>
  <si>
    <t>204:233309</t>
  </si>
  <si>
    <t>204:233345</t>
  </si>
  <si>
    <t>204:429</t>
  </si>
  <si>
    <t>204:233004</t>
  </si>
  <si>
    <t>204:233000</t>
  </si>
  <si>
    <t>204:151</t>
  </si>
  <si>
    <t>204:477</t>
  </si>
  <si>
    <t>300:23306</t>
  </si>
  <si>
    <t>300:25450</t>
  </si>
  <si>
    <t>300:23308</t>
  </si>
  <si>
    <t>300:25139</t>
  </si>
  <si>
    <t>300:22779</t>
  </si>
  <si>
    <t>204:450</t>
  </si>
  <si>
    <t>300:23295</t>
  </si>
  <si>
    <t>300:23339</t>
  </si>
  <si>
    <t>300:23527</t>
  </si>
  <si>
    <t>300:23316</t>
  </si>
  <si>
    <t>300:22280</t>
  </si>
  <si>
    <t>300:23282</t>
  </si>
  <si>
    <t>204:1152</t>
  </si>
  <si>
    <t>204:363</t>
  </si>
  <si>
    <t>300:112496</t>
  </si>
  <si>
    <t>300:112509</t>
  </si>
  <si>
    <t>300:30171</t>
  </si>
  <si>
    <t>300:112515</t>
  </si>
  <si>
    <t>300:112201</t>
  </si>
  <si>
    <t>300:112208</t>
  </si>
  <si>
    <t>300:112097</t>
  </si>
  <si>
    <t>300:112221</t>
  </si>
  <si>
    <t>300:28786</t>
  </si>
  <si>
    <t>204:3515</t>
  </si>
  <si>
    <t>204:1477</t>
  </si>
  <si>
    <t>204:1902</t>
  </si>
  <si>
    <t>300:23237</t>
  </si>
  <si>
    <t>204:2089</t>
  </si>
  <si>
    <t>300:112212</t>
  </si>
  <si>
    <t>204:142</t>
  </si>
  <si>
    <t>300:21735</t>
  </si>
  <si>
    <t>204:867</t>
  </si>
  <si>
    <t>204:1177</t>
  </si>
  <si>
    <t>300:24231</t>
  </si>
  <si>
    <t>204:1471</t>
  </si>
  <si>
    <t>300:58621</t>
  </si>
  <si>
    <t>204:757</t>
  </si>
  <si>
    <t>204:1051</t>
  </si>
  <si>
    <t>300:58903</t>
  </si>
  <si>
    <t>300:58587</t>
  </si>
  <si>
    <t>204:986</t>
  </si>
  <si>
    <t>300:58984</t>
  </si>
  <si>
    <t>300:58656</t>
  </si>
  <si>
    <t>204:750</t>
  </si>
  <si>
    <t>204:997</t>
  </si>
  <si>
    <t>300:58660</t>
  </si>
  <si>
    <t>204:727</t>
  </si>
  <si>
    <t>204:1037</t>
  </si>
  <si>
    <t>300:58916</t>
  </si>
  <si>
    <t>300:58606</t>
  </si>
  <si>
    <t>300:58976</t>
  </si>
  <si>
    <t>300:58649</t>
  </si>
  <si>
    <t>204:705</t>
  </si>
  <si>
    <t>300:58653</t>
  </si>
  <si>
    <t>300:58990</t>
  </si>
  <si>
    <t>300:58664</t>
  </si>
  <si>
    <t>300:58640</t>
  </si>
  <si>
    <t>204:1002</t>
  </si>
  <si>
    <t>300:58971</t>
  </si>
  <si>
    <t>204:713</t>
  </si>
  <si>
    <t>300:58956</t>
  </si>
  <si>
    <t>204:675</t>
  </si>
  <si>
    <t>204:972</t>
  </si>
  <si>
    <t>204:696</t>
  </si>
  <si>
    <t>300:58952</t>
  </si>
  <si>
    <t>300:59001</t>
  </si>
  <si>
    <t>300:58681</t>
  </si>
  <si>
    <t>204:668</t>
  </si>
  <si>
    <t>300:58948</t>
  </si>
  <si>
    <t>300:58647</t>
  </si>
  <si>
    <t>204:687</t>
  </si>
  <si>
    <t>204:969</t>
  </si>
  <si>
    <t>300:58632</t>
  </si>
  <si>
    <t>204:671</t>
  </si>
  <si>
    <t>204:967</t>
  </si>
  <si>
    <t>300:58960</t>
  </si>
  <si>
    <t>300:58641</t>
  </si>
  <si>
    <t>300:58106</t>
  </si>
  <si>
    <t>300:58707</t>
  </si>
  <si>
    <t>300:58961</t>
  </si>
  <si>
    <t>204:993</t>
  </si>
  <si>
    <t>300:58922</t>
  </si>
  <si>
    <t>300:58643</t>
  </si>
  <si>
    <t>204:691</t>
  </si>
  <si>
    <t>300:58963</t>
  </si>
  <si>
    <t>300:58670</t>
  </si>
  <si>
    <t>204:628</t>
  </si>
  <si>
    <t>204:883</t>
  </si>
  <si>
    <t>300:58911</t>
  </si>
  <si>
    <t>300:29744</t>
  </si>
  <si>
    <t>204:703</t>
  </si>
  <si>
    <t>204:1006</t>
  </si>
  <si>
    <t>300:24241</t>
  </si>
  <si>
    <t>300:23074</t>
  </si>
  <si>
    <t>204:680</t>
  </si>
  <si>
    <t>300:58596</t>
  </si>
  <si>
    <t>300:28757</t>
  </si>
  <si>
    <t>300:58602</t>
  </si>
  <si>
    <t>300:28778</t>
  </si>
  <si>
    <t>start /low /b %USERPROFILE%\Documents\GitHub\eaglep3\Utilities\DownloadLogsFromS3.py --loco 4042 --day 2017-07-19</t>
  </si>
  <si>
    <t>start /low /b %USERPROFILE%\Documents\GitHub\eaglep3\Utilities\DownloadLogsFromS3.py --loco 4054 --day 2017-07-19</t>
  </si>
  <si>
    <t>start /low /b %USERPROFILE%\Documents\GitHub\eaglep3\Utilities\DownloadLogsFromS3.py --loco 4053 --day 2017-07-19</t>
  </si>
  <si>
    <t>start /low /b %USERPROFILE%\Documents\GitHub\eaglep3\Utilities\DownloadLogsFromS3.py --loco 4029 --day 2017-07-19</t>
  </si>
  <si>
    <t>start /low /b %USERPROFILE%\Documents\GitHub\eaglep3\Utilities\DownloadLogsFromS3.py --loco 4030 --day 2017-07-19</t>
  </si>
  <si>
    <t>start /low /b %USERPROFILE%\Documents\GitHub\eaglep3\Utilities\DownloadLogsFromS3.py --loco 4041 --day 2017-07-19</t>
  </si>
  <si>
    <t>start /low /b %USERPROFILE%\Documents\GitHub\eaglep3\Utilities\DownloadLogsFromS3.py --loco 4028 --day 2017-07-20</t>
  </si>
  <si>
    <t>start /low /b %USERPROFILE%\Documents\GitHub\eaglep3\Utilities\DownloadLogsFromS3.py --loco 4045 --day 2017-07-19</t>
  </si>
  <si>
    <t>start /low /b %USERPROFILE%\Documents\GitHub\eaglep3\Utilities\DownloadLogsFromS3.py --loco 4031 --day 2017-07-20</t>
  </si>
  <si>
    <t>start /low /b %USERPROFILE%\Documents\GitHub\eaglep3\Utilities\DownloadLogsFromS3.py --loco 4028 --day 2017-07-19</t>
  </si>
  <si>
    <t>start /low /b %USERPROFILE%\Documents\GitHub\eaglep3\Utilities\DownloadLogsFromS3.py --loco 4042 --day 2017-07-20</t>
  </si>
  <si>
    <t>start /low /b %USERPROFILE%\Documents\GitHub\eaglep3\Utilities\DownloadLogsFromS3.py --loco 4054 --day 2017-07-20</t>
  </si>
  <si>
    <t>start /low /b %USERPROFILE%\Documents\GitHub\eaglep3\Utilities\DownloadLogsFromS3.py --loco 4056 --day 2017-07-19</t>
  </si>
  <si>
    <t>start /low /b %USERPROFILE%\Documents\GitHub\eaglep3\Utilities\DownloadLogsFromS3.py --loco 4055 --day 2017-07-19</t>
  </si>
  <si>
    <t>start /low /b %USERPROFILE%\Documents\GitHub\eaglep3\Utilities\DownloadLogsFromS3.py --loco 4059 --day 2017-07-20</t>
  </si>
  <si>
    <t>start /low /b %USERPROFILE%\Documents\GitHub\eaglep3\Utilities\DownloadLogsFromS3.py --loco 4055 --day 2017-07-20</t>
  </si>
  <si>
    <t>start /low /b %USERPROFILE%\Documents\GitHub\eaglep3\Utilities\DownloadLogsFromS3.py --loco 4060 --day 2017-07-20</t>
  </si>
  <si>
    <t>Onboard in-route failure</t>
  </si>
  <si>
    <t>Breaker cycle, had to depart ATC only and init at 38th</t>
  </si>
  <si>
    <t>Minor onboard in-route failure caused switch unknown banner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</si>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</sst>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opLeftCell="A217" workbookViewId="0">
      <selection activeCell="V231" sqref="V23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139</v>
      </c>
      <c r="K5" s="39"/>
      <c r="L5" s="39"/>
      <c r="M5" s="40">
        <f>AVERAGEIFS($N$13:$N$9314,$AG$13:$AG$9314,I1)</f>
        <v>37.821103117467246</v>
      </c>
      <c r="N5" s="38">
        <f t="array" ref="N5">MIN(IF($AG$13:$AG$9314=I1,IF(ISNUMBER($N$13:$N$9314),IF($N$13:$N$9314&gt;0,$N$13:$N$9314))))</f>
        <v>34.566666668979451</v>
      </c>
      <c r="O5" s="3">
        <f t="array" ref="O5">MAX(IF($AG$13:$AG$9314=I1,IF(ISNUMBER($N$13:$N$9314),IF($N$13:$N$9314&gt;0,$N$13:$N$9314))))</f>
        <v>45.366666658082977</v>
      </c>
      <c r="P5" s="2"/>
      <c r="R5" s="166" t="s">
        <v>17</v>
      </c>
      <c r="S5" s="186">
        <f>COUNTIFS($N$13:$N$9314,"&gt;0",$AG$13:$AG$9314,R1)</f>
        <v>47</v>
      </c>
      <c r="T5" s="187"/>
      <c r="U5" s="187"/>
      <c r="V5" s="183">
        <f>AVERAGEIFS($N$13:$N$9314,$AG$13:$AG$9314,R1)</f>
        <v>14.869503545540168</v>
      </c>
      <c r="W5" s="184">
        <f t="array" ref="W5">MIN(IF($AG$13:$AG$9314=R1,IF(ISNUMBER($N$13:$N$9314),IF($N$13:$N$9314&gt;0,$N$13:$N$9314))))</f>
        <v>12.849999996833503</v>
      </c>
      <c r="X5" s="185">
        <f t="array" ref="X5">MAX(IF($AG$13:$AG$9314=R1,IF(ISNUMBER($N$13:$N$9314),IF($N$13:$N$9314&gt;0,$N$13:$N$9314))))</f>
        <v>19.016666659153998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67" t="s">
        <v>43</v>
      </c>
      <c r="S6" s="186">
        <f>COUNT($O$13:$O$119)</f>
        <v>0</v>
      </c>
      <c r="T6" s="187"/>
      <c r="U6" s="187"/>
      <c r="V6" s="183">
        <f>IFERROR(AVERAGE($O$13:$O$119),0)</f>
        <v>0</v>
      </c>
      <c r="W6" s="184">
        <f>MIN($O$13:$O$119)</f>
        <v>0</v>
      </c>
      <c r="X6" s="185">
        <f>MAX($O$13:$O$119)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COUNTIFS($P$13:$P$9314,"&gt;0",$AG$13:$AG$9314,R1)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37.821103117467246</v>
      </c>
      <c r="N8" s="38">
        <f>N5</f>
        <v>34.566666668979451</v>
      </c>
      <c r="O8" s="3">
        <f>O5</f>
        <v>45.366666658082977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14.869503545540168</v>
      </c>
      <c r="W8" s="184">
        <f>W5</f>
        <v>12.849999996833503</v>
      </c>
      <c r="X8" s="185">
        <f>X5</f>
        <v>19.016666659153998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0.98765432098765427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648</v>
      </c>
      <c r="B13" s="7">
        <v>4028</v>
      </c>
      <c r="C13" s="21" t="s">
        <v>199</v>
      </c>
      <c r="D13" s="21" t="s">
        <v>347</v>
      </c>
      <c r="E13" s="13">
        <v>42935.135810185187</v>
      </c>
      <c r="F13" s="13">
        <v>42935.137418981481</v>
      </c>
      <c r="G13" s="7">
        <v>1</v>
      </c>
      <c r="H13" s="21" t="s">
        <v>415</v>
      </c>
      <c r="I13" s="13">
        <v>42935.162673611114</v>
      </c>
      <c r="J13" s="7">
        <v>0</v>
      </c>
      <c r="K13" s="89" t="str">
        <f>IF(ISEVEN(B13),(B13-1)&amp;"/"&amp;B13,B13&amp;"/"&amp;(B13+1))</f>
        <v>4027/4028</v>
      </c>
      <c r="L13" s="21" t="str">
        <f>VLOOKUP(A13,'Trips&amp;Operators'!$C$1:$G$99999,5,FALSE)</f>
        <v>ELBAUM MIKE</v>
      </c>
      <c r="M13" s="6">
        <f>I13-F13</f>
        <v>2.5254629632399883E-2</v>
      </c>
      <c r="N13" s="7">
        <f>24*60*SUM($M13:$M13)</f>
        <v>36.366666670655832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-19T02:15:34-0600',mode:absolute,to:'2017-07-19T04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4.5100000000000001E-2</v>
      </c>
      <c r="Z13" s="197">
        <f>RIGHT(H13,LEN(H13)-4)/10000</f>
        <v>23.331199999999999</v>
      </c>
      <c r="AA13" s="197">
        <f>ABS(Z13-Y13)</f>
        <v>23.286099999999998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/stypes="app*4028*20170719*"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4028 --swversion DE.1.0.9.0 --startMP 204:451 --initTime 2017-07-19T03:15:34 --startdatetime 2017-07-19T03:17:53 --delay 1 --endMP 204:233312 --enddatetime 2017-07-19T03:54:15 --enforcementcount 0 &gt;&gt;C:\Users\stu\Documents\GitHub\eaglep3-reporting\EC\2017-07-19-refined-times.txt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{"issue":{"subject":"","project_id":79,"tracker_id":40,"status_id":1,"priority_id":2,"assigned_to_id":23,"start_date":"2017-07-19","description":"","custom_fields":[{"id":1,"name":"Subdivision","value":"EC"},{"id":4,"name":"Milepost","value":"23.3312"},{"id":17,"name":"Train ID","value":"101-19"},{"id":16,"name":"Locomotive ID","value":"4028"},{"id":130,"name":"Impact","value":""},{"id":150,"name":"Time of Event (Mountain Time)","value":"03:54:15"},{"id":151,"name":"Denver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4028 --day 2017-07-19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09:54:15"},{"id":29,"name":"Sharepoint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654</v>
      </c>
      <c r="B14" s="7">
        <v>4027</v>
      </c>
      <c r="C14" s="21" t="s">
        <v>199</v>
      </c>
      <c r="D14" s="21" t="s">
        <v>488</v>
      </c>
      <c r="E14" s="13">
        <v>42935.164814814816</v>
      </c>
      <c r="F14" s="13">
        <v>42935.175254629627</v>
      </c>
      <c r="G14" s="7">
        <v>1</v>
      </c>
      <c r="H14" s="21" t="s">
        <v>344</v>
      </c>
      <c r="I14" s="13">
        <v>42935.202928240738</v>
      </c>
      <c r="J14" s="7">
        <v>0</v>
      </c>
      <c r="K14" s="89" t="str">
        <f>IF(ISEVEN(B14),(B14-1)&amp;"/"&amp;B14,B14&amp;"/"&amp;(B14+1))</f>
        <v>4027/4028</v>
      </c>
      <c r="L14" s="21" t="str">
        <f>VLOOKUP(A14,'Trips&amp;Operators'!$C$1:$G$99999,5,FALSE)</f>
        <v>ELBAUM MIKE</v>
      </c>
      <c r="M14" s="6">
        <f>I14-F14</f>
        <v>2.7673611111822538E-2</v>
      </c>
      <c r="N14" s="7">
        <f>24*60*SUM($M14:$M14)</f>
        <v>39.850000001024455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-19T02:57:20-0600',mode:absolute,to:'2017-07-19T05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23.297499999999999</v>
      </c>
      <c r="Z14" s="197">
        <f>RIGHT(H14,LEN(H14)-4)/10000</f>
        <v>1.49E-2</v>
      </c>
      <c r="AA14" s="197">
        <f>ABS(Z14-Y14)</f>
        <v>23.282599999999999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/stypes="app*4027*20170719*"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8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4027 --swversion DE.1.0.9.0 --startMP 204:232975 --initTime 2017-07-19T03:57:20 --startdatetime 2017-07-19T04:12:22 --delay 1 --endMP 204:149 --enddatetime 2017-07-19T04:52:13 --enforcementcount 0 &gt;&gt;C:\Users\stu\Documents\GitHub\eaglep3-reporting\EC\2017-07-19-refined-times.txt</v>
      </c>
      <c r="AI14" s="96" t="str">
        <f t="shared" ref="AI14:AI78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ID","value":"102-19"},{"id":16,"name":"Locomotive ID","value":"4027"},{"id":130,"name":"Impact","value":""},{"id":150,"name":"Time of Event (Mountain Time)","value":"04:52:13"},{"id":151,"name":"Denver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6">"start /low /b "&amp;dls3logs&amp;" --loco "&amp;B14&amp;" --day "&amp;TEXT(F14,"YYYY-MM-DD")</f>
        <v>start /low /b %USERPROFILE%\Documents\GitHub\eaglep3\Utilities\DownloadLogsFromS3.py --loco 4027 --day 2017-07-19</v>
      </c>
      <c r="AN14" s="151" t="str">
        <f t="shared" ref="AN14:AN78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10:52:13"},{"id":29,"name":"Sharepoint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4032</v>
      </c>
      <c r="C15" s="21" t="s">
        <v>199</v>
      </c>
      <c r="D15" s="21" t="s">
        <v>347</v>
      </c>
      <c r="E15" s="13">
        <v>42935.152870370373</v>
      </c>
      <c r="F15" s="13">
        <v>42935.156770833331</v>
      </c>
      <c r="G15" s="7">
        <v>1</v>
      </c>
      <c r="H15" s="21" t="s">
        <v>857</v>
      </c>
      <c r="I15" s="13">
        <v>42935.181516203702</v>
      </c>
      <c r="J15" s="7">
        <v>0</v>
      </c>
      <c r="K15" s="89" t="str">
        <f>IF(ISEVEN(B15),(B15-1)&amp;"/"&amp;B15,B15&amp;"/"&amp;(B15+1))</f>
        <v>4031/4032</v>
      </c>
      <c r="L15" s="21" t="str">
        <f>VLOOKUP(A15,'Trips&amp;Operators'!$C$1:$G$99999,5,FALSE)</f>
        <v>MAELZER KURT</v>
      </c>
      <c r="M15" s="6">
        <f>I15-F15</f>
        <v>2.47453703705105E-2</v>
      </c>
      <c r="N15" s="7">
        <f>24*60*SUM($M15:$M15)</f>
        <v>35.63333333353512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-19T02:40:08-0600',mode:absolute,to:'2017-07-19T05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4.5100000000000001E-2</v>
      </c>
      <c r="Z15" s="197">
        <f>RIGHT(H15,LEN(H15)-4)/10000</f>
        <v>23.3323</v>
      </c>
      <c r="AA15" s="197">
        <f>ABS(Z15-Y15)</f>
        <v>23.287199999999999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/stypes="app*4032*20170719*"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103-19 --locoid 4032 --swversion DE.1.0.9.0 --startMP 204:451 --initTime 2017-07-19T03:40:08 --startdatetime 2017-07-19T03:45:45 --delay 1 --endMP 204:233323 --enddatetime 2017-07-19T04:21:23 --enforcementcount 0 &gt;&gt;C:\Users\stu\Documents\GitHub\eaglep3-reporting\EC\2017-07-19-refined-times.txt</v>
      </c>
      <c r="AI15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{"issue":{"subject":"","project_id":79,"tracker_id":40,"status_id":1,"priority_id":2,"assigned_to_id":23,"start_date":"2017-07-19","description":"","custom_fields":[{"id":1,"name":"Subdivision","value":"EC"},{"id":4,"name":"Milepost","value":"23.3323"},{"id":17,"name":"Train ID","value":"103-19"},{"id":16,"name":"Locomotive ID","value":"4032"},{"id":130,"name":"Impact","value":""},{"id":150,"name":"Time of Event (Mountain Time)","value":"04:21:23"},{"id":151,"name":"Denver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4032 --day 2017-07-19</v>
      </c>
      <c r="AN15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10:21:23"},{"id":29,"name":"Sharepoint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660</v>
      </c>
      <c r="B16" s="7">
        <v>4031</v>
      </c>
      <c r="C16" s="21" t="s">
        <v>199</v>
      </c>
      <c r="D16" s="21" t="s">
        <v>858</v>
      </c>
      <c r="E16" s="13">
        <v>42935.19127314815</v>
      </c>
      <c r="F16" s="13">
        <v>42935.19599537037</v>
      </c>
      <c r="G16" s="7">
        <v>0</v>
      </c>
      <c r="H16" s="21" t="s">
        <v>399</v>
      </c>
      <c r="I16" s="13">
        <v>42935.22314814815</v>
      </c>
      <c r="J16" s="7">
        <v>0</v>
      </c>
      <c r="K16" s="89" t="str">
        <f>IF(ISEVEN(B16),(B16-1)&amp;"/"&amp;B16,B16&amp;"/"&amp;(B16+1))</f>
        <v>4031/4032</v>
      </c>
      <c r="L16" s="21" t="str">
        <f>VLOOKUP(A16,'Trips&amp;Operators'!$C$1:$G$99999,5,FALSE)</f>
        <v>MAELZER KURT</v>
      </c>
      <c r="M16" s="6">
        <f>I16-F16</f>
        <v>2.715277778042946E-2</v>
      </c>
      <c r="N16" s="7">
        <f>24*60*SUM($M16:$M16)</f>
        <v>39.100000003818423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-19T03:35:26-0600',mode:absolute,to:'2017-07-19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23.300799999999999</v>
      </c>
      <c r="Z16" s="197">
        <f>RIGHT(H16,LEN(H16)-4)/10000</f>
        <v>1.38E-2</v>
      </c>
      <c r="AA16" s="197">
        <f>ABS(Z16-Y16)</f>
        <v>23.286999999999999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/stypes="app*4031*20170719*"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104-19 --locoid 4031 --swversion DE.1.0.9.0 --startMP 204:233008 --initTime 2017-07-19T04:35:26 --startdatetime 2017-07-19T04:42:14 --delay 0 --endMP 204:138 --enddatetime 2017-07-19T05:21:20 --enforcementcount 0 &gt;&gt;C:\Users\stu\Documents\GitHub\eaglep3-reporting\EC\2017-07-19-refined-times.txt</v>
      </c>
      <c r="AI1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{"issue":{"subject":"","project_id":79,"tracker_id":40,"status_id":1,"priority_id":2,"assigned_to_id":23,"start_date":"2017-07-19","description":"","custom_fields":[{"id":1,"name":"Subdivision","value":"EC"},{"id":4,"name":"Milepost","value":"0.0138"},{"id":17,"name":"Train ID","value":"104-19"},{"id":16,"name":"Locomotive ID","value":"4031"},{"id":130,"name":"Impact","value":""},{"id":150,"name":"Time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4031 --day 2017-07-19</v>
      </c>
      <c r="AN1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656</v>
      </c>
      <c r="B17" s="7">
        <v>4054</v>
      </c>
      <c r="C17" s="21" t="s">
        <v>199</v>
      </c>
      <c r="D17" s="21" t="s">
        <v>470</v>
      </c>
      <c r="E17" s="13">
        <v>42935.171307870369</v>
      </c>
      <c r="F17" s="13">
        <v>42935.177604166667</v>
      </c>
      <c r="G17" s="7">
        <v>1</v>
      </c>
      <c r="H17" s="21" t="s">
        <v>415</v>
      </c>
      <c r="I17" s="13">
        <v>42935.2030787037</v>
      </c>
      <c r="J17" s="7">
        <v>0</v>
      </c>
      <c r="K17" s="89" t="str">
        <f>IF(ISEVEN(B17),(B17-1)&amp;"/"&amp;B17,B17&amp;"/"&amp;(B17+1))</f>
        <v>4053/4054</v>
      </c>
      <c r="L17" s="21" t="str">
        <f>VLOOKUP(A17,'Trips&amp;Operators'!$C$1:$G$99999,5,FALSE)</f>
        <v>STARKS ANGELINA</v>
      </c>
      <c r="M17" s="6">
        <f>I17-F17</f>
        <v>2.5474537033005618E-2</v>
      </c>
      <c r="N17" s="7">
        <f>24*60*SUM($M17:$M17)</f>
        <v>36.683333327528089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-19T03:06:41-0600',mode:absolute,to:'2017-07-19T05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4.6399999999999997E-2</v>
      </c>
      <c r="Z17" s="197">
        <f>RIGHT(H17,LEN(H17)-4)/10000</f>
        <v>23.331199999999999</v>
      </c>
      <c r="AA17" s="197">
        <f>ABS(Z17-Y17)</f>
        <v>23.284800000000001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/stypes="app*4054*20170719*"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105-19 --locoid 4054 --swversion DE.1.0.9.0 --startMP 204:464 --initTime 2017-07-19T04:06:41 --startdatetime 2017-07-19T04:15:45 --delay 1 --endMP 204:233312 --enddatetime 2017-07-19T04:52:26 --enforcementcount 0 &gt;&gt;C:\Users\stu\Documents\GitHub\eaglep3-reporting\EC\2017-07-19-refined-times.txt</v>
      </c>
      <c r="AI1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{"issue":{"subject":"","project_id":79,"tracker_id":40,"status_id":1,"priority_id":2,"assigned_to_id":23,"start_date":"2017-07-19","description":"","custom_fields":[{"id":1,"name":"Subdivision","value":"EC"},{"id":4,"name":"Milepost","value":"23.3312"},{"id":17,"name":"Train ID","value":"105-19"},{"id":16,"name":"Locomotive ID","value":"4054"},{"id":130,"name":"Impact","value":""},{"id":150,"name":"Time of Event (Mountain Time)","value":"04:52:26"},{"id":151,"name":"Denver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4054 --day 2017-07-19</v>
      </c>
      <c r="AN1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668</v>
      </c>
      <c r="B18" s="7">
        <v>4053</v>
      </c>
      <c r="C18" s="21" t="s">
        <v>199</v>
      </c>
      <c r="D18" s="21" t="s">
        <v>535</v>
      </c>
      <c r="E18" s="13">
        <v>42935.21466435185</v>
      </c>
      <c r="F18" s="13">
        <v>42935.216921296298</v>
      </c>
      <c r="G18" s="7">
        <v>1</v>
      </c>
      <c r="H18" s="21" t="s">
        <v>487</v>
      </c>
      <c r="I18" s="13">
        <v>42935.244675925926</v>
      </c>
      <c r="J18" s="7">
        <v>0</v>
      </c>
      <c r="K18" s="89" t="str">
        <f>IF(ISEVEN(B18),(B18-1)&amp;"/"&amp;B18,B18&amp;"/"&amp;(B18+1))</f>
        <v>4053/4054</v>
      </c>
      <c r="L18" s="21" t="str">
        <f>VLOOKUP(A18,'Trips&amp;Operators'!$C$1:$G$99999,5,FALSE)</f>
        <v>GEBRETEKLE DAGNEW</v>
      </c>
      <c r="M18" s="6">
        <f>I18-F18</f>
        <v>2.7754629627452232E-2</v>
      </c>
      <c r="N18" s="7">
        <f>24*60*SUM($M18:$M18)</f>
        <v>39.966666663531214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-19T04:09:07-0600',mode:absolute,to:'2017-07-19T06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23.297999999999998</v>
      </c>
      <c r="Z18" s="197">
        <f>RIGHT(H18,LEN(H18)-4)/10000</f>
        <v>1.52E-2</v>
      </c>
      <c r="AA18" s="197">
        <f>ABS(Z18-Y18)</f>
        <v>23.282799999999998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/stypes="app*4053*20170719*"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106-19 --locoid 4053 --swversion DE.1.0.9.0 --startMP 204:232980 --initTime 2017-07-19T05:09:07 --startdatetime 2017-07-19T05:12:22 --delay 1 --endMP 204:152 --enddatetime 2017-07-19T05:52:20 --enforcementcount 0 &gt;&gt;C:\Users\stu\Documents\GitHub\eaglep3-reporting\EC\2017-07-19-refined-times.txt</v>
      </c>
      <c r="AI1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{"issue":{"subject":"","project_id":79,"tracker_id":40,"status_id":1,"priority_id":2,"assigned_to_id":23,"start_date":"2017-07-19","description":"","custom_fields":[{"id":1,"name":"Subdivision","value":"EC"},{"id":4,"name":"Milepost","value":"0.0152"},{"id":17,"name":"Train ID","value":"106-19"},{"id":16,"name":"Locomotive ID","value":"4053"},{"id":130,"name":"Impact","value":""},{"id":150,"name":"Time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4053 --day 2017-07-19</v>
      </c>
      <c r="AN1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659</v>
      </c>
      <c r="B19" s="7">
        <v>4030</v>
      </c>
      <c r="C19" s="21" t="s">
        <v>199</v>
      </c>
      <c r="D19" s="21" t="s">
        <v>497</v>
      </c>
      <c r="E19" s="13">
        <v>42935.182708333334</v>
      </c>
      <c r="F19" s="13">
        <v>42935.18855324074</v>
      </c>
      <c r="G19" s="7">
        <v>1</v>
      </c>
      <c r="H19" s="21" t="s">
        <v>546</v>
      </c>
      <c r="I19" s="13">
        <v>42935.214155092595</v>
      </c>
      <c r="J19" s="7">
        <v>0</v>
      </c>
      <c r="K19" s="89" t="str">
        <f>IF(ISEVEN(B19),(B19-1)&amp;"/"&amp;B19,B19&amp;"/"&amp;(B19+1))</f>
        <v>4029/4030</v>
      </c>
      <c r="L19" s="21" t="str">
        <f>VLOOKUP(A19,'Trips&amp;Operators'!$C$1:$G$99999,5,FALSE)</f>
        <v>LANGERAK WILLIAM</v>
      </c>
      <c r="M19" s="6">
        <f>I19-F19</f>
        <v>2.5601851855753921E-2</v>
      </c>
      <c r="N19" s="7">
        <f>24*60*SUM($M19:$M19)</f>
        <v>36.866666672285646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-19T03:23:06-0600',mode:absolute,to:'2017-07-19T06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4.5999999999999999E-2</v>
      </c>
      <c r="Z19" s="197">
        <f>RIGHT(H19,LEN(H19)-4)/10000</f>
        <v>23.329799999999999</v>
      </c>
      <c r="AA19" s="197">
        <f>ABS(Z19-Y19)</f>
        <v>23.283799999999999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/stypes="app*4030*20170719*"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107-19 --locoid 4030 --swversion DE.1.0.9.0 --startMP 204:460 --initTime 2017-07-19T04:23:06 --startdatetime 2017-07-19T04:31:31 --delay 1 --endMP 204:233298 --enddatetime 2017-07-19T05:08:23 --enforcementcount 0 &gt;&gt;C:\Users\stu\Documents\GitHub\eaglep3-reporting\EC\2017-07-19-refined-times.txt</v>
      </c>
      <c r="AI19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{"issue":{"subject":"","project_id":79,"tracker_id":40,"status_id":1,"priority_id":2,"assigned_to_id":23,"start_date":"2017-07-19","description":"","custom_fields":[{"id":1,"name":"Subdivision","value":"EC"},{"id":4,"name":"Milepost","value":"23.3298"},{"id":17,"name":"Train ID","value":"107-19"},{"id":16,"name":"Locomotive ID","value":"4030"},{"id":130,"name":"Impact","value":""},{"id":150,"name":"Time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4030 --day 2017-07-19</v>
      </c>
      <c r="AN19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671</v>
      </c>
      <c r="B20" s="7">
        <v>4029</v>
      </c>
      <c r="C20" s="21" t="s">
        <v>199</v>
      </c>
      <c r="D20" s="21" t="s">
        <v>859</v>
      </c>
      <c r="E20" s="13">
        <v>42935.222592592596</v>
      </c>
      <c r="F20" s="13">
        <v>42935.227314814816</v>
      </c>
      <c r="G20" s="7">
        <v>1</v>
      </c>
      <c r="H20" s="21" t="s">
        <v>345</v>
      </c>
      <c r="I20" s="13">
        <v>42935.254999999997</v>
      </c>
      <c r="J20" s="7">
        <v>0</v>
      </c>
      <c r="K20" s="89" t="str">
        <f>IF(ISEVEN(B20),(B20-1)&amp;"/"&amp;B20,B20&amp;"/"&amp;(B20+1))</f>
        <v>4029/4030</v>
      </c>
      <c r="L20" s="21" t="str">
        <f>VLOOKUP(A20,'Trips&amp;Operators'!$C$1:$G$99999,5,FALSE)</f>
        <v>LANGERAK WILLIAM</v>
      </c>
      <c r="M20" s="6">
        <f>I20-F20</f>
        <v>2.7685185181326233E-2</v>
      </c>
      <c r="N20" s="7">
        <f>24*60*SUM($M20:$M20)</f>
        <v>39.866666661109775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-19T04:20:32-0600',mode:absolute,to:'2017-07-19T07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23.296199999999999</v>
      </c>
      <c r="Z20" s="197">
        <f>RIGHT(H20,LEN(H20)-4)/10000</f>
        <v>1.43E-2</v>
      </c>
      <c r="AA20" s="197">
        <f>ABS(Z20-Y20)</f>
        <v>23.2819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/stypes="app*4029*20170719*"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108-19 --locoid 4029 --swversion DE.1.0.9.0 --startMP 204:232962 --initTime 2017-07-19T05:20:32 --startdatetime 2017-07-19T05:27:20 --delay 1 --endMP 204:143 --enddatetime 2017-07-19T06:07:12 --enforcementcount 0 &gt;&gt;C:\Users\stu\Documents\GitHub\eaglep3-reporting\EC\2017-07-19-refined-times.txt</v>
      </c>
      <c r="AI20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ID","value":"108-19"},{"id":16,"name":"Locomotive ID","value":"4029"},{"id":130,"name":"Impact","value":""},{"id":150,"name":"Time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4029 --day 2017-07-19</v>
      </c>
      <c r="AN20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661</v>
      </c>
      <c r="B21" s="7">
        <v>4046</v>
      </c>
      <c r="C21" s="21" t="s">
        <v>199</v>
      </c>
      <c r="D21" s="21" t="s">
        <v>413</v>
      </c>
      <c r="E21" s="13">
        <v>42935.193819444445</v>
      </c>
      <c r="F21" s="13">
        <v>42935.198437500003</v>
      </c>
      <c r="G21" s="7">
        <v>1</v>
      </c>
      <c r="H21" s="21" t="s">
        <v>537</v>
      </c>
      <c r="I21" s="13">
        <v>42935.223495370374</v>
      </c>
      <c r="J21" s="7">
        <v>0</v>
      </c>
      <c r="K21" s="89" t="str">
        <f>IF(ISEVEN(B21),(B21-1)&amp;"/"&amp;B21,B21&amp;"/"&amp;(B21+1))</f>
        <v>4045/4046</v>
      </c>
      <c r="L21" s="21" t="str">
        <f>VLOOKUP(A21,'Trips&amp;Operators'!$C$1:$G$99999,5,FALSE)</f>
        <v>DAVIS WENDY</v>
      </c>
      <c r="M21" s="6">
        <f>I21-F21</f>
        <v>2.5057870370801538E-2</v>
      </c>
      <c r="N21" s="7">
        <f>24*60*SUM($M21:$M21)</f>
        <v>36.083333333954215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-19T03:39:06-0600',mode:absolute,to:'2017-07-19T06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4.58E-2</v>
      </c>
      <c r="Z21" s="197">
        <f>RIGHT(H21,LEN(H21)-4)/10000</f>
        <v>23.332999999999998</v>
      </c>
      <c r="AA21" s="197">
        <f>ABS(Z21-Y21)</f>
        <v>23.287199999999999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"%USERPROFILE%\AppData\Local\Temp\OnboardLogs"\RTDC4046\2017-07-19 --exclude "*" --recursive --include "*20170719*" &amp; "%USERPROFILE%\Documents\GitHub\mrs-test-scripts\Headless Mode &amp; Sideloading\WalkAndUnGZ.bat" "%USERPROFILE%\AppData\Local\Temp\OnboardLogs"\RTDC4046\2017-07-19 &amp; 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/stypes="app*4046*20170719*"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109-19 --locoid 4046 --swversion DE.1.0.9.0 --startMP 204:458 --initTime 2017-07-19T04:39:06 --startdatetime 2017-07-19T04:45:45 --delay 1 --endMP 204:233330 --enddatetime 2017-07-19T05:21:50 --enforcementcount 0 &gt;&gt;C:\Users\stu\Documents\GitHub\eaglep3-reporting\EC\2017-07-19-refined-times.txt</v>
      </c>
      <c r="AI21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{"issue":{"subject":"","project_id":79,"tracker_id":40,"status_id":1,"priority_id":2,"assigned_to_id":23,"start_date":"2017-07-19","description":"","custom_fields":[{"id":1,"name":"Subdivision","value":"EC"},{"id":4,"name":"Milepost","value":"23.333"},{"id":17,"name":"Train ID","value":"109-19"},{"id":16,"name":"Locomotive ID","value":"4046"},{"id":130,"name":"Impact","value":""},{"id":150,"name":"Time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4046 --day 2017-07-19</v>
      </c>
      <c r="AN21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675</v>
      </c>
      <c r="B22" s="7">
        <v>4045</v>
      </c>
      <c r="C22" s="21" t="s">
        <v>199</v>
      </c>
      <c r="D22" s="21" t="s">
        <v>481</v>
      </c>
      <c r="E22" s="13">
        <v>42935.235127314816</v>
      </c>
      <c r="F22" s="13">
        <v>42935.237673611111</v>
      </c>
      <c r="G22" s="7">
        <v>1</v>
      </c>
      <c r="H22" s="21" t="s">
        <v>391</v>
      </c>
      <c r="I22" s="13">
        <v>42935.264722222222</v>
      </c>
      <c r="J22" s="7">
        <v>0</v>
      </c>
      <c r="K22" s="89" t="str">
        <f>IF(ISEVEN(B22),(B22-1)&amp;"/"&amp;B22,B22&amp;"/"&amp;(B22+1))</f>
        <v>4045/4046</v>
      </c>
      <c r="L22" s="21" t="str">
        <f>VLOOKUP(A22,'Trips&amp;Operators'!$C$1:$G$99999,5,FALSE)</f>
        <v>DAVIS WENDY</v>
      </c>
      <c r="M22" s="6">
        <f>I22-F22</f>
        <v>2.7048611111240461E-2</v>
      </c>
      <c r="N22" s="7">
        <f>24*60*SUM($M22:$M22)</f>
        <v>38.950000000186265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-19T04:38:35-0600',mode:absolute,to:'2017-07-19T07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23.299399999999999</v>
      </c>
      <c r="Z22" s="197">
        <f>RIGHT(H22,LEN(H22)-4)/10000</f>
        <v>1.5599999999999999E-2</v>
      </c>
      <c r="AA22" s="197">
        <f>ABS(Z22-Y22)</f>
        <v>23.283799999999999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 &amp; 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/stypes="app*4045*20170719*"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110-19 --locoid 4045 --swversion DE.1.0.9.0 --startMP 204:232994 --initTime 2017-07-19T05:38:35 --startdatetime 2017-07-19T05:42:15 --delay 1 --endMP 204:156 --enddatetime 2017-07-19T06:21:12 --enforcementcount 0 &gt;&gt;C:\Users\stu\Documents\GitHub\eaglep3-reporting\EC\2017-07-19-refined-times.txt</v>
      </c>
      <c r="AI22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{"issue":{"subject":"","project_id":79,"tracker_id":40,"status_id":1,"priority_id":2,"assigned_to_id":23,"start_date":"2017-07-19","description":"","custom_fields":[{"id":1,"name":"Subdivision","value":"EC"},{"id":4,"name":"Milepost","value":"0.0156"},{"id":17,"name":"Train ID","value":"110-19"},{"id":16,"name":"Locomotive ID","value":"4045"},{"id":130,"name":"Impact","value":""},{"id":150,"name":"Time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4045 --day 2017-07-19</v>
      </c>
      <c r="AN22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665</v>
      </c>
      <c r="B23" s="7">
        <v>4028</v>
      </c>
      <c r="C23" s="21" t="s">
        <v>199</v>
      </c>
      <c r="D23" s="21" t="s">
        <v>416</v>
      </c>
      <c r="E23" s="13">
        <v>42935.204189814816</v>
      </c>
      <c r="F23" s="13">
        <v>42935.208865740744</v>
      </c>
      <c r="G23" s="7">
        <v>1</v>
      </c>
      <c r="H23" s="21" t="s">
        <v>860</v>
      </c>
      <c r="I23" s="13">
        <v>42935.235972222225</v>
      </c>
      <c r="J23" s="7">
        <v>0</v>
      </c>
      <c r="K23" s="89" t="str">
        <f>IF(ISEVEN(B23),(B23-1)&amp;"/"&amp;B23,B23&amp;"/"&amp;(B23+1))</f>
        <v>4027/4028</v>
      </c>
      <c r="L23" s="21" t="str">
        <f>VLOOKUP(A23,'Trips&amp;Operators'!$C$1:$G$99999,5,FALSE)</f>
        <v>ELBAUM MIKE</v>
      </c>
      <c r="M23" s="6">
        <f>I23-F23</f>
        <v>2.7106481480586808E-2</v>
      </c>
      <c r="N23" s="7">
        <f>24*60*SUM($M23:$M23)</f>
        <v>39.033333332045004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-19T03:54:02-0600',mode:absolute,to:'2017-07-19T06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4.4400000000000002E-2</v>
      </c>
      <c r="Z23" s="197">
        <f>RIGHT(H23,LEN(H23)-4)/10000</f>
        <v>23.3264</v>
      </c>
      <c r="AA23" s="197">
        <f>ABS(Z23-Y23)</f>
        <v>23.282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/stypes="app*4028*20170719*"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111-19 --locoid 4028 --swversion DE.1.0.9.0 --startMP 204:444 --initTime 2017-07-19T04:54:02 --startdatetime 2017-07-19T05:00:46 --delay 1 --endMP 204:233264 --enddatetime 2017-07-19T05:39:48 --enforcementcount 0 &gt;&gt;C:\Users\stu\Documents\GitHub\eaglep3-reporting\EC\2017-07-19-refined-times.txt</v>
      </c>
      <c r="AI23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{"issue":{"subject":"","project_id":79,"tracker_id":40,"status_id":1,"priority_id":2,"assigned_to_id":23,"start_date":"2017-07-19","description":"","custom_fields":[{"id":1,"name":"Subdivision","value":"EC"},{"id":4,"name":"Milepost","value":"23.3264"},{"id":17,"name":"Train ID","value":"111-19"},{"id":16,"name":"Locomotive ID","value":"4028"},{"id":130,"name":"Impact","value":""},{"id":150,"name":"Time of Event (Mountain Time)","value":"05:39:48"},{"id":151,"name":"Denver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4028 --day 2017-07-19</v>
      </c>
      <c r="AN23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678</v>
      </c>
      <c r="B24" s="7">
        <v>4027</v>
      </c>
      <c r="C24" s="21" t="s">
        <v>199</v>
      </c>
      <c r="D24" s="21" t="s">
        <v>861</v>
      </c>
      <c r="E24" s="13">
        <v>42935.23773148148</v>
      </c>
      <c r="F24" s="13">
        <v>42935.248101851852</v>
      </c>
      <c r="G24" s="7">
        <v>1</v>
      </c>
      <c r="H24" s="21" t="s">
        <v>386</v>
      </c>
      <c r="I24" s="13">
        <v>42935.275601851848</v>
      </c>
      <c r="J24" s="7">
        <v>0</v>
      </c>
      <c r="K24" s="89" t="str">
        <f>IF(ISEVEN(B24),(B24-1)&amp;"/"&amp;B24,B24&amp;"/"&amp;(B24+1))</f>
        <v>4027/4028</v>
      </c>
      <c r="L24" s="21" t="str">
        <f>VLOOKUP(A24,'Trips&amp;Operators'!$C$1:$G$99999,5,FALSE)</f>
        <v>ELBAUM MIKE</v>
      </c>
      <c r="M24" s="6">
        <f>I24-F24</f>
        <v>2.749999999650754E-2</v>
      </c>
      <c r="N24" s="7">
        <f>24*60*SUM($M24:$M24)</f>
        <v>39.599999994970858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-19T04:42:20-0600',mode:absolute,to:'2017-07-19T07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23.2989</v>
      </c>
      <c r="Z24" s="197">
        <f>RIGHT(H24,LEN(H24)-4)/10000</f>
        <v>1.4500000000000001E-2</v>
      </c>
      <c r="AA24" s="197">
        <f>ABS(Z24-Y24)</f>
        <v>23.284399999999998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/stypes="app*4027*20170719*"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112-19 --locoid 4027 --swversion DE.1.0.9.0 --startMP 204:232989 --initTime 2017-07-19T05:42:20 --startdatetime 2017-07-19T05:57:16 --delay 1 --endMP 204:145 --enddatetime 2017-07-19T06:36:52 --enforcementcount 0 &gt;&gt;C:\Users\stu\Documents\GitHub\eaglep3-reporting\EC\2017-07-19-refined-times.txt</v>
      </c>
      <c r="AI24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{"issue":{"subject":"","project_id":79,"tracker_id":40,"status_id":1,"priority_id":2,"assigned_to_id":23,"start_date":"2017-07-19","description":"","custom_fields":[{"id":1,"name":"Subdivision","value":"EC"},{"id":4,"name":"Milepost","value":"0.0145"},{"id":17,"name":"Train ID","value":"112-19"},{"id":16,"name":"Locomotive ID","value":"4027"},{"id":130,"name":"Impact","value":""},{"id":150,"name":"Time of Event (Mountain Time)","value":"06:36:52"},{"id":151,"name":"Denver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4027 --day 2017-07-19</v>
      </c>
      <c r="AN24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667</v>
      </c>
      <c r="B25" s="7">
        <v>4042</v>
      </c>
      <c r="C25" s="21" t="s">
        <v>199</v>
      </c>
      <c r="D25" s="21" t="s">
        <v>422</v>
      </c>
      <c r="E25" s="13">
        <v>42935.213993055557</v>
      </c>
      <c r="F25" s="13">
        <v>42935.219305555554</v>
      </c>
      <c r="G25" s="7">
        <v>2</v>
      </c>
      <c r="H25" s="21" t="s">
        <v>862</v>
      </c>
      <c r="I25" s="13">
        <v>42935.243506944447</v>
      </c>
      <c r="J25" s="7">
        <v>0</v>
      </c>
      <c r="K25" s="89" t="str">
        <f>IF(ISEVEN(B25),(B25-1)&amp;"/"&amp;B25,B25&amp;"/"&amp;(B25+1))</f>
        <v>4041/4042</v>
      </c>
      <c r="L25" s="21" t="str">
        <f>VLOOKUP(A25,'Trips&amp;Operators'!$C$1:$G$99999,5,FALSE)</f>
        <v>LOZA FIDEL</v>
      </c>
      <c r="M25" s="6">
        <f>I25-F25</f>
        <v>2.4201388892834075E-2</v>
      </c>
      <c r="N25" s="7">
        <f>24*60*SUM($M25:$M25)</f>
        <v>34.850000005681068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-19T04:08:09-0600',mode:absolute,to:'2017-07-19T06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4.7100000000000003E-2</v>
      </c>
      <c r="Z25" s="197">
        <f>RIGHT(H25,LEN(H25)-4)/10000</f>
        <v>23.328199999999999</v>
      </c>
      <c r="AA25" s="197">
        <f>ABS(Z25-Y25)</f>
        <v>23.281099999999999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/stypes="app*4042*20170719*"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113-19 --locoid 4042 --swversion DE.1.0.9.0 --startMP 204:471 --initTime 2017-07-19T05:08:09 --startdatetime 2017-07-19T05:15:48 --delay 2 --endMP 204:233282 --enddatetime 2017-07-19T05:50:39 --enforcementcount 0 &gt;&gt;C:\Users\stu\Documents\GitHub\eaglep3-reporting\EC\2017-07-19-refined-times.txt</v>
      </c>
      <c r="AI25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{"issue":{"subject":"","project_id":79,"tracker_id":40,"status_id":1,"priority_id":2,"assigned_to_id":23,"start_date":"2017-07-19","description":"","custom_fields":[{"id":1,"name":"Subdivision","value":"EC"},{"id":4,"name":"Milepost","value":"23.3282"},{"id":17,"name":"Train ID","value":"113-19"},{"id":16,"name":"Locomotive ID","value":"4042"},{"id":130,"name":"Impact","value":""},{"id":150,"name":"Time of Event (Mountain Time)","value":"05:50:39"},{"id":151,"name":"Denver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4042 --day 2017-07-19</v>
      </c>
      <c r="AN25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681</v>
      </c>
      <c r="B26" s="7">
        <v>4041</v>
      </c>
      <c r="C26" s="21" t="s">
        <v>199</v>
      </c>
      <c r="D26" s="21" t="s">
        <v>488</v>
      </c>
      <c r="E26" s="13">
        <v>42935.254976851851</v>
      </c>
      <c r="F26" s="13">
        <v>42935.258518518516</v>
      </c>
      <c r="G26" s="7">
        <v>1</v>
      </c>
      <c r="H26" s="21" t="s">
        <v>344</v>
      </c>
      <c r="I26" s="13">
        <v>42935.285150462965</v>
      </c>
      <c r="J26" s="7">
        <v>0</v>
      </c>
      <c r="K26" s="89" t="str">
        <f>IF(ISEVEN(B26),(B26-1)&amp;"/"&amp;B26,B26&amp;"/"&amp;(B26+1))</f>
        <v>4041/4042</v>
      </c>
      <c r="L26" s="21" t="str">
        <f>VLOOKUP(A26,'Trips&amp;Operators'!$C$1:$G$99999,5,FALSE)</f>
        <v>LOZA FIDEL</v>
      </c>
      <c r="M26" s="6">
        <f>I26-F26</f>
        <v>2.6631944449036382E-2</v>
      </c>
      <c r="N26" s="7">
        <f>24*60*SUM($M26:$M26)</f>
        <v>38.35000000661239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-19T05:07:10-0600',mode:absolute,to:'2017-07-19T07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23.297499999999999</v>
      </c>
      <c r="Z26" s="197">
        <f>RIGHT(H26,LEN(H26)-4)/10000</f>
        <v>1.49E-2</v>
      </c>
      <c r="AA26" s="197">
        <f>ABS(Z26-Y26)</f>
        <v>23.282599999999999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/stypes="app*4041*20170719*"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114-19 --locoid 4041 --swversion DE.1.0.9.0 --startMP 204:232975 --initTime 2017-07-19T06:07:10 --startdatetime 2017-07-19T06:12:16 --delay 1 --endMP 204:149 --enddatetime 2017-07-19T06:50:37 --enforcementcount 0 &gt;&gt;C:\Users\stu\Documents\GitHub\eaglep3-reporting\EC\2017-07-19-refined-times.txt</v>
      </c>
      <c r="AI2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ID","value":"114-19"},{"id":16,"name":"Locomotive ID","value":"4041"},{"id":130,"name":"Impact","value":""},{"id":150,"name":"Time of Event (Mountain Time)","value":"06:50:37"},{"id":151,"name":"Denver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4041 --day 2017-07-19</v>
      </c>
      <c r="AN2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672</v>
      </c>
      <c r="B27" s="7">
        <v>4032</v>
      </c>
      <c r="C27" s="21" t="s">
        <v>199</v>
      </c>
      <c r="D27" s="21" t="s">
        <v>508</v>
      </c>
      <c r="E27" s="13">
        <v>42935.225381944445</v>
      </c>
      <c r="F27" s="13">
        <v>42935.229756944442</v>
      </c>
      <c r="G27" s="7">
        <v>1</v>
      </c>
      <c r="H27" s="21" t="s">
        <v>420</v>
      </c>
      <c r="I27" s="13">
        <v>42935.25445601852</v>
      </c>
      <c r="J27" s="7">
        <v>0</v>
      </c>
      <c r="K27" s="89" t="str">
        <f>IF(ISEVEN(B27),(B27-1)&amp;"/"&amp;B27,B27&amp;"/"&amp;(B27+1))</f>
        <v>4031/4032</v>
      </c>
      <c r="L27" s="21" t="str">
        <f>VLOOKUP(A27,'Trips&amp;Operators'!$C$1:$G$99999,5,FALSE)</f>
        <v>MAELZER KURT</v>
      </c>
      <c r="M27" s="6">
        <f>I27-F27</f>
        <v>2.4699074077943806E-2</v>
      </c>
      <c r="N27" s="7">
        <f>24*60*SUM($M27:$M27)</f>
        <v>35.56666667223908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-19T04:24:33-0600',mode:absolute,to:'2017-07-19T07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4.3099999999999999E-2</v>
      </c>
      <c r="Z27" s="197">
        <f>RIGHT(H27,LEN(H27)-4)/10000</f>
        <v>23.329699999999999</v>
      </c>
      <c r="AA27" s="197">
        <f>ABS(Z27-Y27)</f>
        <v>23.2866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/stypes="app*4032*20170719*"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115-19 --locoid 4032 --swversion DE.1.0.9.0 --startMP 204:431 --initTime 2017-07-19T05:24:33 --startdatetime 2017-07-19T05:30:51 --delay 1 --endMP 204:233297 --enddatetime 2017-07-19T06:06:25 --enforcementcount 0 &gt;&gt;C:\Users\stu\Documents\GitHub\eaglep3-reporting\EC\2017-07-19-refined-times.txt</v>
      </c>
      <c r="AI2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{"issue":{"subject":"","project_id":79,"tracker_id":40,"status_id":1,"priority_id":2,"assigned_to_id":23,"start_date":"2017-07-19","description":"","custom_fields":[{"id":1,"name":"Subdivision","value":"EC"},{"id":4,"name":"Milepost","value":"23.3297"},{"id":17,"name":"Train ID","value":"115-19"},{"id":16,"name":"Locomotive ID","value":"4032"},{"id":130,"name":"Impact","value":""},{"id":150,"name":"Time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4032 --day 2017-07-19</v>
      </c>
      <c r="AN2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684</v>
      </c>
      <c r="B28" s="7">
        <v>4031</v>
      </c>
      <c r="C28" s="21" t="s">
        <v>199</v>
      </c>
      <c r="D28" s="21" t="s">
        <v>510</v>
      </c>
      <c r="E28" s="13">
        <v>42935.262881944444</v>
      </c>
      <c r="F28" s="13">
        <v>42935.26903935185</v>
      </c>
      <c r="G28" s="7">
        <v>1</v>
      </c>
      <c r="H28" s="21" t="s">
        <v>419</v>
      </c>
      <c r="I28" s="13">
        <v>42935.29587962963</v>
      </c>
      <c r="J28" s="7">
        <v>0</v>
      </c>
      <c r="K28" s="89" t="str">
        <f>IF(ISEVEN(B28),(B28-1)&amp;"/"&amp;B28,B28&amp;"/"&amp;(B28+1))</f>
        <v>4031/4032</v>
      </c>
      <c r="L28" s="21" t="str">
        <f>VLOOKUP(A28,'Trips&amp;Operators'!$C$1:$G$99999,5,FALSE)</f>
        <v>MAELZER KURT</v>
      </c>
      <c r="M28" s="6">
        <f>I28-F28</f>
        <v>2.6840277780138422E-2</v>
      </c>
      <c r="N28" s="7">
        <f>24*60*SUM($M28:$M28)</f>
        <v>38.650000003399327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-19T05:18:33-0600',mode:absolute,to:'2017-07-19T08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23.298300000000001</v>
      </c>
      <c r="Z28" s="197">
        <f>RIGHT(H28,LEN(H28)-4)/10000</f>
        <v>1.3599999999999999E-2</v>
      </c>
      <c r="AA28" s="197">
        <f>ABS(Z28-Y28)</f>
        <v>23.284700000000001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/stypes="app*4031*20170719*"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116-19 --locoid 4031 --swversion DE.1.0.9.0 --startMP 204:232983 --initTime 2017-07-19T06:18:33 --startdatetime 2017-07-19T06:27:25 --delay 1 --endMP 204:136 --enddatetime 2017-07-19T07:06:04 --enforcementcount 0 &gt;&gt;C:\Users\stu\Documents\GitHub\eaglep3-reporting\EC\2017-07-19-refined-times.txt</v>
      </c>
      <c r="AI2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{"issue":{"subject":"","project_id":79,"tracker_id":40,"status_id":1,"priority_id":2,"assigned_to_id":23,"start_date":"2017-07-19","description":"","custom_fields":[{"id":1,"name":"Subdivision","value":"EC"},{"id":4,"name":"Milepost","value":"0.0136"},{"id":17,"name":"Train ID","value":"116-19"},{"id":16,"name":"Locomotive ID","value":"4031"},{"id":130,"name":"Impact","value":""},{"id":150,"name":"Time of Event (Mountain Time)","value":"07:06:04"},{"id":151,"name":"Denver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4031 --day 2017-07-19</v>
      </c>
      <c r="AN2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677</v>
      </c>
      <c r="B29" s="7">
        <v>4004</v>
      </c>
      <c r="C29" s="21" t="s">
        <v>199</v>
      </c>
      <c r="D29" s="21" t="s">
        <v>497</v>
      </c>
      <c r="E29" s="13">
        <v>42935.235266203701</v>
      </c>
      <c r="F29" s="13">
        <v>42935.240405092591</v>
      </c>
      <c r="G29" s="7">
        <v>1</v>
      </c>
      <c r="H29" s="21" t="s">
        <v>592</v>
      </c>
      <c r="I29" s="13">
        <v>42935.265196759261</v>
      </c>
      <c r="J29" s="7">
        <v>0</v>
      </c>
      <c r="K29" s="89" t="str">
        <f>IF(ISEVEN(B29),(B29-1)&amp;"/"&amp;B29,B29&amp;"/"&amp;(B29+1))</f>
        <v>4003/4004</v>
      </c>
      <c r="L29" s="21" t="str">
        <f>VLOOKUP(A29,'Trips&amp;Operators'!$C$1:$G$99999,5,FALSE)</f>
        <v>YANG JAN</v>
      </c>
      <c r="M29" s="6">
        <f>I29-F29</f>
        <v>2.4791666670353152E-2</v>
      </c>
      <c r="N29" s="7">
        <f>24*60*SUM($M29:$M29)</f>
        <v>35.700000005308539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-19T04:38:47-0600',mode:absolute,to:'2017-07-19T07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4.5999999999999999E-2</v>
      </c>
      <c r="Z29" s="197">
        <f>RIGHT(H29,LEN(H29)-4)/10000</f>
        <v>23.329499999999999</v>
      </c>
      <c r="AA29" s="197">
        <f>ABS(Z29-Y29)</f>
        <v>23.2835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/stypes="app*4004*20170719*"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117-19 --locoid 4004 --swversion DE.1.0.9.0 --startMP 204:460 --initTime 2017-07-19T05:38:47 --startdatetime 2017-07-19T05:46:11 --delay 1 --endMP 204:233295 --enddatetime 2017-07-19T06:21:53 --enforcementcount 0 &gt;&gt;C:\Users\stu\Documents\GitHub\eaglep3-reporting\EC\2017-07-19-refined-times.txt</v>
      </c>
      <c r="AI29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{"issue":{"subject":"","project_id":79,"tracker_id":40,"status_id":1,"priority_id":2,"assigned_to_id":23,"start_date":"2017-07-19","description":"","custom_fields":[{"id":1,"name":"Subdivision","value":"EC"},{"id":4,"name":"Milepost","value":"23.3295"},{"id":17,"name":"Train ID","value":"117-19"},{"id":16,"name":"Locomotive ID","value":"4004"},{"id":130,"name":"Impact","value":""},{"id":150,"name":"Time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4004 --day 2017-07-19</v>
      </c>
      <c r="AN29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687</v>
      </c>
      <c r="B30" s="7">
        <v>4003</v>
      </c>
      <c r="C30" s="21" t="s">
        <v>199</v>
      </c>
      <c r="D30" s="21" t="s">
        <v>581</v>
      </c>
      <c r="E30" s="13">
        <v>42935.274178240739</v>
      </c>
      <c r="F30" s="13">
        <v>42935.279583333337</v>
      </c>
      <c r="G30" s="7">
        <v>1</v>
      </c>
      <c r="H30" s="21" t="s">
        <v>353</v>
      </c>
      <c r="I30" s="13">
        <v>42935.306469907409</v>
      </c>
      <c r="J30" s="7">
        <v>0</v>
      </c>
      <c r="K30" s="89" t="str">
        <f>IF(ISEVEN(B30),(B30-1)&amp;"/"&amp;B30,B30&amp;"/"&amp;(B30+1))</f>
        <v>4003/4004</v>
      </c>
      <c r="L30" s="21" t="str">
        <f>VLOOKUP(A30,'Trips&amp;Operators'!$C$1:$G$99999,5,FALSE)</f>
        <v>YANG JAN</v>
      </c>
      <c r="M30" s="6">
        <f>I30-F30</f>
        <v>2.6886574072705116E-2</v>
      </c>
      <c r="N30" s="7">
        <f>24*60*SUM($M30:$M30)</f>
        <v>38.716666664695367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-19T05:34:49-0600',mode:absolute,to:'2017-07-19T08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23.296900000000001</v>
      </c>
      <c r="Z30" s="197">
        <f>RIGHT(H30,LEN(H30)-4)/10000</f>
        <v>1.41E-2</v>
      </c>
      <c r="AA30" s="197">
        <f>ABS(Z30-Y30)</f>
        <v>23.282800000000002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/stypes="app*4003*20170719*"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118-19 --locoid 4003 --swversion DE.1.0.9.0 --startMP 204:232969 --initTime 2017-07-19T06:34:49 --startdatetime 2017-07-19T06:42:36 --delay 1 --endMP 204:141 --enddatetime 2017-07-19T07:21:19 --enforcementcount 0 &gt;&gt;C:\Users\stu\Documents\GitHub\eaglep3-reporting\EC\2017-07-19-refined-times.txt</v>
      </c>
      <c r="AI30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{"issue":{"subject":"","project_id":79,"tracker_id":40,"status_id":1,"priority_id":2,"assigned_to_id":23,"start_date":"2017-07-19","description":"","custom_fields":[{"id":1,"name":"Subdivision","value":"EC"},{"id":4,"name":"Milepost","value":"0.0141"},{"id":17,"name":"Train ID","value":"118-19"},{"id":16,"name":"Locomotive ID","value":"4003"},{"id":130,"name":"Impact","value":""},{"id":150,"name":"Time of Event (Mountain Time)","value":"07:21:19"},{"id":151,"name":"Denver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4003 --day 2017-07-19</v>
      </c>
      <c r="AN30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608</v>
      </c>
      <c r="B31" s="7">
        <v>4054</v>
      </c>
      <c r="C31" s="21" t="s">
        <v>199</v>
      </c>
      <c r="D31" s="21" t="s">
        <v>506</v>
      </c>
      <c r="E31" s="13">
        <v>42935.248252314814</v>
      </c>
      <c r="F31" s="13">
        <v>42935.250520833331</v>
      </c>
      <c r="G31" s="7">
        <v>1</v>
      </c>
      <c r="H31" s="21" t="s">
        <v>593</v>
      </c>
      <c r="I31" s="13">
        <v>42935.27753472222</v>
      </c>
      <c r="J31" s="7">
        <v>0</v>
      </c>
      <c r="K31" s="89" t="str">
        <f>IF(ISEVEN(B31),(B31-1)&amp;"/"&amp;B31,B31&amp;"/"&amp;(B31+1))</f>
        <v>4053/4054</v>
      </c>
      <c r="L31" s="21" t="str">
        <f>VLOOKUP(A31,'Trips&amp;Operators'!$C$1:$G$99999,5,FALSE)</f>
        <v>STARKS ANGELINA</v>
      </c>
      <c r="M31" s="6">
        <f>I31-F31</f>
        <v>2.7013888888177462E-2</v>
      </c>
      <c r="N31" s="7">
        <f>24*60*SUM($M31:$M31)</f>
        <v>38.899999998975545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-19T04:57:29-0600',mode:absolute,to:'2017-07-19T07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4.4900000000000002E-2</v>
      </c>
      <c r="Z31" s="197">
        <f>RIGHT(H31,LEN(H31)-4)/10000</f>
        <v>23.33</v>
      </c>
      <c r="AA31" s="197">
        <f>ABS(Z31-Y31)</f>
        <v>23.2851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/stypes="app*4054*20170719*"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119-19 --locoid 4054 --swversion DE.1.0.9.0 --startMP 204:449 --initTime 2017-07-19T05:57:29 --startdatetime 2017-07-19T06:00:45 --delay 1 --endMP 204:233300 --enddatetime 2017-07-19T06:39:39 --enforcementcount 0 &gt;&gt;C:\Users\stu\Documents\GitHub\eaglep3-reporting\EC\2017-07-19-refined-times.txt</v>
      </c>
      <c r="AI31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{"issue":{"subject":"","project_id":79,"tracker_id":40,"status_id":1,"priority_id":2,"assigned_to_id":23,"start_date":"2017-07-19","description":"","custom_fields":[{"id":1,"name":"Subdivision","value":"EC"},{"id":4,"name":"Milepost","value":"23.33"},{"id":17,"name":"Train ID","value":"119-19"},{"id":16,"name":"Locomotive ID","value":"4054"},{"id":130,"name":"Impact","value":""},{"id":150,"name":"Time of Event (Mountain Time)","value":"06:39:39"},{"id":151,"name":"Denver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4054 --day 2017-07-19</v>
      </c>
      <c r="AN31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610</v>
      </c>
      <c r="B32" s="7">
        <v>4053</v>
      </c>
      <c r="C32" s="21" t="s">
        <v>199</v>
      </c>
      <c r="D32" s="21" t="s">
        <v>510</v>
      </c>
      <c r="E32" s="13">
        <v>42935.278703703705</v>
      </c>
      <c r="F32" s="13">
        <v>42935.289826388886</v>
      </c>
      <c r="G32" s="7">
        <v>2</v>
      </c>
      <c r="H32" s="21" t="s">
        <v>354</v>
      </c>
      <c r="I32" s="13">
        <v>42935.318009259259</v>
      </c>
      <c r="J32" s="7">
        <v>0</v>
      </c>
      <c r="K32" s="89" t="str">
        <f>IF(ISEVEN(B32),(B32-1)&amp;"/"&amp;B32,B32&amp;"/"&amp;(B32+1))</f>
        <v>4053/4054</v>
      </c>
      <c r="L32" s="21" t="str">
        <f>VLOOKUP(A32,'Trips&amp;Operators'!$C$1:$G$99999,5,FALSE)</f>
        <v>GEBRETEKLE DAGNEW</v>
      </c>
      <c r="M32" s="6">
        <f>I32-F32</f>
        <v>2.8182870373711921E-2</v>
      </c>
      <c r="N32" s="7">
        <f>24*60*SUM($M32:$M32)</f>
        <v>40.583333338145167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-19T05:41:20-0600',mode:absolute,to:'2017-07-19T08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23.298300000000001</v>
      </c>
      <c r="Z32" s="197">
        <f>RIGHT(H32,LEN(H32)-4)/10000</f>
        <v>1.47E-2</v>
      </c>
      <c r="AA32" s="197">
        <f>ABS(Z32-Y32)</f>
        <v>23.2836</v>
      </c>
      <c r="AB32" s="54" t="str">
        <f>VLOOKUP(A32,Enforcements!$C$7:$K$13,8,0)</f>
        <v>Bulletin (2)</v>
      </c>
      <c r="AC32" s="51" t="str">
        <f>VLOOKUP(A32,Enforcements!$C$7:$E$13,3,0)</f>
        <v>GRADE CROSSING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/stypes="app*4053*20170719*"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120-19 --locoid 4053 --swversion DE.1.0.9.0 --startMP 204:232983 --initTime 2017-07-19T06:41:20 --startdatetime 2017-07-19T06:57:21 --delay 2 --endMP 204:147 --enddatetime 2017-07-19T07:37:56 --enforcementcount 0 &gt;&gt;C:\Users\stu\Documents\GitHub\eaglep3-reporting\EC\2017-07-19-refined-times.txt</v>
      </c>
      <c r="AI32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{"issue":{"subject":"","project_id":79,"tracker_id":40,"status_id":1,"priority_id":2,"assigned_to_id":23,"start_date":"2017-07-19","description":"","custom_fields":[{"id":1,"name":"Subdivision","value":"EC"},{"id":4,"name":"Milepost","value":"0.0147"},{"id":17,"name":"Train ID","value":"120-19"},{"id":16,"name":"Locomotive ID","value":"4053"},{"id":130,"name":"Impact","value":""},{"id":150,"name":"Time of Event (Mountain Time)","value":"07:37:56"},{"id":151,"name":"Denver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4053 --day 2017-07-19</v>
      </c>
      <c r="AN32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683</v>
      </c>
      <c r="B33" s="7">
        <v>4030</v>
      </c>
      <c r="C33" s="21" t="s">
        <v>199</v>
      </c>
      <c r="D33" s="21" t="s">
        <v>508</v>
      </c>
      <c r="E33" s="13">
        <v>42935.256481481483</v>
      </c>
      <c r="F33" s="13">
        <v>42935.261157407411</v>
      </c>
      <c r="G33" s="7">
        <v>1</v>
      </c>
      <c r="H33" s="21" t="s">
        <v>495</v>
      </c>
      <c r="I33" s="13">
        <v>42935.285983796297</v>
      </c>
      <c r="J33" s="7">
        <v>0</v>
      </c>
      <c r="K33" s="89" t="str">
        <f>IF(ISEVEN(B33),(B33-1)&amp;"/"&amp;B33,B33&amp;"/"&amp;(B33+1))</f>
        <v>4029/4030</v>
      </c>
      <c r="L33" s="21" t="str">
        <f>VLOOKUP(A33,'Trips&amp;Operators'!$C$1:$G$99999,5,FALSE)</f>
        <v>LANGERAK WILLIAM</v>
      </c>
      <c r="M33" s="6">
        <f>I33-F33</f>
        <v>2.4826388886140194E-2</v>
      </c>
      <c r="N33" s="7">
        <f>24*60*SUM($M33:$M33)</f>
        <v>35.749999996041879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-19T05:09:20-0600',mode:absolute,to:'2017-07-19T07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4.3099999999999999E-2</v>
      </c>
      <c r="Z33" s="197">
        <f>RIGHT(H33,LEN(H33)-4)/10000</f>
        <v>23.3291</v>
      </c>
      <c r="AA33" s="197">
        <f>ABS(Z33-Y33)</f>
        <v>23.286000000000001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/stypes="app*4030*20170719*"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121-19 --locoid 4030 --swversion DE.1.0.9.0 --startMP 204:431 --initTime 2017-07-19T06:09:20 --startdatetime 2017-07-19T06:16:04 --delay 1 --endMP 204:233291 --enddatetime 2017-07-19T06:51:49 --enforcementcount 0 &gt;&gt;C:\Users\stu\Documents\GitHub\eaglep3-reporting\EC\2017-07-19-refined-times.txt</v>
      </c>
      <c r="AI33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{"issue":{"subject":"","project_id":79,"tracker_id":40,"status_id":1,"priority_id":2,"assigned_to_id":23,"start_date":"2017-07-19","description":"","custom_fields":[{"id":1,"name":"Subdivision","value":"EC"},{"id":4,"name":"Milepost","value":"23.3291"},{"id":17,"name":"Train ID","value":"121-19"},{"id":16,"name":"Locomotive ID","value":"4030"},{"id":130,"name":"Impact","value":""},{"id":150,"name":"Time of Event (Mountain Time)","value":"06:51:49"},{"id":151,"name":"Denver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4030 --day 2017-07-19</v>
      </c>
      <c r="AN33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612</v>
      </c>
      <c r="B34" s="7">
        <v>4029</v>
      </c>
      <c r="C34" s="21" t="s">
        <v>199</v>
      </c>
      <c r="D34" s="21" t="s">
        <v>427</v>
      </c>
      <c r="E34" s="13">
        <v>42935.297546296293</v>
      </c>
      <c r="F34" s="13">
        <v>42935.300335648149</v>
      </c>
      <c r="G34" s="7">
        <v>1</v>
      </c>
      <c r="H34" s="21" t="s">
        <v>391</v>
      </c>
      <c r="I34" s="13">
        <v>42935.328136574077</v>
      </c>
      <c r="J34" s="7">
        <v>0</v>
      </c>
      <c r="K34" s="89" t="str">
        <f>IF(ISEVEN(B34),(B34-1)&amp;"/"&amp;B34,B34&amp;"/"&amp;(B34+1))</f>
        <v>4029/4030</v>
      </c>
      <c r="L34" s="21" t="str">
        <f>VLOOKUP(A34,'Trips&amp;Operators'!$C$1:$G$99999,5,FALSE)</f>
        <v>LANGERAK WILLIAM</v>
      </c>
      <c r="M34" s="6">
        <f>I34-F34</f>
        <v>2.7800925927294884E-2</v>
      </c>
      <c r="N34" s="7">
        <f>24*60*SUM($M34:$M34)</f>
        <v>40.033333335304633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-19T06:08:28-0600',mode:absolute,to:'2017-07-19T08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23.2973</v>
      </c>
      <c r="Z34" s="197">
        <f>RIGHT(H34,LEN(H34)-4)/10000</f>
        <v>1.5599999999999999E-2</v>
      </c>
      <c r="AA34" s="197">
        <f>ABS(Z34-Y34)</f>
        <v>23.281700000000001</v>
      </c>
      <c r="AB34" s="54" t="str">
        <f>VLOOKUP(A34,Enforcements!$C$7:$K$13,8,0)</f>
        <v>Bulletin (2)</v>
      </c>
      <c r="AC34" s="51" t="str">
        <f>VLOOKUP(A34,Enforcements!$C$7:$E$13,3,0)</f>
        <v>GRADE CROSSING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/stypes="app*4029*20170719*"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122-19 --locoid 4029 --swversion DE.1.0.9.0 --startMP 204:232973 --initTime 2017-07-19T07:08:28 --startdatetime 2017-07-19T07:12:29 --delay 1 --endMP 204:156 --enddatetime 2017-07-19T07:52:31 --enforcementcount 0 &gt;&gt;C:\Users\stu\Documents\GitHub\eaglep3-reporting\EC\2017-07-19-refined-times.txt</v>
      </c>
      <c r="AI34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{"issue":{"subject":"","project_id":79,"tracker_id":40,"status_id":1,"priority_id":2,"assigned_to_id":23,"start_date":"2017-07-19","description":"","custom_fields":[{"id":1,"name":"Subdivision","value":"EC"},{"id":4,"name":"Milepost","value":"0.0156"},{"id":17,"name":"Train ID","value":"122-19"},{"id":16,"name":"Locomotive ID","value":"4029"},{"id":130,"name":"Impact","value":""},{"id":150,"name":"Time of Event (Mountain Time)","value":"07:52:31"},{"id":151,"name":"Denver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4029 --day 2017-07-19</v>
      </c>
      <c r="AN34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685</v>
      </c>
      <c r="B35" s="7">
        <v>4046</v>
      </c>
      <c r="C35" s="21" t="s">
        <v>199</v>
      </c>
      <c r="D35" s="21" t="s">
        <v>346</v>
      </c>
      <c r="E35" s="13">
        <v>42935.266527777778</v>
      </c>
      <c r="F35" s="13">
        <v>42935.27134259259</v>
      </c>
      <c r="G35" s="7">
        <v>1</v>
      </c>
      <c r="H35" s="21" t="s">
        <v>595</v>
      </c>
      <c r="I35" s="13">
        <v>42935.296666666669</v>
      </c>
      <c r="J35" s="7">
        <v>0</v>
      </c>
      <c r="K35" s="89" t="str">
        <f>IF(ISEVEN(B35),(B35-1)&amp;"/"&amp;B35,B35&amp;"/"&amp;(B35+1))</f>
        <v>4045/4046</v>
      </c>
      <c r="L35" s="21" t="str">
        <f>VLOOKUP(A35,'Trips&amp;Operators'!$C$1:$G$99999,5,FALSE)</f>
        <v>DAVIS WENDY</v>
      </c>
      <c r="M35" s="6">
        <f>I35-F35</f>
        <v>2.5324074078525882E-2</v>
      </c>
      <c r="N35" s="7">
        <f>24*60*SUM($M35:$M35)</f>
        <v>36.46666667307727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-19T05:23:48-0600',mode:absolute,to:'2017-07-19T08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4.6600000000000003E-2</v>
      </c>
      <c r="Z35" s="197">
        <f>RIGHT(H35,LEN(H35)-4)/10000</f>
        <v>23.331700000000001</v>
      </c>
      <c r="AA35" s="197">
        <f>ABS(Z35-Y35)</f>
        <v>23.2851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s3://rtdc.mdm.uploadarchive.raw/RTDC4046/ "%USERPROFILE%\AppData\Local\Temp\OnboardLogs"\RTDC4046\2017-07-19 --exclude "*" --recursive --include "*20170719*" &amp; "%USERPROFILE%\Documents\GitHub\mrs-test-scripts\Headless Mode &amp; Sideloading\WalkAndUnGZ.bat" "%USERPROFILE%\AppData\Local\Temp\OnboardLogs"\RTDC4046\2017-07-19 &amp; 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/stypes="app*4046*20170719*"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123-19 --locoid 4046 --swversion DE.1.0.9.0 --startMP 204:466 --initTime 2017-07-19T06:23:48 --startdatetime 2017-07-19T06:30:44 --delay 1 --endMP 204:233317 --enddatetime 2017-07-19T07:07:12 --enforcementcount 0 &gt;&gt;C:\Users\stu\Documents\GitHub\eaglep3-reporting\EC\2017-07-19-refined-times.txt</v>
      </c>
      <c r="AI35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{"issue":{"subject":"","project_id":79,"tracker_id":40,"status_id":1,"priority_id":2,"assigned_to_id":23,"start_date":"2017-07-19","description":"","custom_fields":[{"id":1,"name":"Subdivision","value":"EC"},{"id":4,"name":"Milepost","value":"23.3317"},{"id":17,"name":"Train ID","value":"123-19"},{"id":16,"name":"Locomotive ID","value":"4046"},{"id":130,"name":"Impact","value":""},{"id":150,"name":"Time of Event (Mountain Time)","value":"07:07:12"},{"id":151,"name":"Denver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4046 --day 2017-07-19</v>
      </c>
      <c r="AN35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613</v>
      </c>
      <c r="B36" s="7">
        <v>4045</v>
      </c>
      <c r="C36" s="21" t="s">
        <v>199</v>
      </c>
      <c r="D36" s="21" t="s">
        <v>481</v>
      </c>
      <c r="E36" s="13">
        <v>42935.308657407404</v>
      </c>
      <c r="F36" s="13">
        <v>42935.310578703706</v>
      </c>
      <c r="G36" s="7">
        <v>1</v>
      </c>
      <c r="H36" s="21" t="s">
        <v>353</v>
      </c>
      <c r="I36" s="13">
        <v>42935.339641203704</v>
      </c>
      <c r="J36" s="7">
        <v>0</v>
      </c>
      <c r="K36" s="89" t="str">
        <f>IF(ISEVEN(B36),(B36-1)&amp;"/"&amp;B36,B36&amp;"/"&amp;(B36+1))</f>
        <v>4045/4046</v>
      </c>
      <c r="L36" s="21" t="str">
        <f>VLOOKUP(A36,'Trips&amp;Operators'!$C$1:$G$99999,5,FALSE)</f>
        <v>DAVIS WENDY</v>
      </c>
      <c r="M36" s="6">
        <f>I36-F36</f>
        <v>2.9062499997962732E-2</v>
      </c>
      <c r="N36" s="7">
        <f>24*60*SUM($M36:$M36)</f>
        <v>41.849999997066334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-19T06:24:28-0600',mode:absolute,to:'2017-07-19T09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23.299399999999999</v>
      </c>
      <c r="Z36" s="197">
        <f>RIGHT(H36,LEN(H36)-4)/10000</f>
        <v>1.41E-2</v>
      </c>
      <c r="AA36" s="197">
        <f>ABS(Z36-Y36)</f>
        <v>23.285299999999999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 &amp; 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/stypes="app*4045*20170719*"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124-19 --locoid 4045 --swversion DE.1.0.9.0 --startMP 204:232994 --initTime 2017-07-19T07:24:28 --startdatetime 2017-07-19T07:27:14 --delay 1 --endMP 204:141 --enddatetime 2017-07-19T08:09:05 --enforcementcount 0 &gt;&gt;C:\Users\stu\Documents\GitHub\eaglep3-reporting\EC\2017-07-19-refined-times.txt</v>
      </c>
      <c r="AI3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{"issue":{"subject":"","project_id":79,"tracker_id":40,"status_id":1,"priority_id":2,"assigned_to_id":23,"start_date":"2017-07-19","description":"","custom_fields":[{"id":1,"name":"Subdivision","value":"EC"},{"id":4,"name":"Milepost","value":"0.0141"},{"id":17,"name":"Train ID","value":"124-19"},{"id":16,"name":"Locomotive ID","value":"4045"},{"id":130,"name":"Impact","value":""},{"id":150,"name":"Time of Event (Mountain Time)","value":"08:09:05"},{"id":151,"name":"Denver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4045 --day 2017-07-19</v>
      </c>
      <c r="AN3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689</v>
      </c>
      <c r="B37" s="7">
        <v>4028</v>
      </c>
      <c r="C37" s="21" t="s">
        <v>199</v>
      </c>
      <c r="D37" s="21" t="s">
        <v>422</v>
      </c>
      <c r="E37" s="13">
        <v>42935.276759259257</v>
      </c>
      <c r="F37" s="13">
        <v>42935.281747685185</v>
      </c>
      <c r="G37" s="7">
        <v>1</v>
      </c>
      <c r="H37" s="21" t="s">
        <v>585</v>
      </c>
      <c r="I37" s="13">
        <v>42935.307534722226</v>
      </c>
      <c r="J37" s="7">
        <v>0</v>
      </c>
      <c r="K37" s="89" t="str">
        <f>IF(ISEVEN(B37),(B37-1)&amp;"/"&amp;B37,B37&amp;"/"&amp;(B37+1))</f>
        <v>4027/4028</v>
      </c>
      <c r="L37" s="21" t="str">
        <f>VLOOKUP(A37,'Trips&amp;Operators'!$C$1:$G$99999,5,FALSE)</f>
        <v>ELBAUM MIKE</v>
      </c>
      <c r="M37" s="6">
        <f>I37-F37</f>
        <v>2.5787037040572613E-2</v>
      </c>
      <c r="N37" s="7">
        <f>24*60*SUM($M37:$M37)</f>
        <v>37.133333338424563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-19T05:38:32-0600',mode:absolute,to:'2017-07-19T08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4.7100000000000003E-2</v>
      </c>
      <c r="Z37" s="197">
        <f>RIGHT(H37,LEN(H37)-4)/10000</f>
        <v>23.327999999999999</v>
      </c>
      <c r="AA37" s="197">
        <f>ABS(Z37-Y37)</f>
        <v>23.280899999999999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/stypes="app*4028*20170719*"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125-19 --locoid 4028 --swversion DE.1.0.9.0 --startMP 204:471 --initTime 2017-07-19T06:38:32 --startdatetime 2017-07-19T06:45:43 --delay 1 --endMP 204:233280 --enddatetime 2017-07-19T07:22:51 --enforcementcount 0 &gt;&gt;C:\Users\stu\Documents\GitHub\eaglep3-reporting\EC\2017-07-19-refined-times.txt</v>
      </c>
      <c r="AI3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{"issue":{"subject":"","project_id":79,"tracker_id":40,"status_id":1,"priority_id":2,"assigned_to_id":23,"start_date":"2017-07-19","description":"","custom_fields":[{"id":1,"name":"Subdivision","value":"EC"},{"id":4,"name":"Milepost","value":"23.328"},{"id":17,"name":"Train ID","value":"125-19"},{"id":16,"name":"Locomotive ID","value":"4028"},{"id":130,"name":"Impact","value":""},{"id":150,"name":"Time of Event (Mountain Time)","value":"07:22:51"},{"id":151,"name":"Denver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4028 --day 2017-07-19</v>
      </c>
      <c r="AN3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694</v>
      </c>
      <c r="B38" s="7">
        <v>4027</v>
      </c>
      <c r="C38" s="21" t="s">
        <v>199</v>
      </c>
      <c r="D38" s="21" t="s">
        <v>428</v>
      </c>
      <c r="E38" s="13">
        <v>42935.308981481481</v>
      </c>
      <c r="F38" s="13">
        <v>42935.32099537037</v>
      </c>
      <c r="G38" s="7">
        <v>1</v>
      </c>
      <c r="H38" s="21" t="s">
        <v>391</v>
      </c>
      <c r="I38" s="13">
        <v>42935.349074074074</v>
      </c>
      <c r="J38" s="7">
        <v>0</v>
      </c>
      <c r="K38" s="89" t="str">
        <f>IF(ISEVEN(B38),(B38-1)&amp;"/"&amp;B38,B38&amp;"/"&amp;(B38+1))</f>
        <v>4027/4028</v>
      </c>
      <c r="L38" s="21" t="str">
        <f>VLOOKUP(A38,'Trips&amp;Operators'!$C$1:$G$99999,5,FALSE)</f>
        <v>ELBAUM MIKE</v>
      </c>
      <c r="M38" s="6">
        <f>I38-F38</f>
        <v>2.8078703704522923E-2</v>
      </c>
      <c r="N38" s="7">
        <f>24*60*SUM($M38:$M38)</f>
        <v>40.433333334513009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-19T06:24:56-0600',mode:absolute,to:'2017-07-19T09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23.2971</v>
      </c>
      <c r="Z38" s="197">
        <f>RIGHT(H38,LEN(H38)-4)/10000</f>
        <v>1.5599999999999999E-2</v>
      </c>
      <c r="AA38" s="197">
        <f>ABS(Z38-Y38)</f>
        <v>23.281500000000001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/stypes="app*4027*20170719*"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126-19 --locoid 4027 --swversion DE.1.0.9.0 --startMP 204:232971 --initTime 2017-07-19T07:24:56 --startdatetime 2017-07-19T07:42:14 --delay 1 --endMP 204:156 --enddatetime 2017-07-19T08:22:40 --enforcementcount 0 &gt;&gt;C:\Users\stu\Documents\GitHub\eaglep3-reporting\EC\2017-07-19-refined-times.txt</v>
      </c>
      <c r="AI3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{"issue":{"subject":"","project_id":79,"tracker_id":40,"status_id":1,"priority_id":2,"assigned_to_id":23,"start_date":"2017-07-19","description":"","custom_fields":[{"id":1,"name":"Subdivision","value":"EC"},{"id":4,"name":"Milepost","value":"0.0156"},{"id":17,"name":"Train ID","value":"126-19"},{"id":16,"name":"Locomotive ID","value":"4027"},{"id":130,"name":"Impact","value":""},{"id":150,"name":"Time of Event (Mountain Time)","value":"08:22:40"},{"id":151,"name":"Denver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4027 --day 2017-07-19</v>
      </c>
      <c r="AN3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690</v>
      </c>
      <c r="B39" s="7">
        <v>4042</v>
      </c>
      <c r="C39" s="21" t="s">
        <v>199</v>
      </c>
      <c r="D39" s="21" t="s">
        <v>863</v>
      </c>
      <c r="E39" s="13">
        <v>42935.296111111114</v>
      </c>
      <c r="F39" s="13">
        <v>42935.297083333331</v>
      </c>
      <c r="G39" s="7">
        <v>1</v>
      </c>
      <c r="H39" s="21" t="s">
        <v>592</v>
      </c>
      <c r="I39" s="13">
        <v>42935.318761574075</v>
      </c>
      <c r="J39" s="7">
        <v>0</v>
      </c>
      <c r="K39" s="89" t="str">
        <f>IF(ISEVEN(B39),(B39-1)&amp;"/"&amp;B39,B39&amp;"/"&amp;(B39+1))</f>
        <v>4041/4042</v>
      </c>
      <c r="L39" s="21" t="str">
        <f>VLOOKUP(A39,'Trips&amp;Operators'!$C$1:$G$99999,5,FALSE)</f>
        <v>MILLER KEVIN</v>
      </c>
      <c r="M39" s="6">
        <f>I39-F39</f>
        <v>2.1678240744222421E-2</v>
      </c>
      <c r="N39" s="7"/>
      <c r="O39" s="7"/>
      <c r="P39" s="7">
        <f>24*60*SUM($M39:$M39)</f>
        <v>31.216666671680287</v>
      </c>
      <c r="Q39" s="22"/>
      <c r="R39" s="170" t="s">
        <v>551</v>
      </c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-19T06:06:24-0600',mode:absolute,to:'2017-07-19T08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9" s="197" t="str">
        <f>IF(AA39&lt;VLOOKUP(AG39,Variables!$AC$3:$AD$8,2,FALSE),"Y","N")</f>
        <v>Y</v>
      </c>
      <c r="X39" s="197">
        <f>VALUE(LEFT(AD39,4))-VALUE(LEFT(AD38,4))</f>
        <v>1</v>
      </c>
      <c r="Y39" s="197">
        <f>RIGHT(D39,LEN(D39)-4)/10000</f>
        <v>1.913</v>
      </c>
      <c r="Z39" s="197">
        <f>RIGHT(H39,LEN(H39)-4)/10000</f>
        <v>23.329499999999999</v>
      </c>
      <c r="AA39" s="197">
        <f>ABS(Z39-Y39)</f>
        <v>21.416499999999999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/stypes="app*4042*20170719*"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127-19 --locoid 4042 --swversion DE.1.0.9.0 --startMP 204:19130 --initTime 2017-07-19T07:06:24 --startdatetime 2017-07-19T07:07:48 --delay 1 --endMP 204:233295 --enddatetime 2017-07-19T07:39:01 --enforcementcount 0 &gt;&gt;C:\Users\stu\Documents\GitHub\eaglep3-reporting\EC\2017-07-19-refined-times.txt</v>
      </c>
      <c r="AI39" s="96" t="str">
        <f t="shared" si="5"/>
        <v>echo {"issue":{"subject":"Selected wrong track","project_id":79,"tracker_id":40,"status_id":1,"priority_id":2,"assigned_to_id":23,"start_date":"2017-07-19","description":"","custom_fields":[{"id":1,"name":"Subdivision","value":"EC"},{"id":4,"name":"Milepost","value":"23.3295"},{"id":17,"name":"Train ID","value":"127-19"},{"id":16,"name":"Locomotive ID","value":"4042"},{"id":130,"name":"Impact","value":""},{"id":150,"name":"Time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4042 --day 2017-07-19</v>
      </c>
      <c r="AN39" s="151" t="str">
        <f t="shared" si="7"/>
        <v>echo {"issue":{"subject":"Selected wrong track","project_id":30,"tracker_id":4,"status_id":1,"priority_id":1,"assigned_to_id":10,"start_date":"2017-07-19","description":"","custom_fields":[{"id":30,"name":"Category","value":"Issue"},{"id":3,"name":"Functional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690</v>
      </c>
      <c r="B40" s="7">
        <v>4042</v>
      </c>
      <c r="C40" s="21" t="s">
        <v>199</v>
      </c>
      <c r="D40" s="21" t="s">
        <v>474</v>
      </c>
      <c r="E40" s="13">
        <v>42935.287638888891</v>
      </c>
      <c r="F40" s="13">
        <v>42935.297083333331</v>
      </c>
      <c r="G40" s="7">
        <v>1</v>
      </c>
      <c r="H40" s="21" t="s">
        <v>864</v>
      </c>
      <c r="I40" s="13">
        <v>42935.318761574075</v>
      </c>
      <c r="J40" s="7">
        <v>0</v>
      </c>
      <c r="K40" s="89" t="str">
        <f>IF(ISEVEN(B40),(B40-1)&amp;"/"&amp;B40,B40&amp;"/"&amp;(B40+1))</f>
        <v>4041/4042</v>
      </c>
      <c r="L40" s="21" t="str">
        <f>VLOOKUP(A40,'Trips&amp;Operators'!$C$1:$G$99999,5,FALSE)</f>
        <v>MILLER KEVIN</v>
      </c>
      <c r="M40" s="6">
        <f>I40-F40</f>
        <v>2.1678240744222421E-2</v>
      </c>
      <c r="N40" s="7"/>
      <c r="O40" s="7"/>
      <c r="P40" s="7"/>
      <c r="Q40" s="22"/>
      <c r="R40" s="170"/>
      <c r="S40" s="213"/>
      <c r="T40" s="195" t="str">
        <f>IF(ISEVEN(LEFT(AD40,4)),"Southbound","NorthBound")</f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-19T05:54:12-0600',mode:absolute,to:'2017-07-19T08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0" s="197" t="str">
        <f>IF(AA40&lt;VLOOKUP(AG40,Variables!$AC$3:$AD$8,2,FALSE),"Y","N")</f>
        <v>Y</v>
      </c>
      <c r="X40" s="197">
        <f>VALUE(LEFT(AD40,4))-VALUE(LEFT(AD39,4))</f>
        <v>0</v>
      </c>
      <c r="Y40" s="197">
        <f>RIGHT(D40,LEN(D40)-4)/10000</f>
        <v>4.7500000000000001E-2</v>
      </c>
      <c r="Z40" s="197">
        <f>RIGHT(H40,LEN(H40)-4)/10000</f>
        <v>0.14680000000000001</v>
      </c>
      <c r="AA40" s="197">
        <f>ABS(Z40-Y40)</f>
        <v>9.9300000000000013E-2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/stypes="app*4042*20170719*" /stext=" 13:.+((SYSTEM_STATE.+slice.+state.+changed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127-19 --locoid 4042 --swversion DE.1.0.9.0 --startMP 204:475 --initTime 2017-07-19T06:54:12 --startdatetime 2017-07-19T07:07:48 --delay 1 --endMP 204:1468 --enddatetime 2017-07-19T07:39:01 --enforcementcount 0 &gt;&gt;C:\Users\stu\Documents\GitHub\eaglep3-reporting\EC\2017-07-19-refined-times.txt</v>
      </c>
      <c r="AI40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{"issue":{"subject":"","project_id":79,"tracker_id":40,"status_id":1,"priority_id":2,"assigned_to_id":23,"start_date":"2017-07-19","description":"","custom_fields":[{"id":1,"name":"Subdivision","value":"EC"},{"id":4,"name":"Milepost","value":"0.1468"},{"id":17,"name":"Train ID","value":"127-19"},{"id":16,"name":"Locomotive ID","value":"4042"},{"id":130,"name":"Impact","value":""},{"id":150,"name":"Time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4042 --day 2017-07-19</v>
      </c>
      <c r="AN40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699</v>
      </c>
      <c r="B41" s="7">
        <v>4041</v>
      </c>
      <c r="C41" s="21" t="s">
        <v>199</v>
      </c>
      <c r="D41" s="21" t="s">
        <v>543</v>
      </c>
      <c r="E41" s="13">
        <v>42935.328287037039</v>
      </c>
      <c r="F41" s="13">
        <v>42935.331678240742</v>
      </c>
      <c r="G41" s="7">
        <v>1</v>
      </c>
      <c r="H41" s="21" t="s">
        <v>345</v>
      </c>
      <c r="I41" s="13">
        <v>42935.358715277776</v>
      </c>
      <c r="J41" s="7">
        <v>0</v>
      </c>
      <c r="K41" s="89" t="str">
        <f>IF(ISEVEN(B41),(B41-1)&amp;"/"&amp;B41,B41&amp;"/"&amp;(B41+1))</f>
        <v>4041/4042</v>
      </c>
      <c r="L41" s="21" t="str">
        <f>VLOOKUP(A41,'Trips&amp;Operators'!$C$1:$G$99999,5,FALSE)</f>
        <v>MILLER KEVIN</v>
      </c>
      <c r="M41" s="6">
        <f>I41-F41</f>
        <v>2.7037037034460809E-2</v>
      </c>
      <c r="N41" s="7">
        <f>24*60*SUM($M41:$M41)</f>
        <v>38.933333329623565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-19T06:52:44-0600',mode:absolute,to:'2017-07-19T09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23.2987</v>
      </c>
      <c r="Z41" s="197">
        <f>RIGHT(H41,LEN(H41)-4)/10000</f>
        <v>1.43E-2</v>
      </c>
      <c r="AA41" s="197">
        <f>ABS(Z41-Y41)</f>
        <v>23.284400000000002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/stypes="app*4041*20170719*" /stext=" 14:.+((SYSTEM_STATE.+slice.+state.+changed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128-19 --locoid 4041 --swversion DE.1.0.9.0 --startMP 204:232987 --initTime 2017-07-19T07:52:44 --startdatetime 2017-07-19T07:57:37 --delay 1 --endMP 204:143 --enddatetime 2017-07-19T08:36:33 --enforcementcount 0 &gt;&gt;C:\Users\stu\Documents\GitHub\eaglep3-reporting\EC\2017-07-19-refined-times.txt</v>
      </c>
      <c r="AI41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ID","value":"128-19"},{"id":16,"name":"Locomotive ID","value":"4041"},{"id":130,"name":"Impact","value":""},{"id":150,"name":"Time of Event (Mountain Time)","value":"08:36:33"},{"id":151,"name":"Denver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4041 --day 2017-07-19</v>
      </c>
      <c r="AN41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693</v>
      </c>
      <c r="B42" s="7">
        <v>4032</v>
      </c>
      <c r="C42" s="21" t="s">
        <v>199</v>
      </c>
      <c r="D42" s="21" t="s">
        <v>349</v>
      </c>
      <c r="E42" s="13">
        <v>42935.298263888886</v>
      </c>
      <c r="F42" s="13">
        <v>42935.302604166667</v>
      </c>
      <c r="G42" s="7">
        <v>0</v>
      </c>
      <c r="H42" s="21" t="s">
        <v>865</v>
      </c>
      <c r="I42" s="13">
        <v>42935.327696759261</v>
      </c>
      <c r="J42" s="7">
        <v>0</v>
      </c>
      <c r="K42" s="89" t="str">
        <f>IF(ISEVEN(B42),(B42-1)&amp;"/"&amp;B42,B42&amp;"/"&amp;(B42+1))</f>
        <v>4031/4032</v>
      </c>
      <c r="L42" s="21" t="str">
        <f>VLOOKUP(A42,'Trips&amp;Operators'!$C$1:$G$99999,5,FALSE)</f>
        <v>MAELZER KURT</v>
      </c>
      <c r="M42" s="6">
        <f>I42-F42</f>
        <v>2.5092592593864538E-2</v>
      </c>
      <c r="N42" s="7">
        <f>24*60*SUM($M42:$M42)</f>
        <v>36.133333335164934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-19T06:09:30-0600',mode:absolute,to:'2017-07-19T08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4.53E-2</v>
      </c>
      <c r="Z42" s="197">
        <f>RIGHT(H42,LEN(H42)-4)/10000</f>
        <v>23.326599999999999</v>
      </c>
      <c r="AA42" s="197">
        <f>ABS(Z42-Y42)</f>
        <v>23.281299999999998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/stypes="app*4032*20170719*" /stext=" 13:.+((SYSTEM_STATE.+slice.+state.+changed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129-19 --locoid 4032 --swversion DE.1.0.9.0 --startMP 204:453 --initTime 2017-07-19T07:09:30 --startdatetime 2017-07-19T07:15:45 --delay 0 --endMP 204:233266 --enddatetime 2017-07-19T07:51:53 --enforcementcount 0 &gt;&gt;C:\Users\stu\Documents\GitHub\eaglep3-reporting\EC\2017-07-19-refined-times.txt</v>
      </c>
      <c r="AI42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{"issue":{"subject":"","project_id":79,"tracker_id":40,"status_id":1,"priority_id":2,"assigned_to_id":23,"start_date":"2017-07-19","description":"","custom_fields":[{"id":1,"name":"Subdivision","value":"EC"},{"id":4,"name":"Milepost","value":"23.3266"},{"id":17,"name":"Train ID","value":"129-19"},{"id":16,"name":"Locomotive ID","value":"4032"},{"id":130,"name":"Impact","value":""},{"id":150,"name":"Time of Event (Mountain Time)","value":"07:51:53"},{"id":151,"name":"Denver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4032 --day 2017-07-19</v>
      </c>
      <c r="AN42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702</v>
      </c>
      <c r="B43" s="7">
        <v>4031</v>
      </c>
      <c r="C43" s="21" t="s">
        <v>199</v>
      </c>
      <c r="D43" s="21" t="s">
        <v>427</v>
      </c>
      <c r="E43" s="13">
        <v>42935.333321759259</v>
      </c>
      <c r="F43" s="13">
        <v>42935.341967592591</v>
      </c>
      <c r="G43" s="7">
        <v>1</v>
      </c>
      <c r="H43" s="21" t="s">
        <v>386</v>
      </c>
      <c r="I43" s="13">
        <v>42935.369166666664</v>
      </c>
      <c r="J43" s="7">
        <v>0</v>
      </c>
      <c r="K43" s="89" t="str">
        <f>IF(ISEVEN(B43),(B43-1)&amp;"/"&amp;B43,B43&amp;"/"&amp;(B43+1))</f>
        <v>4031/4032</v>
      </c>
      <c r="L43" s="21" t="str">
        <f>VLOOKUP(A43,'Trips&amp;Operators'!$C$1:$G$99999,5,FALSE)</f>
        <v>MAELZER KURT</v>
      </c>
      <c r="M43" s="6">
        <f>I43-F43</f>
        <v>2.7199074072996154E-2</v>
      </c>
      <c r="N43" s="7">
        <f>24*60*SUM($M43:$M43)</f>
        <v>39.166666665114462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-19T06:59:59-0600',mode:absolute,to:'2017-07-19T09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23.2973</v>
      </c>
      <c r="Z43" s="197">
        <f>RIGHT(H43,LEN(H43)-4)/10000</f>
        <v>1.4500000000000001E-2</v>
      </c>
      <c r="AA43" s="197">
        <f>ABS(Z43-Y43)</f>
        <v>23.282799999999998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/stypes="app*4031*20170719*"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130-19 --locoid 4031 --swversion DE.1.0.9.0 --startMP 204:232973 --initTime 2017-07-19T07:59:59 --startdatetime 2017-07-19T08:12:26 --delay 1 --endMP 204:145 --enddatetime 2017-07-19T08:51:36 --enforcementcount 0 &gt;&gt;C:\Users\stu\Documents\GitHub\eaglep3-reporting\EC\2017-07-19-refined-times.txt</v>
      </c>
      <c r="AI43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{"issue":{"subject":"","project_id":79,"tracker_id":40,"status_id":1,"priority_id":2,"assigned_to_id":23,"start_date":"2017-07-19","description":"","custom_fields":[{"id":1,"name":"Subdivision","value":"EC"},{"id":4,"name":"Milepost","value":"0.0145"},{"id":17,"name":"Train ID","value":"130-19"},{"id":16,"name":"Locomotive ID","value":"4031"},{"id":130,"name":"Impact","value":""},{"id":150,"name":"Time of Event (Mountain Time)","value":"08:51:36"},{"id":151,"name":"Denver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4031 --day 2017-07-19</v>
      </c>
      <c r="AN43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695</v>
      </c>
      <c r="B44" s="7">
        <v>4004</v>
      </c>
      <c r="C44" s="21" t="s">
        <v>199</v>
      </c>
      <c r="D44" s="21" t="s">
        <v>470</v>
      </c>
      <c r="E44" s="13">
        <v>42935.309039351851</v>
      </c>
      <c r="F44" s="13">
        <v>42935.313067129631</v>
      </c>
      <c r="G44" s="7">
        <v>1</v>
      </c>
      <c r="H44" s="21" t="s">
        <v>866</v>
      </c>
      <c r="I44" s="13">
        <v>42935.339629629627</v>
      </c>
      <c r="J44" s="7">
        <v>0</v>
      </c>
      <c r="K44" s="89" t="str">
        <f>IF(ISEVEN(B44),(B44-1)&amp;"/"&amp;B44,B44&amp;"/"&amp;(B44+1))</f>
        <v>4003/4004</v>
      </c>
      <c r="L44" s="21" t="str">
        <f>VLOOKUP(A44,'Trips&amp;Operators'!$C$1:$G$99999,5,FALSE)</f>
        <v>YANG JAN</v>
      </c>
      <c r="M44" s="6">
        <f>I44-F44</f>
        <v>2.6562499995634425E-2</v>
      </c>
      <c r="N44" s="7">
        <f>24*60*SUM($M44:$M44)</f>
        <v>38.249999993713573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-19T06:25:01-0600',mode:absolute,to:'2017-07-19T09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4.6399999999999997E-2</v>
      </c>
      <c r="Z44" s="197">
        <f>RIGHT(H44,LEN(H44)-4)/10000</f>
        <v>23.3306</v>
      </c>
      <c r="AA44" s="197">
        <f>ABS(Z44-Y44)</f>
        <v>23.284200000000002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/stypes="app*4004*20170719*" /stext=" 14:.+((SYSTEM_STATE.+slice.+state.+changed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131-19 --locoid 4004 --swversion DE.1.0.9.0 --startMP 204:464 --initTime 2017-07-19T07:25:01 --startdatetime 2017-07-19T07:30:49 --delay 1 --endMP 204:233306 --enddatetime 2017-07-19T08:09:04 --enforcementcount 0 &gt;&gt;C:\Users\stu\Documents\GitHub\eaglep3-reporting\EC\2017-07-19-refined-times.txt</v>
      </c>
      <c r="AI44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{"issue":{"subject":"","project_id":79,"tracker_id":40,"status_id":1,"priority_id":2,"assigned_to_id":23,"start_date":"2017-07-19","description":"","custom_fields":[{"id":1,"name":"Subdivision","value":"EC"},{"id":4,"name":"Milepost","value":"23.3306"},{"id":17,"name":"Train ID","value":"131-19"},{"id":16,"name":"Locomotive ID","value":"4004"},{"id":130,"name":"Impact","value":""},{"id":150,"name":"Time of Event (Mountain Time)","value":"08:09:04"},{"id":151,"name":"Denver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4004 --day 2017-07-19</v>
      </c>
      <c r="AN44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705</v>
      </c>
      <c r="B45" s="7">
        <v>4003</v>
      </c>
      <c r="C45" s="21" t="s">
        <v>199</v>
      </c>
      <c r="D45" s="21" t="s">
        <v>867</v>
      </c>
      <c r="E45" s="13">
        <v>42935.349317129629</v>
      </c>
      <c r="F45" s="13">
        <v>42935.352280092593</v>
      </c>
      <c r="G45" s="7">
        <v>2</v>
      </c>
      <c r="H45" s="21" t="s">
        <v>344</v>
      </c>
      <c r="I45" s="13">
        <v>42935.379236111112</v>
      </c>
      <c r="J45" s="7">
        <v>0</v>
      </c>
      <c r="K45" s="89" t="str">
        <f>IF(ISEVEN(B45),(B45-1)&amp;"/"&amp;B45,B45&amp;"/"&amp;(B45+1))</f>
        <v>4003/4004</v>
      </c>
      <c r="L45" s="21" t="str">
        <f>VLOOKUP(A45,'Trips&amp;Operators'!$C$1:$G$99999,5,FALSE)</f>
        <v>YANG JAN</v>
      </c>
      <c r="M45" s="6">
        <f>I45-F45</f>
        <v>2.6956018518831115E-2</v>
      </c>
      <c r="N45" s="7">
        <f>24*60*SUM($M45:$M45)</f>
        <v>38.816666667116806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-19T07:23:01-0600',mode:absolute,to:'2017-07-19T10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23.2974</v>
      </c>
      <c r="Z45" s="197">
        <f>RIGHT(H45,LEN(H45)-4)/10000</f>
        <v>1.49E-2</v>
      </c>
      <c r="AA45" s="197">
        <f>ABS(Z45-Y45)</f>
        <v>23.282499999999999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/stypes="app*4003*20170719*" /stext=" 15:.+((SYSTEM_STATE.+slice.+state.+changed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132-19 --locoid 4003 --swversion DE.1.0.9.0 --startMP 204:232974 --initTime 2017-07-19T08:23:01 --startdatetime 2017-07-19T08:27:17 --delay 2 --endMP 204:149 --enddatetime 2017-07-19T09:06:06 --enforcementcount 0 &gt;&gt;C:\Users\stu\Documents\GitHub\eaglep3-reporting\EC\2017-07-19-refined-times.txt</v>
      </c>
      <c r="AI45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ID","value":"132-19"},{"id":16,"name":"Locomotive ID","value":"4003"},{"id":130,"name":"Impact","value":""},{"id":150,"name":"Time of Event (Mountain Time)","value":"09:06:06"},{"id":151,"name":"Denver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4003 --day 2017-07-19</v>
      </c>
      <c r="AN45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697</v>
      </c>
      <c r="B46" s="7">
        <v>4054</v>
      </c>
      <c r="C46" s="21" t="s">
        <v>199</v>
      </c>
      <c r="D46" s="21" t="s">
        <v>196</v>
      </c>
      <c r="E46" s="13">
        <v>42935.320057870369</v>
      </c>
      <c r="F46" s="13">
        <v>42935.323460648149</v>
      </c>
      <c r="G46" s="7">
        <v>1</v>
      </c>
      <c r="H46" s="21" t="s">
        <v>544</v>
      </c>
      <c r="I46" s="13">
        <v>42935.348981481482</v>
      </c>
      <c r="J46" s="7">
        <v>0</v>
      </c>
      <c r="K46" s="89" t="str">
        <f>IF(ISEVEN(B46),(B46-1)&amp;"/"&amp;B46,B46&amp;"/"&amp;(B46+1))</f>
        <v>4053/4054</v>
      </c>
      <c r="L46" s="21" t="str">
        <f>VLOOKUP(A46,'Trips&amp;Operators'!$C$1:$G$99999,5,FALSE)</f>
        <v>STARKS ANGELINA</v>
      </c>
      <c r="M46" s="6">
        <f>I46-F46</f>
        <v>2.5520833332848269E-2</v>
      </c>
      <c r="N46" s="7">
        <f>24*60*SUM($M46:$M46)</f>
        <v>36.749999999301508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-19T06:40:53-0600',mode:absolute,to:'2017-07-19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4.5699999999999998E-2</v>
      </c>
      <c r="Z46" s="197">
        <f>RIGHT(H46,LEN(H46)-4)/10000</f>
        <v>23.3307</v>
      </c>
      <c r="AA46" s="197">
        <f>ABS(Z46-Y46)</f>
        <v>23.285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/stypes="app*4054*20170719*" /stext=" 14:.+((SYSTEM_STATE.+slice.+state.+changed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133-19 --locoid 4054 --swversion DE.1.0.9.0 --startMP 204:457 --initTime 2017-07-19T07:40:53 --startdatetime 2017-07-19T07:45:47 --delay 1 --endMP 204:233307 --enddatetime 2017-07-19T08:22:32 --enforcementcount 0 &gt;&gt;C:\Users\stu\Documents\GitHub\eaglep3-reporting\EC\2017-07-19-refined-times.txt</v>
      </c>
      <c r="AI4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{"issue":{"subject":"","project_id":79,"tracker_id":40,"status_id":1,"priority_id":2,"assigned_to_id":23,"start_date":"2017-07-19","description":"","custom_fields":[{"id":1,"name":"Subdivision","value":"EC"},{"id":4,"name":"Milepost","value":"23.3307"},{"id":17,"name":"Train ID","value":"133-19"},{"id":16,"name":"Locomotive ID","value":"4054"},{"id":130,"name":"Impact","value":""},{"id":150,"name":"Time of Event (Mountain Time)","value":"08:22:32"},{"id":151,"name":"Denver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4054 --day 2017-07-19</v>
      </c>
      <c r="AN4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708</v>
      </c>
      <c r="B47" s="7">
        <v>4053</v>
      </c>
      <c r="C47" s="21" t="s">
        <v>199</v>
      </c>
      <c r="D47" s="21" t="s">
        <v>427</v>
      </c>
      <c r="E47" s="13">
        <v>42935.360902777778</v>
      </c>
      <c r="F47" s="13">
        <v>42935.362812500003</v>
      </c>
      <c r="G47" s="7">
        <v>1</v>
      </c>
      <c r="H47" s="21" t="s">
        <v>419</v>
      </c>
      <c r="I47" s="13">
        <v>42935.390393518515</v>
      </c>
      <c r="J47" s="7">
        <v>0</v>
      </c>
      <c r="K47" s="89" t="str">
        <f>IF(ISEVEN(B47),(B47-1)&amp;"/"&amp;B47,B47&amp;"/"&amp;(B47+1))</f>
        <v>4053/4054</v>
      </c>
      <c r="L47" s="21" t="str">
        <f>VLOOKUP(A47,'Trips&amp;Operators'!$C$1:$G$99999,5,FALSE)</f>
        <v>GEBRETEKLE DAGNEW</v>
      </c>
      <c r="M47" s="6">
        <f>I47-F47</f>
        <v>2.7581018512137234E-2</v>
      </c>
      <c r="N47" s="7">
        <f>24*60*SUM($M47:$M47)</f>
        <v>39.716666657477617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-19T07:39:42-0600',mode:absolute,to:'2017-07-19T10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23.2973</v>
      </c>
      <c r="Z47" s="197">
        <f>RIGHT(H47,LEN(H47)-4)/10000</f>
        <v>1.3599999999999999E-2</v>
      </c>
      <c r="AA47" s="197">
        <f>ABS(Z47-Y47)</f>
        <v>23.2837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/stypes="app*4053*20170719*" /stext=" 15:.+((SYSTEM_STATE.+slice.+state.+changed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134-19 --locoid 4053 --swversion DE.1.0.9.0 --startMP 204:232973 --initTime 2017-07-19T08:39:42 --startdatetime 2017-07-19T08:42:27 --delay 1 --endMP 204:136 --enddatetime 2017-07-19T09:22:10 --enforcementcount 0 &gt;&gt;C:\Users\stu\Documents\GitHub\eaglep3-reporting\EC\2017-07-19-refined-times.txt</v>
      </c>
      <c r="AI4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{"issue":{"subject":"","project_id":79,"tracker_id":40,"status_id":1,"priority_id":2,"assigned_to_id":23,"start_date":"2017-07-19","description":"","custom_fields":[{"id":1,"name":"Subdivision","value":"EC"},{"id":4,"name":"Milepost","value":"0.0136"},{"id":17,"name":"Train ID","value":"134-19"},{"id":16,"name":"Locomotive ID","value":"4053"},{"id":130,"name":"Impact","value":""},{"id":150,"name":"Time of Event (Mountain Time)","value":"09:22:10"},{"id":151,"name":"Denver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4053 --day 2017-07-19</v>
      </c>
      <c r="AN4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701</v>
      </c>
      <c r="B48" s="7">
        <v>4030</v>
      </c>
      <c r="C48" s="21" t="s">
        <v>199</v>
      </c>
      <c r="D48" s="21" t="s">
        <v>403</v>
      </c>
      <c r="E48" s="13">
        <v>42935.331967592596</v>
      </c>
      <c r="F48" s="13">
        <v>42935.334016203706</v>
      </c>
      <c r="G48" s="7">
        <v>1</v>
      </c>
      <c r="H48" s="21" t="s">
        <v>585</v>
      </c>
      <c r="I48" s="13">
        <v>42935.359756944446</v>
      </c>
      <c r="J48" s="7">
        <v>0</v>
      </c>
      <c r="K48" s="89" t="str">
        <f>IF(ISEVEN(B48),(B48-1)&amp;"/"&amp;B48,B48&amp;"/"&amp;(B48+1))</f>
        <v>4029/4030</v>
      </c>
      <c r="L48" s="21" t="str">
        <f>VLOOKUP(A48,'Trips&amp;Operators'!$C$1:$G$99999,5,FALSE)</f>
        <v>LANGERAK WILLIAM</v>
      </c>
      <c r="M48" s="6">
        <f>I48-F48</f>
        <v>2.5740740740729962E-2</v>
      </c>
      <c r="N48" s="7">
        <f>24*60*SUM($M48:$M48)</f>
        <v>37.066666666651145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-19T06:58:02-0600',mode:absolute,to:'2017-07-19T09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4.5499999999999999E-2</v>
      </c>
      <c r="Z48" s="197">
        <f>RIGHT(H48,LEN(H48)-4)/10000</f>
        <v>23.327999999999999</v>
      </c>
      <c r="AA48" s="197">
        <f>ABS(Z48-Y48)</f>
        <v>23.282499999999999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/stypes="app*4030*20170719*" /stext=" 14:.+((SYSTEM_STATE.+slice.+state.+changed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135-19 --locoid 4030 --swversion DE.1.0.9.0 --startMP 204:455 --initTime 2017-07-19T07:58:02 --startdatetime 2017-07-19T08:00:59 --delay 1 --endMP 204:233280 --enddatetime 2017-07-19T08:38:03 --enforcementcount 0 &gt;&gt;C:\Users\stu\Documents\GitHub\eaglep3-reporting\EC\2017-07-19-refined-times.txt</v>
      </c>
      <c r="AI4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{"issue":{"subject":"","project_id":79,"tracker_id":40,"status_id":1,"priority_id":2,"assigned_to_id":23,"start_date":"2017-07-19","description":"","custom_fields":[{"id":1,"name":"Subdivision","value":"EC"},{"id":4,"name":"Milepost","value":"23.328"},{"id":17,"name":"Train ID","value":"135-19"},{"id":16,"name":"Locomotive ID","value":"4030"},{"id":130,"name":"Impact","value":""},{"id":150,"name":"Time of Event (Mountain Time)","value":"08:38:03"},{"id":151,"name":"Denver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4030 --day 2017-07-19</v>
      </c>
      <c r="AN4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710</v>
      </c>
      <c r="B49" s="7">
        <v>4029</v>
      </c>
      <c r="C49" s="21" t="s">
        <v>199</v>
      </c>
      <c r="D49" s="21" t="s">
        <v>510</v>
      </c>
      <c r="E49" s="13">
        <v>42935.369664351849</v>
      </c>
      <c r="F49" s="13">
        <v>42935.373136574075</v>
      </c>
      <c r="G49" s="7">
        <v>1</v>
      </c>
      <c r="H49" s="21" t="s">
        <v>345</v>
      </c>
      <c r="I49" s="13">
        <v>42935.400034722225</v>
      </c>
      <c r="J49" s="7">
        <v>0</v>
      </c>
      <c r="K49" s="89" t="str">
        <f>IF(ISEVEN(B49),(B49-1)&amp;"/"&amp;B49,B49&amp;"/"&amp;(B49+1))</f>
        <v>4029/4030</v>
      </c>
      <c r="L49" s="21" t="str">
        <f>VLOOKUP(A49,'Trips&amp;Operators'!$C$1:$G$99999,5,FALSE)</f>
        <v>LANGERAK WILLIAM</v>
      </c>
      <c r="M49" s="6">
        <f>I49-F49</f>
        <v>2.6898148149484769E-2</v>
      </c>
      <c r="N49" s="7">
        <f>24*60*SUM($M49:$M49)</f>
        <v>38.733333335258067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-19T07:52:19-0600',mode:absolute,to:'2017-07-19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23.298300000000001</v>
      </c>
      <c r="Z49" s="197">
        <f>RIGHT(H49,LEN(H49)-4)/10000</f>
        <v>1.43E-2</v>
      </c>
      <c r="AA49" s="197">
        <f>ABS(Z49-Y49)</f>
        <v>23.284000000000002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/stypes="app*4029*20170719*" /stext=" 15:.+((SYSTEM_STATE.+slice.+state.+changed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136-19 --locoid 4029 --swversion DE.1.0.9.0 --startMP 204:232983 --initTime 2017-07-19T08:52:19 --startdatetime 2017-07-19T08:57:19 --delay 1 --endMP 204:143 --enddatetime 2017-07-19T09:36:03 --enforcementcount 0 &gt;&gt;C:\Users\stu\Documents\GitHub\eaglep3-reporting\EC\2017-07-19-refined-times.txt</v>
      </c>
      <c r="AI49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ID","value":"136-19"},{"id":16,"name":"Locomotive ID","value":"4029"},{"id":130,"name":"Impact","value":""},{"id":150,"name":"Time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4029 --day 2017-07-19</v>
      </c>
      <c r="AN49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704</v>
      </c>
      <c r="B50" s="7">
        <v>4046</v>
      </c>
      <c r="C50" s="21" t="s">
        <v>199</v>
      </c>
      <c r="D50" s="21" t="s">
        <v>510</v>
      </c>
      <c r="E50" s="13">
        <v>42935.369664351849</v>
      </c>
      <c r="F50" s="13">
        <v>42935.344664351855</v>
      </c>
      <c r="G50" s="7">
        <v>1</v>
      </c>
      <c r="H50" s="21" t="s">
        <v>345</v>
      </c>
      <c r="I50" s="13">
        <v>42935.345833333333</v>
      </c>
      <c r="J50" s="7">
        <v>0</v>
      </c>
      <c r="K50" s="89" t="str">
        <f>IF(ISEVEN(B50),(B50-1)&amp;"/"&amp;B50,B50&amp;"/"&amp;(B50+1))</f>
        <v>4045/4046</v>
      </c>
      <c r="L50" s="21" t="str">
        <f>VLOOKUP(A50,'Trips&amp;Operators'!$C$1:$G$99999,5,FALSE)</f>
        <v>DAVIS WENDY</v>
      </c>
      <c r="M50" s="6">
        <f>I50-F50</f>
        <v>1.1689814782585017E-3</v>
      </c>
      <c r="N50" s="7"/>
      <c r="O50" s="7"/>
      <c r="P50" s="7">
        <f>24*60*SUM($M50:$M50)</f>
        <v>1.6833333286922425</v>
      </c>
      <c r="Q50" s="22"/>
      <c r="R50" s="170" t="s">
        <v>1041</v>
      </c>
      <c r="S50" s="213">
        <f>1/IF(AG50="EC",12,1)*SUM(U50:U50)</f>
        <v>0</v>
      </c>
      <c r="T50" s="195" t="str">
        <f>IF(ISEVEN(LEFT(AD50,4)),"Southbound","NorthBound")</f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-19T07:52:19-0600',mode:absolute,to:'2017-07-19T09:18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0" s="197" t="str">
        <f>IF(AA50&lt;VLOOKUP(AG50,Variables!$AC$3:$AD$8,2,FALSE),"Y","N")</f>
        <v>N</v>
      </c>
      <c r="X50" s="197">
        <f t="shared" ref="X50:X54" si="8">VALUE(LEFT(AD50,4))-VALUE(LEFT(AD49,4))</f>
        <v>1</v>
      </c>
      <c r="Y50" s="197">
        <f>RIGHT(D50,LEN(D50)-4)/10000</f>
        <v>23.298300000000001</v>
      </c>
      <c r="Z50" s="197">
        <f>RIGHT(H50,LEN(H50)-4)/10000</f>
        <v>1.43E-2</v>
      </c>
      <c r="AA50" s="197">
        <f>ABS(Z50-Y50)</f>
        <v>23.284000000000002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s3://rtdc.mdm.uploadarchive.raw/RTDC4046/ "%USERPROFILE%\AppData\Local\Temp\OnboardLogs"\RTDC4046\2017-07-19 --exclude "*" --recursive --include "*20170719*" &amp; "%USERPROFILE%\Documents\GitHub\mrs-test-scripts\Headless Mode &amp; Sideloading\WalkAndUnGZ.bat" "%USERPROFILE%\AppData\Local\Temp\OnboardLogs"\RTDC4046\2017-07-19 &amp; 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/stypes="app*4046*20170719*" /stext=" 14:.+((SYSTEM_STATE.+slice.+state.+changed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ref="AH50" si="9"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"&amp;J50&amp;IF(outputrefinedruntimes," &gt;&gt;"&amp;RefinedRTDCRunTimesOutputFile,"")</f>
        <v>"%USERPROFILE%\Documents\GitHub\eaglep3\Utilities\RefineRTDCRunTimes.py" --tripid 137-19 --locoid 4046 --swversion DE.1.0.9.0 --startMP 204:232983 --initTime 2017-07-19T08:52:19 --startdatetime 2017-07-19T08:16:19 --delay 1 --endMP 204:143 --enddatetime 2017-07-19T08:18:00 --enforcementcount 0 &gt;&gt;C:\Users\stu\Documents\GitHub\eaglep3-reporting\EC\2017-07-19-refined-times.txt</v>
      </c>
      <c r="AI50" s="96" t="str">
        <f t="shared" ref="AI50" si="10"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Z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failure","project_id":79,"tracker_id":40,"status_id":1,"priority_id":2,"assigned_to_id":23,"start_date":"2017-07-19","description":"","custom_fields":[{"id":1,"name":"Subdivision","value":"EC"},{"id":4,"name":"Milepost","value":"0.0143"},{"id":17,"name":"Train ID","value":"137-19"},{"id":16,"name":"Locomotive ID","value":"4046"},{"id":130,"name":"Impact","value":""},{"id":150,"name":"Time of Event (Mountain Time)","value":"08:18:00"},{"id":151,"name":"Denver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ref="AM50" si="11">"start /low /b "&amp;dls3logs&amp;" --loco "&amp;B50&amp;" --day "&amp;TEXT(F50,"YYYY-MM-DD")</f>
        <v>start /low /b %USERPROFILE%\Documents\GitHub\eaglep3\Utilities\DownloadLogsFromS3.py --loco 4046 --day 2017-07-19</v>
      </c>
      <c r="AN50" s="151" t="str">
        <f t="shared" ref="AN50" si="12">"echo {""issue"":{""subject"":"""&amp;R50&amp;""",""project_id"":30,""tracker_id"":4,""status_id"":"&amp;redmine_status_wcr&amp;",""priority_id"":"&amp;redmine_priority_wcr&amp;",""assigned_to_id"":"&amp;redmine_assignee_wcr&amp;",""start_date"":"""&amp;TEXT(I50-utc_offset/24,"YYYY-mm-dd")&amp;""",""description"":"""&amp;AJ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14:18:00"},{"id":29,"name":"Sharepoint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</row>
    <row r="51" spans="1:91" s="1" customFormat="1" x14ac:dyDescent="0.25">
      <c r="A51" s="32" t="s">
        <v>712</v>
      </c>
      <c r="B51" s="7">
        <v>4045</v>
      </c>
      <c r="C51" s="21" t="s">
        <v>199</v>
      </c>
      <c r="D51" s="21" t="s">
        <v>427</v>
      </c>
      <c r="E51" s="13">
        <v>42935.379270833335</v>
      </c>
      <c r="F51" s="13">
        <v>42935.383576388886</v>
      </c>
      <c r="G51" s="7">
        <v>1</v>
      </c>
      <c r="H51" s="21" t="s">
        <v>868</v>
      </c>
      <c r="I51" s="13">
        <v>42935.413819444446</v>
      </c>
      <c r="J51" s="7">
        <v>0</v>
      </c>
      <c r="K51" s="89" t="str">
        <f>IF(ISEVEN(B51),(B51-1)&amp;"/"&amp;B51,B51&amp;"/"&amp;(B51+1))</f>
        <v>4045/4046</v>
      </c>
      <c r="L51" s="21" t="str">
        <f>VLOOKUP(A51,'Trips&amp;Operators'!$C$1:$G$99999,5,FALSE)</f>
        <v>DAVIS WENDY</v>
      </c>
      <c r="M51" s="6">
        <f>I51-F51</f>
        <v>3.0243055560276844E-2</v>
      </c>
      <c r="N51" s="7">
        <f>24*60*SUM($M51:$M51)</f>
        <v>43.550000006798655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-19T08:06:09-0600',mode:absolute,to:'2017-07-19T10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1" s="197" t="str">
        <f>IF(AA51&lt;VLOOKUP(AG51,Variables!$AC$3:$AD$8,2,FALSE),"Y","N")</f>
        <v>N</v>
      </c>
      <c r="X51" s="197">
        <f t="shared" si="8"/>
        <v>1</v>
      </c>
      <c r="Y51" s="197">
        <f>RIGHT(D51,LEN(D51)-4)/10000</f>
        <v>23.2973</v>
      </c>
      <c r="Z51" s="197">
        <f>RIGHT(H51,LEN(H51)-4)/10000</f>
        <v>0.1148</v>
      </c>
      <c r="AA51" s="197">
        <f>ABS(Z51-Y51)</f>
        <v>23.182500000000001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 &amp; 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/stypes="app*4045*20170719*"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138-19 --locoid 4045 --swversion DE.1.0.9.0 --startMP 204:232973 --initTime 2017-07-19T09:06:09 --startdatetime 2017-07-19T09:12:21 --delay 1 --endMP 204:1148 --enddatetime 2017-07-19T09:55:54 --enforcementcount 0 &gt;&gt;C:\Users\stu\Documents\GitHub\eaglep3-reporting\EC\2017-07-19-refined-times.txt</v>
      </c>
      <c r="AI51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{"issue":{"subject":"","project_id":79,"tracker_id":40,"status_id":1,"priority_id":2,"assigned_to_id":23,"start_date":"2017-07-19","description":"","custom_fields":[{"id":1,"name":"Subdivision","value":"EC"},{"id":4,"name":"Milepost","value":"0.1148"},{"id":17,"name":"Train ID","value":"138-19"},{"id":16,"name":"Locomotive ID","value":"4045"},{"id":130,"name":"Impact","value":""},{"id":150,"name":"Time of Event (Mountain Time)","value":"09:55:54"},{"id":151,"name":"Denver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4045 --day 2017-07-19</v>
      </c>
      <c r="AN51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615</v>
      </c>
      <c r="B52" s="7">
        <v>4028</v>
      </c>
      <c r="C52" s="21" t="s">
        <v>199</v>
      </c>
      <c r="D52" s="21" t="s">
        <v>349</v>
      </c>
      <c r="E52" s="13">
        <v>42935.350810185184</v>
      </c>
      <c r="F52" s="13">
        <v>42935.356620370374</v>
      </c>
      <c r="G52" s="7">
        <v>1</v>
      </c>
      <c r="H52" s="21" t="s">
        <v>869</v>
      </c>
      <c r="I52" s="13">
        <v>42935.388124999998</v>
      </c>
      <c r="J52" s="7">
        <v>0</v>
      </c>
      <c r="K52" s="89" t="str">
        <f>IF(ISEVEN(B52),(B52-1)&amp;"/"&amp;B52,B52&amp;"/"&amp;(B52+1))</f>
        <v>4027/4028</v>
      </c>
      <c r="L52" s="21" t="str">
        <f>VLOOKUP(A52,'Trips&amp;Operators'!$C$1:$G$99999,5,FALSE)</f>
        <v>ELBAUM MIKE</v>
      </c>
      <c r="M52" s="6">
        <f>I52-F52</f>
        <v>3.1504629623668734E-2</v>
      </c>
      <c r="N52" s="7">
        <f>24*60*SUM($M52:$M52)</f>
        <v>45.366666658082977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-19T07:25:10-0600',mode:absolute,to:'2017-07-19T10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197" t="str">
        <f>IF(AA52&lt;VLOOKUP(AG52,Variables!$AC$3:$AD$8,2,FALSE),"Y","N")</f>
        <v>N</v>
      </c>
      <c r="X52" s="197">
        <f t="shared" si="8"/>
        <v>1</v>
      </c>
      <c r="Y52" s="197">
        <f>RIGHT(D52,LEN(D52)-4)/10000</f>
        <v>4.53E-2</v>
      </c>
      <c r="Z52" s="197">
        <f>RIGHT(H52,LEN(H52)-4)/10000</f>
        <v>23.314</v>
      </c>
      <c r="AA52" s="197">
        <f>ABS(Z52-Y52)</f>
        <v>23.268699999999999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/stypes="app*4028*20170719*" /stext=" 15:.+((SYSTEM_STATE.+slice.+state.+changed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139-19 --locoid 4028 --swversion DE.1.0.9.0 --startMP 204:453 --initTime 2017-07-19T08:25:10 --startdatetime 2017-07-19T08:33:32 --delay 1 --endMP 204:233140 --enddatetime 2017-07-19T09:18:54 --enforcementcount 0 &gt;&gt;C:\Users\stu\Documents\GitHub\eaglep3-reporting\EC\2017-07-19-refined-times.txt</v>
      </c>
      <c r="AI52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{"issue":{"subject":"","project_id":79,"tracker_id":40,"status_id":1,"priority_id":2,"assigned_to_id":23,"start_date":"2017-07-19","description":"","custom_fields":[{"id":1,"name":"Subdivision","value":"EC"},{"id":4,"name":"Milepost","value":"23.314"},{"id":17,"name":"Train ID","value":"139-19"},{"id":16,"name":"Locomotive ID","value":"4028"},{"id":130,"name":"Impact","value":""},{"id":150,"name":"Time of Event (Mountain Time)","value":"09:18:54"},{"id":151,"name":"Denver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4028 --day 2017-07-19</v>
      </c>
      <c r="AN52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714</v>
      </c>
      <c r="B53" s="7">
        <v>4027</v>
      </c>
      <c r="C53" s="21" t="s">
        <v>199</v>
      </c>
      <c r="D53" s="21" t="s">
        <v>870</v>
      </c>
      <c r="E53" s="13">
        <v>42935.39</v>
      </c>
      <c r="F53" s="13">
        <v>42935.393912037034</v>
      </c>
      <c r="G53" s="7">
        <v>1</v>
      </c>
      <c r="H53" s="21" t="s">
        <v>353</v>
      </c>
      <c r="I53" s="13">
        <v>42935.420995370368</v>
      </c>
      <c r="J53" s="7">
        <v>0</v>
      </c>
      <c r="K53" s="89" t="str">
        <f>IF(ISEVEN(B53),(B53-1)&amp;"/"&amp;B53,B53&amp;"/"&amp;(B53+1))</f>
        <v>4027/4028</v>
      </c>
      <c r="L53" s="21" t="str">
        <f>VLOOKUP(A53,'Trips&amp;Operators'!$C$1:$G$99999,5,FALSE)</f>
        <v>ELBAUM MIKE</v>
      </c>
      <c r="M53" s="6">
        <f>I53-F53</f>
        <v>2.7083333334303461E-2</v>
      </c>
      <c r="N53" s="7">
        <f>24*60*SUM($M53:$M53)</f>
        <v>39.000000001396984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-19T08:21:36-0600',mode:absolute,to:'2017-07-19T11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197" t="str">
        <f>IF(AA53&lt;VLOOKUP(AG53,Variables!$AC$3:$AD$8,2,FALSE),"Y","N")</f>
        <v>N</v>
      </c>
      <c r="X53" s="197">
        <f t="shared" si="8"/>
        <v>1</v>
      </c>
      <c r="Y53" s="197">
        <f>RIGHT(D53,LEN(D53)-4)/10000</f>
        <v>23.281700000000001</v>
      </c>
      <c r="Z53" s="197">
        <f>RIGHT(H53,LEN(H53)-4)/10000</f>
        <v>1.41E-2</v>
      </c>
      <c r="AA53" s="197">
        <f>ABS(Z53-Y53)</f>
        <v>23.267600000000002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/stypes="app*4027*20170719*" /stext=" 16:.+((SYSTEM_STATE.+slice.+state.+changed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140-19 --locoid 4027 --swversion DE.1.0.9.0 --startMP 204:232817 --initTime 2017-07-19T09:21:36 --startdatetime 2017-07-19T09:27:14 --delay 1 --endMP 204:141 --enddatetime 2017-07-19T10:06:14 --enforcementcount 0 &gt;&gt;C:\Users\stu\Documents\GitHub\eaglep3-reporting\EC\2017-07-19-refined-times.txt</v>
      </c>
      <c r="AI53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{"issue":{"subject":"","project_id":79,"tracker_id":40,"status_id":1,"priority_id":2,"assigned_to_id":23,"start_date":"2017-07-19","description":"","custom_fields":[{"id":1,"name":"Subdivision","value":"EC"},{"id":4,"name":"Milepost","value":"0.0141"},{"id":17,"name":"Train ID","value":"140-19"},{"id":16,"name":"Locomotive ID","value":"4027"},{"id":130,"name":"Impact","value":""},{"id":150,"name":"Time of Event (Mountain Time)","value":"10:06:14"},{"id":151,"name":"Denver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4027 --day 2017-07-19</v>
      </c>
      <c r="AN53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709</v>
      </c>
      <c r="B54" s="7">
        <v>4042</v>
      </c>
      <c r="C54" s="21" t="s">
        <v>199</v>
      </c>
      <c r="D54" s="21" t="s">
        <v>196</v>
      </c>
      <c r="E54" s="13">
        <v>42935.360879629632</v>
      </c>
      <c r="F54" s="13">
        <v>42935.365497685183</v>
      </c>
      <c r="G54" s="7">
        <v>2</v>
      </c>
      <c r="H54" s="21" t="s">
        <v>496</v>
      </c>
      <c r="I54" s="13">
        <v>42935.390972222223</v>
      </c>
      <c r="J54" s="7">
        <v>0</v>
      </c>
      <c r="K54" s="89" t="str">
        <f>IF(ISEVEN(B54),(B54-1)&amp;"/"&amp;B54,B54&amp;"/"&amp;(B54+1))</f>
        <v>4041/4042</v>
      </c>
      <c r="L54" s="21" t="str">
        <f>VLOOKUP(A54,'Trips&amp;Operators'!$C$1:$G$99999,5,FALSE)</f>
        <v>LOZA FIDEL</v>
      </c>
      <c r="M54" s="6">
        <f>I54-F54</f>
        <v>2.5474537040281575E-2</v>
      </c>
      <c r="N54" s="7">
        <f>24*60*SUM($M54:$M54)</f>
        <v>36.683333338005468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-19T07:39:40-0600',mode:absolute,to:'2017-07-19T10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4" s="197" t="str">
        <f>IF(AA54&lt;VLOOKUP(AG54,Variables!$AC$3:$AD$8,2,FALSE),"Y","N")</f>
        <v>N</v>
      </c>
      <c r="X54" s="197">
        <f t="shared" si="8"/>
        <v>1</v>
      </c>
      <c r="Y54" s="197">
        <f>RIGHT(D54,LEN(D54)-4)/10000</f>
        <v>4.5699999999999998E-2</v>
      </c>
      <c r="Z54" s="197">
        <f>RIGHT(H54,LEN(H54)-4)/10000</f>
        <v>23.3293</v>
      </c>
      <c r="AA54" s="197">
        <f>ABS(Z54-Y54)</f>
        <v>23.2836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/stypes="app*4042*20170719*" /stext=" 15:.+((SYSTEM_STATE.+slice.+state.+changed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141-19 --locoid 4042 --swversion DE.1.0.9.0 --startMP 204:457 --initTime 2017-07-19T08:39:40 --startdatetime 2017-07-19T08:46:19 --delay 2 --endMP 204:233293 --enddatetime 2017-07-19T09:23:00 --enforcementcount 0 &gt;&gt;C:\Users\stu\Documents\GitHub\eaglep3-reporting\EC\2017-07-19-refined-times.txt</v>
      </c>
      <c r="AI54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{"issue":{"subject":"","project_id":79,"tracker_id":40,"status_id":1,"priority_id":2,"assigned_to_id":23,"start_date":"2017-07-19","description":"","custom_fields":[{"id":1,"name":"Subdivision","value":"EC"},{"id":4,"name":"Milepost","value":"23.3293"},{"id":17,"name":"Train ID","value":"141-19"},{"id":16,"name":"Locomotive ID","value":"4042"},{"id":130,"name":"Impact","value":""},{"id":150,"name":"Time of Event (Mountain Time)","value":"09:23:00"},{"id":151,"name":"Denver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4042 --day 2017-07-19</v>
      </c>
      <c r="AN54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716</v>
      </c>
      <c r="B55" s="7">
        <v>4041</v>
      </c>
      <c r="C55" s="21" t="s">
        <v>199</v>
      </c>
      <c r="D55" s="21" t="s">
        <v>486</v>
      </c>
      <c r="E55" s="13">
        <v>42935.401099537034</v>
      </c>
      <c r="F55" s="13">
        <v>42935.404351851852</v>
      </c>
      <c r="G55" s="7">
        <v>1</v>
      </c>
      <c r="H55" s="21" t="s">
        <v>345</v>
      </c>
      <c r="I55" s="13">
        <v>42935.430127314816</v>
      </c>
      <c r="J55" s="7">
        <v>0</v>
      </c>
      <c r="K55" s="89" t="str">
        <f>IF(ISEVEN(B55),(B55-1)&amp;"/"&amp;B55,B55&amp;"/"&amp;(B55+1))</f>
        <v>4041/4042</v>
      </c>
      <c r="L55" s="21" t="str">
        <f>VLOOKUP(A55,'Trips&amp;Operators'!$C$1:$G$99999,5,FALSE)</f>
        <v>MILLER KEVIN</v>
      </c>
      <c r="M55" s="6">
        <f>I55-F55</f>
        <v>2.5775462963792961E-2</v>
      </c>
      <c r="N55" s="7">
        <f>24*60*SUM($M55:$M55)</f>
        <v>37.116666667861864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-19T08:37:35-0600',mode:absolute,to:'2017-07-19T11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23.296500000000002</v>
      </c>
      <c r="Z55" s="197">
        <f>RIGHT(H55,LEN(H55)-4)/10000</f>
        <v>1.43E-2</v>
      </c>
      <c r="AA55" s="197">
        <f>ABS(Z55-Y55)</f>
        <v>23.282200000000003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/stypes="app*4041*20170719*" /stext=" 16:.+((SYSTEM_STATE.+slice.+state.+changed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142-19 --locoid 4041 --swversion DE.1.0.9.0 --startMP 204:232965 --initTime 2017-07-19T09:37:35 --startdatetime 2017-07-19T09:42:16 --delay 1 --endMP 204:143 --enddatetime 2017-07-19T10:19:23 --enforcementcount 0 &gt;&gt;C:\Users\stu\Documents\GitHub\eaglep3-reporting\EC\2017-07-19-refined-times.txt</v>
      </c>
      <c r="AI55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ID","value":"142-19"},{"id":16,"name":"Locomotive ID","value":"4041"},{"id":130,"name":"Impact","value":""},{"id":150,"name":"Time of Event (Mountain Time)","value":"10:19:23"},{"id":151,"name":"Denver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4041 --day 2017-07-19</v>
      </c>
      <c r="AN55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711</v>
      </c>
      <c r="B56" s="7">
        <v>4032</v>
      </c>
      <c r="C56" s="21" t="s">
        <v>199</v>
      </c>
      <c r="D56" s="21" t="s">
        <v>347</v>
      </c>
      <c r="E56" s="13">
        <v>42935.371145833335</v>
      </c>
      <c r="F56" s="13">
        <v>42935.375532407408</v>
      </c>
      <c r="G56" s="7">
        <v>1</v>
      </c>
      <c r="H56" s="21" t="s">
        <v>871</v>
      </c>
      <c r="I56" s="13">
        <v>42935.400104166663</v>
      </c>
      <c r="J56" s="7">
        <v>0</v>
      </c>
      <c r="K56" s="89" t="str">
        <f>IF(ISEVEN(B56),(B56-1)&amp;"/"&amp;B56,B56&amp;"/"&amp;(B56+1))</f>
        <v>4031/4032</v>
      </c>
      <c r="L56" s="21" t="str">
        <f>VLOOKUP(A56,'Trips&amp;Operators'!$C$1:$G$99999,5,FALSE)</f>
        <v>MAELZER KURT</v>
      </c>
      <c r="M56" s="6">
        <f>I56-F56</f>
        <v>2.4571759255195502E-2</v>
      </c>
      <c r="N56" s="7">
        <f>24*60*SUM($M56:$M56)</f>
        <v>35.383333327481523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-19T07:54:27-0600',mode:absolute,to:'2017-07-19T10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4.5100000000000001E-2</v>
      </c>
      <c r="Z56" s="197">
        <f>RIGHT(H56,LEN(H56)-4)/10000</f>
        <v>23.331</v>
      </c>
      <c r="AA56" s="197">
        <f>ABS(Z56-Y56)</f>
        <v>23.285899999999998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/stypes="app*4032*20170719*" /stext=" 15:.+((SYSTEM_STATE.+slice.+state.+changed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143-19 --locoid 4032 --swversion DE.1.0.9.0 --startMP 204:451 --initTime 2017-07-19T08:54:27 --startdatetime 2017-07-19T09:00:46 --delay 1 --endMP 204:233310 --enddatetime 2017-07-19T09:36:09 --enforcementcount 0 &gt;&gt;C:\Users\stu\Documents\GitHub\eaglep3-reporting\EC\2017-07-19-refined-times.txt</v>
      </c>
      <c r="AI5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{"issue":{"subject":"","project_id":79,"tracker_id":40,"status_id":1,"priority_id":2,"assigned_to_id":23,"start_date":"2017-07-19","description":"","custom_fields":[{"id":1,"name":"Subdivision","value":"EC"},{"id":4,"name":"Milepost","value":"23.331"},{"id":17,"name":"Train ID","value":"143-19"},{"id":16,"name":"Locomotive ID","value":"4032"},{"id":130,"name":"Impact","value":""},{"id":150,"name":"Time of Event (Mountain Time)","value":"09:36:09"},{"id":151,"name":"Denver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4032 --day 2017-07-19</v>
      </c>
      <c r="AN5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719</v>
      </c>
      <c r="B57" s="7">
        <v>4031</v>
      </c>
      <c r="C57" s="21" t="s">
        <v>199</v>
      </c>
      <c r="D57" s="21" t="s">
        <v>460</v>
      </c>
      <c r="E57" s="13">
        <v>42935.40662037037</v>
      </c>
      <c r="F57" s="13">
        <v>42935.414965277778</v>
      </c>
      <c r="G57" s="7">
        <v>1</v>
      </c>
      <c r="H57" s="21" t="s">
        <v>419</v>
      </c>
      <c r="I57" s="13">
        <v>42935.440949074073</v>
      </c>
      <c r="J57" s="7">
        <v>0</v>
      </c>
      <c r="K57" s="89" t="str">
        <f>IF(ISEVEN(B57),(B57-1)&amp;"/"&amp;B57,B57&amp;"/"&amp;(B57+1))</f>
        <v>4031/4032</v>
      </c>
      <c r="L57" s="21" t="str">
        <f>VLOOKUP(A57,'Trips&amp;Operators'!$C$1:$G$99999,5,FALSE)</f>
        <v>MAELZER KURT</v>
      </c>
      <c r="M57" s="6">
        <f>I57-F57</f>
        <v>2.5983796294895001E-2</v>
      </c>
      <c r="N57" s="7">
        <f>24*60*SUM($M57:$M57)</f>
        <v>37.416666664648801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-19T08:45:32-0600',mode:absolute,to:'2017-07-19T11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23.298100000000002</v>
      </c>
      <c r="Z57" s="197">
        <f>RIGHT(H57,LEN(H57)-4)/10000</f>
        <v>1.3599999999999999E-2</v>
      </c>
      <c r="AA57" s="197">
        <f>ABS(Z57-Y57)</f>
        <v>23.284500000000001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/stypes="app*4031*20170719*" /stext=" 16:.+((SYSTEM_STATE.+slice.+state.+changed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144-19 --locoid 4031 --swversion DE.1.0.9.0 --startMP 204:232981 --initTime 2017-07-19T09:45:32 --startdatetime 2017-07-19T09:57:33 --delay 1 --endMP 204:136 --enddatetime 2017-07-19T10:34:58 --enforcementcount 0 &gt;&gt;C:\Users\stu\Documents\GitHub\eaglep3-reporting\EC\2017-07-19-refined-times.txt</v>
      </c>
      <c r="AI5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{"issue":{"subject":"","project_id":79,"tracker_id":40,"status_id":1,"priority_id":2,"assigned_to_id":23,"start_date":"2017-07-19","description":"","custom_fields":[{"id":1,"name":"Subdivision","value":"EC"},{"id":4,"name":"Milepost","value":"0.0136"},{"id":17,"name":"Train ID","value":"144-19"},{"id":16,"name":"Locomotive ID","value":"4031"},{"id":130,"name":"Impact","value":""},{"id":150,"name":"Time of Event (Mountain Time)","value":"10:34:58"},{"id":151,"name":"Denver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4031 --day 2017-07-19</v>
      </c>
      <c r="AN5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713</v>
      </c>
      <c r="B58" s="7">
        <v>4004</v>
      </c>
      <c r="C58" s="21" t="s">
        <v>199</v>
      </c>
      <c r="D58" s="21" t="s">
        <v>346</v>
      </c>
      <c r="E58" s="13">
        <v>42935.38212962963</v>
      </c>
      <c r="F58" s="13">
        <v>42935.386342592596</v>
      </c>
      <c r="G58" s="7">
        <v>1</v>
      </c>
      <c r="H58" s="21" t="s">
        <v>420</v>
      </c>
      <c r="I58" s="13">
        <v>42935.410775462966</v>
      </c>
      <c r="J58" s="7">
        <v>0</v>
      </c>
      <c r="K58" s="89" t="str">
        <f>IF(ISEVEN(B58),(B58-1)&amp;"/"&amp;B58,B58&amp;"/"&amp;(B58+1))</f>
        <v>4003/4004</v>
      </c>
      <c r="L58" s="21" t="str">
        <f>VLOOKUP(A58,'Trips&amp;Operators'!$C$1:$G$99999,5,FALSE)</f>
        <v>YANG JAN</v>
      </c>
      <c r="M58" s="6">
        <f>I58-F58</f>
        <v>2.4432870370219462E-2</v>
      </c>
      <c r="N58" s="7">
        <f>24*60*SUM($M58:$M58)</f>
        <v>35.183333333116025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-19T08:10:16-0600',mode:absolute,to:'2017-07-19T10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4.6600000000000003E-2</v>
      </c>
      <c r="Z58" s="197">
        <f>RIGHT(H58,LEN(H58)-4)/10000</f>
        <v>23.329699999999999</v>
      </c>
      <c r="AA58" s="197">
        <f>ABS(Z58-Y58)</f>
        <v>23.283099999999997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/stypes="app*4004*20170719*" /stext=" 15:.+((SYSTEM_STATE.+slice.+state.+changed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145-19 --locoid 4004 --swversion DE.1.0.9.0 --startMP 204:466 --initTime 2017-07-19T09:10:16 --startdatetime 2017-07-19T09:16:20 --delay 1 --endMP 204:233297 --enddatetime 2017-07-19T09:51:31 --enforcementcount 0 &gt;&gt;C:\Users\stu\Documents\GitHub\eaglep3-reporting\EC\2017-07-19-refined-times.txt</v>
      </c>
      <c r="AI5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{"issue":{"subject":"","project_id":79,"tracker_id":40,"status_id":1,"priority_id":2,"assigned_to_id":23,"start_date":"2017-07-19","description":"","custom_fields":[{"id":1,"name":"Subdivision","value":"EC"},{"id":4,"name":"Milepost","value":"23.3297"},{"id":17,"name":"Train ID","value":"145-19"},{"id":16,"name":"Locomotive ID","value":"4004"},{"id":130,"name":"Impact","value":""},{"id":150,"name":"Time of Event (Mountain Time)","value":"09:51:31"},{"id":151,"name":"Denver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4004 --day 2017-07-19</v>
      </c>
      <c r="AN5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724</v>
      </c>
      <c r="B59" s="7">
        <v>4003</v>
      </c>
      <c r="C59" s="21" t="s">
        <v>199</v>
      </c>
      <c r="D59" s="21" t="s">
        <v>512</v>
      </c>
      <c r="E59" s="13">
        <v>42935.418645833335</v>
      </c>
      <c r="F59" s="13">
        <v>42935.425347222219</v>
      </c>
      <c r="G59" s="7">
        <v>1</v>
      </c>
      <c r="H59" s="21" t="s">
        <v>344</v>
      </c>
      <c r="I59" s="13">
        <v>42935.451840277776</v>
      </c>
      <c r="J59" s="7">
        <v>0</v>
      </c>
      <c r="K59" s="89" t="str">
        <f>IF(ISEVEN(B59),(B59-1)&amp;"/"&amp;B59,B59&amp;"/"&amp;(B59+1))</f>
        <v>4003/4004</v>
      </c>
      <c r="L59" s="21" t="str">
        <f>VLOOKUP(A59,'Trips&amp;Operators'!$C$1:$G$99999,5,FALSE)</f>
        <v>YANG JAN</v>
      </c>
      <c r="M59" s="6">
        <f>I59-F59</f>
        <v>2.6493055556784384E-2</v>
      </c>
      <c r="N59" s="7">
        <f>24*60*SUM($M59:$M59)</f>
        <v>38.150000001769513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-19T09:02:51-0600',mode:absolute,to:'2017-07-19T11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23.297699999999999</v>
      </c>
      <c r="Z59" s="197">
        <f>RIGHT(H59,LEN(H59)-4)/10000</f>
        <v>1.49E-2</v>
      </c>
      <c r="AA59" s="197">
        <f>ABS(Z59-Y59)</f>
        <v>23.282799999999998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/stypes="app*4003*20170719*"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146-19 --locoid 4003 --swversion DE.1.0.9.0 --startMP 204:232977 --initTime 2017-07-19T10:02:51 --startdatetime 2017-07-19T10:12:30 --delay 1 --endMP 204:149 --enddatetime 2017-07-19T10:50:39 --enforcementcount 0 &gt;&gt;C:\Users\stu\Documents\GitHub\eaglep3-reporting\EC\2017-07-19-refined-times.txt</v>
      </c>
      <c r="AI59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ID","value":"146-19"},{"id":16,"name":"Locomotive ID","value":"4003"},{"id":130,"name":"Impact","value":""},{"id":150,"name":"Time of Event (Mountain Time)","value":"10:50:39"},{"id":151,"name":"Denver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4003 --day 2017-07-19</v>
      </c>
      <c r="AN59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715</v>
      </c>
      <c r="B60" s="7">
        <v>4054</v>
      </c>
      <c r="C60" s="21" t="s">
        <v>199</v>
      </c>
      <c r="D60" s="21" t="s">
        <v>416</v>
      </c>
      <c r="E60" s="13">
        <v>42935.391724537039</v>
      </c>
      <c r="F60" s="13">
        <v>42935.396331018521</v>
      </c>
      <c r="G60" s="7">
        <v>1</v>
      </c>
      <c r="H60" s="21" t="s">
        <v>546</v>
      </c>
      <c r="I60" s="13">
        <v>42935.421712962961</v>
      </c>
      <c r="J60" s="7">
        <v>0</v>
      </c>
      <c r="K60" s="89" t="str">
        <f>IF(ISEVEN(B60),(B60-1)&amp;"/"&amp;B60,B60&amp;"/"&amp;(B60+1))</f>
        <v>4053/4054</v>
      </c>
      <c r="L60" s="21" t="str">
        <f>VLOOKUP(A60,'Trips&amp;Operators'!$C$1:$G$99999,5,FALSE)</f>
        <v>STARKS ANGELINA</v>
      </c>
      <c r="M60" s="6">
        <f>I60-F60</f>
        <v>2.5381944440596271E-2</v>
      </c>
      <c r="N60" s="7">
        <f>24*60*SUM($M60:$M60)</f>
        <v>36.549999994458631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-19T08:24:05-0600',mode:absolute,to:'2017-07-19T11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4.4400000000000002E-2</v>
      </c>
      <c r="Z60" s="197">
        <f>RIGHT(H60,LEN(H60)-4)/10000</f>
        <v>23.329799999999999</v>
      </c>
      <c r="AA60" s="197">
        <f>ABS(Z60-Y60)</f>
        <v>23.285399999999999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/stypes="app*4054*20170719*" /stext=" 16:.+((SYSTEM_STATE.+slice.+state.+changed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147-19 --locoid 4054 --swversion DE.1.0.9.0 --startMP 204:444 --initTime 2017-07-19T09:24:05 --startdatetime 2017-07-19T09:30:43 --delay 1 --endMP 204:233298 --enddatetime 2017-07-19T10:07:16 --enforcementcount 0 &gt;&gt;C:\Users\stu\Documents\GitHub\eaglep3-reporting\EC\2017-07-19-refined-times.txt</v>
      </c>
      <c r="AI60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{"issue":{"subject":"","project_id":79,"tracker_id":40,"status_id":1,"priority_id":2,"assigned_to_id":23,"start_date":"2017-07-19","description":"","custom_fields":[{"id":1,"name":"Subdivision","value":"EC"},{"id":4,"name":"Milepost","value":"23.3298"},{"id":17,"name":"Train ID","value":"147-19"},{"id":16,"name":"Locomotive ID","value":"4054"},{"id":130,"name":"Impact","value":""},{"id":150,"name":"Time of Event (Mountain Time)","value":"10:07:16"},{"id":151,"name":"Denver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4054 --day 2017-07-19</v>
      </c>
      <c r="AN60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726</v>
      </c>
      <c r="B61" s="7">
        <v>4053</v>
      </c>
      <c r="C61" s="21" t="s">
        <v>199</v>
      </c>
      <c r="D61" s="21" t="s">
        <v>460</v>
      </c>
      <c r="E61" s="13">
        <v>42935.433437500003</v>
      </c>
      <c r="F61" s="13">
        <v>42935.435601851852</v>
      </c>
      <c r="G61" s="7">
        <v>1</v>
      </c>
      <c r="H61" s="21" t="s">
        <v>386</v>
      </c>
      <c r="I61" s="13">
        <v>42935.463159722225</v>
      </c>
      <c r="J61" s="7">
        <v>0</v>
      </c>
      <c r="K61" s="89" t="str">
        <f>IF(ISEVEN(B61),(B61-1)&amp;"/"&amp;B61,B61&amp;"/"&amp;(B61+1))</f>
        <v>4053/4054</v>
      </c>
      <c r="L61" s="21" t="str">
        <f>VLOOKUP(A61,'Trips&amp;Operators'!$C$1:$G$99999,5,FALSE)</f>
        <v>GEBRETEKLE DAGNEW</v>
      </c>
      <c r="M61" s="6">
        <f>I61-F61</f>
        <v>2.7557870373129845E-2</v>
      </c>
      <c r="N61" s="7">
        <f>24*60*SUM($M61:$M61)</f>
        <v>39.683333337306976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-19T09:24:09-0600',mode:absolute,to:'2017-07-19T12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23.298100000000002</v>
      </c>
      <c r="Z61" s="197">
        <f>RIGHT(H61,LEN(H61)-4)/10000</f>
        <v>1.4500000000000001E-2</v>
      </c>
      <c r="AA61" s="197">
        <f>ABS(Z61-Y61)</f>
        <v>23.2836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/stypes="app*4053*20170719*" /stext=" 17:.+((SYSTEM_STATE.+slice.+state.+changed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148-19 --locoid 4053 --swversion DE.1.0.9.0 --startMP 204:232981 --initTime 2017-07-19T10:24:09 --startdatetime 2017-07-19T10:27:16 --delay 1 --endMP 204:145 --enddatetime 2017-07-19T11:06:57 --enforcementcount 0 &gt;&gt;C:\Users\stu\Documents\GitHub\eaglep3-reporting\EC\2017-07-19-refined-times.txt</v>
      </c>
      <c r="AI61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{"issue":{"subject":"","project_id":79,"tracker_id":40,"status_id":1,"priority_id":2,"assigned_to_id":23,"start_date":"2017-07-19","description":"","custom_fields":[{"id":1,"name":"Subdivision","value":"EC"},{"id":4,"name":"Milepost","value":"0.0145"},{"id":17,"name":"Train ID","value":"148-19"},{"id":16,"name":"Locomotive ID","value":"4053"},{"id":130,"name":"Impact","value":""},{"id":150,"name":"Time of Event (Mountain Time)","value":"11:06:57"},{"id":151,"name":"Denver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4053 --day 2017-07-19</v>
      </c>
      <c r="AN61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718</v>
      </c>
      <c r="B62" s="7">
        <v>4030</v>
      </c>
      <c r="C62" s="21" t="s">
        <v>199</v>
      </c>
      <c r="D62" s="21" t="s">
        <v>509</v>
      </c>
      <c r="E62" s="13">
        <v>42935.401909722219</v>
      </c>
      <c r="F62" s="13">
        <v>42935.406944444447</v>
      </c>
      <c r="G62" s="7">
        <v>1</v>
      </c>
      <c r="H62" s="21" t="s">
        <v>511</v>
      </c>
      <c r="I62" s="13">
        <v>42935.43173611111</v>
      </c>
      <c r="J62" s="7">
        <v>0</v>
      </c>
      <c r="K62" s="89" t="str">
        <f>IF(ISEVEN(B62),(B62-1)&amp;"/"&amp;B62,B62&amp;"/"&amp;(B62+1))</f>
        <v>4029/4030</v>
      </c>
      <c r="L62" s="21" t="str">
        <f>VLOOKUP(A62,'Trips&amp;Operators'!$C$1:$G$99999,5,FALSE)</f>
        <v>LANGERAK WILLIAM</v>
      </c>
      <c r="M62" s="6">
        <f>I62-F62</f>
        <v>2.4791666663077194E-2</v>
      </c>
      <c r="N62" s="7">
        <f>24*60*SUM($M62:$M62)</f>
        <v>35.69999999483116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-19T08:38:45-0600',mode:absolute,to:'2017-07-19T11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4.3700000000000003E-2</v>
      </c>
      <c r="Z62" s="197">
        <f>RIGHT(H62,LEN(H62)-4)/10000</f>
        <v>23.328800000000001</v>
      </c>
      <c r="AA62" s="197">
        <f>ABS(Z62-Y62)</f>
        <v>23.2851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/stypes="app*4030*20170719*" /stext=" 16:.+((SYSTEM_STATE.+slice.+state.+changed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149-19 --locoid 4030 --swversion DE.1.0.9.0 --startMP 204:437 --initTime 2017-07-19T09:38:45 --startdatetime 2017-07-19T09:46:00 --delay 1 --endMP 204:233288 --enddatetime 2017-07-19T10:21:42 --enforcementcount 0 &gt;&gt;C:\Users\stu\Documents\GitHub\eaglep3-reporting\EC\2017-07-19-refined-times.txt</v>
      </c>
      <c r="AI62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{"issue":{"subject":"","project_id":79,"tracker_id":40,"status_id":1,"priority_id":2,"assigned_to_id":23,"start_date":"2017-07-19","description":"","custom_fields":[{"id":1,"name":"Subdivision","value":"EC"},{"id":4,"name":"Milepost","value":"23.3288"},{"id":17,"name":"Train ID","value":"149-19"},{"id":16,"name":"Locomotive ID","value":"4030"},{"id":130,"name":"Impact","value":""},{"id":150,"name":"Time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4030 --day 2017-07-19</v>
      </c>
      <c r="AN62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728</v>
      </c>
      <c r="B63" s="7">
        <v>4029</v>
      </c>
      <c r="C63" s="21" t="s">
        <v>199</v>
      </c>
      <c r="D63" s="21" t="s">
        <v>580</v>
      </c>
      <c r="E63" s="13">
        <v>42935.442291666666</v>
      </c>
      <c r="F63" s="13">
        <v>42935.446111111109</v>
      </c>
      <c r="G63" s="7">
        <v>1</v>
      </c>
      <c r="H63" s="21" t="s">
        <v>487</v>
      </c>
      <c r="I63" s="13">
        <v>42935.473020833335</v>
      </c>
      <c r="J63" s="7">
        <v>0</v>
      </c>
      <c r="K63" s="89" t="str">
        <f>IF(ISEVEN(B63),(B63-1)&amp;"/"&amp;B63,B63&amp;"/"&amp;(B63+1))</f>
        <v>4029/4030</v>
      </c>
      <c r="L63" s="21" t="str">
        <f>VLOOKUP(A63,'Trips&amp;Operators'!$C$1:$G$99999,5,FALSE)</f>
        <v>LANGERAK WILLIAM</v>
      </c>
      <c r="M63" s="6">
        <f>I63-F63</f>
        <v>2.6909722226264421E-2</v>
      </c>
      <c r="N63" s="7">
        <f>24*60*SUM($M63:$M63)</f>
        <v>38.750000005820766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-19T09:36:54-0600',mode:absolute,to:'2017-07-19T12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23.296099999999999</v>
      </c>
      <c r="Z63" s="197">
        <f>RIGHT(H63,LEN(H63)-4)/10000</f>
        <v>1.52E-2</v>
      </c>
      <c r="AA63" s="197">
        <f>ABS(Z63-Y63)</f>
        <v>23.280899999999999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/stypes="app*4029*20170719*" /stext=" 17:.+((SYSTEM_STATE.+slice.+state.+changed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150-19 --locoid 4029 --swversion DE.1.0.9.0 --startMP 204:232961 --initTime 2017-07-19T10:36:54 --startdatetime 2017-07-19T10:42:24 --delay 1 --endMP 204:152 --enddatetime 2017-07-19T11:21:09 --enforcementcount 0 &gt;&gt;C:\Users\stu\Documents\GitHub\eaglep3-reporting\EC\2017-07-19-refined-times.txt</v>
      </c>
      <c r="AI63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{"issue":{"subject":"","project_id":79,"tracker_id":40,"status_id":1,"priority_id":2,"assigned_to_id":23,"start_date":"2017-07-19","description":"","custom_fields":[{"id":1,"name":"Subdivision","value":"EC"},{"id":4,"name":"Milepost","value":"0.0152"},{"id":17,"name":"Train ID","value":"150-19"},{"id":16,"name":"Locomotive ID","value":"4029"},{"id":130,"name":"Impact","value":""},{"id":150,"name":"Time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4029 --day 2017-07-19</v>
      </c>
      <c r="AN63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722</v>
      </c>
      <c r="B64" s="7">
        <v>4066</v>
      </c>
      <c r="C64" s="21" t="s">
        <v>199</v>
      </c>
      <c r="D64" s="21" t="s">
        <v>347</v>
      </c>
      <c r="E64" s="13">
        <v>42935.41269675926</v>
      </c>
      <c r="F64" s="13">
        <v>42935.417557870373</v>
      </c>
      <c r="G64" s="7">
        <v>1</v>
      </c>
      <c r="H64" s="21" t="s">
        <v>584</v>
      </c>
      <c r="I64" s="13">
        <v>42935.443136574075</v>
      </c>
      <c r="J64" s="7">
        <v>0</v>
      </c>
      <c r="K64" s="89" t="str">
        <f>IF(ISEVEN(B64),(B64-1)&amp;"/"&amp;B64,B64&amp;"/"&amp;(B64+1))</f>
        <v>4065/4066</v>
      </c>
      <c r="L64" s="21" t="str">
        <f>VLOOKUP(A64,'Trips&amp;Operators'!$C$1:$G$99999,5,FALSE)</f>
        <v>CUSHING HARRY</v>
      </c>
      <c r="M64" s="6">
        <f>I64-F64</f>
        <v>2.5578703702194616E-2</v>
      </c>
      <c r="N64" s="7">
        <f>24*60*SUM($M64:$M64)</f>
        <v>36.833333331160247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-19T08:54:17-0600',mode:absolute,to:'2017-07-19T11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4.5100000000000001E-2</v>
      </c>
      <c r="Z64" s="197">
        <f>RIGHT(H64,LEN(H64)-4)/10000</f>
        <v>23.327200000000001</v>
      </c>
      <c r="AA64" s="197">
        <f>ABS(Z64-Y64)</f>
        <v>23.2821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/stypes="app*4066*20170719*" /stext=" 16:.+((SYSTEM_STATE.+slice.+state.+changed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151-19 --locoid 4066 --swversion DE.1.0.9.0 --startMP 204:451 --initTime 2017-07-19T09:54:17 --startdatetime 2017-07-19T10:01:17 --delay 1 --endMP 204:233272 --enddatetime 2017-07-19T10:38:07 --enforcementcount 0 &gt;&gt;C:\Users\stu\Documents\GitHub\eaglep3-reporting\EC\2017-07-19-refined-times.txt</v>
      </c>
      <c r="AI64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{"issue":{"subject":"","project_id":79,"tracker_id":40,"status_id":1,"priority_id":2,"assigned_to_id":23,"start_date":"2017-07-19","description":"","custom_fields":[{"id":1,"name":"Subdivision","value":"EC"},{"id":4,"name":"Milepost","value":"23.3272"},{"id":17,"name":"Train ID","value":"151-19"},{"id":16,"name":"Locomotive ID","value":"4066"},{"id":130,"name":"Impact","value":""},{"id":150,"name":"Time of Event (Mountain Time)","value":"10:38:07"},{"id":151,"name":"Denver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4066 --day 2017-07-19</v>
      </c>
      <c r="AN64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731</v>
      </c>
      <c r="B65" s="7">
        <v>4065</v>
      </c>
      <c r="C65" s="21" t="s">
        <v>199</v>
      </c>
      <c r="D65" s="21" t="s">
        <v>577</v>
      </c>
      <c r="E65" s="13">
        <v>42935.450011574074</v>
      </c>
      <c r="F65" s="13">
        <v>42935.457037037035</v>
      </c>
      <c r="G65" s="7">
        <v>1</v>
      </c>
      <c r="H65" s="21" t="s">
        <v>487</v>
      </c>
      <c r="I65" s="13">
        <v>42935.483865740738</v>
      </c>
      <c r="J65" s="7">
        <v>0</v>
      </c>
      <c r="K65" s="89" t="str">
        <f>IF(ISEVEN(B65),(B65-1)&amp;"/"&amp;B65,B65&amp;"/"&amp;(B65+1))</f>
        <v>4065/4066</v>
      </c>
      <c r="L65" s="21" t="str">
        <f>VLOOKUP(A65,'Trips&amp;Operators'!$C$1:$G$99999,5,FALSE)</f>
        <v>CUSHING HARRY</v>
      </c>
      <c r="M65" s="6">
        <f>I65-F65</f>
        <v>2.6828703703358769E-2</v>
      </c>
      <c r="N65" s="7">
        <f>24*60*SUM($M65:$M65)</f>
        <v>38.633333332836628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-19T09:48:01-0600',mode:absolute,to:'2017-07-19T12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23.296399999999998</v>
      </c>
      <c r="Z65" s="197">
        <f>RIGHT(H65,LEN(H65)-4)/10000</f>
        <v>1.52E-2</v>
      </c>
      <c r="AA65" s="197">
        <f>ABS(Z65-Y65)</f>
        <v>23.281199999999998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/stypes="app*4065*20170719*" /stext=" 17:.+((SYSTEM_STATE.+slice.+state.+changed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152-19 --locoid 4065 --swversion DE.1.0.9.0 --startMP 204:232964 --initTime 2017-07-19T10:48:01 --startdatetime 2017-07-19T10:58:08 --delay 1 --endMP 204:152 --enddatetime 2017-07-19T11:36:46 --enforcementcount 0 &gt;&gt;C:\Users\stu\Documents\GitHub\eaglep3-reporting\EC\2017-07-19-refined-times.txt</v>
      </c>
      <c r="AI65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{"issue":{"subject":"","project_id":79,"tracker_id":40,"status_id":1,"priority_id":2,"assigned_to_id":23,"start_date":"2017-07-19","description":"","custom_fields":[{"id":1,"name":"Subdivision","value":"EC"},{"id":4,"name":"Milepost","value":"0.0152"},{"id":17,"name":"Train ID","value":"152-19"},{"id":16,"name":"Locomotive ID","value":"4065"},{"id":130,"name":"Impact","value":""},{"id":150,"name":"Time of Event (Mountain Time)","value":"11:36:46"},{"id":151,"name":"Denver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4065 --day 2017-07-19</v>
      </c>
      <c r="AN65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725</v>
      </c>
      <c r="B66" s="7">
        <v>4028</v>
      </c>
      <c r="C66" s="21" t="s">
        <v>199</v>
      </c>
      <c r="D66" s="21" t="s">
        <v>413</v>
      </c>
      <c r="E66" s="13">
        <v>42935.423379629632</v>
      </c>
      <c r="F66" s="13">
        <v>42935.427731481483</v>
      </c>
      <c r="G66" s="7">
        <v>2</v>
      </c>
      <c r="H66" s="21" t="s">
        <v>872</v>
      </c>
      <c r="I66" s="13">
        <v>42935.451736111114</v>
      </c>
      <c r="J66" s="7">
        <v>0</v>
      </c>
      <c r="K66" s="89" t="str">
        <f>IF(ISEVEN(B66),(B66-1)&amp;"/"&amp;B66,B66&amp;"/"&amp;(B66+1))</f>
        <v>4027/4028</v>
      </c>
      <c r="L66" s="21" t="str">
        <f>VLOOKUP(A66,'Trips&amp;Operators'!$C$1:$G$99999,5,FALSE)</f>
        <v>MACDONALD THOMAS</v>
      </c>
      <c r="M66" s="6">
        <f>I66-F66</f>
        <v>2.400462963123573E-2</v>
      </c>
      <c r="N66" s="7">
        <f>24*60*SUM($M66:$M66)</f>
        <v>34.566666668979451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-19T09:09:40-0600',mode:absolute,to:'2017-07-19T11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4.58E-2</v>
      </c>
      <c r="Z66" s="197">
        <f>RIGHT(H66,LEN(H66)-4)/10000</f>
        <v>23.328399999999998</v>
      </c>
      <c r="AA66" s="197">
        <f>ABS(Z66-Y66)</f>
        <v>23.282599999999999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/stypes="app*4028*20170719*" /stext=" 16:.+((SYSTEM_STATE.+slice.+state.+changed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153-19 --locoid 4028 --swversion DE.1.0.9.0 --startMP 204:458 --initTime 2017-07-19T10:09:40 --startdatetime 2017-07-19T10:15:56 --delay 2 --endMP 204:233284 --enddatetime 2017-07-19T10:50:30 --enforcementcount 0 &gt;&gt;C:\Users\stu\Documents\GitHub\eaglep3-reporting\EC\2017-07-19-refined-times.txt</v>
      </c>
      <c r="AI6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{"issue":{"subject":"","project_id":79,"tracker_id":40,"status_id":1,"priority_id":2,"assigned_to_id":23,"start_date":"2017-07-19","description":"","custom_fields":[{"id":1,"name":"Subdivision","value":"EC"},{"id":4,"name":"Milepost","value":"23.3284"},{"id":17,"name":"Train ID","value":"153-19"},{"id":16,"name":"Locomotive ID","value":"4028"},{"id":130,"name":"Impact","value":""},{"id":150,"name":"Time of Event (Mountain Time)","value":"10:50:30"},{"id":151,"name":"Denver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4028 --day 2017-07-19</v>
      </c>
      <c r="AN6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733</v>
      </c>
      <c r="B67" s="7">
        <v>4027</v>
      </c>
      <c r="C67" s="21" t="s">
        <v>199</v>
      </c>
      <c r="D67" s="21" t="s">
        <v>873</v>
      </c>
      <c r="E67" s="13">
        <v>42935.466898148145</v>
      </c>
      <c r="F67" s="13">
        <v>42935.467881944445</v>
      </c>
      <c r="G67" s="7">
        <v>1</v>
      </c>
      <c r="H67" s="21" t="s">
        <v>874</v>
      </c>
      <c r="I67" s="13">
        <v>42935.494571759256</v>
      </c>
      <c r="J67" s="7">
        <v>0</v>
      </c>
      <c r="K67" s="89" t="str">
        <f>IF(ISEVEN(B67),(B67-1)&amp;"/"&amp;B67,B67&amp;"/"&amp;(B67+1))</f>
        <v>4027/4028</v>
      </c>
      <c r="L67" s="21" t="str">
        <f>VLOOKUP(A67,'Trips&amp;Operators'!$C$1:$G$99999,5,FALSE)</f>
        <v>MACDONALD THOMAS</v>
      </c>
      <c r="M67" s="6">
        <f>I67-F67</f>
        <v>2.6689814811106771E-2</v>
      </c>
      <c r="N67" s="7">
        <f>24*60*SUM($M67:$M67)</f>
        <v>38.433333327993751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-19T10:12:20-0600',mode:absolute,to:'2017-07-19T12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23.295300000000001</v>
      </c>
      <c r="Z67" s="197">
        <f>RIGHT(H67,LEN(H67)-4)/10000</f>
        <v>1.6500000000000001E-2</v>
      </c>
      <c r="AA67" s="197">
        <f>ABS(Z67-Y67)</f>
        <v>23.2788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/stypes="app*4027*20170719*"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154-19 --locoid 4027 --swversion DE.1.0.9.0 --startMP 204:232953 --initTime 2017-07-19T11:12:20 --startdatetime 2017-07-19T11:13:45 --delay 1 --endMP 204:165 --enddatetime 2017-07-19T11:52:11 --enforcementcount 0 &gt;&gt;C:\Users\stu\Documents\GitHub\eaglep3-reporting\EC\2017-07-19-refined-times.txt</v>
      </c>
      <c r="AI6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{"issue":{"subject":"","project_id":79,"tracker_id":40,"status_id":1,"priority_id":2,"assigned_to_id":23,"start_date":"2017-07-19","description":"","custom_fields":[{"id":1,"name":"Subdivision","value":"EC"},{"id":4,"name":"Milepost","value":"0.0165"},{"id":17,"name":"Train ID","value":"154-19"},{"id":16,"name":"Locomotive ID","value":"4027"},{"id":130,"name":"Impact","value":""},{"id":150,"name":"Time of Event (Mountain Time)","value":"11:52:11"},{"id":151,"name":"Denver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4027 --day 2017-07-19</v>
      </c>
      <c r="AN6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727</v>
      </c>
      <c r="B68" s="7">
        <v>4042</v>
      </c>
      <c r="C68" s="21" t="s">
        <v>199</v>
      </c>
      <c r="D68" s="21" t="s">
        <v>482</v>
      </c>
      <c r="E68" s="13">
        <v>42935.434421296297</v>
      </c>
      <c r="F68" s="13">
        <v>42935.438101851854</v>
      </c>
      <c r="G68" s="7">
        <v>3</v>
      </c>
      <c r="H68" s="21" t="s">
        <v>420</v>
      </c>
      <c r="I68" s="13">
        <v>42935.46297453704</v>
      </c>
      <c r="J68" s="7">
        <v>0</v>
      </c>
      <c r="K68" s="89" t="str">
        <f>IF(ISEVEN(B68),(B68-1)&amp;"/"&amp;B68,B68&amp;"/"&amp;(B68+1))</f>
        <v>4041/4042</v>
      </c>
      <c r="L68" s="21" t="str">
        <f>VLOOKUP(A68,'Trips&amp;Operators'!$C$1:$G$99999,5,FALSE)</f>
        <v>MILLER KEVIN</v>
      </c>
      <c r="M68" s="6">
        <f>I68-F68</f>
        <v>2.4872685185982846E-2</v>
      </c>
      <c r="N68" s="7">
        <f>24*60*SUM($M68:$M68)</f>
        <v>35.816666667815298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-19T09:25:34-0600',mode:absolute,to:'2017-07-19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4.6699999999999998E-2</v>
      </c>
      <c r="Z68" s="197">
        <f>RIGHT(H68,LEN(H68)-4)/10000</f>
        <v>23.329699999999999</v>
      </c>
      <c r="AA68" s="197">
        <f>ABS(Z68-Y68)</f>
        <v>23.282999999999998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/stypes="app*4042*20170719*" /stext=" 17:.+((SYSTEM_STATE.+slice.+state.+changed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155-19 --locoid 4042 --swversion DE.1.0.9.0 --startMP 204:467 --initTime 2017-07-19T10:25:34 --startdatetime 2017-07-19T10:30:52 --delay 3 --endMP 204:233297 --enddatetime 2017-07-19T11:06:41 --enforcementcount 0 &gt;&gt;C:\Users\stu\Documents\GitHub\eaglep3-reporting\EC\2017-07-19-refined-times.txt</v>
      </c>
      <c r="AI6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{"issue":{"subject":"","project_id":79,"tracker_id":40,"status_id":1,"priority_id":2,"assigned_to_id":23,"start_date":"2017-07-19","description":"","custom_fields":[{"id":1,"name":"Subdivision","value":"EC"},{"id":4,"name":"Milepost","value":"23.3297"},{"id":17,"name":"Train ID","value":"155-19"},{"id":16,"name":"Locomotive ID","value":"4042"},{"id":130,"name":"Impact","value":""},{"id":150,"name":"Time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4042 --day 2017-07-19</v>
      </c>
      <c r="AN6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734</v>
      </c>
      <c r="B69" s="7">
        <v>4041</v>
      </c>
      <c r="C69" s="21" t="s">
        <v>199</v>
      </c>
      <c r="D69" s="21" t="s">
        <v>514</v>
      </c>
      <c r="E69" s="13">
        <v>42935.473680555559</v>
      </c>
      <c r="F69" s="13">
        <v>42935.477268518516</v>
      </c>
      <c r="G69" s="7">
        <v>1</v>
      </c>
      <c r="H69" s="21" t="s">
        <v>386</v>
      </c>
      <c r="I69" s="13">
        <v>42935.505046296297</v>
      </c>
      <c r="J69" s="7">
        <v>0</v>
      </c>
      <c r="K69" s="89" t="str">
        <f>IF(ISEVEN(B69),(B69-1)&amp;"/"&amp;B69,B69&amp;"/"&amp;(B69+1))</f>
        <v>4041/4042</v>
      </c>
      <c r="L69" s="21" t="str">
        <f>VLOOKUP(A69,'Trips&amp;Operators'!$C$1:$G$99999,5,FALSE)</f>
        <v>MILLER KEVIN</v>
      </c>
      <c r="M69" s="6">
        <f>I69-F69</f>
        <v>2.7777777781011537E-2</v>
      </c>
      <c r="N69" s="7">
        <f>24*60*SUM($M69:$M69)</f>
        <v>40.000000004656613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-19T10:22:06-0600',mode:absolute,to:'2017-07-19T13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23.297899999999998</v>
      </c>
      <c r="Z69" s="197">
        <f>RIGHT(H69,LEN(H69)-4)/10000</f>
        <v>1.4500000000000001E-2</v>
      </c>
      <c r="AA69" s="197">
        <f>ABS(Z69-Y69)</f>
        <v>23.283399999999997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/stypes="app*4041*20170719*" /stext=" 18:.+((SYSTEM_STATE.+slice.+state.+changed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156-19 --locoid 4041 --swversion DE.1.0.9.0 --startMP 204:232979 --initTime 2017-07-19T11:22:06 --startdatetime 2017-07-19T11:27:16 --delay 1 --endMP 204:145 --enddatetime 2017-07-19T12:07:16 --enforcementcount 0 &gt;&gt;C:\Users\stu\Documents\GitHub\eaglep3-reporting\EC\2017-07-19-refined-times.txt</v>
      </c>
      <c r="AI69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{"issue":{"subject":"","project_id":79,"tracker_id":40,"status_id":1,"priority_id":2,"assigned_to_id":23,"start_date":"2017-07-19","description":"","custom_fields":[{"id":1,"name":"Subdivision","value":"EC"},{"id":4,"name":"Milepost","value":"0.0145"},{"id":17,"name":"Train ID","value":"156-19"},{"id":16,"name":"Locomotive ID","value":"4041"},{"id":130,"name":"Impact","value":""},{"id":150,"name":"Time of Event (Mountain Time)","value":"12:07:16"},{"id":151,"name":"Denver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4041 --day 2017-07-19</v>
      </c>
      <c r="AN69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729</v>
      </c>
      <c r="B70" s="7">
        <v>4032</v>
      </c>
      <c r="C70" s="21" t="s">
        <v>199</v>
      </c>
      <c r="D70" s="21" t="s">
        <v>349</v>
      </c>
      <c r="E70" s="13">
        <v>42935.442256944443</v>
      </c>
      <c r="F70" s="13">
        <v>42935.448495370372</v>
      </c>
      <c r="G70" s="7">
        <v>1</v>
      </c>
      <c r="H70" s="21" t="s">
        <v>539</v>
      </c>
      <c r="I70" s="13">
        <v>42935.472638888888</v>
      </c>
      <c r="J70" s="7">
        <v>0</v>
      </c>
      <c r="K70" s="89" t="str">
        <f>IF(ISEVEN(B70),(B70-1)&amp;"/"&amp;B70,B70&amp;"/"&amp;(B70+1))</f>
        <v>4031/4032</v>
      </c>
      <c r="L70" s="21" t="str">
        <f>VLOOKUP(A70,'Trips&amp;Operators'!$C$1:$G$99999,5,FALSE)</f>
        <v>DE LA ROSA ALEX</v>
      </c>
      <c r="M70" s="6">
        <f>I70-F70</f>
        <v>2.414351851621177E-2</v>
      </c>
      <c r="N70" s="7">
        <f>24*60*SUM($M70:$M70)</f>
        <v>34.766666663344949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-19T09:36:51-0600',mode:absolute,to:'2017-07-19T12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4.53E-2</v>
      </c>
      <c r="Z70" s="197">
        <f>RIGHT(H70,LEN(H70)-4)/10000</f>
        <v>23.329899999999999</v>
      </c>
      <c r="AA70" s="197">
        <f>ABS(Z70-Y70)</f>
        <v>23.284599999999998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/stypes="app*4032*20170719*" /stext=" 17:.+((SYSTEM_STATE.+slice.+state.+changed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157-19 --locoid 4032 --swversion DE.1.0.9.0 --startMP 204:453 --initTime 2017-07-19T10:36:51 --startdatetime 2017-07-19T10:45:50 --delay 1 --endMP 204:233299 --enddatetime 2017-07-19T11:20:36 --enforcementcount 0 &gt;&gt;C:\Users\stu\Documents\GitHub\eaglep3-reporting\EC\2017-07-19-refined-times.txt</v>
      </c>
      <c r="AI70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{"issue":{"subject":"","project_id":79,"tracker_id":40,"status_id":1,"priority_id":2,"assigned_to_id":23,"start_date":"2017-07-19","description":"","custom_fields":[{"id":1,"name":"Subdivision","value":"EC"},{"id":4,"name":"Milepost","value":"23.3299"},{"id":17,"name":"Train ID","value":"157-19"},{"id":16,"name":"Locomotive ID","value":"4032"},{"id":130,"name":"Impact","value":""},{"id":150,"name":"Time of Event (Mountain Time)","value":"11:20:36"},{"id":151,"name":"Denver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4032 --day 2017-07-19</v>
      </c>
      <c r="AN70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736</v>
      </c>
      <c r="B71" s="7">
        <v>4031</v>
      </c>
      <c r="C71" s="21" t="s">
        <v>199</v>
      </c>
      <c r="D71" s="21" t="s">
        <v>512</v>
      </c>
      <c r="E71" s="13">
        <v>42935.484039351853</v>
      </c>
      <c r="F71" s="13">
        <v>42935.487951388888</v>
      </c>
      <c r="G71" s="7">
        <v>1</v>
      </c>
      <c r="H71" s="21" t="s">
        <v>391</v>
      </c>
      <c r="I71" s="13">
        <v>42935.515763888892</v>
      </c>
      <c r="J71" s="7">
        <v>0</v>
      </c>
      <c r="K71" s="89" t="str">
        <f>IF(ISEVEN(B71),(B71-1)&amp;"/"&amp;B71,B71&amp;"/"&amp;(B71+1))</f>
        <v>4031/4032</v>
      </c>
      <c r="L71" s="21" t="str">
        <f>VLOOKUP(A71,'Trips&amp;Operators'!$C$1:$G$99999,5,FALSE)</f>
        <v>DE LA ROSA ALEX</v>
      </c>
      <c r="M71" s="6">
        <f>I71-F71</f>
        <v>2.7812500004074536E-2</v>
      </c>
      <c r="N71" s="7">
        <f>24*60*SUM($M71:$M71)</f>
        <v>40.050000005867332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-19T10:37:01-0600',mode:absolute,to:'2017-07-19T13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23.297699999999999</v>
      </c>
      <c r="Z71" s="197">
        <f>RIGHT(H71,LEN(H71)-4)/10000</f>
        <v>1.5599999999999999E-2</v>
      </c>
      <c r="AA71" s="197">
        <f>ABS(Z71-Y71)</f>
        <v>23.2821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/stypes="app*4031*20170719*" /stext=" 18:.+((SYSTEM_STATE.+slice.+state.+changed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158-19 --locoid 4031 --swversion DE.1.0.9.0 --startMP 204:232977 --initTime 2017-07-19T11:37:01 --startdatetime 2017-07-19T11:42:39 --delay 1 --endMP 204:156 --enddatetime 2017-07-19T12:22:42 --enforcementcount 0 &gt;&gt;C:\Users\stu\Documents\GitHub\eaglep3-reporting\EC\2017-07-19-refined-times.txt</v>
      </c>
      <c r="AI71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{"issue":{"subject":"","project_id":79,"tracker_id":40,"status_id":1,"priority_id":2,"assigned_to_id":23,"start_date":"2017-07-19","description":"","custom_fields":[{"id":1,"name":"Subdivision","value":"EC"},{"id":4,"name":"Milepost","value":"0.0156"},{"id":17,"name":"Train ID","value":"158-19"},{"id":16,"name":"Locomotive ID","value":"4031"},{"id":130,"name":"Impact","value":""},{"id":150,"name":"Time of Event (Mountain Time)","value":"12:22:42"},{"id":151,"name":"Denver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4031 --day 2017-07-19</v>
      </c>
      <c r="AN71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732</v>
      </c>
      <c r="B72" s="7">
        <v>4004</v>
      </c>
      <c r="C72" s="21" t="s">
        <v>199</v>
      </c>
      <c r="D72" s="21" t="s">
        <v>350</v>
      </c>
      <c r="E72" s="13">
        <v>42935.45585648148</v>
      </c>
      <c r="F72" s="13">
        <v>42935.458969907406</v>
      </c>
      <c r="G72" s="7">
        <v>1</v>
      </c>
      <c r="H72" s="21" t="s">
        <v>875</v>
      </c>
      <c r="I72" s="13">
        <v>42935.484039351853</v>
      </c>
      <c r="J72" s="7">
        <v>0</v>
      </c>
      <c r="K72" s="89" t="str">
        <f>IF(ISEVEN(B72),(B72-1)&amp;"/"&amp;B72,B72&amp;"/"&amp;(B72+1))</f>
        <v>4003/4004</v>
      </c>
      <c r="L72" s="21" t="str">
        <f>VLOOKUP(A72,'Trips&amp;Operators'!$C$1:$G$99999,5,FALSE)</f>
        <v>YANG JAN</v>
      </c>
      <c r="M72" s="6">
        <f>I72-F72</f>
        <v>2.5069444447581191E-2</v>
      </c>
      <c r="N72" s="7">
        <f>24*60*SUM($M72:$M72)</f>
        <v>36.100000004516914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-19T09:56:26-0600',mode:absolute,to:'2017-07-19T12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4.4699999999999997E-2</v>
      </c>
      <c r="Z72" s="197">
        <f>RIGHT(H72,LEN(H72)-4)/10000</f>
        <v>23.330200000000001</v>
      </c>
      <c r="AA72" s="197">
        <f>ABS(Z72-Y72)</f>
        <v>23.285500000000003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/stypes="app*4004*20170719*"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159-19 --locoid 4004 --swversion DE.1.0.9.0 --startMP 204:447 --initTime 2017-07-19T10:56:26 --startdatetime 2017-07-19T11:00:55 --delay 1 --endMP 204:233302 --enddatetime 2017-07-19T11:37:01 --enforcementcount 0 &gt;&gt;C:\Users\stu\Documents\GitHub\eaglep3-reporting\EC\2017-07-19-refined-times.txt</v>
      </c>
      <c r="AI72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{"issue":{"subject":"","project_id":79,"tracker_id":40,"status_id":1,"priority_id":2,"assigned_to_id":23,"start_date":"2017-07-19","description":"","custom_fields":[{"id":1,"name":"Subdivision","value":"EC"},{"id":4,"name":"Milepost","value":"23.3302"},{"id":17,"name":"Train ID","value":"159-19"},{"id":16,"name":"Locomotive ID","value":"4004"},{"id":130,"name":"Impact","value":""},{"id":150,"name":"Time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4004 --day 2017-07-19</v>
      </c>
      <c r="AN72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739</v>
      </c>
      <c r="B73" s="7">
        <v>4003</v>
      </c>
      <c r="C73" s="21" t="s">
        <v>199</v>
      </c>
      <c r="D73" s="21" t="s">
        <v>861</v>
      </c>
      <c r="E73" s="13">
        <v>42935.492835648147</v>
      </c>
      <c r="F73" s="13">
        <v>42935.498333333337</v>
      </c>
      <c r="G73" s="7">
        <v>1</v>
      </c>
      <c r="H73" s="21" t="s">
        <v>473</v>
      </c>
      <c r="I73" s="13">
        <v>42935.52449074074</v>
      </c>
      <c r="J73" s="7">
        <v>0</v>
      </c>
      <c r="K73" s="89" t="str">
        <f>IF(ISEVEN(B73),(B73-1)&amp;"/"&amp;B73,B73&amp;"/"&amp;(B73+1))</f>
        <v>4003/4004</v>
      </c>
      <c r="L73" s="21" t="str">
        <f>VLOOKUP(A73,'Trips&amp;Operators'!$C$1:$G$99999,5,FALSE)</f>
        <v>YANG JAN</v>
      </c>
      <c r="M73" s="6">
        <f>I73-F73</f>
        <v>2.6157407402934041E-2</v>
      </c>
      <c r="N73" s="7">
        <f>24*60*SUM($M73:$M73)</f>
        <v>37.666666660225019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-19T10:49:41-0600',mode:absolute,to:'2017-07-19T13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23.2989</v>
      </c>
      <c r="Z73" s="197">
        <f>RIGHT(H73,LEN(H73)-4)/10000</f>
        <v>1.5800000000000002E-2</v>
      </c>
      <c r="AA73" s="197">
        <f>ABS(Z73-Y73)</f>
        <v>23.283100000000001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/stypes="app*4003*20170719*" /stext=" 18:.+((SYSTEM_STATE.+slice.+state.+changed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160-19 --locoid 4003 --swversion DE.1.0.9.0 --startMP 204:232989 --initTime 2017-07-19T11:49:41 --startdatetime 2017-07-19T11:57:36 --delay 1 --endMP 204:158 --enddatetime 2017-07-19T12:35:16 --enforcementcount 0 &gt;&gt;C:\Users\stu\Documents\GitHub\eaglep3-reporting\EC\2017-07-19-refined-times.txt</v>
      </c>
      <c r="AI73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{"issue":{"subject":"","project_id":79,"tracker_id":40,"status_id":1,"priority_id":2,"assigned_to_id":23,"start_date":"2017-07-19","description":"","custom_fields":[{"id":1,"name":"Subdivision","value":"EC"},{"id":4,"name":"Milepost","value":"0.0158"},{"id":17,"name":"Train ID","value":"160-19"},{"id":16,"name":"Locomotive ID","value":"4003"},{"id":130,"name":"Impact","value":""},{"id":150,"name":"Time of Event (Mountain Time)","value":"12:35:16"},{"id":151,"name":"Denver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4003 --day 2017-07-19</v>
      </c>
      <c r="AN73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625</v>
      </c>
      <c r="B74" s="7">
        <v>4054</v>
      </c>
      <c r="C74" s="21" t="s">
        <v>199</v>
      </c>
      <c r="D74" s="21" t="s">
        <v>397</v>
      </c>
      <c r="E74" s="13">
        <v>42935.465567129628</v>
      </c>
      <c r="F74" s="13">
        <v>42935.469398148147</v>
      </c>
      <c r="G74" s="7">
        <v>2</v>
      </c>
      <c r="H74" s="21" t="s">
        <v>876</v>
      </c>
      <c r="I74" s="13">
        <v>42935.484907407408</v>
      </c>
      <c r="J74" s="7">
        <v>0</v>
      </c>
      <c r="K74" s="89" t="str">
        <f>IF(ISEVEN(B74),(B74-1)&amp;"/"&amp;B74,B74&amp;"/"&amp;(B74+1))</f>
        <v>4053/4054</v>
      </c>
      <c r="L74" s="21" t="str">
        <f>VLOOKUP(A74,'Trips&amp;Operators'!$C$1:$G$99999,5,FALSE)</f>
        <v>STEWART MICHAEL</v>
      </c>
      <c r="M74" s="6">
        <f>I74-F74</f>
        <v>1.5509259261307307E-2</v>
      </c>
      <c r="N74" s="7"/>
      <c r="O74" s="7"/>
      <c r="P74" s="7">
        <f>24*60*SUM($M74:$M74)</f>
        <v>22.333333336282521</v>
      </c>
      <c r="Q74" s="22"/>
      <c r="R74" s="170" t="s">
        <v>1041</v>
      </c>
      <c r="S74" s="213">
        <f>1/IF(AG74="EC",12,1)*SUM(U74:U74)</f>
        <v>1</v>
      </c>
      <c r="T74" s="195" t="str">
        <f>IF(ISEVEN(LEFT(AD74,4)),"Southbound","NorthBound")</f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-19T10:10:25-0600',mode:absolute,to:'2017-07-19T12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4" s="197" t="str">
        <f>IF(AA74&lt;VLOOKUP(AG74,Variables!$AC$3:$AD$8,2,FALSE),"Y","N")</f>
        <v>Y</v>
      </c>
      <c r="X74" s="197">
        <f>VALUE(LEFT(AD74,4))-VALUE(LEFT(AD73,4))</f>
        <v>1</v>
      </c>
      <c r="Y74" s="197">
        <f>RIGHT(D74,LEN(D74)-4)/10000</f>
        <v>4.6899999999999997E-2</v>
      </c>
      <c r="Z74" s="197">
        <f>RIGHT(H74,LEN(H74)-4)/10000</f>
        <v>12.786899999999999</v>
      </c>
      <c r="AA74" s="197">
        <f>ABS(Z74-Y74)</f>
        <v>12.739999999999998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/stypes="app*4054*20170719*" /stext=" 17:.+((SYSTEM_STATE.+slice.+state.+changed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161-19 --locoid 4054 --swversion DE.1.0.9.0 --startMP 204:469 --initTime 2017-07-19T11:10:25 --startdatetime 2017-07-19T11:15:56 --delay 2 --endMP 204:127869 --enddatetime 2017-07-19T11:38:16 --enforcementcount 0 &gt;&gt;C:\Users\stu\Documents\GitHub\eaglep3-reporting\EC\2017-07-19-refined-times.txt</v>
      </c>
      <c r="AI74" s="96" t="str">
        <f t="shared" si="5"/>
        <v>echo {"issue":{"subject":"Onboard in-route failure","project_id":79,"tracker_id":40,"status_id":1,"priority_id":2,"assigned_to_id":23,"start_date":"2017-07-19","description":"","custom_fields":[{"id":1,"name":"Subdivision","value":"EC"},{"id":4,"name":"Milepost","value":"12.7869"},{"id":17,"name":"Train ID","value":"161-19"},{"id":16,"name":"Locomotive ID","value":"4054"},{"id":130,"name":"Impact","value":""},{"id":150,"name":"Time of Event (Mountain Time)","value":"11:38:16"},{"id":151,"name":"Denver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4054 --day 2017-07-19</v>
      </c>
      <c r="AN74" s="151" t="str">
        <f t="shared" si="7"/>
        <v>echo {"issue":{"subject":"Onboard in-route failure","project_id":30,"tracker_id":4,"status_id":1,"priority_id":1,"assigned_to_id":10,"start_date":"2017-07-19","description":"","custom_fields":[{"id":30,"name":"Category","value":"Issue"},{"id":3,"name":"Functional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742</v>
      </c>
      <c r="B75" s="7">
        <v>4053</v>
      </c>
      <c r="C75" s="21" t="s">
        <v>199</v>
      </c>
      <c r="D75" s="21" t="s">
        <v>877</v>
      </c>
      <c r="E75" s="13">
        <v>42935.522199074076</v>
      </c>
      <c r="F75" s="13">
        <v>42935.524143518516</v>
      </c>
      <c r="G75" s="7">
        <v>2</v>
      </c>
      <c r="H75" s="21" t="s">
        <v>473</v>
      </c>
      <c r="I75" s="13">
        <v>42935.541979166665</v>
      </c>
      <c r="J75" s="7">
        <v>0</v>
      </c>
      <c r="K75" s="89" t="str">
        <f>IF(ISEVEN(B75),(B75-1)&amp;"/"&amp;B75,B75&amp;"/"&amp;(B75+1))</f>
        <v>4053/4054</v>
      </c>
      <c r="L75" s="21" t="str">
        <f>VLOOKUP(A75,'Trips&amp;Operators'!$C$1:$G$99999,5,FALSE)</f>
        <v>STEWART MICHAEL</v>
      </c>
      <c r="M75" s="6">
        <f>I75-F75</f>
        <v>1.7835648148320615E-2</v>
      </c>
      <c r="N75" s="7"/>
      <c r="O75" s="7"/>
      <c r="P75" s="7">
        <f>24*60*SUM($M75:$M75)</f>
        <v>25.683333333581686</v>
      </c>
      <c r="Q75" s="22"/>
      <c r="R75" s="170" t="s">
        <v>1041</v>
      </c>
      <c r="S75" s="213">
        <f>1/IF(AG75="EC",12,1)*SUM(U75:U75)</f>
        <v>1</v>
      </c>
      <c r="T75" s="195" t="str">
        <f>IF(ISEVEN(LEFT(AD75,4)),"Southbound","NorthBound")</f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-19T11:31:58-0600',mode:absolute,to:'2017-07-19T14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5" s="197" t="str">
        <f>IF(AA75&lt;VLOOKUP(AG75,Variables!$AC$3:$AD$8,2,FALSE),"Y","N")</f>
        <v>Y</v>
      </c>
      <c r="X75" s="197">
        <f>VALUE(LEFT(AD75,4))-VALUE(LEFT(AD74,4))</f>
        <v>1</v>
      </c>
      <c r="Y75" s="197">
        <f>RIGHT(D75,LEN(D75)-4)/10000</f>
        <v>12.786</v>
      </c>
      <c r="Z75" s="197">
        <f>RIGHT(H75,LEN(H75)-4)/10000</f>
        <v>1.5800000000000002E-2</v>
      </c>
      <c r="AA75" s="197">
        <f>ABS(Z75-Y75)</f>
        <v>12.770199999999999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/stypes="app*4053*20170719*" /stext=" 19:.+((SYSTEM_STATE.+slice.+state.+changed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162-19 --locoid 4053 --swversion DE.1.0.9.0 --startMP 204:127860 --initTime 2017-07-19T12:31:58 --startdatetime 2017-07-19T12:34:46 --delay 2 --endMP 204:158 --enddatetime 2017-07-19T13:00:27 --enforcementcount 0 &gt;&gt;C:\Users\stu\Documents\GitHub\eaglep3-reporting\EC\2017-07-19-refined-times.txt</v>
      </c>
      <c r="AI75" s="96" t="str">
        <f t="shared" si="5"/>
        <v>echo {"issue":{"subject":"Onboard in-route failure","project_id":79,"tracker_id":40,"status_id":1,"priority_id":2,"assigned_to_id":23,"start_date":"2017-07-19","description":"","custom_fields":[{"id":1,"name":"Subdivision","value":"EC"},{"id":4,"name":"Milepost","value":"0.0158"},{"id":17,"name":"Train ID","value":"162-19"},{"id":16,"name":"Locomotive ID","value":"4053"},{"id":130,"name":"Impact","value":""},{"id":150,"name":"Time of Event (Mountain Time)","value":"13:00:27"},{"id":151,"name":"Denver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4053 --day 2017-07-19</v>
      </c>
      <c r="AN75" s="151" t="str">
        <f t="shared" si="7"/>
        <v>echo {"issue":{"subject":"Onboard in-route failure","project_id":30,"tracker_id":4,"status_id":1,"priority_id":1,"assigned_to_id":10,"start_date":"2017-07-19","description":"","custom_fields":[{"id":30,"name":"Category","value":"Issue"},{"id":3,"name":"Functional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19:00:27"},{"id":29,"name":"Sharepoint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742</v>
      </c>
      <c r="B76" s="7">
        <v>4053</v>
      </c>
      <c r="C76" s="21" t="s">
        <v>199</v>
      </c>
      <c r="D76" s="21" t="s">
        <v>581</v>
      </c>
      <c r="E76" s="13">
        <v>42935.504895833335</v>
      </c>
      <c r="F76" s="13">
        <v>42935.524143518516</v>
      </c>
      <c r="G76" s="7">
        <v>1</v>
      </c>
      <c r="H76" s="21" t="s">
        <v>473</v>
      </c>
      <c r="I76" s="13">
        <v>42935.541979166665</v>
      </c>
      <c r="J76" s="7">
        <v>0</v>
      </c>
      <c r="K76" s="89" t="str">
        <f>IF(ISEVEN(B76),(B76-1)&amp;"/"&amp;B76,B76&amp;"/"&amp;(B76+1))</f>
        <v>4053/4054</v>
      </c>
      <c r="L76" s="21" t="str">
        <f>VLOOKUP(A76,'Trips&amp;Operators'!$C$1:$G$99999,5,FALSE)</f>
        <v>STEWART MICHAEL</v>
      </c>
      <c r="M76" s="6">
        <f>I76-F76</f>
        <v>1.7835648148320615E-2</v>
      </c>
      <c r="N76" s="7"/>
      <c r="O76" s="7"/>
      <c r="P76" s="7"/>
      <c r="Q76" s="22"/>
      <c r="R76" s="170"/>
      <c r="S76" s="213"/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-19T11:07:03-0600',mode:absolute,to:'2017-07-19T14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0</v>
      </c>
      <c r="Y76" s="197">
        <f>RIGHT(D76,LEN(D76)-4)/10000</f>
        <v>23.296900000000001</v>
      </c>
      <c r="Z76" s="197">
        <f>RIGHT(H76,LEN(H76)-4)/10000</f>
        <v>1.5800000000000002E-2</v>
      </c>
      <c r="AA76" s="197">
        <f>ABS(Z76-Y76)</f>
        <v>23.281100000000002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162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/stypes="app*4053*20170719*"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162-19 --locoid 4053 --swversion DE.1.0.9.0 --startMP 204:232969 --initTime 2017-07-19T12:07:03 --startdatetime 2017-07-19T12:34:46 --delay 1 --endMP 204:158 --enddatetime 2017-07-19T13:00:27 --enforcementcount 0 &gt;&gt;C:\Users\stu\Documents\GitHub\eaglep3-reporting\EC\2017-07-19-refined-times.txt</v>
      </c>
      <c r="AI76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{"issue":{"subject":"","project_id":79,"tracker_id":40,"status_id":1,"priority_id":2,"assigned_to_id":23,"start_date":"2017-07-19","description":"","custom_fields":[{"id":1,"name":"Subdivision","value":"EC"},{"id":4,"name":"Milepost","value":"0.0158"},{"id":17,"name":"Train ID","value":"162-19"},{"id":16,"name":"Locomotive ID","value":"4053"},{"id":130,"name":"Impact","value":""},{"id":150,"name":"Time of Event (Mountain Time)","value":"13:00:27"},{"id":151,"name":"Denver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4053 --day 2017-07-19</v>
      </c>
      <c r="AN76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19:00:27"},{"id":29,"name":"Sharepoint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627</v>
      </c>
      <c r="B77" s="7">
        <v>4030</v>
      </c>
      <c r="C77" s="21" t="s">
        <v>199</v>
      </c>
      <c r="D77" s="21" t="s">
        <v>878</v>
      </c>
      <c r="E77" s="13">
        <v>42935.47583333333</v>
      </c>
      <c r="F77" s="13">
        <v>42935.479837962965</v>
      </c>
      <c r="G77" s="7">
        <v>2</v>
      </c>
      <c r="H77" s="21" t="s">
        <v>879</v>
      </c>
      <c r="I77" s="13">
        <v>42935.505624999998</v>
      </c>
      <c r="J77" s="7">
        <v>0</v>
      </c>
      <c r="K77" s="89" t="str">
        <f>IF(ISEVEN(B77),(B77-1)&amp;"/"&amp;B77,B77&amp;"/"&amp;(B77+1))</f>
        <v>4029/4030</v>
      </c>
      <c r="L77" s="21" t="str">
        <f>VLOOKUP(A77,'Trips&amp;Operators'!$C$1:$G$99999,5,FALSE)</f>
        <v>PAGE MARCUS</v>
      </c>
      <c r="M77" s="6">
        <f>I77-F77</f>
        <v>2.5787037033296656E-2</v>
      </c>
      <c r="N77" s="7">
        <f>24*60*SUM($M77:$M77)</f>
        <v>37.133333327947184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-19T10:25:12-0600',mode:absolute,to:'2017-07-19T13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4.2599999999999999E-2</v>
      </c>
      <c r="Z77" s="197">
        <f>RIGHT(H77,LEN(H77)-4)/10000</f>
        <v>23.3398</v>
      </c>
      <c r="AA77" s="197">
        <f>ABS(Z77-Y77)</f>
        <v>23.2972</v>
      </c>
      <c r="AB77" s="54" t="str">
        <f>VLOOKUP(A77,Enforcements!$C$7:$K$13,8,0)</f>
        <v>Bulletin (2)</v>
      </c>
      <c r="AC77" s="51" t="str">
        <f>VLOOKUP(A77,Enforcements!$C$7:$E$13,3,0)</f>
        <v>GRADE CROSSING</v>
      </c>
      <c r="AD77" s="206">
        <f>VALUE(LEFT(A77,LEN(A77)-3))</f>
        <v>163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/stypes="app*4030*20170719*"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163-19 --locoid 4030 --swversion DE.1.0.9.0 --startMP 204:426 --initTime 2017-07-19T11:25:12 --startdatetime 2017-07-19T11:30:58 --delay 2 --endMP 204:233398 --enddatetime 2017-07-19T12:08:06 --enforcementcount 0 &gt;&gt;C:\Users\stu\Documents\GitHub\eaglep3-reporting\EC\2017-07-19-refined-times.txt</v>
      </c>
      <c r="AI77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{"issue":{"subject":"","project_id":79,"tracker_id":40,"status_id":1,"priority_id":2,"assigned_to_id":23,"start_date":"2017-07-19","description":"","custom_fields":[{"id":1,"name":"Subdivision","value":"EC"},{"id":4,"name":"Milepost","value":"23.3398"},{"id":17,"name":"Train ID","value":"163-19"},{"id":16,"name":"Locomotive ID","value":"4030"},{"id":130,"name":"Impact","value":""},{"id":150,"name":"Time of Event (Mountain Time)","value":"12:08:06"},{"id":151,"name":"Denver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4030 --day 2017-07-19</v>
      </c>
      <c r="AN77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629</v>
      </c>
      <c r="B78" s="7">
        <v>4029</v>
      </c>
      <c r="C78" s="21" t="s">
        <v>199</v>
      </c>
      <c r="D78" s="21" t="s">
        <v>880</v>
      </c>
      <c r="E78" s="13">
        <v>42935.508136574077</v>
      </c>
      <c r="F78" s="13">
        <v>42935.518935185188</v>
      </c>
      <c r="G78" s="7">
        <v>1</v>
      </c>
      <c r="H78" s="21" t="s">
        <v>354</v>
      </c>
      <c r="I78" s="13">
        <v>42935.547500000001</v>
      </c>
      <c r="J78" s="7">
        <v>0</v>
      </c>
      <c r="K78" s="89" t="str">
        <f>IF(ISEVEN(B78),(B78-1)&amp;"/"&amp;B78,B78&amp;"/"&amp;(B78+1))</f>
        <v>4029/4030</v>
      </c>
      <c r="L78" s="21" t="str">
        <f>VLOOKUP(A78,'Trips&amp;Operators'!$C$1:$G$99999,5,FALSE)</f>
        <v>PAGE MARCUS</v>
      </c>
      <c r="M78" s="6">
        <f>I78-F78</f>
        <v>2.8564814812853001E-2</v>
      </c>
      <c r="N78" s="7">
        <f>24*60*SUM($M78:$M78)</f>
        <v>41.133333330508322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-19T11:11:43-0600',mode:absolute,to:'2017-07-19T14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23.306000000000001</v>
      </c>
      <c r="Z78" s="197">
        <f>RIGHT(H78,LEN(H78)-4)/10000</f>
        <v>1.47E-2</v>
      </c>
      <c r="AA78" s="197">
        <f>ABS(Z78-Y78)</f>
        <v>23.2913</v>
      </c>
      <c r="AB78" s="54" t="str">
        <f>VLOOKUP(A78,Enforcements!$C$7:$K$13,8,0)</f>
        <v>Bulletin (2)</v>
      </c>
      <c r="AC78" s="51" t="str">
        <f>VLOOKUP(A78,Enforcements!$C$7:$E$13,3,0)</f>
        <v>GRADE CROSSING</v>
      </c>
      <c r="AD78" s="206">
        <f>VALUE(LEFT(A78,LEN(A78)-3))</f>
        <v>164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/stypes="app*4029*20170719*"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4"/>
        <v>"%USERPROFILE%\Documents\GitHub\eaglep3\Utilities\RefineRTDCRunTimes.py" --tripid 164-19 --locoid 4029 --swversion DE.1.0.9.0 --startMP 204:233060 --initTime 2017-07-19T12:11:43 --startdatetime 2017-07-19T12:27:16 --delay 1 --endMP 204:147 --enddatetime 2017-07-19T13:08:24 --enforcementcount 0 &gt;&gt;C:\Users\stu\Documents\GitHub\eaglep3-reporting\EC\2017-07-19-refined-times.txt</v>
      </c>
      <c r="AI78" s="96" t="str">
        <f t="shared" si="5"/>
        <v>echo {"issue":{"subject":"","project_id":79,"tracker_id":40,"status_id":1,"priority_id":2,"assigned_to_id":23,"start_date":"2017-07-19","description":"","custom_fields":[{"id":1,"name":"Subdivision","value":"EC"},{"id":4,"name":"Milepost","value":"0.0147"},{"id":17,"name":"Train ID","value":"164-19"},{"id":16,"name":"Locomotive ID","value":"4029"},{"id":130,"name":"Impact","value":""},{"id":150,"name":"Time of Event (Mountain Time)","value":"13:08:24"},{"id":151,"name":"Denver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6"/>
        <v>start /low /b %USERPROFILE%\Documents\GitHub\eaglep3\Utilities\DownloadLogsFromS3.py --loco 4029 --day 2017-07-19</v>
      </c>
      <c r="AN78" s="151" t="str">
        <f t="shared" si="7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738</v>
      </c>
      <c r="B79" s="7">
        <v>4066</v>
      </c>
      <c r="C79" s="21" t="s">
        <v>199</v>
      </c>
      <c r="D79" s="21" t="s">
        <v>350</v>
      </c>
      <c r="E79" s="13">
        <v>42935.487083333333</v>
      </c>
      <c r="F79" s="13">
        <v>42935.49009259259</v>
      </c>
      <c r="G79" s="7">
        <v>1</v>
      </c>
      <c r="H79" s="21" t="s">
        <v>511</v>
      </c>
      <c r="I79" s="13">
        <v>42935.515590277777</v>
      </c>
      <c r="J79" s="7">
        <v>0</v>
      </c>
      <c r="K79" s="89" t="str">
        <f>IF(ISEVEN(B79),(B79-1)&amp;"/"&amp;B79,B79&amp;"/"&amp;(B79+1))</f>
        <v>4065/4066</v>
      </c>
      <c r="L79" s="21" t="str">
        <f>VLOOKUP(A79,'Trips&amp;Operators'!$C$1:$G$99999,5,FALSE)</f>
        <v>BRUDER RICHARD</v>
      </c>
      <c r="M79" s="6">
        <f>I79-F79</f>
        <v>2.5497685186564922E-2</v>
      </c>
      <c r="N79" s="7">
        <f>24*60*SUM($M79:$M79)</f>
        <v>36.716666668653488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-19T10:41:24-0600',mode:absolute,to:'2017-07-19T13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4.4699999999999997E-2</v>
      </c>
      <c r="Z79" s="197">
        <f>RIGHT(H79,LEN(H79)-4)/10000</f>
        <v>23.328800000000001</v>
      </c>
      <c r="AA79" s="197">
        <f>ABS(Z79-Y79)</f>
        <v>23.284100000000002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165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/stypes="app*4066*20170719*"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ref="AH79:AH142" si="1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165-19 --locoid 4066 --swversion DE.1.0.9.0 --startMP 204:447 --initTime 2017-07-19T11:41:24 --startdatetime 2017-07-19T11:45:44 --delay 1 --endMP 204:233288 --enddatetime 2017-07-19T12:22:27 --enforcementcount 0 &gt;&gt;C:\Users\stu\Documents\GitHub\eaglep3-reporting\EC\2017-07-19-refined-times.txt</v>
      </c>
      <c r="AI79" s="96" t="str">
        <f t="shared" ref="AI79:AI142" si="1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{"issue":{"subject":"","project_id":79,"tracker_id":40,"status_id":1,"priority_id":2,"assigned_to_id":23,"start_date":"2017-07-19","description":"","custom_fields":[{"id":1,"name":"Subdivision","value":"EC"},{"id":4,"name":"Milepost","value":"23.3288"},{"id":17,"name":"Train ID","value":"165-19"},{"id":16,"name":"Locomotive ID","value":"4066"},{"id":130,"name":"Impact","value":""},{"id":150,"name":"Time of Event (Mountain Time)","value":"12:22:27"},{"id":151,"name":"Denver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2" si="15">"start /low /b "&amp;dls3logs&amp;" --loco "&amp;B79&amp;" --day "&amp;TEXT(F79,"YYYY-MM-DD")</f>
        <v>start /low /b %USERPROFILE%\Documents\GitHub\eaglep3\Utilities\DownloadLogsFromS3.py --loco 4066 --day 2017-07-19</v>
      </c>
      <c r="AN79" s="151" t="str">
        <f t="shared" ref="AN79:AN142" si="16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747</v>
      </c>
      <c r="B80" s="7">
        <v>4065</v>
      </c>
      <c r="C80" s="21" t="s">
        <v>199</v>
      </c>
      <c r="D80" s="21" t="s">
        <v>516</v>
      </c>
      <c r="E80" s="13">
        <v>42935.526620370372</v>
      </c>
      <c r="F80" s="13">
        <v>42935.529340277775</v>
      </c>
      <c r="G80" s="7">
        <v>1</v>
      </c>
      <c r="H80" s="21" t="s">
        <v>345</v>
      </c>
      <c r="I80" s="13">
        <v>42935.558206018519</v>
      </c>
      <c r="J80" s="7">
        <v>0</v>
      </c>
      <c r="K80" s="89" t="str">
        <f>IF(ISEVEN(B80),(B80-1)&amp;"/"&amp;B80,B80&amp;"/"&amp;(B80+1))</f>
        <v>4065/4066</v>
      </c>
      <c r="L80" s="21" t="str">
        <f>VLOOKUP(A80,'Trips&amp;Operators'!$C$1:$G$99999,5,FALSE)</f>
        <v>BRUDER RICHARD</v>
      </c>
      <c r="M80" s="6">
        <f>I80-F80</f>
        <v>2.8865740743640345E-2</v>
      </c>
      <c r="N80" s="7">
        <f>24*60*SUM($M80:$M80)</f>
        <v>41.566666670842096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-19T11:38:20-0600',mode:absolute,to:'2017-07-19T14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23.296700000000001</v>
      </c>
      <c r="Z80" s="197">
        <f>RIGHT(H80,LEN(H80)-4)/10000</f>
        <v>1.43E-2</v>
      </c>
      <c r="AA80" s="197">
        <f>ABS(Z80-Y80)</f>
        <v>23.282400000000003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166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/stypes="app*4065*20170719*"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13"/>
        <v>"%USERPROFILE%\Documents\GitHub\eaglep3\Utilities\RefineRTDCRunTimes.py" --tripid 166-19 --locoid 4065 --swversion DE.1.0.9.0 --startMP 204:232967 --initTime 2017-07-19T12:38:20 --startdatetime 2017-07-19T12:42:15 --delay 1 --endMP 204:143 --enddatetime 2017-07-19T13:23:49 --enforcementcount 0 &gt;&gt;C:\Users\stu\Documents\GitHub\eaglep3-reporting\EC\2017-07-19-refined-times.txt</v>
      </c>
      <c r="AI8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ID","value":"166-19"},{"id":16,"name":"Locomotive ID","value":"4065"},{"id":130,"name":"Impact","value":""},{"id":150,"name":"Time of Event (Mountain Time)","value":"13:23:49"},{"id":151,"name":"Denver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5"/>
        <v>start /low /b %USERPROFILE%\Documents\GitHub\eaglep3\Utilities\DownloadLogsFromS3.py --loco 4065 --day 2017-07-19</v>
      </c>
      <c r="AN80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740</v>
      </c>
      <c r="B81" s="7">
        <v>4028</v>
      </c>
      <c r="C81" s="21" t="s">
        <v>199</v>
      </c>
      <c r="D81" s="21" t="s">
        <v>380</v>
      </c>
      <c r="E81" s="13">
        <v>42935.496435185189</v>
      </c>
      <c r="F81" s="13">
        <v>42935.500520833331</v>
      </c>
      <c r="G81" s="7">
        <v>1</v>
      </c>
      <c r="H81" s="21" t="s">
        <v>881</v>
      </c>
      <c r="I81" s="13">
        <v>42935.526574074072</v>
      </c>
      <c r="J81" s="7">
        <v>0</v>
      </c>
      <c r="K81" s="89" t="str">
        <f>IF(ISEVEN(B81),(B81-1)&amp;"/"&amp;B81,B81&amp;"/"&amp;(B81+1))</f>
        <v>4027/4028</v>
      </c>
      <c r="L81" s="21" t="str">
        <f>VLOOKUP(A81,'Trips&amp;Operators'!$C$1:$G$99999,5,FALSE)</f>
        <v>LEVIN SCOTT</v>
      </c>
      <c r="M81" s="6">
        <f>I81-F81</f>
        <v>2.6053240741021E-2</v>
      </c>
      <c r="N81" s="7">
        <f>24*60*SUM($M81:$M81)</f>
        <v>37.51666666707024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-19T10:54:52-0600',mode:absolute,to:'2017-07-19T13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4.6199999999999998E-2</v>
      </c>
      <c r="Z81" s="197">
        <f>RIGHT(H81,LEN(H81)-4)/10000</f>
        <v>23.344200000000001</v>
      </c>
      <c r="AA81" s="197">
        <f>ABS(Z81-Y81)</f>
        <v>23.298000000000002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167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/stypes="app*4028*20170719*"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13"/>
        <v>"%USERPROFILE%\Documents\GitHub\eaglep3\Utilities\RefineRTDCRunTimes.py" --tripid 167-19 --locoid 4028 --swversion DE.1.0.9.0 --startMP 204:462 --initTime 2017-07-19T11:54:52 --startdatetime 2017-07-19T12:00:45 --delay 1 --endMP 204:233442 --enddatetime 2017-07-19T12:38:16 --enforcementcount 0 &gt;&gt;C:\Users\stu\Documents\GitHub\eaglep3-reporting\EC\2017-07-19-refined-times.txt</v>
      </c>
      <c r="AI8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{"issue":{"subject":"","project_id":79,"tracker_id":40,"status_id":1,"priority_id":2,"assigned_to_id":23,"start_date":"2017-07-19","description":"","custom_fields":[{"id":1,"name":"Subdivision","value":"EC"},{"id":4,"name":"Milepost","value":"23.3442"},{"id":17,"name":"Train ID","value":"167-19"},{"id":16,"name":"Locomotive ID","value":"4028"},{"id":130,"name":"Impact","value":""},{"id":150,"name":"Time of Event (Mountain Time)","value":"12:38:16"},{"id":151,"name":"Denver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5"/>
        <v>start /low /b %USERPROFILE%\Documents\GitHub\eaglep3\Utilities\DownloadLogsFromS3.py --loco 4028 --day 2017-07-19</v>
      </c>
      <c r="AN81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749</v>
      </c>
      <c r="B82" s="7">
        <v>4027</v>
      </c>
      <c r="C82" s="21" t="s">
        <v>199</v>
      </c>
      <c r="D82" s="21" t="s">
        <v>882</v>
      </c>
      <c r="E82" s="13">
        <v>42935.536377314813</v>
      </c>
      <c r="F82" s="13">
        <v>42935.539756944447</v>
      </c>
      <c r="G82" s="7">
        <v>1</v>
      </c>
      <c r="H82" s="21" t="s">
        <v>489</v>
      </c>
      <c r="I82" s="13">
        <v>42935.565775462965</v>
      </c>
      <c r="J82" s="7">
        <v>0</v>
      </c>
      <c r="K82" s="89" t="str">
        <f>IF(ISEVEN(B82),(B82-1)&amp;"/"&amp;B82,B82&amp;"/"&amp;(B82+1))</f>
        <v>4027/4028</v>
      </c>
      <c r="L82" s="21" t="str">
        <f>VLOOKUP(A82,'Trips&amp;Operators'!$C$1:$G$99999,5,FALSE)</f>
        <v>LEVIN SCOTT</v>
      </c>
      <c r="M82" s="6">
        <f>I82-F82</f>
        <v>2.6018518517958E-2</v>
      </c>
      <c r="N82" s="7">
        <f>24*60*SUM($M82:$M82)</f>
        <v>37.46666666585952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-19T11:52:23-0600',mode:absolute,to:'2017-07-19T14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23.3125</v>
      </c>
      <c r="Z82" s="197">
        <f>RIGHT(H82,LEN(H82)-4)/10000</f>
        <v>1.29E-2</v>
      </c>
      <c r="AA82" s="197">
        <f>ABS(Z82-Y82)</f>
        <v>23.299600000000002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168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/stypes="app*4027*20170719*" /stext=" 19:.+((SYSTEM_STATE.+slice.+state.+changed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13"/>
        <v>"%USERPROFILE%\Documents\GitHub\eaglep3\Utilities\RefineRTDCRunTimes.py" --tripid 168-19 --locoid 4027 --swversion DE.1.0.9.0 --startMP 204:233125 --initTime 2017-07-19T12:52:23 --startdatetime 2017-07-19T12:57:15 --delay 1 --endMP 204:129 --enddatetime 2017-07-19T13:34:43 --enforcementcount 0 &gt;&gt;C:\Users\stu\Documents\GitHub\eaglep3-reporting\EC\2017-07-19-refined-times.txt</v>
      </c>
      <c r="AI8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{"issue":{"subject":"","project_id":79,"tracker_id":40,"status_id":1,"priority_id":2,"assigned_to_id":23,"start_date":"2017-07-19","description":"","custom_fields":[{"id":1,"name":"Subdivision","value":"EC"},{"id":4,"name":"Milepost","value":"0.0129"},{"id":17,"name":"Train ID","value":"168-19"},{"id":16,"name":"Locomotive ID","value":"4027"},{"id":130,"name":"Impact","value":""},{"id":150,"name":"Time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5"/>
        <v>start /low /b %USERPROFILE%\Documents\GitHub\eaglep3\Utilities\DownloadLogsFromS3.py --loco 4027 --day 2017-07-19</v>
      </c>
      <c r="AN82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628</v>
      </c>
      <c r="B83" s="7">
        <v>4042</v>
      </c>
      <c r="C83" s="21" t="s">
        <v>199</v>
      </c>
      <c r="D83" s="21" t="s">
        <v>883</v>
      </c>
      <c r="E83" s="13">
        <v>42935.507106481484</v>
      </c>
      <c r="F83" s="13">
        <v>42935.511006944442</v>
      </c>
      <c r="G83" s="7">
        <v>2</v>
      </c>
      <c r="H83" s="21" t="s">
        <v>884</v>
      </c>
      <c r="I83" s="13">
        <v>42935.538935185185</v>
      </c>
      <c r="J83" s="7">
        <v>0</v>
      </c>
      <c r="K83" s="89" t="str">
        <f>IF(ISEVEN(B83),(B83-1)&amp;"/"&amp;B83,B83&amp;"/"&amp;(B83+1))</f>
        <v>4041/4042</v>
      </c>
      <c r="L83" s="21" t="str">
        <f>VLOOKUP(A83,'Trips&amp;Operators'!$C$1:$G$99999,5,FALSE)</f>
        <v>DELGADO DIANAH</v>
      </c>
      <c r="M83" s="6">
        <f>I83-F83</f>
        <v>2.792824074276723E-2</v>
      </c>
      <c r="N83" s="7">
        <f>24*60*SUM($M83:$M83)</f>
        <v>40.216666669584811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-19T11:10:14-0600',mode:absolute,to:'2017-07-19T13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4.3299999999999998E-2</v>
      </c>
      <c r="Z83" s="197">
        <f>RIGHT(H83,LEN(H83)-4)/10000</f>
        <v>23.336400000000001</v>
      </c>
      <c r="AA83" s="197">
        <f>ABS(Z83-Y83)</f>
        <v>23.293100000000003</v>
      </c>
      <c r="AB83" s="54" t="str">
        <f>VLOOKUP(A83,Enforcements!$C$7:$K$13,8,0)</f>
        <v>Speed (6)</v>
      </c>
      <c r="AC83" s="51" t="str">
        <f>VLOOKUP(A83,Enforcements!$C$7:$E$13,3,0)</f>
        <v>PERMANENT SPEED RESTRICTION</v>
      </c>
      <c r="AD83" s="206">
        <f>VALUE(LEFT(A83,LEN(A83)-3))</f>
        <v>169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/stypes="app*4042*20170719*" /stext=" 18:.+((SYSTEM_STATE.+slice.+state.+changed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13"/>
        <v>"%USERPROFILE%\Documents\GitHub\eaglep3\Utilities\RefineRTDCRunTimes.py" --tripid 169-19 --locoid 4042 --swversion DE.1.0.9.0 --startMP 204:433 --initTime 2017-07-19T12:10:14 --startdatetime 2017-07-19T12:15:51 --delay 2 --endMP 204:233364 --enddatetime 2017-07-19T12:56:04 --enforcementcount 0 &gt;&gt;C:\Users\stu\Documents\GitHub\eaglep3-reporting\EC\2017-07-19-refined-times.txt</v>
      </c>
      <c r="AI83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{"issue":{"subject":"","project_id":79,"tracker_id":40,"status_id":1,"priority_id":2,"assigned_to_id":23,"start_date":"2017-07-19","description":"","custom_fields":[{"id":1,"name":"Subdivision","value":"EC"},{"id":4,"name":"Milepost","value":"23.3364"},{"id":17,"name":"Train ID","value":"169-19"},{"id":16,"name":"Locomotive ID","value":"4042"},{"id":130,"name":"Impact","value":""},{"id":150,"name":"Time of Event (Mountain Time)","value":"12:56:04"},{"id":151,"name":"Denver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5"/>
        <v>start /low /b %USERPROFILE%\Documents\GitHub\eaglep3\Utilities\DownloadLogsFromS3.py --loco 4042 --day 2017-07-19</v>
      </c>
      <c r="AN83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750</v>
      </c>
      <c r="B84" s="7">
        <v>4041</v>
      </c>
      <c r="C84" s="21" t="s">
        <v>199</v>
      </c>
      <c r="D84" s="21" t="s">
        <v>885</v>
      </c>
      <c r="E84" s="13">
        <v>42935.545370370368</v>
      </c>
      <c r="F84" s="13">
        <v>42935.550150462965</v>
      </c>
      <c r="G84" s="7">
        <v>2</v>
      </c>
      <c r="H84" s="21" t="s">
        <v>351</v>
      </c>
      <c r="I84" s="13">
        <v>42935.576064814813</v>
      </c>
      <c r="J84" s="7">
        <v>0</v>
      </c>
      <c r="K84" s="89" t="str">
        <f>IF(ISEVEN(B84),(B84-1)&amp;"/"&amp;B84,B84&amp;"/"&amp;(B84+1))</f>
        <v>4041/4042</v>
      </c>
      <c r="L84" s="21" t="str">
        <f>VLOOKUP(A84,'Trips&amp;Operators'!$C$1:$G$99999,5,FALSE)</f>
        <v>DELGADO DIANAH</v>
      </c>
      <c r="M84" s="6">
        <f>I84-F84</f>
        <v>2.5914351848769002E-2</v>
      </c>
      <c r="N84" s="7">
        <f>24*60*SUM($M84:$M84)</f>
        <v>37.316666662227362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-19T12:05:20-0600',mode:absolute,to:'2017-07-19T14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23.304400000000001</v>
      </c>
      <c r="Z84" s="197">
        <f>RIGHT(H84,LEN(H84)-4)/10000</f>
        <v>1.3899999999999999E-2</v>
      </c>
      <c r="AA84" s="197">
        <f>ABS(Z84-Y84)</f>
        <v>23.290500000000002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170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/stypes="app*4041*20170719*"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13"/>
        <v>"%USERPROFILE%\Documents\GitHub\eaglep3\Utilities\RefineRTDCRunTimes.py" --tripid 170-19 --locoid 4041 --swversion DE.1.0.9.0 --startMP 204:233044 --initTime 2017-07-19T13:05:20 --startdatetime 2017-07-19T13:12:13 --delay 2 --endMP 204:139 --enddatetime 2017-07-19T13:49:32 --enforcementcount 0 &gt;&gt;C:\Users\stu\Documents\GitHub\eaglep3-reporting\EC\2017-07-19-refined-times.txt</v>
      </c>
      <c r="AI84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{"issue":{"subject":"","project_id":79,"tracker_id":40,"status_id":1,"priority_id":2,"assigned_to_id":23,"start_date":"2017-07-19","description":"","custom_fields":[{"id":1,"name":"Subdivision","value":"EC"},{"id":4,"name":"Milepost","value":"0.0139"},{"id":17,"name":"Train ID","value":"170-19"},{"id":16,"name":"Locomotive ID","value":"4041"},{"id":130,"name":"Impact","value":""},{"id":150,"name":"Time of Event (Mountain Time)","value":"13:49:32"},{"id":151,"name":"Denver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5"/>
        <v>start /low /b %USERPROFILE%\Documents\GitHub\eaglep3\Utilities\DownloadLogsFromS3.py --loco 4041 --day 2017-07-19</v>
      </c>
      <c r="AN84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745</v>
      </c>
      <c r="B85" s="7">
        <v>4032</v>
      </c>
      <c r="C85" s="21" t="s">
        <v>199</v>
      </c>
      <c r="D85" s="21" t="s">
        <v>508</v>
      </c>
      <c r="E85" s="13">
        <v>42935.518368055556</v>
      </c>
      <c r="F85" s="13">
        <v>42935.521180555559</v>
      </c>
      <c r="G85" s="7">
        <v>2</v>
      </c>
      <c r="H85" s="21" t="s">
        <v>587</v>
      </c>
      <c r="I85" s="13">
        <v>42935.547164351854</v>
      </c>
      <c r="J85" s="7">
        <v>0</v>
      </c>
      <c r="K85" s="89" t="str">
        <f>IF(ISEVEN(B85),(B85-1)&amp;"/"&amp;B85,B85&amp;"/"&amp;(B85+1))</f>
        <v>4031/4032</v>
      </c>
      <c r="L85" s="21" t="str">
        <f>VLOOKUP(A85,'Trips&amp;Operators'!$C$1:$G$99999,5,FALSE)</f>
        <v>DAVIS MICHAEL</v>
      </c>
      <c r="M85" s="6">
        <f>I85-F85</f>
        <v>2.5983796294895001E-2</v>
      </c>
      <c r="N85" s="7">
        <f>24*60*SUM($M85:$M85)</f>
        <v>37.416666664648801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-19T11:26:27-0600',mode:absolute,to:'2017-07-19T14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4.3099999999999999E-2</v>
      </c>
      <c r="Z85" s="197">
        <f>RIGHT(H85,LEN(H85)-4)/10000</f>
        <v>23.333600000000001</v>
      </c>
      <c r="AA85" s="197">
        <f>ABS(Z85-Y85)</f>
        <v>23.290500000000002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171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/stypes="app*4032*20170719*"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13"/>
        <v>"%USERPROFILE%\Documents\GitHub\eaglep3\Utilities\RefineRTDCRunTimes.py" --tripid 171-19 --locoid 4032 --swversion DE.1.0.9.0 --startMP 204:431 --initTime 2017-07-19T12:26:27 --startdatetime 2017-07-19T12:30:30 --delay 2 --endMP 204:233336 --enddatetime 2017-07-19T13:07:55 --enforcementcount 0 &gt;&gt;C:\Users\stu\Documents\GitHub\eaglep3-reporting\EC\2017-07-19-refined-times.txt</v>
      </c>
      <c r="AI85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{"issue":{"subject":"","project_id":79,"tracker_id":40,"status_id":1,"priority_id":2,"assigned_to_id":23,"start_date":"2017-07-19","description":"","custom_fields":[{"id":1,"name":"Subdivision","value":"EC"},{"id":4,"name":"Milepost","value":"23.3336"},{"id":17,"name":"Train ID","value":"171-19"},{"id":16,"name":"Locomotive ID","value":"4032"},{"id":130,"name":"Impact","value":""},{"id":150,"name":"Time of Event (Mountain Time)","value":"13:07:55"},{"id":151,"name":"Denver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5"/>
        <v>start /low /b %USERPROFILE%\Documents\GitHub\eaglep3\Utilities\DownloadLogsFromS3.py --loco 4032 --day 2017-07-19</v>
      </c>
      <c r="AN85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754</v>
      </c>
      <c r="B86" s="7">
        <v>4031</v>
      </c>
      <c r="C86" s="21" t="s">
        <v>199</v>
      </c>
      <c r="D86" s="21" t="s">
        <v>538</v>
      </c>
      <c r="E86" s="13">
        <v>42935.558923611112</v>
      </c>
      <c r="F86" s="13">
        <v>42935.561006944445</v>
      </c>
      <c r="G86" s="7">
        <v>1</v>
      </c>
      <c r="H86" s="21" t="s">
        <v>344</v>
      </c>
      <c r="I86" s="13">
        <v>42935.588194444441</v>
      </c>
      <c r="J86" s="7">
        <v>0</v>
      </c>
      <c r="K86" s="89" t="str">
        <f>IF(ISEVEN(B86),(B86-1)&amp;"/"&amp;B86,B86&amp;"/"&amp;(B86+1))</f>
        <v>4031/4032</v>
      </c>
      <c r="L86" s="21" t="str">
        <f>VLOOKUP(A86,'Trips&amp;Operators'!$C$1:$G$99999,5,FALSE)</f>
        <v>DAVIS MICHAEL</v>
      </c>
      <c r="M86" s="6">
        <f>I86-F86</f>
        <v>2.7187499996216502E-2</v>
      </c>
      <c r="N86" s="7">
        <f>24*60*SUM($M86:$M86)</f>
        <v>39.149999994551763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-19T12:24:51-0600',mode:absolute,to:'2017-07-19T15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23.3017</v>
      </c>
      <c r="Z86" s="197">
        <f>RIGHT(H86,LEN(H86)-4)/10000</f>
        <v>1.49E-2</v>
      </c>
      <c r="AA86" s="197">
        <f>ABS(Z86-Y86)</f>
        <v>23.286799999999999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172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/stypes="app*4031*20170719*"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13"/>
        <v>"%USERPROFILE%\Documents\GitHub\eaglep3\Utilities\RefineRTDCRunTimes.py" --tripid 172-19 --locoid 4031 --swversion DE.1.0.9.0 --startMP 204:233017 --initTime 2017-07-19T13:24:51 --startdatetime 2017-07-19T13:27:51 --delay 1 --endMP 204:149 --enddatetime 2017-07-19T14:07:00 --enforcementcount 0 &gt;&gt;C:\Users\stu\Documents\GitHub\eaglep3-reporting\EC\2017-07-19-refined-times.txt</v>
      </c>
      <c r="AI86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ID","value":"172-19"},{"id":16,"name":"Locomotive ID","value":"4031"},{"id":130,"name":"Impact","value":""},{"id":150,"name":"Time of Event (Mountain Time)","value":"14:07:00"},{"id":151,"name":"Denver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5"/>
        <v>start /low /b %USERPROFILE%\Documents\GitHub\eaglep3\Utilities\DownloadLogsFromS3.py --loco 4031 --day 2017-07-19</v>
      </c>
      <c r="AN86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748</v>
      </c>
      <c r="B87" s="7">
        <v>4004</v>
      </c>
      <c r="C87" s="21" t="s">
        <v>199</v>
      </c>
      <c r="D87" s="21" t="s">
        <v>347</v>
      </c>
      <c r="E87" s="13">
        <v>42935.527928240743</v>
      </c>
      <c r="F87" s="13">
        <v>42935.531770833331</v>
      </c>
      <c r="G87" s="7">
        <v>1</v>
      </c>
      <c r="H87" s="21" t="s">
        <v>483</v>
      </c>
      <c r="I87" s="13">
        <v>42935.556805555556</v>
      </c>
      <c r="J87" s="7">
        <v>0</v>
      </c>
      <c r="K87" s="89" t="str">
        <f>IF(ISEVEN(B87),(B87-1)&amp;"/"&amp;B87,B87&amp;"/"&amp;(B87+1))</f>
        <v>4003/4004</v>
      </c>
      <c r="L87" s="21" t="str">
        <f>VLOOKUP(A87,'Trips&amp;Operators'!$C$1:$G$99999,5,FALSE)</f>
        <v>GONZALEZ ARMANDO</v>
      </c>
      <c r="M87" s="6">
        <f>I87-F87</f>
        <v>2.5034722224518191E-2</v>
      </c>
      <c r="N87" s="7">
        <f>24*60*SUM($M87:$M87)</f>
        <v>36.050000003306195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-19T11:40:13-0600',mode:absolute,to:'2017-07-19T14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4.5100000000000001E-2</v>
      </c>
      <c r="Z87" s="197">
        <f>RIGHT(H87,LEN(H87)-4)/10000</f>
        <v>23.330500000000001</v>
      </c>
      <c r="AA87" s="197">
        <f>ABS(Z87-Y87)</f>
        <v>23.285399999999999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173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/stypes="app*4004*20170719*"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13"/>
        <v>"%USERPROFILE%\Documents\GitHub\eaglep3\Utilities\RefineRTDCRunTimes.py" --tripid 173-19 --locoid 4004 --swversion DE.1.0.9.0 --startMP 204:451 --initTime 2017-07-19T12:40:13 --startdatetime 2017-07-19T12:45:45 --delay 1 --endMP 204:233305 --enddatetime 2017-07-19T13:21:48 --enforcementcount 0 &gt;&gt;C:\Users\stu\Documents\GitHub\eaglep3-reporting\EC\2017-07-19-refined-times.txt</v>
      </c>
      <c r="AI87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{"issue":{"subject":"","project_id":79,"tracker_id":40,"status_id":1,"priority_id":2,"assigned_to_id":23,"start_date":"2017-07-19","description":"","custom_fields":[{"id":1,"name":"Subdivision","value":"EC"},{"id":4,"name":"Milepost","value":"23.3305"},{"id":17,"name":"Train ID","value":"173-19"},{"id":16,"name":"Locomotive ID","value":"4004"},{"id":130,"name":"Impact","value":""},{"id":150,"name":"Time of Event (Mountain Time)","value":"13:21:48"},{"id":151,"name":"Denver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5"/>
        <v>start /low /b %USERPROFILE%\Documents\GitHub\eaglep3\Utilities\DownloadLogsFromS3.py --loco 4004 --day 2017-07-19</v>
      </c>
      <c r="AN87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756</v>
      </c>
      <c r="B88" s="7">
        <v>4003</v>
      </c>
      <c r="C88" s="21" t="s">
        <v>199</v>
      </c>
      <c r="D88" s="21" t="s">
        <v>886</v>
      </c>
      <c r="E88" s="13">
        <v>42935.567071759258</v>
      </c>
      <c r="F88" s="13">
        <v>42935.571076388886</v>
      </c>
      <c r="G88" s="7">
        <v>1</v>
      </c>
      <c r="H88" s="21" t="s">
        <v>515</v>
      </c>
      <c r="I88" s="13">
        <v>42935.597592592596</v>
      </c>
      <c r="J88" s="7">
        <v>0</v>
      </c>
      <c r="K88" s="89" t="str">
        <f>IF(ISEVEN(B88),(B88-1)&amp;"/"&amp;B88,B88&amp;"/"&amp;(B88+1))</f>
        <v>4003/4004</v>
      </c>
      <c r="L88" s="21" t="str">
        <f>VLOOKUP(A88,'Trips&amp;Operators'!$C$1:$G$99999,5,FALSE)</f>
        <v>GONZALEZ ARMANDO</v>
      </c>
      <c r="M88" s="6">
        <f>I88-F88</f>
        <v>2.6516203710343689E-2</v>
      </c>
      <c r="N88" s="7">
        <f>24*60*SUM($M88:$M88)</f>
        <v>38.183333342894912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-19T12:36:35-0600',mode:absolute,to:'2017-07-19T15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23.299199999999999</v>
      </c>
      <c r="Z88" s="197">
        <f>RIGHT(H88,LEN(H88)-4)/10000</f>
        <v>1.34E-2</v>
      </c>
      <c r="AA88" s="197">
        <f>ABS(Z88-Y88)</f>
        <v>23.285799999999998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174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/stypes="app*4003*20170719*"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13"/>
        <v>"%USERPROFILE%\Documents\GitHub\eaglep3\Utilities\RefineRTDCRunTimes.py" --tripid 174-19 --locoid 4003 --swversion DE.1.0.9.0 --startMP 204:232992 --initTime 2017-07-19T13:36:35 --startdatetime 2017-07-19T13:42:21 --delay 1 --endMP 204:134 --enddatetime 2017-07-19T14:20:32 --enforcementcount 0 &gt;&gt;C:\Users\stu\Documents\GitHub\eaglep3-reporting\EC\2017-07-19-refined-times.txt</v>
      </c>
      <c r="AI88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{"issue":{"subject":"","project_id":79,"tracker_id":40,"status_id":1,"priority_id":2,"assigned_to_id":23,"start_date":"2017-07-19","description":"","custom_fields":[{"id":1,"name":"Subdivision","value":"EC"},{"id":4,"name":"Milepost","value":"0.0134"},{"id":17,"name":"Train ID","value":"174-19"},{"id":16,"name":"Locomotive ID","value":"4003"},{"id":130,"name":"Impact","value":""},{"id":150,"name":"Time of Event (Mountain Time)","value":"14:20:32"},{"id":151,"name":"Denver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5"/>
        <v>start /low /b %USERPROFILE%\Documents\GitHub\eaglep3\Utilities\DownloadLogsFromS3.py --loco 4003 --day 2017-07-19</v>
      </c>
      <c r="AN88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753</v>
      </c>
      <c r="B89" s="7">
        <v>4054</v>
      </c>
      <c r="C89" s="21" t="s">
        <v>199</v>
      </c>
      <c r="D89" s="21" t="s">
        <v>887</v>
      </c>
      <c r="E89" s="13">
        <v>42935.551458333335</v>
      </c>
      <c r="F89" s="13">
        <v>42935.553356481483</v>
      </c>
      <c r="G89" s="7">
        <v>1</v>
      </c>
      <c r="H89" s="21" t="s">
        <v>576</v>
      </c>
      <c r="I89" s="13">
        <v>42935.575775462959</v>
      </c>
      <c r="J89" s="7">
        <v>0</v>
      </c>
      <c r="K89" s="89" t="str">
        <f>IF(ISEVEN(B89),(B89-1)&amp;"/"&amp;B89,B89&amp;"/"&amp;(B89+1))</f>
        <v>4053/4054</v>
      </c>
      <c r="L89" s="21" t="str">
        <f>VLOOKUP(A89,'Trips&amp;Operators'!$C$1:$G$99999,5,FALSE)</f>
        <v>STEWART MICHAEL</v>
      </c>
      <c r="M89" s="6">
        <f>I89-F89</f>
        <v>2.2418981476221234E-2</v>
      </c>
      <c r="N89" s="7"/>
      <c r="O89" s="7"/>
      <c r="P89" s="7">
        <f>24*60*SUM($M89:$M89)</f>
        <v>32.283333325758576</v>
      </c>
      <c r="Q89" s="22"/>
      <c r="R89" s="170" t="s">
        <v>1042</v>
      </c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-19T12:14:06-0600',mode:absolute,to:'2017-07-19T14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97" t="str">
        <f>IF(AA89&lt;VLOOKUP(AG89,Variables!$AC$3:$AD$8,2,FALSE),"Y","N")</f>
        <v>Y</v>
      </c>
      <c r="X89" s="197">
        <f>VALUE(LEFT(AD89,4))-VALUE(LEFT(AD88,4))</f>
        <v>1</v>
      </c>
      <c r="Y89" s="197">
        <f>RIGHT(D89,LEN(D89)-4)/10000</f>
        <v>1.9133</v>
      </c>
      <c r="Z89" s="197">
        <f>RIGHT(H89,LEN(H89)-4)/10000</f>
        <v>23.328299999999999</v>
      </c>
      <c r="AA89" s="197">
        <f>ABS(Z89-Y89)</f>
        <v>21.414999999999999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175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/stypes="app*4054*20170719*"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13"/>
        <v>"%USERPROFILE%\Documents\GitHub\eaglep3\Utilities\RefineRTDCRunTimes.py" --tripid 175-19 --locoid 4054 --swversion DE.1.0.9.0 --startMP 204:19133 --initTime 2017-07-19T13:14:06 --startdatetime 2017-07-19T13:16:50 --delay 1 --endMP 204:233283 --enddatetime 2017-07-19T13:49:07 --enforcementcount 0 &gt;&gt;C:\Users\stu\Documents\GitHub\eaglep3-reporting\EC\2017-07-19-refined-times.txt</v>
      </c>
      <c r="AI89" s="96" t="str">
        <f t="shared" si="14"/>
        <v>echo {"issue":{"subject":"Breaker cycle, had to depart ATC only and init at 38th","project_id":79,"tracker_id":40,"status_id":1,"priority_id":2,"assigned_to_id":23,"start_date":"2017-07-19","description":"","custom_fields":[{"id":1,"name":"Subdivision","value":"EC"},{"id":4,"name":"Milepost","value":"23.3283"},{"id":17,"name":"Train ID","value":"175-19"},{"id":16,"name":"Locomotive ID","value":"4054"},{"id":130,"name":"Impact","value":""},{"id":150,"name":"Time of Event (Mountain Time)","value":"13:49:07"},{"id":151,"name":"Denver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5"/>
        <v>start /low /b %USERPROFILE%\Documents\GitHub\eaglep3\Utilities\DownloadLogsFromS3.py --loco 4054 --day 2017-07-19</v>
      </c>
      <c r="AN89" s="151" t="str">
        <f t="shared" si="16"/>
        <v>echo {"issue":{"subject":"Breaker cycle, had to depart ATC only and init at 38th","project_id":30,"tracker_id":4,"status_id":1,"priority_id":1,"assigned_to_id":10,"start_date":"2017-07-19","description":"","custom_fields":[{"id":30,"name":"Category","value":"Issue"},{"id":3,"name":"Functional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760</v>
      </c>
      <c r="B90" s="7">
        <v>4053</v>
      </c>
      <c r="C90" s="21" t="s">
        <v>199</v>
      </c>
      <c r="D90" s="21" t="s">
        <v>536</v>
      </c>
      <c r="E90" s="13">
        <v>42935.579398148147</v>
      </c>
      <c r="F90" s="13">
        <v>42935.58148148148</v>
      </c>
      <c r="G90" s="7">
        <v>1</v>
      </c>
      <c r="H90" s="21" t="s">
        <v>354</v>
      </c>
      <c r="I90" s="13">
        <v>42935.608356481483</v>
      </c>
      <c r="J90" s="7">
        <v>0</v>
      </c>
      <c r="K90" s="89" t="str">
        <f>IF(ISEVEN(B90),(B90-1)&amp;"/"&amp;B90,B90&amp;"/"&amp;(B90+1))</f>
        <v>4053/4054</v>
      </c>
      <c r="L90" s="21" t="str">
        <f>VLOOKUP(A90,'Trips&amp;Operators'!$C$1:$G$99999,5,FALSE)</f>
        <v>STEWART MICHAEL</v>
      </c>
      <c r="M90" s="6">
        <f>I90-F90</f>
        <v>2.6875000003201421E-2</v>
      </c>
      <c r="N90" s="7">
        <f>24*60*SUM($M90:$M90)</f>
        <v>38.700000004610047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-19T12:54:20-0600',mode:absolute,to:'2017-07-19T15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23.296800000000001</v>
      </c>
      <c r="Z90" s="197">
        <f>RIGHT(H90,LEN(H90)-4)/10000</f>
        <v>1.47E-2</v>
      </c>
      <c r="AA90" s="197">
        <f>ABS(Z90-Y90)</f>
        <v>23.2821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176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/stypes="app*4053*20170719*"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13"/>
        <v>"%USERPROFILE%\Documents\GitHub\eaglep3\Utilities\RefineRTDCRunTimes.py" --tripid 176-19 --locoid 4053 --swversion DE.1.0.9.0 --startMP 204:232968 --initTime 2017-07-19T13:54:20 --startdatetime 2017-07-19T13:57:20 --delay 1 --endMP 204:147 --enddatetime 2017-07-19T14:36:02 --enforcementcount 0 &gt;&gt;C:\Users\stu\Documents\GitHub\eaglep3-reporting\EC\2017-07-19-refined-times.txt</v>
      </c>
      <c r="AI9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{"issue":{"subject":"","project_id":79,"tracker_id":40,"status_id":1,"priority_id":2,"assigned_to_id":23,"start_date":"2017-07-19","description":"","custom_fields":[{"id":1,"name":"Subdivision","value":"EC"},{"id":4,"name":"Milepost","value":"0.0147"},{"id":17,"name":"Train ID","value":"176-19"},{"id":16,"name":"Locomotive ID","value":"4053"},{"id":130,"name":"Impact","value":""},{"id":150,"name":"Time of Event (Mountain Time)","value":"14:36:02"},{"id":151,"name":"Denver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5"/>
        <v>start /low /b %USERPROFILE%\Documents\GitHub\eaglep3\Utilities\DownloadLogsFromS3.py --loco 4053 --day 2017-07-19</v>
      </c>
      <c r="AN90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752</v>
      </c>
      <c r="B91" s="7">
        <v>4030</v>
      </c>
      <c r="C91" s="21" t="s">
        <v>199</v>
      </c>
      <c r="D91" s="21" t="s">
        <v>349</v>
      </c>
      <c r="E91" s="13">
        <v>42935.549432870372</v>
      </c>
      <c r="F91" s="13">
        <v>42935.553854166668</v>
      </c>
      <c r="G91" s="7">
        <v>1</v>
      </c>
      <c r="H91" s="21" t="s">
        <v>888</v>
      </c>
      <c r="I91" s="13">
        <v>42935.577997685185</v>
      </c>
      <c r="J91" s="7">
        <v>0</v>
      </c>
      <c r="K91" s="89" t="str">
        <f>IF(ISEVEN(B91),(B91-1)&amp;"/"&amp;B91,B91&amp;"/"&amp;(B91+1))</f>
        <v>4029/4030</v>
      </c>
      <c r="L91" s="21" t="str">
        <f>VLOOKUP(A91,'Trips&amp;Operators'!$C$1:$G$99999,5,FALSE)</f>
        <v>PAGE MARCUS</v>
      </c>
      <c r="M91" s="6">
        <f>I91-F91</f>
        <v>2.414351851621177E-2</v>
      </c>
      <c r="N91" s="7">
        <f>24*60*SUM($M91:$M91)</f>
        <v>34.766666663344949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-19T12:11:11-0600',mode:absolute,to:'2017-07-19T14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4.53E-2</v>
      </c>
      <c r="Z91" s="197">
        <f>RIGHT(H91,LEN(H91)-4)/10000</f>
        <v>23.337800000000001</v>
      </c>
      <c r="AA91" s="197">
        <f>ABS(Z91-Y91)</f>
        <v>23.2925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177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/stypes="app*4030*20170719*" /stext=" 19:.+((SYSTEM_STATE.+slice.+state.+changed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13"/>
        <v>"%USERPROFILE%\Documents\GitHub\eaglep3\Utilities\RefineRTDCRunTimes.py" --tripid 177-19 --locoid 4030 --swversion DE.1.0.9.0 --startMP 204:453 --initTime 2017-07-19T13:11:11 --startdatetime 2017-07-19T13:17:33 --delay 1 --endMP 204:233378 --enddatetime 2017-07-19T13:52:19 --enforcementcount 0 &gt;&gt;C:\Users\stu\Documents\GitHub\eaglep3-reporting\EC\2017-07-19-refined-times.txt</v>
      </c>
      <c r="AI9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{"issue":{"subject":"","project_id":79,"tracker_id":40,"status_id":1,"priority_id":2,"assigned_to_id":23,"start_date":"2017-07-19","description":"","custom_fields":[{"id":1,"name":"Subdivision","value":"EC"},{"id":4,"name":"Milepost","value":"23.3378"},{"id":17,"name":"Train ID","value":"177-19"},{"id":16,"name":"Locomotive ID","value":"4030"},{"id":130,"name":"Impact","value":""},{"id":150,"name":"Time of Event (Mountain Time)","value":"13:52:19"},{"id":151,"name":"Denver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5"/>
        <v>start /low /b %USERPROFILE%\Documents\GitHub\eaglep3\Utilities\DownloadLogsFromS3.py --loco 4030 --day 2017-07-19</v>
      </c>
      <c r="AN91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758</v>
      </c>
      <c r="B92" s="7">
        <v>4029</v>
      </c>
      <c r="C92" s="21" t="s">
        <v>199</v>
      </c>
      <c r="D92" s="21" t="s">
        <v>889</v>
      </c>
      <c r="E92" s="13">
        <v>42935.579212962963</v>
      </c>
      <c r="F92" s="13">
        <v>42935.591840277775</v>
      </c>
      <c r="G92" s="7">
        <v>1</v>
      </c>
      <c r="H92" s="21" t="s">
        <v>461</v>
      </c>
      <c r="I92" s="13">
        <v>42935.617037037038</v>
      </c>
      <c r="J92" s="7">
        <v>0</v>
      </c>
      <c r="K92" s="89" t="str">
        <f>IF(ISEVEN(B92),(B92-1)&amp;"/"&amp;B92,B92&amp;"/"&amp;(B92+1))</f>
        <v>4029/4030</v>
      </c>
      <c r="L92" s="21" t="str">
        <f>VLOOKUP(A92,'Trips&amp;Operators'!$C$1:$G$99999,5,FALSE)</f>
        <v>PAGE MARCUS</v>
      </c>
      <c r="M92" s="6">
        <f>I92-F92</f>
        <v>2.5196759263053536E-2</v>
      </c>
      <c r="N92" s="7">
        <f>24*60*SUM($M92:$M92)</f>
        <v>36.283333338797092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-19T12:54:04-0600',mode:absolute,to:'2017-07-19T15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23.305900000000001</v>
      </c>
      <c r="Z92" s="197">
        <f>RIGHT(H92,LEN(H92)-4)/10000</f>
        <v>1.61E-2</v>
      </c>
      <c r="AA92" s="197">
        <f>ABS(Z92-Y92)</f>
        <v>23.2898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178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/stypes="app*4029*20170719*"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13"/>
        <v>"%USERPROFILE%\Documents\GitHub\eaglep3\Utilities\RefineRTDCRunTimes.py" --tripid 178-19 --locoid 4029 --swversion DE.1.0.9.0 --startMP 204:233059 --initTime 2017-07-19T13:54:04 --startdatetime 2017-07-19T14:12:15 --delay 1 --endMP 204:161 --enddatetime 2017-07-19T14:48:32 --enforcementcount 0 &gt;&gt;C:\Users\stu\Documents\GitHub\eaglep3-reporting\EC\2017-07-19-refined-times.txt</v>
      </c>
      <c r="AI9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{"issue":{"subject":"","project_id":79,"tracker_id":40,"status_id":1,"priority_id":2,"assigned_to_id":23,"start_date":"2017-07-19","description":"","custom_fields":[{"id":1,"name":"Subdivision","value":"EC"},{"id":4,"name":"Milepost","value":"0.0161"},{"id":17,"name":"Train ID","value":"178-19"},{"id":16,"name":"Locomotive ID","value":"4029"},{"id":130,"name":"Impact","value":""},{"id":150,"name":"Time of Event (Mountain Time)","value":"14:48:32"},{"id":151,"name":"Denver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15"/>
        <v>start /low /b %USERPROFILE%\Documents\GitHub\eaglep3\Utilities\DownloadLogsFromS3.py --loco 4029 --day 2017-07-19</v>
      </c>
      <c r="AN92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755</v>
      </c>
      <c r="B93" s="7">
        <v>4066</v>
      </c>
      <c r="C93" s="21" t="s">
        <v>199</v>
      </c>
      <c r="D93" s="21" t="s">
        <v>380</v>
      </c>
      <c r="E93" s="13">
        <v>42935.559641203705</v>
      </c>
      <c r="F93" s="13">
        <v>42935.563055555554</v>
      </c>
      <c r="G93" s="7">
        <v>1</v>
      </c>
      <c r="H93" s="21" t="s">
        <v>545</v>
      </c>
      <c r="I93" s="13">
        <v>42935.587592592594</v>
      </c>
      <c r="J93" s="7">
        <v>0</v>
      </c>
      <c r="K93" s="89" t="str">
        <f>IF(ISEVEN(B93),(B93-1)&amp;"/"&amp;B93,B93&amp;"/"&amp;(B93+1))</f>
        <v>4065/4066</v>
      </c>
      <c r="L93" s="21" t="str">
        <f>VLOOKUP(A93,'Trips&amp;Operators'!$C$1:$G$99999,5,FALSE)</f>
        <v>BRUDER RICHARD</v>
      </c>
      <c r="M93" s="6">
        <f>I93-F93</f>
        <v>2.453703703940846E-2</v>
      </c>
      <c r="N93" s="7">
        <f>24*60*SUM($M93:$M93)</f>
        <v>35.333333336748183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-19T12:25:53-0600',mode:absolute,to:'2017-07-19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4.6199999999999998E-2</v>
      </c>
      <c r="Z93" s="197">
        <f>RIGHT(H93,LEN(H93)-4)/10000</f>
        <v>23.3308</v>
      </c>
      <c r="AA93" s="197">
        <f>ABS(Z93-Y93)</f>
        <v>23.284600000000001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>VALUE(LEFT(A93,LEN(A93)-3))</f>
        <v>179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/stypes="app*4066*20170719*"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13"/>
        <v>"%USERPROFILE%\Documents\GitHub\eaglep3\Utilities\RefineRTDCRunTimes.py" --tripid 179-19 --locoid 4066 --swversion DE.1.0.9.0 --startMP 204:462 --initTime 2017-07-19T13:25:53 --startdatetime 2017-07-19T13:30:48 --delay 1 --endMP 204:233308 --enddatetime 2017-07-19T14:06:08 --enforcementcount 0 &gt;&gt;C:\Users\stu\Documents\GitHub\eaglep3-reporting\EC\2017-07-19-refined-times.txt</v>
      </c>
      <c r="AI93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{"issue":{"subject":"","project_id":79,"tracker_id":40,"status_id":1,"priority_id":2,"assigned_to_id":23,"start_date":"2017-07-19","description":"","custom_fields":[{"id":1,"name":"Subdivision","value":"EC"},{"id":4,"name":"Milepost","value":"23.3308"},{"id":17,"name":"Train ID","value":"179-19"},{"id":16,"name":"Locomotive ID","value":"4066"},{"id":130,"name":"Impact","value":""},{"id":150,"name":"Time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15"/>
        <v>start /low /b %USERPROFILE%\Documents\GitHub\eaglep3\Utilities\DownloadLogsFromS3.py --loco 4066 --day 2017-07-19</v>
      </c>
      <c r="AN93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764</v>
      </c>
      <c r="B94" s="7">
        <v>4065</v>
      </c>
      <c r="C94" s="21" t="s">
        <v>199</v>
      </c>
      <c r="D94" s="21" t="s">
        <v>890</v>
      </c>
      <c r="E94" s="13">
        <v>42935.598726851851</v>
      </c>
      <c r="F94" s="13">
        <v>42935.602349537039</v>
      </c>
      <c r="G94" s="7">
        <v>1</v>
      </c>
      <c r="H94" s="21" t="s">
        <v>487</v>
      </c>
      <c r="I94" s="13">
        <v>42935.62840277778</v>
      </c>
      <c r="J94" s="7">
        <v>0</v>
      </c>
      <c r="K94" s="89" t="str">
        <f>IF(ISEVEN(B94),(B94-1)&amp;"/"&amp;B94,B94&amp;"/"&amp;(B94+1))</f>
        <v>4065/4066</v>
      </c>
      <c r="L94" s="21" t="str">
        <f>VLOOKUP(A94,'Trips&amp;Operators'!$C$1:$G$99999,5,FALSE)</f>
        <v>BRUDER RICHARD</v>
      </c>
      <c r="M94" s="6">
        <f>I94-F94</f>
        <v>2.6053240741021E-2</v>
      </c>
      <c r="N94" s="7">
        <f>24*60*SUM($M94:$M94)</f>
        <v>37.51666666707024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-19T13:22:10-0600',mode:absolute,to:'2017-07-19T16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23.299299999999999</v>
      </c>
      <c r="Z94" s="197">
        <f>RIGHT(H94,LEN(H94)-4)/10000</f>
        <v>1.52E-2</v>
      </c>
      <c r="AA94" s="197">
        <f>ABS(Z94-Y94)</f>
        <v>23.284099999999999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180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/stypes="app*4065*20170719*"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13"/>
        <v>"%USERPROFILE%\Documents\GitHub\eaglep3\Utilities\RefineRTDCRunTimes.py" --tripid 180-19 --locoid 4065 --swversion DE.1.0.9.0 --startMP 204:232993 --initTime 2017-07-19T14:22:10 --startdatetime 2017-07-19T14:27:23 --delay 1 --endMP 204:152 --enddatetime 2017-07-19T15:04:54 --enforcementcount 0 &gt;&gt;C:\Users\stu\Documents\GitHub\eaglep3-reporting\EC\2017-07-19-refined-times.txt</v>
      </c>
      <c r="AI94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{"issue":{"subject":"","project_id":79,"tracker_id":40,"status_id":1,"priority_id":2,"assigned_to_id":23,"start_date":"2017-07-19","description":"","custom_fields":[{"id":1,"name":"Subdivision","value":"EC"},{"id":4,"name":"Milepost","value":"0.0152"},{"id":17,"name":"Train ID","value":"180-19"},{"id":16,"name":"Locomotive ID","value":"4065"},{"id":130,"name":"Impact","value":""},{"id":150,"name":"Time of Event (Mountain Time)","value":"15:04:54"},{"id":151,"name":"Denver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15"/>
        <v>start /low /b %USERPROFILE%\Documents\GitHub\eaglep3\Utilities\DownloadLogsFromS3.py --loco 4065 --day 2017-07-19</v>
      </c>
      <c r="AN94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630</v>
      </c>
      <c r="B95" s="7">
        <v>4028</v>
      </c>
      <c r="C95" s="21" t="s">
        <v>199</v>
      </c>
      <c r="D95" s="21" t="s">
        <v>891</v>
      </c>
      <c r="E95" s="13">
        <v>42935.57</v>
      </c>
      <c r="F95" s="13">
        <v>42935.573483796295</v>
      </c>
      <c r="G95" s="7">
        <v>1</v>
      </c>
      <c r="H95" s="21" t="s">
        <v>892</v>
      </c>
      <c r="I95" s="13">
        <v>42935.598090277781</v>
      </c>
      <c r="J95" s="7">
        <v>0</v>
      </c>
      <c r="K95" s="89" t="str">
        <f>IF(ISEVEN(B95),(B95-1)&amp;"/"&amp;B95,B95&amp;"/"&amp;(B95+1))</f>
        <v>4027/4028</v>
      </c>
      <c r="L95" s="21" t="str">
        <f>VLOOKUP(A95,'Trips&amp;Operators'!$C$1:$G$99999,5,FALSE)</f>
        <v>LEVIN SCOTT</v>
      </c>
      <c r="M95" s="6">
        <f>I95-F95</f>
        <v>2.4606481485534459E-2</v>
      </c>
      <c r="N95" s="7">
        <f>24*60*SUM($M95:$M95)</f>
        <v>35.433333339169621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-19T12:40:48-0600',mode:absolute,to:'2017-07-19T15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4.2000000000000003E-2</v>
      </c>
      <c r="Z95" s="197">
        <f>RIGHT(H95,LEN(H95)-4)/10000</f>
        <v>23.339700000000001</v>
      </c>
      <c r="AA95" s="197">
        <f>ABS(Z95-Y95)</f>
        <v>23.297699999999999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181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/stypes="app*4028*20170719*"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13"/>
        <v>"%USERPROFILE%\Documents\GitHub\eaglep3\Utilities\RefineRTDCRunTimes.py" --tripid 181-19 --locoid 4028 --swversion DE.1.0.9.0 --startMP 204:420 --initTime 2017-07-19T13:40:48 --startdatetime 2017-07-19T13:45:49 --delay 1 --endMP 204:233397 --enddatetime 2017-07-19T14:21:15 --enforcementcount 0 &gt;&gt;C:\Users\stu\Documents\GitHub\eaglep3-reporting\EC\2017-07-19-refined-times.txt</v>
      </c>
      <c r="AI95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{"issue":{"subject":"","project_id":79,"tracker_id":40,"status_id":1,"priority_id":2,"assigned_to_id":23,"start_date":"2017-07-19","description":"","custom_fields":[{"id":1,"name":"Subdivision","value":"EC"},{"id":4,"name":"Milepost","value":"23.3397"},{"id":17,"name":"Train ID","value":"181-19"},{"id":16,"name":"Locomotive ID","value":"4028"},{"id":130,"name":"Impact","value":""},{"id":150,"name":"Time of Event (Mountain Time)","value":"14:21:15"},{"id":151,"name":"Denver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5"/>
        <v>start /low /b %USERPROFILE%\Documents\GitHub\eaglep3\Utilities\DownloadLogsFromS3.py --loco 4028 --day 2017-07-19</v>
      </c>
      <c r="AN95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765</v>
      </c>
      <c r="B96" s="7">
        <v>4027</v>
      </c>
      <c r="C96" s="21" t="s">
        <v>199</v>
      </c>
      <c r="D96" s="21" t="s">
        <v>893</v>
      </c>
      <c r="E96" s="13">
        <v>42935.607858796298</v>
      </c>
      <c r="F96" s="13">
        <v>42935.61277777778</v>
      </c>
      <c r="G96" s="7">
        <v>1</v>
      </c>
      <c r="H96" s="21" t="s">
        <v>344</v>
      </c>
      <c r="I96" s="13">
        <v>42935.639166666668</v>
      </c>
      <c r="J96" s="7">
        <v>0</v>
      </c>
      <c r="K96" s="89" t="str">
        <f>IF(ISEVEN(B96),(B96-1)&amp;"/"&amp;B96,B96&amp;"/"&amp;(B96+1))</f>
        <v>4027/4028</v>
      </c>
      <c r="L96" s="21" t="str">
        <f>VLOOKUP(A96,'Trips&amp;Operators'!$C$1:$G$99999,5,FALSE)</f>
        <v>LEVIN SCOTT</v>
      </c>
      <c r="M96" s="6">
        <f>I96-F96</f>
        <v>2.6388888887595385E-2</v>
      </c>
      <c r="N96" s="7">
        <f>24*60*SUM($M96:$M96)</f>
        <v>37.999999998137355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-19T13:35:19-0600',mode:absolute,to:'2017-07-19T16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23.307099999999998</v>
      </c>
      <c r="Z96" s="197">
        <f>RIGHT(H96,LEN(H96)-4)/10000</f>
        <v>1.49E-2</v>
      </c>
      <c r="AA96" s="197">
        <f>ABS(Z96-Y96)</f>
        <v>23.292199999999998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>VALUE(LEFT(A96,LEN(A96)-3))</f>
        <v>182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/stypes="app*4027*20170719*"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13"/>
        <v>"%USERPROFILE%\Documents\GitHub\eaglep3\Utilities\RefineRTDCRunTimes.py" --tripid 182-19 --locoid 4027 --swversion DE.1.0.9.0 --startMP 204:233071 --initTime 2017-07-19T14:35:19 --startdatetime 2017-07-19T14:42:24 --delay 1 --endMP 204:149 --enddatetime 2017-07-19T15:20:24 --enforcementcount 0 &gt;&gt;C:\Users\stu\Documents\GitHub\eaglep3-reporting\EC\2017-07-19-refined-times.txt</v>
      </c>
      <c r="AI96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ID","value":"182-19"},{"id":16,"name":"Locomotive ID","value":"4027"},{"id":130,"name":"Impact","value":""},{"id":150,"name":"Time of Event (Mountain Time)","value":"15:20:24"},{"id":151,"name":"Denver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5"/>
        <v>start /low /b %USERPROFILE%\Documents\GitHub\eaglep3\Utilities\DownloadLogsFromS3.py --loco 4027 --day 2017-07-19</v>
      </c>
      <c r="AN96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759</v>
      </c>
      <c r="B97" s="7">
        <v>4042</v>
      </c>
      <c r="C97" s="21" t="s">
        <v>199</v>
      </c>
      <c r="D97" s="21" t="s">
        <v>421</v>
      </c>
      <c r="E97" s="13">
        <v>42935.579074074078</v>
      </c>
      <c r="F97" s="13">
        <v>42935.583599537036</v>
      </c>
      <c r="G97" s="7">
        <v>1</v>
      </c>
      <c r="H97" s="21" t="s">
        <v>894</v>
      </c>
      <c r="I97" s="13">
        <v>42935.608287037037</v>
      </c>
      <c r="J97" s="7">
        <v>0</v>
      </c>
      <c r="K97" s="89" t="str">
        <f>IF(ISEVEN(B97),(B97-1)&amp;"/"&amp;B97,B97&amp;"/"&amp;(B97+1))</f>
        <v>4041/4042</v>
      </c>
      <c r="L97" s="21" t="str">
        <f>VLOOKUP(A97,'Trips&amp;Operators'!$C$1:$G$99999,5,FALSE)</f>
        <v>DELGADO DIANAH</v>
      </c>
      <c r="M97" s="6">
        <f>I97-F97</f>
        <v>2.4687500001164153E-2</v>
      </c>
      <c r="N97" s="7">
        <f>24*60*SUM($M97:$M97)</f>
        <v>35.550000001676381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-19T12:53:52-0600',mode:absolute,to:'2017-07-19T15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4.3499999999999997E-2</v>
      </c>
      <c r="Z97" s="197">
        <f>RIGHT(H97,LEN(H97)-4)/10000</f>
        <v>23.334900000000001</v>
      </c>
      <c r="AA97" s="197">
        <f>ABS(Z97-Y97)</f>
        <v>23.291399999999999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183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/stypes="app*4042*20170719*"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13"/>
        <v>"%USERPROFILE%\Documents\GitHub\eaglep3\Utilities\RefineRTDCRunTimes.py" --tripid 183-19 --locoid 4042 --swversion DE.1.0.9.0 --startMP 204:435 --initTime 2017-07-19T13:53:52 --startdatetime 2017-07-19T14:00:23 --delay 1 --endMP 204:233349 --enddatetime 2017-07-19T14:35:56 --enforcementcount 0 &gt;&gt;C:\Users\stu\Documents\GitHub\eaglep3-reporting\EC\2017-07-19-refined-times.txt</v>
      </c>
      <c r="AI97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{"issue":{"subject":"","project_id":79,"tracker_id":40,"status_id":1,"priority_id":2,"assigned_to_id":23,"start_date":"2017-07-19","description":"","custom_fields":[{"id":1,"name":"Subdivision","value":"EC"},{"id":4,"name":"Milepost","value":"23.3349"},{"id":17,"name":"Train ID","value":"183-19"},{"id":16,"name":"Locomotive ID","value":"4042"},{"id":130,"name":"Impact","value":""},{"id":150,"name":"Time of Event (Mountain Time)","value":"14:35:56"},{"id":151,"name":"Denver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5"/>
        <v>start /low /b %USERPROFILE%\Documents\GitHub\eaglep3\Utilities\DownloadLogsFromS3.py --loco 4042 --day 2017-07-19</v>
      </c>
      <c r="AN97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768</v>
      </c>
      <c r="B98" s="7">
        <v>4041</v>
      </c>
      <c r="C98" s="21" t="s">
        <v>199</v>
      </c>
      <c r="D98" s="21" t="s">
        <v>895</v>
      </c>
      <c r="E98" s="13">
        <v>42935.616805555554</v>
      </c>
      <c r="F98" s="13">
        <v>42935.623067129629</v>
      </c>
      <c r="G98" s="7">
        <v>1</v>
      </c>
      <c r="H98" s="21" t="s">
        <v>896</v>
      </c>
      <c r="I98" s="13">
        <v>42935.648414351854</v>
      </c>
      <c r="J98" s="7">
        <v>0</v>
      </c>
      <c r="K98" s="89" t="str">
        <f>IF(ISEVEN(B98),(B98-1)&amp;"/"&amp;B98,B98&amp;"/"&amp;(B98+1))</f>
        <v>4041/4042</v>
      </c>
      <c r="L98" s="21" t="str">
        <f>VLOOKUP(A98,'Trips&amp;Operators'!$C$1:$G$99999,5,FALSE)</f>
        <v>DELGADO DIANAH</v>
      </c>
      <c r="M98" s="6">
        <f>I98-F98</f>
        <v>2.5347222224809229E-2</v>
      </c>
      <c r="N98" s="7">
        <f>24*60*SUM($M98:$M98)</f>
        <v>36.50000000372529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-19T13:48:12-0600',mode:absolute,to:'2017-07-19T16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23.308700000000002</v>
      </c>
      <c r="Z98" s="197">
        <f>RIGHT(H98,LEN(H98)-4)/10000</f>
        <v>2.5999999999999999E-2</v>
      </c>
      <c r="AA98" s="197">
        <f>ABS(Z98-Y98)</f>
        <v>23.282700000000002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184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/stypes="app*4041*20170719*"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13"/>
        <v>"%USERPROFILE%\Documents\GitHub\eaglep3\Utilities\RefineRTDCRunTimes.py" --tripid 184-19 --locoid 4041 --swversion DE.1.0.9.0 --startMP 204:233087 --initTime 2017-07-19T14:48:12 --startdatetime 2017-07-19T14:57:13 --delay 1 --endMP 204:260 --enddatetime 2017-07-19T15:33:43 --enforcementcount 0 &gt;&gt;C:\Users\stu\Documents\GitHub\eaglep3-reporting\EC\2017-07-19-refined-times.txt</v>
      </c>
      <c r="AI98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{"issue":{"subject":"","project_id":79,"tracker_id":40,"status_id":1,"priority_id":2,"assigned_to_id":23,"start_date":"2017-07-19","description":"","custom_fields":[{"id":1,"name":"Subdivision","value":"EC"},{"id":4,"name":"Milepost","value":"0.026"},{"id":17,"name":"Train ID","value":"184-19"},{"id":16,"name":"Locomotive ID","value":"4041"},{"id":130,"name":"Impact","value":""},{"id":150,"name":"Time of Event (Mountain Time)","value":"15:33:43"},{"id":151,"name":"Denver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5"/>
        <v>start /low /b %USERPROFILE%\Documents\GitHub\eaglep3\Utilities\DownloadLogsFromS3.py --loco 4041 --day 2017-07-19</v>
      </c>
      <c r="AN98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761</v>
      </c>
      <c r="B99" s="7">
        <v>4032</v>
      </c>
      <c r="C99" s="21" t="s">
        <v>199</v>
      </c>
      <c r="D99" s="21" t="s">
        <v>541</v>
      </c>
      <c r="E99" s="13">
        <v>42935.592662037037</v>
      </c>
      <c r="F99" s="13">
        <v>42935.594305555554</v>
      </c>
      <c r="G99" s="7">
        <v>1</v>
      </c>
      <c r="H99" s="21" t="s">
        <v>590</v>
      </c>
      <c r="I99" s="13">
        <v>42935.620983796296</v>
      </c>
      <c r="J99" s="7">
        <v>0</v>
      </c>
      <c r="K99" s="89" t="str">
        <f>IF(ISEVEN(B99),(B99-1)&amp;"/"&amp;B99,B99&amp;"/"&amp;(B99+1))</f>
        <v>4031/4032</v>
      </c>
      <c r="L99" s="21" t="str">
        <f>VLOOKUP(A99,'Trips&amp;Operators'!$C$1:$G$99999,5,FALSE)</f>
        <v>DAVIS MICHAEL</v>
      </c>
      <c r="M99" s="6">
        <f>I99-F99</f>
        <v>2.6678240741603076E-2</v>
      </c>
      <c r="N99" s="7">
        <f>24*60*SUM($M99:$M99)</f>
        <v>38.41666666790843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-19T13:13:26-0600',mode:absolute,to:'2017-07-19T15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4.7800000000000002E-2</v>
      </c>
      <c r="Z99" s="197">
        <f>RIGHT(H99,LEN(H99)-4)/10000</f>
        <v>23.335100000000001</v>
      </c>
      <c r="AA99" s="197">
        <f>ABS(Z99-Y99)</f>
        <v>23.287300000000002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185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/stypes="app*4032*20170719*" /stext=" 20:.+((SYSTEM_STATE.+slice.+state.+changed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13"/>
        <v>"%USERPROFILE%\Documents\GitHub\eaglep3\Utilities\RefineRTDCRunTimes.py" --tripid 185-19 --locoid 4032 --swversion DE.1.0.9.0 --startMP 204:478 --initTime 2017-07-19T14:13:26 --startdatetime 2017-07-19T14:15:48 --delay 1 --endMP 204:233351 --enddatetime 2017-07-19T14:54:13 --enforcementcount 0 &gt;&gt;C:\Users\stu\Documents\GitHub\eaglep3-reporting\EC\2017-07-19-refined-times.txt</v>
      </c>
      <c r="AI99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{"issue":{"subject":"","project_id":79,"tracker_id":40,"status_id":1,"priority_id":2,"assigned_to_id":23,"start_date":"2017-07-19","description":"","custom_fields":[{"id":1,"name":"Subdivision","value":"EC"},{"id":4,"name":"Milepost","value":"23.3351"},{"id":17,"name":"Train ID","value":"185-19"},{"id":16,"name":"Locomotive ID","value":"4032"},{"id":130,"name":"Impact","value":""},{"id":150,"name":"Time of Event (Mountain Time)","value":"14:54:13"},{"id":151,"name":"Denver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5"/>
        <v>start /low /b %USERPROFILE%\Documents\GitHub\eaglep3\Utilities\DownloadLogsFromS3.py --loco 4032 --day 2017-07-19</v>
      </c>
      <c r="AN99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771</v>
      </c>
      <c r="B100" s="7">
        <v>4031</v>
      </c>
      <c r="C100" s="21" t="s">
        <v>199</v>
      </c>
      <c r="D100" s="21" t="s">
        <v>897</v>
      </c>
      <c r="E100" s="13">
        <v>42935.632303240738</v>
      </c>
      <c r="F100" s="13">
        <v>42935.634282407409</v>
      </c>
      <c r="G100" s="7">
        <v>1</v>
      </c>
      <c r="H100" s="21" t="s">
        <v>351</v>
      </c>
      <c r="I100" s="13">
        <v>42935.661134259259</v>
      </c>
      <c r="J100" s="7">
        <v>0</v>
      </c>
      <c r="K100" s="89" t="str">
        <f>IF(ISEVEN(B100),(B100-1)&amp;"/"&amp;B100,B100&amp;"/"&amp;(B100+1))</f>
        <v>4031/4032</v>
      </c>
      <c r="L100" s="21" t="str">
        <f>VLOOKUP(A100,'Trips&amp;Operators'!$C$1:$G$99999,5,FALSE)</f>
        <v>DAVIS MICHAEL</v>
      </c>
      <c r="M100" s="6">
        <f>I100-F100</f>
        <v>2.6851851849642117E-2</v>
      </c>
      <c r="N100" s="7">
        <f>24*60*SUM($M100:$M100)</f>
        <v>38.666666663484648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-19T14:10:31-0600',mode:absolute,to:'2017-07-19T16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23.300699999999999</v>
      </c>
      <c r="Z100" s="197">
        <f>RIGHT(H100,LEN(H100)-4)/10000</f>
        <v>1.3899999999999999E-2</v>
      </c>
      <c r="AA100" s="197">
        <f>ABS(Z100-Y100)</f>
        <v>23.286799999999999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186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/stypes="app*4031*20170719*"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13"/>
        <v>"%USERPROFILE%\Documents\GitHub\eaglep3\Utilities\RefineRTDCRunTimes.py" --tripid 186-19 --locoid 4031 --swversion DE.1.0.9.0 --startMP 204:233007 --initTime 2017-07-19T15:10:31 --startdatetime 2017-07-19T15:13:22 --delay 1 --endMP 204:139 --enddatetime 2017-07-19T15:52:02 --enforcementcount 0 &gt;&gt;C:\Users\stu\Documents\GitHub\eaglep3-reporting\EC\2017-07-19-refined-times.txt</v>
      </c>
      <c r="AI10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{"issue":{"subject":"","project_id":79,"tracker_id":40,"status_id":1,"priority_id":2,"assigned_to_id":23,"start_date":"2017-07-19","description":"","custom_fields":[{"id":1,"name":"Subdivision","value":"EC"},{"id":4,"name":"Milepost","value":"0.0139"},{"id":17,"name":"Train ID","value":"186-19"},{"id":16,"name":"Locomotive ID","value":"4031"},{"id":130,"name":"Impact","value":""},{"id":150,"name":"Time of Event (Mountain Time)","value":"15:52:02"},{"id":151,"name":"Denver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5"/>
        <v>start /low /b %USERPROFILE%\Documents\GitHub\eaglep3\Utilities\DownloadLogsFromS3.py --loco 4031 --day 2017-07-19</v>
      </c>
      <c r="AN100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763</v>
      </c>
      <c r="B101" s="7">
        <v>4004</v>
      </c>
      <c r="C101" s="21" t="s">
        <v>199</v>
      </c>
      <c r="D101" s="21" t="s">
        <v>506</v>
      </c>
      <c r="E101" s="13">
        <v>42935.598749999997</v>
      </c>
      <c r="F101" s="13">
        <v>42935.604884259257</v>
      </c>
      <c r="G101" s="7">
        <v>1</v>
      </c>
      <c r="H101" s="21" t="s">
        <v>542</v>
      </c>
      <c r="I101" s="13">
        <v>42935.630011574074</v>
      </c>
      <c r="J101" s="7">
        <v>0</v>
      </c>
      <c r="K101" s="89" t="str">
        <f>IF(ISEVEN(B101),(B101-1)&amp;"/"&amp;B101,B101&amp;"/"&amp;(B101+1))</f>
        <v>4003/4004</v>
      </c>
      <c r="L101" s="21" t="str">
        <f>VLOOKUP(A101,'Trips&amp;Operators'!$C$1:$G$99999,5,FALSE)</f>
        <v>GONZALEZ ARMANDO</v>
      </c>
      <c r="M101" s="6">
        <f>I101-F101</f>
        <v>2.5127314816927537E-2</v>
      </c>
      <c r="N101" s="7">
        <f>24*60*SUM($M101:$M101)</f>
        <v>36.183333336375654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-19T13:22:12-0600',mode:absolute,to:'2017-07-19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4.4900000000000002E-2</v>
      </c>
      <c r="Z101" s="197">
        <f>RIGHT(H101,LEN(H101)-4)/10000</f>
        <v>23.331900000000001</v>
      </c>
      <c r="AA101" s="197">
        <f>ABS(Z101-Y101)</f>
        <v>23.287000000000003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187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/stypes="app*4004*20170719*"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13"/>
        <v>"%USERPROFILE%\Documents\GitHub\eaglep3\Utilities\RefineRTDCRunTimes.py" --tripid 187-19 --locoid 4004 --swversion DE.1.0.9.0 --startMP 204:449 --initTime 2017-07-19T14:22:12 --startdatetime 2017-07-19T14:31:02 --delay 1 --endMP 204:233319 --enddatetime 2017-07-19T15:07:13 --enforcementcount 0 &gt;&gt;C:\Users\stu\Documents\GitHub\eaglep3-reporting\EC\2017-07-19-refined-times.txt</v>
      </c>
      <c r="AI10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{"issue":{"subject":"","project_id":79,"tracker_id":40,"status_id":1,"priority_id":2,"assigned_to_id":23,"start_date":"2017-07-19","description":"","custom_fields":[{"id":1,"name":"Subdivision","value":"EC"},{"id":4,"name":"Milepost","value":"23.3319"},{"id":17,"name":"Train ID","value":"187-19"},{"id":16,"name":"Locomotive ID","value":"4004"},{"id":130,"name":"Impact","value":""},{"id":150,"name":"Time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5"/>
        <v>start /low /b %USERPROFILE%\Documents\GitHub\eaglep3\Utilities\DownloadLogsFromS3.py --loco 4004 --day 2017-07-19</v>
      </c>
      <c r="AN101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774</v>
      </c>
      <c r="B102" s="7">
        <v>4003</v>
      </c>
      <c r="C102" s="21" t="s">
        <v>199</v>
      </c>
      <c r="D102" s="21" t="s">
        <v>898</v>
      </c>
      <c r="E102" s="13">
        <v>42935.637685185182</v>
      </c>
      <c r="F102" s="13">
        <v>42935.643923611111</v>
      </c>
      <c r="G102" s="7">
        <v>1</v>
      </c>
      <c r="H102" s="21" t="s">
        <v>489</v>
      </c>
      <c r="I102" s="13">
        <v>42935.670439814814</v>
      </c>
      <c r="J102" s="7">
        <v>0</v>
      </c>
      <c r="K102" s="89" t="str">
        <f>IF(ISEVEN(B102),(B102-1)&amp;"/"&amp;B102,B102&amp;"/"&amp;(B102+1))</f>
        <v>4003/4004</v>
      </c>
      <c r="L102" s="21" t="str">
        <f>VLOOKUP(A102,'Trips&amp;Operators'!$C$1:$G$99999,5,FALSE)</f>
        <v>GONZALEZ ARMANDO</v>
      </c>
      <c r="M102" s="6">
        <f>I102-F102</f>
        <v>2.6516203703067731E-2</v>
      </c>
      <c r="N102" s="7">
        <f>24*60*SUM($M102:$M102)</f>
        <v>38.183333332417533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-19T14:18:16-0600',mode:absolute,to:'2017-07-19T17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23.3002</v>
      </c>
      <c r="Z102" s="197">
        <f>RIGHT(H102,LEN(H102)-4)/10000</f>
        <v>1.29E-2</v>
      </c>
      <c r="AA102" s="197">
        <f>ABS(Z102-Y102)</f>
        <v>23.287300000000002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188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/stypes="app*4003*20170719*"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13"/>
        <v>"%USERPROFILE%\Documents\GitHub\eaglep3\Utilities\RefineRTDCRunTimes.py" --tripid 188-19 --locoid 4003 --swversion DE.1.0.9.0 --startMP 204:233002 --initTime 2017-07-19T15:18:16 --startdatetime 2017-07-19T15:27:15 --delay 1 --endMP 204:129 --enddatetime 2017-07-19T16:05:26 --enforcementcount 0 &gt;&gt;C:\Users\stu\Documents\GitHub\eaglep3-reporting\EC\2017-07-19-refined-times.txt</v>
      </c>
      <c r="AI10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{"issue":{"subject":"","project_id":79,"tracker_id":40,"status_id":1,"priority_id":2,"assigned_to_id":23,"start_date":"2017-07-19","description":"","custom_fields":[{"id":1,"name":"Subdivision","value":"EC"},{"id":4,"name":"Milepost","value":"0.0129"},{"id":17,"name":"Train ID","value":"188-19"},{"id":16,"name":"Locomotive ID","value":"4003"},{"id":130,"name":"Impact","value":""},{"id":150,"name":"Time of Event (Mountain Time)","value":"16:05:26"},{"id":151,"name":"Denver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5"/>
        <v>start /low /b %USERPROFILE%\Documents\GitHub\eaglep3\Utilities\DownloadLogsFromS3.py --loco 4003 --day 2017-07-19</v>
      </c>
      <c r="AN102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767</v>
      </c>
      <c r="B103" s="7">
        <v>4054</v>
      </c>
      <c r="C103" s="21" t="s">
        <v>199</v>
      </c>
      <c r="D103" s="21" t="s">
        <v>497</v>
      </c>
      <c r="E103" s="13">
        <v>42935.61173611111</v>
      </c>
      <c r="F103" s="13">
        <v>42935.615266203706</v>
      </c>
      <c r="G103" s="7">
        <v>1</v>
      </c>
      <c r="H103" s="21" t="s">
        <v>899</v>
      </c>
      <c r="I103" s="13">
        <v>42935.641539351855</v>
      </c>
      <c r="J103" s="7">
        <v>0</v>
      </c>
      <c r="K103" s="89" t="str">
        <f>IF(ISEVEN(B103),(B103-1)&amp;"/"&amp;B103,B103&amp;"/"&amp;(B103+1))</f>
        <v>4053/4054</v>
      </c>
      <c r="L103" s="21" t="str">
        <f>VLOOKUP(A103,'Trips&amp;Operators'!$C$1:$G$99999,5,FALSE)</f>
        <v>STEWART MICHAEL</v>
      </c>
      <c r="M103" s="6">
        <f>I103-F103</f>
        <v>2.6273148148902692E-2</v>
      </c>
      <c r="N103" s="7">
        <f>24*60*SUM($M103:$M103)</f>
        <v>37.833333334419876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-19T13:40:54-0600',mode:absolute,to:'2017-07-19T16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4.5999999999999999E-2</v>
      </c>
      <c r="Z103" s="197">
        <f>RIGHT(H103,LEN(H103)-4)/10000</f>
        <v>23.332599999999999</v>
      </c>
      <c r="AA103" s="197">
        <f>ABS(Z103-Y103)</f>
        <v>23.2866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189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/stypes="app*4054*20170719*"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13"/>
        <v>"%USERPROFILE%\Documents\GitHub\eaglep3\Utilities\RefineRTDCRunTimes.py" --tripid 189-19 --locoid 4054 --swversion DE.1.0.9.0 --startMP 204:460 --initTime 2017-07-19T14:40:54 --startdatetime 2017-07-19T14:45:59 --delay 1 --endMP 204:233326 --enddatetime 2017-07-19T15:23:49 --enforcementcount 0 &gt;&gt;C:\Users\stu\Documents\GitHub\eaglep3-reporting\EC\2017-07-19-refined-times.txt</v>
      </c>
      <c r="AI103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{"issue":{"subject":"","project_id":79,"tracker_id":40,"status_id":1,"priority_id":2,"assigned_to_id":23,"start_date":"2017-07-19","description":"","custom_fields":[{"id":1,"name":"Subdivision","value":"EC"},{"id":4,"name":"Milepost","value":"23.3326"},{"id":17,"name":"Train ID","value":"189-19"},{"id":16,"name":"Locomotive ID","value":"4054"},{"id":130,"name":"Impact","value":""},{"id":150,"name":"Time of Event (Mountain Time)","value":"15:23:49"},{"id":151,"name":"Denver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5"/>
        <v>start /low /b %USERPROFILE%\Documents\GitHub\eaglep3\Utilities\DownloadLogsFromS3.py --loco 4054 --day 2017-07-19</v>
      </c>
      <c r="AN103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778</v>
      </c>
      <c r="B104" s="7">
        <v>4053</v>
      </c>
      <c r="C104" s="21" t="s">
        <v>199</v>
      </c>
      <c r="D104" s="21" t="s">
        <v>589</v>
      </c>
      <c r="E104" s="13">
        <v>42935.650717592594</v>
      </c>
      <c r="F104" s="13">
        <v>42935.654363425929</v>
      </c>
      <c r="G104" s="7">
        <v>1</v>
      </c>
      <c r="H104" s="21" t="s">
        <v>345</v>
      </c>
      <c r="I104" s="13">
        <v>42935.68178240741</v>
      </c>
      <c r="J104" s="7">
        <v>0</v>
      </c>
      <c r="K104" s="89" t="str">
        <f>IF(ISEVEN(B104),(B104-1)&amp;"/"&amp;B104,B104&amp;"/"&amp;(B104+1))</f>
        <v>4053/4054</v>
      </c>
      <c r="L104" s="21" t="str">
        <f>VLOOKUP(A104,'Trips&amp;Operators'!$C$1:$G$99999,5,FALSE)</f>
        <v>STEWART MICHAEL</v>
      </c>
      <c r="M104" s="6">
        <f>I104-F104</f>
        <v>2.7418981480877846E-2</v>
      </c>
      <c r="N104" s="7">
        <f>24*60*SUM($M104:$M104)</f>
        <v>39.483333332464099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-19T14:37:02-0600',mode:absolute,to:'2017-07-19T17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23.295500000000001</v>
      </c>
      <c r="Z104" s="197">
        <f>RIGHT(H104,LEN(H104)-4)/10000</f>
        <v>1.43E-2</v>
      </c>
      <c r="AA104" s="197">
        <f>ABS(Z104-Y104)</f>
        <v>23.281200000000002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190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/stypes="app*4053*20170719*"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13"/>
        <v>"%USERPROFILE%\Documents\GitHub\eaglep3\Utilities\RefineRTDCRunTimes.py" --tripid 190-19 --locoid 4053 --swversion DE.1.0.9.0 --startMP 204:232955 --initTime 2017-07-19T15:37:02 --startdatetime 2017-07-19T15:42:17 --delay 1 --endMP 204:143 --enddatetime 2017-07-19T16:21:46 --enforcementcount 0 &gt;&gt;C:\Users\stu\Documents\GitHub\eaglep3-reporting\EC\2017-07-19-refined-times.txt</v>
      </c>
      <c r="AI104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ID","value":"190-19"},{"id":16,"name":"Locomotive ID","value":"4053"},{"id":130,"name":"Impact","value":""},{"id":150,"name":"Time of Event (Mountain Time)","value":"16:21:46"},{"id":151,"name":"Denver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5"/>
        <v>start /low /b %USERPROFILE%\Documents\GitHub\eaglep3\Utilities\DownloadLogsFromS3.py --loco 4053 --day 2017-07-19</v>
      </c>
      <c r="AN104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4030</v>
      </c>
      <c r="C105" s="21" t="s">
        <v>199</v>
      </c>
      <c r="D105" s="21" t="s">
        <v>397</v>
      </c>
      <c r="E105" s="13">
        <v>42935.619108796294</v>
      </c>
      <c r="F105" s="13">
        <v>42935.625659722224</v>
      </c>
      <c r="G105" s="7">
        <v>1</v>
      </c>
      <c r="H105" s="21" t="s">
        <v>546</v>
      </c>
      <c r="I105" s="13">
        <v>42935.65047453704</v>
      </c>
      <c r="J105" s="7">
        <v>0</v>
      </c>
      <c r="K105" s="89" t="str">
        <f>IF(ISEVEN(B105),(B105-1)&amp;"/"&amp;B105,B105&amp;"/"&amp;(B105+1))</f>
        <v>4029/4030</v>
      </c>
      <c r="L105" s="21" t="str">
        <f>VLOOKUP(A105,'Trips&amp;Operators'!$C$1:$G$99999,5,FALSE)</f>
        <v>PAGE MARCUS</v>
      </c>
      <c r="M105" s="6">
        <f>I105-F105</f>
        <v>2.4814814816636499E-2</v>
      </c>
      <c r="N105" s="7">
        <f>24*60*SUM($M105:$M105)</f>
        <v>35.733333335956559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-19T13:51:31-0600',mode:absolute,to:'2017-07-19T16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4.6899999999999997E-2</v>
      </c>
      <c r="Z105" s="197">
        <f>RIGHT(H105,LEN(H105)-4)/10000</f>
        <v>23.329799999999999</v>
      </c>
      <c r="AA105" s="197">
        <f>ABS(Z105-Y105)</f>
        <v>23.282899999999998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191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/stypes="app*4030*20170719*"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13"/>
        <v>"%USERPROFILE%\Documents\GitHub\eaglep3\Utilities\RefineRTDCRunTimes.py" --tripid 191-19 --locoid 4030 --swversion DE.1.0.9.0 --startMP 204:469 --initTime 2017-07-19T14:51:31 --startdatetime 2017-07-19T15:00:57 --delay 1 --endMP 204:233298 --enddatetime 2017-07-19T15:36:41 --enforcementcount 0 &gt;&gt;C:\Users\stu\Documents\GitHub\eaglep3-reporting\EC\2017-07-19-refined-times.txt</v>
      </c>
      <c r="AI105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{"issue":{"subject":"","project_id":79,"tracker_id":40,"status_id":1,"priority_id":2,"assigned_to_id":23,"start_date":"2017-07-19","description":"","custom_fields":[{"id":1,"name":"Subdivision","value":"EC"},{"id":4,"name":"Milepost","value":"23.3298"},{"id":17,"name":"Train ID","value":"191-19"},{"id":16,"name":"Locomotive ID","value":"4030"},{"id":130,"name":"Impact","value":""},{"id":150,"name":"Time of Event (Mountain Time)","value":"15:36:41"},{"id":151,"name":"Denver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5"/>
        <v>start /low /b %USERPROFILE%\Documents\GitHub\eaglep3\Utilities\DownloadLogsFromS3.py --loco 4030 --day 2017-07-19</v>
      </c>
      <c r="AN105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631</v>
      </c>
      <c r="B106" s="7">
        <v>4029</v>
      </c>
      <c r="C106" s="21" t="s">
        <v>199</v>
      </c>
      <c r="D106" s="21" t="s">
        <v>514</v>
      </c>
      <c r="E106" s="13">
        <v>42935.65184027778</v>
      </c>
      <c r="F106" s="13">
        <v>42935.664814814816</v>
      </c>
      <c r="G106" s="7">
        <v>1</v>
      </c>
      <c r="H106" s="21" t="s">
        <v>461</v>
      </c>
      <c r="I106" s="13">
        <v>42935.69189814815</v>
      </c>
      <c r="J106" s="7">
        <v>0</v>
      </c>
      <c r="K106" s="89" t="str">
        <f>IF(ISEVEN(B106),(B106-1)&amp;"/"&amp;B106,B106&amp;"/"&amp;(B106+1))</f>
        <v>4029/4030</v>
      </c>
      <c r="L106" s="21" t="str">
        <f>VLOOKUP(A106,'Trips&amp;Operators'!$C$1:$G$99999,5,FALSE)</f>
        <v>PAGE MARCUS</v>
      </c>
      <c r="M106" s="6">
        <f>I106-F106</f>
        <v>2.7083333334303461E-2</v>
      </c>
      <c r="N106" s="7">
        <f>24*60*SUM($M106:$M106)</f>
        <v>39.000000001396984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-19T14:38:39-0600',mode:absolute,to:'2017-07-19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23.297899999999998</v>
      </c>
      <c r="Z106" s="197">
        <f>RIGHT(H106,LEN(H106)-4)/10000</f>
        <v>1.61E-2</v>
      </c>
      <c r="AA106" s="197">
        <f>ABS(Z106-Y106)</f>
        <v>23.281799999999997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192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/stypes="app*4029*20170719*"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13"/>
        <v>"%USERPROFILE%\Documents\GitHub\eaglep3\Utilities\RefineRTDCRunTimes.py" --tripid 192-19 --locoid 4029 --swversion DE.1.0.9.0 --startMP 204:232979 --initTime 2017-07-19T15:38:39 --startdatetime 2017-07-19T15:57:20 --delay 1 --endMP 204:161 --enddatetime 2017-07-19T16:36:20 --enforcementcount 0 &gt;&gt;C:\Users\stu\Documents\GitHub\eaglep3-reporting\EC\2017-07-19-refined-times.txt</v>
      </c>
      <c r="AI106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{"issue":{"subject":"","project_id":79,"tracker_id":40,"status_id":1,"priority_id":2,"assigned_to_id":23,"start_date":"2017-07-19","description":"","custom_fields":[{"id":1,"name":"Subdivision","value":"EC"},{"id":4,"name":"Milepost","value":"0.0161"},{"id":17,"name":"Train ID","value":"192-19"},{"id":16,"name":"Locomotive ID","value":"4029"},{"id":130,"name":"Impact","value":""},{"id":150,"name":"Time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5"/>
        <v>start /low /b %USERPROFILE%\Documents\GitHub\eaglep3\Utilities\DownloadLogsFromS3.py --loco 4029 --day 2017-07-19</v>
      </c>
      <c r="AN106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770</v>
      </c>
      <c r="B107" s="7">
        <v>4066</v>
      </c>
      <c r="C107" s="21" t="s">
        <v>199</v>
      </c>
      <c r="D107" s="21" t="s">
        <v>413</v>
      </c>
      <c r="E107" s="13">
        <v>42935.632025462961</v>
      </c>
      <c r="F107" s="13">
        <v>42935.635949074072</v>
      </c>
      <c r="G107" s="7">
        <v>1</v>
      </c>
      <c r="H107" s="21" t="s">
        <v>579</v>
      </c>
      <c r="I107" s="13">
        <v>42935.660833333335</v>
      </c>
      <c r="J107" s="7">
        <v>0</v>
      </c>
      <c r="K107" s="89" t="str">
        <f>IF(ISEVEN(B107),(B107-1)&amp;"/"&amp;B107,B107&amp;"/"&amp;(B107+1))</f>
        <v>4065/4066</v>
      </c>
      <c r="L107" s="21" t="str">
        <f>VLOOKUP(A107,'Trips&amp;Operators'!$C$1:$G$99999,5,FALSE)</f>
        <v>BRUDER RICHARD</v>
      </c>
      <c r="M107" s="6">
        <f>I107-F107</f>
        <v>2.4884259262762498E-2</v>
      </c>
      <c r="N107" s="7">
        <f>24*60*SUM($M107:$M107)</f>
        <v>35.833333338377997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-19T14:10:07-0600',mode:absolute,to:'2017-07-19T16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4.58E-2</v>
      </c>
      <c r="Z107" s="197">
        <f>RIGHT(H107,LEN(H107)-4)/10000</f>
        <v>23.3261</v>
      </c>
      <c r="AA107" s="197">
        <f>ABS(Z107-Y107)</f>
        <v>23.2803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193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/stypes="app*4066*20170719*" /stext=" 21:.+((SYSTEM_STATE.+slice.+state.+changed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13"/>
        <v>"%USERPROFILE%\Documents\GitHub\eaglep3\Utilities\RefineRTDCRunTimes.py" --tripid 193-19 --locoid 4066 --swversion DE.1.0.9.0 --startMP 204:458 --initTime 2017-07-19T15:10:07 --startdatetime 2017-07-19T15:15:46 --delay 1 --endMP 204:233261 --enddatetime 2017-07-19T15:51:36 --enforcementcount 0 &gt;&gt;C:\Users\stu\Documents\GitHub\eaglep3-reporting\EC\2017-07-19-refined-times.txt</v>
      </c>
      <c r="AI107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{"issue":{"subject":"","project_id":79,"tracker_id":40,"status_id":1,"priority_id":2,"assigned_to_id":23,"start_date":"2017-07-19","description":"","custom_fields":[{"id":1,"name":"Subdivision","value":"EC"},{"id":4,"name":"Milepost","value":"23.3261"},{"id":17,"name":"Train ID","value":"193-19"},{"id":16,"name":"Locomotive ID","value":"4066"},{"id":130,"name":"Impact","value":""},{"id":150,"name":"Time of Event (Mountain Time)","value":"15:51:36"},{"id":151,"name":"Denver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5"/>
        <v>start /low /b %USERPROFILE%\Documents\GitHub\eaglep3\Utilities\DownloadLogsFromS3.py --loco 4066 --day 2017-07-19</v>
      </c>
      <c r="AN107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785</v>
      </c>
      <c r="B108" s="7">
        <v>4065</v>
      </c>
      <c r="C108" s="21" t="s">
        <v>199</v>
      </c>
      <c r="D108" s="21" t="s">
        <v>535</v>
      </c>
      <c r="E108" s="13">
        <v>42935.672777777778</v>
      </c>
      <c r="F108" s="13">
        <v>42935.675185185188</v>
      </c>
      <c r="G108" s="7">
        <v>1</v>
      </c>
      <c r="H108" s="21" t="s">
        <v>351</v>
      </c>
      <c r="I108" s="13">
        <v>42935.701111111113</v>
      </c>
      <c r="J108" s="7">
        <v>0</v>
      </c>
      <c r="K108" s="89" t="str">
        <f>IF(ISEVEN(B108),(B108-1)&amp;"/"&amp;B108,B108&amp;"/"&amp;(B108+1))</f>
        <v>4065/4066</v>
      </c>
      <c r="L108" s="21" t="str">
        <f>VLOOKUP(A108,'Trips&amp;Operators'!$C$1:$G$99999,5,FALSE)</f>
        <v>BRUDER RICHARD</v>
      </c>
      <c r="M108" s="6">
        <f>I108-F108</f>
        <v>2.5925925925548654E-2</v>
      </c>
      <c r="N108" s="7">
        <f>24*60*SUM($M108:$M108)</f>
        <v>37.333333332790062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-19T15:08:48-0600',mode:absolute,to:'2017-07-19T17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23.297999999999998</v>
      </c>
      <c r="Z108" s="197">
        <f>RIGHT(H108,LEN(H108)-4)/10000</f>
        <v>1.3899999999999999E-2</v>
      </c>
      <c r="AA108" s="197">
        <f>ABS(Z108-Y108)</f>
        <v>23.284099999999999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194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/stypes="app*4065*20170719*"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13"/>
        <v>"%USERPROFILE%\Documents\GitHub\eaglep3\Utilities\RefineRTDCRunTimes.py" --tripid 194-19 --locoid 4065 --swversion DE.1.0.9.0 --startMP 204:232980 --initTime 2017-07-19T16:08:48 --startdatetime 2017-07-19T16:12:16 --delay 1 --endMP 204:139 --enddatetime 2017-07-19T16:49:36 --enforcementcount 0 &gt;&gt;C:\Users\stu\Documents\GitHub\eaglep3-reporting\EC\2017-07-19-refined-times.txt</v>
      </c>
      <c r="AI108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{"issue":{"subject":"","project_id":79,"tracker_id":40,"status_id":1,"priority_id":2,"assigned_to_id":23,"start_date":"2017-07-19","description":"","custom_fields":[{"id":1,"name":"Subdivision","value":"EC"},{"id":4,"name":"Milepost","value":"0.0139"},{"id":17,"name":"Train ID","value":"194-19"},{"id":16,"name":"Locomotive ID","value":"4065"},{"id":130,"name":"Impact","value":""},{"id":150,"name":"Time of Event (Mountain Time)","value":"16:49:36"},{"id":151,"name":"Denver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5"/>
        <v>start /low /b %USERPROFILE%\Documents\GitHub\eaglep3\Utilities\DownloadLogsFromS3.py --loco 4065 --day 2017-07-19</v>
      </c>
      <c r="AN108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777</v>
      </c>
      <c r="B109" s="7">
        <v>4028</v>
      </c>
      <c r="C109" s="21" t="s">
        <v>199</v>
      </c>
      <c r="D109" s="21" t="s">
        <v>582</v>
      </c>
      <c r="E109" s="13">
        <v>42935.642372685186</v>
      </c>
      <c r="F109" s="13">
        <v>42935.646365740744</v>
      </c>
      <c r="G109" s="7">
        <v>1</v>
      </c>
      <c r="H109" s="21" t="s">
        <v>900</v>
      </c>
      <c r="I109" s="13">
        <v>42935.670775462961</v>
      </c>
      <c r="J109" s="7">
        <v>0</v>
      </c>
      <c r="K109" s="89" t="str">
        <f>IF(ISEVEN(B109),(B109-1)&amp;"/"&amp;B109,B109&amp;"/"&amp;(B109+1))</f>
        <v>4027/4028</v>
      </c>
      <c r="L109" s="21" t="str">
        <f>VLOOKUP(A109,'Trips&amp;Operators'!$C$1:$G$99999,5,FALSE)</f>
        <v>LEVIN SCOTT</v>
      </c>
      <c r="M109" s="6">
        <f>I109-F109</f>
        <v>2.4409722216660157E-2</v>
      </c>
      <c r="N109" s="7">
        <f>24*60*SUM($M109:$M109)</f>
        <v>35.149999991990626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-19T14:25:01-0600',mode:absolute,to:'2017-07-19T17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4.3999999999999997E-2</v>
      </c>
      <c r="Z109" s="197">
        <f>RIGHT(H109,LEN(H109)-4)/10000</f>
        <v>23.342099999999999</v>
      </c>
      <c r="AA109" s="197">
        <f>ABS(Z109-Y109)</f>
        <v>23.298099999999998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195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/stypes="app*4028*20170719*"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13"/>
        <v>"%USERPROFILE%\Documents\GitHub\eaglep3\Utilities\RefineRTDCRunTimes.py" --tripid 195-19 --locoid 4028 --swversion DE.1.0.9.0 --startMP 204:440 --initTime 2017-07-19T15:25:01 --startdatetime 2017-07-19T15:30:46 --delay 1 --endMP 204:233421 --enddatetime 2017-07-19T16:05:55 --enforcementcount 0 &gt;&gt;C:\Users\stu\Documents\GitHub\eaglep3-reporting\EC\2017-07-19-refined-times.txt</v>
      </c>
      <c r="AI109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{"issue":{"subject":"","project_id":79,"tracker_id":40,"status_id":1,"priority_id":2,"assigned_to_id":23,"start_date":"2017-07-19","description":"","custom_fields":[{"id":1,"name":"Subdivision","value":"EC"},{"id":4,"name":"Milepost","value":"23.3421"},{"id":17,"name":"Train ID","value":"195-19"},{"id":16,"name":"Locomotive ID","value":"4028"},{"id":130,"name":"Impact","value":""},{"id":150,"name":"Time of Event (Mountain Time)","value":"16:05:55"},{"id":151,"name":"Denver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5"/>
        <v>start /low /b %USERPROFILE%\Documents\GitHub\eaglep3\Utilities\DownloadLogsFromS3.py --loco 4028 --day 2017-07-19</v>
      </c>
      <c r="AN109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787</v>
      </c>
      <c r="B110" s="7">
        <v>4027</v>
      </c>
      <c r="C110" s="21" t="s">
        <v>199</v>
      </c>
      <c r="D110" s="21" t="s">
        <v>901</v>
      </c>
      <c r="E110" s="13">
        <v>42935.68304398148</v>
      </c>
      <c r="F110" s="13">
        <v>42935.685694444444</v>
      </c>
      <c r="G110" s="7">
        <v>1</v>
      </c>
      <c r="H110" s="21" t="s">
        <v>351</v>
      </c>
      <c r="I110" s="13">
        <v>42935.711539351854</v>
      </c>
      <c r="J110" s="7">
        <v>0</v>
      </c>
      <c r="K110" s="89" t="str">
        <f>IF(ISEVEN(B110),(B110-1)&amp;"/"&amp;B110,B110&amp;"/"&amp;(B110+1))</f>
        <v>4027/4028</v>
      </c>
      <c r="L110" s="21" t="str">
        <f>VLOOKUP(A110,'Trips&amp;Operators'!$C$1:$G$99999,5,FALSE)</f>
        <v>LEVIN SCOTT</v>
      </c>
      <c r="M110" s="6">
        <f>I110-F110</f>
        <v>2.584490740991896E-2</v>
      </c>
      <c r="N110" s="7">
        <f>24*60*SUM($M110:$M110)</f>
        <v>37.216666670283303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-19T15:23:35-0600',mode:absolute,to:'2017-07-19T18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23.3127</v>
      </c>
      <c r="Z110" s="197">
        <f>RIGHT(H110,LEN(H110)-4)/10000</f>
        <v>1.3899999999999999E-2</v>
      </c>
      <c r="AA110" s="197">
        <f>ABS(Z110-Y110)</f>
        <v>23.2988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>VALUE(LEFT(A110,LEN(A110)-3))</f>
        <v>196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/stypes="app*4027*20170719*"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13"/>
        <v>"%USERPROFILE%\Documents\GitHub\eaglep3\Utilities\RefineRTDCRunTimes.py" --tripid 196-19 --locoid 4027 --swversion DE.1.0.9.0 --startMP 204:233127 --initTime 2017-07-19T16:23:35 --startdatetime 2017-07-19T16:27:24 --delay 1 --endMP 204:139 --enddatetime 2017-07-19T17:04:37 --enforcementcount 0 &gt;&gt;C:\Users\stu\Documents\GitHub\eaglep3-reporting\EC\2017-07-19-refined-times.txt</v>
      </c>
      <c r="AI11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{"issue":{"subject":"","project_id":79,"tracker_id":40,"status_id":1,"priority_id":2,"assigned_to_id":23,"start_date":"2017-07-19","description":"","custom_fields":[{"id":1,"name":"Subdivision","value":"EC"},{"id":4,"name":"Milepost","value":"0.0139"},{"id":17,"name":"Train ID","value":"196-19"},{"id":16,"name":"Locomotive ID","value":"4027"},{"id":130,"name":"Impact","value":""},{"id":150,"name":"Time of Event (Mountain Time)","value":"17:04:37"},{"id":151,"name":"Denver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5"/>
        <v>start /low /b %USERPROFILE%\Documents\GitHub\eaglep3\Utilities\DownloadLogsFromS3.py --loco 4027 --day 2017-07-19</v>
      </c>
      <c r="AN110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779</v>
      </c>
      <c r="B111" s="7">
        <v>4042</v>
      </c>
      <c r="C111" s="21" t="s">
        <v>199</v>
      </c>
      <c r="D111" s="21" t="s">
        <v>902</v>
      </c>
      <c r="E111" s="13">
        <v>42935.651909722219</v>
      </c>
      <c r="F111" s="13">
        <v>42935.656724537039</v>
      </c>
      <c r="G111" s="7">
        <v>0</v>
      </c>
      <c r="H111" s="21" t="s">
        <v>495</v>
      </c>
      <c r="I111" s="13">
        <v>42935.681585648148</v>
      </c>
      <c r="J111" s="7">
        <v>0</v>
      </c>
      <c r="K111" s="89" t="str">
        <f>IF(ISEVEN(B111),(B111-1)&amp;"/"&amp;B111,B111&amp;"/"&amp;(B111+1))</f>
        <v>4041/4042</v>
      </c>
      <c r="L111" s="21" t="str">
        <f>VLOOKUP(A111,'Trips&amp;Operators'!$C$1:$G$99999,5,FALSE)</f>
        <v>DELGADO DIANAH</v>
      </c>
      <c r="M111" s="6">
        <f>I111-F111</f>
        <v>2.4861111109203193E-2</v>
      </c>
      <c r="N111" s="7">
        <f>24*60*SUM($M111:$M111)</f>
        <v>35.799999997252598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-19T14:38:45-0600',mode:absolute,to:'2017-07-19T17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5.6800000000000003E-2</v>
      </c>
      <c r="Z111" s="197">
        <f>RIGHT(H111,LEN(H111)-4)/10000</f>
        <v>23.3291</v>
      </c>
      <c r="AA111" s="197">
        <f>ABS(Z111-Y111)</f>
        <v>23.272300000000001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197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/stypes="app*4042*20170719*"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13"/>
        <v>"%USERPROFILE%\Documents\GitHub\eaglep3\Utilities\RefineRTDCRunTimes.py" --tripid 197-19 --locoid 4042 --swversion DE.1.0.9.0 --startMP 204:568 --initTime 2017-07-19T15:38:45 --startdatetime 2017-07-19T15:45:41 --delay 0 --endMP 204:233291 --enddatetime 2017-07-19T16:21:29 --enforcementcount 0 &gt;&gt;C:\Users\stu\Documents\GitHub\eaglep3-reporting\EC\2017-07-19-refined-times.txt</v>
      </c>
      <c r="AI11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{"issue":{"subject":"","project_id":79,"tracker_id":40,"status_id":1,"priority_id":2,"assigned_to_id":23,"start_date":"2017-07-19","description":"","custom_fields":[{"id":1,"name":"Subdivision","value":"EC"},{"id":4,"name":"Milepost","value":"23.3291"},{"id":17,"name":"Train ID","value":"197-19"},{"id":16,"name":"Locomotive ID","value":"4042"},{"id":130,"name":"Impact","value":""},{"id":150,"name":"Time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5"/>
        <v>start /low /b %USERPROFILE%\Documents\GitHub\eaglep3\Utilities\DownloadLogsFromS3.py --loco 4042 --day 2017-07-19</v>
      </c>
      <c r="AN111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632</v>
      </c>
      <c r="B112" s="7">
        <v>4041</v>
      </c>
      <c r="C112" s="21" t="s">
        <v>199</v>
      </c>
      <c r="D112" s="21" t="s">
        <v>903</v>
      </c>
      <c r="E112" s="13">
        <v>42935.686493055553</v>
      </c>
      <c r="F112" s="13">
        <v>42935.696006944447</v>
      </c>
      <c r="G112" s="7">
        <v>1</v>
      </c>
      <c r="H112" s="21" t="s">
        <v>419</v>
      </c>
      <c r="I112" s="13">
        <v>42935.722604166665</v>
      </c>
      <c r="J112" s="7">
        <v>0</v>
      </c>
      <c r="K112" s="89" t="str">
        <f>IF(ISEVEN(B112),(B112-1)&amp;"/"&amp;B112,B112&amp;"/"&amp;(B112+1))</f>
        <v>4041/4042</v>
      </c>
      <c r="L112" s="21" t="str">
        <f>VLOOKUP(A112,'Trips&amp;Operators'!$C$1:$G$99999,5,FALSE)</f>
        <v>DELGADO DIANAH</v>
      </c>
      <c r="M112" s="6">
        <f>I112-F112</f>
        <v>2.6597222218697425E-2</v>
      </c>
      <c r="N112" s="7">
        <f>24*60*SUM($M112:$M112)</f>
        <v>38.299999994924292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-19T15:28:33-0600',mode:absolute,to:'2017-07-19T18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23.310099999999998</v>
      </c>
      <c r="Z112" s="197">
        <f>RIGHT(H112,LEN(H112)-4)/10000</f>
        <v>1.3599999999999999E-2</v>
      </c>
      <c r="AA112" s="197">
        <f>ABS(Z112-Y112)</f>
        <v>23.296499999999998</v>
      </c>
      <c r="AB112" s="54" t="str">
        <f>VLOOKUP(A112,Enforcements!$C$7:$K$13,8,0)</f>
        <v>Bulletin (2)</v>
      </c>
      <c r="AC112" s="51" t="str">
        <f>VLOOKUP(A112,Enforcements!$C$7:$E$13,3,0)</f>
        <v>GRADE CROSSING</v>
      </c>
      <c r="AD112" s="206">
        <f>VALUE(LEFT(A112,LEN(A112)-3))</f>
        <v>198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/stypes="app*4041*20170719*"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13"/>
        <v>"%USERPROFILE%\Documents\GitHub\eaglep3\Utilities\RefineRTDCRunTimes.py" --tripid 198-19 --locoid 4041 --swversion DE.1.0.9.0 --startMP 204:233101 --initTime 2017-07-19T16:28:33 --startdatetime 2017-07-19T16:42:15 --delay 1 --endMP 204:136 --enddatetime 2017-07-19T17:20:33 --enforcementcount 0 &gt;&gt;C:\Users\stu\Documents\GitHub\eaglep3-reporting\EC\2017-07-19-refined-times.txt</v>
      </c>
      <c r="AI11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{"issue":{"subject":"","project_id":79,"tracker_id":40,"status_id":1,"priority_id":2,"assigned_to_id":23,"start_date":"2017-07-19","description":"","custom_fields":[{"id":1,"name":"Subdivision","value":"EC"},{"id":4,"name":"Milepost","value":"0.0136"},{"id":17,"name":"Train ID","value":"198-19"},{"id":16,"name":"Locomotive ID","value":"4041"},{"id":130,"name":"Impact","value":""},{"id":150,"name":"Time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5"/>
        <v>start /low /b %USERPROFILE%\Documents\GitHub\eaglep3\Utilities\DownloadLogsFromS3.py --loco 4041 --day 2017-07-19</v>
      </c>
      <c r="AN112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782</v>
      </c>
      <c r="B113" s="7">
        <v>4032</v>
      </c>
      <c r="C113" s="21" t="s">
        <v>199</v>
      </c>
      <c r="D113" s="21" t="s">
        <v>342</v>
      </c>
      <c r="E113" s="13">
        <v>42935.664618055554</v>
      </c>
      <c r="F113" s="13">
        <v>42935.667002314818</v>
      </c>
      <c r="G113" s="7">
        <v>1</v>
      </c>
      <c r="H113" s="21" t="s">
        <v>594</v>
      </c>
      <c r="I113" s="13">
        <v>42935.692986111113</v>
      </c>
      <c r="J113" s="7">
        <v>0</v>
      </c>
      <c r="K113" s="89" t="str">
        <f>IF(ISEVEN(B113),(B113-1)&amp;"/"&amp;B113,B113&amp;"/"&amp;(B113+1))</f>
        <v>4031/4032</v>
      </c>
      <c r="L113" s="21" t="str">
        <f>VLOOKUP(A113,'Trips&amp;Operators'!$C$1:$G$99999,5,FALSE)</f>
        <v>DAVIS MICHAEL</v>
      </c>
      <c r="M113" s="6">
        <f>I113-F113</f>
        <v>2.5983796294895001E-2</v>
      </c>
      <c r="N113" s="7">
        <f>24*60*SUM($M113:$M113)</f>
        <v>37.416666664648801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-19T14:57:03-0600',mode:absolute,to:'2017-07-19T17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4.4600000000000001E-2</v>
      </c>
      <c r="Z113" s="197">
        <f>RIGHT(H113,LEN(H113)-4)/10000</f>
        <v>23.331399999999999</v>
      </c>
      <c r="AA113" s="197">
        <f>ABS(Z113-Y113)</f>
        <v>23.286799999999999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199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/stypes="app*4032*20170719*"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13"/>
        <v>"%USERPROFILE%\Documents\GitHub\eaglep3\Utilities\RefineRTDCRunTimes.py" --tripid 199-19 --locoid 4032 --swversion DE.1.0.9.0 --startMP 204:446 --initTime 2017-07-19T15:57:03 --startdatetime 2017-07-19T16:00:29 --delay 1 --endMP 204:233314 --enddatetime 2017-07-19T16:37:54 --enforcementcount 0 &gt;&gt;C:\Users\stu\Documents\GitHub\eaglep3-reporting\EC\2017-07-19-refined-times.txt</v>
      </c>
      <c r="AI113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{"issue":{"subject":"","project_id":79,"tracker_id":40,"status_id":1,"priority_id":2,"assigned_to_id":23,"start_date":"2017-07-19","description":"","custom_fields":[{"id":1,"name":"Subdivision","value":"EC"},{"id":4,"name":"Milepost","value":"23.3314"},{"id":17,"name":"Train ID","value":"199-19"},{"id":16,"name":"Locomotive ID","value":"4032"},{"id":130,"name":"Impact","value":""},{"id":150,"name":"Time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5"/>
        <v>start /low /b %USERPROFILE%\Documents\GitHub\eaglep3\Utilities\DownloadLogsFromS3.py --loco 4032 --day 2017-07-19</v>
      </c>
      <c r="AN113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791</v>
      </c>
      <c r="B114" s="7">
        <v>4031</v>
      </c>
      <c r="C114" s="21" t="s">
        <v>199</v>
      </c>
      <c r="D114" s="21" t="s">
        <v>858</v>
      </c>
      <c r="E114" s="13">
        <v>42935.703865740739</v>
      </c>
      <c r="F114" s="13">
        <v>42935.706550925926</v>
      </c>
      <c r="G114" s="7">
        <v>1</v>
      </c>
      <c r="H114" s="21" t="s">
        <v>575</v>
      </c>
      <c r="I114" s="13">
        <v>42935.734560185185</v>
      </c>
      <c r="J114" s="7">
        <v>0</v>
      </c>
      <c r="K114" s="89" t="str">
        <f>IF(ISEVEN(B114),(B114-1)&amp;"/"&amp;B114,B114&amp;"/"&amp;(B114+1))</f>
        <v>4031/4032</v>
      </c>
      <c r="L114" s="21" t="str">
        <f>VLOOKUP(A114,'Trips&amp;Operators'!$C$1:$G$99999,5,FALSE)</f>
        <v>DAVIS MICHAEL</v>
      </c>
      <c r="M114" s="6">
        <f>I114-F114</f>
        <v>2.8009259258396924E-2</v>
      </c>
      <c r="N114" s="7">
        <f>24*60*SUM($M114:$M114)</f>
        <v>40.33333333209157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-19T15:53:34-0600',mode:absolute,to:'2017-07-19T18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23.300799999999999</v>
      </c>
      <c r="Z114" s="197">
        <f>RIGHT(H114,LEN(H114)-4)/10000</f>
        <v>1.32E-2</v>
      </c>
      <c r="AA114" s="197">
        <f>ABS(Z114-Y114)</f>
        <v>23.287599999999998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200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/stypes="app*4031*20170719*"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13"/>
        <v>"%USERPROFILE%\Documents\GitHub\eaglep3\Utilities\RefineRTDCRunTimes.py" --tripid 200-19 --locoid 4031 --swversion DE.1.0.9.0 --startMP 204:233008 --initTime 2017-07-19T16:53:34 --startdatetime 2017-07-19T16:57:26 --delay 1 --endMP 204:132 --enddatetime 2017-07-19T17:37:46 --enforcementcount 0 &gt;&gt;C:\Users\stu\Documents\GitHub\eaglep3-reporting\EC\2017-07-19-refined-times.txt</v>
      </c>
      <c r="AI114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{"issue":{"subject":"","project_id":79,"tracker_id":40,"status_id":1,"priority_id":2,"assigned_to_id":23,"start_date":"2017-07-19","description":"","custom_fields":[{"id":1,"name":"Subdivision","value":"EC"},{"id":4,"name":"Milepost","value":"0.0132"},{"id":17,"name":"Train ID","value":"200-19"},{"id":16,"name":"Locomotive ID","value":"4031"},{"id":130,"name":"Impact","value":""},{"id":150,"name":"Time of Event (Mountain Time)","value":"17:37:46"},{"id":151,"name":"Denver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5"/>
        <v>start /low /b %USERPROFILE%\Documents\GitHub\eaglep3\Utilities\DownloadLogsFromS3.py --loco 4031 --day 2017-07-19</v>
      </c>
      <c r="AN114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784</v>
      </c>
      <c r="B115" s="7">
        <v>4004</v>
      </c>
      <c r="C115" s="21" t="s">
        <v>199</v>
      </c>
      <c r="D115" s="21" t="s">
        <v>421</v>
      </c>
      <c r="E115" s="13">
        <v>42935.671875</v>
      </c>
      <c r="F115" s="13">
        <v>42935.677615740744</v>
      </c>
      <c r="G115" s="7">
        <v>1</v>
      </c>
      <c r="H115" s="21" t="s">
        <v>904</v>
      </c>
      <c r="I115" s="13">
        <v>42935.704282407409</v>
      </c>
      <c r="J115" s="7">
        <v>0</v>
      </c>
      <c r="K115" s="89" t="str">
        <f>IF(ISEVEN(B115),(B115-1)&amp;"/"&amp;B115,B115&amp;"/"&amp;(B115+1))</f>
        <v>4003/4004</v>
      </c>
      <c r="L115" s="21" t="str">
        <f>VLOOKUP(A115,'Trips&amp;Operators'!$C$1:$G$99999,5,FALSE)</f>
        <v>GONZALEZ ARMANDO</v>
      </c>
      <c r="M115" s="6">
        <f>I115-F115</f>
        <v>2.6666666664823424E-2</v>
      </c>
      <c r="N115" s="7">
        <f>24*60*SUM($M115:$M115)</f>
        <v>38.399999997345731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-19T15:07:30-0600',mode:absolute,to:'2017-07-19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4.3499999999999997E-2</v>
      </c>
      <c r="Z115" s="197">
        <f>RIGHT(H115,LEN(H115)-4)/10000</f>
        <v>23.332799999999999</v>
      </c>
      <c r="AA115" s="197">
        <f>ABS(Z115-Y115)</f>
        <v>23.289299999999997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201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/stypes="app*4004*20170719*" /stext=" 22:.+((SYSTEM_STATE.+slice.+state.+changed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13"/>
        <v>"%USERPROFILE%\Documents\GitHub\eaglep3\Utilities\RefineRTDCRunTimes.py" --tripid 201-19 --locoid 4004 --swversion DE.1.0.9.0 --startMP 204:435 --initTime 2017-07-19T16:07:30 --startdatetime 2017-07-19T16:15:46 --delay 1 --endMP 204:233328 --enddatetime 2017-07-19T16:54:10 --enforcementcount 0 &gt;&gt;C:\Users\stu\Documents\GitHub\eaglep3-reporting\EC\2017-07-19-refined-times.txt</v>
      </c>
      <c r="AI115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{"issue":{"subject":"","project_id":79,"tracker_id":40,"status_id":1,"priority_id":2,"assigned_to_id":23,"start_date":"2017-07-19","description":"","custom_fields":[{"id":1,"name":"Subdivision","value":"EC"},{"id":4,"name":"Milepost","value":"23.3328"},{"id":17,"name":"Train ID","value":"201-19"},{"id":16,"name":"Locomotive ID","value":"4004"},{"id":130,"name":"Impact","value":""},{"id":150,"name":"Time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5"/>
        <v>start /low /b %USERPROFILE%\Documents\GitHub\eaglep3\Utilities\DownloadLogsFromS3.py --loco 4004 --day 2017-07-19</v>
      </c>
      <c r="AN115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794</v>
      </c>
      <c r="B116" s="7">
        <v>4003</v>
      </c>
      <c r="C116" s="21" t="s">
        <v>199</v>
      </c>
      <c r="D116" s="21" t="s">
        <v>498</v>
      </c>
      <c r="E116" s="13">
        <v>42935.711689814816</v>
      </c>
      <c r="F116" s="13">
        <v>42935.716851851852</v>
      </c>
      <c r="G116" s="7">
        <v>1</v>
      </c>
      <c r="H116" s="21" t="s">
        <v>386</v>
      </c>
      <c r="I116" s="13">
        <v>42935.74423611111</v>
      </c>
      <c r="J116" s="7">
        <v>0</v>
      </c>
      <c r="K116" s="89" t="str">
        <f>IF(ISEVEN(B116),(B116-1)&amp;"/"&amp;B116,B116&amp;"/"&amp;(B116+1))</f>
        <v>4003/4004</v>
      </c>
      <c r="L116" s="21" t="str">
        <f>VLOOKUP(A116,'Trips&amp;Operators'!$C$1:$G$99999,5,FALSE)</f>
        <v>GONZALEZ ARMANDO</v>
      </c>
      <c r="M116" s="6">
        <f>I116-F116</f>
        <v>2.7384259257814847E-2</v>
      </c>
      <c r="N116" s="7">
        <f>24*60*SUM($M116:$M116)</f>
        <v>39.43333333125338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-19T16:04:50-0600',mode:absolute,to:'2017-07-19T18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23.301100000000002</v>
      </c>
      <c r="Z116" s="197">
        <f>RIGHT(H116,LEN(H116)-4)/10000</f>
        <v>1.4500000000000001E-2</v>
      </c>
      <c r="AA116" s="197">
        <f>ABS(Z116-Y116)</f>
        <v>23.2866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202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/stypes="app*4003*20170719*"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13"/>
        <v>"%USERPROFILE%\Documents\GitHub\eaglep3\Utilities\RefineRTDCRunTimes.py" --tripid 202-19 --locoid 4003 --swversion DE.1.0.9.0 --startMP 204:233011 --initTime 2017-07-19T17:04:50 --startdatetime 2017-07-19T17:12:16 --delay 1 --endMP 204:145 --enddatetime 2017-07-19T17:51:42 --enforcementcount 0 &gt;&gt;C:\Users\stu\Documents\GitHub\eaglep3-reporting\EC\2017-07-19-refined-times.txt</v>
      </c>
      <c r="AI116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{"issue":{"subject":"","project_id":79,"tracker_id":40,"status_id":1,"priority_id":2,"assigned_to_id":23,"start_date":"2017-07-19","description":"","custom_fields":[{"id":1,"name":"Subdivision","value":"EC"},{"id":4,"name":"Milepost","value":"0.0145"},{"id":17,"name":"Train ID","value":"202-19"},{"id":16,"name":"Locomotive ID","value":"4003"},{"id":130,"name":"Impact","value":""},{"id":150,"name":"Time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5"/>
        <v>start /low /b %USERPROFILE%\Documents\GitHub\eaglep3\Utilities\DownloadLogsFromS3.py --loco 4003 --day 2017-07-19</v>
      </c>
      <c r="AN116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788</v>
      </c>
      <c r="B117" s="7">
        <v>4054</v>
      </c>
      <c r="C117" s="21" t="s">
        <v>199</v>
      </c>
      <c r="D117" s="21" t="s">
        <v>413</v>
      </c>
      <c r="E117" s="13">
        <v>42935.685613425929</v>
      </c>
      <c r="F117" s="13">
        <v>42935.688171296293</v>
      </c>
      <c r="G117" s="7">
        <v>1</v>
      </c>
      <c r="H117" s="21" t="s">
        <v>905</v>
      </c>
      <c r="I117" s="13">
        <v>42935.714004629626</v>
      </c>
      <c r="J117" s="7">
        <v>0</v>
      </c>
      <c r="K117" s="89" t="str">
        <f>IF(ISEVEN(B117),(B117-1)&amp;"/"&amp;B117,B117&amp;"/"&amp;(B117+1))</f>
        <v>4053/4054</v>
      </c>
      <c r="L117" s="21" t="str">
        <f>VLOOKUP(A117,'Trips&amp;Operators'!$C$1:$G$99999,5,FALSE)</f>
        <v>STEWART MICHAEL</v>
      </c>
      <c r="M117" s="6">
        <f>I117-F117</f>
        <v>2.5833333333139308E-2</v>
      </c>
      <c r="N117" s="7">
        <f>24*60*SUM($M117:$M117)</f>
        <v>37.199999999720603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-19T15:27:17-0600',mode:absolute,to:'2017-07-19T18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4.58E-2</v>
      </c>
      <c r="Z117" s="197">
        <f>RIGHT(H117,LEN(H117)-4)/10000</f>
        <v>23.3276</v>
      </c>
      <c r="AA117" s="197">
        <f>ABS(Z117-Y117)</f>
        <v>23.2818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203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/stypes="app*4054*20170719*"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13"/>
        <v>"%USERPROFILE%\Documents\GitHub\eaglep3\Utilities\RefineRTDCRunTimes.py" --tripid 203-19 --locoid 4054 --swversion DE.1.0.9.0 --startMP 204:458 --initTime 2017-07-19T16:27:17 --startdatetime 2017-07-19T16:30:58 --delay 1 --endMP 204:233276 --enddatetime 2017-07-19T17:08:10 --enforcementcount 0 &gt;&gt;C:\Users\stu\Documents\GitHub\eaglep3-reporting\EC\2017-07-19-refined-times.txt</v>
      </c>
      <c r="AI117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{"issue":{"subject":"","project_id":79,"tracker_id":40,"status_id":1,"priority_id":2,"assigned_to_id":23,"start_date":"2017-07-19","description":"","custom_fields":[{"id":1,"name":"Subdivision","value":"EC"},{"id":4,"name":"Milepost","value":"23.3276"},{"id":17,"name":"Train ID","value":"203-19"},{"id":16,"name":"Locomotive ID","value":"4054"},{"id":130,"name":"Impact","value":""},{"id":150,"name":"Time of Event (Mountain Time)","value":"17:08:10"},{"id":151,"name":"Denver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5"/>
        <v>start /low /b %USERPROFILE%\Documents\GitHub\eaglep3\Utilities\DownloadLogsFromS3.py --loco 4054 --day 2017-07-19</v>
      </c>
      <c r="AN117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800</v>
      </c>
      <c r="B118" s="7">
        <v>4053</v>
      </c>
      <c r="C118" s="21" t="s">
        <v>199</v>
      </c>
      <c r="D118" s="21" t="s">
        <v>867</v>
      </c>
      <c r="E118" s="13">
        <v>42935.723715277774</v>
      </c>
      <c r="F118" s="13">
        <v>42935.727442129632</v>
      </c>
      <c r="G118" s="7">
        <v>1</v>
      </c>
      <c r="H118" s="21" t="s">
        <v>461</v>
      </c>
      <c r="I118" s="13">
        <v>42935.755069444444</v>
      </c>
      <c r="J118" s="7">
        <v>0</v>
      </c>
      <c r="K118" s="89" t="str">
        <f>IF(ISEVEN(B118),(B118-1)&amp;"/"&amp;B118,B118&amp;"/"&amp;(B118+1))</f>
        <v>4053/4054</v>
      </c>
      <c r="L118" s="21" t="str">
        <f>VLOOKUP(A118,'Trips&amp;Operators'!$C$1:$G$99999,5,FALSE)</f>
        <v>STEWART MICHAEL</v>
      </c>
      <c r="M118" s="6">
        <f>I118-F118</f>
        <v>2.7627314811979886E-2</v>
      </c>
      <c r="N118" s="7">
        <f>24*60*SUM($M118:$M118)</f>
        <v>39.783333329251036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-19T16:22:09-0600',mode:absolute,to:'2017-07-19T19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23.2974</v>
      </c>
      <c r="Z118" s="197">
        <f>RIGHT(H118,LEN(H118)-4)/10000</f>
        <v>1.61E-2</v>
      </c>
      <c r="AA118" s="197">
        <f>ABS(Z118-Y118)</f>
        <v>23.281299999999998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204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/stypes="app*4053*20170720*"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13"/>
        <v>"%USERPROFILE%\Documents\GitHub\eaglep3\Utilities\RefineRTDCRunTimes.py" --tripid 204-19 --locoid 4053 --swversion DE.1.0.9.0 --startMP 204:232974 --initTime 2017-07-19T17:22:09 --startdatetime 2017-07-19T17:27:31 --delay 1 --endMP 204:161 --enddatetime 2017-07-19T18:07:18 --enforcementcount 0 &gt;&gt;C:\Users\stu\Documents\GitHub\eaglep3-reporting\EC\2017-07-19-refined-times.txt</v>
      </c>
      <c r="AI118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{"issue":{"subject":"","project_id":79,"tracker_id":40,"status_id":1,"priority_id":2,"assigned_to_id":23,"start_date":"2017-07-19","description":"","custom_fields":[{"id":1,"name":"Subdivision","value":"EC"},{"id":4,"name":"Milepost","value":"0.0161"},{"id":17,"name":"Train ID","value":"204-19"},{"id":16,"name":"Locomotive ID","value":"4053"},{"id":130,"name":"Impact","value":""},{"id":150,"name":"Time of Event (Mountain Time)","value":"18:07:18"},{"id":151,"name":"Denver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5"/>
        <v>start /low /b %USERPROFILE%\Documents\GitHub\eaglep3\Utilities\DownloadLogsFromS3.py --loco 4053 --day 2017-07-19</v>
      </c>
      <c r="AN118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633</v>
      </c>
      <c r="B119" s="7">
        <v>4030</v>
      </c>
      <c r="C119" s="21" t="s">
        <v>199</v>
      </c>
      <c r="D119" s="21" t="s">
        <v>506</v>
      </c>
      <c r="E119" s="13">
        <v>42935.695810185185</v>
      </c>
      <c r="F119" s="13">
        <v>42935.69840277778</v>
      </c>
      <c r="G119" s="7">
        <v>1</v>
      </c>
      <c r="H119" s="21" t="s">
        <v>586</v>
      </c>
      <c r="I119" s="13">
        <v>42935.723009259258</v>
      </c>
      <c r="J119" s="7">
        <v>0</v>
      </c>
      <c r="K119" s="89" t="str">
        <f>IF(ISEVEN(B119),(B119-1)&amp;"/"&amp;B119,B119&amp;"/"&amp;(B119+1))</f>
        <v>4029/4030</v>
      </c>
      <c r="L119" s="21" t="str">
        <f>VLOOKUP(A119,'Trips&amp;Operators'!$C$1:$G$99999,5,FALSE)</f>
        <v>PAGE MARCUS</v>
      </c>
      <c r="M119" s="6">
        <f>I119-F119</f>
        <v>2.4606481478258502E-2</v>
      </c>
      <c r="N119" s="7">
        <f>24*60*SUM($M119:$M119)</f>
        <v>35.433333328692243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-19T15:41:58-0600',mode:absolute,to:'2017-07-19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4.4900000000000002E-2</v>
      </c>
      <c r="Z119" s="197">
        <f>RIGHT(H119,LEN(H119)-4)/10000</f>
        <v>23.3353</v>
      </c>
      <c r="AA119" s="197">
        <f>ABS(Z119-Y119)</f>
        <v>23.290400000000002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205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/stypes="app*4030*20170719*"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13"/>
        <v>"%USERPROFILE%\Documents\GitHub\eaglep3\Utilities\RefineRTDCRunTimes.py" --tripid 205-19 --locoid 4030 --swversion DE.1.0.9.0 --startMP 204:449 --initTime 2017-07-19T16:41:58 --startdatetime 2017-07-19T16:45:42 --delay 1 --endMP 204:233353 --enddatetime 2017-07-19T17:21:08 --enforcementcount 0 &gt;&gt;C:\Users\stu\Documents\GitHub\eaglep3-reporting\EC\2017-07-19-refined-times.txt</v>
      </c>
      <c r="AI119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{"issue":{"subject":"","project_id":79,"tracker_id":40,"status_id":1,"priority_id":2,"assigned_to_id":23,"start_date":"2017-07-19","description":"","custom_fields":[{"id":1,"name":"Subdivision","value":"EC"},{"id":4,"name":"Milepost","value":"23.3353"},{"id":17,"name":"Train ID","value":"205-19"},{"id":16,"name":"Locomotive ID","value":"4030"},{"id":130,"name":"Impact","value":""},{"id":150,"name":"Time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5"/>
        <v>start /low /b %USERPROFILE%\Documents\GitHub\eaglep3\Utilities\DownloadLogsFromS3.py --loco 4030 --day 2017-07-19</v>
      </c>
      <c r="AN119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801</v>
      </c>
      <c r="B120" s="7">
        <v>4029</v>
      </c>
      <c r="C120" s="21" t="s">
        <v>199</v>
      </c>
      <c r="D120" s="21" t="s">
        <v>906</v>
      </c>
      <c r="E120" s="13">
        <v>42935.724456018521</v>
      </c>
      <c r="F120" s="13">
        <v>42935.737673611111</v>
      </c>
      <c r="G120" s="7">
        <v>1</v>
      </c>
      <c r="H120" s="21" t="s">
        <v>345</v>
      </c>
      <c r="I120" s="13">
        <v>42935.763460648152</v>
      </c>
      <c r="J120" s="7">
        <v>0</v>
      </c>
      <c r="K120" s="89" t="str">
        <f>IF(ISEVEN(B120),(B120-1)&amp;"/"&amp;B120,B120&amp;"/"&amp;(B120+1))</f>
        <v>4029/4030</v>
      </c>
      <c r="L120" s="21" t="str">
        <f>VLOOKUP(A120,'Trips&amp;Operators'!$C$1:$G$99999,5,FALSE)</f>
        <v>PAGE MARCUS</v>
      </c>
      <c r="M120" s="6">
        <f>I120-F120</f>
        <v>2.5787037040572613E-2</v>
      </c>
      <c r="N120" s="7">
        <f>24*60*SUM($M120:$M120)</f>
        <v>37.133333338424563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-19T16:23:13-0600',mode:absolute,to:'2017-07-19T19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23.306100000000001</v>
      </c>
      <c r="Z120" s="197">
        <f>RIGHT(H120,LEN(H120)-4)/10000</f>
        <v>1.43E-2</v>
      </c>
      <c r="AA120" s="197">
        <f>ABS(Z120-Y120)</f>
        <v>23.291800000000002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/stypes="app*4029*20170720*"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13"/>
        <v>"%USERPROFILE%\Documents\GitHub\eaglep3\Utilities\RefineRTDCRunTimes.py" --tripid 206-19 --locoid 4029 --swversion DE.1.0.9.0 --startMP 204:233061 --initTime 2017-07-19T17:23:13 --startdatetime 2017-07-19T17:42:15 --delay 1 --endMP 204:143 --enddatetime 2017-07-19T18:19:23 --enforcementcount 0 &gt;&gt;C:\Users\stu\Documents\GitHub\eaglep3-reporting\EC\2017-07-19-refined-times.txt</v>
      </c>
      <c r="AI12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{"issue":{"subject":"","project_id":79,"tracker_id":40,"status_id":1,"priority_id":2,"assigned_to_id":23,"start_date":"2017-07-19","description":"","custom_fields":[{"id":1,"name":"Subdivision","value":"EC"},{"id":4,"name":"Milepost","value":"0.0143"},{"id":17,"name":"Train ID","value":"206-19"},{"id":16,"name":"Locomotive ID","value":"4029"},{"id":130,"name":"Impact","value":""},{"id":150,"name":"Time of Event (Mountain Time)","value":"18:19:23"},{"id":151,"name":"Denver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5"/>
        <v>start /low /b %USERPROFILE%\Documents\GitHub\eaglep3\Utilities\DownloadLogsFromS3.py --loco 4029 --day 2017-07-19</v>
      </c>
      <c r="AN120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792</v>
      </c>
      <c r="B121" s="7">
        <v>4066</v>
      </c>
      <c r="C121" s="21" t="s">
        <v>199</v>
      </c>
      <c r="D121" s="21" t="s">
        <v>509</v>
      </c>
      <c r="E121" s="13">
        <v>42935.704108796293</v>
      </c>
      <c r="F121" s="13">
        <v>42935.708993055552</v>
      </c>
      <c r="G121" s="7">
        <v>1</v>
      </c>
      <c r="H121" s="21" t="s">
        <v>542</v>
      </c>
      <c r="I121" s="13">
        <v>42935.733738425923</v>
      </c>
      <c r="J121" s="7">
        <v>0</v>
      </c>
      <c r="K121" s="89" t="str">
        <f>IF(ISEVEN(B121),(B121-1)&amp;"/"&amp;B121,B121&amp;"/"&amp;(B121+1))</f>
        <v>4065/4066</v>
      </c>
      <c r="L121" s="21" t="str">
        <f>VLOOKUP(A121,'Trips&amp;Operators'!$C$1:$G$99999,5,FALSE)</f>
        <v>BRUDER RICHARD</v>
      </c>
      <c r="M121" s="6">
        <f>I121-F121</f>
        <v>2.47453703705105E-2</v>
      </c>
      <c r="N121" s="7">
        <f>24*60*SUM($M121:$M121)</f>
        <v>35.63333333353512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-19T15:53:55-0600',mode:absolute,to:'2017-07-19T18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4.3700000000000003E-2</v>
      </c>
      <c r="Z121" s="197">
        <f>RIGHT(H121,LEN(H121)-4)/10000</f>
        <v>23.331900000000001</v>
      </c>
      <c r="AA121" s="197">
        <f>ABS(Z121-Y121)</f>
        <v>23.2882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/stypes="app*4066*20170719*"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13"/>
        <v>"%USERPROFILE%\Documents\GitHub\eaglep3\Utilities\RefineRTDCRunTimes.py" --tripid 207-19 --locoid 4066 --swversion DE.1.0.9.0 --startMP 204:437 --initTime 2017-07-19T16:53:55 --startdatetime 2017-07-19T17:00:57 --delay 1 --endMP 204:233319 --enddatetime 2017-07-19T17:36:35 --enforcementcount 0 &gt;&gt;C:\Users\stu\Documents\GitHub\eaglep3-reporting\EC\2017-07-19-refined-times.txt</v>
      </c>
      <c r="AI12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{"issue":{"subject":"","project_id":79,"tracker_id":40,"status_id":1,"priority_id":2,"assigned_to_id":23,"start_date":"2017-07-19","description":"","custom_fields":[{"id":1,"name":"Subdivision","value":"EC"},{"id":4,"name":"Milepost","value":"23.3319"},{"id":17,"name":"Train ID","value":"207-19"},{"id":16,"name":"Locomotive ID","value":"4066"},{"id":130,"name":"Impact","value":""},{"id":150,"name":"Time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5"/>
        <v>start /low /b %USERPROFILE%\Documents\GitHub\eaglep3\Utilities\DownloadLogsFromS3.py --loco 4066 --day 2017-07-19</v>
      </c>
      <c r="AN121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806</v>
      </c>
      <c r="B122" s="7">
        <v>4065</v>
      </c>
      <c r="C122" s="21" t="s">
        <v>199</v>
      </c>
      <c r="D122" s="21" t="s">
        <v>540</v>
      </c>
      <c r="E122" s="13">
        <v>42935.74491898148</v>
      </c>
      <c r="F122" s="13">
        <v>42935.748113425929</v>
      </c>
      <c r="G122" s="7">
        <v>2</v>
      </c>
      <c r="H122" s="21" t="s">
        <v>343</v>
      </c>
      <c r="I122" s="13">
        <v>42935.774247685185</v>
      </c>
      <c r="J122" s="7">
        <v>0</v>
      </c>
      <c r="K122" s="89" t="str">
        <f>IF(ISEVEN(B122),(B122-1)&amp;"/"&amp;B122,B122&amp;"/"&amp;(B122+1))</f>
        <v>4065/4066</v>
      </c>
      <c r="L122" s="21" t="str">
        <f>VLOOKUP(A122,'Trips&amp;Operators'!$C$1:$G$99999,5,FALSE)</f>
        <v>BRUDER RICHARD</v>
      </c>
      <c r="M122" s="6">
        <f>I122-F122</f>
        <v>2.6134259256650694E-2</v>
      </c>
      <c r="N122" s="7">
        <f>24*60*SUM($M122:$M122)</f>
        <v>37.633333329576999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-19T16:52:41-0600',mode:absolute,to:'2017-07-19T19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23.298500000000001</v>
      </c>
      <c r="Z122" s="197">
        <f>RIGHT(H122,LEN(H122)-4)/10000</f>
        <v>1.4999999999999999E-2</v>
      </c>
      <c r="AA122" s="197">
        <f>ABS(Z122-Y122)</f>
        <v>23.2835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/stypes="app*4065*20170720*"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13"/>
        <v>"%USERPROFILE%\Documents\GitHub\eaglep3\Utilities\RefineRTDCRunTimes.py" --tripid 208-19 --locoid 4065 --swversion DE.1.0.9.0 --startMP 204:232985 --initTime 2017-07-19T17:52:41 --startdatetime 2017-07-19T17:57:17 --delay 2 --endMP 204:150 --enddatetime 2017-07-19T18:34:55 --enforcementcount 0 &gt;&gt;C:\Users\stu\Documents\GitHub\eaglep3-reporting\EC\2017-07-19-refined-times.txt</v>
      </c>
      <c r="AI12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{"issue":{"subject":"","project_id":79,"tracker_id":40,"status_id":1,"priority_id":2,"assigned_to_id":23,"start_date":"2017-07-19","description":"","custom_fields":[{"id":1,"name":"Subdivision","value":"EC"},{"id":4,"name":"Milepost","value":"0.015"},{"id":17,"name":"Train ID","value":"208-19"},{"id":16,"name":"Locomotive ID","value":"4065"},{"id":130,"name":"Impact","value":""},{"id":150,"name":"Time of Event (Mountain Time)","value":"18:34:55"},{"id":151,"name":"Denver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5"/>
        <v>start /low /b %USERPROFILE%\Documents\GitHub\eaglep3\Utilities\DownloadLogsFromS3.py --loco 4065 --day 2017-07-19</v>
      </c>
      <c r="AN122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634</v>
      </c>
      <c r="B123" s="7">
        <v>4028</v>
      </c>
      <c r="C123" s="21" t="s">
        <v>199</v>
      </c>
      <c r="D123" s="21" t="s">
        <v>582</v>
      </c>
      <c r="E123" s="13">
        <v>42935.714456018519</v>
      </c>
      <c r="F123" s="13">
        <v>42935.719583333332</v>
      </c>
      <c r="G123" s="7">
        <v>1</v>
      </c>
      <c r="H123" s="21" t="s">
        <v>907</v>
      </c>
      <c r="I123" s="13">
        <v>42935.745162037034</v>
      </c>
      <c r="J123" s="7">
        <v>0</v>
      </c>
      <c r="K123" s="89" t="str">
        <f>IF(ISEVEN(B123),(B123-1)&amp;"/"&amp;B123,B123&amp;"/"&amp;(B123+1))</f>
        <v>4027/4028</v>
      </c>
      <c r="L123" s="21" t="str">
        <f>VLOOKUP(A123,'Trips&amp;Operators'!$C$1:$G$99999,5,FALSE)</f>
        <v>LEVIN SCOTT</v>
      </c>
      <c r="M123" s="6">
        <f>I123-F123</f>
        <v>2.5578703702194616E-2</v>
      </c>
      <c r="N123" s="7">
        <f>24*60*SUM($M123:$M123)</f>
        <v>36.833333331160247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-19T16:08:49-0600',mode:absolute,to:'2017-07-19T18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4.3999999999999997E-2</v>
      </c>
      <c r="Z123" s="197">
        <f>RIGHT(H123,LEN(H123)-4)/10000</f>
        <v>23.344100000000001</v>
      </c>
      <c r="AA123" s="197">
        <f>ABS(Z123-Y123)</f>
        <v>23.3001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/stypes="app*4028*20170719*" /stext=" 23:.+((SYSTEM_STATE.+slice.+state.+changed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13"/>
        <v>"%USERPROFILE%\Documents\GitHub\eaglep3\Utilities\RefineRTDCRunTimes.py" --tripid 209-19 --locoid 4028 --swversion DE.1.0.9.0 --startMP 204:440 --initTime 2017-07-19T17:08:49 --startdatetime 2017-07-19T17:16:12 --delay 1 --endMP 204:233441 --enddatetime 2017-07-19T17:53:02 --enforcementcount 0 &gt;&gt;C:\Users\stu\Documents\GitHub\eaglep3-reporting\EC\2017-07-19-refined-times.txt</v>
      </c>
      <c r="AI123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{"issue":{"subject":"","project_id":79,"tracker_id":40,"status_id":1,"priority_id":2,"assigned_to_id":23,"start_date":"2017-07-19","description":"","custom_fields":[{"id":1,"name":"Subdivision","value":"EC"},{"id":4,"name":"Milepost","value":"23.3441"},{"id":17,"name":"Train ID","value":"209-19"},{"id":16,"name":"Locomotive ID","value":"4028"},{"id":130,"name":"Impact","value":""},{"id":150,"name":"Time of Event (Mountain Time)","value":"17:53:02"},{"id":151,"name":"Denver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5"/>
        <v>start /low /b %USERPROFILE%\Documents\GitHub\eaglep3\Utilities\DownloadLogsFromS3.py --loco 4028 --day 2017-07-19</v>
      </c>
      <c r="AN123" s="151" t="str">
        <f t="shared" si="16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809</v>
      </c>
      <c r="B124" s="7">
        <v>4027</v>
      </c>
      <c r="C124" s="21" t="s">
        <v>199</v>
      </c>
      <c r="D124" s="21" t="s">
        <v>908</v>
      </c>
      <c r="E124" s="13">
        <v>42935.75545138889</v>
      </c>
      <c r="F124" s="13">
        <v>42935.758506944447</v>
      </c>
      <c r="G124" s="7">
        <v>1</v>
      </c>
      <c r="H124" s="21" t="s">
        <v>351</v>
      </c>
      <c r="I124" s="13">
        <v>42935.784259259257</v>
      </c>
      <c r="J124" s="7">
        <v>0</v>
      </c>
      <c r="K124" s="89" t="str">
        <f>IF(ISEVEN(B124),(B124-1)&amp;"/"&amp;B124,B124&amp;"/"&amp;(B124+1))</f>
        <v>4027/4028</v>
      </c>
      <c r="L124" s="21" t="str">
        <f>VLOOKUP(A124,'Trips&amp;Operators'!$C$1:$G$99999,5,FALSE)</f>
        <v>LEVIN SCOTT</v>
      </c>
      <c r="M124" s="6">
        <f>I124-F124</f>
        <v>2.5752314810233656E-2</v>
      </c>
      <c r="N124" s="7">
        <f>24*60*SUM($M124:$M124)</f>
        <v>37.083333326736465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-19T17:07:51-0600',mode:absolute,to:'2017-07-19T19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23.309000000000001</v>
      </c>
      <c r="Z124" s="197">
        <f>RIGHT(H124,LEN(H124)-4)/10000</f>
        <v>1.3899999999999999E-2</v>
      </c>
      <c r="AA124" s="197">
        <f>ABS(Z124-Y124)</f>
        <v>23.295100000000001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/stypes="app*4027*20170720*"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13"/>
        <v>"%USERPROFILE%\Documents\GitHub\eaglep3\Utilities\RefineRTDCRunTimes.py" --tripid 210-19 --locoid 4027 --swversion DE.1.0.9.0 --startMP 204:233090 --initTime 2017-07-19T18:07:51 --startdatetime 2017-07-19T18:12:15 --delay 1 --endMP 204:139 --enddatetime 2017-07-19T18:49:20 --enforcementcount 0 &gt;&gt;C:\Users\stu\Documents\GitHub\eaglep3-reporting\EC\2017-07-19-refined-times.txt</v>
      </c>
      <c r="AI124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{"issue":{"subject":"","project_id":79,"tracker_id":40,"status_id":1,"priority_id":2,"assigned_to_id":23,"start_date":"2017-07-19","description":"","custom_fields":[{"id":1,"name":"Subdivision","value":"EC"},{"id":4,"name":"Milepost","value":"0.0139"},{"id":17,"name":"Train ID","value":"210-19"},{"id":16,"name":"Locomotive ID","value":"4027"},{"id":130,"name":"Impact","value":""},{"id":150,"name":"Time of Event (Mountain Time)","value":"18:49:20"},{"id":151,"name":"Denver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5"/>
        <v>start /low /b %USERPROFILE%\Documents\GitHub\eaglep3\Utilities\DownloadLogsFromS3.py --loco 4027 --day 2017-07-19</v>
      </c>
      <c r="AN124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637</v>
      </c>
      <c r="B125" s="7">
        <v>4042</v>
      </c>
      <c r="C125" s="21" t="s">
        <v>199</v>
      </c>
      <c r="D125" s="21" t="s">
        <v>508</v>
      </c>
      <c r="E125" s="13">
        <v>42935.724988425929</v>
      </c>
      <c r="F125" s="13">
        <v>42935.729733796295</v>
      </c>
      <c r="G125" s="7">
        <v>1</v>
      </c>
      <c r="H125" s="21" t="s">
        <v>909</v>
      </c>
      <c r="I125" s="13">
        <v>42935.754016203704</v>
      </c>
      <c r="J125" s="7">
        <v>0</v>
      </c>
      <c r="K125" s="89" t="str">
        <f>IF(ISEVEN(B125),(B125-1)&amp;"/"&amp;B125,B125&amp;"/"&amp;(B125+1))</f>
        <v>4041/4042</v>
      </c>
      <c r="L125" s="21" t="str">
        <f>VLOOKUP(A125,'Trips&amp;Operators'!$C$1:$G$99999,5,FALSE)</f>
        <v>DELGADO DIANAH</v>
      </c>
      <c r="M125" s="6">
        <f>I125-F125</f>
        <v>2.4282407408463769E-2</v>
      </c>
      <c r="N125" s="7">
        <f>24*60*SUM($M125:$M125)</f>
        <v>34.966666668187827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-19T16:23:59-0600',mode:absolute,to:'2017-07-19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4.3099999999999999E-2</v>
      </c>
      <c r="Z125" s="197">
        <f>RIGHT(H125,LEN(H125)-4)/10000</f>
        <v>23.340399999999999</v>
      </c>
      <c r="AA125" s="197">
        <f>ABS(Z125-Y125)</f>
        <v>23.2973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/stypes="app*4042*20170720*"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13"/>
        <v>"%USERPROFILE%\Documents\GitHub\eaglep3\Utilities\RefineRTDCRunTimes.py" --tripid 211-19 --locoid 4042 --swversion DE.1.0.9.0 --startMP 204:431 --initTime 2017-07-19T17:23:59 --startdatetime 2017-07-19T17:30:49 --delay 1 --endMP 204:233404 --enddatetime 2017-07-19T18:05:47 --enforcementcount 0 &gt;&gt;C:\Users\stu\Documents\GitHub\eaglep3-reporting\EC\2017-07-19-refined-times.txt</v>
      </c>
      <c r="AI125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{"issue":{"subject":"","project_id":79,"tracker_id":40,"status_id":1,"priority_id":2,"assigned_to_id":23,"start_date":"2017-07-19","description":"","custom_fields":[{"id":1,"name":"Subdivision","value":"EC"},{"id":4,"name":"Milepost","value":"23.3404"},{"id":17,"name":"Train ID","value":"211-19"},{"id":16,"name":"Locomotive ID","value":"4042"},{"id":130,"name":"Impact","value":""},{"id":150,"name":"Time of Event (Mountain Time)","value":"18:05:47"},{"id":151,"name":"Denver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5"/>
        <v>start /low /b %USERPROFILE%\Documents\GitHub\eaglep3\Utilities\DownloadLogsFromS3.py --loco 4042 --day 2017-07-19</v>
      </c>
      <c r="AN125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811</v>
      </c>
      <c r="B126" s="7">
        <v>4041</v>
      </c>
      <c r="C126" s="21" t="s">
        <v>199</v>
      </c>
      <c r="D126" s="21" t="s">
        <v>895</v>
      </c>
      <c r="E126" s="13">
        <v>42935.757962962962</v>
      </c>
      <c r="F126" s="13">
        <v>42935.768969907411</v>
      </c>
      <c r="G126" s="7">
        <v>5</v>
      </c>
      <c r="H126" s="21" t="s">
        <v>381</v>
      </c>
      <c r="I126" s="13">
        <v>42935.794618055559</v>
      </c>
      <c r="J126" s="7">
        <v>0</v>
      </c>
      <c r="K126" s="89" t="str">
        <f>IF(ISEVEN(B126),(B126-1)&amp;"/"&amp;B126,B126&amp;"/"&amp;(B126+1))</f>
        <v>4041/4042</v>
      </c>
      <c r="L126" s="21" t="str">
        <f>VLOOKUP(A126,'Trips&amp;Operators'!$C$1:$G$99999,5,FALSE)</f>
        <v>DELGADO DIANAH</v>
      </c>
      <c r="M126" s="6">
        <f>I126-F126</f>
        <v>2.5648148148320615E-2</v>
      </c>
      <c r="N126" s="7">
        <f>24*60*SUM($M126:$M126)</f>
        <v>36.933333333581686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-19T17:11:28-0600',mode:absolute,to:'2017-07-19T20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23.308700000000002</v>
      </c>
      <c r="Z126" s="197">
        <f>RIGHT(H126,LEN(H126)-4)/10000</f>
        <v>1.54E-2</v>
      </c>
      <c r="AA126" s="197">
        <f>ABS(Z126-Y126)</f>
        <v>23.293300000000002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/stypes="app*4041*20170720*"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13"/>
        <v>"%USERPROFILE%\Documents\GitHub\eaglep3\Utilities\RefineRTDCRunTimes.py" --tripid 212-19 --locoid 4041 --swversion DE.1.0.9.0 --startMP 204:233087 --initTime 2017-07-19T18:11:28 --startdatetime 2017-07-19T18:27:19 --delay 5 --endMP 204:154 --enddatetime 2017-07-19T19:04:15 --enforcementcount 0 &gt;&gt;C:\Users\stu\Documents\GitHub\eaglep3-reporting\EC\2017-07-19-refined-times.txt</v>
      </c>
      <c r="AI126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{"issue":{"subject":"","project_id":79,"tracker_id":40,"status_id":1,"priority_id":2,"assigned_to_id":23,"start_date":"2017-07-19","description":"","custom_fields":[{"id":1,"name":"Subdivision","value":"EC"},{"id":4,"name":"Milepost","value":"0.0154"},{"id":17,"name":"Train ID","value":"212-19"},{"id":16,"name":"Locomotive ID","value":"4041"},{"id":130,"name":"Impact","value":""},{"id":150,"name":"Time of Event (Mountain Time)","value":"19:04:15"},{"id":151,"name":"Denver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5"/>
        <v>start /low /b %USERPROFILE%\Documents\GitHub\eaglep3\Utilities\DownloadLogsFromS3.py --loco 4041 --day 2017-07-19</v>
      </c>
      <c r="AN126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803</v>
      </c>
      <c r="B127" s="7">
        <v>4032</v>
      </c>
      <c r="C127" s="21" t="s">
        <v>199</v>
      </c>
      <c r="D127" s="21" t="s">
        <v>416</v>
      </c>
      <c r="E127" s="13">
        <v>42935.735995370371</v>
      </c>
      <c r="F127" s="13">
        <v>42935.74019675926</v>
      </c>
      <c r="G127" s="7">
        <v>1</v>
      </c>
      <c r="H127" s="21" t="s">
        <v>910</v>
      </c>
      <c r="I127" s="13">
        <v>42935.765636574077</v>
      </c>
      <c r="J127" s="7">
        <v>0</v>
      </c>
      <c r="K127" s="89" t="str">
        <f>IF(ISEVEN(B127),(B127-1)&amp;"/"&amp;B127,B127&amp;"/"&amp;(B127+1))</f>
        <v>4031/4032</v>
      </c>
      <c r="L127" s="21" t="str">
        <f>VLOOKUP(A127,'Trips&amp;Operators'!$C$1:$G$99999,5,FALSE)</f>
        <v>HAITHCOX MICHAEL</v>
      </c>
      <c r="M127" s="6">
        <f>I127-F127</f>
        <v>2.5439814817218576E-2</v>
      </c>
      <c r="N127" s="7">
        <f>24*60*SUM($M127:$M127)</f>
        <v>36.633333336794749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-19T16:39:50-0600',mode:absolute,to:'2017-07-19T19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4.4400000000000002E-2</v>
      </c>
      <c r="Z127" s="197">
        <f>RIGHT(H127,LEN(H127)-4)/10000</f>
        <v>23.326799999999999</v>
      </c>
      <c r="AA127" s="197">
        <f>ABS(Z127-Y127)</f>
        <v>23.282399999999999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/stypes="app*4032*20170720*"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13"/>
        <v>"%USERPROFILE%\Documents\GitHub\eaglep3\Utilities\RefineRTDCRunTimes.py" --tripid 213-19 --locoid 4032 --swversion DE.1.0.9.0 --startMP 204:444 --initTime 2017-07-19T17:39:50 --startdatetime 2017-07-19T17:45:53 --delay 1 --endMP 204:233268 --enddatetime 2017-07-19T18:22:31 --enforcementcount 0 &gt;&gt;C:\Users\stu\Documents\GitHub\eaglep3-reporting\EC\2017-07-19-refined-times.txt</v>
      </c>
      <c r="AI127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{"issue":{"subject":"","project_id":79,"tracker_id":40,"status_id":1,"priority_id":2,"assigned_to_id":23,"start_date":"2017-07-19","description":"","custom_fields":[{"id":1,"name":"Subdivision","value":"EC"},{"id":4,"name":"Milepost","value":"23.3268"},{"id":17,"name":"Train ID","value":"213-19"},{"id":16,"name":"Locomotive ID","value":"4032"},{"id":130,"name":"Impact","value":""},{"id":150,"name":"Time of Event (Mountain Time)","value":"18:22:31"},{"id":151,"name":"Denver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5"/>
        <v>start /low /b %USERPROFILE%\Documents\GitHub\eaglep3\Utilities\DownloadLogsFromS3.py --loco 4032 --day 2017-07-19</v>
      </c>
      <c r="AN127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813</v>
      </c>
      <c r="B128" s="7">
        <v>4031</v>
      </c>
      <c r="C128" s="21" t="s">
        <v>199</v>
      </c>
      <c r="D128" s="21" t="s">
        <v>488</v>
      </c>
      <c r="E128" s="13">
        <v>42935.768333333333</v>
      </c>
      <c r="F128" s="13">
        <v>42935.779363425929</v>
      </c>
      <c r="G128" s="7">
        <v>1</v>
      </c>
      <c r="H128" s="21" t="s">
        <v>344</v>
      </c>
      <c r="I128" s="13">
        <v>42935.807002314818</v>
      </c>
      <c r="J128" s="7">
        <v>0</v>
      </c>
      <c r="K128" s="89" t="str">
        <f>IF(ISEVEN(B128),(B128-1)&amp;"/"&amp;B128,B128&amp;"/"&amp;(B128+1))</f>
        <v>4031/4032</v>
      </c>
      <c r="L128" s="21" t="str">
        <f>VLOOKUP(A128,'Trips&amp;Operators'!$C$1:$G$99999,5,FALSE)</f>
        <v>HAITHCOX MICHAEL</v>
      </c>
      <c r="M128" s="6">
        <f>I128-F128</f>
        <v>2.7638888888759539E-2</v>
      </c>
      <c r="N128" s="7">
        <f>24*60*SUM($M128:$M128)</f>
        <v>39.799999999813735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-19T17:26:24-0600',mode:absolute,to:'2017-07-19T20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23.297499999999999</v>
      </c>
      <c r="Z128" s="197">
        <f>RIGHT(H128,LEN(H128)-4)/10000</f>
        <v>1.49E-2</v>
      </c>
      <c r="AA128" s="197">
        <f>ABS(Z128-Y128)</f>
        <v>23.282599999999999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/stypes="app*4031*20170720*"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13"/>
        <v>"%USERPROFILE%\Documents\GitHub\eaglep3\Utilities\RefineRTDCRunTimes.py" --tripid 214-19 --locoid 4031 --swversion DE.1.0.9.0 --startMP 204:232975 --initTime 2017-07-19T18:26:24 --startdatetime 2017-07-19T18:42:17 --delay 1 --endMP 204:149 --enddatetime 2017-07-19T19:22:05 --enforcementcount 0 &gt;&gt;C:\Users\stu\Documents\GitHub\eaglep3-reporting\EC\2017-07-19-refined-times.txt</v>
      </c>
      <c r="AI128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ID","value":"214-19"},{"id":16,"name":"Locomotive ID","value":"4031"},{"id":130,"name":"Impact","value":""},{"id":150,"name":"Time of Event (Mountain Time)","value":"19:22:05"},{"id":151,"name":"Denver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5"/>
        <v>start /low /b %USERPROFILE%\Documents\GitHub\eaglep3\Utilities\DownloadLogsFromS3.py --loco 4031 --day 2017-07-19</v>
      </c>
      <c r="AN128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807</v>
      </c>
      <c r="B129" s="7">
        <v>4004</v>
      </c>
      <c r="C129" s="21" t="s">
        <v>199</v>
      </c>
      <c r="D129" s="21" t="s">
        <v>380</v>
      </c>
      <c r="E129" s="13">
        <v>42935.746122685188</v>
      </c>
      <c r="F129" s="13">
        <v>42935.750810185185</v>
      </c>
      <c r="G129" s="7">
        <v>1</v>
      </c>
      <c r="H129" s="21" t="s">
        <v>507</v>
      </c>
      <c r="I129" s="13">
        <v>42935.77615740741</v>
      </c>
      <c r="J129" s="7">
        <v>0</v>
      </c>
      <c r="K129" s="89" t="str">
        <f>IF(ISEVEN(B129),(B129-1)&amp;"/"&amp;B129,B129&amp;"/"&amp;(B129+1))</f>
        <v>4003/4004</v>
      </c>
      <c r="L129" s="21" t="str">
        <f>VLOOKUP(A129,'Trips&amp;Operators'!$C$1:$G$99999,5,FALSE)</f>
        <v>GONZALEZ ARMANDO</v>
      </c>
      <c r="M129" s="6">
        <f>I129-F129</f>
        <v>2.5347222224809229E-2</v>
      </c>
      <c r="N129" s="7">
        <f>24*60*SUM($M129:$M129)</f>
        <v>36.50000000372529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-19T16:54:25-0600',mode:absolute,to:'2017-07-19T19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4.6199999999999998E-2</v>
      </c>
      <c r="Z129" s="197">
        <f>RIGHT(H129,LEN(H129)-4)/10000</f>
        <v>23.3325</v>
      </c>
      <c r="AA129" s="197">
        <f>ABS(Z129-Y129)</f>
        <v>23.286300000000001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/stypes="app*4004*20170720*"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13"/>
        <v>"%USERPROFILE%\Documents\GitHub\eaglep3\Utilities\RefineRTDCRunTimes.py" --tripid 215-19 --locoid 4004 --swversion DE.1.0.9.0 --startMP 204:462 --initTime 2017-07-19T17:54:25 --startdatetime 2017-07-19T18:01:10 --delay 1 --endMP 204:233325 --enddatetime 2017-07-19T18:37:40 --enforcementcount 0 &gt;&gt;C:\Users\stu\Documents\GitHub\eaglep3-reporting\EC\2017-07-19-refined-times.txt</v>
      </c>
      <c r="AI129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{"issue":{"subject":"","project_id":79,"tracker_id":40,"status_id":1,"priority_id":2,"assigned_to_id":23,"start_date":"2017-07-19","description":"","custom_fields":[{"id":1,"name":"Subdivision","value":"EC"},{"id":4,"name":"Milepost","value":"23.3325"},{"id":17,"name":"Train ID","value":"215-19"},{"id":16,"name":"Locomotive ID","value":"4004"},{"id":130,"name":"Impact","value":""},{"id":150,"name":"Time of Event (Mountain Time)","value":"18:37:40"},{"id":151,"name":"Denver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5"/>
        <v>start /low /b %USERPROFILE%\Documents\GitHub\eaglep3\Utilities\DownloadLogsFromS3.py --loco 4004 --day 2017-07-19</v>
      </c>
      <c r="AN129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817</v>
      </c>
      <c r="B130" s="7">
        <v>4003</v>
      </c>
      <c r="C130" s="21" t="s">
        <v>199</v>
      </c>
      <c r="D130" s="21" t="s">
        <v>911</v>
      </c>
      <c r="E130" s="13">
        <v>42935.785787037035</v>
      </c>
      <c r="F130" s="13">
        <v>42935.789756944447</v>
      </c>
      <c r="G130" s="7">
        <v>1</v>
      </c>
      <c r="H130" s="21" t="s">
        <v>344</v>
      </c>
      <c r="I130" s="13">
        <v>42935.816203703704</v>
      </c>
      <c r="J130" s="7">
        <v>0</v>
      </c>
      <c r="K130" s="89" t="str">
        <f>IF(ISEVEN(B130),(B130-1)&amp;"/"&amp;B130,B130&amp;"/"&amp;(B130+1))</f>
        <v>4003/4004</v>
      </c>
      <c r="L130" s="21" t="str">
        <f>VLOOKUP(A130,'Trips&amp;Operators'!$C$1:$G$99999,5,FALSE)</f>
        <v>GONZALEZ ARMANDO</v>
      </c>
      <c r="M130" s="6">
        <f>I130-F130</f>
        <v>2.6446759256941732E-2</v>
      </c>
      <c r="N130" s="7">
        <f>24*60*SUM($M130:$M130)</f>
        <v>38.083333329996094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-19T17:51:32-0600',mode:absolute,to:'2017-07-19T20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23.297599999999999</v>
      </c>
      <c r="Z130" s="197">
        <f>RIGHT(H130,LEN(H130)-4)/10000</f>
        <v>1.49E-2</v>
      </c>
      <c r="AA130" s="197">
        <f>ABS(Z130-Y130)</f>
        <v>23.282699999999998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/stypes="app*4003*20170720*"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13"/>
        <v>"%USERPROFILE%\Documents\GitHub\eaglep3\Utilities\RefineRTDCRunTimes.py" --tripid 216-19 --locoid 4003 --swversion DE.1.0.9.0 --startMP 204:232976 --initTime 2017-07-19T18:51:32 --startdatetime 2017-07-19T18:57:15 --delay 1 --endMP 204:149 --enddatetime 2017-07-19T19:35:20 --enforcementcount 0 &gt;&gt;C:\Users\stu\Documents\GitHub\eaglep3-reporting\EC\2017-07-19-refined-times.txt</v>
      </c>
      <c r="AI13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{"issue":{"subject":"","project_id":79,"tracker_id":40,"status_id":1,"priority_id":2,"assigned_to_id":23,"start_date":"2017-07-19","description":"","custom_fields":[{"id":1,"name":"Subdivision","value":"EC"},{"id":4,"name":"Milepost","value":"0.0149"},{"id":17,"name":"Train ID","value":"216-19"},{"id":16,"name":"Locomotive ID","value":"4003"},{"id":130,"name":"Impact","value":""},{"id":150,"name":"Time of Event (Mountain Time)","value":"19:35:20"},{"id":151,"name":"Denver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5"/>
        <v>start /low /b %USERPROFILE%\Documents\GitHub\eaglep3\Utilities\DownloadLogsFromS3.py --loco 4003 --day 2017-07-19</v>
      </c>
      <c r="AN130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640</v>
      </c>
      <c r="B131" s="7">
        <v>4054</v>
      </c>
      <c r="C131" s="21" t="s">
        <v>199</v>
      </c>
      <c r="D131" s="21" t="s">
        <v>346</v>
      </c>
      <c r="E131" s="13">
        <v>42935.760127314818</v>
      </c>
      <c r="F131" s="13">
        <v>42935.761956018519</v>
      </c>
      <c r="G131" s="7">
        <v>1</v>
      </c>
      <c r="H131" s="21" t="s">
        <v>912</v>
      </c>
      <c r="I131" s="13">
        <v>42935.787175925929</v>
      </c>
      <c r="J131" s="7">
        <v>0</v>
      </c>
      <c r="K131" s="89" t="str">
        <f>IF(ISEVEN(B131),(B131-1)&amp;"/"&amp;B131,B131&amp;"/"&amp;(B131+1))</f>
        <v>4053/4054</v>
      </c>
      <c r="L131" s="21" t="str">
        <f>VLOOKUP(A131,'Trips&amp;Operators'!$C$1:$G$99999,5,FALSE)</f>
        <v>CASSIDY BRANDON</v>
      </c>
      <c r="M131" s="6">
        <f>I131-F131</f>
        <v>2.5219907409336884E-2</v>
      </c>
      <c r="N131" s="7">
        <f>24*60*SUM($M131:$M131)</f>
        <v>36.316666669445112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-19T17:14:35-0600',mode:absolute,to:'2017-07-19T19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4.6600000000000003E-2</v>
      </c>
      <c r="Z131" s="197">
        <f>RIGHT(H131,LEN(H131)-4)/10000</f>
        <v>23.325500000000002</v>
      </c>
      <c r="AA131" s="197">
        <f>ABS(Z131-Y131)</f>
        <v>23.2789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/stypes="app*4054*20170720*" /stext=" 00:.+((SYSTEM_STATE.+slice.+state.+changed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13"/>
        <v>"%USERPROFILE%\Documents\GitHub\eaglep3\Utilities\RefineRTDCRunTimes.py" --tripid 217-19 --locoid 4054 --swversion DE.1.0.9.0 --startMP 204:466 --initTime 2017-07-19T18:14:35 --startdatetime 2017-07-19T18:17:13 --delay 1 --endMP 204:233255 --enddatetime 2017-07-19T18:53:32 --enforcementcount 0 &gt;&gt;C:\Users\stu\Documents\GitHub\eaglep3-reporting\EC\2017-07-19-refined-times.txt</v>
      </c>
      <c r="AI13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{"issue":{"subject":"","project_id":79,"tracker_id":40,"status_id":1,"priority_id":2,"assigned_to_id":23,"start_date":"2017-07-19","description":"","custom_fields":[{"id":1,"name":"Subdivision","value":"EC"},{"id":4,"name":"Milepost","value":"23.3255"},{"id":17,"name":"Train ID","value":"217-19"},{"id":16,"name":"Locomotive ID","value":"4054"},{"id":130,"name":"Impact","value":""},{"id":150,"name":"Time of Event (Mountain Time)","value":"18:53:32"},{"id":151,"name":"Denver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5"/>
        <v>start /low /b %USERPROFILE%\Documents\GitHub\eaglep3\Utilities\DownloadLogsFromS3.py --loco 4054 --day 2017-07-19</v>
      </c>
      <c r="AN131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818</v>
      </c>
      <c r="B132" s="7">
        <v>4053</v>
      </c>
      <c r="C132" s="21" t="s">
        <v>199</v>
      </c>
      <c r="D132" s="21" t="s">
        <v>913</v>
      </c>
      <c r="E132" s="13">
        <v>42935.791747685187</v>
      </c>
      <c r="F132" s="13">
        <v>42935.800173611111</v>
      </c>
      <c r="G132" s="7">
        <v>1</v>
      </c>
      <c r="H132" s="21" t="s">
        <v>391</v>
      </c>
      <c r="I132" s="13">
        <v>42935.826990740738</v>
      </c>
      <c r="J132" s="7">
        <v>0</v>
      </c>
      <c r="K132" s="89" t="str">
        <f>IF(ISEVEN(B132),(B132-1)&amp;"/"&amp;B132,B132&amp;"/"&amp;(B132+1))</f>
        <v>4053/4054</v>
      </c>
      <c r="L132" s="21" t="str">
        <f>VLOOKUP(A132,'Trips&amp;Operators'!$C$1:$G$99999,5,FALSE)</f>
        <v>CASSIDY BRANDON</v>
      </c>
      <c r="M132" s="6">
        <f>I132-F132</f>
        <v>2.6817129626579117E-2</v>
      </c>
      <c r="N132" s="7">
        <f>24*60*SUM($M132:$M132)</f>
        <v>38.616666662273929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-19T18:00:07-0600',mode:absolute,to:'2017-07-19T20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23.293800000000001</v>
      </c>
      <c r="Z132" s="197">
        <f>RIGHT(H132,LEN(H132)-4)/10000</f>
        <v>1.5599999999999999E-2</v>
      </c>
      <c r="AA132" s="197">
        <f>ABS(Z132-Y132)</f>
        <v>23.278200000000002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/stypes="app*4053*20170720*"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13"/>
        <v>"%USERPROFILE%\Documents\GitHub\eaglep3\Utilities\RefineRTDCRunTimes.py" --tripid 218-19 --locoid 4053 --swversion DE.1.0.9.0 --startMP 204:232938 --initTime 2017-07-19T19:00:07 --startdatetime 2017-07-19T19:12:15 --delay 1 --endMP 204:156 --enddatetime 2017-07-19T19:50:52 --enforcementcount 0 &gt;&gt;C:\Users\stu\Documents\GitHub\eaglep3-reporting\EC\2017-07-19-refined-times.txt</v>
      </c>
      <c r="AI13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{"issue":{"subject":"","project_id":79,"tracker_id":40,"status_id":1,"priority_id":2,"assigned_to_id":23,"start_date":"2017-07-19","description":"","custom_fields":[{"id":1,"name":"Subdivision","value":"EC"},{"id":4,"name":"Milepost","value":"0.0156"},{"id":17,"name":"Train ID","value":"218-19"},{"id":16,"name":"Locomotive ID","value":"4053"},{"id":130,"name":"Impact","value":""},{"id":150,"name":"Time of Event (Mountain Time)","value":"19:50:52"},{"id":151,"name":"Denver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5"/>
        <v>start /low /b %USERPROFILE%\Documents\GitHub\eaglep3\Utilities\DownloadLogsFromS3.py --loco 4053 --day 2017-07-19</v>
      </c>
      <c r="AN132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812</v>
      </c>
      <c r="B133" s="7">
        <v>4030</v>
      </c>
      <c r="C133" s="21" t="s">
        <v>199</v>
      </c>
      <c r="D133" s="21" t="s">
        <v>380</v>
      </c>
      <c r="E133" s="13">
        <v>42935.766805555555</v>
      </c>
      <c r="F133" s="13">
        <v>42935.77134259259</v>
      </c>
      <c r="G133" s="7">
        <v>3</v>
      </c>
      <c r="H133" s="21" t="s">
        <v>534</v>
      </c>
      <c r="I133" s="13">
        <v>42935.796030092592</v>
      </c>
      <c r="J133" s="7">
        <v>0</v>
      </c>
      <c r="K133" s="89" t="str">
        <f>IF(ISEVEN(B133),(B133-1)&amp;"/"&amp;B133,B133&amp;"/"&amp;(B133+1))</f>
        <v>4029/4030</v>
      </c>
      <c r="L133" s="21" t="str">
        <f>VLOOKUP(A133,'Trips&amp;Operators'!$C$1:$G$99999,5,FALSE)</f>
        <v>LAMAR NEKESHA</v>
      </c>
      <c r="M133" s="6">
        <f>I133-F133</f>
        <v>2.4687500001164153E-2</v>
      </c>
      <c r="N133" s="7">
        <f>24*60*SUM($M133:$M133)</f>
        <v>35.550000001676381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-19T17:24:12-0600',mode:absolute,to:'2017-07-19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4.6199999999999998E-2</v>
      </c>
      <c r="Z133" s="197">
        <f>RIGHT(H133,LEN(H133)-4)/10000</f>
        <v>23.332100000000001</v>
      </c>
      <c r="AA133" s="197">
        <f>ABS(Z133-Y133)</f>
        <v>23.285900000000002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/stypes="app*4030*20170720*"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13"/>
        <v>"%USERPROFILE%\Documents\GitHub\eaglep3\Utilities\RefineRTDCRunTimes.py" --tripid 219-19 --locoid 4030 --swversion DE.1.0.9.0 --startMP 204:462 --initTime 2017-07-19T18:24:12 --startdatetime 2017-07-19T18:30:44 --delay 3 --endMP 204:233321 --enddatetime 2017-07-19T19:06:17 --enforcementcount 0 &gt;&gt;C:\Users\stu\Documents\GitHub\eaglep3-reporting\EC\2017-07-19-refined-times.txt</v>
      </c>
      <c r="AI133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{"issue":{"subject":"","project_id":79,"tracker_id":40,"status_id":1,"priority_id":2,"assigned_to_id":23,"start_date":"2017-07-19","description":"","custom_fields":[{"id":1,"name":"Subdivision","value":"EC"},{"id":4,"name":"Milepost","value":"23.3321"},{"id":17,"name":"Train ID","value":"219-19"},{"id":16,"name":"Locomotive ID","value":"4030"},{"id":130,"name":"Impact","value":""},{"id":150,"name":"Time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5"/>
        <v>start /low /b %USERPROFILE%\Documents\GitHub\eaglep3\Utilities\DownloadLogsFromS3.py --loco 4030 --day 2017-07-19</v>
      </c>
      <c r="AN133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822</v>
      </c>
      <c r="B134" s="7">
        <v>4029</v>
      </c>
      <c r="C134" s="21" t="s">
        <v>199</v>
      </c>
      <c r="D134" s="21" t="s">
        <v>867</v>
      </c>
      <c r="E134" s="13">
        <v>42935.806134259263</v>
      </c>
      <c r="F134" s="13">
        <v>42935.810578703706</v>
      </c>
      <c r="G134" s="7">
        <v>1</v>
      </c>
      <c r="H134" s="21" t="s">
        <v>381</v>
      </c>
      <c r="I134" s="13">
        <v>42935.837465277778</v>
      </c>
      <c r="J134" s="7">
        <v>0</v>
      </c>
      <c r="K134" s="89" t="str">
        <f>IF(ISEVEN(B134),(B134-1)&amp;"/"&amp;B134,B134&amp;"/"&amp;(B134+1))</f>
        <v>4029/4030</v>
      </c>
      <c r="L134" s="21" t="str">
        <f>VLOOKUP(A134,'Trips&amp;Operators'!$C$1:$G$99999,5,FALSE)</f>
        <v>LAMAR NEKESHA</v>
      </c>
      <c r="M134" s="6">
        <f>I134-F134</f>
        <v>2.6886574072705116E-2</v>
      </c>
      <c r="N134" s="7">
        <f>24*60*SUM($M134:$M134)</f>
        <v>38.716666664695367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-19T18:20:50-0600',mode:absolute,to:'2017-07-19T21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23.2974</v>
      </c>
      <c r="Z134" s="197">
        <f>RIGHT(H134,LEN(H134)-4)/10000</f>
        <v>1.54E-2</v>
      </c>
      <c r="AA134" s="197">
        <f>ABS(Z134-Y134)</f>
        <v>23.282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/stypes="app*4029*20170720*"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13"/>
        <v>"%USERPROFILE%\Documents\GitHub\eaglep3\Utilities\RefineRTDCRunTimes.py" --tripid 220-19 --locoid 4029 --swversion DE.1.0.9.0 --startMP 204:232974 --initTime 2017-07-19T19:20:50 --startdatetime 2017-07-19T19:27:14 --delay 1 --endMP 204:154 --enddatetime 2017-07-19T20:05:57 --enforcementcount 0 &gt;&gt;C:\Users\stu\Documents\GitHub\eaglep3-reporting\EC\2017-07-19-refined-times.txt</v>
      </c>
      <c r="AI134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{"issue":{"subject":"","project_id":79,"tracker_id":40,"status_id":1,"priority_id":2,"assigned_to_id":23,"start_date":"2017-07-19","description":"","custom_fields":[{"id":1,"name":"Subdivision","value":"EC"},{"id":4,"name":"Milepost","value":"0.0154"},{"id":17,"name":"Train ID","value":"220-19"},{"id":16,"name":"Locomotive ID","value":"4029"},{"id":130,"name":"Impact","value":""},{"id":150,"name":"Time of Event (Mountain Time)","value":"20:05:57"},{"id":151,"name":"Denver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5"/>
        <v>start /low /b %USERPROFILE%\Documents\GitHub\eaglep3\Utilities\DownloadLogsFromS3.py --loco 4029 --day 2017-07-19</v>
      </c>
      <c r="AN134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641</v>
      </c>
      <c r="B135" s="7">
        <v>4028</v>
      </c>
      <c r="C135" s="21" t="s">
        <v>199</v>
      </c>
      <c r="D135" s="21" t="s">
        <v>470</v>
      </c>
      <c r="E135" s="13">
        <v>42935.786319444444</v>
      </c>
      <c r="F135" s="13">
        <v>42935.792268518519</v>
      </c>
      <c r="G135" s="7">
        <v>1</v>
      </c>
      <c r="H135" s="21" t="s">
        <v>914</v>
      </c>
      <c r="I135" s="13">
        <v>42935.818553240744</v>
      </c>
      <c r="J135" s="7">
        <v>0</v>
      </c>
      <c r="K135" s="89" t="str">
        <f>IF(ISEVEN(B135),(B135-1)&amp;"/"&amp;B135,B135&amp;"/"&amp;(B135+1))</f>
        <v>4027/4028</v>
      </c>
      <c r="L135" s="21" t="str">
        <f>VLOOKUP(A135,'Trips&amp;Operators'!$C$1:$G$99999,5,FALSE)</f>
        <v>FORTUNATO FRANK</v>
      </c>
      <c r="M135" s="6">
        <f>I135-F135</f>
        <v>2.6284722225682344E-2</v>
      </c>
      <c r="N135" s="7">
        <f>24*60*SUM($M135:$M135)</f>
        <v>37.850000004982576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-19T17:52:18-0600',mode:absolute,to:'2017-07-19T20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4.6399999999999997E-2</v>
      </c>
      <c r="Z135" s="197">
        <f>RIGHT(H135,LEN(H135)-4)/10000</f>
        <v>23.3337</v>
      </c>
      <c r="AA135" s="197">
        <f>ABS(Z135-Y135)</f>
        <v>23.287300000000002</v>
      </c>
      <c r="AB135" s="54" t="str">
        <f>VLOOKUP(A135,Enforcements!$C$7:$K$13,8,0)</f>
        <v>Speed (6)</v>
      </c>
      <c r="AC135" s="51" t="str">
        <f>VLOOKUP(A135,Enforcements!$C$7:$E$13,3,0)</f>
        <v>PERMANENT SPEED RESTRICTION</v>
      </c>
      <c r="AD135" s="206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/stypes="app*4028*20170720*" /stext=" 01:.+((SYSTEM_STATE.+slice.+state.+changed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13"/>
        <v>"%USERPROFILE%\Documents\GitHub\eaglep3\Utilities\RefineRTDCRunTimes.py" --tripid 221-19 --locoid 4028 --swversion DE.1.0.9.0 --startMP 204:464 --initTime 2017-07-19T18:52:18 --startdatetime 2017-07-19T19:00:52 --delay 1 --endMP 204:233337 --enddatetime 2017-07-19T19:38:43 --enforcementcount 0 &gt;&gt;C:\Users\stu\Documents\GitHub\eaglep3-reporting\EC\2017-07-19-refined-times.txt</v>
      </c>
      <c r="AI135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{"issue":{"subject":"","project_id":79,"tracker_id":40,"status_id":1,"priority_id":2,"assigned_to_id":23,"start_date":"2017-07-19","description":"","custom_fields":[{"id":1,"name":"Subdivision","value":"EC"},{"id":4,"name":"Milepost","value":"23.3337"},{"id":17,"name":"Train ID","value":"221-19"},{"id":16,"name":"Locomotive ID","value":"4028"},{"id":130,"name":"Impact","value":""},{"id":150,"name":"Time of Event (Mountain Time)","value":"19:38:43"},{"id":151,"name":"Denver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5"/>
        <v>start /low /b %USERPROFILE%\Documents\GitHub\eaglep3\Utilities\DownloadLogsFromS3.py --loco 4028 --day 2017-07-19</v>
      </c>
      <c r="AN135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826</v>
      </c>
      <c r="B136" s="7">
        <v>4027</v>
      </c>
      <c r="C136" s="21" t="s">
        <v>199</v>
      </c>
      <c r="D136" s="21" t="s">
        <v>396</v>
      </c>
      <c r="E136" s="13">
        <v>42935.828067129631</v>
      </c>
      <c r="F136" s="13">
        <v>42935.831423611111</v>
      </c>
      <c r="G136" s="7">
        <v>1</v>
      </c>
      <c r="H136" s="21" t="s">
        <v>419</v>
      </c>
      <c r="I136" s="13">
        <v>42935.858368055553</v>
      </c>
      <c r="J136" s="7">
        <v>0</v>
      </c>
      <c r="K136" s="89" t="str">
        <f>IF(ISEVEN(B136),(B136-1)&amp;"/"&amp;B136,B136&amp;"/"&amp;(B136+1))</f>
        <v>4027/4028</v>
      </c>
      <c r="L136" s="21" t="str">
        <f>VLOOKUP(A136,'Trips&amp;Operators'!$C$1:$G$99999,5,FALSE)</f>
        <v>FORTUNATO FRANK</v>
      </c>
      <c r="M136" s="6">
        <f>I136-F136</f>
        <v>2.6944444442051463E-2</v>
      </c>
      <c r="N136" s="7">
        <f>24*60*SUM($M136:$M136)</f>
        <v>38.799999996554106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-19T18:52:25-0600',mode:absolute,to:'2017-07-19T21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23.299600000000002</v>
      </c>
      <c r="Z136" s="197">
        <f>RIGHT(H136,LEN(H136)-4)/10000</f>
        <v>1.3599999999999999E-2</v>
      </c>
      <c r="AA136" s="197">
        <f>ABS(Z136-Y136)</f>
        <v>23.286000000000001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/stypes="app*4027*20170720*"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13"/>
        <v>"%USERPROFILE%\Documents\GitHub\eaglep3\Utilities\RefineRTDCRunTimes.py" --tripid 222-19 --locoid 4027 --swversion DE.1.0.9.0 --startMP 204:232996 --initTime 2017-07-19T19:52:25 --startdatetime 2017-07-19T19:57:15 --delay 1 --endMP 204:136 --enddatetime 2017-07-19T20:36:03 --enforcementcount 0 &gt;&gt;C:\Users\stu\Documents\GitHub\eaglep3-reporting\EC\2017-07-19-refined-times.txt</v>
      </c>
      <c r="AI136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{"issue":{"subject":"","project_id":79,"tracker_id":40,"status_id":1,"priority_id":2,"assigned_to_id":23,"start_date":"2017-07-19","description":"","custom_fields":[{"id":1,"name":"Subdivision","value":"EC"},{"id":4,"name":"Milepost","value":"0.0136"},{"id":17,"name":"Train ID","value":"222-19"},{"id":16,"name":"Locomotive ID","value":"4027"},{"id":130,"name":"Impact","value":""},{"id":150,"name":"Time of Event (Mountain Time)","value":"20:36:03"},{"id":151,"name":"Denver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5"/>
        <v>start /low /b %USERPROFILE%\Documents\GitHub\eaglep3\Utilities\DownloadLogsFromS3.py --loco 4027 --day 2017-07-19</v>
      </c>
      <c r="AN136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823</v>
      </c>
      <c r="B137" s="7">
        <v>4032</v>
      </c>
      <c r="C137" s="21" t="s">
        <v>199</v>
      </c>
      <c r="D137" s="21" t="s">
        <v>883</v>
      </c>
      <c r="E137" s="13">
        <v>42935.808854166666</v>
      </c>
      <c r="F137" s="13">
        <v>42935.813032407408</v>
      </c>
      <c r="G137" s="7">
        <v>1</v>
      </c>
      <c r="H137" s="21" t="s">
        <v>584</v>
      </c>
      <c r="I137" s="13">
        <v>42935.838773148149</v>
      </c>
      <c r="J137" s="7">
        <v>0</v>
      </c>
      <c r="K137" s="89" t="str">
        <f>IF(ISEVEN(B137),(B137-1)&amp;"/"&amp;B137,B137&amp;"/"&amp;(B137+1))</f>
        <v>4031/4032</v>
      </c>
      <c r="L137" s="21" t="str">
        <f>VLOOKUP(A137,'Trips&amp;Operators'!$C$1:$G$99999,5,FALSE)</f>
        <v>HAITHCOX MICHAEL</v>
      </c>
      <c r="M137" s="6">
        <f>I137-F137</f>
        <v>2.5740740740729962E-2</v>
      </c>
      <c r="N137" s="7">
        <f>24*60*SUM($M137:$M137)</f>
        <v>37.066666666651145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-19T18:24:45-0600',mode:absolute,to:'2017-07-19T21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4.3299999999999998E-2</v>
      </c>
      <c r="Z137" s="197">
        <f>RIGHT(H137,LEN(H137)-4)/10000</f>
        <v>23.327200000000001</v>
      </c>
      <c r="AA137" s="197">
        <f>ABS(Z137-Y137)</f>
        <v>23.283900000000003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/stypes="app*4032*20170720*"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13"/>
        <v>"%USERPROFILE%\Documents\GitHub\eaglep3\Utilities\RefineRTDCRunTimes.py" --tripid 223-19 --locoid 4032 --swversion DE.1.0.9.0 --startMP 204:433 --initTime 2017-07-19T19:24:45 --startdatetime 2017-07-19T19:30:46 --delay 1 --endMP 204:233272 --enddatetime 2017-07-19T20:07:50 --enforcementcount 0 &gt;&gt;C:\Users\stu\Documents\GitHub\eaglep3-reporting\EC\2017-07-19-refined-times.txt</v>
      </c>
      <c r="AI137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{"issue":{"subject":"","project_id":79,"tracker_id":40,"status_id":1,"priority_id":2,"assigned_to_id":23,"start_date":"2017-07-19","description":"","custom_fields":[{"id":1,"name":"Subdivision","value":"EC"},{"id":4,"name":"Milepost","value":"23.3272"},{"id":17,"name":"Train ID","value":"223-19"},{"id":16,"name":"Locomotive ID","value":"4032"},{"id":130,"name":"Impact","value":""},{"id":150,"name":"Time of Event (Mountain Time)","value":"20:07:50"},{"id":151,"name":"Denver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5"/>
        <v>start /low /b %USERPROFILE%\Documents\GitHub\eaglep3\Utilities\DownloadLogsFromS3.py --loco 4032 --day 2017-07-19</v>
      </c>
      <c r="AN137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02:07:50"},{"id":29,"name":"Sharepoint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828</v>
      </c>
      <c r="B138" s="7">
        <v>4031</v>
      </c>
      <c r="C138" s="21" t="s">
        <v>199</v>
      </c>
      <c r="D138" s="21" t="s">
        <v>591</v>
      </c>
      <c r="E138" s="13">
        <v>42935.839884259258</v>
      </c>
      <c r="F138" s="13">
        <v>42935.852384259262</v>
      </c>
      <c r="G138" s="7">
        <v>1</v>
      </c>
      <c r="H138" s="21" t="s">
        <v>386</v>
      </c>
      <c r="I138" s="13">
        <v>42935.879513888889</v>
      </c>
      <c r="J138" s="7">
        <v>0</v>
      </c>
      <c r="K138" s="89" t="str">
        <f>IF(ISEVEN(B138),(B138-1)&amp;"/"&amp;B138,B138&amp;"/"&amp;(B138+1))</f>
        <v>4031/4032</v>
      </c>
      <c r="L138" s="21" t="str">
        <f>VLOOKUP(A138,'Trips&amp;Operators'!$C$1:$G$99999,5,FALSE)</f>
        <v>HAITHCOX MICHAEL</v>
      </c>
      <c r="M138" s="6">
        <f>I138-F138</f>
        <v>2.7129629626870155E-2</v>
      </c>
      <c r="N138" s="7">
        <f>24*60*SUM($M138:$M138)</f>
        <v>39.066666662693024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-19T19:09:26-0600',mode:absolute,to:'2017-07-19T22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23.2959</v>
      </c>
      <c r="Z138" s="197">
        <f>RIGHT(H138,LEN(H138)-4)/10000</f>
        <v>1.4500000000000001E-2</v>
      </c>
      <c r="AA138" s="197">
        <f>ABS(Z138-Y138)</f>
        <v>23.281399999999998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/stypes="app*4031*20170720*"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13"/>
        <v>"%USERPROFILE%\Documents\GitHub\eaglep3\Utilities\RefineRTDCRunTimes.py" --tripid 224-19 --locoid 4031 --swversion DE.1.0.9.0 --startMP 204:232959 --initTime 2017-07-19T20:09:26 --startdatetime 2017-07-19T20:27:26 --delay 1 --endMP 204:145 --enddatetime 2017-07-19T21:06:30 --enforcementcount 0 &gt;&gt;C:\Users\stu\Documents\GitHub\eaglep3-reporting\EC\2017-07-19-refined-times.txt</v>
      </c>
      <c r="AI138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{"issue":{"subject":"","project_id":79,"tracker_id":40,"status_id":1,"priority_id":2,"assigned_to_id":23,"start_date":"2017-07-19","description":"","custom_fields":[{"id":1,"name":"Subdivision","value":"EC"},{"id":4,"name":"Milepost","value":"0.0145"},{"id":17,"name":"Train ID","value":"224-19"},{"id":16,"name":"Locomotive ID","value":"4031"},{"id":130,"name":"Impact","value":""},{"id":150,"name":"Time of Event (Mountain Time)","value":"21:06:30"},{"id":151,"name":"Denver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5"/>
        <v>start /low /b %USERPROFILE%\Documents\GitHub\eaglep3\Utilities\DownloadLogsFromS3.py --loco 4031 --day 2017-07-19</v>
      </c>
      <c r="AN138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827</v>
      </c>
      <c r="B139" s="7">
        <v>4054</v>
      </c>
      <c r="C139" s="21" t="s">
        <v>199</v>
      </c>
      <c r="D139" s="21" t="s">
        <v>915</v>
      </c>
      <c r="E139" s="13">
        <v>42935.828796296293</v>
      </c>
      <c r="F139" s="13">
        <v>42935.833877314813</v>
      </c>
      <c r="G139" s="7">
        <v>1</v>
      </c>
      <c r="H139" s="21" t="s">
        <v>511</v>
      </c>
      <c r="I139" s="13">
        <v>42935.859618055554</v>
      </c>
      <c r="J139" s="7">
        <v>0</v>
      </c>
      <c r="K139" s="89" t="str">
        <f>IF(ISEVEN(B139),(B139-1)&amp;"/"&amp;B139,B139&amp;"/"&amp;(B139+1))</f>
        <v>4053/4054</v>
      </c>
      <c r="L139" s="21" t="str">
        <f>VLOOKUP(A139,'Trips&amp;Operators'!$C$1:$G$99999,5,FALSE)</f>
        <v>CASSIDY BRANDON</v>
      </c>
      <c r="M139" s="6">
        <f>I139-F139</f>
        <v>2.5740740740729962E-2</v>
      </c>
      <c r="N139" s="7">
        <f>24*60*SUM($M139:$M139)</f>
        <v>37.066666666651145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-19T18:53:28-0600',mode:absolute,to:'2017-07-19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4.82E-2</v>
      </c>
      <c r="Z139" s="197">
        <f>RIGHT(H139,LEN(H139)-4)/10000</f>
        <v>23.328800000000001</v>
      </c>
      <c r="AA139" s="197">
        <f>ABS(Z139-Y139)</f>
        <v>23.2806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/stypes="app*4054*20170720*" /stext=" 02:.+((SYSTEM_STATE.+slice.+state.+changed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13"/>
        <v>"%USERPROFILE%\Documents\GitHub\eaglep3\Utilities\RefineRTDCRunTimes.py" --tripid 225-19 --locoid 4054 --swversion DE.1.0.9.0 --startMP 204:482 --initTime 2017-07-19T19:53:28 --startdatetime 2017-07-19T20:00:47 --delay 1 --endMP 204:233288 --enddatetime 2017-07-19T20:37:51 --enforcementcount 0 &gt;&gt;C:\Users\stu\Documents\GitHub\eaglep3-reporting\EC\2017-07-19-refined-times.txt</v>
      </c>
      <c r="AI139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{"issue":{"subject":"","project_id":79,"tracker_id":40,"status_id":1,"priority_id":2,"assigned_to_id":23,"start_date":"2017-07-19","description":"","custom_fields":[{"id":1,"name":"Subdivision","value":"EC"},{"id":4,"name":"Milepost","value":"23.3288"},{"id":17,"name":"Train ID","value":"225-19"},{"id":16,"name":"Locomotive ID","value":"4054"},{"id":130,"name":"Impact","value":""},{"id":150,"name":"Time of Event (Mountain Time)","value":"20:37:51"},{"id":151,"name":"Denver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5"/>
        <v>start /low /b %USERPROFILE%\Documents\GitHub\eaglep3\Utilities\DownloadLogsFromS3.py --loco 4054 --day 2017-07-19</v>
      </c>
      <c r="AN139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832</v>
      </c>
      <c r="B140" s="7">
        <v>4053</v>
      </c>
      <c r="C140" s="21" t="s">
        <v>199</v>
      </c>
      <c r="D140" s="21" t="s">
        <v>427</v>
      </c>
      <c r="E140" s="13">
        <v>42935.861747685187</v>
      </c>
      <c r="F140" s="13">
        <v>42935.873402777775</v>
      </c>
      <c r="G140" s="7">
        <v>1</v>
      </c>
      <c r="H140" s="21" t="s">
        <v>916</v>
      </c>
      <c r="I140" s="13">
        <v>42935.900416666664</v>
      </c>
      <c r="J140" s="7">
        <v>0</v>
      </c>
      <c r="K140" s="89" t="str">
        <f>IF(ISEVEN(B140),(B140-1)&amp;"/"&amp;B140,B140&amp;"/"&amp;(B140+1))</f>
        <v>4053/4054</v>
      </c>
      <c r="L140" s="21" t="str">
        <f>VLOOKUP(A140,'Trips&amp;Operators'!$C$1:$G$99999,5,FALSE)</f>
        <v>CASSIDY BRANDON</v>
      </c>
      <c r="M140" s="6">
        <f>I140-F140</f>
        <v>2.7013888888177462E-2</v>
      </c>
      <c r="N140" s="7">
        <f>24*60*SUM($M140:$M140)</f>
        <v>38.899999998975545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-19T19:40:55-0600',mode:absolute,to:'2017-07-19T22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23.2973</v>
      </c>
      <c r="Z140" s="197">
        <f>RIGHT(H140,LEN(H140)-4)/10000</f>
        <v>1.1900000000000001E-2</v>
      </c>
      <c r="AA140" s="197">
        <f>ABS(Z140-Y140)</f>
        <v>23.285399999999999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/stypes="app*4053*20170720*"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13"/>
        <v>"%USERPROFILE%\Documents\GitHub\eaglep3\Utilities\RefineRTDCRunTimes.py" --tripid 226-19 --locoid 4053 --swversion DE.1.0.9.0 --startMP 204:232973 --initTime 2017-07-19T20:40:55 --startdatetime 2017-07-19T20:57:42 --delay 1 --endMP 204:119 --enddatetime 2017-07-19T21:36:36 --enforcementcount 0 &gt;&gt;C:\Users\stu\Documents\GitHub\eaglep3-reporting\EC\2017-07-19-refined-times.txt</v>
      </c>
      <c r="AI140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{"issue":{"subject":"","project_id":79,"tracker_id":40,"status_id":1,"priority_id":2,"assigned_to_id":23,"start_date":"2017-07-19","description":"","custom_fields":[{"id":1,"name":"Subdivision","value":"EC"},{"id":4,"name":"Milepost","value":"0.0119"},{"id":17,"name":"Train ID","value":"226-19"},{"id":16,"name":"Locomotive ID","value":"4053"},{"id":130,"name":"Impact","value":""},{"id":150,"name":"Time of Event (Mountain Time)","value":"21:36:36"},{"id":151,"name":"Denver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5"/>
        <v>start /low /b %USERPROFILE%\Documents\GitHub\eaglep3\Utilities\DownloadLogsFromS3.py --loco 4053 --day 2017-07-19</v>
      </c>
      <c r="AN140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830</v>
      </c>
      <c r="B141" s="7">
        <v>4030</v>
      </c>
      <c r="C141" s="21" t="s">
        <v>199</v>
      </c>
      <c r="D141" s="21" t="s">
        <v>578</v>
      </c>
      <c r="E141" s="13">
        <v>42935.848726851851</v>
      </c>
      <c r="F141" s="13">
        <v>42935.854421296295</v>
      </c>
      <c r="G141" s="7">
        <v>1</v>
      </c>
      <c r="H141" s="21" t="s">
        <v>907</v>
      </c>
      <c r="I141" s="13">
        <v>42935.880312499998</v>
      </c>
      <c r="J141" s="7">
        <v>0</v>
      </c>
      <c r="K141" s="89" t="str">
        <f>IF(ISEVEN(B141),(B141-1)&amp;"/"&amp;B141,B141&amp;"/"&amp;(B141+1))</f>
        <v>4029/4030</v>
      </c>
      <c r="L141" s="21" t="str">
        <f>VLOOKUP(A141,'Trips&amp;Operators'!$C$1:$G$99999,5,FALSE)</f>
        <v>MAGEE KENYA</v>
      </c>
      <c r="M141" s="6">
        <f>I141-F141</f>
        <v>2.5891203702485655E-2</v>
      </c>
      <c r="N141" s="7">
        <f>24*60*SUM($M141:$M141)</f>
        <v>37.283333331579342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-19T19:22:10-0600',mode:absolute,to:'2017-07-19T22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4.9299999999999997E-2</v>
      </c>
      <c r="Z141" s="197">
        <f>RIGHT(H141,LEN(H141)-4)/10000</f>
        <v>23.344100000000001</v>
      </c>
      <c r="AA141" s="197">
        <f>ABS(Z141-Y141)</f>
        <v>23.294800000000002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/stypes="app*4030*20170720*"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13"/>
        <v>"%USERPROFILE%\Documents\GitHub\eaglep3\Utilities\RefineRTDCRunTimes.py" --tripid 227-19 --locoid 4030 --swversion DE.1.0.9.0 --startMP 204:493 --initTime 2017-07-19T20:22:10 --startdatetime 2017-07-19T20:30:22 --delay 1 --endMP 204:233441 --enddatetime 2017-07-19T21:07:39 --enforcementcount 0 &gt;&gt;C:\Users\stu\Documents\GitHub\eaglep3-reporting\EC\2017-07-19-refined-times.txt</v>
      </c>
      <c r="AI141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{"issue":{"subject":"","project_id":79,"tracker_id":40,"status_id":1,"priority_id":2,"assigned_to_id":23,"start_date":"2017-07-19","description":"","custom_fields":[{"id":1,"name":"Subdivision","value":"EC"},{"id":4,"name":"Milepost","value":"23.3441"},{"id":17,"name":"Train ID","value":"227-19"},{"id":16,"name":"Locomotive ID","value":"4030"},{"id":130,"name":"Impact","value":""},{"id":150,"name":"Time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5"/>
        <v>start /low /b %USERPROFILE%\Documents\GitHub\eaglep3\Utilities\DownloadLogsFromS3.py --loco 4030 --day 2017-07-19</v>
      </c>
      <c r="AN141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836</v>
      </c>
      <c r="B142" s="7">
        <v>4029</v>
      </c>
      <c r="C142" s="21" t="s">
        <v>199</v>
      </c>
      <c r="D142" s="21" t="s">
        <v>917</v>
      </c>
      <c r="E142" s="13">
        <v>42935.891250000001</v>
      </c>
      <c r="F142" s="13">
        <v>42935.893946759257</v>
      </c>
      <c r="G142" s="7">
        <v>1</v>
      </c>
      <c r="H142" s="21" t="s">
        <v>343</v>
      </c>
      <c r="I142" s="13">
        <v>42935.921122685184</v>
      </c>
      <c r="J142" s="7">
        <v>0</v>
      </c>
      <c r="K142" s="89" t="str">
        <f>IF(ISEVEN(B142),(B142-1)&amp;"/"&amp;B142,B142&amp;"/"&amp;(B142+1))</f>
        <v>4029/4030</v>
      </c>
      <c r="L142" s="21" t="str">
        <f>VLOOKUP(A142,'Trips&amp;Operators'!$C$1:$G$99999,5,FALSE)</f>
        <v>MAGEE KENYA</v>
      </c>
      <c r="M142" s="6">
        <f>I142-F142</f>
        <v>2.7175925926712807E-2</v>
      </c>
      <c r="N142" s="7">
        <f>24*60*SUM($M142:$M142)</f>
        <v>39.133333334466442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-19T20:23:24-0600',mode:absolute,to:'2017-07-19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23.3078</v>
      </c>
      <c r="Z142" s="197">
        <f>RIGHT(H142,LEN(H142)-4)/10000</f>
        <v>1.4999999999999999E-2</v>
      </c>
      <c r="AA142" s="197">
        <f>ABS(Z142-Y142)</f>
        <v>23.2928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/stypes="app*4029*20170720*"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3"/>
        <v>"%USERPROFILE%\Documents\GitHub\eaglep3\Utilities\RefineRTDCRunTimes.py" --tripid 228-19 --locoid 4029 --swversion DE.1.0.9.0 --startMP 204:233078 --initTime 2017-07-19T21:23:24 --startdatetime 2017-07-19T21:27:17 --delay 1 --endMP 204:150 --enddatetime 2017-07-19T22:06:25 --enforcementcount 0 &gt;&gt;C:\Users\stu\Documents\GitHub\eaglep3-reporting\EC\2017-07-19-refined-times.txt</v>
      </c>
      <c r="AI142" s="96" t="str">
        <f t="shared" si="14"/>
        <v>echo {"issue":{"subject":"","project_id":79,"tracker_id":40,"status_id":1,"priority_id":2,"assigned_to_id":23,"start_date":"2017-07-19","description":"","custom_fields":[{"id":1,"name":"Subdivision","value":"EC"},{"id":4,"name":"Milepost","value":"0.015"},{"id":17,"name":"Train ID","value":"228-19"},{"id":16,"name":"Locomotive ID","value":"4029"},{"id":130,"name":"Impact","value":""},{"id":150,"name":"Time of Event (Mountain Time)","value":"22:06:25"},{"id":151,"name":"Denver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5"/>
        <v>start /low /b %USERPROFILE%\Documents\GitHub\eaglep3\Utilities\DownloadLogsFromS3.py --loco 4029 --day 2017-07-19</v>
      </c>
      <c r="AN142" s="151" t="str">
        <f t="shared" si="16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833</v>
      </c>
      <c r="B143" s="7">
        <v>4028</v>
      </c>
      <c r="C143" s="21" t="s">
        <v>199</v>
      </c>
      <c r="D143" s="21" t="s">
        <v>421</v>
      </c>
      <c r="E143" s="13">
        <v>42935.86246527778</v>
      </c>
      <c r="F143" s="13">
        <v>42935.875520833331</v>
      </c>
      <c r="G143" s="7">
        <v>1</v>
      </c>
      <c r="H143" s="21" t="s">
        <v>918</v>
      </c>
      <c r="I143" s="13">
        <v>42935.902071759258</v>
      </c>
      <c r="J143" s="7">
        <v>0</v>
      </c>
      <c r="K143" s="89" t="str">
        <f>IF(ISEVEN(B143),(B143-1)&amp;"/"&amp;B143,B143&amp;"/"&amp;(B143+1))</f>
        <v>4027/4028</v>
      </c>
      <c r="L143" s="21" t="str">
        <f>VLOOKUP(A143,'Trips&amp;Operators'!$C$1:$G$99999,5,FALSE)</f>
        <v>FORTUNATO FRANK</v>
      </c>
      <c r="M143" s="6">
        <f>I143-F143</f>
        <v>2.6550925926130731E-2</v>
      </c>
      <c r="N143" s="7">
        <f>24*60*SUM($M143:$M143)</f>
        <v>38.233333333628252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-19T19:41:57-0600',mode:absolute,to:'2017-07-19T22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4.3499999999999997E-2</v>
      </c>
      <c r="Z143" s="197">
        <f>RIGHT(H143,LEN(H143)-4)/10000</f>
        <v>23.3309</v>
      </c>
      <c r="AA143" s="197">
        <f>ABS(Z143-Y143)</f>
        <v>23.287399999999998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/stypes="app*4028*20170720*" /stext=" 03:.+((SYSTEM_STATE.+slice.+state.+changed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ref="AH143:AH205" si="1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229-19 --locoid 4028 --swversion DE.1.0.9.0 --startMP 204:435 --initTime 2017-07-19T20:41:57 --startdatetime 2017-07-19T21:00:45 --delay 1 --endMP 204:233309 --enddatetime 2017-07-19T21:38:59 --enforcementcount 0 &gt;&gt;C:\Users\stu\Documents\GitHub\eaglep3-reporting\EC\2017-07-19-refined-times.txt</v>
      </c>
      <c r="AI143" s="96" t="str">
        <f t="shared" ref="AI143:AI205" si="1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{"issue":{"subject":"","project_id":79,"tracker_id":40,"status_id":1,"priority_id":2,"assigned_to_id":23,"start_date":"2017-07-19","description":"","custom_fields":[{"id":1,"name":"Subdivision","value":"EC"},{"id":4,"name":"Milepost","value":"23.3309"},{"id":17,"name":"Train ID","value":"229-19"},{"id":16,"name":"Locomotive ID","value":"4028"},{"id":130,"name":"Impact","value":""},{"id":150,"name":"Time of Event (Mountain Time)","value":"21:38:59"},{"id":151,"name":"Denver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5" si="19">"start /low /b "&amp;dls3logs&amp;" --loco "&amp;B143&amp;" --day "&amp;TEXT(F143,"YYYY-MM-DD")</f>
        <v>start /low /b %USERPROFILE%\Documents\GitHub\eaglep3\Utilities\DownloadLogsFromS3.py --loco 4028 --day 2017-07-19</v>
      </c>
      <c r="AN143" s="151" t="str">
        <f t="shared" ref="AN143:AN205" si="2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03:38:59"},{"id":29,"name":"Sharepoint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838</v>
      </c>
      <c r="B144" s="7">
        <v>4027</v>
      </c>
      <c r="C144" s="21" t="s">
        <v>199</v>
      </c>
      <c r="D144" s="21" t="s">
        <v>886</v>
      </c>
      <c r="E144" s="13">
        <v>42935.908935185187</v>
      </c>
      <c r="F144" s="13">
        <v>42935.91474537037</v>
      </c>
      <c r="G144" s="7">
        <v>1</v>
      </c>
      <c r="H144" s="21" t="s">
        <v>351</v>
      </c>
      <c r="I144" s="13">
        <v>42935.943287037036</v>
      </c>
      <c r="J144" s="7">
        <v>0</v>
      </c>
      <c r="K144" s="89" t="str">
        <f>IF(ISEVEN(B144),(B144-1)&amp;"/"&amp;B144,B144&amp;"/"&amp;(B144+1))</f>
        <v>4027/4028</v>
      </c>
      <c r="L144" s="21" t="str">
        <f>VLOOKUP(A144,'Trips&amp;Operators'!$C$1:$G$99999,5,FALSE)</f>
        <v>FORTUNATO FRANK</v>
      </c>
      <c r="M144" s="6">
        <f>I144-F144</f>
        <v>2.8541666666569654E-2</v>
      </c>
      <c r="N144" s="7">
        <f>24*60*SUM($M144:$M144)</f>
        <v>41.099999999860302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-19T20:48:52-0600',mode:absolute,to:'2017-07-19T23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23.299199999999999</v>
      </c>
      <c r="Z144" s="197">
        <f>RIGHT(H144,LEN(H144)-4)/10000</f>
        <v>1.3899999999999999E-2</v>
      </c>
      <c r="AA144" s="197">
        <f>ABS(Z144-Y144)</f>
        <v>23.285299999999999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/stypes="app*4027*20170720*"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7"/>
        <v>"%USERPROFILE%\Documents\GitHub\eaglep3\Utilities\RefineRTDCRunTimes.py" --tripid 230-19 --locoid 4027 --swversion DE.1.0.9.0 --startMP 204:232992 --initTime 2017-07-19T21:48:52 --startdatetime 2017-07-19T21:57:14 --delay 1 --endMP 204:139 --enddatetime 2017-07-19T22:38:20 --enforcementcount 0 &gt;&gt;C:\Users\stu\Documents\GitHub\eaglep3-reporting\EC\2017-07-19-refined-times.txt</v>
      </c>
      <c r="AI144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{"issue":{"subject":"","project_id":79,"tracker_id":40,"status_id":1,"priority_id":2,"assigned_to_id":23,"start_date":"2017-07-19","description":"","custom_fields":[{"id":1,"name":"Subdivision","value":"EC"},{"id":4,"name":"Milepost","value":"0.0139"},{"id":17,"name":"Train ID","value":"230-19"},{"id":16,"name":"Locomotive ID","value":"4027"},{"id":130,"name":"Impact","value":""},{"id":150,"name":"Time of Event (Mountain Time)","value":"22:38:20"},{"id":151,"name":"Denver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9"/>
        <v>start /low /b %USERPROFILE%\Documents\GitHub\eaglep3\Utilities\DownloadLogsFromS3.py --loco 4027 --day 2017-07-19</v>
      </c>
      <c r="AN144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04:38:20"},{"id":29,"name":"Sharepoint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835</v>
      </c>
      <c r="B145" s="7">
        <v>4032</v>
      </c>
      <c r="C145" s="21" t="s">
        <v>199</v>
      </c>
      <c r="D145" s="21" t="s">
        <v>497</v>
      </c>
      <c r="E145" s="13">
        <v>42935.887754629628</v>
      </c>
      <c r="F145" s="13">
        <v>42935.896354166667</v>
      </c>
      <c r="G145" s="7">
        <v>1</v>
      </c>
      <c r="H145" s="21" t="s">
        <v>919</v>
      </c>
      <c r="I145" s="13">
        <v>42935.921284722222</v>
      </c>
      <c r="J145" s="7">
        <v>0</v>
      </c>
      <c r="K145" s="89" t="str">
        <f>IF(ISEVEN(B145),(B145-1)&amp;"/"&amp;B145,B145&amp;"/"&amp;(B145+1))</f>
        <v>4031/4032</v>
      </c>
      <c r="L145" s="21" t="str">
        <f>VLOOKUP(A145,'Trips&amp;Operators'!$C$1:$G$99999,5,FALSE)</f>
        <v>HART KEVIN</v>
      </c>
      <c r="M145" s="6">
        <f>I145-F145</f>
        <v>2.4930555555329192E-2</v>
      </c>
      <c r="N145" s="7">
        <f>24*60*SUM($M145:$M145)</f>
        <v>35.899999999674037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-19T20:18:22-0600',mode:absolute,to:'2017-07-19T23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4.5999999999999999E-2</v>
      </c>
      <c r="Z145" s="197">
        <f>RIGHT(H145,LEN(H145)-4)/10000</f>
        <v>23.334499999999998</v>
      </c>
      <c r="AA145" s="197">
        <f>ABS(Z145-Y145)</f>
        <v>23.288499999999999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231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/stypes="app*4032*20170720*"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7"/>
        <v>"%USERPROFILE%\Documents\GitHub\eaglep3\Utilities\RefineRTDCRunTimes.py" --tripid 231-19 --locoid 4032 --swversion DE.1.0.9.0 --startMP 204:460 --initTime 2017-07-19T21:18:22 --startdatetime 2017-07-19T21:30:45 --delay 1 --endMP 204:233345 --enddatetime 2017-07-19T22:06:39 --enforcementcount 0 &gt;&gt;C:\Users\stu\Documents\GitHub\eaglep3-reporting\EC\2017-07-19-refined-times.txt</v>
      </c>
      <c r="AI145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{"issue":{"subject":"","project_id":79,"tracker_id":40,"status_id":1,"priority_id":2,"assigned_to_id":23,"start_date":"2017-07-19","description":"","custom_fields":[{"id":1,"name":"Subdivision","value":"EC"},{"id":4,"name":"Milepost","value":"23.3345"},{"id":17,"name":"Train ID","value":"231-19"},{"id":16,"name":"Locomotive ID","value":"4032"},{"id":130,"name":"Impact","value":""},{"id":150,"name":"Time of Event (Mountain Time)","value":"22:06:39"},{"id":151,"name":"Denver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9"/>
        <v>start /low /b %USERPROFILE%\Documents\GitHub\eaglep3\Utilities\DownloadLogsFromS3.py --loco 4032 --day 2017-07-19</v>
      </c>
      <c r="AN145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840</v>
      </c>
      <c r="B146" s="7">
        <v>4031</v>
      </c>
      <c r="C146" s="21" t="s">
        <v>199</v>
      </c>
      <c r="D146" s="21" t="s">
        <v>583</v>
      </c>
      <c r="E146" s="13">
        <v>42935.932222222225</v>
      </c>
      <c r="F146" s="13">
        <v>42935.935601851852</v>
      </c>
      <c r="G146" s="7">
        <v>1</v>
      </c>
      <c r="H146" s="21" t="s">
        <v>343</v>
      </c>
      <c r="I146" s="13">
        <v>42935.963645833333</v>
      </c>
      <c r="J146" s="7">
        <v>0</v>
      </c>
      <c r="K146" s="89" t="str">
        <f>IF(ISEVEN(B146),(B146-1)&amp;"/"&amp;B146,B146&amp;"/"&amp;(B146+1))</f>
        <v>4031/4032</v>
      </c>
      <c r="L146" s="21" t="str">
        <f>VLOOKUP(A146,'Trips&amp;Operators'!$C$1:$G$99999,5,FALSE)</f>
        <v>HART KEVIN</v>
      </c>
      <c r="M146" s="6">
        <f>I146-F146</f>
        <v>2.8043981481459923E-2</v>
      </c>
      <c r="N146" s="7">
        <f>24*60*SUM($M146:$M146)</f>
        <v>40.383333333302289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-19T21:22:24-0600',mode:absolute,to:'2017-07-20T00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23.301500000000001</v>
      </c>
      <c r="Z146" s="197">
        <f>RIGHT(H146,LEN(H146)-4)/10000</f>
        <v>1.4999999999999999E-2</v>
      </c>
      <c r="AA146" s="197">
        <f>ABS(Z146-Y146)</f>
        <v>23.2865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232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/stypes="app*4031*20170720*" /stext=" 05:.+((SYSTEM_STATE.+slice.+state.+changed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7"/>
        <v>"%USERPROFILE%\Documents\GitHub\eaglep3\Utilities\RefineRTDCRunTimes.py" --tripid 232-19 --locoid 4031 --swversion DE.1.0.9.0 --startMP 204:233015 --initTime 2017-07-19T22:22:24 --startdatetime 2017-07-19T22:27:16 --delay 1 --endMP 204:150 --enddatetime 2017-07-19T23:07:39 --enforcementcount 0 &gt;&gt;C:\Users\stu\Documents\GitHub\eaglep3-reporting\EC\2017-07-19-refined-times.txt</v>
      </c>
      <c r="AI146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{"issue":{"subject":"","project_id":79,"tracker_id":40,"status_id":1,"priority_id":2,"assigned_to_id":23,"start_date":"2017-07-19","description":"","custom_fields":[{"id":1,"name":"Subdivision","value":"EC"},{"id":4,"name":"Milepost","value":"0.015"},{"id":17,"name":"Train ID","value":"232-19"},{"id":16,"name":"Locomotive ID","value":"4031"},{"id":130,"name":"Impact","value":""},{"id":150,"name":"Time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9"/>
        <v>start /low /b %USERPROFILE%\Documents\GitHub\eaglep3\Utilities\DownloadLogsFromS3.py --loco 4031 --day 2017-07-19</v>
      </c>
      <c r="AN146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05:07:39"},{"id":29,"name":"Sharepoint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837</v>
      </c>
      <c r="B147" s="7">
        <v>4054</v>
      </c>
      <c r="C147" s="21" t="s">
        <v>199</v>
      </c>
      <c r="D147" s="21" t="s">
        <v>920</v>
      </c>
      <c r="E147" s="13">
        <v>42935.901932870373</v>
      </c>
      <c r="F147" s="13">
        <v>42935.917222222219</v>
      </c>
      <c r="G147" s="7">
        <v>1</v>
      </c>
      <c r="H147" s="21" t="s">
        <v>871</v>
      </c>
      <c r="I147" s="13">
        <v>42935.942465277774</v>
      </c>
      <c r="J147" s="7">
        <v>0</v>
      </c>
      <c r="K147" s="89" t="str">
        <f>IF(ISEVEN(B147),(B147-1)&amp;"/"&amp;B147,B147&amp;"/"&amp;(B147+1))</f>
        <v>4053/4054</v>
      </c>
      <c r="L147" s="21" t="str">
        <f>VLOOKUP(A147,'Trips&amp;Operators'!$C$1:$G$99999,5,FALSE)</f>
        <v>CASSIDY BRANDON</v>
      </c>
      <c r="M147" s="6">
        <f>I147-F147</f>
        <v>2.5243055555620231E-2</v>
      </c>
      <c r="N147" s="7">
        <f>24*60*SUM($M147:$M147)</f>
        <v>36.350000000093132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-19T20:38:47-0600',mode:absolute,to:'2017-07-19T23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4.2900000000000001E-2</v>
      </c>
      <c r="Z147" s="197">
        <f>RIGHT(H147,LEN(H147)-4)/10000</f>
        <v>23.331</v>
      </c>
      <c r="AA147" s="197">
        <f>ABS(Z147-Y147)</f>
        <v>23.2881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233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/stypes="app*4054*20170720*" /stext=" 04:.+((SYSTEM_STATE.+slice.+state.+changed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7"/>
        <v>"%USERPROFILE%\Documents\GitHub\eaglep3\Utilities\RefineRTDCRunTimes.py" --tripid 233-19 --locoid 4054 --swversion DE.1.0.9.0 --startMP 204:429 --initTime 2017-07-19T21:38:47 --startdatetime 2017-07-19T22:00:48 --delay 1 --endMP 204:233310 --enddatetime 2017-07-19T22:37:09 --enforcementcount 0 &gt;&gt;C:\Users\stu\Documents\GitHub\eaglep3-reporting\EC\2017-07-19-refined-times.txt</v>
      </c>
      <c r="AI147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{"issue":{"subject":"","project_id":79,"tracker_id":40,"status_id":1,"priority_id":2,"assigned_to_id":23,"start_date":"2017-07-19","description":"","custom_fields":[{"id":1,"name":"Subdivision","value":"EC"},{"id":4,"name":"Milepost","value":"23.331"},{"id":17,"name":"Train ID","value":"233-19"},{"id":16,"name":"Locomotive ID","value":"4054"},{"id":130,"name":"Impact","value":""},{"id":150,"name":"Time of Event (Mountain Time)","value":"22:37:09"},{"id":151,"name":"Denver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9"/>
        <v>start /low /b %USERPROFILE%\Documents\GitHub\eaglep3\Utilities\DownloadLogsFromS3.py --loco 4054 --day 2017-07-19</v>
      </c>
      <c r="AN147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04:37:09"},{"id":29,"name":"Sharepoint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844</v>
      </c>
      <c r="B148" s="7">
        <v>4053</v>
      </c>
      <c r="C148" s="21" t="s">
        <v>199</v>
      </c>
      <c r="D148" s="21" t="s">
        <v>921</v>
      </c>
      <c r="E148" s="13">
        <v>42935.954421296294</v>
      </c>
      <c r="F148" s="13">
        <v>42935.956562500003</v>
      </c>
      <c r="G148" s="7">
        <v>1</v>
      </c>
      <c r="H148" s="21" t="s">
        <v>381</v>
      </c>
      <c r="I148" s="13">
        <v>42935.983831018515</v>
      </c>
      <c r="J148" s="7">
        <v>0</v>
      </c>
      <c r="K148" s="89" t="str">
        <f>IF(ISEVEN(B148),(B148-1)&amp;"/"&amp;B148,B148&amp;"/"&amp;(B148+1))</f>
        <v>4053/4054</v>
      </c>
      <c r="L148" s="21" t="str">
        <f>VLOOKUP(A148,'Trips&amp;Operators'!$C$1:$G$99999,5,FALSE)</f>
        <v>CASSIDY BRANDON</v>
      </c>
      <c r="M148" s="6">
        <f>I148-F148</f>
        <v>2.7268518511846196E-2</v>
      </c>
      <c r="N148" s="7">
        <f>24*60*SUM($M148:$M148)</f>
        <v>39.266666657058522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-19T21:54:22-0600',mode:absolute,to:'2017-07-20T00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23.3004</v>
      </c>
      <c r="Z148" s="197">
        <f>RIGHT(H148,LEN(H148)-4)/10000</f>
        <v>1.54E-2</v>
      </c>
      <c r="AA148" s="197">
        <f>ABS(Z148-Y148)</f>
        <v>23.285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234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/stypes="app*4053*20170720*"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7"/>
        <v>"%USERPROFILE%\Documents\GitHub\eaglep3\Utilities\RefineRTDCRunTimes.py" --tripid 234-19 --locoid 4053 --swversion DE.1.0.9.0 --startMP 204:233004 --initTime 2017-07-19T22:54:22 --startdatetime 2017-07-19T22:57:27 --delay 1 --endMP 204:154 --enddatetime 2017-07-19T23:36:43 --enforcementcount 0 &gt;&gt;C:\Users\stu\Documents\GitHub\eaglep3-reporting\EC\2017-07-19-refined-times.txt</v>
      </c>
      <c r="AI148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{"issue":{"subject":"","project_id":79,"tracker_id":40,"status_id":1,"priority_id":2,"assigned_to_id":23,"start_date":"2017-07-19","description":"","custom_fields":[{"id":1,"name":"Subdivision","value":"EC"},{"id":4,"name":"Milepost","value":"0.0154"},{"id":17,"name":"Train ID","value":"234-19"},{"id":16,"name":"Locomotive ID","value":"4053"},{"id":130,"name":"Impact","value":""},{"id":150,"name":"Time of Event (Mountain Time)","value":"23:36:43"},{"id":151,"name":"Denver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9"/>
        <v>start /low /b %USERPROFILE%\Documents\GitHub\eaglep3\Utilities\DownloadLogsFromS3.py --loco 4053 --day 2017-07-19</v>
      </c>
      <c r="AN148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841</v>
      </c>
      <c r="B149" s="7">
        <v>4030</v>
      </c>
      <c r="C149" s="21" t="s">
        <v>199</v>
      </c>
      <c r="D149" s="21" t="s">
        <v>349</v>
      </c>
      <c r="E149" s="13">
        <v>42935.932384259257</v>
      </c>
      <c r="F149" s="13">
        <v>42935.938009259262</v>
      </c>
      <c r="G149" s="7">
        <v>1</v>
      </c>
      <c r="H149" s="21" t="s">
        <v>415</v>
      </c>
      <c r="I149" s="13">
        <v>42935.963796296295</v>
      </c>
      <c r="J149" s="7">
        <v>0</v>
      </c>
      <c r="K149" s="89" t="str">
        <f>IF(ISEVEN(B149),(B149-1)&amp;"/"&amp;B149,B149&amp;"/"&amp;(B149+1))</f>
        <v>4029/4030</v>
      </c>
      <c r="L149" s="21" t="str">
        <f>VLOOKUP(A149,'Trips&amp;Operators'!$C$1:$G$99999,5,FALSE)</f>
        <v>LAMAR NEKESHA</v>
      </c>
      <c r="M149" s="6">
        <f>I149-F149</f>
        <v>2.5787037033296656E-2</v>
      </c>
      <c r="N149" s="7">
        <f>24*60*SUM($M149:$M149)</f>
        <v>37.133333327947184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-19T21:22:38-0600',mode:absolute,to:'2017-07-20T00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4.53E-2</v>
      </c>
      <c r="Z149" s="197">
        <f>RIGHT(H149,LEN(H149)-4)/10000</f>
        <v>23.331199999999999</v>
      </c>
      <c r="AA149" s="197">
        <f>ABS(Z149-Y149)</f>
        <v>23.285899999999998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235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/stypes="app*4030*20170720*"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7"/>
        <v>"%USERPROFILE%\Documents\GitHub\eaglep3\Utilities\RefineRTDCRunTimes.py" --tripid 235-19 --locoid 4030 --swversion DE.1.0.9.0 --startMP 204:453 --initTime 2017-07-19T22:22:38 --startdatetime 2017-07-19T22:30:44 --delay 1 --endMP 204:233312 --enddatetime 2017-07-19T23:07:52 --enforcementcount 0 &gt;&gt;C:\Users\stu\Documents\GitHub\eaglep3-reporting\EC\2017-07-19-refined-times.txt</v>
      </c>
      <c r="AI149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{"issue":{"subject":"","project_id":79,"tracker_id":40,"status_id":1,"priority_id":2,"assigned_to_id":23,"start_date":"2017-07-19","description":"","custom_fields":[{"id":1,"name":"Subdivision","value":"EC"},{"id":4,"name":"Milepost","value":"23.3312"},{"id":17,"name":"Train ID","value":"235-19"},{"id":16,"name":"Locomotive ID","value":"4030"},{"id":130,"name":"Impact","value":""},{"id":150,"name":"Time of Event (Mountain Time)","value":"23:07:52"},{"id":151,"name":"Denver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9"/>
        <v>start /low /b %USERPROFILE%\Documents\GitHub\eaglep3\Utilities\DownloadLogsFromS3.py --loco 4030 --day 2017-07-19</v>
      </c>
      <c r="AN149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05:07:52"},{"id":29,"name":"Sharepoint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846</v>
      </c>
      <c r="B150" s="7">
        <v>4029</v>
      </c>
      <c r="C150" s="21" t="s">
        <v>199</v>
      </c>
      <c r="D150" s="21" t="s">
        <v>588</v>
      </c>
      <c r="E150" s="13">
        <v>42935.972581018519</v>
      </c>
      <c r="F150" s="13">
        <v>42935.97724537037</v>
      </c>
      <c r="G150" s="7">
        <v>1</v>
      </c>
      <c r="H150" s="21" t="s">
        <v>489</v>
      </c>
      <c r="I150" s="13">
        <v>42936.004351851851</v>
      </c>
      <c r="J150" s="7">
        <v>0</v>
      </c>
      <c r="K150" s="89" t="str">
        <f>IF(ISEVEN(B150),(B150-1)&amp;"/"&amp;B150,B150&amp;"/"&amp;(B150+1))</f>
        <v>4029/4030</v>
      </c>
      <c r="L150" s="21" t="str">
        <f>VLOOKUP(A150,'Trips&amp;Operators'!$C$1:$G$99999,5,FALSE)</f>
        <v>LAMAR NEKESHA</v>
      </c>
      <c r="M150" s="6">
        <f>I150-F150</f>
        <v>2.7106481480586808E-2</v>
      </c>
      <c r="N150" s="7">
        <f>24*60*SUM($M150:$M150)</f>
        <v>39.033333332045004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-19T22:20:31-0600',mode:absolute,to:'2017-07-20T01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23.299800000000001</v>
      </c>
      <c r="Z150" s="197">
        <f>RIGHT(H150,LEN(H150)-4)/10000</f>
        <v>1.29E-2</v>
      </c>
      <c r="AA150" s="197">
        <f>ABS(Z150-Y150)</f>
        <v>23.286900000000003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236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/stypes="app*4029*20170720*" /stext=" 06:.+((SYSTEM_STATE.+slice.+state.+changed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7"/>
        <v>"%USERPROFILE%\Documents\GitHub\eaglep3\Utilities\RefineRTDCRunTimes.py" --tripid 236-19 --locoid 4029 --swversion DE.1.0.9.0 --startMP 204:232998 --initTime 2017-07-19T23:20:31 --startdatetime 2017-07-19T23:27:14 --delay 1 --endMP 204:129 --enddatetime 2017-07-20T00:06:16 --enforcementcount 0 &gt;&gt;C:\Users\stu\Documents\GitHub\eaglep3-reporting\EC\2017-07-19-refined-times.txt</v>
      </c>
      <c r="AI150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{"issue":{"subject":"","project_id":79,"tracker_id":40,"status_id":1,"priority_id":2,"assigned_to_id":23,"start_date":"2017-07-20","description":"","custom_fields":[{"id":1,"name":"Subdivision","value":"EC"},{"id":4,"name":"Milepost","value":"0.0129"},{"id":17,"name":"Train ID","value":"236-19"},{"id":16,"name":"Locomotive ID","value":"4029"},{"id":130,"name":"Impact","value":""},{"id":150,"name":"Time of Event (Mountain Time)","value":"00:06:16"},{"id":151,"name":"Denver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9"/>
        <v>start /low /b %USERPROFILE%\Documents\GitHub\eaglep3\Utilities\DownloadLogsFromS3.py --loco 4029 --day 2017-07-19</v>
      </c>
      <c r="AN150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843</v>
      </c>
      <c r="B151" s="7">
        <v>4028</v>
      </c>
      <c r="C151" s="21" t="s">
        <v>199</v>
      </c>
      <c r="D151" s="21" t="s">
        <v>403</v>
      </c>
      <c r="E151" s="13">
        <v>42935.946863425925</v>
      </c>
      <c r="F151" s="13">
        <v>42935.958912037036</v>
      </c>
      <c r="G151" s="7">
        <v>2</v>
      </c>
      <c r="H151" s="21" t="s">
        <v>595</v>
      </c>
      <c r="I151" s="13">
        <v>42935.985358796293</v>
      </c>
      <c r="J151" s="7">
        <v>0</v>
      </c>
      <c r="K151" s="89" t="str">
        <f>IF(ISEVEN(B151),(B151-1)&amp;"/"&amp;B151,B151&amp;"/"&amp;(B151+1))</f>
        <v>4027/4028</v>
      </c>
      <c r="L151" s="21" t="str">
        <f>VLOOKUP(A151,'Trips&amp;Operators'!$C$1:$G$99999,5,FALSE)</f>
        <v>DUNCAN SHEILA</v>
      </c>
      <c r="M151" s="6">
        <f>I151-F151</f>
        <v>2.6446759256941732E-2</v>
      </c>
      <c r="N151" s="7">
        <f>24*60*SUM($M151:$M151)</f>
        <v>38.083333329996094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-19T21:43:29-0600',mode:absolute,to:'2017-07-20T00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4.5499999999999999E-2</v>
      </c>
      <c r="Z151" s="197">
        <f>RIGHT(H151,LEN(H151)-4)/10000</f>
        <v>23.331700000000001</v>
      </c>
      <c r="AA151" s="197">
        <f>ABS(Z151-Y151)</f>
        <v>23.286200000000001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/stypes="app*4028*20170720*" /stext=" 05:.+((SYSTEM_STATE.+slice.+state.+changed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7"/>
        <v>"%USERPROFILE%\Documents\GitHub\eaglep3\Utilities\RefineRTDCRunTimes.py" --tripid 237-19 --locoid 4028 --swversion DE.1.0.9.0 --startMP 204:455 --initTime 2017-07-19T22:43:29 --startdatetime 2017-07-19T23:00:50 --delay 2 --endMP 204:233317 --enddatetime 2017-07-19T23:38:55 --enforcementcount 0 &gt;&gt;C:\Users\stu\Documents\GitHub\eaglep3-reporting\EC\2017-07-19-refined-times.txt</v>
      </c>
      <c r="AI151" s="96" t="str">
        <f t="shared" si="18"/>
        <v>echo {"issue":{"subject":"","project_id":79,"tracker_id":40,"status_id":1,"priority_id":2,"assigned_to_id":23,"start_date":"2017-07-19","description":"","custom_fields":[{"id":1,"name":"Subdivision","value":"EC"},{"id":4,"name":"Milepost","value":"23.3317"},{"id":17,"name":"Train ID","value":"237-19"},{"id":16,"name":"Locomotive ID","value":"4028"},{"id":130,"name":"Impact","value":""},{"id":150,"name":"Time of Event (Mountain Time)","value":"23:38:55"},{"id":151,"name":"Denver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19"/>
        <v>start /low /b %USERPROFILE%\Documents\GitHub\eaglep3\Utilities\DownloadLogsFromS3.py --loco 4028 --day 2017-07-19</v>
      </c>
      <c r="AN151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05:38:55"},{"id":29,"name":"Sharepoint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848</v>
      </c>
      <c r="B152" s="7">
        <v>4027</v>
      </c>
      <c r="C152" s="21" t="s">
        <v>199</v>
      </c>
      <c r="D152" s="21" t="s">
        <v>922</v>
      </c>
      <c r="E152" s="13">
        <v>42935.995474537034</v>
      </c>
      <c r="F152" s="13">
        <v>42935.998194444444</v>
      </c>
      <c r="G152" s="7">
        <v>1</v>
      </c>
      <c r="H152" s="21" t="s">
        <v>344</v>
      </c>
      <c r="I152" s="13">
        <v>42936.026041666664</v>
      </c>
      <c r="J152" s="7">
        <v>0</v>
      </c>
      <c r="K152" s="89" t="str">
        <f>IF(ISEVEN(B152),(B152-1)&amp;"/"&amp;B152,B152&amp;"/"&amp;(B152+1))</f>
        <v>4027/4028</v>
      </c>
      <c r="L152" s="21" t="str">
        <f>VLOOKUP(A152,'Trips&amp;Operators'!$C$1:$G$99999,5,FALSE)</f>
        <v>DUNCAN SHEILA</v>
      </c>
      <c r="M152" s="6">
        <f>I152-F152</f>
        <v>2.7847222219861578E-2</v>
      </c>
      <c r="N152" s="7">
        <f>24*60*SUM($M152:$M152)</f>
        <v>40.099999996600673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-19T22:53:29-0600',mode:absolute,to:'2017-07-20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23.3</v>
      </c>
      <c r="Z152" s="197">
        <f>RIGHT(H152,LEN(H152)-4)/10000</f>
        <v>1.49E-2</v>
      </c>
      <c r="AA152" s="197">
        <f>ABS(Z152-Y152)</f>
        <v>23.2851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s3://rtdc.mdm.uploadarchive.raw/RTDC4027/ "%USERPROFILE%\AppData\Local\Temp\OnboardLogs"\RTDC4027\2017-07-19 --exclude "*" --recursive --include "*20170719*" &amp; "%USERPROFILE%\Documents\GitHub\mrs-test-scripts\Headless Mode &amp; Sideloading\WalkAndUnGZ.bat" "%USERPROFILE%\AppData\Local\Temp\OnboardLogs"\RTDC4027\2017-07-19 &amp; aws s3 cp s3://rtdc.mdm.uploadarchive.raw/RTDC4027/ "%USERPROFILE%\AppData\Local\Temp\OnboardLogs"\RTDC4027\2017-07-20 --exclude "*" --recursive --include "*20170720*" &amp; "%USERPROFILE%\Documents\GitHub\mrs-test-scripts\Headless Mode &amp; Sideloading\WalkAndUnGZ.bat" "%USERPROFILE%\AppData\Local\Temp\OnboardLogs"\RTDC4027\2017-07-20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/stypes="app*4027*20170720*" /stext=" 06:.+((SYSTEM_STATE.+slice.+state.+changed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7"/>
        <v>"%USERPROFILE%\Documents\GitHub\eaglep3\Utilities\RefineRTDCRunTimes.py" --tripid 238-19 --locoid 4027 --swversion DE.1.0.9.0 --startMP 204:233000 --initTime 2017-07-19T23:53:29 --startdatetime 2017-07-19T23:57:24 --delay 1 --endMP 204:149 --enddatetime 2017-07-20T00:37:30 --enforcementcount 0 &gt;&gt;C:\Users\stu\Documents\GitHub\eaglep3-reporting\EC\2017-07-19-refined-times.txt</v>
      </c>
      <c r="AI152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{"issue":{"subject":"","project_id":79,"tracker_id":40,"status_id":1,"priority_id":2,"assigned_to_id":23,"start_date":"2017-07-20","description":"","custom_fields":[{"id":1,"name":"Subdivision","value":"EC"},{"id":4,"name":"Milepost","value":"0.0149"},{"id":17,"name":"Train ID","value":"238-19"},{"id":16,"name":"Locomotive ID","value":"4027"},{"id":130,"name":"Impact","value":""},{"id":150,"name":"Time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19"/>
        <v>start /low /b %USERPROFILE%\Documents\GitHub\eaglep3\Utilities\DownloadLogsFromS3.py --loco 4027 --day 2017-07-19</v>
      </c>
      <c r="AN152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845</v>
      </c>
      <c r="B153" s="7">
        <v>4032</v>
      </c>
      <c r="C153" s="21" t="s">
        <v>199</v>
      </c>
      <c r="D153" s="21" t="s">
        <v>350</v>
      </c>
      <c r="E153" s="13">
        <v>42935.964675925927</v>
      </c>
      <c r="F153" s="13">
        <v>42935.980405092596</v>
      </c>
      <c r="G153" s="7">
        <v>1</v>
      </c>
      <c r="H153" s="21" t="s">
        <v>905</v>
      </c>
      <c r="I153" s="13">
        <v>42936.006724537037</v>
      </c>
      <c r="J153" s="7">
        <v>0</v>
      </c>
      <c r="K153" s="89" t="str">
        <f>IF(ISEVEN(B153),(B153-1)&amp;"/"&amp;B153,B153&amp;"/"&amp;(B153+1))</f>
        <v>4031/4032</v>
      </c>
      <c r="L153" s="21" t="str">
        <f>VLOOKUP(A153,'Trips&amp;Operators'!$C$1:$G$99999,5,FALSE)</f>
        <v>HAITHCOX MICHAEL</v>
      </c>
      <c r="M153" s="6">
        <f>I153-F153</f>
        <v>2.6319444441469386E-2</v>
      </c>
      <c r="N153" s="7">
        <f>24*60*SUM($M153:$M153)</f>
        <v>37.899999995715916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-19T22:09:08-0600',mode:absolute,to:'2017-07-20T01:09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4.4699999999999997E-2</v>
      </c>
      <c r="Z153" s="197">
        <f>RIGHT(H153,LEN(H153)-4)/10000</f>
        <v>23.3276</v>
      </c>
      <c r="AA153" s="197">
        <f>ABS(Z153-Y153)</f>
        <v>23.282900000000001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s3://rtdc.mdm.uploadarchive.raw/RTDC4032/ "%USERPROFILE%\AppData\Local\Temp\OnboardLogs"\RTDC4032\2017-07-19 --exclude "*" --recursive --include "*20170719*" &amp; "%USERPROFILE%\Documents\GitHub\mrs-test-scripts\Headless Mode &amp; Sideloading\WalkAndUnGZ.bat" "%USERPROFILE%\AppData\Local\Temp\OnboardLogs"\RTDC4032\2017-07-19 &amp; 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/stypes="app*4032*20170720*"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7"/>
        <v>"%USERPROFILE%\Documents\GitHub\eaglep3\Utilities\RefineRTDCRunTimes.py" --tripid 239-19 --locoid 4032 --swversion DE.1.0.9.0 --startMP 204:447 --initTime 2017-07-19T23:09:08 --startdatetime 2017-07-19T23:31:47 --delay 1 --endMP 204:233276 --enddatetime 2017-07-20T00:09:41 --enforcementcount 0 &gt;&gt;C:\Users\stu\Documents\GitHub\eaglep3-reporting\EC\2017-07-19-refined-times.txt</v>
      </c>
      <c r="AI153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{"issue":{"subject":"","project_id":79,"tracker_id":40,"status_id":1,"priority_id":2,"assigned_to_id":23,"start_date":"2017-07-20","description":"","custom_fields":[{"id":1,"name":"Subdivision","value":"EC"},{"id":4,"name":"Milepost","value":"23.3276"},{"id":17,"name":"Train ID","value":"239-19"},{"id":16,"name":"Locomotive ID","value":"4032"},{"id":130,"name":"Impact","value":""},{"id":150,"name":"Time of Event (Mountain Time)","value":"00:09:41"},{"id":151,"name":"Denver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9"/>
        <v>start /low /b %USERPROFILE%\Documents\GitHub\eaglep3\Utilities\DownloadLogsFromS3.py --loco 4032 --day 2017-07-19</v>
      </c>
      <c r="AN153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06:09:41"},{"id":29,"name":"Sharepoint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643</v>
      </c>
      <c r="B154" s="7">
        <v>4031</v>
      </c>
      <c r="C154" s="21" t="s">
        <v>199</v>
      </c>
      <c r="D154" s="21" t="s">
        <v>591</v>
      </c>
      <c r="E154" s="13">
        <v>42936.016469907408</v>
      </c>
      <c r="F154" s="13">
        <v>42936.01934027778</v>
      </c>
      <c r="G154" s="7">
        <v>1</v>
      </c>
      <c r="H154" s="21" t="s">
        <v>923</v>
      </c>
      <c r="I154" s="13">
        <v>42936.047256944446</v>
      </c>
      <c r="J154" s="7">
        <v>0</v>
      </c>
      <c r="K154" s="89" t="str">
        <f>IF(ISEVEN(B154),(B154-1)&amp;"/"&amp;B154,B154&amp;"/"&amp;(B154+1))</f>
        <v>4031/4032</v>
      </c>
      <c r="L154" s="21" t="str">
        <f>VLOOKUP(A154,'Trips&amp;Operators'!$C$1:$G$99999,5,FALSE)</f>
        <v>HAITHCOX MICHAEL</v>
      </c>
      <c r="M154" s="6">
        <f>I154-F154</f>
        <v>2.7916666665987577E-2</v>
      </c>
      <c r="N154" s="7">
        <f>24*60*SUM($M154:$M154)</f>
        <v>40.199999999022111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-19T23:23:43-0600',mode:absolute,to:'2017-07-20T02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23.2959</v>
      </c>
      <c r="Z154" s="197">
        <f>RIGHT(H154,LEN(H154)-4)/10000</f>
        <v>1.5100000000000001E-2</v>
      </c>
      <c r="AA154" s="197">
        <f>ABS(Z154-Y154)</f>
        <v>23.280799999999999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 &amp; 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/stypes="app*4031*20170720*" /stext=" 07:.+((SYSTEM_STATE.+slice.+state.+changed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7"/>
        <v>"%USERPROFILE%\Documents\GitHub\eaglep3\Utilities\RefineRTDCRunTimes.py" --tripid 240-19 --locoid 4031 --swversion DE.1.0.9.0 --startMP 204:232959 --initTime 2017-07-20T00:23:43 --startdatetime 2017-07-20T00:27:51 --delay 1 --endMP 204:151 --enddatetime 2017-07-20T01:08:03 --enforcementcount 0 &gt;&gt;C:\Users\stu\Documents\GitHub\eaglep3-reporting\EC\2017-07-19-refined-times.txt</v>
      </c>
      <c r="AI154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{"issue":{"subject":"","project_id":79,"tracker_id":40,"status_id":1,"priority_id":2,"assigned_to_id":23,"start_date":"2017-07-20","description":"","custom_fields":[{"id":1,"name":"Subdivision","value":"EC"},{"id":4,"name":"Milepost","value":"0.0151"},{"id":17,"name":"Train ID","value":"240-19"},{"id":16,"name":"Locomotive ID","value":"4031"},{"id":130,"name":"Impact","value":""},{"id":150,"name":"Time of Event (Mountain Time)","value":"01:08:03"},{"id":151,"name":"Denver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19"/>
        <v>start /low /b %USERPROFILE%\Documents\GitHub\eaglep3\Utilities\DownloadLogsFromS3.py --loco 4031 --day 2017-07-20</v>
      </c>
      <c r="AN154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07:08:03"},{"id":29,"name":"Sharepoint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847</v>
      </c>
      <c r="B155" s="7">
        <v>4054</v>
      </c>
      <c r="C155" s="21" t="s">
        <v>199</v>
      </c>
      <c r="D155" s="21" t="s">
        <v>380</v>
      </c>
      <c r="E155" s="13">
        <v>42935.990995370368</v>
      </c>
      <c r="F155" s="13">
        <v>42936.000543981485</v>
      </c>
      <c r="G155" s="7">
        <v>1</v>
      </c>
      <c r="H155" s="21" t="s">
        <v>593</v>
      </c>
      <c r="I155" s="13">
        <v>42936.025787037041</v>
      </c>
      <c r="J155" s="7">
        <v>0</v>
      </c>
      <c r="K155" s="89" t="str">
        <f>IF(ISEVEN(B155),(B155-1)&amp;"/"&amp;B155,B155&amp;"/"&amp;(B155+1))</f>
        <v>4053/4054</v>
      </c>
      <c r="L155" s="21" t="str">
        <f>VLOOKUP(A155,'Trips&amp;Operators'!$C$1:$G$99999,5,FALSE)</f>
        <v>CASSIDY BRANDON</v>
      </c>
      <c r="M155" s="6">
        <f>I155-F155</f>
        <v>2.5243055555620231E-2</v>
      </c>
      <c r="N155" s="7">
        <f>24*60*SUM($M155:$M155)</f>
        <v>36.350000000093132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-19T22:47:02-0600',mode:absolute,to:'2017-07-20T01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4.6199999999999998E-2</v>
      </c>
      <c r="Z155" s="197">
        <f>RIGHT(H155,LEN(H155)-4)/10000</f>
        <v>23.33</v>
      </c>
      <c r="AA155" s="197">
        <f>ABS(Z155-Y155)</f>
        <v>23.283799999999999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 &amp; 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/stypes="app*4054*20170720*" /stext=" 06:.+((SYSTEM_STATE.+slice.+state.+changed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7"/>
        <v>"%USERPROFILE%\Documents\GitHub\eaglep3\Utilities\RefineRTDCRunTimes.py" --tripid 241-19 --locoid 4054 --swversion DE.1.0.9.0 --startMP 204:462 --initTime 2017-07-19T23:47:02 --startdatetime 2017-07-20T00:00:47 --delay 1 --endMP 204:233300 --enddatetime 2017-07-20T00:37:08 --enforcementcount 0 &gt;&gt;C:\Users\stu\Documents\GitHub\eaglep3-reporting\EC\2017-07-19-refined-times.txt</v>
      </c>
      <c r="AI155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{"issue":{"subject":"","project_id":79,"tracker_id":40,"status_id":1,"priority_id":2,"assigned_to_id":23,"start_date":"2017-07-20","description":"","custom_fields":[{"id":1,"name":"Subdivision","value":"EC"},{"id":4,"name":"Milepost","value":"23.33"},{"id":17,"name":"Train ID","value":"241-19"},{"id":16,"name":"Locomotive ID","value":"4054"},{"id":130,"name":"Impact","value":""},{"id":150,"name":"Time of Event (Mountain Time)","value":"00:37:08"},{"id":151,"name":"Denver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9"/>
        <v>start /low /b %USERPROFILE%\Documents\GitHub\eaglep3\Utilities\DownloadLogsFromS3.py --loco 4054 --day 2017-07-20</v>
      </c>
      <c r="AN155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851</v>
      </c>
      <c r="B156" s="7">
        <v>4053</v>
      </c>
      <c r="C156" s="21" t="s">
        <v>199</v>
      </c>
      <c r="D156" s="21" t="s">
        <v>540</v>
      </c>
      <c r="E156" s="13">
        <v>42936.033101851855</v>
      </c>
      <c r="F156" s="13">
        <v>42936.039861111109</v>
      </c>
      <c r="G156" s="7">
        <v>1</v>
      </c>
      <c r="H156" s="21" t="s">
        <v>391</v>
      </c>
      <c r="I156" s="13">
        <v>42936.066250000003</v>
      </c>
      <c r="J156" s="7">
        <v>0</v>
      </c>
      <c r="K156" s="89" t="str">
        <f>IF(ISEVEN(B156),(B156-1)&amp;"/"&amp;B156,B156&amp;"/"&amp;(B156+1))</f>
        <v>4053/4054</v>
      </c>
      <c r="L156" s="21" t="str">
        <f>VLOOKUP(A156,'Trips&amp;Operators'!$C$1:$G$99999,5,FALSE)</f>
        <v>CASSIDY BRANDON</v>
      </c>
      <c r="M156" s="6">
        <f>I156-F156</f>
        <v>2.6388888894871343E-2</v>
      </c>
      <c r="N156" s="7">
        <f>24*60*SUM($M156:$M156)</f>
        <v>38.000000008614734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-19T23:47:40-0600',mode:absolute,to:'2017-07-20T02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23.298500000000001</v>
      </c>
      <c r="Z156" s="197">
        <f>RIGHT(H156,LEN(H156)-4)/10000</f>
        <v>1.5599999999999999E-2</v>
      </c>
      <c r="AA156" s="197">
        <f>ABS(Z156-Y156)</f>
        <v>23.282900000000001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 &amp; aws s3 cp s3://rtdc.mdm.uploadarchive.raw/RTDC4053/ "%USERPROFILE%\AppData\Local\Temp\OnboardLogs"\RTDC4053\2017-07-21 --exclude "*" --recursive --include "*20170721*" &amp; "%USERPROFILE%\Documents\GitHub\mrs-test-scripts\Headless Mode &amp; Sideloading\WalkAndUnGZ.bat" "%USERPROFILE%\AppData\Local\Temp\OnboardLogs"\RTDC4053\2017-07-21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/stypes="app*4053*20170720*" /stext=" 07:.+((SYSTEM_STATE.+slice.+state.+changed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7"/>
        <v>"%USERPROFILE%\Documents\GitHub\eaglep3\Utilities\RefineRTDCRunTimes.py" --tripid 242-19 --locoid 4053 --swversion DE.1.0.9.0 --startMP 204:232985 --initTime 2017-07-20T00:47:40 --startdatetime 2017-07-20T00:57:24 --delay 1 --endMP 204:156 --enddatetime 2017-07-20T01:35:24 --enforcementcount 0 &gt;&gt;C:\Users\stu\Documents\GitHub\eaglep3-reporting\EC\2017-07-19-refined-times.txt</v>
      </c>
      <c r="AI156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{"issue":{"subject":"","project_id":79,"tracker_id":40,"status_id":1,"priority_id":2,"assigned_to_id":23,"start_date":"2017-07-20","description":"","custom_fields":[{"id":1,"name":"Subdivision","value":"EC"},{"id":4,"name":"Milepost","value":"0.0156"},{"id":17,"name":"Train ID","value":"242-19"},{"id":16,"name":"Locomotive ID","value":"4053"},{"id":130,"name":"Impact","value":""},{"id":150,"name":"Time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9"/>
        <v>start /low /b %USERPROFILE%\Documents\GitHub\eaglep3\Utilities\DownloadLogsFromS3.py --loco 4053 --day 2017-07-20</v>
      </c>
      <c r="AN156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849</v>
      </c>
      <c r="B157" s="7">
        <v>4030</v>
      </c>
      <c r="C157" s="21" t="s">
        <v>199</v>
      </c>
      <c r="D157" s="21" t="s">
        <v>924</v>
      </c>
      <c r="E157" s="13">
        <v>42936.018148148149</v>
      </c>
      <c r="F157" s="13">
        <v>42936.02134259259</v>
      </c>
      <c r="G157" s="7">
        <v>1</v>
      </c>
      <c r="H157" s="21" t="s">
        <v>862</v>
      </c>
      <c r="I157" s="13">
        <v>42936.04587962963</v>
      </c>
      <c r="J157" s="7">
        <v>0</v>
      </c>
      <c r="K157" s="89" t="str">
        <f>IF(ISEVEN(B157),(B157-1)&amp;"/"&amp;B157,B157&amp;"/"&amp;(B157+1))</f>
        <v>4029/4030</v>
      </c>
      <c r="L157" s="21" t="str">
        <f>VLOOKUP(A157,'Trips&amp;Operators'!$C$1:$G$99999,5,FALSE)</f>
        <v>LAMAR NEKESHA</v>
      </c>
      <c r="M157" s="6">
        <f>I157-F157</f>
        <v>2.453703703940846E-2</v>
      </c>
      <c r="N157" s="7">
        <f>24*60*SUM($M157:$M157)</f>
        <v>35.333333336748183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-19T23:26:08-0600',mode:absolute,to:'2017-07-20T02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4.7699999999999999E-2</v>
      </c>
      <c r="Z157" s="197">
        <f>RIGHT(H157,LEN(H157)-4)/10000</f>
        <v>23.328199999999999</v>
      </c>
      <c r="AA157" s="197">
        <f>ABS(Z157-Y157)</f>
        <v>23.2805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 &amp; 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/stypes="app*4030*20170720*" /stext=" 07:.+((SYSTEM_STATE.+slice.+state.+changed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7"/>
        <v>"%USERPROFILE%\Documents\GitHub\eaglep3\Utilities\RefineRTDCRunTimes.py" --tripid 243-19 --locoid 4030 --swversion DE.1.0.9.0 --startMP 204:477 --initTime 2017-07-20T00:26:08 --startdatetime 2017-07-20T00:30:44 --delay 1 --endMP 204:233282 --enddatetime 2017-07-20T01:06:04 --enforcementcount 0 &gt;&gt;C:\Users\stu\Documents\GitHub\eaglep3-reporting\EC\2017-07-19-refined-times.txt</v>
      </c>
      <c r="AI157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{"issue":{"subject":"","project_id":79,"tracker_id":40,"status_id":1,"priority_id":2,"assigned_to_id":23,"start_date":"2017-07-20","description":"","custom_fields":[{"id":1,"name":"Subdivision","value":"EC"},{"id":4,"name":"Milepost","value":"23.3282"},{"id":17,"name":"Train ID","value":"243-19"},{"id":16,"name":"Locomotive ID","value":"4030"},{"id":130,"name":"Impact","value":""},{"id":150,"name":"Time of Event (Mountain Time)","value":"01:06:04"},{"id":151,"name":"Denver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9"/>
        <v>start /low /b %USERPROFILE%\Documents\GitHub\eaglep3\Utilities\DownloadLogsFromS3.py --loco 4030 --day 2017-07-20</v>
      </c>
      <c r="AN157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07:06:04"},{"id":29,"name":"Sharepoint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852</v>
      </c>
      <c r="B158" s="7">
        <v>4029</v>
      </c>
      <c r="C158" s="21" t="s">
        <v>199</v>
      </c>
      <c r="D158" s="21" t="s">
        <v>516</v>
      </c>
      <c r="E158" s="13">
        <v>42936.047939814816</v>
      </c>
      <c r="F158" s="13">
        <v>42936.061747685184</v>
      </c>
      <c r="G158" s="7">
        <v>14</v>
      </c>
      <c r="H158" s="21" t="s">
        <v>461</v>
      </c>
      <c r="I158" s="13">
        <v>42936.087534722225</v>
      </c>
      <c r="J158" s="7">
        <v>0</v>
      </c>
      <c r="K158" s="89" t="str">
        <f>IF(ISEVEN(B158),(B158-1)&amp;"/"&amp;B158,B158&amp;"/"&amp;(B158+1))</f>
        <v>4029/4030</v>
      </c>
      <c r="L158" s="21" t="str">
        <f>VLOOKUP(A158,'Trips&amp;Operators'!$C$1:$G$99999,5,FALSE)</f>
        <v>LAMAR NEKESHA</v>
      </c>
      <c r="M158" s="6">
        <f>I158-F158</f>
        <v>2.5787037040572613E-2</v>
      </c>
      <c r="N158" s="7">
        <f>24*60*SUM($M158:$M158)</f>
        <v>37.133333338424563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-20T00:09:02-0600',mode:absolute,to:'2017-07-20T03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23.296700000000001</v>
      </c>
      <c r="Z158" s="197">
        <f>RIGHT(H158,LEN(H158)-4)/10000</f>
        <v>1.61E-2</v>
      </c>
      <c r="AA158" s="197">
        <f>ABS(Z158-Y158)</f>
        <v>23.2806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 &amp; aws s3 cp s3://rtdc.mdm.uploadarchive.raw/RTDC4029/ "%USERPROFILE%\AppData\Local\Temp\OnboardLogs"\RTDC4029\2017-07-21 --exclude "*" --recursive --include "*20170721*" &amp; "%USERPROFILE%\Documents\GitHub\mrs-test-scripts\Headless Mode &amp; Sideloading\WalkAndUnGZ.bat" "%USERPROFILE%\AppData\Local\Temp\OnboardLogs"\RTDC4029\2017-07-21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/stypes="app*4029*20170720*" /stext=" 08:.+((SYSTEM_STATE.+slice.+state.+changed )|(ment ac)|(multiple cpu faults)|(system.+state.+changed )|(\[timeout)|(PRM\|1\|D)|(kpr)|(kdp)|(train st.+moving)|(\|lc)|(penalty))"</v>
      </c>
      <c r="AG158" s="209" t="str">
        <f>DetSubdiv(A158)</f>
        <v>EC</v>
      </c>
      <c r="AH158" s="78" t="str">
        <f t="shared" si="17"/>
        <v>"%USERPROFILE%\Documents\GitHub\eaglep3\Utilities\RefineRTDCRunTimes.py" --tripid 244-19 --locoid 4029 --swversion DE.1.0.9.0 --startMP 204:232967 --initTime 2017-07-20T01:09:02 --startdatetime 2017-07-20T01:28:55 --delay 14 --endMP 204:161 --enddatetime 2017-07-20T02:06:03 --enforcementcount 0 &gt;&gt;C:\Users\stu\Documents\GitHub\eaglep3-reporting\EC\2017-07-19-refined-times.txt</v>
      </c>
      <c r="AI158" s="96" t="str">
        <f t="shared" si="18"/>
        <v>echo {"issue":{"subject":"","project_id":79,"tracker_id":40,"status_id":1,"priority_id":2,"assigned_to_id":23,"start_date":"2017-07-20","description":"","custom_fields":[{"id":1,"name":"Subdivision","value":"EC"},{"id":4,"name":"Milepost","value":"0.0161"},{"id":17,"name":"Train ID","value":"244-19"},{"id":16,"name":"Locomotive ID","value":"4029"},{"id":130,"name":"Impact","value":""},{"id":150,"name":"Time of Event (Mountain Time)","value":"02:06:03"},{"id":151,"name":"Denver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9"/>
        <v>start /low /b %USERPROFILE%\Documents\GitHub\eaglep3\Utilities\DownloadLogsFromS3.py --loco 4029 --day 2017-07-20</v>
      </c>
      <c r="AN158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666</v>
      </c>
      <c r="B159" s="7">
        <v>4059</v>
      </c>
      <c r="C159" s="21" t="s">
        <v>199</v>
      </c>
      <c r="D159" s="21" t="s">
        <v>960</v>
      </c>
      <c r="E159" s="13">
        <v>42935.212835648148</v>
      </c>
      <c r="F159" s="13">
        <v>42935.214803240742</v>
      </c>
      <c r="G159" s="7">
        <v>1</v>
      </c>
      <c r="H159" s="21" t="s">
        <v>961</v>
      </c>
      <c r="I159" s="13">
        <v>42935.225763888891</v>
      </c>
      <c r="J159" s="7">
        <v>0</v>
      </c>
      <c r="K159" s="89" t="str">
        <f>IF(ISEVEN(B159),(B159-1)&amp;"/"&amp;B159,B159&amp;"/"&amp;(B159+1))</f>
        <v>4059/4060</v>
      </c>
      <c r="L159" s="21" t="str">
        <f>VLOOKUP(A159,'Trips&amp;Operators'!$C$1:$G$99999,5,FALSE)</f>
        <v>MACDONALD THOMAS</v>
      </c>
      <c r="M159" s="6">
        <f>I159-F159</f>
        <v>1.096064814919373E-2</v>
      </c>
      <c r="N159" s="7">
        <f>24*60*SUM($M159:$M159)</f>
        <v>15.783333334838971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-19T04:06:29-0600',mode:absolute,to:'2017-07-19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556</v>
      </c>
      <c r="Y159" s="197">
        <f>RIGHT(D159,LEN(D159)-4)/10000</f>
        <v>5.8620999999999999</v>
      </c>
      <c r="Z159" s="197">
        <f>RIGHT(H159,LEN(H159)-4)/10000</f>
        <v>7.5700000000000003E-2</v>
      </c>
      <c r="AA159" s="197">
        <f>ABS(Z159-Y159)</f>
        <v>5.7863999999999995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/stypes="app*4059*20170719*" /stext=" 11:.+((SYSTEM_STATE.+slice.+state.+changed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7"/>
        <v>"%USERPROFILE%\Documents\GitHub\eaglep3\Utilities\RefineRTDCRunTimes.py" --tripid 800-19 --locoid 4059 --swversion DE.1.0.9.0 --startMP 300:58621 --initTime 2017-07-19T05:06:29 --startdatetime 2017-07-19T05:09:19 --delay 1 --endMP 204:757 --enddatetime 2017-07-19T05:25:06 --enforcementcount 0 &gt;&gt;C:\Users\stu\Documents\GitHub\eaglep3-reporting\EC\2017-07-19-refined-times.txt</v>
      </c>
      <c r="AI159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{"issue":{"subject":"","project_id":79,"tracker_id":40,"status_id":1,"priority_id":2,"assigned_to_id":23,"start_date":"2017-07-19","description":"","custom_fields":[{"id":1,"name":"Subdivision","value":"NW"},{"id":4,"name":"Milepost","value":"0.0757"},{"id":17,"name":"Train ID","value":"800-19"},{"id":16,"name":"Locomotive ID","value":"4059"},{"id":130,"name":"Impact","value":""},{"id":150,"name":"Time of Event (Mountain Time)","value":"05:25:06"},{"id":151,"name":"Denver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9"/>
        <v>start /low /b %USERPROFILE%\Documents\GitHub\eaglep3\Utilities\DownloadLogsFromS3.py --loco 4059 --day 2017-07-19</v>
      </c>
      <c r="AN159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674</v>
      </c>
      <c r="B160" s="7">
        <v>4060</v>
      </c>
      <c r="C160" s="21" t="s">
        <v>199</v>
      </c>
      <c r="D160" s="21" t="s">
        <v>962</v>
      </c>
      <c r="E160" s="13">
        <v>42935.229583333334</v>
      </c>
      <c r="F160" s="13">
        <v>42935.244155092594</v>
      </c>
      <c r="G160" s="7">
        <v>1</v>
      </c>
      <c r="H160" s="21" t="s">
        <v>963</v>
      </c>
      <c r="I160" s="13">
        <v>42935.25371527778</v>
      </c>
      <c r="J160" s="7">
        <v>0</v>
      </c>
      <c r="K160" s="89" t="str">
        <f>IF(ISEVEN(B160),(B160-1)&amp;"/"&amp;B160,B160&amp;"/"&amp;(B160+1))</f>
        <v>4059/4060</v>
      </c>
      <c r="L160" s="21" t="str">
        <f>VLOOKUP(A160,'Trips&amp;Operators'!$C$1:$G$99999,5,FALSE)</f>
        <v>MACDONALD THOMAS</v>
      </c>
      <c r="M160" s="6">
        <f>I160-F160</f>
        <v>9.560185186273884E-3</v>
      </c>
      <c r="N160" s="7">
        <f>24*60*SUM($M160:$M160)</f>
        <v>13.766666668234393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-19T04:30:36-0600',mode:absolute,to:'2017-07-19T07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0.1051</v>
      </c>
      <c r="Z160" s="197">
        <f>RIGHT(H160,LEN(H160)-4)/10000</f>
        <v>5.8902999999999999</v>
      </c>
      <c r="AA160" s="197">
        <f>ABS(Z160-Y160)</f>
        <v>5.7851999999999997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/stypes="app*4060*20170719*"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7"/>
        <v>"%USERPROFILE%\Documents\GitHub\eaglep3\Utilities\RefineRTDCRunTimes.py" --tripid 801-19 --locoid 4060 --swversion DE.1.0.9.0 --startMP 204:1051 --initTime 2017-07-19T05:30:36 --startdatetime 2017-07-19T05:51:35 --delay 1 --endMP 300:58903 --enddatetime 2017-07-19T06:05:21 --enforcementcount 0 &gt;&gt;C:\Users\stu\Documents\GitHub\eaglep3-reporting\EC\2017-07-19-refined-times.txt</v>
      </c>
      <c r="AI160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{"issue":{"subject":"","project_id":79,"tracker_id":40,"status_id":1,"priority_id":2,"assigned_to_id":23,"start_date":"2017-07-19","description":"","custom_fields":[{"id":1,"name":"Subdivision","value":"NW"},{"id":4,"name":"Milepost","value":"5.8903"},{"id":17,"name":"Train ID","value":"801-19"},{"id":16,"name":"Locomotive ID","value":"4060"},{"id":130,"name":"Impact","value":""},{"id":150,"name":"Time of Event (Mountain Time)","value":"06:05:21"},{"id":151,"name":"Denver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9"/>
        <v>start /low /b %USERPROFILE%\Documents\GitHub\eaglep3\Utilities\DownloadLogsFromS3.py --loco 4060 --day 2017-07-19</v>
      </c>
      <c r="AN160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680</v>
      </c>
      <c r="B161" s="7">
        <v>4059</v>
      </c>
      <c r="C161" s="21" t="s">
        <v>199</v>
      </c>
      <c r="D161" s="21" t="s">
        <v>964</v>
      </c>
      <c r="E161" s="13">
        <v>42935.254861111112</v>
      </c>
      <c r="F161" s="13">
        <v>42935.256585648145</v>
      </c>
      <c r="G161" s="7">
        <v>1</v>
      </c>
      <c r="H161" s="21" t="s">
        <v>604</v>
      </c>
      <c r="I161" s="13">
        <v>42935.267951388887</v>
      </c>
      <c r="J161" s="7">
        <v>0</v>
      </c>
      <c r="K161" s="89" t="str">
        <f>IF(ISEVEN(B161),(B161-1)&amp;"/"&amp;B161,B161&amp;"/"&amp;(B161+1))</f>
        <v>4059/4060</v>
      </c>
      <c r="L161" s="21" t="str">
        <f>VLOOKUP(A161,'Trips&amp;Operators'!$C$1:$G$99999,5,FALSE)</f>
        <v>MACDONALD THOMAS</v>
      </c>
      <c r="M161" s="6">
        <f>I161-F161</f>
        <v>1.1365740741894115E-2</v>
      </c>
      <c r="N161" s="7">
        <f>24*60*SUM($M161:$M161)</f>
        <v>16.366666668327525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-19T05:07:00-0600',mode:absolute,to:'2017-07-19T07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5.8586999999999998</v>
      </c>
      <c r="Z161" s="197">
        <f>RIGHT(H161,LEN(H161)-4)/10000</f>
        <v>7.2599999999999998E-2</v>
      </c>
      <c r="AA161" s="197">
        <f>ABS(Z161-Y161)</f>
        <v>5.7860999999999994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/stypes="app*4059*20170719*"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7"/>
        <v>"%USERPROFILE%\Documents\GitHub\eaglep3\Utilities\RefineRTDCRunTimes.py" --tripid 802-19 --locoid 4059 --swversion DE.1.0.9.0 --startMP 300:58587 --initTime 2017-07-19T06:07:00 --startdatetime 2017-07-19T06:09:29 --delay 1 --endMP 204:726 --enddatetime 2017-07-19T06:25:51 --enforcementcount 0 &gt;&gt;C:\Users\stu\Documents\GitHub\eaglep3-reporting\EC\2017-07-19-refined-times.txt</v>
      </c>
      <c r="AI161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{"issue":{"subject":"","project_id":79,"tracker_id":40,"status_id":1,"priority_id":2,"assigned_to_id":23,"start_date":"2017-07-19","description":"","custom_fields":[{"id":1,"name":"Subdivision","value":"NW"},{"id":4,"name":"Milepost","value":"0.0726"},{"id":17,"name":"Train ID","value":"802-19"},{"id":16,"name":"Locomotive ID","value":"4059"},{"id":130,"name":"Impact","value":""},{"id":150,"name":"Time of Event (Mountain Time)","value":"06:25:51"},{"id":151,"name":"Denver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9"/>
        <v>start /low /b %USERPROFILE%\Documents\GitHub\eaglep3\Utilities\DownloadLogsFromS3.py --loco 4059 --day 2017-07-19</v>
      </c>
      <c r="AN161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682</v>
      </c>
      <c r="B162" s="7">
        <v>4056</v>
      </c>
      <c r="C162" s="21" t="s">
        <v>199</v>
      </c>
      <c r="D162" s="21" t="s">
        <v>965</v>
      </c>
      <c r="E162" s="13">
        <v>42935.255856481483</v>
      </c>
      <c r="F162" s="13">
        <v>42935.265127314815</v>
      </c>
      <c r="G162" s="7">
        <v>1</v>
      </c>
      <c r="H162" s="21" t="s">
        <v>966</v>
      </c>
      <c r="I162" s="13">
        <v>42935.274282407408</v>
      </c>
      <c r="J162" s="7">
        <v>0</v>
      </c>
      <c r="K162" s="89" t="str">
        <f>IF(ISEVEN(B162),(B162-1)&amp;"/"&amp;B162,B162&amp;"/"&amp;(B162+1))</f>
        <v>4055/4056</v>
      </c>
      <c r="L162" s="21" t="str">
        <f>VLOOKUP(A162,'Trips&amp;Operators'!$C$1:$G$99999,5,FALSE)</f>
        <v>NICHOLSON WESLEY</v>
      </c>
      <c r="M162" s="6">
        <f>I162-F162</f>
        <v>9.1550925935734995E-3</v>
      </c>
      <c r="N162" s="7">
        <f>24*60*SUM($M162:$M162)</f>
        <v>13.183333334745839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-19T05:08:26-0600',mode:absolute,to:'2017-07-19T07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9.8599999999999993E-2</v>
      </c>
      <c r="Z162" s="197">
        <f>RIGHT(H162,LEN(H162)-4)/10000</f>
        <v>5.8983999999999996</v>
      </c>
      <c r="AA162" s="197">
        <f>ABS(Z162-Y162)</f>
        <v>5.7997999999999994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/stypes="app*4056*20170719*"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7"/>
        <v>"%USERPROFILE%\Documents\GitHub\eaglep3\Utilities\RefineRTDCRunTimes.py" --tripid 803-19 --locoid 4056 --swversion DE.1.0.9.0 --startMP 204:986 --initTime 2017-07-19T06:08:26 --startdatetime 2017-07-19T06:21:47 --delay 1 --endMP 300:58984 --enddatetime 2017-07-19T06:34:58 --enforcementcount 0 &gt;&gt;C:\Users\stu\Documents\GitHub\eaglep3-reporting\EC\2017-07-19-refined-times.txt</v>
      </c>
      <c r="AI162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{"issue":{"subject":"","project_id":79,"tracker_id":40,"status_id":1,"priority_id":2,"assigned_to_id":23,"start_date":"2017-07-19","description":"","custom_fields":[{"id":1,"name":"Subdivision","value":"NW"},{"id":4,"name":"Milepost","value":"5.8984"},{"id":17,"name":"Train ID","value":"803-19"},{"id":16,"name":"Locomotive ID","value":"4056"},{"id":130,"name":"Impact","value":""},{"id":150,"name":"Time of Event (Mountain Time)","value":"06:34:58"},{"id":151,"name":"Denver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9"/>
        <v>start /low /b %USERPROFILE%\Documents\GitHub\eaglep3\Utilities\DownloadLogsFromS3.py --loco 4056 --day 2017-07-19</v>
      </c>
      <c r="AN162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688</v>
      </c>
      <c r="B163" s="7">
        <v>4055</v>
      </c>
      <c r="C163" s="21" t="s">
        <v>199</v>
      </c>
      <c r="D163" s="21" t="s">
        <v>967</v>
      </c>
      <c r="E163" s="13">
        <v>42935.275439814817</v>
      </c>
      <c r="F163" s="13">
        <v>42935.277025462965</v>
      </c>
      <c r="G163" s="7">
        <v>1</v>
      </c>
      <c r="H163" s="21" t="s">
        <v>605</v>
      </c>
      <c r="I163" s="13">
        <v>42935.288483796299</v>
      </c>
      <c r="J163" s="7">
        <v>0</v>
      </c>
      <c r="K163" s="89" t="str">
        <f>IF(ISEVEN(B163),(B163-1)&amp;"/"&amp;B163,B163&amp;"/"&amp;(B163+1))</f>
        <v>4055/4056</v>
      </c>
      <c r="L163" s="21" t="str">
        <f>VLOOKUP(A163,'Trips&amp;Operators'!$C$1:$G$99999,5,FALSE)</f>
        <v>NICHOLSON WESLEY</v>
      </c>
      <c r="M163" s="6">
        <f>I163-F163</f>
        <v>1.1458333334303461E-2</v>
      </c>
      <c r="N163" s="7">
        <f>24*60*SUM($M163:$M163)</f>
        <v>16.500000001396984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-19T05:36:38-0600',mode:absolute,to:'2017-07-19T07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5.8655999999999997</v>
      </c>
      <c r="Z163" s="197">
        <f>RIGHT(H163,LEN(H163)-4)/10000</f>
        <v>7.3099999999999998E-2</v>
      </c>
      <c r="AA163" s="197">
        <f>ABS(Z163-Y163)</f>
        <v>5.7924999999999995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/stypes="app*4055*20170719*" /stext=" 12:.+((SYSTEM_STATE.+slice.+state.+changed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7"/>
        <v>"%USERPROFILE%\Documents\GitHub\eaglep3\Utilities\RefineRTDCRunTimes.py" --tripid 804-19 --locoid 4055 --swversion DE.1.0.9.0 --startMP 300:58656 --initTime 2017-07-19T06:36:38 --startdatetime 2017-07-19T06:38:55 --delay 1 --endMP 204:731 --enddatetime 2017-07-19T06:55:25 --enforcementcount 0 &gt;&gt;C:\Users\stu\Documents\GitHub\eaglep3-reporting\EC\2017-07-19-refined-times.txt</v>
      </c>
      <c r="AI163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{"issue":{"subject":"","project_id":79,"tracker_id":40,"status_id":1,"priority_id":2,"assigned_to_id":23,"start_date":"2017-07-19","description":"","custom_fields":[{"id":1,"name":"Subdivision","value":"NW"},{"id":4,"name":"Milepost","value":"0.0731"},{"id":17,"name":"Train ID","value":"804-19"},{"id":16,"name":"Locomotive ID","value":"4055"},{"id":130,"name":"Impact","value":""},{"id":150,"name":"Time of Event (Mountain Time)","value":"06:55:25"},{"id":151,"name":"Denver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9"/>
        <v>start /low /b %USERPROFILE%\Documents\GitHub\eaglep3\Utilities\DownloadLogsFromS3.py --loco 4055 --day 2017-07-19</v>
      </c>
      <c r="AN163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686</v>
      </c>
      <c r="B164" s="7">
        <v>4060</v>
      </c>
      <c r="C164" s="21" t="s">
        <v>199</v>
      </c>
      <c r="D164" s="21" t="s">
        <v>607</v>
      </c>
      <c r="E164" s="13">
        <v>42935.269270833334</v>
      </c>
      <c r="F164" s="13">
        <v>42935.285868055558</v>
      </c>
      <c r="G164" s="7">
        <v>1</v>
      </c>
      <c r="H164" s="21" t="s">
        <v>550</v>
      </c>
      <c r="I164" s="13">
        <v>42935.294895833336</v>
      </c>
      <c r="J164" s="7">
        <v>0</v>
      </c>
      <c r="K164" s="89" t="str">
        <f>IF(ISEVEN(B164),(B164-1)&amp;"/"&amp;B164,B164&amp;"/"&amp;(B164+1))</f>
        <v>4059/4060</v>
      </c>
      <c r="L164" s="21" t="str">
        <f>VLOOKUP(A164,'Trips&amp;Operators'!$C$1:$G$99999,5,FALSE)</f>
        <v>MACDONALD THOMAS</v>
      </c>
      <c r="M164" s="6">
        <f>I164-F164</f>
        <v>9.0277777781011537E-3</v>
      </c>
      <c r="N164" s="7">
        <f>24*60*SUM($M164:$M164)</f>
        <v>13.000000000465661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-19T05:27:45-0600',mode:absolute,to:'2017-07-19T08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0.10249999999999999</v>
      </c>
      <c r="Z164" s="197">
        <f>RIGHT(H164,LEN(H164)-4)/10000</f>
        <v>5.8928000000000003</v>
      </c>
      <c r="AA164" s="197">
        <f>ABS(Z164-Y164)</f>
        <v>5.7903000000000002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/stypes="app*4060*20170719*"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7"/>
        <v>"%USERPROFILE%\Documents\GitHub\eaglep3\Utilities\RefineRTDCRunTimes.py" --tripid 805-19 --locoid 4060 --swversion DE.1.0.9.0 --startMP 204:1025 --initTime 2017-07-19T06:27:45 --startdatetime 2017-07-19T06:51:39 --delay 1 --endMP 300:58928 --enddatetime 2017-07-19T07:04:39 --enforcementcount 0 &gt;&gt;C:\Users\stu\Documents\GitHub\eaglep3-reporting\EC\2017-07-19-refined-times.txt</v>
      </c>
      <c r="AI164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{"issue":{"subject":"","project_id":79,"tracker_id":40,"status_id":1,"priority_id":2,"assigned_to_id":23,"start_date":"2017-07-19","description":"","custom_fields":[{"id":1,"name":"Subdivision","value":"NW"},{"id":4,"name":"Milepost","value":"5.8928"},{"id":17,"name":"Train ID","value":"805-19"},{"id":16,"name":"Locomotive ID","value":"4060"},{"id":130,"name":"Impact","value":""},{"id":150,"name":"Time of Event (Mountain Time)","value":"07:04:39"},{"id":151,"name":"Denver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19"/>
        <v>start /low /b %USERPROFILE%\Documents\GitHub\eaglep3\Utilities\DownloadLogsFromS3.py --loco 4060 --day 2017-07-19</v>
      </c>
      <c r="AN164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692</v>
      </c>
      <c r="B165" s="7">
        <v>4059</v>
      </c>
      <c r="C165" s="21" t="s">
        <v>199</v>
      </c>
      <c r="D165" s="21" t="s">
        <v>598</v>
      </c>
      <c r="E165" s="13">
        <v>42935.29583333333</v>
      </c>
      <c r="F165" s="13">
        <v>42935.297280092593</v>
      </c>
      <c r="G165" s="7">
        <v>1</v>
      </c>
      <c r="H165" s="21" t="s">
        <v>968</v>
      </c>
      <c r="I165" s="13">
        <v>42935.309699074074</v>
      </c>
      <c r="J165" s="7">
        <v>0</v>
      </c>
      <c r="K165" s="89" t="str">
        <f>IF(ISEVEN(B165),(B165-1)&amp;"/"&amp;B165,B165&amp;"/"&amp;(B165+1))</f>
        <v>4059/4060</v>
      </c>
      <c r="L165" s="21" t="str">
        <f>VLOOKUP(A165,'Trips&amp;Operators'!$C$1:$G$99999,5,FALSE)</f>
        <v>MACDONALD THOMAS</v>
      </c>
      <c r="M165" s="6">
        <f>I165-F165</f>
        <v>1.2418981481459923E-2</v>
      </c>
      <c r="N165" s="7">
        <f>24*60*SUM($M165:$M165)</f>
        <v>17.883333333302289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-19T06:06:00-0600',mode:absolute,to:'2017-07-19T08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5.8613</v>
      </c>
      <c r="Z165" s="197">
        <f>RIGHT(H165,LEN(H165)-4)/10000</f>
        <v>7.4999999999999997E-2</v>
      </c>
      <c r="AA165" s="197">
        <f>ABS(Z165-Y165)</f>
        <v>5.7862999999999998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/stypes="app*4059*20170719*"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7"/>
        <v>"%USERPROFILE%\Documents\GitHub\eaglep3\Utilities\RefineRTDCRunTimes.py" --tripid 806-19 --locoid 4059 --swversion DE.1.0.9.0 --startMP 300:58613 --initTime 2017-07-19T07:06:00 --startdatetime 2017-07-19T07:08:05 --delay 1 --endMP 204:750 --enddatetime 2017-07-19T07:25:58 --enforcementcount 0 &gt;&gt;C:\Users\stu\Documents\GitHub\eaglep3-reporting\EC\2017-07-19-refined-times.txt</v>
      </c>
      <c r="AI165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{"issue":{"subject":"","project_id":79,"tracker_id":40,"status_id":1,"priority_id":2,"assigned_to_id":23,"start_date":"2017-07-19","description":"","custom_fields":[{"id":1,"name":"Subdivision","value":"NW"},{"id":4,"name":"Milepost","value":"0.075"},{"id":17,"name":"Train ID","value":"806-19"},{"id":16,"name":"Locomotive ID","value":"4059"},{"id":130,"name":"Impact","value":""},{"id":150,"name":"Time of Event (Mountain Time)","value":"07:25:58"},{"id":151,"name":"Denver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19"/>
        <v>start /low /b %USERPROFILE%\Documents\GitHub\eaglep3\Utilities\DownloadLogsFromS3.py --loco 4059 --day 2017-07-19</v>
      </c>
      <c r="AN165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691</v>
      </c>
      <c r="B166" s="7">
        <v>4056</v>
      </c>
      <c r="C166" s="21" t="s">
        <v>199</v>
      </c>
      <c r="D166" s="21" t="s">
        <v>969</v>
      </c>
      <c r="E166" s="13">
        <v>42935.28974537037</v>
      </c>
      <c r="F166" s="13">
        <v>42935.306446759256</v>
      </c>
      <c r="G166" s="7">
        <v>1</v>
      </c>
      <c r="H166" s="21" t="s">
        <v>601</v>
      </c>
      <c r="I166" s="13">
        <v>42935.316458333335</v>
      </c>
      <c r="J166" s="7">
        <v>0</v>
      </c>
      <c r="K166" s="89" t="str">
        <f>IF(ISEVEN(B166),(B166-1)&amp;"/"&amp;B166,B166&amp;"/"&amp;(B166+1))</f>
        <v>4055/4056</v>
      </c>
      <c r="L166" s="21" t="str">
        <f>VLOOKUP(A166,'Trips&amp;Operators'!$C$1:$G$99999,5,FALSE)</f>
        <v>NICHOLSON WESLEY</v>
      </c>
      <c r="M166" s="6">
        <f>I166-F166</f>
        <v>1.0011574078816921E-2</v>
      </c>
      <c r="N166" s="7">
        <f>24*60*SUM($M166:$M166)</f>
        <v>14.416666673496366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-19T05:57:14-0600',mode:absolute,to:'2017-07-19T08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9.9699999999999997E-2</v>
      </c>
      <c r="Z166" s="197">
        <f>RIGHT(H166,LEN(H166)-4)/10000</f>
        <v>5.8964999999999996</v>
      </c>
      <c r="AA166" s="197">
        <f>ABS(Z166-Y166)</f>
        <v>5.7967999999999993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/stypes="app*4056*20170719*"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7"/>
        <v>"%USERPROFILE%\Documents\GitHub\eaglep3\Utilities\RefineRTDCRunTimes.py" --tripid 807-19 --locoid 4056 --swversion DE.1.0.9.0 --startMP 204:997 --initTime 2017-07-19T06:57:14 --startdatetime 2017-07-19T07:21:17 --delay 1 --endMP 300:58965 --enddatetime 2017-07-19T07:35:42 --enforcementcount 0 &gt;&gt;C:\Users\stu\Documents\GitHub\eaglep3-reporting\EC\2017-07-19-refined-times.txt</v>
      </c>
      <c r="AI166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{"issue":{"subject":"","project_id":79,"tracker_id":40,"status_id":1,"priority_id":2,"assigned_to_id":23,"start_date":"2017-07-19","description":"","custom_fields":[{"id":1,"name":"Subdivision","value":"NW"},{"id":4,"name":"Milepost","value":"5.8965"},{"id":17,"name":"Train ID","value":"807-19"},{"id":16,"name":"Locomotive ID","value":"4056"},{"id":130,"name":"Impact","value":""},{"id":150,"name":"Time of Event (Mountain Time)","value":"07:35:42"},{"id":151,"name":"Denver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9"/>
        <v>start /low /b %USERPROFILE%\Documents\GitHub\eaglep3\Utilities\DownloadLogsFromS3.py --loco 4056 --day 2017-07-19</v>
      </c>
      <c r="AN166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696</v>
      </c>
      <c r="B167" s="7">
        <v>4055</v>
      </c>
      <c r="C167" s="21" t="s">
        <v>199</v>
      </c>
      <c r="D167" s="21" t="s">
        <v>970</v>
      </c>
      <c r="E167" s="13">
        <v>42935.317812499998</v>
      </c>
      <c r="F167" s="13">
        <v>42935.32</v>
      </c>
      <c r="G167" s="7">
        <v>1</v>
      </c>
      <c r="H167" s="21" t="s">
        <v>971</v>
      </c>
      <c r="I167" s="13">
        <v>42935.330416666664</v>
      </c>
      <c r="J167" s="7">
        <v>0</v>
      </c>
      <c r="K167" s="89" t="str">
        <f>IF(ISEVEN(B167),(B167-1)&amp;"/"&amp;B167,B167&amp;"/"&amp;(B167+1))</f>
        <v>4055/4056</v>
      </c>
      <c r="L167" s="21" t="str">
        <f>VLOOKUP(A167,'Trips&amp;Operators'!$C$1:$G$99999,5,FALSE)</f>
        <v>NICHOLSON WESLEY</v>
      </c>
      <c r="M167" s="6">
        <f>I167-F167</f>
        <v>1.0416666664241347E-2</v>
      </c>
      <c r="N167" s="7">
        <f>24*60*SUM($M167:$M167)</f>
        <v>14.99999999650754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-19T06:37:39-0600',mode:absolute,to:'2017-07-19T08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5.8659999999999997</v>
      </c>
      <c r="Z167" s="197">
        <f>RIGHT(H167,LEN(H167)-4)/10000</f>
        <v>7.2700000000000001E-2</v>
      </c>
      <c r="AA167" s="197">
        <f>ABS(Z167-Y167)</f>
        <v>5.7932999999999995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/stypes="app*4055*20170719*" /stext=" 13:.+((SYSTEM_STATE.+slice.+state.+changed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7"/>
        <v>"%USERPROFILE%\Documents\GitHub\eaglep3\Utilities\RefineRTDCRunTimes.py" --tripid 808-19 --locoid 4055 --swversion DE.1.0.9.0 --startMP 300:58660 --initTime 2017-07-19T07:37:39 --startdatetime 2017-07-19T07:40:48 --delay 1 --endMP 204:727 --enddatetime 2017-07-19T07:55:48 --enforcementcount 0 &gt;&gt;C:\Users\stu\Documents\GitHub\eaglep3-reporting\EC\2017-07-19-refined-times.txt</v>
      </c>
      <c r="AI167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{"issue":{"subject":"","project_id":79,"tracker_id":40,"status_id":1,"priority_id":2,"assigned_to_id":23,"start_date":"2017-07-19","description":"","custom_fields":[{"id":1,"name":"Subdivision","value":"NW"},{"id":4,"name":"Milepost","value":"0.0727"},{"id":17,"name":"Train ID","value":"808-19"},{"id":16,"name":"Locomotive ID","value":"4055"},{"id":130,"name":"Impact","value":""},{"id":150,"name":"Time of Event (Mountain Time)","value":"07:55:48"},{"id":151,"name":"Denver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9"/>
        <v>start /low /b %USERPROFILE%\Documents\GitHub\eaglep3\Utilities\DownloadLogsFromS3.py --loco 4055 --day 2017-07-19</v>
      </c>
      <c r="AN167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698</v>
      </c>
      <c r="B168" s="7">
        <v>4060</v>
      </c>
      <c r="C168" s="21" t="s">
        <v>199</v>
      </c>
      <c r="D168" s="21" t="s">
        <v>972</v>
      </c>
      <c r="E168" s="13">
        <v>42935.325925925928</v>
      </c>
      <c r="F168" s="13">
        <v>42935.327476851853</v>
      </c>
      <c r="G168" s="7">
        <v>1</v>
      </c>
      <c r="H168" s="21" t="s">
        <v>973</v>
      </c>
      <c r="I168" s="13">
        <v>42935.336655092593</v>
      </c>
      <c r="J168" s="7">
        <v>0</v>
      </c>
      <c r="K168" s="89" t="str">
        <f>IF(ISEVEN(B168),(B168-1)&amp;"/"&amp;B168,B168&amp;"/"&amp;(B168+1))</f>
        <v>4059/4060</v>
      </c>
      <c r="L168" s="21" t="str">
        <f>VLOOKUP(A168,'Trips&amp;Operators'!$C$1:$G$99999,5,FALSE)</f>
        <v>MACDONALD THOMAS</v>
      </c>
      <c r="M168" s="6">
        <f>I168-F168</f>
        <v>9.1782407398568466E-3</v>
      </c>
      <c r="N168" s="7">
        <f>24*60*SUM($M168:$M168)</f>
        <v>13.216666665393859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-19T06:49:20-0600',mode:absolute,to:'2017-07-19T09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0.1037</v>
      </c>
      <c r="Z168" s="197">
        <f>RIGHT(H168,LEN(H168)-4)/10000</f>
        <v>5.8916000000000004</v>
      </c>
      <c r="AA168" s="197">
        <f>ABS(Z168-Y168)</f>
        <v>5.7879000000000005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/stypes="app*4060*20170719*"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7"/>
        <v>"%USERPROFILE%\Documents\GitHub\eaglep3\Utilities\RefineRTDCRunTimes.py" --tripid 809-19 --locoid 4060 --swversion DE.1.0.9.0 --startMP 204:1037 --initTime 2017-07-19T07:49:20 --startdatetime 2017-07-19T07:51:34 --delay 1 --endMP 300:58916 --enddatetime 2017-07-19T08:04:47 --enforcementcount 0 &gt;&gt;C:\Users\stu\Documents\GitHub\eaglep3-reporting\EC\2017-07-19-refined-times.txt</v>
      </c>
      <c r="AI168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{"issue":{"subject":"","project_id":79,"tracker_id":40,"status_id":1,"priority_id":2,"assigned_to_id":23,"start_date":"2017-07-19","description":"","custom_fields":[{"id":1,"name":"Subdivision","value":"NW"},{"id":4,"name":"Milepost","value":"5.8916"},{"id":17,"name":"Train ID","value":"809-19"},{"id":16,"name":"Locomotive ID","value":"4060"},{"id":130,"name":"Impact","value":""},{"id":150,"name":"Time of Event (Mountain Time)","value":"08:04:47"},{"id":151,"name":"Denver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9"/>
        <v>start /low /b %USERPROFILE%\Documents\GitHub\eaglep3\Utilities\DownloadLogsFromS3.py --loco 4060 --day 2017-07-19</v>
      </c>
      <c r="AN168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703</v>
      </c>
      <c r="B169" s="7">
        <v>4059</v>
      </c>
      <c r="C169" s="21" t="s">
        <v>199</v>
      </c>
      <c r="D169" s="21" t="s">
        <v>974</v>
      </c>
      <c r="E169" s="13">
        <v>42935.337754629632</v>
      </c>
      <c r="F169" s="13">
        <v>42935.338750000003</v>
      </c>
      <c r="G169" s="7">
        <v>0</v>
      </c>
      <c r="H169" s="21" t="s">
        <v>574</v>
      </c>
      <c r="I169" s="13">
        <v>42935.3512962963</v>
      </c>
      <c r="J169" s="7">
        <v>0</v>
      </c>
      <c r="K169" s="89" t="str">
        <f>IF(ISEVEN(B169),(B169-1)&amp;"/"&amp;B169,B169&amp;"/"&amp;(B169+1))</f>
        <v>4059/4060</v>
      </c>
      <c r="L169" s="21" t="str">
        <f>VLOOKUP(A169,'Trips&amp;Operators'!$C$1:$G$99999,5,FALSE)</f>
        <v>MACDONALD THOMAS</v>
      </c>
      <c r="M169" s="6">
        <f>I169-F169</f>
        <v>1.2546296296932269E-2</v>
      </c>
      <c r="N169" s="7">
        <f>24*60*SUM($M169:$M169)</f>
        <v>18.066666667582467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-19T07:06:22-0600',mode:absolute,to:'2017-07-19T09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5.8605999999999998</v>
      </c>
      <c r="Z169" s="197">
        <f>RIGHT(H169,LEN(H169)-4)/10000</f>
        <v>7.0999999999999994E-2</v>
      </c>
      <c r="AA169" s="197">
        <f>ABS(Z169-Y169)</f>
        <v>5.7896000000000001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/stypes="app*4059*20170719*"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7"/>
        <v>"%USERPROFILE%\Documents\GitHub\eaglep3\Utilities\RefineRTDCRunTimes.py" --tripid 810-19 --locoid 4059 --swversion DE.1.0.9.0 --startMP 300:58606 --initTime 2017-07-19T08:06:22 --startdatetime 2017-07-19T08:07:48 --delay 0 --endMP 204:710 --enddatetime 2017-07-19T08:25:52 --enforcementcount 0 &gt;&gt;C:\Users\stu\Documents\GitHub\eaglep3-reporting\EC\2017-07-19-refined-times.txt</v>
      </c>
      <c r="AI169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{"issue":{"subject":"","project_id":79,"tracker_id":40,"status_id":1,"priority_id":2,"assigned_to_id":23,"start_date":"2017-07-19","description":"","custom_fields":[{"id":1,"name":"Subdivision","value":"NW"},{"id":4,"name":"Milepost","value":"0.071"},{"id":17,"name":"Train ID","value":"810-19"},{"id":16,"name":"Locomotive ID","value":"4059"},{"id":130,"name":"Impact","value":""},{"id":150,"name":"Time of Event (Mountain Time)","value":"08:25:52"},{"id":151,"name":"Denver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9"/>
        <v>start /low /b %USERPROFILE%\Documents\GitHub\eaglep3\Utilities\DownloadLogsFromS3.py --loco 4059 --day 2017-07-19</v>
      </c>
      <c r="AN169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700</v>
      </c>
      <c r="B170" s="7">
        <v>4056</v>
      </c>
      <c r="C170" s="21" t="s">
        <v>199</v>
      </c>
      <c r="D170" s="21" t="s">
        <v>965</v>
      </c>
      <c r="E170" s="13">
        <v>42935.331875000003</v>
      </c>
      <c r="F170" s="13">
        <v>42935.348101851851</v>
      </c>
      <c r="G170" s="7">
        <v>1</v>
      </c>
      <c r="H170" s="21" t="s">
        <v>975</v>
      </c>
      <c r="I170" s="13">
        <v>42935.357592592591</v>
      </c>
      <c r="J170" s="7">
        <v>0</v>
      </c>
      <c r="K170" s="89" t="str">
        <f>IF(ISEVEN(B170),(B170-1)&amp;"/"&amp;B170,B170&amp;"/"&amp;(B170+1))</f>
        <v>4055/4056</v>
      </c>
      <c r="L170" s="21" t="str">
        <f>VLOOKUP(A170,'Trips&amp;Operators'!$C$1:$G$99999,5,FALSE)</f>
        <v>NICHOLSON WESLEY</v>
      </c>
      <c r="M170" s="6">
        <f>I170-F170</f>
        <v>9.4907407401478849E-3</v>
      </c>
      <c r="N170" s="7">
        <f>24*60*SUM($M170:$M170)</f>
        <v>13.666666665812954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-19T06:57:54-0600',mode:absolute,to:'2017-07-19T09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9.8599999999999993E-2</v>
      </c>
      <c r="Z170" s="197">
        <f>RIGHT(H170,LEN(H170)-4)/10000</f>
        <v>5.8975999999999997</v>
      </c>
      <c r="AA170" s="197">
        <f>ABS(Z170-Y170)</f>
        <v>5.7989999999999995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/stypes="app*4056*20170719*"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7"/>
        <v>"%USERPROFILE%\Documents\GitHub\eaglep3\Utilities\RefineRTDCRunTimes.py" --tripid 811-19 --locoid 4056 --swversion DE.1.0.9.0 --startMP 204:986 --initTime 2017-07-19T07:57:54 --startdatetime 2017-07-19T08:21:16 --delay 1 --endMP 300:58976 --enddatetime 2017-07-19T08:34:56 --enforcementcount 0 &gt;&gt;C:\Users\stu\Documents\GitHub\eaglep3-reporting\EC\2017-07-19-refined-times.txt</v>
      </c>
      <c r="AI170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{"issue":{"subject":"","project_id":79,"tracker_id":40,"status_id":1,"priority_id":2,"assigned_to_id":23,"start_date":"2017-07-19","description":"","custom_fields":[{"id":1,"name":"Subdivision","value":"NW"},{"id":4,"name":"Milepost","value":"5.8976"},{"id":17,"name":"Train ID","value":"811-19"},{"id":16,"name":"Locomotive ID","value":"4056"},{"id":130,"name":"Impact","value":""},{"id":150,"name":"Time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9"/>
        <v>start /low /b %USERPROFILE%\Documents\GitHub\eaglep3\Utilities\DownloadLogsFromS3.py --loco 4056 --day 2017-07-19</v>
      </c>
      <c r="AN170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707</v>
      </c>
      <c r="B171" s="7">
        <v>4055</v>
      </c>
      <c r="C171" s="21" t="s">
        <v>199</v>
      </c>
      <c r="D171" s="21" t="s">
        <v>976</v>
      </c>
      <c r="E171" s="13">
        <v>42935.359409722223</v>
      </c>
      <c r="F171" s="13">
        <v>42935.361261574071</v>
      </c>
      <c r="G171" s="7">
        <v>1</v>
      </c>
      <c r="H171" s="21" t="s">
        <v>977</v>
      </c>
      <c r="I171" s="13">
        <v>42935.371736111112</v>
      </c>
      <c r="J171" s="7">
        <v>0</v>
      </c>
      <c r="K171" s="89" t="str">
        <f>IF(ISEVEN(B171),(B171-1)&amp;"/"&amp;B171,B171&amp;"/"&amp;(B171+1))</f>
        <v>4055/4056</v>
      </c>
      <c r="L171" s="21" t="str">
        <f>VLOOKUP(A171,'Trips&amp;Operators'!$C$1:$G$99999,5,FALSE)</f>
        <v>NICHOLSON WESLEY</v>
      </c>
      <c r="M171" s="6">
        <f>I171-F171</f>
        <v>1.0474537040863652E-2</v>
      </c>
      <c r="N171" s="7">
        <f>24*60*SUM($M171:$M171)</f>
        <v>15.083333338843659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-19T07:37:33-0600',mode:absolute,to:'2017-07-19T09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5.8648999999999996</v>
      </c>
      <c r="Z171" s="197">
        <f>RIGHT(H171,LEN(H171)-4)/10000</f>
        <v>7.0499999999999993E-2</v>
      </c>
      <c r="AA171" s="197">
        <f>ABS(Z171-Y171)</f>
        <v>5.7943999999999996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/stypes="app*4055*20170719*" /stext=" 14:.+((SYSTEM_STATE.+slice.+state.+changed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7"/>
        <v>"%USERPROFILE%\Documents\GitHub\eaglep3\Utilities\RefineRTDCRunTimes.py" --tripid 812-19 --locoid 4055 --swversion DE.1.0.9.0 --startMP 300:58649 --initTime 2017-07-19T08:37:33 --startdatetime 2017-07-19T08:40:13 --delay 1 --endMP 204:705 --enddatetime 2017-07-19T08:55:18 --enforcementcount 0 &gt;&gt;C:\Users\stu\Documents\GitHub\eaglep3-reporting\EC\2017-07-19-refined-times.txt</v>
      </c>
      <c r="AI171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{"issue":{"subject":"","project_id":79,"tracker_id":40,"status_id":1,"priority_id":2,"assigned_to_id":23,"start_date":"2017-07-19","description":"","custom_fields":[{"id":1,"name":"Subdivision","value":"NW"},{"id":4,"name":"Milepost","value":"0.0705"},{"id":17,"name":"Train ID","value":"812-19"},{"id":16,"name":"Locomotive ID","value":"4055"},{"id":130,"name":"Impact","value":""},{"id":150,"name":"Time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9"/>
        <v>start /low /b %USERPROFILE%\Documents\GitHub\eaglep3\Utilities\DownloadLogsFromS3.py --loco 4055 --day 2017-07-19</v>
      </c>
      <c r="AN171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617</v>
      </c>
      <c r="B172" s="7">
        <v>4056</v>
      </c>
      <c r="C172" s="21" t="s">
        <v>199</v>
      </c>
      <c r="D172" s="21" t="s">
        <v>548</v>
      </c>
      <c r="E172" s="13">
        <v>42935.373263888891</v>
      </c>
      <c r="F172" s="13">
        <v>42935.389791666668</v>
      </c>
      <c r="G172" s="7">
        <v>1</v>
      </c>
      <c r="H172" s="21" t="s">
        <v>975</v>
      </c>
      <c r="I172" s="13">
        <v>42935.400439814817</v>
      </c>
      <c r="J172" s="7">
        <v>0</v>
      </c>
      <c r="K172" s="89" t="str">
        <f>IF(ISEVEN(B172),(B172-1)&amp;"/"&amp;B172,B172&amp;"/"&amp;(B172+1))</f>
        <v>4055/4056</v>
      </c>
      <c r="L172" s="21" t="str">
        <f>VLOOKUP(A172,'Trips&amp;Operators'!$C$1:$G$99999,5,FALSE)</f>
        <v>NICHOLSON WESLEY</v>
      </c>
      <c r="M172" s="6">
        <f>I172-F172</f>
        <v>1.0648148148902692E-2</v>
      </c>
      <c r="N172" s="7">
        <f>24*60*SUM($M172:$M172)</f>
        <v>15.333333334419876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-19T07:57:30-0600',mode:absolute,to:'2017-07-19T10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0.1014</v>
      </c>
      <c r="Z172" s="197">
        <f>RIGHT(H172,LEN(H172)-4)/10000</f>
        <v>5.8975999999999997</v>
      </c>
      <c r="AA172" s="197">
        <f>ABS(Z172-Y172)</f>
        <v>5.7961999999999998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/stypes="app*4056*20170719*" /stext=" 15:.+((SYSTEM_STATE.+slice.+state.+changed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7"/>
        <v>"%USERPROFILE%\Documents\GitHub\eaglep3\Utilities\RefineRTDCRunTimes.py" --tripid 813-19 --locoid 4056 --swversion DE.1.0.9.0 --startMP 204:1014 --initTime 2017-07-19T08:57:30 --startdatetime 2017-07-19T09:21:18 --delay 1 --endMP 300:58976 --enddatetime 2017-07-19T09:36:38 --enforcementcount 0 &gt;&gt;C:\Users\stu\Documents\GitHub\eaglep3-reporting\EC\2017-07-19-refined-times.txt</v>
      </c>
      <c r="AI172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{"issue":{"subject":"","project_id":79,"tracker_id":40,"status_id":1,"priority_id":2,"assigned_to_id":23,"start_date":"2017-07-19","description":"","custom_fields":[{"id":1,"name":"Subdivision","value":"NW"},{"id":4,"name":"Milepost","value":"5.8976"},{"id":17,"name":"Train ID","value":"813-19"},{"id":16,"name":"Locomotive ID","value":"4056"},{"id":130,"name":"Impact","value":""},{"id":150,"name":"Time of Event (Mountain Time)","value":"09:36:38"},{"id":151,"name":"Denver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9"/>
        <v>start /low /b %USERPROFILE%\Documents\GitHub\eaglep3\Utilities\DownloadLogsFromS3.py --loco 4056 --day 2017-07-19</v>
      </c>
      <c r="AN172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717</v>
      </c>
      <c r="B173" s="7">
        <v>4055</v>
      </c>
      <c r="C173" s="21" t="s">
        <v>199</v>
      </c>
      <c r="D173" s="21" t="s">
        <v>978</v>
      </c>
      <c r="E173" s="13">
        <v>42935.401932870373</v>
      </c>
      <c r="F173" s="13">
        <v>42935.403946759259</v>
      </c>
      <c r="G173" s="7">
        <v>1</v>
      </c>
      <c r="H173" s="21" t="s">
        <v>429</v>
      </c>
      <c r="I173" s="13">
        <v>42935.413831018515</v>
      </c>
      <c r="J173" s="7">
        <v>0</v>
      </c>
      <c r="K173" s="89" t="str">
        <f>IF(ISEVEN(B173),(B173-1)&amp;"/"&amp;B173,B173&amp;"/"&amp;(B173+1))</f>
        <v>4055/4056</v>
      </c>
      <c r="L173" s="21" t="str">
        <f>VLOOKUP(A173,'Trips&amp;Operators'!$C$1:$G$99999,5,FALSE)</f>
        <v>NICHOLSON WESLEY</v>
      </c>
      <c r="M173" s="6">
        <f>I173-F173</f>
        <v>9.8842592560686171E-3</v>
      </c>
      <c r="N173" s="7">
        <f>24*60*SUM($M173:$M173)</f>
        <v>14.233333328738809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-19T08:38:47-0600',mode:absolute,to:'2017-07-19T10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5.8653000000000004</v>
      </c>
      <c r="Z173" s="197">
        <f>RIGHT(H173,LEN(H173)-4)/10000</f>
        <v>6.9400000000000003E-2</v>
      </c>
      <c r="AA173" s="197">
        <f>ABS(Z173-Y173)</f>
        <v>5.7959000000000005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/stypes="app*4055*20170719*" /stext=" 15:.+((SYSTEM_STATE.+slice.+state.+changed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7"/>
        <v>"%USERPROFILE%\Documents\GitHub\eaglep3\Utilities\RefineRTDCRunTimes.py" --tripid 814-19 --locoid 4055 --swversion DE.1.0.9.0 --startMP 300:58653 --initTime 2017-07-19T09:38:47 --startdatetime 2017-07-19T09:41:41 --delay 1 --endMP 204:694 --enddatetime 2017-07-19T09:55:55 --enforcementcount 0 &gt;&gt;C:\Users\stu\Documents\GitHub\eaglep3-reporting\EC\2017-07-19-refined-times.txt</v>
      </c>
      <c r="AI173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{"issue":{"subject":"","project_id":79,"tracker_id":40,"status_id":1,"priority_id":2,"assigned_to_id":23,"start_date":"2017-07-19","description":"","custom_fields":[{"id":1,"name":"Subdivision","value":"NW"},{"id":4,"name":"Milepost","value":"0.0694"},{"id":17,"name":"Train ID","value":"814-19"},{"id":16,"name":"Locomotive ID","value":"4055"},{"id":130,"name":"Impact","value":""},{"id":150,"name":"Time of Event (Mountain Time)","value":"09:55:55"},{"id":151,"name":"Denver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9"/>
        <v>start /low /b %USERPROFILE%\Documents\GitHub\eaglep3\Utilities\DownloadLogsFromS3.py --loco 4055 --day 2017-07-19</v>
      </c>
      <c r="AN173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723</v>
      </c>
      <c r="B174" s="7">
        <v>4056</v>
      </c>
      <c r="C174" s="21" t="s">
        <v>199</v>
      </c>
      <c r="D174" s="21" t="s">
        <v>606</v>
      </c>
      <c r="E174" s="13">
        <v>42935.415706018517</v>
      </c>
      <c r="F174" s="13">
        <v>42935.43141203704</v>
      </c>
      <c r="G174" s="7">
        <v>2</v>
      </c>
      <c r="H174" s="21" t="s">
        <v>979</v>
      </c>
      <c r="I174" s="13">
        <v>42935.441307870373</v>
      </c>
      <c r="J174" s="7">
        <v>0</v>
      </c>
      <c r="K174" s="89" t="str">
        <f>IF(ISEVEN(B174),(B174-1)&amp;"/"&amp;B174,B174&amp;"/"&amp;(B174+1))</f>
        <v>4055/4056</v>
      </c>
      <c r="L174" s="21" t="str">
        <f>VLOOKUP(A174,'Trips&amp;Operators'!$C$1:$G$99999,5,FALSE)</f>
        <v>NICHOLSON WESLEY</v>
      </c>
      <c r="M174" s="6">
        <f>I174-F174</f>
        <v>9.8958333328482695E-3</v>
      </c>
      <c r="N174" s="7">
        <f>24*60*SUM($M174:$M174)</f>
        <v>14.249999999301508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-19T08:58:37-0600',mode:absolute,to:'2017-07-19T11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9.74E-2</v>
      </c>
      <c r="Z174" s="197">
        <f>RIGHT(H174,LEN(H174)-4)/10000</f>
        <v>5.899</v>
      </c>
      <c r="AA174" s="197">
        <f>ABS(Z174-Y174)</f>
        <v>5.8015999999999996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/stypes="app*4056*20170719*" /stext=" 16:.+((SYSTEM_STATE.+slice.+state.+changed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7"/>
        <v>"%USERPROFILE%\Documents\GitHub\eaglep3\Utilities\RefineRTDCRunTimes.py" --tripid 815-19 --locoid 4056 --swversion DE.1.0.9.0 --startMP 204:974 --initTime 2017-07-19T09:58:37 --startdatetime 2017-07-19T10:21:14 --delay 2 --endMP 300:58990 --enddatetime 2017-07-19T10:35:29 --enforcementcount 0 &gt;&gt;C:\Users\stu\Documents\GitHub\eaglep3-reporting\EC\2017-07-19-refined-times.txt</v>
      </c>
      <c r="AI174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{"issue":{"subject":"","project_id":79,"tracker_id":40,"status_id":1,"priority_id":2,"assigned_to_id":23,"start_date":"2017-07-19","description":"","custom_fields":[{"id":1,"name":"Subdivision","value":"NW"},{"id":4,"name":"Milepost","value":"5.899"},{"id":17,"name":"Train ID","value":"815-19"},{"id":16,"name":"Locomotive ID","value":"4056"},{"id":130,"name":"Impact","value":""},{"id":150,"name":"Time of Event (Mountain Time)","value":"10:35:29"},{"id":151,"name":"Denver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9"/>
        <v>start /low /b %USERPROFILE%\Documents\GitHub\eaglep3\Utilities\DownloadLogsFromS3.py --loco 4056 --day 2017-07-19</v>
      </c>
      <c r="AN174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623</v>
      </c>
      <c r="B175" s="7">
        <v>4055</v>
      </c>
      <c r="C175" s="21" t="s">
        <v>199</v>
      </c>
      <c r="D175" s="21" t="s">
        <v>980</v>
      </c>
      <c r="E175" s="13">
        <v>42935.442650462966</v>
      </c>
      <c r="F175" s="13">
        <v>42935.444571759261</v>
      </c>
      <c r="G175" s="7">
        <v>1</v>
      </c>
      <c r="H175" s="21" t="s">
        <v>971</v>
      </c>
      <c r="I175" s="13">
        <v>42935.454907407409</v>
      </c>
      <c r="J175" s="7">
        <v>0</v>
      </c>
      <c r="K175" s="89" t="str">
        <f>IF(ISEVEN(B175),(B175-1)&amp;"/"&amp;B175,B175&amp;"/"&amp;(B175+1))</f>
        <v>4055/4056</v>
      </c>
      <c r="L175" s="21" t="str">
        <f>VLOOKUP(A175,'Trips&amp;Operators'!$C$1:$G$99999,5,FALSE)</f>
        <v>NICHOLSON WESLEY</v>
      </c>
      <c r="M175" s="6">
        <f>I175-F175</f>
        <v>1.0335648148611654E-2</v>
      </c>
      <c r="N175" s="7">
        <f>24*60*SUM($M175:$M175)</f>
        <v>14.883333334000781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-19T09:37:25-0600',mode:absolute,to:'2017-07-19T11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5.8663999999999996</v>
      </c>
      <c r="Z175" s="197">
        <f>RIGHT(H175,LEN(H175)-4)/10000</f>
        <v>7.2700000000000001E-2</v>
      </c>
      <c r="AA175" s="197">
        <f>ABS(Z175-Y175)</f>
        <v>5.7936999999999994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/stypes="app*4055*20170719*" /stext=" 16:.+((SYSTEM_STATE.+slice.+state.+changed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7"/>
        <v>"%USERPROFILE%\Documents\GitHub\eaglep3\Utilities\RefineRTDCRunTimes.py" --tripid 816-19 --locoid 4055 --swversion DE.1.0.9.0 --startMP 300:58664 --initTime 2017-07-19T10:37:25 --startdatetime 2017-07-19T10:40:11 --delay 1 --endMP 204:727 --enddatetime 2017-07-19T10:55:04 --enforcementcount 0 &gt;&gt;C:\Users\stu\Documents\GitHub\eaglep3-reporting\EC\2017-07-19-refined-times.txt</v>
      </c>
      <c r="AI175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{"issue":{"subject":"","project_id":79,"tracker_id":40,"status_id":1,"priority_id":2,"assigned_to_id":23,"start_date":"2017-07-19","description":"","custom_fields":[{"id":1,"name":"Subdivision","value":"NW"},{"id":4,"name":"Milepost","value":"0.0727"},{"id":17,"name":"Train ID","value":"816-19"},{"id":16,"name":"Locomotive ID","value":"4055"},{"id":130,"name":"Impact","value":""},{"id":150,"name":"Time of Event (Mountain Time)","value":"10:55:04"},{"id":151,"name":"Denver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9"/>
        <v>start /low /b %USERPROFILE%\Documents\GitHub\eaglep3\Utilities\DownloadLogsFromS3.py --loco 4055 --day 2017-07-19</v>
      </c>
      <c r="AN175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624</v>
      </c>
      <c r="B176" s="7">
        <v>4056</v>
      </c>
      <c r="C176" s="21" t="s">
        <v>199</v>
      </c>
      <c r="D176" s="21" t="s">
        <v>548</v>
      </c>
      <c r="E176" s="13">
        <v>42935.45652777778</v>
      </c>
      <c r="F176" s="13">
        <v>42935.473564814813</v>
      </c>
      <c r="G176" s="7">
        <v>23</v>
      </c>
      <c r="H176" s="21" t="s">
        <v>600</v>
      </c>
      <c r="I176" s="13">
        <v>42935.483495370368</v>
      </c>
      <c r="J176" s="7">
        <v>0</v>
      </c>
      <c r="K176" s="89" t="str">
        <f>IF(ISEVEN(B176),(B176-1)&amp;"/"&amp;B176,B176&amp;"/"&amp;(B176+1))</f>
        <v>4055/4056</v>
      </c>
      <c r="L176" s="21" t="str">
        <f>VLOOKUP(A176,'Trips&amp;Operators'!$C$1:$G$99999,5,FALSE)</f>
        <v>NICHOLSON WESLEY</v>
      </c>
      <c r="M176" s="6">
        <f>I176-F176</f>
        <v>9.930555555911269E-3</v>
      </c>
      <c r="N176" s="7">
        <f>24*60*SUM($M176:$M176)</f>
        <v>14.300000000512227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-19T09:57:24-0600',mode:absolute,to:'2017-07-19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0.1014</v>
      </c>
      <c r="Z176" s="197">
        <f>RIGHT(H176,LEN(H176)-4)/10000</f>
        <v>5.8949999999999996</v>
      </c>
      <c r="AA176" s="197">
        <f>ABS(Z176-Y176)</f>
        <v>5.7935999999999996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/stypes="app*4056*20170719*" /stext=" 17:.+((SYSTEM_STATE.+slice.+state.+changed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7"/>
        <v>"%USERPROFILE%\Documents\GitHub\eaglep3\Utilities\RefineRTDCRunTimes.py" --tripid 817-19 --locoid 4056 --swversion DE.1.0.9.0 --startMP 204:1014 --initTime 2017-07-19T10:57:24 --startdatetime 2017-07-19T11:21:56 --delay 23 --endMP 300:58950 --enddatetime 2017-07-19T11:36:14 --enforcementcount 0 &gt;&gt;C:\Users\stu\Documents\GitHub\eaglep3-reporting\EC\2017-07-19-refined-times.txt</v>
      </c>
      <c r="AI176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{"issue":{"subject":"","project_id":79,"tracker_id":40,"status_id":1,"priority_id":2,"assigned_to_id":23,"start_date":"2017-07-19","description":"","custom_fields":[{"id":1,"name":"Subdivision","value":"NW"},{"id":4,"name":"Milepost","value":"5.895"},{"id":17,"name":"Train ID","value":"817-19"},{"id":16,"name":"Locomotive ID","value":"4056"},{"id":130,"name":"Impact","value":""},{"id":150,"name":"Time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9"/>
        <v>start /low /b %USERPROFILE%\Documents\GitHub\eaglep3\Utilities\DownloadLogsFromS3.py --loco 4056 --day 2017-07-19</v>
      </c>
      <c r="AN176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737</v>
      </c>
      <c r="B177" s="7">
        <v>4055</v>
      </c>
      <c r="C177" s="21" t="s">
        <v>199</v>
      </c>
      <c r="D177" s="21" t="s">
        <v>981</v>
      </c>
      <c r="E177" s="13">
        <v>42935.484791666669</v>
      </c>
      <c r="F177" s="13">
        <v>42935.486840277779</v>
      </c>
      <c r="G177" s="7">
        <v>1</v>
      </c>
      <c r="H177" s="21" t="s">
        <v>977</v>
      </c>
      <c r="I177" s="13">
        <v>42935.49728009259</v>
      </c>
      <c r="J177" s="7">
        <v>0</v>
      </c>
      <c r="K177" s="89" t="str">
        <f>IF(ISEVEN(B177),(B177-1)&amp;"/"&amp;B177,B177&amp;"/"&amp;(B177+1))</f>
        <v>4055/4056</v>
      </c>
      <c r="L177" s="21" t="str">
        <f>VLOOKUP(A177,'Trips&amp;Operators'!$C$1:$G$99999,5,FALSE)</f>
        <v>NICHOLSON WESLEY</v>
      </c>
      <c r="M177" s="6">
        <f>I177-F177</f>
        <v>1.0439814810524695E-2</v>
      </c>
      <c r="N177" s="7">
        <f>24*60*SUM($M177:$M177)</f>
        <v>15.03333332715556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-19T10:38:06-0600',mode:absolute,to:'2017-07-19T12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7" s="197" t="str">
        <f>IF(AA177&lt;VLOOKUP(AG177,Variables!$AC$3:$AD$8,2,FALSE),"Y","N")</f>
        <v>N</v>
      </c>
      <c r="X177" s="197">
        <f t="shared" ref="X177:X178" si="21">VALUE(LEFT(AD177,4))-VALUE(LEFT(AD176,4))</f>
        <v>1</v>
      </c>
      <c r="Y177" s="197">
        <f>RIGHT(D177,LEN(D177)-4)/10000</f>
        <v>5.8639999999999999</v>
      </c>
      <c r="Z177" s="197">
        <f>RIGHT(H177,LEN(H177)-4)/10000</f>
        <v>7.0499999999999993E-2</v>
      </c>
      <c r="AA177" s="197">
        <f>ABS(Z177-Y177)</f>
        <v>5.7934999999999999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/stypes="app*4055*20170719*" /stext=" 17:.+((SYSTEM_STATE.+slice.+state.+changed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7"/>
        <v>"%USERPROFILE%\Documents\GitHub\eaglep3\Utilities\RefineRTDCRunTimes.py" --tripid 818-19 --locoid 4055 --swversion DE.1.0.9.0 --startMP 300:58640 --initTime 2017-07-19T11:38:06 --startdatetime 2017-07-19T11:41:03 --delay 1 --endMP 204:705 --enddatetime 2017-07-19T11:56:05 --enforcementcount 0 &gt;&gt;C:\Users\stu\Documents\GitHub\eaglep3-reporting\EC\2017-07-19-refined-times.txt</v>
      </c>
      <c r="AI177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{"issue":{"subject":"","project_id":79,"tracker_id":40,"status_id":1,"priority_id":2,"assigned_to_id":23,"start_date":"2017-07-19","description":"","custom_fields":[{"id":1,"name":"Subdivision","value":"NW"},{"id":4,"name":"Milepost","value":"0.0705"},{"id":17,"name":"Train ID","value":"818-19"},{"id":16,"name":"Locomotive ID","value":"4055"},{"id":130,"name":"Impact","value":""},{"id":150,"name":"Time of Event (Mountain Time)","value":"11:56:05"},{"id":151,"name":"Denver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9"/>
        <v>start /low /b %USERPROFILE%\Documents\GitHub\eaglep3\Utilities\DownloadLogsFromS3.py --loco 4055 --day 2017-07-19</v>
      </c>
      <c r="AN177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741</v>
      </c>
      <c r="B178" s="7">
        <v>4056</v>
      </c>
      <c r="C178" s="21" t="s">
        <v>199</v>
      </c>
      <c r="D178" s="21" t="s">
        <v>982</v>
      </c>
      <c r="E178" s="13">
        <v>42935.498831018522</v>
      </c>
      <c r="F178" s="13">
        <v>42935.514861111114</v>
      </c>
      <c r="G178" s="7">
        <v>1</v>
      </c>
      <c r="H178" s="21" t="s">
        <v>983</v>
      </c>
      <c r="I178" s="13">
        <v>42935.524351851855</v>
      </c>
      <c r="J178" s="7">
        <v>0</v>
      </c>
      <c r="K178" s="89" t="str">
        <f>IF(ISEVEN(B178),(B178-1)&amp;"/"&amp;B178,B178&amp;"/"&amp;(B178+1))</f>
        <v>4055/4056</v>
      </c>
      <c r="L178" s="21" t="str">
        <f>VLOOKUP(A178,'Trips&amp;Operators'!$C$1:$G$99999,5,FALSE)</f>
        <v>NICHOLSON WESLEY</v>
      </c>
      <c r="M178" s="6">
        <f>I178-F178</f>
        <v>9.4907407401478849E-3</v>
      </c>
      <c r="N178" s="7">
        <f>24*60*SUM($M178:$M178)</f>
        <v>13.666666665812954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-19T10:58:19-0600',mode:absolute,to:'2017-07-19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8" s="197" t="str">
        <f>IF(AA178&lt;VLOOKUP(AG178,Variables!$AC$3:$AD$8,2,FALSE),"Y","N")</f>
        <v>N</v>
      </c>
      <c r="X178" s="197">
        <f t="shared" si="21"/>
        <v>1</v>
      </c>
      <c r="Y178" s="197">
        <f>RIGHT(D178,LEN(D178)-4)/10000</f>
        <v>0.1002</v>
      </c>
      <c r="Z178" s="197">
        <f>RIGHT(H178,LEN(H178)-4)/10000</f>
        <v>5.8971</v>
      </c>
      <c r="AA178" s="197">
        <f>ABS(Z178-Y178)</f>
        <v>5.7968999999999999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/stypes="app*4056*20170719*" /stext=" 18:.+((SYSTEM_STATE.+slice.+state.+changed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7"/>
        <v>"%USERPROFILE%\Documents\GitHub\eaglep3\Utilities\RefineRTDCRunTimes.py" --tripid 819-19 --locoid 4056 --swversion DE.1.0.9.0 --startMP 204:1002 --initTime 2017-07-19T11:58:19 --startdatetime 2017-07-19T12:21:24 --delay 1 --endMP 300:58971 --enddatetime 2017-07-19T12:35:04 --enforcementcount 0 &gt;&gt;C:\Users\stu\Documents\GitHub\eaglep3-reporting\EC\2017-07-19-refined-times.txt</v>
      </c>
      <c r="AI178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{"issue":{"subject":"","project_id":79,"tracker_id":40,"status_id":1,"priority_id":2,"assigned_to_id":23,"start_date":"2017-07-19","description":"","custom_fields":[{"id":1,"name":"Subdivision","value":"NW"},{"id":4,"name":"Milepost","value":"5.8971"},{"id":17,"name":"Train ID","value":"819-19"},{"id":16,"name":"Locomotive ID","value":"4056"},{"id":130,"name":"Impact","value":""},{"id":150,"name":"Time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9"/>
        <v>start /low /b %USERPROFILE%\Documents\GitHub\eaglep3\Utilities\DownloadLogsFromS3.py --loco 4056 --day 2017-07-19</v>
      </c>
      <c r="AN178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746</v>
      </c>
      <c r="B179" s="7">
        <v>4055</v>
      </c>
      <c r="C179" s="21" t="s">
        <v>199</v>
      </c>
      <c r="D179" s="21" t="s">
        <v>970</v>
      </c>
      <c r="E179" s="13">
        <v>42935.525891203702</v>
      </c>
      <c r="F179" s="13">
        <v>42935.527430555558</v>
      </c>
      <c r="G179" s="7">
        <v>1</v>
      </c>
      <c r="H179" s="21" t="s">
        <v>984</v>
      </c>
      <c r="I179" s="13">
        <v>42935.537916666668</v>
      </c>
      <c r="J179" s="7">
        <v>0</v>
      </c>
      <c r="K179" s="89" t="str">
        <f>IF(ISEVEN(B179),(B179-1)&amp;"/"&amp;B179,B179&amp;"/"&amp;(B179+1))</f>
        <v>4055/4056</v>
      </c>
      <c r="L179" s="21" t="str">
        <f>VLOOKUP(A179,'Trips&amp;Operators'!$C$1:$G$99999,5,FALSE)</f>
        <v>NICHOLSON WESLEY</v>
      </c>
      <c r="M179" s="6">
        <f>I179-F179</f>
        <v>1.0486111110367347E-2</v>
      </c>
      <c r="N179" s="7">
        <f>24*60*SUM($M179:$M179)</f>
        <v>15.099999998928979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-19T11:37:17-0600',mode:absolute,to:'2017-07-19T13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5.8659999999999997</v>
      </c>
      <c r="Z179" s="197">
        <f>RIGHT(H179,LEN(H179)-4)/10000</f>
        <v>7.1300000000000002E-2</v>
      </c>
      <c r="AA179" s="197">
        <f>ABS(Z179-Y179)</f>
        <v>5.7946999999999997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/stypes="app*4055*20170719*" /stext=" 18:.+((SYSTEM_STATE.+slice.+state.+changed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7"/>
        <v>"%USERPROFILE%\Documents\GitHub\eaglep3\Utilities\RefineRTDCRunTimes.py" --tripid 820-19 --locoid 4055 --swversion DE.1.0.9.0 --startMP 300:58660 --initTime 2017-07-19T12:37:17 --startdatetime 2017-07-19T12:39:30 --delay 1 --endMP 204:713 --enddatetime 2017-07-19T12:54:36 --enforcementcount 0 &gt;&gt;C:\Users\stu\Documents\GitHub\eaglep3-reporting\EC\2017-07-19-refined-times.txt</v>
      </c>
      <c r="AI179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{"issue":{"subject":"","project_id":79,"tracker_id":40,"status_id":1,"priority_id":2,"assigned_to_id":23,"start_date":"2017-07-19","description":"","custom_fields":[{"id":1,"name":"Subdivision","value":"NW"},{"id":4,"name":"Milepost","value":"0.0713"},{"id":17,"name":"Train ID","value":"820-19"},{"id":16,"name":"Locomotive ID","value":"4055"},{"id":130,"name":"Impact","value":""},{"id":150,"name":"Time of Event (Mountain Time)","value":"12:54:36"},{"id":151,"name":"Denver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9"/>
        <v>start /low /b %USERPROFILE%\Documents\GitHub\eaglep3\Utilities\DownloadLogsFromS3.py --loco 4055 --day 2017-07-19</v>
      </c>
      <c r="AN179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751</v>
      </c>
      <c r="B180" s="7">
        <v>4056</v>
      </c>
      <c r="C180" s="21" t="s">
        <v>199</v>
      </c>
      <c r="D180" s="21" t="s">
        <v>603</v>
      </c>
      <c r="E180" s="13">
        <v>42935.548946759256</v>
      </c>
      <c r="F180" s="13">
        <v>42935.556712962964</v>
      </c>
      <c r="G180" s="7">
        <v>1</v>
      </c>
      <c r="H180" s="21" t="s">
        <v>985</v>
      </c>
      <c r="I180" s="13">
        <v>42935.566574074073</v>
      </c>
      <c r="J180" s="7">
        <v>0</v>
      </c>
      <c r="K180" s="89" t="str">
        <f>IF(ISEVEN(B180),(B180-1)&amp;"/"&amp;B180,B180&amp;"/"&amp;(B180+1))</f>
        <v>4055/4056</v>
      </c>
      <c r="L180" s="21" t="str">
        <f>VLOOKUP(A180,'Trips&amp;Operators'!$C$1:$G$99999,5,FALSE)</f>
        <v>ANDERS STEVEN</v>
      </c>
      <c r="M180" s="6">
        <f>I180-F180</f>
        <v>9.8611111097852699E-3</v>
      </c>
      <c r="N180" s="7">
        <f>24*60*SUM($M180:$M180)</f>
        <v>14.199999998090789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-19T12:10:29-0600',mode:absolute,to:'2017-07-19T14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9.8100000000000007E-2</v>
      </c>
      <c r="Z180" s="197">
        <f>RIGHT(H180,LEN(H180)-4)/10000</f>
        <v>5.8956</v>
      </c>
      <c r="AA180" s="197">
        <f>ABS(Z180-Y180)</f>
        <v>5.7975000000000003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/stypes="app*4056*20170719*" /stext=" 19:.+((SYSTEM_STATE.+slice.+state.+changed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7"/>
        <v>"%USERPROFILE%\Documents\GitHub\eaglep3\Utilities\RefineRTDCRunTimes.py" --tripid 821-19 --locoid 4056 --swversion DE.1.0.9.0 --startMP 204:981 --initTime 2017-07-19T13:10:29 --startdatetime 2017-07-19T13:21:40 --delay 1 --endMP 300:58956 --enddatetime 2017-07-19T13:35:52 --enforcementcount 0 &gt;&gt;C:\Users\stu\Documents\GitHub\eaglep3-reporting\EC\2017-07-19-refined-times.txt</v>
      </c>
      <c r="AI180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{"issue":{"subject":"","project_id":79,"tracker_id":40,"status_id":1,"priority_id":2,"assigned_to_id":23,"start_date":"2017-07-19","description":"","custom_fields":[{"id":1,"name":"Subdivision","value":"NW"},{"id":4,"name":"Milepost","value":"5.8956"},{"id":17,"name":"Train ID","value":"821-19"},{"id":16,"name":"Locomotive ID","value":"4056"},{"id":130,"name":"Impact","value":""},{"id":150,"name":"Time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9"/>
        <v>start /low /b %USERPROFILE%\Documents\GitHub\eaglep3\Utilities\DownloadLogsFromS3.py --loco 4056 --day 2017-07-19</v>
      </c>
      <c r="AN180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757</v>
      </c>
      <c r="B181" s="7">
        <v>4055</v>
      </c>
      <c r="C181" s="21" t="s">
        <v>199</v>
      </c>
      <c r="D181" s="21" t="s">
        <v>547</v>
      </c>
      <c r="E181" s="13">
        <v>42935.567604166667</v>
      </c>
      <c r="F181" s="13">
        <v>42935.569178240738</v>
      </c>
      <c r="G181" s="7">
        <v>1</v>
      </c>
      <c r="H181" s="21" t="s">
        <v>986</v>
      </c>
      <c r="I181" s="13">
        <v>42935.580023148148</v>
      </c>
      <c r="J181" s="7">
        <v>0</v>
      </c>
      <c r="K181" s="89" t="str">
        <f>IF(ISEVEN(B181),(B181-1)&amp;"/"&amp;B181,B181&amp;"/"&amp;(B181+1))</f>
        <v>4055/4056</v>
      </c>
      <c r="L181" s="21" t="str">
        <f>VLOOKUP(A181,'Trips&amp;Operators'!$C$1:$G$99999,5,FALSE)</f>
        <v>ANDERS STEVEN</v>
      </c>
      <c r="M181" s="6">
        <f>I181-F181</f>
        <v>1.0844907410501037E-2</v>
      </c>
      <c r="N181" s="7">
        <f>24*60*SUM($M181:$M181)</f>
        <v>15.616666671121493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-19T12:37:21-0600',mode:absolute,to:'2017-07-19T14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5.8635999999999999</v>
      </c>
      <c r="Z181" s="197">
        <f>RIGHT(H181,LEN(H181)-4)/10000</f>
        <v>6.7500000000000004E-2</v>
      </c>
      <c r="AA181" s="197">
        <f>ABS(Z181-Y181)</f>
        <v>5.7961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/stypes="app*4055*20170719*" /stext=" 19:.+((SYSTEM_STATE.+slice.+state.+changed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7"/>
        <v>"%USERPROFILE%\Documents\GitHub\eaglep3\Utilities\RefineRTDCRunTimes.py" --tripid 822-19 --locoid 4055 --swversion DE.1.0.9.0 --startMP 300:58636 --initTime 2017-07-19T13:37:21 --startdatetime 2017-07-19T13:39:37 --delay 1 --endMP 204:675 --enddatetime 2017-07-19T13:55:14 --enforcementcount 0 &gt;&gt;C:\Users\stu\Documents\GitHub\eaglep3-reporting\EC\2017-07-19-refined-times.txt</v>
      </c>
      <c r="AI181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{"issue":{"subject":"","project_id":79,"tracker_id":40,"status_id":1,"priority_id":2,"assigned_to_id":23,"start_date":"2017-07-19","description":"","custom_fields":[{"id":1,"name":"Subdivision","value":"NW"},{"id":4,"name":"Milepost","value":"0.0675"},{"id":17,"name":"Train ID","value":"822-19"},{"id":16,"name":"Locomotive ID","value":"4055"},{"id":130,"name":"Impact","value":""},{"id":150,"name":"Time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9"/>
        <v>start /low /b %USERPROFILE%\Documents\GitHub\eaglep3\Utilities\DownloadLogsFromS3.py --loco 4055 --day 2017-07-19</v>
      </c>
      <c r="AN181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19:55:14"},{"id":29,"name":"Sharepoint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762</v>
      </c>
      <c r="B182" s="7">
        <v>4056</v>
      </c>
      <c r="C182" s="21" t="s">
        <v>199</v>
      </c>
      <c r="D182" s="21" t="s">
        <v>987</v>
      </c>
      <c r="E182" s="13">
        <v>42935.593576388892</v>
      </c>
      <c r="F182" s="13">
        <v>42935.598252314812</v>
      </c>
      <c r="G182" s="7">
        <v>1</v>
      </c>
      <c r="H182" s="21" t="s">
        <v>985</v>
      </c>
      <c r="I182" s="13">
        <v>42935.608738425923</v>
      </c>
      <c r="J182" s="7">
        <v>0</v>
      </c>
      <c r="K182" s="89" t="str">
        <f>IF(ISEVEN(B182),(B182-1)&amp;"/"&amp;B182,B182&amp;"/"&amp;(B182+1))</f>
        <v>4055/4056</v>
      </c>
      <c r="L182" s="21" t="str">
        <f>VLOOKUP(A182,'Trips&amp;Operators'!$C$1:$G$99999,5,FALSE)</f>
        <v>ANDERS STEVEN</v>
      </c>
      <c r="M182" s="6">
        <f>I182-F182</f>
        <v>1.0486111110367347E-2</v>
      </c>
      <c r="N182" s="7">
        <f>24*60*SUM($M182:$M182)</f>
        <v>15.099999998928979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-19T13:14:45-0600',mode:absolute,to:'2017-07-19T15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9.7199999999999995E-2</v>
      </c>
      <c r="Z182" s="197">
        <f>RIGHT(H182,LEN(H182)-4)/10000</f>
        <v>5.8956</v>
      </c>
      <c r="AA182" s="197">
        <f>ABS(Z182-Y182)</f>
        <v>5.7984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/stypes="app*4056*20170719*" /stext=" 20:.+((SYSTEM_STATE.+slice.+state.+changed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7"/>
        <v>"%USERPROFILE%\Documents\GitHub\eaglep3\Utilities\RefineRTDCRunTimes.py" --tripid 823-19 --locoid 4056 --swversion DE.1.0.9.0 --startMP 204:972 --initTime 2017-07-19T14:14:45 --startdatetime 2017-07-19T14:21:29 --delay 1 --endMP 300:58956 --enddatetime 2017-07-19T14:36:35 --enforcementcount 0 &gt;&gt;C:\Users\stu\Documents\GitHub\eaglep3-reporting\EC\2017-07-19-refined-times.txt</v>
      </c>
      <c r="AI182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{"issue":{"subject":"","project_id":79,"tracker_id":40,"status_id":1,"priority_id":2,"assigned_to_id":23,"start_date":"2017-07-19","description":"","custom_fields":[{"id":1,"name":"Subdivision","value":"NW"},{"id":4,"name":"Milepost","value":"5.8956"},{"id":17,"name":"Train ID","value":"823-19"},{"id":16,"name":"Locomotive ID","value":"4056"},{"id":130,"name":"Impact","value":""},{"id":150,"name":"Time of Event (Mountain Time)","value":"14:36:35"},{"id":151,"name":"Denver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9"/>
        <v>start /low /b %USERPROFILE%\Documents\GitHub\eaglep3\Utilities\DownloadLogsFromS3.py --loco 4056 --day 2017-07-19</v>
      </c>
      <c r="AN182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766</v>
      </c>
      <c r="B183" s="7">
        <v>4055</v>
      </c>
      <c r="C183" s="21" t="s">
        <v>199</v>
      </c>
      <c r="D183" s="21" t="s">
        <v>976</v>
      </c>
      <c r="E183" s="13">
        <v>42935.609884259262</v>
      </c>
      <c r="F183" s="13">
        <v>42935.611342592594</v>
      </c>
      <c r="G183" s="7">
        <v>1</v>
      </c>
      <c r="H183" s="21" t="s">
        <v>988</v>
      </c>
      <c r="I183" s="13">
        <v>42935.622129629628</v>
      </c>
      <c r="J183" s="7">
        <v>0</v>
      </c>
      <c r="K183" s="89" t="str">
        <f>IF(ISEVEN(B183),(B183-1)&amp;"/"&amp;B183,B183&amp;"/"&amp;(B183+1))</f>
        <v>4055/4056</v>
      </c>
      <c r="L183" s="21" t="str">
        <f>VLOOKUP(A183,'Trips&amp;Operators'!$C$1:$G$99999,5,FALSE)</f>
        <v>ANDERS STEVEN</v>
      </c>
      <c r="M183" s="6">
        <f>I183-F183</f>
        <v>1.0787037033878732E-2</v>
      </c>
      <c r="N183" s="7">
        <f>24*60*SUM($M183:$M183)</f>
        <v>15.533333328785375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-19T13:38:14-0600',mode:absolute,to:'2017-07-19T15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5.8648999999999996</v>
      </c>
      <c r="Z183" s="197">
        <f>RIGHT(H183,LEN(H183)-4)/10000</f>
        <v>6.9599999999999995E-2</v>
      </c>
      <c r="AA183" s="197">
        <f>ABS(Z183-Y183)</f>
        <v>5.7952999999999992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/stypes="app*4055*20170719*" /stext=" 20:.+((SYSTEM_STATE.+slice.+state.+changed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7"/>
        <v>"%USERPROFILE%\Documents\GitHub\eaglep3\Utilities\RefineRTDCRunTimes.py" --tripid 824-19 --locoid 4055 --swversion DE.1.0.9.0 --startMP 300:58649 --initTime 2017-07-19T14:38:14 --startdatetime 2017-07-19T14:40:20 --delay 1 --endMP 204:696 --enddatetime 2017-07-19T14:55:52 --enforcementcount 0 &gt;&gt;C:\Users\stu\Documents\GitHub\eaglep3-reporting\EC\2017-07-19-refined-times.txt</v>
      </c>
      <c r="AI183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{"issue":{"subject":"","project_id":79,"tracker_id":40,"status_id":1,"priority_id":2,"assigned_to_id":23,"start_date":"2017-07-19","description":"","custom_fields":[{"id":1,"name":"Subdivision","value":"NW"},{"id":4,"name":"Milepost","value":"0.0696"},{"id":17,"name":"Train ID","value":"824-19"},{"id":16,"name":"Locomotive ID","value":"4055"},{"id":130,"name":"Impact","value":""},{"id":150,"name":"Time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9"/>
        <v>start /low /b %USERPROFILE%\Documents\GitHub\eaglep3\Utilities\DownloadLogsFromS3.py --loco 4055 --day 2017-07-19</v>
      </c>
      <c r="AN183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20:55:52"},{"id":29,"name":"Sharepoint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772</v>
      </c>
      <c r="B184" s="7">
        <v>4056</v>
      </c>
      <c r="C184" s="21" t="s">
        <v>199</v>
      </c>
      <c r="D184" s="21" t="s">
        <v>969</v>
      </c>
      <c r="E184" s="13">
        <v>42935.633483796293</v>
      </c>
      <c r="F184" s="13">
        <v>42935.640405092592</v>
      </c>
      <c r="G184" s="7">
        <v>3</v>
      </c>
      <c r="H184" s="21" t="s">
        <v>989</v>
      </c>
      <c r="I184" s="13">
        <v>42935.650937500002</v>
      </c>
      <c r="J184" s="7">
        <v>0</v>
      </c>
      <c r="K184" s="89" t="str">
        <f>IF(ISEVEN(B184),(B184-1)&amp;"/"&amp;B184,B184&amp;"/"&amp;(B184+1))</f>
        <v>4055/4056</v>
      </c>
      <c r="L184" s="21" t="str">
        <f>VLOOKUP(A184,'Trips&amp;Operators'!$C$1:$G$99999,5,FALSE)</f>
        <v>ANDERS STEVEN</v>
      </c>
      <c r="M184" s="6">
        <f>I184-F184</f>
        <v>1.0532407410209998E-2</v>
      </c>
      <c r="N184" s="7">
        <f>24*60*SUM($M184:$M184)</f>
        <v>15.166666670702398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-19T14:12:13-0600',mode:absolute,to:'2017-07-19T16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9.9699999999999997E-2</v>
      </c>
      <c r="Z184" s="197">
        <f>RIGHT(H184,LEN(H184)-4)/10000</f>
        <v>5.8952</v>
      </c>
      <c r="AA184" s="197">
        <f>ABS(Z184-Y184)</f>
        <v>5.7954999999999997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/stypes="app*4056*20170719*" /stext=" 21:.+((SYSTEM_STATE.+slice.+state.+changed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7"/>
        <v>"%USERPROFILE%\Documents\GitHub\eaglep3\Utilities\RefineRTDCRunTimes.py" --tripid 825-19 --locoid 4056 --swversion DE.1.0.9.0 --startMP 204:997 --initTime 2017-07-19T15:12:13 --startdatetime 2017-07-19T15:22:11 --delay 3 --endMP 300:58952 --enddatetime 2017-07-19T15:37:21 --enforcementcount 0 &gt;&gt;C:\Users\stu\Documents\GitHub\eaglep3-reporting\EC\2017-07-19-refined-times.txt</v>
      </c>
      <c r="AI184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{"issue":{"subject":"","project_id":79,"tracker_id":40,"status_id":1,"priority_id":2,"assigned_to_id":23,"start_date":"2017-07-19","description":"","custom_fields":[{"id":1,"name":"Subdivision","value":"NW"},{"id":4,"name":"Milepost","value":"5.8952"},{"id":17,"name":"Train ID","value":"825-19"},{"id":16,"name":"Locomotive ID","value":"4056"},{"id":130,"name":"Impact","value":""},{"id":150,"name":"Time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9"/>
        <v>start /low /b %USERPROFILE%\Documents\GitHub\eaglep3\Utilities\DownloadLogsFromS3.py --loco 4056 --day 2017-07-19</v>
      </c>
      <c r="AN184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780</v>
      </c>
      <c r="B185" s="7">
        <v>4055</v>
      </c>
      <c r="C185" s="21" t="s">
        <v>199</v>
      </c>
      <c r="D185" s="21" t="s">
        <v>547</v>
      </c>
      <c r="E185" s="13">
        <v>42935.652268518519</v>
      </c>
      <c r="F185" s="13">
        <v>42935.654143518521</v>
      </c>
      <c r="G185" s="7">
        <v>1</v>
      </c>
      <c r="H185" s="21" t="s">
        <v>484</v>
      </c>
      <c r="I185" s="13">
        <v>42935.664155092592</v>
      </c>
      <c r="J185" s="7">
        <v>0</v>
      </c>
      <c r="K185" s="89" t="str">
        <f>IF(ISEVEN(B185),(B185-1)&amp;"/"&amp;B185,B185&amp;"/"&amp;(B185+1))</f>
        <v>4055/4056</v>
      </c>
      <c r="L185" s="21" t="str">
        <f>VLOOKUP(A185,'Trips&amp;Operators'!$C$1:$G$99999,5,FALSE)</f>
        <v>ANDERS STEVEN</v>
      </c>
      <c r="M185" s="6">
        <f>I185-F185</f>
        <v>1.0011574071540963E-2</v>
      </c>
      <c r="N185" s="7">
        <f>24*60*SUM($M185:$M185)</f>
        <v>14.416666663018987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-19T14:39:16-0600',mode:absolute,to:'2017-07-19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5.8635999999999999</v>
      </c>
      <c r="Z185" s="197">
        <f>RIGHT(H185,LEN(H185)-4)/10000</f>
        <v>6.9199999999999998E-2</v>
      </c>
      <c r="AA185" s="197">
        <f>ABS(Z185-Y185)</f>
        <v>5.7943999999999996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/stypes="app*4055*20170719*" /stext=" 21:.+((SYSTEM_STATE.+slice.+state.+changed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7"/>
        <v>"%USERPROFILE%\Documents\GitHub\eaglep3\Utilities\RefineRTDCRunTimes.py" --tripid 826-19 --locoid 4055 --swversion DE.1.0.9.0 --startMP 300:58636 --initTime 2017-07-19T15:39:16 --startdatetime 2017-07-19T15:41:58 --delay 1 --endMP 204:692 --enddatetime 2017-07-19T15:56:23 --enforcementcount 0 &gt;&gt;C:\Users\stu\Documents\GitHub\eaglep3-reporting\EC\2017-07-19-refined-times.txt</v>
      </c>
      <c r="AI185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{"issue":{"subject":"","project_id":79,"tracker_id":40,"status_id":1,"priority_id":2,"assigned_to_id":23,"start_date":"2017-07-19","description":"","custom_fields":[{"id":1,"name":"Subdivision","value":"NW"},{"id":4,"name":"Milepost","value":"0.0692"},{"id":17,"name":"Train ID","value":"826-19"},{"id":16,"name":"Locomotive ID","value":"4055"},{"id":130,"name":"Impact","value":""},{"id":150,"name":"Time of Event (Mountain Time)","value":"15:56:23"},{"id":151,"name":"Denver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9"/>
        <v>start /low /b %USERPROFILE%\Documents\GitHub\eaglep3\Utilities\DownloadLogsFromS3.py --loco 4055 --day 2017-07-19</v>
      </c>
      <c r="AN185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781</v>
      </c>
      <c r="B186" s="7">
        <v>4060</v>
      </c>
      <c r="C186" s="21" t="s">
        <v>199</v>
      </c>
      <c r="D186" s="21" t="s">
        <v>490</v>
      </c>
      <c r="E186" s="13">
        <v>42935.653298611112</v>
      </c>
      <c r="F186" s="13">
        <v>42935.660925925928</v>
      </c>
      <c r="G186" s="7">
        <v>1</v>
      </c>
      <c r="H186" s="21" t="s">
        <v>990</v>
      </c>
      <c r="I186" s="13">
        <v>42935.669849537036</v>
      </c>
      <c r="J186" s="7">
        <v>0</v>
      </c>
      <c r="K186" s="89" t="str">
        <f>IF(ISEVEN(B186),(B186-1)&amp;"/"&amp;B186,B186&amp;"/"&amp;(B186+1))</f>
        <v>4059/4060</v>
      </c>
      <c r="L186" s="21" t="str">
        <f>VLOOKUP(A186,'Trips&amp;Operators'!$C$1:$G$99999,5,FALSE)</f>
        <v>BIRKHOLZ NADINE</v>
      </c>
      <c r="M186" s="6">
        <f>I186-F186</f>
        <v>8.923611108912155E-3</v>
      </c>
      <c r="N186" s="7">
        <f>24*60*SUM($M186:$M186)</f>
        <v>12.849999996833503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-19T14:40:45-0600',mode:absolute,to:'2017-07-19T17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9.7100000000000006E-2</v>
      </c>
      <c r="Z186" s="197">
        <f>RIGHT(H186,LEN(H186)-4)/10000</f>
        <v>5.9001000000000001</v>
      </c>
      <c r="AA186" s="197">
        <f>ABS(Z186-Y186)</f>
        <v>5.8029999999999999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/stypes="app*4060*20170719*"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7"/>
        <v>"%USERPROFILE%\Documents\GitHub\eaglep3\Utilities\RefineRTDCRunTimes.py" --tripid 827-19 --locoid 4060 --swversion DE.1.0.9.0 --startMP 204:971 --initTime 2017-07-19T15:40:45 --startdatetime 2017-07-19T15:51:44 --delay 1 --endMP 300:59001 --enddatetime 2017-07-19T16:04:35 --enforcementcount 0 &gt;&gt;C:\Users\stu\Documents\GitHub\eaglep3-reporting\EC\2017-07-19-refined-times.txt</v>
      </c>
      <c r="AI186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{"issue":{"subject":"","project_id":79,"tracker_id":40,"status_id":1,"priority_id":2,"assigned_to_id":23,"start_date":"2017-07-19","description":"","custom_fields":[{"id":1,"name":"Subdivision","value":"NW"},{"id":4,"name":"Milepost","value":"5.9001"},{"id":17,"name":"Train ID","value":"827-19"},{"id":16,"name":"Locomotive ID","value":"4060"},{"id":130,"name":"Impact","value":""},{"id":150,"name":"Time of Event (Mountain Time)","value":"16:04:35"},{"id":151,"name":"Denver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9"/>
        <v>start /low /b %USERPROFILE%\Documents\GitHub\eaglep3\Utilities\DownloadLogsFromS3.py --loco 4060 --day 2017-07-19</v>
      </c>
      <c r="AN186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783</v>
      </c>
      <c r="B187" s="7">
        <v>4059</v>
      </c>
      <c r="C187" s="21" t="s">
        <v>199</v>
      </c>
      <c r="D187" s="21" t="s">
        <v>991</v>
      </c>
      <c r="E187" s="13">
        <v>42935.670949074076</v>
      </c>
      <c r="F187" s="13">
        <v>42935.674363425926</v>
      </c>
      <c r="G187" s="7">
        <v>1</v>
      </c>
      <c r="H187" s="21" t="s">
        <v>992</v>
      </c>
      <c r="I187" s="13">
        <v>42935.684293981481</v>
      </c>
      <c r="J187" s="7">
        <v>0</v>
      </c>
      <c r="K187" s="89" t="str">
        <f>IF(ISEVEN(B187),(B187-1)&amp;"/"&amp;B187,B187&amp;"/"&amp;(B187+1))</f>
        <v>4059/4060</v>
      </c>
      <c r="L187" s="21" t="str">
        <f>VLOOKUP(A187,'Trips&amp;Operators'!$C$1:$G$99999,5,FALSE)</f>
        <v>BIRKHOLZ NADINE</v>
      </c>
      <c r="M187" s="6">
        <f>I187-F187</f>
        <v>9.930555555911269E-3</v>
      </c>
      <c r="N187" s="7">
        <f>24*60*SUM($M187:$M187)</f>
        <v>14.300000000512227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-19T15:06:10-0600',mode:absolute,to:'2017-07-19T17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5.8681000000000001</v>
      </c>
      <c r="Z187" s="197">
        <f>RIGHT(H187,LEN(H187)-4)/10000</f>
        <v>6.6799999999999998E-2</v>
      </c>
      <c r="AA187" s="197">
        <f>ABS(Z187-Y187)</f>
        <v>5.8013000000000003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/stypes="app*4059*20170719*"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7"/>
        <v>"%USERPROFILE%\Documents\GitHub\eaglep3\Utilities\RefineRTDCRunTimes.py" --tripid 828-19 --locoid 4059 --swversion DE.1.0.9.0 --startMP 300:58681 --initTime 2017-07-19T16:06:10 --startdatetime 2017-07-19T16:11:05 --delay 1 --endMP 204:668 --enddatetime 2017-07-19T16:25:23 --enforcementcount 0 &gt;&gt;C:\Users\stu\Documents\GitHub\eaglep3-reporting\EC\2017-07-19-refined-times.txt</v>
      </c>
      <c r="AI187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{"issue":{"subject":"","project_id":79,"tracker_id":40,"status_id":1,"priority_id":2,"assigned_to_id":23,"start_date":"2017-07-19","description":"","custom_fields":[{"id":1,"name":"Subdivision","value":"NW"},{"id":4,"name":"Milepost","value":"0.0668"},{"id":17,"name":"Train ID","value":"828-19"},{"id":16,"name":"Locomotive ID","value":"4059"},{"id":130,"name":"Impact","value":""},{"id":150,"name":"Time of Event (Mountain Time)","value":"16:25:23"},{"id":151,"name":"Denver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9"/>
        <v>start /low /b %USERPROFILE%\Documents\GitHub\eaglep3\Utilities\DownloadLogsFromS3.py --loco 4059 --day 2017-07-19</v>
      </c>
      <c r="AN187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786</v>
      </c>
      <c r="B188" s="7">
        <v>4056</v>
      </c>
      <c r="C188" s="21" t="s">
        <v>199</v>
      </c>
      <c r="D188" s="21" t="s">
        <v>513</v>
      </c>
      <c r="E188" s="13">
        <v>42935.676238425927</v>
      </c>
      <c r="F188" s="13">
        <v>42935.681539351855</v>
      </c>
      <c r="G188" s="7">
        <v>1</v>
      </c>
      <c r="H188" s="21" t="s">
        <v>993</v>
      </c>
      <c r="I188" s="13">
        <v>42935.692280092589</v>
      </c>
      <c r="J188" s="7">
        <v>0</v>
      </c>
      <c r="K188" s="89" t="str">
        <f>IF(ISEVEN(B188),(B188-1)&amp;"/"&amp;B188,B188&amp;"/"&amp;(B188+1))</f>
        <v>4055/4056</v>
      </c>
      <c r="L188" s="21" t="str">
        <f>VLOOKUP(A188,'Trips&amp;Operators'!$C$1:$G$99999,5,FALSE)</f>
        <v>ANDERS STEVEN</v>
      </c>
      <c r="M188" s="6">
        <f>I188-F188</f>
        <v>1.0740740734036081E-2</v>
      </c>
      <c r="N188" s="7">
        <f>24*60*SUM($M188:$M188)</f>
        <v>15.466666657011956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-19T15:13:47-0600',mode:absolute,to:'2017-07-19T17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9.7900000000000001E-2</v>
      </c>
      <c r="Z188" s="197">
        <f>RIGHT(H188,LEN(H188)-4)/10000</f>
        <v>5.8948</v>
      </c>
      <c r="AA188" s="197">
        <f>ABS(Z188-Y188)</f>
        <v>5.7968999999999999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/stypes="app*4056*20170719*"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7"/>
        <v>"%USERPROFILE%\Documents\GitHub\eaglep3\Utilities\RefineRTDCRunTimes.py" --tripid 829-19 --locoid 4056 --swversion DE.1.0.9.0 --startMP 204:979 --initTime 2017-07-19T16:13:47 --startdatetime 2017-07-19T16:21:25 --delay 1 --endMP 300:58948 --enddatetime 2017-07-19T16:36:53 --enforcementcount 0 &gt;&gt;C:\Users\stu\Documents\GitHub\eaglep3-reporting\EC\2017-07-19-refined-times.txt</v>
      </c>
      <c r="AI188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{"issue":{"subject":"","project_id":79,"tracker_id":40,"status_id":1,"priority_id":2,"assigned_to_id":23,"start_date":"2017-07-19","description":"","custom_fields":[{"id":1,"name":"Subdivision","value":"NW"},{"id":4,"name":"Milepost","value":"5.8948"},{"id":17,"name":"Train ID","value":"829-19"},{"id":16,"name":"Locomotive ID","value":"4056"},{"id":130,"name":"Impact","value":""},{"id":150,"name":"Time of Event (Mountain Time)","value":"16:36:53"},{"id":151,"name":"Denver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9"/>
        <v>start /low /b %USERPROFILE%\Documents\GitHub\eaglep3\Utilities\DownloadLogsFromS3.py --loco 4056 --day 2017-07-19</v>
      </c>
      <c r="AN188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789</v>
      </c>
      <c r="B189" s="7">
        <v>4055</v>
      </c>
      <c r="C189" s="21" t="s">
        <v>199</v>
      </c>
      <c r="D189" s="21" t="s">
        <v>994</v>
      </c>
      <c r="E189" s="13">
        <v>42935.69358796296</v>
      </c>
      <c r="F189" s="13">
        <v>42935.694884259261</v>
      </c>
      <c r="G189" s="7">
        <v>1</v>
      </c>
      <c r="H189" s="21" t="s">
        <v>995</v>
      </c>
      <c r="I189" s="13">
        <v>42935.706087962964</v>
      </c>
      <c r="J189" s="7">
        <v>0</v>
      </c>
      <c r="K189" s="89" t="str">
        <f>IF(ISEVEN(B189),(B189-1)&amp;"/"&amp;B189,B189&amp;"/"&amp;(B189+1))</f>
        <v>4055/4056</v>
      </c>
      <c r="L189" s="21" t="str">
        <f>VLOOKUP(A189,'Trips&amp;Operators'!$C$1:$G$99999,5,FALSE)</f>
        <v>ANDERS STEVEN</v>
      </c>
      <c r="M189" s="6">
        <f>I189-F189</f>
        <v>1.1203703703358769E-2</v>
      </c>
      <c r="N189" s="7">
        <f>24*60*SUM($M189:$M189)</f>
        <v>16.133333332836628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-19T15:38:46-0600',mode:absolute,to:'2017-07-19T17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5.8647</v>
      </c>
      <c r="Z189" s="197">
        <f>RIGHT(H189,LEN(H189)-4)/10000</f>
        <v>6.8699999999999997E-2</v>
      </c>
      <c r="AA189" s="197">
        <f>ABS(Z189-Y189)</f>
        <v>5.7960000000000003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/stypes="app*4055*20170719*" /stext=" 22:.+((SYSTEM_STATE.+slice.+state.+changed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7"/>
        <v>"%USERPROFILE%\Documents\GitHub\eaglep3\Utilities\RefineRTDCRunTimes.py" --tripid 830-19 --locoid 4055 --swversion DE.1.0.9.0 --startMP 300:58647 --initTime 2017-07-19T16:38:46 --startdatetime 2017-07-19T16:40:38 --delay 1 --endMP 204:687 --enddatetime 2017-07-19T16:56:46 --enforcementcount 0 &gt;&gt;C:\Users\stu\Documents\GitHub\eaglep3-reporting\EC\2017-07-19-refined-times.txt</v>
      </c>
      <c r="AI189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{"issue":{"subject":"","project_id":79,"tracker_id":40,"status_id":1,"priority_id":2,"assigned_to_id":23,"start_date":"2017-07-19","description":"","custom_fields":[{"id":1,"name":"Subdivision","value":"NW"},{"id":4,"name":"Milepost","value":"0.0687"},{"id":17,"name":"Train ID","value":"830-19"},{"id":16,"name":"Locomotive ID","value":"4055"},{"id":130,"name":"Impact","value":""},{"id":150,"name":"Time of Event (Mountain Time)","value":"16:56:46"},{"id":151,"name":"Denver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9"/>
        <v>start /low /b %USERPROFILE%\Documents\GitHub\eaglep3\Utilities\DownloadLogsFromS3.py --loco 4055 --day 2017-07-19</v>
      </c>
      <c r="AN189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22:56:46"},{"id":29,"name":"Sharepoint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790</v>
      </c>
      <c r="B190" s="7">
        <v>4060</v>
      </c>
      <c r="C190" s="21" t="s">
        <v>199</v>
      </c>
      <c r="D190" s="21" t="s">
        <v>996</v>
      </c>
      <c r="E190" s="13">
        <v>42935.699849537035</v>
      </c>
      <c r="F190" s="13">
        <v>42935.702337962961</v>
      </c>
      <c r="G190" s="7">
        <v>1</v>
      </c>
      <c r="H190" s="21" t="s">
        <v>985</v>
      </c>
      <c r="I190" s="13">
        <v>42935.712094907409</v>
      </c>
      <c r="J190" s="7">
        <v>0</v>
      </c>
      <c r="K190" s="89" t="str">
        <f>IF(ISEVEN(B190),(B190-1)&amp;"/"&amp;B190,B190&amp;"/"&amp;(B190+1))</f>
        <v>4059/4060</v>
      </c>
      <c r="L190" s="21" t="str">
        <f>VLOOKUP(A190,'Trips&amp;Operators'!$C$1:$G$99999,5,FALSE)</f>
        <v>BIRKHOLZ NADINE</v>
      </c>
      <c r="M190" s="6">
        <f>I190-F190</f>
        <v>9.7569444478722289E-3</v>
      </c>
      <c r="N190" s="7">
        <f>24*60*SUM($M190:$M190)</f>
        <v>14.05000000493601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-19T15:47:47-0600',mode:absolute,to:'2017-07-19T18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9.69E-2</v>
      </c>
      <c r="Z190" s="197">
        <f>RIGHT(H190,LEN(H190)-4)/10000</f>
        <v>5.8956</v>
      </c>
      <c r="AA190" s="197">
        <f>ABS(Z190-Y190)</f>
        <v>5.7987000000000002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/stypes="app*4060*20170719*"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7"/>
        <v>"%USERPROFILE%\Documents\GitHub\eaglep3\Utilities\RefineRTDCRunTimes.py" --tripid 831-19 --locoid 4060 --swversion DE.1.0.9.0 --startMP 204:969 --initTime 2017-07-19T16:47:47 --startdatetime 2017-07-19T16:51:22 --delay 1 --endMP 300:58956 --enddatetime 2017-07-19T17:05:25 --enforcementcount 0 &gt;&gt;C:\Users\stu\Documents\GitHub\eaglep3-reporting\EC\2017-07-19-refined-times.txt</v>
      </c>
      <c r="AI190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{"issue":{"subject":"","project_id":79,"tracker_id":40,"status_id":1,"priority_id":2,"assigned_to_id":23,"start_date":"2017-07-19","description":"","custom_fields":[{"id":1,"name":"Subdivision","value":"NW"},{"id":4,"name":"Milepost","value":"5.8956"},{"id":17,"name":"Train ID","value":"831-19"},{"id":16,"name":"Locomotive ID","value":"4060"},{"id":130,"name":"Impact","value":""},{"id":150,"name":"Time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9"/>
        <v>start /low /b %USERPROFILE%\Documents\GitHub\eaglep3\Utilities\DownloadLogsFromS3.py --loco 4060 --day 2017-07-19</v>
      </c>
      <c r="AN190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795</v>
      </c>
      <c r="B191" s="7">
        <v>4059</v>
      </c>
      <c r="C191" s="21" t="s">
        <v>199</v>
      </c>
      <c r="D191" s="21" t="s">
        <v>997</v>
      </c>
      <c r="E191" s="13">
        <v>42935.713333333333</v>
      </c>
      <c r="F191" s="13">
        <v>42935.715960648151</v>
      </c>
      <c r="G191" s="7">
        <v>1</v>
      </c>
      <c r="H191" s="21" t="s">
        <v>998</v>
      </c>
      <c r="I191" s="13">
        <v>42935.726331018515</v>
      </c>
      <c r="J191" s="7">
        <v>0</v>
      </c>
      <c r="K191" s="89" t="str">
        <f>IF(ISEVEN(B191),(B191-1)&amp;"/"&amp;B191,B191&amp;"/"&amp;(B191+1))</f>
        <v>4059/4060</v>
      </c>
      <c r="L191" s="21" t="str">
        <f>VLOOKUP(A191,'Trips&amp;Operators'!$C$1:$G$99999,5,FALSE)</f>
        <v>BIRKHOLZ NADINE</v>
      </c>
      <c r="M191" s="6">
        <f>I191-F191</f>
        <v>1.0370370364398696E-2</v>
      </c>
      <c r="N191" s="7">
        <f>24*60*SUM($M191:$M191)</f>
        <v>14.933333324734122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-19T16:07:12-0600',mode:absolute,to:'2017-07-19T18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5.8632</v>
      </c>
      <c r="Z191" s="197">
        <f>RIGHT(H191,LEN(H191)-4)/10000</f>
        <v>6.7100000000000007E-2</v>
      </c>
      <c r="AA191" s="197">
        <f>ABS(Z191-Y191)</f>
        <v>5.7961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/stypes="app*4059*20170719*"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7"/>
        <v>"%USERPROFILE%\Documents\GitHub\eaglep3\Utilities\RefineRTDCRunTimes.py" --tripid 832-19 --locoid 4059 --swversion DE.1.0.9.0 --startMP 300:58632 --initTime 2017-07-19T17:07:12 --startdatetime 2017-07-19T17:10:59 --delay 1 --endMP 204:671 --enddatetime 2017-07-19T17:25:55 --enforcementcount 0 &gt;&gt;C:\Users\stu\Documents\GitHub\eaglep3-reporting\EC\2017-07-19-refined-times.txt</v>
      </c>
      <c r="AI191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{"issue":{"subject":"","project_id":79,"tracker_id":40,"status_id":1,"priority_id":2,"assigned_to_id":23,"start_date":"2017-07-19","description":"","custom_fields":[{"id":1,"name":"Subdivision","value":"NW"},{"id":4,"name":"Milepost","value":"0.0671"},{"id":17,"name":"Train ID","value":"832-19"},{"id":16,"name":"Locomotive ID","value":"4059"},{"id":130,"name":"Impact","value":""},{"id":150,"name":"Time of Event (Mountain Time)","value":"17:25:55"},{"id":151,"name":"Denver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9"/>
        <v>start /low /b %USERPROFILE%\Documents\GitHub\eaglep3\Utilities\DownloadLogsFromS3.py --loco 4059 --day 2017-07-19</v>
      </c>
      <c r="AN191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799</v>
      </c>
      <c r="B192" s="7">
        <v>4056</v>
      </c>
      <c r="C192" s="21" t="s">
        <v>199</v>
      </c>
      <c r="D192" s="21" t="s">
        <v>999</v>
      </c>
      <c r="E192" s="13">
        <v>42935.719293981485</v>
      </c>
      <c r="F192" s="13">
        <v>42935.723298611112</v>
      </c>
      <c r="G192" s="7">
        <v>1</v>
      </c>
      <c r="H192" s="21" t="s">
        <v>1000</v>
      </c>
      <c r="I192" s="13">
        <v>42935.734201388892</v>
      </c>
      <c r="J192" s="7">
        <v>0</v>
      </c>
      <c r="K192" s="89" t="str">
        <f>IF(ISEVEN(B192),(B192-1)&amp;"/"&amp;B192,B192&amp;"/"&amp;(B192+1))</f>
        <v>4055/4056</v>
      </c>
      <c r="L192" s="21" t="str">
        <f>VLOOKUP(A192,'Trips&amp;Operators'!$C$1:$G$99999,5,FALSE)</f>
        <v>ANDERS STEVEN</v>
      </c>
      <c r="M192" s="6">
        <f>I192-F192</f>
        <v>1.0902777779847383E-2</v>
      </c>
      <c r="N192" s="7">
        <f>24*60*SUM($M192:$M192)</f>
        <v>15.700000002980232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-19T16:15:47-0600',mode:absolute,to:'2017-07-19T18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9.6699999999999994E-2</v>
      </c>
      <c r="Z192" s="197">
        <f>RIGHT(H192,LEN(H192)-4)/10000</f>
        <v>5.8959999999999999</v>
      </c>
      <c r="AA192" s="197">
        <f>ABS(Z192-Y192)</f>
        <v>5.7992999999999997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/stypes="app*4056*20170719*"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7"/>
        <v>"%USERPROFILE%\Documents\GitHub\eaglep3\Utilities\RefineRTDCRunTimes.py" --tripid 833-19 --locoid 4056 --swversion DE.1.0.9.0 --startMP 204:967 --initTime 2017-07-19T17:15:47 --startdatetime 2017-07-19T17:21:33 --delay 1 --endMP 300:58960 --enddatetime 2017-07-19T17:37:15 --enforcementcount 0 &gt;&gt;C:\Users\stu\Documents\GitHub\eaglep3-reporting\EC\2017-07-19-refined-times.txt</v>
      </c>
      <c r="AI192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{"issue":{"subject":"","project_id":79,"tracker_id":40,"status_id":1,"priority_id":2,"assigned_to_id":23,"start_date":"2017-07-19","description":"","custom_fields":[{"id":1,"name":"Subdivision","value":"NW"},{"id":4,"name":"Milepost","value":"5.896"},{"id":17,"name":"Train ID","value":"833-19"},{"id":16,"name":"Locomotive ID","value":"4056"},{"id":130,"name":"Impact","value":""},{"id":150,"name":"Time of Event (Mountain Time)","value":"17:37:15"},{"id":151,"name":"Denver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9"/>
        <v>start /low /b %USERPROFILE%\Documents\GitHub\eaglep3\Utilities\DownloadLogsFromS3.py --loco 4056 --day 2017-07-19</v>
      </c>
      <c r="AN192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802</v>
      </c>
      <c r="B193" s="7">
        <v>4055</v>
      </c>
      <c r="C193" s="21" t="s">
        <v>199</v>
      </c>
      <c r="D193" s="21" t="s">
        <v>1001</v>
      </c>
      <c r="E193" s="13">
        <v>42935.735231481478</v>
      </c>
      <c r="F193" s="13">
        <v>42935.736655092594</v>
      </c>
      <c r="G193" s="7">
        <v>1</v>
      </c>
      <c r="H193" s="21" t="s">
        <v>597</v>
      </c>
      <c r="I193" s="13">
        <v>42935.747627314813</v>
      </c>
      <c r="J193" s="7">
        <v>0</v>
      </c>
      <c r="K193" s="89" t="str">
        <f>IF(ISEVEN(B193),(B193-1)&amp;"/"&amp;B193,B193&amp;"/"&amp;(B193+1))</f>
        <v>4055/4056</v>
      </c>
      <c r="L193" s="21" t="str">
        <f>VLOOKUP(A193,'Trips&amp;Operators'!$C$1:$G$99999,5,FALSE)</f>
        <v>ANDERS STEVEN</v>
      </c>
      <c r="M193" s="6">
        <f>I193-F193</f>
        <v>1.0972222218697425E-2</v>
      </c>
      <c r="N193" s="7">
        <f>24*60*SUM($M193:$M193)</f>
        <v>15.799999994924292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-19T16:38:44-0600',mode:absolute,to:'2017-07-19T18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5.8640999999999996</v>
      </c>
      <c r="Z193" s="197">
        <f>RIGHT(H193,LEN(H193)-4)/10000</f>
        <v>6.8900000000000003E-2</v>
      </c>
      <c r="AA193" s="197">
        <f>ABS(Z193-Y193)</f>
        <v>5.7951999999999995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/stypes="app*4055*20170719*" /stext=" 23:.+((SYSTEM_STATE.+slice.+state.+changed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7"/>
        <v>"%USERPROFILE%\Documents\GitHub\eaglep3\Utilities\RefineRTDCRunTimes.py" --tripid 834-19 --locoid 4055 --swversion DE.1.0.9.0 --startMP 300:58641 --initTime 2017-07-19T17:38:44 --startdatetime 2017-07-19T17:40:47 --delay 1 --endMP 204:689 --enddatetime 2017-07-19T17:56:35 --enforcementcount 0 &gt;&gt;C:\Users\stu\Documents\GitHub\eaglep3-reporting\EC\2017-07-19-refined-times.txt</v>
      </c>
      <c r="AI193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{"issue":{"subject":"","project_id":79,"tracker_id":40,"status_id":1,"priority_id":2,"assigned_to_id":23,"start_date":"2017-07-19","description":"","custom_fields":[{"id":1,"name":"Subdivision","value":"NW"},{"id":4,"name":"Milepost","value":"0.0689"},{"id":17,"name":"Train ID","value":"834-19"},{"id":16,"name":"Locomotive ID","value":"4055"},{"id":130,"name":"Impact","value":""},{"id":150,"name":"Time of Event (Mountain Time)","value":"17:56:35"},{"id":151,"name":"Denver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9"/>
        <v>start /low /b %USERPROFILE%\Documents\GitHub\eaglep3\Utilities\DownloadLogsFromS3.py --loco 4055 --day 2017-07-19</v>
      </c>
      <c r="AN193" s="151" t="str">
        <f t="shared" si="20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636</v>
      </c>
      <c r="B194" s="7">
        <v>4060</v>
      </c>
      <c r="C194" s="21" t="s">
        <v>199</v>
      </c>
      <c r="D194" s="21" t="s">
        <v>490</v>
      </c>
      <c r="E194" s="13">
        <v>42935.73578703704</v>
      </c>
      <c r="F194" s="13">
        <v>42935.743993055556</v>
      </c>
      <c r="G194" s="7">
        <v>1</v>
      </c>
      <c r="H194" s="21" t="s">
        <v>1002</v>
      </c>
      <c r="I194" s="13">
        <v>42935.753101851849</v>
      </c>
      <c r="J194" s="7">
        <v>0</v>
      </c>
      <c r="K194" s="89" t="str">
        <f>IF(ISEVEN(B194),(B194-1)&amp;"/"&amp;B194,B194&amp;"/"&amp;(B194+1))</f>
        <v>4059/4060</v>
      </c>
      <c r="L194" s="21" t="str">
        <f>VLOOKUP(A194,'Trips&amp;Operators'!$C$1:$G$99999,5,FALSE)</f>
        <v>BIRKHOLZ NADINE</v>
      </c>
      <c r="M194" s="6">
        <f>I194-F194</f>
        <v>9.1087962937308475E-3</v>
      </c>
      <c r="N194" s="7">
        <f>24*60*SUM($M194:$M194)</f>
        <v>13.11666666297242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-19T16:39:32-0600',mode:absolute,to:'2017-07-19T19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9.7100000000000006E-2</v>
      </c>
      <c r="Z194" s="197">
        <f>RIGHT(H194,LEN(H194)-4)/10000</f>
        <v>5.8106</v>
      </c>
      <c r="AA194" s="197">
        <f>ABS(Z194-Y194)</f>
        <v>5.7134999999999998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/stypes="app*4060*20170720*"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7"/>
        <v>"%USERPROFILE%\Documents\GitHub\eaglep3\Utilities\RefineRTDCRunTimes.py" --tripid 835-19 --locoid 4060 --swversion DE.1.0.9.0 --startMP 204:971 --initTime 2017-07-19T17:39:32 --startdatetime 2017-07-19T17:51:21 --delay 1 --endMP 300:58106 --enddatetime 2017-07-19T18:04:28 --enforcementcount 0 &gt;&gt;C:\Users\stu\Documents\GitHub\eaglep3-reporting\EC\2017-07-19-refined-times.txt</v>
      </c>
      <c r="AI194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{"issue":{"subject":"","project_id":79,"tracker_id":40,"status_id":1,"priority_id":2,"assigned_to_id":23,"start_date":"2017-07-19","description":"","custom_fields":[{"id":1,"name":"Subdivision","value":"NW"},{"id":4,"name":"Milepost","value":"5.8106"},{"id":17,"name":"Train ID","value":"835-19"},{"id":16,"name":"Locomotive ID","value":"4060"},{"id":130,"name":"Impact","value":""},{"id":150,"name":"Time of Event (Mountain Time)","value":"18:04:28"},{"id":151,"name":"Denver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9"/>
        <v>start /low /b %USERPROFILE%\Documents\GitHub\eaglep3\Utilities\DownloadLogsFromS3.py --loco 4060 --day 2017-07-19</v>
      </c>
      <c r="AN194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639</v>
      </c>
      <c r="B195" s="7">
        <v>4059</v>
      </c>
      <c r="C195" s="21" t="s">
        <v>199</v>
      </c>
      <c r="D195" s="21" t="s">
        <v>1003</v>
      </c>
      <c r="E195" s="13">
        <v>42935.754178240742</v>
      </c>
      <c r="F195" s="13">
        <v>42935.757974537039</v>
      </c>
      <c r="G195" s="7">
        <v>2</v>
      </c>
      <c r="H195" s="21" t="s">
        <v>597</v>
      </c>
      <c r="I195" s="13">
        <v>42935.767476851855</v>
      </c>
      <c r="J195" s="7">
        <v>0</v>
      </c>
      <c r="K195" s="89" t="str">
        <f>IF(ISEVEN(B195),(B195-1)&amp;"/"&amp;B195,B195&amp;"/"&amp;(B195+1))</f>
        <v>4059/4060</v>
      </c>
      <c r="L195" s="21" t="str">
        <f>VLOOKUP(A195,'Trips&amp;Operators'!$C$1:$G$99999,5,FALSE)</f>
        <v>BIRKHOLZ NADINE</v>
      </c>
      <c r="M195" s="6">
        <f>I195-F195</f>
        <v>9.5023148169275373E-3</v>
      </c>
      <c r="N195" s="7">
        <f>24*60*SUM($M195:$M195)</f>
        <v>13.683333336375654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-19T17:06:01-0600',mode:absolute,to:'2017-07-19T19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5.8707000000000003</v>
      </c>
      <c r="Z195" s="197">
        <f>RIGHT(H195,LEN(H195)-4)/10000</f>
        <v>6.8900000000000003E-2</v>
      </c>
      <c r="AA195" s="197">
        <f>ABS(Z195-Y195)</f>
        <v>5.8018000000000001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/stypes="app*4059*20170720*"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7"/>
        <v>"%USERPROFILE%\Documents\GitHub\eaglep3\Utilities\RefineRTDCRunTimes.py" --tripid 836-19 --locoid 4059 --swversion DE.1.0.9.0 --startMP 300:58707 --initTime 2017-07-19T18:06:01 --startdatetime 2017-07-19T18:11:29 --delay 2 --endMP 204:689 --enddatetime 2017-07-19T18:25:10 --enforcementcount 0 &gt;&gt;C:\Users\stu\Documents\GitHub\eaglep3-reporting\EC\2017-07-19-refined-times.txt</v>
      </c>
      <c r="AI195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{"issue":{"subject":"","project_id":79,"tracker_id":40,"status_id":1,"priority_id":2,"assigned_to_id":23,"start_date":"2017-07-19","description":"","custom_fields":[{"id":1,"name":"Subdivision","value":"NW"},{"id":4,"name":"Milepost","value":"0.0689"},{"id":17,"name":"Train ID","value":"836-19"},{"id":16,"name":"Locomotive ID","value":"4059"},{"id":130,"name":"Impact","value":""},{"id":150,"name":"Time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9"/>
        <v>start /low /b %USERPROFILE%\Documents\GitHub\eaglep3\Utilities\DownloadLogsFromS3.py --loco 4059 --day 2017-07-19</v>
      </c>
      <c r="AN195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810</v>
      </c>
      <c r="B196" s="7">
        <v>4056</v>
      </c>
      <c r="C196" s="21" t="s">
        <v>199</v>
      </c>
      <c r="D196" s="21" t="s">
        <v>603</v>
      </c>
      <c r="E196" s="13">
        <v>42935.759884259256</v>
      </c>
      <c r="F196" s="13">
        <v>42935.764791666668</v>
      </c>
      <c r="G196" s="7">
        <v>1</v>
      </c>
      <c r="H196" s="21" t="s">
        <v>1004</v>
      </c>
      <c r="I196" s="13">
        <v>42935.775601851848</v>
      </c>
      <c r="J196" s="7">
        <v>0</v>
      </c>
      <c r="K196" s="89" t="str">
        <f>IF(ISEVEN(B196),(B196-1)&amp;"/"&amp;B196,B196&amp;"/"&amp;(B196+1))</f>
        <v>4055/4056</v>
      </c>
      <c r="L196" s="21" t="str">
        <f>VLOOKUP(A196,'Trips&amp;Operators'!$C$1:$G$99999,5,FALSE)</f>
        <v>ANDERS STEVEN</v>
      </c>
      <c r="M196" s="6">
        <f>I196-F196</f>
        <v>1.081018518016208E-2</v>
      </c>
      <c r="N196" s="7">
        <f>24*60*SUM($M196:$M196)</f>
        <v>15.566666659433395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-19T17:14:14-0600',mode:absolute,to:'2017-07-19T19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9.8100000000000007E-2</v>
      </c>
      <c r="Z196" s="197">
        <f>RIGHT(H196,LEN(H196)-4)/10000</f>
        <v>5.8960999999999997</v>
      </c>
      <c r="AA196" s="197">
        <f>ABS(Z196-Y196)</f>
        <v>5.798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/stypes="app*4056*20170720*"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7"/>
        <v>"%USERPROFILE%\Documents\GitHub\eaglep3\Utilities\RefineRTDCRunTimes.py" --tripid 837-19 --locoid 4056 --swversion DE.1.0.9.0 --startMP 204:981 --initTime 2017-07-19T18:14:14 --startdatetime 2017-07-19T18:21:18 --delay 1 --endMP 300:58961 --enddatetime 2017-07-19T18:36:52 --enforcementcount 0 &gt;&gt;C:\Users\stu\Documents\GitHub\eaglep3-reporting\EC\2017-07-19-refined-times.txt</v>
      </c>
      <c r="AI196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{"issue":{"subject":"","project_id":79,"tracker_id":40,"status_id":1,"priority_id":2,"assigned_to_id":23,"start_date":"2017-07-19","description":"","custom_fields":[{"id":1,"name":"Subdivision","value":"NW"},{"id":4,"name":"Milepost","value":"5.8961"},{"id":17,"name":"Train ID","value":"837-19"},{"id":16,"name":"Locomotive ID","value":"4056"},{"id":130,"name":"Impact","value":""},{"id":150,"name":"Time of Event (Mountain Time)","value":"18:36:52"},{"id":151,"name":"Denver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9"/>
        <v>start /low /b %USERPROFILE%\Documents\GitHub\eaglep3\Utilities\DownloadLogsFromS3.py --loco 4056 --day 2017-07-19</v>
      </c>
      <c r="AN196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815</v>
      </c>
      <c r="B197" s="7">
        <v>4055</v>
      </c>
      <c r="C197" s="21" t="s">
        <v>199</v>
      </c>
      <c r="D197" s="21" t="s">
        <v>547</v>
      </c>
      <c r="E197" s="13">
        <v>42935.776863425926</v>
      </c>
      <c r="F197" s="13">
        <v>42935.778449074074</v>
      </c>
      <c r="G197" s="7">
        <v>1</v>
      </c>
      <c r="H197" s="21" t="s">
        <v>984</v>
      </c>
      <c r="I197" s="13">
        <v>42935.789282407408</v>
      </c>
      <c r="J197" s="7">
        <v>0</v>
      </c>
      <c r="K197" s="89" t="str">
        <f>IF(ISEVEN(B197),(B197-1)&amp;"/"&amp;B197,B197&amp;"/"&amp;(B197+1))</f>
        <v>4055/4056</v>
      </c>
      <c r="L197" s="21" t="str">
        <f>VLOOKUP(A197,'Trips&amp;Operators'!$C$1:$G$99999,5,FALSE)</f>
        <v>ANDERS STEVEN</v>
      </c>
      <c r="M197" s="6">
        <f>I197-F197</f>
        <v>1.0833333333721384E-2</v>
      </c>
      <c r="N197" s="7">
        <f>24*60*SUM($M197:$M197)</f>
        <v>15.600000000558794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-19T17:38:41-0600',mode:absolute,to:'2017-07-19T19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5.8635999999999999</v>
      </c>
      <c r="Z197" s="197">
        <f>RIGHT(H197,LEN(H197)-4)/10000</f>
        <v>7.1300000000000002E-2</v>
      </c>
      <c r="AA197" s="197">
        <f>ABS(Z197-Y197)</f>
        <v>5.7923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/stypes="app*4055*20170720*" /stext=" 00:.+((SYSTEM_STATE.+slice.+state.+changed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7"/>
        <v>"%USERPROFILE%\Documents\GitHub\eaglep3\Utilities\RefineRTDCRunTimes.py" --tripid 838-19 --locoid 4055 --swversion DE.1.0.9.0 --startMP 300:58636 --initTime 2017-07-19T18:38:41 --startdatetime 2017-07-19T18:40:58 --delay 1 --endMP 204:713 --enddatetime 2017-07-19T18:56:34 --enforcementcount 0 &gt;&gt;C:\Users\stu\Documents\GitHub\eaglep3-reporting\EC\2017-07-19-refined-times.txt</v>
      </c>
      <c r="AI197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{"issue":{"subject":"","project_id":79,"tracker_id":40,"status_id":1,"priority_id":2,"assigned_to_id":23,"start_date":"2017-07-19","description":"","custom_fields":[{"id":1,"name":"Subdivision","value":"NW"},{"id":4,"name":"Milepost","value":"0.0713"},{"id":17,"name":"Train ID","value":"838-19"},{"id":16,"name":"Locomotive ID","value":"4055"},{"id":130,"name":"Impact","value":""},{"id":150,"name":"Time of Event (Mountain Time)","value":"18:56:34"},{"id":151,"name":"Denver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9"/>
        <v>start /low /b %USERPROFILE%\Documents\GitHub\eaglep3\Utilities\DownloadLogsFromS3.py --loco 4055 --day 2017-07-19</v>
      </c>
      <c r="AN197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816</v>
      </c>
      <c r="B198" s="7">
        <v>4060</v>
      </c>
      <c r="C198" s="21" t="s">
        <v>199</v>
      </c>
      <c r="D198" s="21" t="s">
        <v>1005</v>
      </c>
      <c r="E198" s="13">
        <v>42935.778449074074</v>
      </c>
      <c r="F198" s="13">
        <v>42935.785671296297</v>
      </c>
      <c r="G198" s="7">
        <v>1</v>
      </c>
      <c r="H198" s="21" t="s">
        <v>1006</v>
      </c>
      <c r="I198" s="13">
        <v>42935.795173611114</v>
      </c>
      <c r="J198" s="7">
        <v>0</v>
      </c>
      <c r="K198" s="89" t="str">
        <f>IF(ISEVEN(B198),(B198-1)&amp;"/"&amp;B198,B198&amp;"/"&amp;(B198+1))</f>
        <v>4059/4060</v>
      </c>
      <c r="L198" s="21" t="str">
        <f>VLOOKUP(A198,'Trips&amp;Operators'!$C$1:$G$99999,5,FALSE)</f>
        <v>BIRKHOLZ NADINE</v>
      </c>
      <c r="M198" s="6">
        <f>I198-F198</f>
        <v>9.5023148169275373E-3</v>
      </c>
      <c r="N198" s="7">
        <f>24*60*SUM($M198:$M198)</f>
        <v>13.683333336375654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-19T17:40:58-0600',mode:absolute,to:'2017-07-19T20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9.9299999999999999E-2</v>
      </c>
      <c r="Z198" s="197">
        <f>RIGHT(H198,LEN(H198)-4)/10000</f>
        <v>5.8921999999999999</v>
      </c>
      <c r="AA198" s="197">
        <f>ABS(Z198-Y198)</f>
        <v>5.7928999999999995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/stypes="app*4060*20170720*"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7"/>
        <v>"%USERPROFILE%\Documents\GitHub\eaglep3\Utilities\RefineRTDCRunTimes.py" --tripid 839-19 --locoid 4060 --swversion DE.1.0.9.0 --startMP 204:993 --initTime 2017-07-19T18:40:58 --startdatetime 2017-07-19T18:51:22 --delay 1 --endMP 300:58922 --enddatetime 2017-07-19T19:05:03 --enforcementcount 0 &gt;&gt;C:\Users\stu\Documents\GitHub\eaglep3-reporting\EC\2017-07-19-refined-times.txt</v>
      </c>
      <c r="AI198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{"issue":{"subject":"","project_id":79,"tracker_id":40,"status_id":1,"priority_id":2,"assigned_to_id":23,"start_date":"2017-07-19","description":"","custom_fields":[{"id":1,"name":"Subdivision","value":"NW"},{"id":4,"name":"Milepost","value":"5.8922"},{"id":17,"name":"Train ID","value":"839-19"},{"id":16,"name":"Locomotive ID","value":"4060"},{"id":130,"name":"Impact","value":""},{"id":150,"name":"Time of Event (Mountain Time)","value":"19:05:03"},{"id":151,"name":"Denver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9"/>
        <v>start /low /b %USERPROFILE%\Documents\GitHub\eaglep3\Utilities\DownloadLogsFromS3.py --loco 4060 --day 2017-07-19</v>
      </c>
      <c r="AN198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824</v>
      </c>
      <c r="B199" s="7">
        <v>4055</v>
      </c>
      <c r="C199" s="21" t="s">
        <v>199</v>
      </c>
      <c r="D199" s="21" t="s">
        <v>1007</v>
      </c>
      <c r="E199" s="13">
        <v>42935.818043981482</v>
      </c>
      <c r="F199" s="13">
        <v>42935.819386574076</v>
      </c>
      <c r="G199" s="7">
        <v>1</v>
      </c>
      <c r="H199" s="21" t="s">
        <v>1008</v>
      </c>
      <c r="I199" s="13">
        <v>42935.832592592589</v>
      </c>
      <c r="J199" s="7">
        <v>0</v>
      </c>
      <c r="K199" s="89" t="str">
        <f>IF(ISEVEN(B199),(B199-1)&amp;"/"&amp;B199,B199&amp;"/"&amp;(B199+1))</f>
        <v>4055/4056</v>
      </c>
      <c r="L199" s="21" t="str">
        <f>VLOOKUP(A199,'Trips&amp;Operators'!$C$1:$G$99999,5,FALSE)</f>
        <v>ANDERS STEVEN</v>
      </c>
      <c r="M199" s="6">
        <f>I199-F199</f>
        <v>1.3206018513301387E-2</v>
      </c>
      <c r="N199" s="7">
        <f>24*60*SUM($M199:$M199)</f>
        <v>19.016666659153998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-19T18:37:59-0600',mode:absolute,to:'2017-07-19T20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5.8643000000000001</v>
      </c>
      <c r="Z199" s="197">
        <f>RIGHT(H199,LEN(H199)-4)/10000</f>
        <v>6.9099999999999995E-2</v>
      </c>
      <c r="AA199" s="197">
        <f>ABS(Z199-Y199)</f>
        <v>5.7952000000000004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/stypes="app*4055*20170720*" /stext=" 01:.+((SYSTEM_STATE.+slice.+state.+changed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7"/>
        <v>"%USERPROFILE%\Documents\GitHub\eaglep3\Utilities\RefineRTDCRunTimes.py" --tripid 840-19 --locoid 4055 --swversion DE.1.0.9.0 --startMP 300:58643 --initTime 2017-07-19T19:37:59 --startdatetime 2017-07-19T19:39:55 --delay 1 --endMP 204:691 --enddatetime 2017-07-19T19:58:56 --enforcementcount 0 &gt;&gt;C:\Users\stu\Documents\GitHub\eaglep3-reporting\EC\2017-07-19-refined-times.txt</v>
      </c>
      <c r="AI199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{"issue":{"subject":"","project_id":79,"tracker_id":40,"status_id":1,"priority_id":2,"assigned_to_id":23,"start_date":"2017-07-19","description":"","custom_fields":[{"id":1,"name":"Subdivision","value":"NW"},{"id":4,"name":"Milepost","value":"0.0691"},{"id":17,"name":"Train ID","value":"840-19"},{"id":16,"name":"Locomotive ID","value":"4055"},{"id":130,"name":"Impact","value":""},{"id":150,"name":"Time of Event (Mountain Time)","value":"19:58:56"},{"id":151,"name":"Denver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9"/>
        <v>start /low /b %USERPROFILE%\Documents\GitHub\eaglep3\Utilities\DownloadLogsFromS3.py --loco 4055 --day 2017-07-19</v>
      </c>
      <c r="AN199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821</v>
      </c>
      <c r="B200" s="7">
        <v>4056</v>
      </c>
      <c r="C200" s="21" t="s">
        <v>199</v>
      </c>
      <c r="D200" s="21" t="s">
        <v>999</v>
      </c>
      <c r="E200" s="13">
        <v>42935.803912037038</v>
      </c>
      <c r="F200" s="13">
        <v>42935.806527777779</v>
      </c>
      <c r="G200" s="7">
        <v>1</v>
      </c>
      <c r="H200" s="21" t="s">
        <v>601</v>
      </c>
      <c r="I200" s="13">
        <v>42935.816770833335</v>
      </c>
      <c r="J200" s="7">
        <v>0</v>
      </c>
      <c r="K200" s="89" t="str">
        <f>IF(ISEVEN(B200),(B200-1)&amp;"/"&amp;B200,B200&amp;"/"&amp;(B200+1))</f>
        <v>4055/4056</v>
      </c>
      <c r="L200" s="21" t="str">
        <f>VLOOKUP(A200,'Trips&amp;Operators'!$C$1:$G$99999,5,FALSE)</f>
        <v>ANDERS STEVEN</v>
      </c>
      <c r="M200" s="6">
        <f>I200-F200</f>
        <v>1.0243055556202307E-2</v>
      </c>
      <c r="N200" s="7">
        <f>24*60*SUM($M200:$M200)</f>
        <v>14.750000000931323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-19T18:17:38-0600',mode:absolute,to:'2017-07-19T20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9.6699999999999994E-2</v>
      </c>
      <c r="Z200" s="197">
        <f>RIGHT(H200,LEN(H200)-4)/10000</f>
        <v>5.8964999999999996</v>
      </c>
      <c r="AA200" s="197">
        <f>ABS(Z200-Y200)</f>
        <v>5.7997999999999994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/stypes="app*4056*20170720*" /stext=" 01:.+((SYSTEM_STATE.+slice.+state.+changed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7"/>
        <v>"%USERPROFILE%\Documents\GitHub\eaglep3\Utilities\RefineRTDCRunTimes.py" --tripid 841-19 --locoid 4056 --swversion DE.1.0.9.0 --startMP 204:967 --initTime 2017-07-19T19:17:38 --startdatetime 2017-07-19T19:21:24 --delay 1 --endMP 300:58965 --enddatetime 2017-07-19T19:36:09 --enforcementcount 0 &gt;&gt;C:\Users\stu\Documents\GitHub\eaglep3-reporting\EC\2017-07-19-refined-times.txt</v>
      </c>
      <c r="AI200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{"issue":{"subject":"","project_id":79,"tracker_id":40,"status_id":1,"priority_id":2,"assigned_to_id":23,"start_date":"2017-07-19","description":"","custom_fields":[{"id":1,"name":"Subdivision","value":"NW"},{"id":4,"name":"Milepost","value":"5.8965"},{"id":17,"name":"Train ID","value":"841-19"},{"id":16,"name":"Locomotive ID","value":"4056"},{"id":130,"name":"Impact","value":""},{"id":150,"name":"Time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9"/>
        <v>start /low /b %USERPROFILE%\Documents\GitHub\eaglep3\Utilities\DownloadLogsFromS3.py --loco 4056 --day 2017-07-19</v>
      </c>
      <c r="AN200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831</v>
      </c>
      <c r="B201" s="7">
        <v>4055</v>
      </c>
      <c r="C201" s="21" t="s">
        <v>199</v>
      </c>
      <c r="D201" s="21" t="s">
        <v>994</v>
      </c>
      <c r="E201" s="13">
        <v>42935.860208333332</v>
      </c>
      <c r="F201" s="13">
        <v>42935.861712962964</v>
      </c>
      <c r="G201" s="7">
        <v>1</v>
      </c>
      <c r="H201" s="21" t="s">
        <v>602</v>
      </c>
      <c r="I201" s="13">
        <v>42935.872662037036</v>
      </c>
      <c r="J201" s="7">
        <v>0</v>
      </c>
      <c r="K201" s="89" t="str">
        <f>IF(ISEVEN(B201),(B201-1)&amp;"/"&amp;B201,B201&amp;"/"&amp;(B201+1))</f>
        <v>4055/4056</v>
      </c>
      <c r="L201" s="21" t="str">
        <f>VLOOKUP(A201,'Trips&amp;Operators'!$C$1:$G$99999,5,FALSE)</f>
        <v>ANDERS STEVEN</v>
      </c>
      <c r="M201" s="6">
        <f>I201-F201</f>
        <v>1.0949074072414078E-2</v>
      </c>
      <c r="N201" s="7">
        <f>24*60*SUM($M201:$M201)</f>
        <v>15.766666664276272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-19T19:38:42-0600',mode:absolute,to:'2017-07-19T21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5.8647</v>
      </c>
      <c r="Z201" s="197">
        <f>RIGHT(H201,LEN(H201)-4)/10000</f>
        <v>7.1499999999999994E-2</v>
      </c>
      <c r="AA201" s="197">
        <f>ABS(Z201-Y201)</f>
        <v>5.7931999999999997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/stypes="app*4055*20170720*" /stext=" 02:.+((SYSTEM_STATE.+slice.+state.+changed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7"/>
        <v>"%USERPROFILE%\Documents\GitHub\eaglep3\Utilities\RefineRTDCRunTimes.py" --tripid 842-19 --locoid 4055 --swversion DE.1.0.9.0 --startMP 300:58647 --initTime 2017-07-19T20:38:42 --startdatetime 2017-07-19T20:40:52 --delay 1 --endMP 204:715 --enddatetime 2017-07-19T20:56:38 --enforcementcount 0 &gt;&gt;C:\Users\stu\Documents\GitHub\eaglep3-reporting\EC\2017-07-19-refined-times.txt</v>
      </c>
      <c r="AI201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{"issue":{"subject":"","project_id":79,"tracker_id":40,"status_id":1,"priority_id":2,"assigned_to_id":23,"start_date":"2017-07-19","description":"","custom_fields":[{"id":1,"name":"Subdivision","value":"NW"},{"id":4,"name":"Milepost","value":"0.0715"},{"id":17,"name":"Train ID","value":"842-19"},{"id":16,"name":"Locomotive ID","value":"4055"},{"id":130,"name":"Impact","value":""},{"id":150,"name":"Time of Event (Mountain Time)","value":"20:56:38"},{"id":151,"name":"Denver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9"/>
        <v>start /low /b %USERPROFILE%\Documents\GitHub\eaglep3\Utilities\DownloadLogsFromS3.py --loco 4055 --day 2017-07-19</v>
      </c>
      <c r="AN201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02:56:38"},{"id":29,"name":"Sharepoint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829</v>
      </c>
      <c r="B202" s="7">
        <v>4056</v>
      </c>
      <c r="C202" s="21" t="s">
        <v>199</v>
      </c>
      <c r="D202" s="21" t="s">
        <v>603</v>
      </c>
      <c r="E202" s="13">
        <v>42935.841620370367</v>
      </c>
      <c r="F202" s="13">
        <v>42935.84814814815</v>
      </c>
      <c r="G202" s="7">
        <v>1</v>
      </c>
      <c r="H202" s="21" t="s">
        <v>1009</v>
      </c>
      <c r="I202" s="13">
        <v>42935.858715277776</v>
      </c>
      <c r="J202" s="7">
        <v>0</v>
      </c>
      <c r="K202" s="89" t="str">
        <f>IF(ISEVEN(B202),(B202-1)&amp;"/"&amp;B202,B202&amp;"/"&amp;(B202+1))</f>
        <v>4055/4056</v>
      </c>
      <c r="L202" s="21" t="str">
        <f>VLOOKUP(A202,'Trips&amp;Operators'!$C$1:$G$99999,5,FALSE)</f>
        <v>ANDERS STEVEN</v>
      </c>
      <c r="M202" s="6">
        <f>I202-F202</f>
        <v>1.056712962599704E-2</v>
      </c>
      <c r="N202" s="7">
        <f>24*60*SUM($M202:$M202)</f>
        <v>15.216666661435738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-19T19:11:56-0600',mode:absolute,to:'2017-07-19T21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9.8100000000000007E-2</v>
      </c>
      <c r="Z202" s="197">
        <f>RIGHT(H202,LEN(H202)-4)/10000</f>
        <v>5.8963000000000001</v>
      </c>
      <c r="AA202" s="197">
        <f>ABS(Z202-Y202)</f>
        <v>5.7982000000000005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/stypes="app*4056*20170720*" /stext=" 02:.+((SYSTEM_STATE.+slice.+state.+changed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7"/>
        <v>"%USERPROFILE%\Documents\GitHub\eaglep3\Utilities\RefineRTDCRunTimes.py" --tripid 843-19 --locoid 4056 --swversion DE.1.0.9.0 --startMP 204:981 --initTime 2017-07-19T20:11:56 --startdatetime 2017-07-19T20:21:20 --delay 1 --endMP 300:58963 --enddatetime 2017-07-19T20:36:33 --enforcementcount 0 &gt;&gt;C:\Users\stu\Documents\GitHub\eaglep3-reporting\EC\2017-07-19-refined-times.txt</v>
      </c>
      <c r="AI202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{"issue":{"subject":"","project_id":79,"tracker_id":40,"status_id":1,"priority_id":2,"assigned_to_id":23,"start_date":"2017-07-19","description":"","custom_fields":[{"id":1,"name":"Subdivision","value":"NW"},{"id":4,"name":"Milepost","value":"5.8963"},{"id":17,"name":"Train ID","value":"843-19"},{"id":16,"name":"Locomotive ID","value":"4056"},{"id":130,"name":"Impact","value":""},{"id":150,"name":"Time of Event (Mountain Time)","value":"20:36:33"},{"id":151,"name":"Denver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9"/>
        <v>start /low /b %USERPROFILE%\Documents\GitHub\eaglep3\Utilities\DownloadLogsFromS3.py --loco 4056 --day 2017-07-19</v>
      </c>
      <c r="AN202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642</v>
      </c>
      <c r="B203" s="7">
        <v>4055</v>
      </c>
      <c r="C203" s="21" t="s">
        <v>199</v>
      </c>
      <c r="D203" s="21" t="s">
        <v>1010</v>
      </c>
      <c r="E203" s="13">
        <v>42935.899965277778</v>
      </c>
      <c r="F203" s="13">
        <v>42935.903252314813</v>
      </c>
      <c r="G203" s="7">
        <v>1</v>
      </c>
      <c r="H203" s="21" t="s">
        <v>1011</v>
      </c>
      <c r="I203" s="13">
        <v>42935.912708333337</v>
      </c>
      <c r="J203" s="7">
        <v>0</v>
      </c>
      <c r="K203" s="89" t="str">
        <f>IF(ISEVEN(B203),(B203-1)&amp;"/"&amp;B203,B203&amp;"/"&amp;(B203+1))</f>
        <v>4055/4056</v>
      </c>
      <c r="L203" s="21" t="str">
        <f>VLOOKUP(A203,'Trips&amp;Operators'!$C$1:$G$99999,5,FALSE)</f>
        <v>BIRKHOLZ NADINE</v>
      </c>
      <c r="M203" s="6">
        <f>I203-F203</f>
        <v>9.456018524360843E-3</v>
      </c>
      <c r="N203" s="7">
        <f>24*60*SUM($M203:$M203)</f>
        <v>13.616666675079614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-19T20:35:57-0600',mode:absolute,to:'2017-07-19T22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5.867</v>
      </c>
      <c r="Z203" s="197">
        <f>RIGHT(H203,LEN(H203)-4)/10000</f>
        <v>6.2799999999999995E-2</v>
      </c>
      <c r="AA203" s="197">
        <f>ABS(Z203-Y203)</f>
        <v>5.8041999999999998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/stypes="app*4055*20170720*" /stext=" 03:.+((SYSTEM_STATE.+slice.+state.+changed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7"/>
        <v>"%USERPROFILE%\Documents\GitHub\eaglep3\Utilities\RefineRTDCRunTimes.py" --tripid 844-19 --locoid 4055 --swversion DE.1.0.9.0 --startMP 300:58670 --initTime 2017-07-19T21:35:57 --startdatetime 2017-07-19T21:40:41 --delay 1 --endMP 204:628 --enddatetime 2017-07-19T21:54:18 --enforcementcount 0 &gt;&gt;C:\Users\stu\Documents\GitHub\eaglep3-reporting\EC\2017-07-19-refined-times.txt</v>
      </c>
      <c r="AI203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{"issue":{"subject":"","project_id":79,"tracker_id":40,"status_id":1,"priority_id":2,"assigned_to_id":23,"start_date":"2017-07-19","description":"","custom_fields":[{"id":1,"name":"Subdivision","value":"NW"},{"id":4,"name":"Milepost","value":"0.0628"},{"id":17,"name":"Train ID","value":"844-19"},{"id":16,"name":"Locomotive ID","value":"4055"},{"id":130,"name":"Impact","value":""},{"id":150,"name":"Time of Event (Mountain Time)","value":"21:54:18"},{"id":151,"name":"Denver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9"/>
        <v>start /low /b %USERPROFILE%\Documents\GitHub\eaglep3\Utilities\DownloadLogsFromS3.py --loco 4055 --day 2017-07-19</v>
      </c>
      <c r="AN203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03:54:18"},{"id":29,"name":"Sharepoint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834</v>
      </c>
      <c r="B204" s="7">
        <v>4056</v>
      </c>
      <c r="C204" s="21" t="s">
        <v>199</v>
      </c>
      <c r="D204" s="21" t="s">
        <v>599</v>
      </c>
      <c r="E204" s="13">
        <v>42935.884826388887</v>
      </c>
      <c r="F204" s="13">
        <v>42935.889872685184</v>
      </c>
      <c r="G204" s="7">
        <v>1</v>
      </c>
      <c r="H204" s="21" t="s">
        <v>966</v>
      </c>
      <c r="I204" s="13">
        <v>42935.898819444446</v>
      </c>
      <c r="J204" s="7">
        <v>0</v>
      </c>
      <c r="K204" s="89" t="str">
        <f>IF(ISEVEN(B204),(B204-1)&amp;"/"&amp;B204,B204&amp;"/"&amp;(B204+1))</f>
        <v>4055/4056</v>
      </c>
      <c r="L204" s="21" t="str">
        <f>VLOOKUP(A204,'Trips&amp;Operators'!$C$1:$G$99999,5,FALSE)</f>
        <v>BIRKHOLZ NADINE</v>
      </c>
      <c r="M204" s="6">
        <f>I204-F204</f>
        <v>8.9467592624714598E-3</v>
      </c>
      <c r="N204" s="7">
        <f>24*60*SUM($M204:$M204)</f>
        <v>12.883333337958902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-19T20:14:09-0600',mode:absolute,to:'2017-07-19T22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1</v>
      </c>
      <c r="Y204" s="197">
        <f>RIGHT(D204,LEN(D204)-4)/10000</f>
        <v>9.7799999999999998E-2</v>
      </c>
      <c r="Z204" s="197">
        <f>RIGHT(H204,LEN(H204)-4)/10000</f>
        <v>5.8983999999999996</v>
      </c>
      <c r="AA204" s="197">
        <f>ABS(Z204-Y204)</f>
        <v>5.8005999999999993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/stypes="app*4056*20170720*" /stext=" 03:.+((SYSTEM_STATE.+slice.+state.+changed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17"/>
        <v>"%USERPROFILE%\Documents\GitHub\eaglep3\Utilities\RefineRTDCRunTimes.py" --tripid 845-19 --locoid 4056 --swversion DE.1.0.9.0 --startMP 204:978 --initTime 2017-07-19T21:14:09 --startdatetime 2017-07-19T21:21:25 --delay 1 --endMP 300:58984 --enddatetime 2017-07-19T21:34:18 --enforcementcount 0 &gt;&gt;C:\Users\stu\Documents\GitHub\eaglep3-reporting\EC\2017-07-19-refined-times.txt</v>
      </c>
      <c r="AI204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{"issue":{"subject":"","project_id":79,"tracker_id":40,"status_id":1,"priority_id":2,"assigned_to_id":23,"start_date":"2017-07-19","description":"","custom_fields":[{"id":1,"name":"Subdivision","value":"NW"},{"id":4,"name":"Milepost","value":"5.8984"},{"id":17,"name":"Train ID","value":"845-19"},{"id":16,"name":"Locomotive ID","value":"4056"},{"id":130,"name":"Impact","value":""},{"id":150,"name":"Time of Event (Mountain Time)","value":"21:34:18"},{"id":151,"name":"Denver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9"/>
        <v>start /low /b %USERPROFILE%\Documents\GitHub\eaglep3\Utilities\DownloadLogsFromS3.py --loco 4056 --day 2017-07-19</v>
      </c>
      <c r="AN204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839</v>
      </c>
      <c r="B205" s="7">
        <v>4056</v>
      </c>
      <c r="C205" s="21" t="s">
        <v>199</v>
      </c>
      <c r="D205" s="21" t="s">
        <v>1012</v>
      </c>
      <c r="E205" s="13">
        <v>42935.920532407406</v>
      </c>
      <c r="F205" s="13">
        <v>42935.931469907409</v>
      </c>
      <c r="G205" s="7">
        <v>1</v>
      </c>
      <c r="H205" s="21" t="s">
        <v>1013</v>
      </c>
      <c r="I205" s="13">
        <v>42935.941168981481</v>
      </c>
      <c r="J205" s="7">
        <v>0</v>
      </c>
      <c r="K205" s="89" t="str">
        <f>IF(ISEVEN(B205),(B205-1)&amp;"/"&amp;B205,B205&amp;"/"&amp;(B205+1))</f>
        <v>4055/4056</v>
      </c>
      <c r="L205" s="21" t="str">
        <f>VLOOKUP(A205,'Trips&amp;Operators'!$C$1:$G$99999,5,FALSE)</f>
        <v>BIRKHOLZ NADINE</v>
      </c>
      <c r="M205" s="6">
        <f>I205-F205</f>
        <v>9.6990740712499246E-3</v>
      </c>
      <c r="N205" s="7">
        <f>24*60*SUM($M205:$M205)</f>
        <v>13.966666662599891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-19T21:05:34-0600',mode:absolute,to:'2017-07-19T23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5" s="197" t="str">
        <f>IF(AA205&lt;VLOOKUP(AG205,Variables!$AC$3:$AD$8,2,FALSE),"Y","N")</f>
        <v>N</v>
      </c>
      <c r="X205" s="197">
        <f>VALUE(LEFT(AD205,4))-VALUE(LEFT(AD204,4))</f>
        <v>2</v>
      </c>
      <c r="Y205" s="197">
        <f>RIGHT(D205,LEN(D205)-4)/10000</f>
        <v>8.8300000000000003E-2</v>
      </c>
      <c r="Z205" s="197">
        <f>RIGHT(H205,LEN(H205)-4)/10000</f>
        <v>5.8910999999999998</v>
      </c>
      <c r="AA205" s="197">
        <f>ABS(Z205-Y205)</f>
        <v>5.8027999999999995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/stypes="app*4056*20170720*" /stext=" 04:.+((SYSTEM_STATE.+slice.+state.+changed )|(ment ac)|(multiple cpu faults)|(system.+state.+changed )|(\[timeout)|(PRM\|1\|D)|(kpr)|(kdp)|(train st.+moving)|(\|lc)|(penalty))"</v>
      </c>
      <c r="AG205" s="209" t="str">
        <f>DetSubdiv(A205)</f>
        <v>NW</v>
      </c>
      <c r="AH205" s="78" t="str">
        <f t="shared" si="17"/>
        <v>"%USERPROFILE%\Documents\GitHub\eaglep3\Utilities\RefineRTDCRunTimes.py" --tripid 847-19 --locoid 4056 --swversion DE.1.0.9.0 --startMP 204:883 --initTime 2017-07-19T22:05:34 --startdatetime 2017-07-19T22:21:19 --delay 1 --endMP 300:58911 --enddatetime 2017-07-19T22:35:17 --enforcementcount 0 &gt;&gt;C:\Users\stu\Documents\GitHub\eaglep3-reporting\EC\2017-07-19-refined-times.txt</v>
      </c>
      <c r="AI205" s="96" t="str">
        <f t="shared" si="18"/>
        <v>echo {"issue":{"subject":"","project_id":79,"tracker_id":40,"status_id":1,"priority_id":2,"assigned_to_id":23,"start_date":"2017-07-19","description":"","custom_fields":[{"id":1,"name":"Subdivision","value":"NW"},{"id":4,"name":"Milepost","value":"5.8911"},{"id":17,"name":"Train ID","value":"847-19"},{"id":16,"name":"Locomotive ID","value":"4056"},{"id":130,"name":"Impact","value":""},{"id":150,"name":"Time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9"/>
        <v>start /low /b %USERPROFILE%\Documents\GitHub\eaglep3\Utilities\DownloadLogsFromS3.py --loco 4056 --day 2017-07-19</v>
      </c>
      <c r="AN205" s="151" t="str">
        <f t="shared" si="20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04:35:17"},{"id":29,"name":"Sharepoint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814</v>
      </c>
      <c r="B206" s="7">
        <v>4066</v>
      </c>
      <c r="C206" s="21" t="s">
        <v>199</v>
      </c>
      <c r="D206" s="21" t="s">
        <v>380</v>
      </c>
      <c r="E206" s="13">
        <v>42935.776307870372</v>
      </c>
      <c r="F206" s="13">
        <v>42935.777800925927</v>
      </c>
      <c r="G206" s="7">
        <v>1</v>
      </c>
      <c r="H206" s="21" t="s">
        <v>925</v>
      </c>
      <c r="I206" s="13">
        <v>42935.786030092589</v>
      </c>
      <c r="J206" s="7">
        <v>0</v>
      </c>
      <c r="K206" s="89" t="str">
        <f>IF(ISEVEN(B206),(B206-1)&amp;"/"&amp;B206,B206&amp;"/"&amp;(B206+1))</f>
        <v>4065/4066</v>
      </c>
      <c r="L206" s="21" t="str">
        <f>VLOOKUP(A206,'Trips&amp;Operators'!$C$1:$G$99999,5,FALSE)</f>
        <v>BRUDER RICHARD</v>
      </c>
      <c r="M206" s="6">
        <f>I206-F206</f>
        <v>8.2291666622040793E-3</v>
      </c>
      <c r="N206" s="7">
        <f>24*60*SUM($M206:$M206)</f>
        <v>11.849999993573874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-19T17:37:53-0600',mode:absolute,to:'2017-07-19T19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-546</v>
      </c>
      <c r="Y206" s="197">
        <f>RIGHT(D206,LEN(D206)-4)/10000</f>
        <v>4.6199999999999998E-2</v>
      </c>
      <c r="Z206" s="197">
        <f>RIGHT(H206,LEN(H206)-4)/10000</f>
        <v>2.3306</v>
      </c>
      <c r="AA206" s="197">
        <f>ABS(Z206-Y206)</f>
        <v>2.2844000000000002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/stypes="app*4066*20170720*"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ref="AH206:AH241" si="2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301-19 --locoid 4066 --swversion DE.1.0.9.0 --startMP 204:462 --initTime 2017-07-19T18:37:53 --startdatetime 2017-07-19T18:40:02 --delay 1 --endMP 300:23306 --enddatetime 2017-07-19T18:51:53 --enforcementcount 0 &gt;&gt;C:\Users\stu\Documents\GitHub\eaglep3-reporting\EC\2017-07-19-refined-times.txt</v>
      </c>
      <c r="AI206" s="96" t="str">
        <f t="shared" ref="AI206:AI241" si="2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{"issue":{"subject":"","project_id":79,"tracker_id":40,"status_id":1,"priority_id":2,"assigned_to_id":23,"start_date":"2017-07-19","description":"","custom_fields":[{"id":1,"name":"Subdivision","value":"Other"},{"id":4,"name":"Milepost","value":"2.3306"},{"id":17,"name":"Train ID","value":"301-19"},{"id":16,"name":"Locomotive ID","value":"4066"},{"id":130,"name":"Impact","value":""},{"id":150,"name":"Time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41" si="24">"start /low /b "&amp;dls3logs&amp;" --loco "&amp;B206&amp;" --day "&amp;TEXT(F206,"YYYY-MM-DD")</f>
        <v>start /low /b %USERPROFILE%\Documents\GitHub\eaglep3\Utilities\DownloadLogsFromS3.py --loco 4066 --day 2017-07-19</v>
      </c>
      <c r="AN206" s="151" t="str">
        <f t="shared" ref="AN206:AN241" si="2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649</v>
      </c>
      <c r="B207" s="7">
        <v>4031</v>
      </c>
      <c r="C207" s="21" t="s">
        <v>199</v>
      </c>
      <c r="D207" s="21" t="s">
        <v>926</v>
      </c>
      <c r="E207" s="13">
        <v>42935.13989583333</v>
      </c>
      <c r="F207" s="13">
        <v>42935.144143518519</v>
      </c>
      <c r="G207" s="7">
        <v>1</v>
      </c>
      <c r="H207" s="21" t="s">
        <v>345</v>
      </c>
      <c r="I207" s="13">
        <v>42935.149039351854</v>
      </c>
      <c r="J207" s="7">
        <v>0</v>
      </c>
      <c r="K207" s="89" t="str">
        <f>IF(ISEVEN(B207),(B207-1)&amp;"/"&amp;B207,B207&amp;"/"&amp;(B207+1))</f>
        <v>4031/4032</v>
      </c>
      <c r="L207" s="21" t="str">
        <f>VLOOKUP(A207,'Trips&amp;Operators'!$C$1:$G$99999,5,FALSE)</f>
        <v>MAELZER KURT</v>
      </c>
      <c r="M207" s="6">
        <f>I207-F207</f>
        <v>4.8958333354676142E-3</v>
      </c>
      <c r="N207" s="7">
        <f>24*60*SUM($M207:$M207)</f>
        <v>7.0500000030733645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-19T02:21:27-0600',mode:absolute,to:'2017-07-19T04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2.5449999999999999</v>
      </c>
      <c r="Z207" s="197">
        <f>RIGHT(H207,LEN(H207)-4)/10000</f>
        <v>1.43E-2</v>
      </c>
      <c r="AA207" s="197">
        <f>ABS(Z207-Y207)</f>
        <v>2.5306999999999999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s3://rtdc.mdm.uploadarchive.raw/RTDC4031/ "%USERPROFILE%\AppData\Local\Temp\OnboardLogs"\RTDC4031\2017-07-19 --exclude "*" --recursive --include "*20170719*" &amp; "%USERPROFILE%\Documents\GitHub\mrs-test-scripts\Headless Mode &amp; Sideloading\WalkAndUnGZ.bat" "%USERPROFILE%\AppData\Local\Temp\OnboardLogs"\RTDC4031\2017-07-19 &amp; 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/stypes="app*4031*20170719*"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22"/>
        <v>"%USERPROFILE%\Documents\GitHub\eaglep3\Utilities\RefineRTDCRunTimes.py" --tripid 302-19 --locoid 4031 --swversion DE.1.0.9.0 --startMP 300:25450 --initTime 2017-07-19T03:21:27 --startdatetime 2017-07-19T03:27:34 --delay 1 --endMP 204:143 --enddatetime 2017-07-19T03:34:37 --enforcementcount 0 &gt;&gt;C:\Users\stu\Documents\GitHub\eaglep3-reporting\EC\2017-07-19-refined-times.txt</v>
      </c>
      <c r="AI207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{"issue":{"subject":"","project_id":79,"tracker_id":40,"status_id":1,"priority_id":2,"assigned_to_id":23,"start_date":"2017-07-19","description":"","custom_fields":[{"id":1,"name":"Subdivision","value":"Other"},{"id":4,"name":"Milepost","value":"0.0143"},{"id":17,"name":"Train ID","value":"302-19"},{"id":16,"name":"Locomotive ID","value":"4031"},{"id":130,"name":"Impact","value":""},{"id":150,"name":"Time of Event (Mountain Time)","value":"03:34:37"},{"id":151,"name":"Denver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4"/>
        <v>start /low /b %USERPROFILE%\Documents\GitHub\eaglep3\Utilities\DownloadLogsFromS3.py --loco 4031 --day 2017-07-19</v>
      </c>
      <c r="AN207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09:34:37"},{"id":29,"name":"Sharepoint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820</v>
      </c>
      <c r="B208" s="7">
        <v>4042</v>
      </c>
      <c r="C208" s="21" t="s">
        <v>199</v>
      </c>
      <c r="D208" s="21" t="s">
        <v>582</v>
      </c>
      <c r="E208" s="13">
        <v>42935.796701388892</v>
      </c>
      <c r="F208" s="13">
        <v>42935.798900462964</v>
      </c>
      <c r="G208" s="7">
        <v>2</v>
      </c>
      <c r="H208" s="21" t="s">
        <v>927</v>
      </c>
      <c r="I208" s="13">
        <v>42935.805104166669</v>
      </c>
      <c r="J208" s="7">
        <v>0</v>
      </c>
      <c r="K208" s="89" t="str">
        <f>IF(ISEVEN(B208),(B208-1)&amp;"/"&amp;B208,B208&amp;"/"&amp;(B208+1))</f>
        <v>4041/4042</v>
      </c>
      <c r="L208" s="21" t="str">
        <f>VLOOKUP(A208,'Trips&amp;Operators'!$C$1:$G$99999,5,FALSE)</f>
        <v>DELGADO DIANAH</v>
      </c>
      <c r="M208" s="6">
        <f>I208-F208</f>
        <v>6.2037037059781142E-3</v>
      </c>
      <c r="N208" s="7">
        <f>24*60*SUM($M208:$M208)</f>
        <v>8.9333333366084844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-19T18:07:15-0600',mode:absolute,to:'2017-07-19T20:19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4.3999999999999997E-2</v>
      </c>
      <c r="Z208" s="197">
        <f>RIGHT(H208,LEN(H208)-4)/10000</f>
        <v>2.3308</v>
      </c>
      <c r="AA208" s="197">
        <f>ABS(Z208-Y208)</f>
        <v>2.2867999999999999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303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/stypes="app*4042*20170720*" /stext=" 01:.+((SYSTEM_STATE.+slice.+state.+changed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22"/>
        <v>"%USERPROFILE%\Documents\GitHub\eaglep3\Utilities\RefineRTDCRunTimes.py" --tripid 303-19 --locoid 4042 --swversion DE.1.0.9.0 --startMP 204:440 --initTime 2017-07-19T19:07:15 --startdatetime 2017-07-19T19:10:25 --delay 2 --endMP 300:23308 --enddatetime 2017-07-19T19:19:21 --enforcementcount 0 &gt;&gt;C:\Users\stu\Documents\GitHub\eaglep3-reporting\EC\2017-07-19-refined-times.txt</v>
      </c>
      <c r="AI208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{"issue":{"subject":"","project_id":79,"tracker_id":40,"status_id":1,"priority_id":2,"assigned_to_id":23,"start_date":"2017-07-19","description":"","custom_fields":[{"id":1,"name":"Subdivision","value":"Other"},{"id":4,"name":"Milepost","value":"2.3308"},{"id":17,"name":"Train ID","value":"303-19"},{"id":16,"name":"Locomotive ID","value":"4042"},{"id":130,"name":"Impact","value":""},{"id":150,"name":"Time of Event (Mountain Time)","value":"19:19:21"},{"id":151,"name":"Denver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4"/>
        <v>start /low /b %USERPROFILE%\Documents\GitHub\eaglep3\Utilities\DownloadLogsFromS3.py --loco 4042 --day 2017-07-19</v>
      </c>
      <c r="AN208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651</v>
      </c>
      <c r="B209" s="7">
        <v>4053</v>
      </c>
      <c r="C209" s="21" t="s">
        <v>199</v>
      </c>
      <c r="D209" s="21" t="s">
        <v>928</v>
      </c>
      <c r="E209" s="13">
        <v>42935.160810185182</v>
      </c>
      <c r="F209" s="13">
        <v>42935.163032407407</v>
      </c>
      <c r="G209" s="7">
        <v>1</v>
      </c>
      <c r="H209" s="21" t="s">
        <v>343</v>
      </c>
      <c r="I209" s="13">
        <v>42935.163206018522</v>
      </c>
      <c r="J209" s="7">
        <v>0</v>
      </c>
      <c r="K209" s="89" t="str">
        <f>IF(ISEVEN(B209),(B209-1)&amp;"/"&amp;B209,B209&amp;"/"&amp;(B209+1))</f>
        <v>4053/4054</v>
      </c>
      <c r="L209" s="21" t="str">
        <f>VLOOKUP(A209,'Trips&amp;Operators'!$C$1:$G$99999,5,FALSE)</f>
        <v>GEBRETEKLE DAGNEW</v>
      </c>
      <c r="M209" s="6">
        <f>I209-F209</f>
        <v>1.7361111531499773E-4</v>
      </c>
      <c r="N209" s="7">
        <f>24*60*SUM($M209:$M209)</f>
        <v>0.25000000605359674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-19T02:51:34-0600',mode:absolute,to:'2017-07-19T04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2.5139</v>
      </c>
      <c r="Z209" s="197">
        <f>RIGHT(H209,LEN(H209)-4)/10000</f>
        <v>1.4999999999999999E-2</v>
      </c>
      <c r="AA209" s="197">
        <f>ABS(Z209-Y209)</f>
        <v>2.4988999999999999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/stypes="app*4053*20170719*" /stext=" 09:.+((SYSTEM_STATE.+slice.+state.+changed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22"/>
        <v>"%USERPROFILE%\Documents\GitHub\eaglep3\Utilities\RefineRTDCRunTimes.py" --tripid 304-19 --locoid 4053 --swversion DE.1.0.9.0 --startMP 300:25139 --initTime 2017-07-19T03:51:34 --startdatetime 2017-07-19T03:54:46 --delay 1 --endMP 204:150 --enddatetime 2017-07-19T03:55:01 --enforcementcount 0 &gt;&gt;C:\Users\stu\Documents\GitHub\eaglep3-reporting\EC\2017-07-19-refined-times.txt</v>
      </c>
      <c r="AI209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{"issue":{"subject":"","project_id":79,"tracker_id":40,"status_id":1,"priority_id":2,"assigned_to_id":23,"start_date":"2017-07-19","description":"","custom_fields":[{"id":1,"name":"Subdivision","value":"Other"},{"id":4,"name":"Milepost","value":"0.015"},{"id":17,"name":"Train ID","value":"304-19"},{"id":16,"name":"Locomotive ID","value":"4053"},{"id":130,"name":"Impact","value":""},{"id":150,"name":"Time of Event (Mountain Time)","value":"03:55:01"},{"id":151,"name":"Denver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4"/>
        <v>start /low /b %USERPROFILE%\Documents\GitHub\eaglep3\Utilities\DownloadLogsFromS3.py --loco 4053 --day 2017-07-19</v>
      </c>
      <c r="AN209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09:55:01"},{"id":29,"name":"Sharepoint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825</v>
      </c>
      <c r="B210" s="7">
        <v>4004</v>
      </c>
      <c r="C210" s="21" t="s">
        <v>199</v>
      </c>
      <c r="D210" s="21" t="s">
        <v>422</v>
      </c>
      <c r="E210" s="13">
        <v>42935.819606481484</v>
      </c>
      <c r="F210" s="13">
        <v>42935.822569444441</v>
      </c>
      <c r="G210" s="7">
        <v>1</v>
      </c>
      <c r="H210" s="21" t="s">
        <v>925</v>
      </c>
      <c r="I210" s="13">
        <v>42935.829143518517</v>
      </c>
      <c r="J210" s="7">
        <v>0</v>
      </c>
      <c r="K210" s="89" t="str">
        <f>IF(ISEVEN(B210),(B210-1)&amp;"/"&amp;B210,B210&amp;"/"&amp;(B210+1))</f>
        <v>4003/4004</v>
      </c>
      <c r="L210" s="21" t="str">
        <f>VLOOKUP(A210,'Trips&amp;Operators'!$C$1:$G$99999,5,FALSE)</f>
        <v>GONZALEZ ARMANDO</v>
      </c>
      <c r="M210" s="6">
        <f>I210-F210</f>
        <v>6.5740740756154992E-3</v>
      </c>
      <c r="N210" s="7">
        <f>24*60*SUM($M210:$M210)</f>
        <v>9.4666666688863188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-19T18:40:14-0600',mode:absolute,to:'2017-07-19T20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4.7100000000000003E-2</v>
      </c>
      <c r="Z210" s="197">
        <f>RIGHT(H210,LEN(H210)-4)/10000</f>
        <v>2.3306</v>
      </c>
      <c r="AA210" s="197">
        <f>ABS(Z210-Y210)</f>
        <v>2.2835000000000001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s3://rtdc.mdm.uploadarchive.raw/RTDC4004/ "%USERPROFILE%\AppData\Local\Temp\OnboardLogs"\RTDC4004\2017-07-19 --exclude "*" --recursive --include "*20170719*" &amp; "%USERPROFILE%\Documents\GitHub\mrs-test-scripts\Headless Mode &amp; Sideloading\WalkAndUnGZ.bat" "%USERPROFILE%\AppData\Local\Temp\OnboardLogs"\RTDC4004\2017-07-19 &amp; aws s3 cp s3://rtdc.mdm.uploadarchive.raw/RTDC4004/ "%USERPROFILE%\AppData\Local\Temp\OnboardLogs"\RTDC4004\2017-07-20 --exclude "*" --recursive --include "*20170720*" &amp; "%USERPROFILE%\Documents\GitHub\mrs-test-scripts\Headless Mode &amp; Sideloading\WalkAndUnGZ.bat" "%USERPROFILE%\AppData\Local\Temp\OnboardLogs"\RTDC4004\2017-07-20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/stypes="app*4004*20170720*" /stext=" 01:.+((SYSTEM_STATE.+slice.+state.+changed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22"/>
        <v>"%USERPROFILE%\Documents\GitHub\eaglep3\Utilities\RefineRTDCRunTimes.py" --tripid 305-19 --locoid 4004 --swversion DE.1.0.9.0 --startMP 204:471 --initTime 2017-07-19T19:40:14 --startdatetime 2017-07-19T19:44:30 --delay 1 --endMP 300:23306 --enddatetime 2017-07-19T19:53:58 --enforcementcount 0 &gt;&gt;C:\Users\stu\Documents\GitHub\eaglep3-reporting\EC\2017-07-19-refined-times.txt</v>
      </c>
      <c r="AI210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{"issue":{"subject":"","project_id":79,"tracker_id":40,"status_id":1,"priority_id":2,"assigned_to_id":23,"start_date":"2017-07-19","description":"","custom_fields":[{"id":1,"name":"Subdivision","value":"Other"},{"id":4,"name":"Milepost","value":"2.3306"},{"id":17,"name":"Train ID","value":"305-19"},{"id":16,"name":"Locomotive ID","value":"4004"},{"id":130,"name":"Impact","value":""},{"id":150,"name":"Time of Event (Mountain Time)","value":"19:53:58"},{"id":151,"name":"Denver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4"/>
        <v>start /low /b %USERPROFILE%\Documents\GitHub\eaglep3\Utilities\DownloadLogsFromS3.py --loco 4004 --day 2017-07-19</v>
      </c>
      <c r="AN210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655</v>
      </c>
      <c r="B211" s="7">
        <v>4029</v>
      </c>
      <c r="C211" s="21" t="s">
        <v>199</v>
      </c>
      <c r="D211" s="21" t="s">
        <v>929</v>
      </c>
      <c r="E211" s="13">
        <v>42935.169421296298</v>
      </c>
      <c r="F211" s="13">
        <v>42935.172650462962</v>
      </c>
      <c r="G211" s="7">
        <v>4</v>
      </c>
      <c r="H211" s="21" t="s">
        <v>344</v>
      </c>
      <c r="I211" s="13">
        <v>42935.180520833332</v>
      </c>
      <c r="J211" s="7">
        <v>0</v>
      </c>
      <c r="K211" s="89" t="str">
        <f>IF(ISEVEN(B211),(B211-1)&amp;"/"&amp;B211,B211&amp;"/"&amp;(B211+1))</f>
        <v>4029/4030</v>
      </c>
      <c r="L211" s="21" t="str">
        <f>VLOOKUP(A211,'Trips&amp;Operators'!$C$1:$G$99999,5,FALSE)</f>
        <v>LANGERAK WILLIAM</v>
      </c>
      <c r="M211" s="6">
        <f>I211-F211</f>
        <v>7.8703703693463467E-3</v>
      </c>
      <c r="N211" s="7">
        <f>24*60*SUM($M211:$M211)</f>
        <v>11.333333331858739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-19T03:03:58-0600',mode:absolute,to:'2017-07-19T05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2.2778999999999998</v>
      </c>
      <c r="Z211" s="197">
        <f>RIGHT(H211,LEN(H211)-4)/10000</f>
        <v>1.49E-2</v>
      </c>
      <c r="AA211" s="197">
        <f>ABS(Z211-Y211)</f>
        <v>2.2629999999999999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306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/stypes="app*4029*20170719*" /stext=" 10:.+((SYSTEM_STATE.+slice.+state.+changed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22"/>
        <v>"%USERPROFILE%\Documents\GitHub\eaglep3\Utilities\RefineRTDCRunTimes.py" --tripid 306-19 --locoid 4029 --swversion DE.1.0.9.0 --startMP 300:22779 --initTime 2017-07-19T04:03:58 --startdatetime 2017-07-19T04:08:37 --delay 4 --endMP 204:149 --enddatetime 2017-07-19T04:19:57 --enforcementcount 0 &gt;&gt;C:\Users\stu\Documents\GitHub\eaglep3-reporting\EC\2017-07-19-refined-times.txt</v>
      </c>
      <c r="AI211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{"issue":{"subject":"","project_id":79,"tracker_id":40,"status_id":1,"priority_id":2,"assigned_to_id":23,"start_date":"2017-07-19","description":"","custom_fields":[{"id":1,"name":"Subdivision","value":"Other"},{"id":4,"name":"Milepost","value":"0.0149"},{"id":17,"name":"Train ID","value":"306-19"},{"id":16,"name":"Locomotive ID","value":"4029"},{"id":130,"name":"Impact","value":""},{"id":150,"name":"Time of Event (Mountain Time)","value":"04:19:57"},{"id":151,"name":"Denver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24"/>
        <v>start /low /b %USERPROFILE%\Documents\GitHub\eaglep3\Utilities\DownloadLogsFromS3.py --loco 4029 --day 2017-07-19</v>
      </c>
      <c r="AN211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850</v>
      </c>
      <c r="B212" s="7">
        <v>4028</v>
      </c>
      <c r="C212" s="21" t="s">
        <v>199</v>
      </c>
      <c r="D212" s="21" t="s">
        <v>930</v>
      </c>
      <c r="E212" s="13">
        <v>42936.027673611112</v>
      </c>
      <c r="F212" s="13">
        <v>42936.030138888891</v>
      </c>
      <c r="G212" s="7">
        <v>2</v>
      </c>
      <c r="H212" s="21" t="s">
        <v>931</v>
      </c>
      <c r="I212" s="13">
        <v>42936.037303240744</v>
      </c>
      <c r="J212" s="7">
        <v>0</v>
      </c>
      <c r="K212" s="89" t="str">
        <f>IF(ISEVEN(B212),(B212-1)&amp;"/"&amp;B212,B212&amp;"/"&amp;(B212+1))</f>
        <v>4027/4028</v>
      </c>
      <c r="L212" s="21" t="str">
        <f>VLOOKUP(A212,'Trips&amp;Operators'!$C$1:$G$99999,5,FALSE)</f>
        <v>DUNCAN SHEILA</v>
      </c>
      <c r="M212" s="6">
        <f>I212-F212</f>
        <v>7.1643518531345762E-3</v>
      </c>
      <c r="N212" s="7">
        <f>24*60*SUM($M212:$M212)</f>
        <v>10.31666666851379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-19T23:39:51-0600',mode:absolute,to:'2017-07-20T01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4.4999999999999998E-2</v>
      </c>
      <c r="Z212" s="197">
        <f>RIGHT(H212,LEN(H212)-4)/10000</f>
        <v>2.3294999999999999</v>
      </c>
      <c r="AA212" s="197">
        <f>ABS(Z212-Y212)</f>
        <v>2.2845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307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 &amp; aws s3 cp s3://rtdc.mdm.uploadarchive.raw/RTDC4028/ "%USERPROFILE%\AppData\Local\Temp\OnboardLogs"\RTDC4028\2017-07-21 --exclude "*" --recursive --include "*20170721*" &amp; "%USERPROFILE%\Documents\GitHub\mrs-test-scripts\Headless Mode &amp; Sideloading\WalkAndUnGZ.bat" "%USERPROFILE%\AppData\Local\Temp\OnboardLogs"\RTDC4028\2017-07-21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/stypes="app*4028*20170720*" /stext=" 06:.+((SYSTEM_STATE.+slice.+state.+changed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22"/>
        <v>"%USERPROFILE%\Documents\GitHub\eaglep3\Utilities\RefineRTDCRunTimes.py" --tripid 307-19 --locoid 4028 --swversion DE.1.0.9.0 --startMP 204:450 --initTime 2017-07-20T00:39:51 --startdatetime 2017-07-20T00:43:24 --delay 2 --endMP 300:23295 --enddatetime 2017-07-20T00:53:43 --enforcementcount 0 &gt;&gt;C:\Users\stu\Documents\GitHub\eaglep3-reporting\EC\2017-07-19-refined-times.txt</v>
      </c>
      <c r="AI212" s="96" t="str">
        <f t="shared" si="23"/>
        <v>echo {"issue":{"subject":"","project_id":79,"tracker_id":40,"status_id":1,"priority_id":2,"assigned_to_id":23,"start_date":"2017-07-20","description":"","custom_fields":[{"id":1,"name":"Subdivision","value":"Other"},{"id":4,"name":"Milepost","value":"2.3295"},{"id":17,"name":"Train ID","value":"307-19"},{"id":16,"name":"Locomotive ID","value":"4028"},{"id":130,"name":"Impact","value":""},{"id":150,"name":"Time of Event (Mountain Time)","value":"00:53:43"},{"id":151,"name":"Denver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4"/>
        <v>start /low /b %USERPROFILE%\Documents\GitHub\eaglep3\Utilities\DownloadLogsFromS3.py --loco 4028 --day 2017-07-20</v>
      </c>
      <c r="AN212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06:53:43"},{"id":29,"name":"Sharepoint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657</v>
      </c>
      <c r="B213" s="7">
        <v>4045</v>
      </c>
      <c r="C213" s="21" t="s">
        <v>199</v>
      </c>
      <c r="D213" s="21" t="s">
        <v>932</v>
      </c>
      <c r="E213" s="13">
        <v>42935.18346064815</v>
      </c>
      <c r="F213" s="13">
        <v>42935.186365740738</v>
      </c>
      <c r="G213" s="7">
        <v>4</v>
      </c>
      <c r="H213" s="21" t="s">
        <v>391</v>
      </c>
      <c r="I213" s="13">
        <v>42935.192210648151</v>
      </c>
      <c r="J213" s="7">
        <v>0</v>
      </c>
      <c r="K213" s="89" t="str">
        <f>IF(ISEVEN(B213),(B213-1)&amp;"/"&amp;B213,B213&amp;"/"&amp;(B213+1))</f>
        <v>4045/4046</v>
      </c>
      <c r="L213" s="21" t="str">
        <f>VLOOKUP(A213,'Trips&amp;Operators'!$C$1:$G$99999,5,FALSE)</f>
        <v>DAVIS WENDY</v>
      </c>
      <c r="M213" s="6">
        <f>I213-F213</f>
        <v>5.8449074131203815E-3</v>
      </c>
      <c r="N213" s="7">
        <f>24*60*SUM($M213:$M213)</f>
        <v>8.4166666748933494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-19T03:24:11-0600',mode:absolute,to:'2017-07-19T05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2.3338999999999999</v>
      </c>
      <c r="Z213" s="197">
        <f>RIGHT(H213,LEN(H213)-4)/10000</f>
        <v>1.5599999999999999E-2</v>
      </c>
      <c r="AA213" s="197">
        <f>ABS(Z213-Y213)</f>
        <v>2.3182999999999998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 &amp; 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/stypes="app*4045*20170719*" /stext=" 10:.+((SYSTEM_STATE.+slice.+state.+changed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22"/>
        <v>"%USERPROFILE%\Documents\GitHub\eaglep3\Utilities\RefineRTDCRunTimes.py" --tripid 308-19 --locoid 4045 --swversion DE.1.0.9.0 --startMP 300:23339 --initTime 2017-07-19T04:24:11 --startdatetime 2017-07-19T04:28:22 --delay 4 --endMP 204:156 --enddatetime 2017-07-19T04:36:47 --enforcementcount 0 &gt;&gt;C:\Users\stu\Documents\GitHub\eaglep3-reporting\EC\2017-07-19-refined-times.txt</v>
      </c>
      <c r="AI213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{"issue":{"subject":"","project_id":79,"tracker_id":40,"status_id":1,"priority_id":2,"assigned_to_id":23,"start_date":"2017-07-19","description":"","custom_fields":[{"id":1,"name":"Subdivision","value":"Other"},{"id":4,"name":"Milepost","value":"0.0156"},{"id":17,"name":"Train ID","value":"308-19"},{"id":16,"name":"Locomotive ID","value":"4045"},{"id":130,"name":"Impact","value":""},{"id":150,"name":"Time of Event (Mountain Time)","value":"04:36:47"},{"id":151,"name":"Denver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24"/>
        <v>start /low /b %USERPROFILE%\Documents\GitHub\eaglep3\Utilities\DownloadLogsFromS3.py --loco 4045 --day 2017-07-19</v>
      </c>
      <c r="AN213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10:36:47"},{"id":29,"name":"Sharepoint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853</v>
      </c>
      <c r="B214" s="7">
        <v>4032</v>
      </c>
      <c r="C214" s="21" t="s">
        <v>199</v>
      </c>
      <c r="D214" s="21" t="s">
        <v>416</v>
      </c>
      <c r="E214" s="13">
        <v>42936.048182870371</v>
      </c>
      <c r="F214" s="13">
        <v>42936.049583333333</v>
      </c>
      <c r="G214" s="7">
        <v>1</v>
      </c>
      <c r="H214" s="21" t="s">
        <v>348</v>
      </c>
      <c r="I214" s="13">
        <v>42936.056793981479</v>
      </c>
      <c r="J214" s="7">
        <v>0</v>
      </c>
      <c r="K214" s="89" t="str">
        <f>IF(ISEVEN(B214),(B214-1)&amp;"/"&amp;B214,B214&amp;"/"&amp;(B214+1))</f>
        <v>4031/4032</v>
      </c>
      <c r="L214" s="21" t="str">
        <f>VLOOKUP(A214,'Trips&amp;Operators'!$C$1:$G$99999,5,FALSE)</f>
        <v>HAITHCOX MICHAEL</v>
      </c>
      <c r="M214" s="6">
        <f>I214-F214</f>
        <v>7.2106481457012706E-3</v>
      </c>
      <c r="N214" s="7">
        <f>24*60*SUM($M214:$M214)</f>
        <v>10.38333332980983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-20T00:09:23-0600',mode:absolute,to:'2017-07-20T02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4.4400000000000002E-2</v>
      </c>
      <c r="Z214" s="197">
        <f>RIGHT(H214,LEN(H214)-4)/10000</f>
        <v>2.3346</v>
      </c>
      <c r="AA214" s="197">
        <f>ABS(Z214-Y214)</f>
        <v>2.2902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s3://rtdc.mdm.uploadarchive.raw/RTDC4032/ "%USERPROFILE%\AppData\Local\Temp\OnboardLogs"\RTDC4032\2017-07-20 --exclude "*" --recursive --include "*20170720*" &amp; "%USERPROFILE%\Documents\GitHub\mrs-test-scripts\Headless Mode &amp; Sideloading\WalkAndUnGZ.bat" "%USERPROFILE%\AppData\Local\Temp\OnboardLogs"\RTDC4032\2017-07-20 &amp; aws s3 cp s3://rtdc.mdm.uploadarchive.raw/RTDC4032/ "%USERPROFILE%\AppData\Local\Temp\OnboardLogs"\RTDC4032\2017-07-21 --exclude "*" --recursive --include "*20170721*" &amp; "%USERPROFILE%\Documents\GitHub\mrs-test-scripts\Headless Mode &amp; Sideloading\WalkAndUnGZ.bat" "%USERPROFILE%\AppData\Local\Temp\OnboardLogs"\RTDC4032\2017-07-21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/stypes="app*4032*20170720*" /stext=" 07:.+((SYSTEM_STATE.+slice.+state.+changed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22"/>
        <v>"%USERPROFILE%\Documents\GitHub\eaglep3\Utilities\RefineRTDCRunTimes.py" --tripid 309-19 --locoid 4032 --swversion DE.1.0.9.0 --startMP 204:444 --initTime 2017-07-20T01:09:23 --startdatetime 2017-07-20T01:11:24 --delay 1 --endMP 300:23346 --enddatetime 2017-07-20T01:21:47 --enforcementcount 0 &gt;&gt;C:\Users\stu\Documents\GitHub\eaglep3-reporting\EC\2017-07-19-refined-times.txt</v>
      </c>
      <c r="AI214" s="96" t="str">
        <f t="shared" si="23"/>
        <v>echo {"issue":{"subject":"","project_id":79,"tracker_id":40,"status_id":1,"priority_id":2,"assigned_to_id":23,"start_date":"2017-07-20","description":"","custom_fields":[{"id":1,"name":"Subdivision","value":"Other"},{"id":4,"name":"Milepost","value":"2.3346"},{"id":17,"name":"Train ID","value":"309-19"},{"id":16,"name":"Locomotive ID","value":"4032"},{"id":130,"name":"Impact","value":""},{"id":150,"name":"Time of Event (Mountain Time)","value":"01:21:47"},{"id":151,"name":"Denver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24"/>
        <v>start /low /b %USERPROFILE%\Documents\GitHub\eaglep3\Utilities\DownloadLogsFromS3.py --loco 4032 --day 2017-07-20</v>
      </c>
      <c r="AN214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07:21:47"},{"id":29,"name":"Sharepoint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664</v>
      </c>
      <c r="B215" s="7">
        <v>4041</v>
      </c>
      <c r="C215" s="21" t="s">
        <v>199</v>
      </c>
      <c r="D215" s="21" t="s">
        <v>933</v>
      </c>
      <c r="E215" s="13">
        <v>42935.203715277778</v>
      </c>
      <c r="F215" s="13">
        <v>42935.206574074073</v>
      </c>
      <c r="G215" s="7">
        <v>4</v>
      </c>
      <c r="H215" s="21" t="s">
        <v>353</v>
      </c>
      <c r="I215" s="13">
        <v>42935.211643518516</v>
      </c>
      <c r="J215" s="7">
        <v>0</v>
      </c>
      <c r="K215" s="89" t="str">
        <f>IF(ISEVEN(B215),(B215-1)&amp;"/"&amp;B215,B215&amp;"/"&amp;(B215+1))</f>
        <v>4041/4042</v>
      </c>
      <c r="L215" s="21" t="str">
        <f>VLOOKUP(A215,'Trips&amp;Operators'!$C$1:$G$99999,5,FALSE)</f>
        <v>LOZA FIDEL</v>
      </c>
      <c r="M215" s="6">
        <f>I215-F215</f>
        <v>5.0694444435066544E-3</v>
      </c>
      <c r="N215" s="7">
        <f>24*60*SUM($M215:$M215)</f>
        <v>7.2999999986495823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-19T03:53:21-0600',mode:absolute,to:'2017-07-19T06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2.3527</v>
      </c>
      <c r="Z215" s="197">
        <f>RIGHT(H215,LEN(H215)-4)/10000</f>
        <v>1.41E-2</v>
      </c>
      <c r="AA215" s="197">
        <f>ABS(Z215-Y215)</f>
        <v>2.3386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/stypes="app*4041*20170719*"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22"/>
        <v>"%USERPROFILE%\Documents\GitHub\eaglep3\Utilities\RefineRTDCRunTimes.py" --tripid 310-19 --locoid 4041 --swversion DE.1.0.9.0 --startMP 300:23527 --initTime 2017-07-19T04:53:21 --startdatetime 2017-07-19T04:57:28 --delay 4 --endMP 204:141 --enddatetime 2017-07-19T05:04:46 --enforcementcount 0 &gt;&gt;C:\Users\stu\Documents\GitHub\eaglep3-reporting\EC\2017-07-19-refined-times.txt</v>
      </c>
      <c r="AI215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{"issue":{"subject":"","project_id":79,"tracker_id":40,"status_id":1,"priority_id":2,"assigned_to_id":23,"start_date":"2017-07-19","description":"","custom_fields":[{"id":1,"name":"Subdivision","value":"Other"},{"id":4,"name":"Milepost","value":"0.0141"},{"id":17,"name":"Train ID","value":"310-19"},{"id":16,"name":"Locomotive ID","value":"4041"},{"id":130,"name":"Impact","value":""},{"id":150,"name":"Time of Event (Mountain Time)","value":"05:04:46"},{"id":151,"name":"Denver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4"/>
        <v>start /low /b %USERPROFILE%\Documents\GitHub\eaglep3\Utilities\DownloadLogsFromS3.py --loco 4041 --day 2017-07-19</v>
      </c>
      <c r="AN215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854</v>
      </c>
      <c r="B216" s="7">
        <v>4054</v>
      </c>
      <c r="C216" s="21" t="s">
        <v>199</v>
      </c>
      <c r="D216" s="21" t="s">
        <v>482</v>
      </c>
      <c r="E216" s="13">
        <v>42936.068506944444</v>
      </c>
      <c r="F216" s="13">
        <v>42936.070983796293</v>
      </c>
      <c r="G216" s="7">
        <v>1</v>
      </c>
      <c r="H216" s="21" t="s">
        <v>934</v>
      </c>
      <c r="I216" s="13">
        <v>42936.081261574072</v>
      </c>
      <c r="J216" s="7">
        <v>0</v>
      </c>
      <c r="K216" s="89" t="str">
        <f>IF(ISEVEN(B216),(B216-1)&amp;"/"&amp;B216,B216&amp;"/"&amp;(B216+1))</f>
        <v>4053/4054</v>
      </c>
      <c r="L216" s="21" t="str">
        <f>VLOOKUP(A216,'Trips&amp;Operators'!$C$1:$G$99999,5,FALSE)</f>
        <v>CASSIDY BRANDON</v>
      </c>
      <c r="M216" s="6">
        <f>I216-F216</f>
        <v>1.0277777779265307E-2</v>
      </c>
      <c r="N216" s="7">
        <f>24*60*SUM($M216:$M216)</f>
        <v>14.800000002142042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-20T00:38:39-0600',mode:absolute,to:'2017-07-20T02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4.6699999999999998E-2</v>
      </c>
      <c r="Z216" s="197">
        <f>RIGHT(H216,LEN(H216)-4)/10000</f>
        <v>2.3315999999999999</v>
      </c>
      <c r="AA216" s="197">
        <f>ABS(Z216-Y216)</f>
        <v>2.2848999999999999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 &amp; aws s3 cp s3://rtdc.mdm.uploadarchive.raw/RTDC4054/ "%USERPROFILE%\AppData\Local\Temp\OnboardLogs"\RTDC4054\2017-07-21 --exclude "*" --recursive --include "*20170721*" &amp; "%USERPROFILE%\Documents\GitHub\mrs-test-scripts\Headless Mode &amp; Sideloading\WalkAndUnGZ.bat" "%USERPROFILE%\AppData\Local\Temp\OnboardLogs"\RTDC4054\2017-07-21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/stypes="app*4054*20170720*" /stext=" 07:.+((SYSTEM_STATE.+slice.+state.+changed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22"/>
        <v>"%USERPROFILE%\Documents\GitHub\eaglep3\Utilities\RefineRTDCRunTimes.py" --tripid 311-19 --locoid 4054 --swversion DE.1.0.9.0 --startMP 204:467 --initTime 2017-07-20T01:38:39 --startdatetime 2017-07-20T01:42:13 --delay 1 --endMP 300:23316 --enddatetime 2017-07-20T01:57:01 --enforcementcount 0 &gt;&gt;C:\Users\stu\Documents\GitHub\eaglep3-reporting\EC\2017-07-19-refined-times.txt</v>
      </c>
      <c r="AI216" s="96" t="str">
        <f t="shared" si="23"/>
        <v>echo {"issue":{"subject":"","project_id":79,"tracker_id":40,"status_id":1,"priority_id":2,"assigned_to_id":23,"start_date":"2017-07-20","description":"","custom_fields":[{"id":1,"name":"Subdivision","value":"Other"},{"id":4,"name":"Milepost","value":"2.3316"},{"id":17,"name":"Train ID","value":"311-19"},{"id":16,"name":"Locomotive ID","value":"4054"},{"id":130,"name":"Impact","value":""},{"id":150,"name":"Time of Event (Mountain Time)","value":"01:57:01"},{"id":151,"name":"Denver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4"/>
        <v>start /low /b %USERPROFILE%\Documents\GitHub\eaglep3\Utilities\DownloadLogsFromS3.py --loco 4054 --day 2017-07-20</v>
      </c>
      <c r="AN216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07:57:01"},{"id":29,"name":"Sharepoint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670</v>
      </c>
      <c r="B217" s="7">
        <v>4003</v>
      </c>
      <c r="C217" s="21" t="s">
        <v>199</v>
      </c>
      <c r="D217" s="21" t="s">
        <v>935</v>
      </c>
      <c r="E217" s="13">
        <v>42935.222291666665</v>
      </c>
      <c r="F217" s="13">
        <v>42935.226620370369</v>
      </c>
      <c r="G217" s="7">
        <v>6</v>
      </c>
      <c r="H217" s="21" t="s">
        <v>391</v>
      </c>
      <c r="I217" s="13">
        <v>42935.232314814813</v>
      </c>
      <c r="J217" s="7">
        <v>0</v>
      </c>
      <c r="K217" s="89" t="str">
        <f>IF(ISEVEN(B217),(B217-1)&amp;"/"&amp;B217,B217&amp;"/"&amp;(B217+1))</f>
        <v>4003/4004</v>
      </c>
      <c r="L217" s="21" t="str">
        <f>VLOOKUP(A217,'Trips&amp;Operators'!$C$1:$G$99999,5,FALSE)</f>
        <v>YANG JAN</v>
      </c>
      <c r="M217" s="6">
        <f>I217-F217</f>
        <v>5.694444444088731E-3</v>
      </c>
      <c r="N217" s="7">
        <f>24*60*SUM($M217:$M217)</f>
        <v>8.1999999994877726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-19T04:20:06-0600',mode:absolute,to:'2017-07-19T06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2.2280000000000002</v>
      </c>
      <c r="Z217" s="197">
        <f>RIGHT(H217,LEN(H217)-4)/10000</f>
        <v>1.5599999999999999E-2</v>
      </c>
      <c r="AA217" s="197">
        <f>ABS(Z217-Y217)</f>
        <v>2.2124000000000001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s3://rtdc.mdm.uploadarchive.raw/RTDC4003/ "%USERPROFILE%\AppData\Local\Temp\OnboardLogs"\RTDC4003\2017-07-19 --exclude "*" --recursive --include "*20170719*" &amp; "%USERPROFILE%\Documents\GitHub\mrs-test-scripts\Headless Mode &amp; Sideloading\WalkAndUnGZ.bat" "%USERPROFILE%\AppData\Local\Temp\OnboardLogs"\RTDC4003\2017-07-19 &amp; aws s3 cp s3://rtdc.mdm.uploadarchive.raw/RTDC4003/ "%USERPROFILE%\AppData\Local\Temp\OnboardLogs"\RTDC4003\2017-07-20 --exclude "*" --recursive --include "*20170720*" &amp; "%USERPROFILE%\Documents\GitHub\mrs-test-scripts\Headless Mode &amp; Sideloading\WalkAndUnGZ.bat" "%USERPROFILE%\AppData\Local\Temp\OnboardLogs"\RTDC4003\2017-07-20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/stypes="app*4003*20170719*" /stext=" 11:.+((SYSTEM_STATE.+slice.+state.+changed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22"/>
        <v>"%USERPROFILE%\Documents\GitHub\eaglep3\Utilities\RefineRTDCRunTimes.py" --tripid 312-19 --locoid 4003 --swversion DE.1.0.9.0 --startMP 300:22280 --initTime 2017-07-19T05:20:06 --startdatetime 2017-07-19T05:26:20 --delay 6 --endMP 204:156 --enddatetime 2017-07-19T05:34:32 --enforcementcount 0 &gt;&gt;C:\Users\stu\Documents\GitHub\eaglep3-reporting\EC\2017-07-19-refined-times.txt</v>
      </c>
      <c r="AI217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{"issue":{"subject":"","project_id":79,"tracker_id":40,"status_id":1,"priority_id":2,"assigned_to_id":23,"start_date":"2017-07-19","description":"","custom_fields":[{"id":1,"name":"Subdivision","value":"Other"},{"id":4,"name":"Milepost","value":"0.0156"},{"id":17,"name":"Train ID","value":"312-19"},{"id":16,"name":"Locomotive ID","value":"4003"},{"id":130,"name":"Impact","value":""},{"id":150,"name":"Time of Event (Mountain Time)","value":"05:34:32"},{"id":151,"name":"Denver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4"/>
        <v>start /low /b %USERPROFILE%\Documents\GitHub\eaglep3\Utilities\DownloadLogsFromS3.py --loco 4003 --day 2017-07-19</v>
      </c>
      <c r="AN217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569</v>
      </c>
      <c r="B218" s="7">
        <v>4002</v>
      </c>
      <c r="C218" s="21" t="s">
        <v>199</v>
      </c>
      <c r="D218" s="21" t="s">
        <v>346</v>
      </c>
      <c r="E218" s="13">
        <v>42935.088750000003</v>
      </c>
      <c r="F218" s="13">
        <v>42935.091828703706</v>
      </c>
      <c r="G218" s="7">
        <v>1</v>
      </c>
      <c r="H218" s="21" t="s">
        <v>348</v>
      </c>
      <c r="I218" s="13">
        <v>42935.102280092593</v>
      </c>
      <c r="J218" s="7">
        <v>0</v>
      </c>
      <c r="K218" s="89" t="str">
        <f>IF(ISEVEN(B218),(B218-1)&amp;"/"&amp;B218,B218&amp;"/"&amp;(B218+1))</f>
        <v>4001/4002</v>
      </c>
      <c r="L218" s="21" t="str">
        <f>VLOOKUP(A218,'Trips&amp;Operators'!$C$1:$G$99999,5,FALSE)</f>
        <v>LAMAR NEKESHA</v>
      </c>
      <c r="M218" s="6">
        <f>I218-F218</f>
        <v>1.0451388887304347E-2</v>
      </c>
      <c r="N218" s="7">
        <f>24*60*SUM($M218:$M218)</f>
        <v>15.04999999771826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-19T01:07:48-0600',mode:absolute,to:'2017-07-19T03:27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4.6600000000000003E-2</v>
      </c>
      <c r="Z218" s="197">
        <f>RIGHT(H218,LEN(H218)-4)/10000</f>
        <v>2.3346</v>
      </c>
      <c r="AA218" s="197">
        <f>ABS(Z218-Y218)</f>
        <v>2.2879999999999998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s3://rtdc.mdm.uploadarchive.raw/RTDC4002/ "%USERPROFILE%\AppData\Local\Temp\OnboardLogs"\RTDC4002\2017-07-19 --exclude "*" --recursive --include "*20170719*" &amp; "%USERPROFILE%\Documents\GitHub\mrs-test-scripts\Headless Mode &amp; Sideloading\WalkAndUnGZ.bat" "%USERPROFILE%\AppData\Local\Temp\OnboardLogs"\RTDC4002\2017-07-19 &amp; aws s3 cp s3://rtdc.mdm.uploadarchive.raw/RTDC4002/ "%USERPROFILE%\AppData\Local\Temp\OnboardLogs"\RTDC4002\2017-07-20 --exclude "*" --recursive --include "*20170720*" &amp; "%USERPROFILE%\Documents\GitHub\mrs-test-scripts\Headless Mode &amp; Sideloading\WalkAndUnGZ.bat" "%USERPROFILE%\AppData\Local\Temp\OnboardLogs"\RTDC4002\2017-07-20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/stypes="app*4002*20170719*"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22"/>
        <v>"%USERPROFILE%\Documents\GitHub\eaglep3\Utilities\RefineRTDCRunTimes.py" --tripid 313-18 --locoid 4002 --swversion DE.1.0.9.0 --startMP 204:466 --initTime 2017-07-19T02:07:48 --startdatetime 2017-07-19T02:12:14 --delay 1 --endMP 300:23346 --enddatetime 2017-07-19T02:27:17 --enforcementcount 0 &gt;&gt;C:\Users\stu\Documents\GitHub\eaglep3-reporting\EC\2017-07-19-refined-times.txt</v>
      </c>
      <c r="AI218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{"issue":{"subject":"","project_id":79,"tracker_id":40,"status_id":1,"priority_id":2,"assigned_to_id":23,"start_date":"2017-07-19","description":"","custom_fields":[{"id":1,"name":"Subdivision","value":"Other"},{"id":4,"name":"Milepost","value":"2.3346"},{"id":17,"name":"Train ID","value":"313-18"},{"id":16,"name":"Locomotive ID","value":"4002"},{"id":130,"name":"Impact","value":""},{"id":150,"name":"Time of Event (Mountain Time)","value":"02:27:17"},{"id":151,"name":"Denver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4"/>
        <v>start /low /b %USERPROFILE%\Documents\GitHub\eaglep3\Utilities\DownloadLogsFromS3.py --loco 4002 --day 2017-07-19</v>
      </c>
      <c r="AN218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08:27:17"},{"id":29,"name":"Sharepoint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855</v>
      </c>
      <c r="B219" s="7">
        <v>4030</v>
      </c>
      <c r="C219" s="21" t="s">
        <v>199</v>
      </c>
      <c r="D219" s="21" t="s">
        <v>380</v>
      </c>
      <c r="E219" s="13">
        <v>42936.089131944442</v>
      </c>
      <c r="F219" s="13">
        <v>42936.091863425929</v>
      </c>
      <c r="G219" s="7">
        <v>1</v>
      </c>
      <c r="H219" s="21" t="s">
        <v>348</v>
      </c>
      <c r="I219" s="13">
        <v>42936.101631944446</v>
      </c>
      <c r="J219" s="7">
        <v>0</v>
      </c>
      <c r="K219" s="89" t="str">
        <f>IF(ISEVEN(B219),(B219-1)&amp;"/"&amp;B219,B219&amp;"/"&amp;(B219+1))</f>
        <v>4029/4030</v>
      </c>
      <c r="L219" s="21" t="str">
        <f>VLOOKUP(A219,'Trips&amp;Operators'!$C$1:$G$99999,5,FALSE)</f>
        <v>LAMAR NEKESHA</v>
      </c>
      <c r="M219" s="6">
        <f>I219-F219</f>
        <v>9.7685185173759237E-3</v>
      </c>
      <c r="N219" s="7">
        <f>24*60*SUM($M219:$M219)</f>
        <v>14.06666666502133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-20T01:08:21-0600',mode:absolute,to:'2017-07-20T03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0</v>
      </c>
      <c r="Y219" s="197">
        <f>RIGHT(D219,LEN(D219)-4)/10000</f>
        <v>4.6199999999999998E-2</v>
      </c>
      <c r="Z219" s="197">
        <f>RIGHT(H219,LEN(H219)-4)/10000</f>
        <v>2.3346</v>
      </c>
      <c r="AA219" s="197">
        <f>ABS(Z219-Y219)</f>
        <v>2.2884000000000002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 &amp; aws s3 cp s3://rtdc.mdm.uploadarchive.raw/RTDC4030/ "%USERPROFILE%\AppData\Local\Temp\OnboardLogs"\RTDC4030\2017-07-21 --exclude "*" --recursive --include "*20170721*" &amp; "%USERPROFILE%\Documents\GitHub\mrs-test-scripts\Headless Mode &amp; Sideloading\WalkAndUnGZ.bat" "%USERPROFILE%\AppData\Local\Temp\OnboardLogs"\RTDC4030\2017-07-21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/stypes="app*4030*20170720*" /stext=" 08:.+((SYSTEM_STATE.+slice.+state.+changed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22"/>
        <v>"%USERPROFILE%\Documents\GitHub\eaglep3\Utilities\RefineRTDCRunTimes.py" --tripid 313-19 --locoid 4030 --swversion DE.1.0.9.0 --startMP 204:462 --initTime 2017-07-20T02:08:21 --startdatetime 2017-07-20T02:12:17 --delay 1 --endMP 300:23346 --enddatetime 2017-07-20T02:26:21 --enforcementcount 0 &gt;&gt;C:\Users\stu\Documents\GitHub\eaglep3-reporting\EC\2017-07-19-refined-times.txt</v>
      </c>
      <c r="AI219" s="96" t="str">
        <f t="shared" si="23"/>
        <v>echo {"issue":{"subject":"","project_id":79,"tracker_id":40,"status_id":1,"priority_id":2,"assigned_to_id":23,"start_date":"2017-07-20","description":"","custom_fields":[{"id":1,"name":"Subdivision","value":"Other"},{"id":4,"name":"Milepost","value":"2.3346"},{"id":17,"name":"Train ID","value":"313-19"},{"id":16,"name":"Locomotive ID","value":"4030"},{"id":130,"name":"Impact","value":""},{"id":150,"name":"Time of Event (Mountain Time)","value":"02:26:21"},{"id":151,"name":"Denver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4"/>
        <v>start /low /b %USERPROFILE%\Documents\GitHub\eaglep3\Utilities\DownloadLogsFromS3.py --loco 4030 --day 2017-07-20</v>
      </c>
      <c r="AN219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08:26:21"},{"id":29,"name":"Sharepoint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662</v>
      </c>
      <c r="B220" s="7">
        <v>4060</v>
      </c>
      <c r="C220" s="21" t="s">
        <v>199</v>
      </c>
      <c r="D220" s="21" t="s">
        <v>1014</v>
      </c>
      <c r="E220" s="13">
        <v>42935.203877314816</v>
      </c>
      <c r="F220" s="13">
        <v>42935.206493055557</v>
      </c>
      <c r="G220" s="7">
        <v>3</v>
      </c>
      <c r="H220" s="21" t="s">
        <v>549</v>
      </c>
      <c r="I220" s="13">
        <v>42935.211967592593</v>
      </c>
      <c r="J220" s="7">
        <v>0</v>
      </c>
      <c r="K220" s="89" t="str">
        <f>IF(ISEVEN(B220),(B220-1)&amp;"/"&amp;B220,B220&amp;"/"&amp;(B220+1))</f>
        <v>4059/4060</v>
      </c>
      <c r="L220" s="21" t="str">
        <f>VLOOKUP(A220,'Trips&amp;Operators'!$C$1:$G$99999,5,FALSE)</f>
        <v>MACDONALD THOMAS</v>
      </c>
      <c r="M220" s="6">
        <f>I220-F220</f>
        <v>5.4745370362070389E-3</v>
      </c>
      <c r="N220" s="7">
        <f>24*60*SUM($M220:$M220)</f>
        <v>7.883333332138136</v>
      </c>
      <c r="O220" s="7"/>
      <c r="P220" s="7"/>
      <c r="Q220" s="22"/>
      <c r="R220" s="170"/>
      <c r="S220" s="213">
        <f>1/IF(AG220="EC",12,1)*SUM(U220:U220)</f>
        <v>0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-19T03:53:35-0600',mode:absolute,to:'2017-07-19T06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588</v>
      </c>
      <c r="Y220" s="197">
        <f>RIGHT(D220,LEN(D220)-4)/10000</f>
        <v>2.9744000000000002</v>
      </c>
      <c r="Z220" s="197">
        <f>RIGHT(H220,LEN(H220)-4)/10000</f>
        <v>5.8929</v>
      </c>
      <c r="AA220" s="197">
        <f>ABS(Z220-Y220)</f>
        <v>2.9184999999999999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/stypes="app*4060*20170719*" /stext=" 11:.+((SYSTEM_STATE.+slice.+state.+changed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22"/>
        <v>"%USERPROFILE%\Documents\GitHub\eaglep3\Utilities\RefineRTDCRunTimes.py" --tripid 901-19 --locoid 4060 --swversion DE.1.0.9.0 --startMP 300:29744 --initTime 2017-07-19T04:53:35 --startdatetime 2017-07-19T04:57:21 --delay 3 --endMP 300:58929 --enddatetime 2017-07-19T05:05:14 --enforcementcount 0 &gt;&gt;C:\Users\stu\Documents\GitHub\eaglep3-reporting\EC\2017-07-19-refined-times.txt</v>
      </c>
      <c r="AI220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{"issue":{"subject":"","project_id":79,"tracker_id":40,"status_id":1,"priority_id":2,"assigned_to_id":23,"start_date":"2017-07-19","description":"","custom_fields":[{"id":1,"name":"Subdivision","value":"Other"},{"id":4,"name":"Milepost","value":"5.8929"},{"id":17,"name":"Train ID","value":"901-19"},{"id":16,"name":"Locomotive ID","value":"4060"},{"id":130,"name":"Impact","value":""},{"id":150,"name":"Time of Event (Mountain Time)","value":"05:05:14"},{"id":151,"name":"Denver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4"/>
        <v>start /low /b %USERPROFILE%\Documents\GitHub\eaglep3\Utilities\DownloadLogsFromS3.py --loco 4060 --day 2017-07-19</v>
      </c>
      <c r="AN220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679</v>
      </c>
      <c r="B221" s="7">
        <v>4055</v>
      </c>
      <c r="C221" s="21" t="s">
        <v>199</v>
      </c>
      <c r="D221" s="21" t="s">
        <v>932</v>
      </c>
      <c r="E221" s="13">
        <v>42935.244652777779</v>
      </c>
      <c r="F221" s="13">
        <v>42935.247766203705</v>
      </c>
      <c r="G221" s="7">
        <v>4</v>
      </c>
      <c r="H221" s="21" t="s">
        <v>1015</v>
      </c>
      <c r="I221" s="13">
        <v>42935.252858796295</v>
      </c>
      <c r="J221" s="7">
        <v>0</v>
      </c>
      <c r="K221" s="89" t="str">
        <f>IF(ISEVEN(B221),(B221-1)&amp;"/"&amp;B221,B221&amp;"/"&amp;(B221+1))</f>
        <v>4055/4056</v>
      </c>
      <c r="L221" s="21" t="str">
        <f>VLOOKUP(A221,'Trips&amp;Operators'!$C$1:$G$99999,5,FALSE)</f>
        <v>NICHOLSON WESLEY</v>
      </c>
      <c r="M221" s="6">
        <f>I221-F221</f>
        <v>5.0925925897900015E-3</v>
      </c>
      <c r="N221" s="7">
        <f>24*60*SUM($M221:$M221)</f>
        <v>7.3333333292976022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-19T04:52:18-0600',mode:absolute,to:'2017-07-19T07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2.3338999999999999</v>
      </c>
      <c r="Z221" s="197">
        <f>RIGHT(H221,LEN(H221)-4)/10000</f>
        <v>7.0300000000000001E-2</v>
      </c>
      <c r="AA221" s="197">
        <f>ABS(Z221-Y221)</f>
        <v>2.2635999999999998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/stypes="app*4055*20170719*" /stext=" 12:.+((SYSTEM_STATE.+slice.+state.+changed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22"/>
        <v>"%USERPROFILE%\Documents\GitHub\eaglep3\Utilities\RefineRTDCRunTimes.py" --tripid 902-19 --locoid 4055 --swversion DE.1.0.9.0 --startMP 300:23339 --initTime 2017-07-19T05:52:18 --startdatetime 2017-07-19T05:56:47 --delay 4 --endMP 204:703 --enddatetime 2017-07-19T06:04:07 --enforcementcount 0 &gt;&gt;C:\Users\stu\Documents\GitHub\eaglep3-reporting\EC\2017-07-19-refined-times.txt</v>
      </c>
      <c r="AI221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{"issue":{"subject":"","project_id":79,"tracker_id":40,"status_id":1,"priority_id":2,"assigned_to_id":23,"start_date":"2017-07-19","description":"","custom_fields":[{"id":1,"name":"Subdivision","value":"Other"},{"id":4,"name":"Milepost","value":"0.0703"},{"id":17,"name":"Train ID","value":"902-19"},{"id":16,"name":"Locomotive ID","value":"4055"},{"id":130,"name":"Impact","value":""},{"id":150,"name":"Time of Event (Mountain Time)","value":"06:04:07"},{"id":151,"name":"Denver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24"/>
        <v>start /low /b %USERPROFILE%\Documents\GitHub\eaglep3\Utilities\DownloadLogsFromS3.py --loco 4055 --day 2017-07-19</v>
      </c>
      <c r="AN221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706</v>
      </c>
      <c r="B222" s="7">
        <v>4060</v>
      </c>
      <c r="C222" s="21" t="s">
        <v>199</v>
      </c>
      <c r="D222" s="21" t="s">
        <v>1016</v>
      </c>
      <c r="E222" s="13">
        <v>42935.352696759262</v>
      </c>
      <c r="F222" s="13">
        <v>42935.353981481479</v>
      </c>
      <c r="G222" s="7">
        <v>1</v>
      </c>
      <c r="H222" s="21" t="s">
        <v>1017</v>
      </c>
      <c r="I222" s="13">
        <v>42935.359976851854</v>
      </c>
      <c r="J222" s="7">
        <v>0</v>
      </c>
      <c r="K222" s="89" t="str">
        <f>IF(ISEVEN(B222),(B222-1)&amp;"/"&amp;B222,B222&amp;"/"&amp;(B222+1))</f>
        <v>4059/4060</v>
      </c>
      <c r="L222" s="21" t="str">
        <f>VLOOKUP(A222,'Trips&amp;Operators'!$C$1:$G$99999,5,FALSE)</f>
        <v>MACDONALD THOMAS</v>
      </c>
      <c r="M222" s="6">
        <f>I222-F222</f>
        <v>5.9953703748760745E-3</v>
      </c>
      <c r="N222" s="7">
        <f>24*60*SUM($M222:$M222)</f>
        <v>8.6333333398215473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-19T07:27:53-0600',mode:absolute,to:'2017-07-19T09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0.10059999999999999</v>
      </c>
      <c r="Z222" s="197">
        <f>RIGHT(H222,LEN(H222)-4)/10000</f>
        <v>2.4241000000000001</v>
      </c>
      <c r="AA222" s="197">
        <f>ABS(Z222-Y222)</f>
        <v>2.3235000000000001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/stypes="app*4060*20170719*" /stext=" 14:.+((SYSTEM_STATE.+slice.+state.+changed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22"/>
        <v>"%USERPROFILE%\Documents\GitHub\eaglep3\Utilities\RefineRTDCRunTimes.py" --tripid 903-19 --locoid 4060 --swversion DE.1.0.9.0 --startMP 204:1006 --initTime 2017-07-19T08:27:53 --startdatetime 2017-07-19T08:29:44 --delay 1 --endMP 300:24241 --enddatetime 2017-07-19T08:38:22 --enforcementcount 0 &gt;&gt;C:\Users\stu\Documents\GitHub\eaglep3-reporting\EC\2017-07-19-refined-times.txt</v>
      </c>
      <c r="AI222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{"issue":{"subject":"","project_id":79,"tracker_id":40,"status_id":1,"priority_id":2,"assigned_to_id":23,"start_date":"2017-07-19","description":"","custom_fields":[{"id":1,"name":"Subdivision","value":"Other"},{"id":4,"name":"Milepost","value":"2.4241"},{"id":17,"name":"Train ID","value":"903-19"},{"id":16,"name":"Locomotive ID","value":"4060"},{"id":130,"name":"Impact","value":""},{"id":150,"name":"Time of Event (Mountain Time)","value":"08:38:22"},{"id":151,"name":"Denver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4"/>
        <v>start /low /b %USERPROFILE%\Documents\GitHub\eaglep3\Utilities\DownloadLogsFromS3.py --loco 4060 --day 2017-07-19</v>
      </c>
      <c r="AN222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773</v>
      </c>
      <c r="B223" s="7">
        <v>4059</v>
      </c>
      <c r="C223" s="21" t="s">
        <v>199</v>
      </c>
      <c r="D223" s="21" t="s">
        <v>1018</v>
      </c>
      <c r="E223" s="13">
        <v>42935.639270833337</v>
      </c>
      <c r="F223" s="13">
        <v>42935.640451388892</v>
      </c>
      <c r="G223" s="7">
        <v>1</v>
      </c>
      <c r="H223" s="21" t="s">
        <v>1019</v>
      </c>
      <c r="I223" s="13">
        <v>42935.645972222221</v>
      </c>
      <c r="J223" s="7">
        <v>0</v>
      </c>
      <c r="K223" s="89" t="str">
        <f>IF(ISEVEN(B223),(B223-1)&amp;"/"&amp;B223,B223&amp;"/"&amp;(B223+1))</f>
        <v>4059/4060</v>
      </c>
      <c r="L223" s="21" t="str">
        <f>VLOOKUP(A223,'Trips&amp;Operators'!$C$1:$G$99999,5,FALSE)</f>
        <v>BIRKHOLZ NADINE</v>
      </c>
      <c r="M223" s="6">
        <f>I223-F223</f>
        <v>5.5208333287737332E-3</v>
      </c>
      <c r="N223" s="7">
        <f>24*60*SUM($M223:$M223)</f>
        <v>7.9499999934341758</v>
      </c>
      <c r="O223" s="7"/>
      <c r="P223" s="7"/>
      <c r="Q223" s="22"/>
      <c r="R223" s="170"/>
      <c r="S223" s="213">
        <f>1/IF(AG223="EC",12,1)*SUM(U223:U223)</f>
        <v>1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-19T14:20:33-0600',mode:absolute,to:'2017-07-19T16:30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2.3073999999999999</v>
      </c>
      <c r="Z223" s="197">
        <f>RIGHT(H223,LEN(H223)-4)/10000</f>
        <v>6.8000000000000005E-2</v>
      </c>
      <c r="AA223" s="197">
        <f>ABS(Z223-Y223)</f>
        <v>2.2393999999999998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/stypes="app*4059*20170719*" /stext=" 21:.+((SYSTEM_STATE.+slice.+state.+changed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22"/>
        <v>"%USERPROFILE%\Documents\GitHub\eaglep3\Utilities\RefineRTDCRunTimes.py" --tripid 904-19 --locoid 4059 --swversion DE.1.0.9.0 --startMP 300:23074 --initTime 2017-07-19T15:20:33 --startdatetime 2017-07-19T15:22:15 --delay 1 --endMP 204:680 --enddatetime 2017-07-19T15:30:12 --enforcementcount 0 &gt;&gt;C:\Users\stu\Documents\GitHub\eaglep3-reporting\EC\2017-07-19-refined-times.txt</v>
      </c>
      <c r="AI223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{"issue":{"subject":"","project_id":79,"tracker_id":40,"status_id":1,"priority_id":2,"assigned_to_id":23,"start_date":"2017-07-19","description":"","custom_fields":[{"id":1,"name":"Subdivision","value":"Other"},{"id":4,"name":"Milepost","value":"0.068"},{"id":17,"name":"Train ID","value":"904-19"},{"id":16,"name":"Locomotive ID","value":"4059"},{"id":130,"name":"Impact","value":""},{"id":150,"name":"Time of Event (Mountain Time)","value":"15:30:12"},{"id":151,"name":"Denver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4"/>
        <v>start /low /b %USERPROFILE%\Documents\GitHub\eaglep3\Utilities\DownloadLogsFromS3.py --loco 4059 --day 2017-07-19</v>
      </c>
      <c r="AN223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21:30:12"},{"id":29,"name":"Sharepoint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819</v>
      </c>
      <c r="B224" s="7">
        <v>4059</v>
      </c>
      <c r="C224" s="21" t="s">
        <v>199</v>
      </c>
      <c r="D224" s="21" t="s">
        <v>1020</v>
      </c>
      <c r="E224" s="13">
        <v>42935.796319444446</v>
      </c>
      <c r="F224" s="13">
        <v>42935.797824074078</v>
      </c>
      <c r="G224" s="7">
        <v>1</v>
      </c>
      <c r="H224" s="21" t="s">
        <v>1021</v>
      </c>
      <c r="I224" s="13">
        <v>42935.802986111114</v>
      </c>
      <c r="J224" s="7">
        <v>0</v>
      </c>
      <c r="K224" s="89" t="str">
        <f>IF(ISEVEN(B224),(B224-1)&amp;"/"&amp;B224,B224&amp;"/"&amp;(B224+1))</f>
        <v>4059/4060</v>
      </c>
      <c r="L224" s="21" t="str">
        <f>VLOOKUP(A224,'Trips&amp;Operators'!$C$1:$G$99999,5,FALSE)</f>
        <v>BIRKHOLZ NADINE</v>
      </c>
      <c r="M224" s="6">
        <f>I224-F224</f>
        <v>5.1620370359160006E-3</v>
      </c>
      <c r="N224" s="7">
        <f>24*60*SUM($M224:$M224)</f>
        <v>7.4333333317190409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-19T18:06:42-0600',mode:absolute,to:'2017-07-19T20:16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5.8596000000000004</v>
      </c>
      <c r="Z224" s="197">
        <f>RIGHT(H224,LEN(H224)-4)/10000</f>
        <v>2.8757000000000001</v>
      </c>
      <c r="AA224" s="197">
        <f>ABS(Z224-Y224)</f>
        <v>2.9839000000000002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/stypes="app*4059*20170720*" /stext=" 01:.+((SYSTEM_STATE.+slice.+state.+changed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22"/>
        <v>"%USERPROFILE%\Documents\GitHub\eaglep3\Utilities\RefineRTDCRunTimes.py" --tripid 906-19 --locoid 4059 --swversion DE.1.0.9.0 --startMP 300:58596 --initTime 2017-07-19T19:06:42 --startdatetime 2017-07-19T19:08:52 --delay 1 --endMP 300:28757 --enddatetime 2017-07-19T19:16:18 --enforcementcount 0 &gt;&gt;C:\Users\stu\Documents\GitHub\eaglep3-reporting\EC\2017-07-19-refined-times.txt</v>
      </c>
      <c r="AI224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{"issue":{"subject":"","project_id":79,"tracker_id":40,"status_id":1,"priority_id":2,"assigned_to_id":23,"start_date":"2017-07-19","description":"","custom_fields":[{"id":1,"name":"Subdivision","value":"Other"},{"id":4,"name":"Milepost","value":"2.8757"},{"id":17,"name":"Train ID","value":"906-19"},{"id":16,"name":"Locomotive ID","value":"4059"},{"id":130,"name":"Impact","value":""},{"id":150,"name":"Time of Event (Mountain Time)","value":"19:16:18"},{"id":151,"name":"Denver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4"/>
        <v>start /low /b %USERPROFILE%\Documents\GitHub\eaglep3\Utilities\DownloadLogsFromS3.py --loco 4059 --day 2017-07-19</v>
      </c>
      <c r="AN224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01:16:18"},{"id":29,"name":"Sharepoint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842</v>
      </c>
      <c r="B225" s="7">
        <v>4055</v>
      </c>
      <c r="C225" s="21" t="s">
        <v>199</v>
      </c>
      <c r="D225" s="21" t="s">
        <v>1022</v>
      </c>
      <c r="E225" s="13">
        <v>42935.942453703705</v>
      </c>
      <c r="F225" s="13">
        <v>42935.94394675926</v>
      </c>
      <c r="G225" s="7">
        <v>1</v>
      </c>
      <c r="H225" s="21" t="s">
        <v>1023</v>
      </c>
      <c r="I225" s="13">
        <v>42935.952627314815</v>
      </c>
      <c r="J225" s="7">
        <v>0</v>
      </c>
      <c r="K225" s="89" t="str">
        <f>IF(ISEVEN(B225),(B225-1)&amp;"/"&amp;B225,B225&amp;"/"&amp;(B225+1))</f>
        <v>4055/4056</v>
      </c>
      <c r="L225" s="21" t="str">
        <f>VLOOKUP(A225,'Trips&amp;Operators'!$C$1:$G$99999,5,FALSE)</f>
        <v>BIRKHOLZ NADINE</v>
      </c>
      <c r="M225" s="6">
        <f>I225-F225</f>
        <v>8.6805555547471158E-3</v>
      </c>
      <c r="N225" s="7">
        <f>24*60*SUM($M225:$M225)</f>
        <v>12.499999998835847</v>
      </c>
      <c r="O225" s="7"/>
      <c r="P225" s="7"/>
      <c r="Q225" s="22"/>
      <c r="R225" s="170"/>
      <c r="S225" s="213">
        <f>1/IF(AG225="EC",12,1)*SUM(U225:U225)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-19T21:37:08-0600',mode:absolute,to:'2017-07-19T23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2</v>
      </c>
      <c r="Y225" s="197">
        <f>RIGHT(D225,LEN(D225)-4)/10000</f>
        <v>5.8601999999999999</v>
      </c>
      <c r="Z225" s="197">
        <f>RIGHT(H225,LEN(H225)-4)/10000</f>
        <v>2.8778000000000001</v>
      </c>
      <c r="AA225" s="197">
        <f>ABS(Z225-Y225)</f>
        <v>2.9823999999999997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/stypes="app*4055*20170720*" /stext=" 04:.+((SYSTEM_STATE.+slice.+state.+changed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22"/>
        <v>"%USERPROFILE%\Documents\GitHub\eaglep3\Utilities\RefineRTDCRunTimes.py" --tripid 908-19 --locoid 4055 --swversion DE.1.0.9.0 --startMP 300:58602 --initTime 2017-07-19T22:37:08 --startdatetime 2017-07-19T22:39:17 --delay 1 --endMP 300:28778 --enddatetime 2017-07-19T22:51:47 --enforcementcount 0 &gt;&gt;C:\Users\stu\Documents\GitHub\eaglep3-reporting\EC\2017-07-19-refined-times.txt</v>
      </c>
      <c r="AI225" s="96" t="str">
        <f t="shared" si="23"/>
        <v>echo {"issue":{"subject":"","project_id":79,"tracker_id":40,"status_id":1,"priority_id":2,"assigned_to_id":23,"start_date":"2017-07-19","description":"","custom_fields":[{"id":1,"name":"Subdivision","value":"Other"},{"id":4,"name":"Milepost","value":"2.8778"},{"id":17,"name":"Train ID","value":"908-19"},{"id":16,"name":"Locomotive ID","value":"4055"},{"id":130,"name":"Impact","value":""},{"id":150,"name":"Time of Event (Mountain Time)","value":"22:51:47"},{"id":151,"name":"Denver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24"/>
        <v>start /low /b %USERPROFILE%\Documents\GitHub\eaglep3\Utilities\DownloadLogsFromS3.py --loco 4055 --day 2017-07-19</v>
      </c>
      <c r="AN225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04:51:47"},{"id":29,"name":"Sharepoint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645</v>
      </c>
      <c r="B226" s="7">
        <v>4065</v>
      </c>
      <c r="C226" s="21" t="s">
        <v>199</v>
      </c>
      <c r="D226" s="21" t="s">
        <v>936</v>
      </c>
      <c r="E226" s="13">
        <v>42935.228194444448</v>
      </c>
      <c r="F226" s="13">
        <v>42935.232997685183</v>
      </c>
      <c r="G226" s="7">
        <v>6</v>
      </c>
      <c r="H226" s="21" t="s">
        <v>937</v>
      </c>
      <c r="I226" s="13">
        <v>42935.239166666666</v>
      </c>
      <c r="J226" s="7">
        <v>0</v>
      </c>
      <c r="K226" s="89" t="str">
        <f>IF(ISEVEN(B226),(B226-1)&amp;"/"&amp;B226,B226&amp;"/"&amp;(B226+1))</f>
        <v>4065/4066</v>
      </c>
      <c r="L226" s="21" t="str">
        <f>VLOOKUP(A226,'Trips&amp;Operators'!$C$1:$G$99999,5,FALSE)</f>
        <v>CUSHING HARRY</v>
      </c>
      <c r="M226" s="6">
        <f>I226-F226</f>
        <v>6.1689814829151146E-3</v>
      </c>
      <c r="N226" s="7">
        <f>24*60*SUM($M226:$M226)</f>
        <v>8.883333335397765</v>
      </c>
      <c r="O226" s="7"/>
      <c r="P226" s="7"/>
      <c r="Q226" s="22"/>
      <c r="R226" s="170"/>
      <c r="S226" s="213">
        <f>1/IF(AG226="EC",12,1)*SUM(U226:U226)</f>
        <v>1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-19T04:28:36-0600',mode:absolute,to:'2017-07-19T06:44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-858</v>
      </c>
      <c r="Y226" s="197">
        <f>RIGHT(D226,LEN(D226)-4)/10000</f>
        <v>2.3281999999999998</v>
      </c>
      <c r="Z226" s="197">
        <f>RIGHT(H226,LEN(H226)-4)/10000</f>
        <v>0.1152</v>
      </c>
      <c r="AA226" s="197">
        <f>ABS(Z226-Y226)</f>
        <v>2.2129999999999996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50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/stypes="app*4065*20170719*" /stext=" 11:.+((SYSTEM_STATE.+slice.+state.+changed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22"/>
        <v>"%USERPROFILE%\Documents\GitHub\eaglep3\Utilities\RefineRTDCRunTimes.py" --tripid 50-19 --locoid 4065 --swversion DE.1.0.9.0 --startMP 300:23282 --initTime 2017-07-19T05:28:36 --startdatetime 2017-07-19T05:35:31 --delay 6 --endMP 204:1152 --enddatetime 2017-07-19T05:44:24 --enforcementcount 0 &gt;&gt;C:\Users\stu\Documents\GitHub\eaglep3-reporting\EC\2017-07-19-refined-times.txt</v>
      </c>
      <c r="AI226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0.1152"},{"id":17,"name":"Train ID","value":"50-19"},{"id":16,"name":"Locomotive ID","value":"4065"},{"id":130,"name":"Impact","value":""},{"id":150,"name":"Time of Event (Mountain Time)","value":"05:44:24"},{"id":151,"name":"Denver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4"/>
        <v>start /low /b %USERPROFILE%\Documents\GitHub\eaglep3\Utilities\DownloadLogsFromS3.py --loco 4065 --day 2017-07-19</v>
      </c>
      <c r="AN226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11:44:24"},{"id":29,"name":"Sharepoint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614</v>
      </c>
      <c r="B227" s="7">
        <v>4064</v>
      </c>
      <c r="C227" s="21" t="s">
        <v>199</v>
      </c>
      <c r="D227" s="21" t="s">
        <v>938</v>
      </c>
      <c r="E227" s="13">
        <v>42935.410208333335</v>
      </c>
      <c r="F227" s="13">
        <v>42935.413923611108</v>
      </c>
      <c r="G227" s="7">
        <v>1</v>
      </c>
      <c r="H227" s="21" t="s">
        <v>939</v>
      </c>
      <c r="I227" s="13">
        <v>42935.43478009259</v>
      </c>
      <c r="J227" s="7">
        <v>0</v>
      </c>
      <c r="K227" s="89" t="str">
        <f>IF(ISEVEN(B227),(B227-1)&amp;"/"&amp;B227,B227&amp;"/"&amp;(B227+1))</f>
        <v>4063/4064</v>
      </c>
      <c r="L227" s="21" t="str">
        <f>VLOOKUP(A227,'Trips&amp;Operators'!$C$1:$G$99999,5,FALSE)</f>
        <v>BROWN JACOB</v>
      </c>
      <c r="M227" s="6">
        <f>I227-F227</f>
        <v>2.0856481482042E-2</v>
      </c>
      <c r="N227" s="7">
        <f>24*60*SUM($M227:$M227)</f>
        <v>30.03333333414048</v>
      </c>
      <c r="O227" s="7"/>
      <c r="P227" s="7"/>
      <c r="Q227" s="22"/>
      <c r="R227" s="170"/>
      <c r="S227" s="213">
        <f>1/IF(AG227="EC",12,1)*SUM(U227:U227)</f>
        <v>1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1</v>
      </c>
      <c r="Y227" s="197">
        <f>RIGHT(D227,LEN(D227)-4)/10000</f>
        <v>3.6299999999999999E-2</v>
      </c>
      <c r="Z227" s="197">
        <f>RIGHT(H227,LEN(H227)-4)/10000</f>
        <v>11.249599999999999</v>
      </c>
      <c r="AA227" s="197">
        <f>ABS(Z227-Y227)</f>
        <v>11.213299999999998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/stypes="app*4064*20170719*" /stext=" 16:.+((SYSTEM_STATE.+slice.+state.+changed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22"/>
        <v>"%USERPROFILE%\Documents\GitHub\eaglep3\Utilities\RefineRTDCRunTimes.py" --tripid 51-19 --locoid 4064 --swversion DE.1.0.9.0 --startMP 204:363 --initTime 2017-07-19T09:50:42 --startdatetime 2017-07-19T09:56:03 --delay 1 --endMP 300:112496 --enddatetime 2017-07-19T10:26:05 --enforcementcount 0 &gt;&gt;C:\Users\stu\Documents\GitHub\eaglep3-reporting\EC\2017-07-19-refined-times.txt</v>
      </c>
      <c r="AI227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11.2496"},{"id":17,"name":"Train ID","value":"51-19"},{"id":16,"name":"Locomotive ID","value":"4064"},{"id":130,"name":"Impact","value":""},{"id":150,"name":"Time of Event (Mountain Time)","value":"10:26:05"},{"id":151,"name":"Denver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4"/>
        <v>start /low /b %USERPROFILE%\Documents\GitHub\eaglep3\Utilities\DownloadLogsFromS3.py --loco 4064 --day 2017-07-19</v>
      </c>
      <c r="AN227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16:26:05"},{"id":29,"name":"Sharepoint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614</v>
      </c>
      <c r="B228" s="7">
        <v>4064</v>
      </c>
      <c r="C228" s="21" t="s">
        <v>199</v>
      </c>
      <c r="D228" s="21" t="s">
        <v>480</v>
      </c>
      <c r="E228" s="13">
        <v>42935.466840277775</v>
      </c>
      <c r="F228" s="13">
        <v>42935.468761574077</v>
      </c>
      <c r="G228" s="7">
        <v>1</v>
      </c>
      <c r="H228" s="21" t="s">
        <v>940</v>
      </c>
      <c r="I228" s="13">
        <v>42935.490590277775</v>
      </c>
      <c r="J228" s="7">
        <v>0</v>
      </c>
      <c r="K228" s="89" t="str">
        <f>IF(ISEVEN(B228),(B228-1)&amp;"/"&amp;B228,B228&amp;"/"&amp;(B228+1))</f>
        <v>4063/4064</v>
      </c>
      <c r="L228" s="21" t="str">
        <f>VLOOKUP(A228,'Trips&amp;Operators'!$C$1:$G$99999,5,FALSE)</f>
        <v>BROWN JACOB</v>
      </c>
      <c r="M228" s="6">
        <f>I228-F228</f>
        <v>2.1828703698702157E-2</v>
      </c>
      <c r="N228" s="7">
        <f>24*60*SUM($M228:$M228)</f>
        <v>31.433333326131105</v>
      </c>
      <c r="O228" s="7"/>
      <c r="P228" s="7"/>
      <c r="Q228" s="22"/>
      <c r="R228" s="170"/>
      <c r="S228" s="213">
        <f>1/IF(AG228="EC",12,1)*SUM(U228:U228)</f>
        <v>1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-19T10:12:15-0600',mode:absolute,to:'2017-07-19T12:46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0</v>
      </c>
      <c r="Y228" s="197">
        <f>RIGHT(D228,LEN(D228)-4)/10000</f>
        <v>4.4200000000000003E-2</v>
      </c>
      <c r="Z228" s="197">
        <f>RIGHT(H228,LEN(H228)-4)/10000</f>
        <v>11.2509</v>
      </c>
      <c r="AA228" s="197">
        <f>ABS(Z228-Y228)</f>
        <v>11.2067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51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/stypes="app*4064*20170719*" /stext=" 17:.+((SYSTEM_STATE.+slice.+state.+changed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22"/>
        <v>"%USERPROFILE%\Documents\GitHub\eaglep3\Utilities\RefineRTDCRunTimes.py" --tripid 51-19 --locoid 4064 --swversion DE.1.0.9.0 --startMP 204:442 --initTime 2017-07-19T11:12:15 --startdatetime 2017-07-19T11:15:01 --delay 1 --endMP 300:112509 --enddatetime 2017-07-19T11:46:27 --enforcementcount 0 &gt;&gt;C:\Users\stu\Documents\GitHub\eaglep3-reporting\EC\2017-07-19-refined-times.txt</v>
      </c>
      <c r="AI228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11.2509"},{"id":17,"name":"Train ID","value":"51-19"},{"id":16,"name":"Locomotive ID","value":"4064"},{"id":130,"name":"Impact","value":""},{"id":150,"name":"Time of Event (Mountain Time)","value":"11:46:27"},{"id":151,"name":"Denver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4"/>
        <v>start /low /b %USERPROFILE%\Documents\GitHub\eaglep3\Utilities\DownloadLogsFromS3.py --loco 4064 --day 2017-07-19</v>
      </c>
      <c r="AN228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17:46:27"},{"id":29,"name":"Sharepoint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614</v>
      </c>
      <c r="B229" s="7">
        <v>4064</v>
      </c>
      <c r="C229" s="21" t="s">
        <v>199</v>
      </c>
      <c r="D229" s="21" t="s">
        <v>941</v>
      </c>
      <c r="E229" s="13">
        <v>42935.350925925923</v>
      </c>
      <c r="F229" s="13">
        <v>42935.356481481482</v>
      </c>
      <c r="G229" s="7">
        <v>7</v>
      </c>
      <c r="H229" s="21" t="s">
        <v>942</v>
      </c>
      <c r="I229" s="13">
        <v>42935.372708333336</v>
      </c>
      <c r="J229" s="7">
        <v>0</v>
      </c>
      <c r="K229" s="89" t="str">
        <f>IF(ISEVEN(B229),(B229-1)&amp;"/"&amp;B229,B229&amp;"/"&amp;(B229+1))</f>
        <v>4063/4064</v>
      </c>
      <c r="L229" s="21" t="str">
        <f>VLOOKUP(A229,'Trips&amp;Operators'!$C$1:$G$99999,5,FALSE)</f>
        <v>BROWN JACOB</v>
      </c>
      <c r="M229" s="6">
        <f>I229-F229</f>
        <v>1.6226851854298729E-2</v>
      </c>
      <c r="N229" s="7">
        <f>24*60*SUM($M229:$M229)</f>
        <v>23.36666667019017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-19T07:25:20-0600',mode:absolute,to:'2017-07-19T09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0</v>
      </c>
      <c r="Y229" s="197">
        <f>RIGHT(D229,LEN(D229)-4)/10000</f>
        <v>3.0171000000000001</v>
      </c>
      <c r="Z229" s="197">
        <f>RIGHT(H229,LEN(H229)-4)/10000</f>
        <v>11.2515</v>
      </c>
      <c r="AA229" s="197">
        <f>ABS(Z229-Y229)</f>
        <v>8.2344000000000008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51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/stypes="app*4064*20170719*" /stext=" 14:.+((SYSTEM_STATE.+slice.+state.+changed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22"/>
        <v>"%USERPROFILE%\Documents\GitHub\eaglep3\Utilities\RefineRTDCRunTimes.py" --tripid 51-19 --locoid 4064 --swversion DE.1.0.9.0 --startMP 300:30171 --initTime 2017-07-19T08:25:20 --startdatetime 2017-07-19T08:33:20 --delay 7 --endMP 300:112515 --enddatetime 2017-07-19T08:56:42 --enforcementcount 0 &gt;&gt;C:\Users\stu\Documents\GitHub\eaglep3-reporting\EC\2017-07-19-refined-times.txt</v>
      </c>
      <c r="AI229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11.2515"},{"id":17,"name":"Train ID","value":"51-19"},{"id":16,"name":"Locomotive ID","value":"4064"},{"id":130,"name":"Impact","value":""},{"id":150,"name":"Time of Event (Mountain Time)","value":"08:56:42"},{"id":151,"name":"Denver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4"/>
        <v>start /low /b %USERPROFILE%\Documents\GitHub\eaglep3\Utilities\DownloadLogsFromS3.py --loco 4064 --day 2017-07-19</v>
      </c>
      <c r="AN229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14:56:42"},{"id":29,"name":"Sharepoint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620</v>
      </c>
      <c r="B230" s="7">
        <v>4063</v>
      </c>
      <c r="C230" s="21" t="s">
        <v>199</v>
      </c>
      <c r="D230" s="21">
        <v>8.5118055555555561</v>
      </c>
      <c r="E230" s="13">
        <v>42935.406064814815</v>
      </c>
      <c r="F230" s="13">
        <v>42935.441238425927</v>
      </c>
      <c r="G230" s="7">
        <v>1</v>
      </c>
      <c r="H230" s="21">
        <v>8.5118055555555561</v>
      </c>
      <c r="I230" s="13">
        <v>42935.461805555555</v>
      </c>
      <c r="J230" s="7">
        <v>0</v>
      </c>
      <c r="K230" s="89" t="str">
        <f>IF(ISEVEN(B230),(B230-1)&amp;"/"&amp;B230,B230&amp;"/"&amp;(B230+1))</f>
        <v>4063/4064</v>
      </c>
      <c r="L230" s="21" t="str">
        <f>VLOOKUP(A230,'Trips&amp;Operators'!$C$1:$G$99999,5,FALSE)</f>
        <v>BROWN JACOB</v>
      </c>
      <c r="M230" s="6">
        <f>I230-F230</f>
        <v>2.0567129628034309E-2</v>
      </c>
      <c r="N230" s="7">
        <f>24*60*SUM($M230:$M230)</f>
        <v>29.616666664369404</v>
      </c>
      <c r="O230" s="7"/>
      <c r="P230" s="7"/>
      <c r="Q230" s="22"/>
      <c r="R230" s="170"/>
      <c r="S230" s="213">
        <f>1/IF(AG230="EC",12,1)*SUM(U230:U230)</f>
        <v>0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-19T08:44:44-0600',mode:absolute,to:'2017-07-19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1</v>
      </c>
      <c r="Y230" s="197">
        <f>RIGHT(D230,LEN(D230)-4)/10000</f>
        <v>18055555.555599999</v>
      </c>
      <c r="Z230" s="197">
        <f>RIGHT(H230,LEN(H230)-4)/10000</f>
        <v>18055555.555599999</v>
      </c>
      <c r="AA230" s="197">
        <f>ABS(Z230-Y230)</f>
        <v>0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52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 &amp; aws s3 cp s3://rtdc.mdm.uploadarchive.raw/RTDC4063/ "%USERPROFILE%\AppData\Local\Temp\OnboardLogs"\RTDC4063\2017-07-20 --exclude "*" --recursive --include "*20170720*" &amp; "%USERPROFILE%\Documents\GitHub\mrs-test-scripts\Headless Mode &amp; Sideloading\WalkAndUnGZ.bat" "%USERPROFILE%\AppData\Local\Temp\OnboardLogs"\RTDC4063\2017-07-20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/stypes="app*4063*20170719*" /stext=" 17:.+((SYSTEM_STATE.+slice.+state.+changed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22"/>
        <v>"%USERPROFILE%\Documents\GitHub\eaglep3\Utilities\RefineRTDCRunTimes.py" --tripid 52-19 --locoid 4063 --swversion DE.1.0.9.0 --startMP 8.51180555555556 --initTime 2017-07-19T09:44:44 --startdatetime 2017-07-19T10:35:23 --delay 1 --endMP 8.51180555555556 --enddatetime 2017-07-19T11:05:00 --enforcementcount 0 &gt;&gt;C:\Users\stu\Documents\GitHub\eaglep3-reporting\EC\2017-07-19-refined-times.txt</v>
      </c>
      <c r="AI230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18055555.5556"},{"id":17,"name":"Train ID","value":"52-19"},{"id":16,"name":"Locomotive ID","value":"4063"},{"id":130,"name":"Impact","value":""},{"id":150,"name":"Time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24"/>
        <v>start /low /b %USERPROFILE%\Documents\GitHub\eaglep3\Utilities\DownloadLogsFromS3.py --loco 4063 --day 2017-07-19</v>
      </c>
      <c r="AN230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620</v>
      </c>
      <c r="B231" s="7">
        <v>4063</v>
      </c>
      <c r="C231" s="21" t="s">
        <v>199</v>
      </c>
      <c r="D231" s="21" t="s">
        <v>943</v>
      </c>
      <c r="E231" s="13">
        <v>42935.374976851854</v>
      </c>
      <c r="F231" s="13">
        <v>42935.441238425927</v>
      </c>
      <c r="G231" s="7">
        <v>2</v>
      </c>
      <c r="H231" s="21">
        <v>8.5270833333333336</v>
      </c>
      <c r="I231" s="13">
        <v>42935.461805555555</v>
      </c>
      <c r="J231" s="7">
        <v>0</v>
      </c>
      <c r="K231" s="89" t="str">
        <f>IF(ISEVEN(B231),(B231-1)&amp;"/"&amp;B231,B231&amp;"/"&amp;(B231+1))</f>
        <v>4063/4064</v>
      </c>
      <c r="L231" s="21" t="str">
        <f>VLOOKUP(A231,'Trips&amp;Operators'!$C$1:$G$99999,5,FALSE)</f>
        <v>BROWN JACOB</v>
      </c>
      <c r="M231" s="6">
        <f>I231-F231</f>
        <v>2.0567129628034309E-2</v>
      </c>
      <c r="N231" s="7">
        <f>24*60*SUM($M231:$M231)</f>
        <v>29.616666664369404</v>
      </c>
      <c r="O231" s="7"/>
      <c r="P231" s="7"/>
      <c r="Q231" s="22"/>
      <c r="R231" s="170"/>
      <c r="S231" s="213">
        <f>1/IF(AG231="EC",12,1)*SUM(U231:U231)</f>
        <v>0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-19T07:59:58-0600',mode:absolute,to:'2017-07-19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197" t="str">
        <f>IF(AA231&lt;VLOOKUP(AG231,Variables!$AC$3:$AD$8,2,FALSE),"Y","N")</f>
        <v>N</v>
      </c>
      <c r="X231" s="197">
        <f>VALUE(LEFT(AD231,4))-VALUE(LEFT(AD230,4))</f>
        <v>0</v>
      </c>
      <c r="Y231" s="197">
        <f>RIGHT(D231,LEN(D231)-4)/10000</f>
        <v>11.2201</v>
      </c>
      <c r="Z231" s="197">
        <f>RIGHT(H231,LEN(H231)-4)/10000</f>
        <v>70833333.333299994</v>
      </c>
      <c r="AA231" s="197">
        <f>ABS(Z231-Y231)</f>
        <v>70833322.113199994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 &amp; aws s3 cp s3://rtdc.mdm.uploadarchive.raw/RTDC4063/ "%USERPROFILE%\AppData\Local\Temp\OnboardLogs"\RTDC4063\2017-07-20 --exclude "*" --recursive --include "*20170720*" &amp; "%USERPROFILE%\Documents\GitHub\mrs-test-scripts\Headless Mode &amp; Sideloading\WalkAndUnGZ.bat" "%USERPROFILE%\AppData\Local\Temp\OnboardLogs"\RTDC4063\2017-07-20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/stypes="app*4063*20170719*" /stext=" 17:.+((SYSTEM_STATE.+slice.+state.+changed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22"/>
        <v>"%USERPROFILE%\Documents\GitHub\eaglep3\Utilities\RefineRTDCRunTimes.py" --tripid 52-19 --locoid 4063 --swversion DE.1.0.9.0 --startMP 300:112201 --initTime 2017-07-19T08:59:58 --startdatetime 2017-07-19T10:35:23 --delay 2 --endMP 8.52708333333333 --enddatetime 2017-07-19T11:05:00 --enforcementcount 0 &gt;&gt;C:\Users\stu\Documents\GitHub\eaglep3-reporting\EC\2017-07-19-refined-times.txt</v>
      </c>
      <c r="AI231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70833333.3333"},{"id":17,"name":"Train ID","value":"52-19"},{"id":16,"name":"Locomotive ID","value":"4063"},{"id":130,"name":"Impact","value":""},{"id":150,"name":"Time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24"/>
        <v>start /low /b %USERPROFILE%\Documents\GitHub\eaglep3\Utilities\DownloadLogsFromS3.py --loco 4063 --day 2017-07-19</v>
      </c>
      <c r="AN231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620</v>
      </c>
      <c r="B232" s="7">
        <v>4063</v>
      </c>
      <c r="C232" s="21" t="s">
        <v>199</v>
      </c>
      <c r="D232" s="21" t="s">
        <v>944</v>
      </c>
      <c r="E232" s="13">
        <v>42935.493564814817</v>
      </c>
      <c r="F232" s="13">
        <v>42935.507314814815</v>
      </c>
      <c r="G232" s="7">
        <v>2</v>
      </c>
      <c r="H232" s="21" t="s">
        <v>945</v>
      </c>
      <c r="I232" s="13">
        <v>42935.532384259262</v>
      </c>
      <c r="J232" s="7">
        <v>0</v>
      </c>
      <c r="K232" s="89" t="str">
        <f>IF(ISEVEN(B232),(B232-1)&amp;"/"&amp;B232,B232&amp;"/"&amp;(B232+1))</f>
        <v>4063/4064</v>
      </c>
      <c r="L232" s="21" t="str">
        <f>VLOOKUP(A232,'Trips&amp;Operators'!$C$1:$G$99999,5,FALSE)</f>
        <v>BROWN JACOB</v>
      </c>
      <c r="M232" s="6">
        <f>I232-F232</f>
        <v>2.5069444447581191E-2</v>
      </c>
      <c r="N232" s="7">
        <f>24*60*SUM($M232:$M232)</f>
        <v>36.100000004516914</v>
      </c>
      <c r="O232" s="7"/>
      <c r="P232" s="7"/>
      <c r="Q232" s="22"/>
      <c r="R232" s="170"/>
      <c r="S232" s="213">
        <f>1/IF(AG232="EC",12,1)*SUM(U232:U232)</f>
        <v>0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-19T10:50:44-0600',mode:absolute,to:'2017-07-19T13:46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0</v>
      </c>
      <c r="Y232" s="197">
        <f>RIGHT(D232,LEN(D232)-4)/10000</f>
        <v>11.220800000000001</v>
      </c>
      <c r="Z232" s="197">
        <f>RIGHT(H232,LEN(H232)-4)/10000</f>
        <v>11.2097</v>
      </c>
      <c r="AA232" s="197">
        <f>ABS(Z232-Y232)</f>
        <v>1.1100000000000776E-2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52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 &amp; aws s3 cp s3://rtdc.mdm.uploadarchive.raw/RTDC4063/ "%USERPROFILE%\AppData\Local\Temp\OnboardLogs"\RTDC4063\2017-07-20 --exclude "*" --recursive --include "*20170720*" &amp; "%USERPROFILE%\Documents\GitHub\mrs-test-scripts\Headless Mode &amp; Sideloading\WalkAndUnGZ.bat" "%USERPROFILE%\AppData\Local\Temp\OnboardLogs"\RTDC4063\2017-07-20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/stypes="app*4063*20170719*" /stext=" 18:.+((SYSTEM_STATE.+slice.+state.+changed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22"/>
        <v>"%USERPROFILE%\Documents\GitHub\eaglep3\Utilities\RefineRTDCRunTimes.py" --tripid 52-19 --locoid 4063 --swversion DE.1.0.9.0 --startMP 300:112208 --initTime 2017-07-19T11:50:44 --startdatetime 2017-07-19T12:10:32 --delay 2 --endMP 300:112097 --enddatetime 2017-07-19T12:46:38 --enforcementcount 0 &gt;&gt;C:\Users\stu\Documents\GitHub\eaglep3-reporting\EC\2017-07-19-refined-times.txt</v>
      </c>
      <c r="AI232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11.2097"},{"id":17,"name":"Train ID","value":"52-19"},{"id":16,"name":"Locomotive ID","value":"4063"},{"id":130,"name":"Impact","value":""},{"id":150,"name":"Time of Event (Mountain Time)","value":"12:46:38"},{"id":151,"name":"Denver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4"/>
        <v>start /low /b %USERPROFILE%\Documents\GitHub\eaglep3\Utilities\DownloadLogsFromS3.py --loco 4063 --day 2017-07-19</v>
      </c>
      <c r="AN232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18:46:38"},{"id":29,"name":"Sharepoint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620</v>
      </c>
      <c r="B233" s="7">
        <v>4063</v>
      </c>
      <c r="C233" s="21" t="s">
        <v>199</v>
      </c>
      <c r="D233" s="21" t="s">
        <v>946</v>
      </c>
      <c r="E233" s="13">
        <v>42935.505127314813</v>
      </c>
      <c r="F233" s="13">
        <v>25568.708333333332</v>
      </c>
      <c r="G233" s="7">
        <v>1</v>
      </c>
      <c r="H233" s="21" t="s">
        <v>947</v>
      </c>
      <c r="I233" s="13">
        <v>25568.708333333332</v>
      </c>
      <c r="J233" s="7">
        <v>0</v>
      </c>
      <c r="K233" s="89" t="str">
        <f>IF(ISEVEN(B233),(B233-1)&amp;"/"&amp;B233,B233&amp;"/"&amp;(B233+1))</f>
        <v>4063/4064</v>
      </c>
      <c r="L233" s="21" t="str">
        <f>VLOOKUP(A233,'Trips&amp;Operators'!$C$1:$G$99999,5,FALSE)</f>
        <v>BROWN JACOB</v>
      </c>
      <c r="M233" s="6">
        <f>I233-F233</f>
        <v>0</v>
      </c>
      <c r="N233" s="7">
        <f>24*60*SUM($M233:$M233)</f>
        <v>0</v>
      </c>
      <c r="O233" s="7"/>
      <c r="P233" s="7"/>
      <c r="Q233" s="22"/>
      <c r="R233" s="170"/>
      <c r="S233" s="213">
        <f>1/IF(AG233="EC",12,1)*SUM(U233:U233)</f>
        <v>0</v>
      </c>
      <c r="T233" s="195" t="str">
        <f>IF(ISEVEN(LEFT(AD233,4)),"Southbound","NorthBound")</f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-19T11:07:23-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0</v>
      </c>
      <c r="Y233" s="197">
        <f>RIGHT(D233,LEN(D233)-4)/10000</f>
        <v>11.222099999999999</v>
      </c>
      <c r="Z233" s="197">
        <f>RIGHT(H233,LEN(H233)-4)/10000</f>
        <v>2.8786</v>
      </c>
      <c r="AA233" s="197">
        <f>ABS(Z233-Y233)</f>
        <v>8.3434999999999988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52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s3://rtdc.mdm.uploadarchive.raw/RTDC4063/ "%USERPROFILE%\AppData\Local\Temp\OnboardLogs"\RTDC4063\1969-12-31 --exclude "*" --recursive --include "*19691231*" &amp; "%USERPROFILE%\Documents\GitHub\mrs-test-scripts\Headless Mode &amp; Sideloading\WalkAndUnGZ.bat" "%USERPROFILE%\AppData\Local\Temp\OnboardLogs"\RTDC4063\1969-12-31 &amp; aws s3 cp s3://rtdc.mdm.uploadarchive.raw/RTDC4063/ "%USERPROFILE%\AppData\Local\Temp\OnboardLogs"\RTDC4063\1970-01-01 --exclude "*" --recursive --include "*19700101*" &amp; "%USERPROFILE%\Documents\GitHub\mrs-test-scripts\Headless Mode &amp; Sideloading\WalkAndUnGZ.bat" "%USERPROFILE%\AppData\Local\Temp\OnboardLogs"\RTDC4063\1970-01-01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/stypes="app*4063*19691231*" /stext=" 23:.+((SYSTEM_STATE.+slice.+state.+changed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22"/>
        <v>"%USERPROFILE%\Documents\GitHub\eaglep3\Utilities\RefineRTDCRunTimes.py" --tripid 52-19 --locoid 4063 --swversion DE.1.0.9.0 --startMP 300:112221 --initTime 2017-07-19T12:07:23 --startdatetime 1969-12-31T17:00:00 --delay 1 --endMP 300:28786 --enddatetime 1969-12-31T17:00:00 --enforcementcount 0 &gt;&gt;C:\Users\stu\Documents\GitHub\eaglep3-reporting\EC\2017-07-19-refined-times.txt</v>
      </c>
      <c r="AI233" s="96" t="str">
        <f t="shared" si="23"/>
        <v>echo {"issue":{"subject":"","project_id":79,"tracker_id":40,"status_id":1,"priority_id":2,"assigned_to_id":23,"start_date":"1969-12-31","description":"","custom_fields":[{"id":1,"name":"Subdivision","value":"Shuttle/Test"},{"id":4,"name":"Milepost","value":"2.8786"},{"id":17,"name":"Train ID","value":"52-19"},{"id":16,"name":"Locomotive ID","value":"4063"},{"id":130,"name":"Impact","value":""},{"id":150,"name":"Time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4"/>
        <v>start /low /b %USERPROFILE%\Documents\GitHub\eaglep3\Utilities\DownloadLogsFromS3.py --loco 4063 --day 1969-12-31</v>
      </c>
      <c r="AN233" s="151" t="str">
        <f t="shared" si="2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619</v>
      </c>
      <c r="B234" s="7">
        <v>4065</v>
      </c>
      <c r="C234" s="21" t="s">
        <v>199</v>
      </c>
      <c r="D234" s="21" t="s">
        <v>948</v>
      </c>
      <c r="E234" s="13">
        <v>42935.402870370373</v>
      </c>
      <c r="F234" s="13">
        <v>42935.404594907406</v>
      </c>
      <c r="G234" s="7">
        <v>2</v>
      </c>
      <c r="H234" s="21" t="s">
        <v>419</v>
      </c>
      <c r="I234" s="13">
        <v>42935.406631944446</v>
      </c>
      <c r="J234" s="7">
        <v>0</v>
      </c>
      <c r="K234" s="89" t="str">
        <f>IF(ISEVEN(B234),(B234-1)&amp;"/"&amp;B234,B234&amp;"/"&amp;(B234+1))</f>
        <v>4065/4066</v>
      </c>
      <c r="L234" s="21" t="str">
        <f>VLOOKUP(A234,'Trips&amp;Operators'!$C$1:$G$99999,5,FALSE)</f>
        <v>CUSHING HARRY</v>
      </c>
      <c r="M234" s="6">
        <f>I234-F234</f>
        <v>2.0370370402815752E-3</v>
      </c>
      <c r="N234" s="7">
        <f>24*60*SUM($M234:$M234)</f>
        <v>2.9333333380054682</v>
      </c>
      <c r="O234" s="7"/>
      <c r="P234" s="7"/>
      <c r="Q234" s="22"/>
      <c r="R234" s="170"/>
      <c r="S234" s="213">
        <f>1/IF(AG234="EC",12,1)*SUM(U234:U234)</f>
        <v>0</v>
      </c>
      <c r="T234" s="195" t="str">
        <f>IF(ISEVEN(LEFT(AD234,4)),"Southbound","NorthBound")</f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-07-19T08:40:08-0600',mode:absolute,to:'2017-07-19T10:45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1</v>
      </c>
      <c r="Y234" s="197">
        <f>RIGHT(D234,LEN(D234)-4)/10000</f>
        <v>0.35149999999999998</v>
      </c>
      <c r="Z234" s="197">
        <f>RIGHT(H234,LEN(H234)-4)/10000</f>
        <v>1.3599999999999999E-2</v>
      </c>
      <c r="AA234" s="197">
        <f>ABS(Z234-Y234)</f>
        <v>0.33789999999999998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>VALUE(LEFT(A234,LEN(A234)-3))</f>
        <v>53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/stypes="app*4065*20170719*" /stext=" 15:.+((SYSTEM_STATE.+slice.+state.+changed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22"/>
        <v>"%USERPROFILE%\Documents\GitHub\eaglep3\Utilities\RefineRTDCRunTimes.py" --tripid 53-19 --locoid 4065 --swversion DE.1.0.9.0 --startMP 204:3515 --initTime 2017-07-19T09:40:08 --startdatetime 2017-07-19T09:42:37 --delay 2 --endMP 204:136 --enddatetime 2017-07-19T09:45:33 --enforcementcount 0 &gt;&gt;C:\Users\stu\Documents\GitHub\eaglep3-reporting\EC\2017-07-19-refined-times.txt</v>
      </c>
      <c r="AI234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0.0136"},{"id":17,"name":"Train ID","value":"53-19"},{"id":16,"name":"Locomotive ID","value":"4065"},{"id":130,"name":"Impact","value":""},{"id":150,"name":"Time of Event (Mountain Time)","value":"09:45:33"},{"id":151,"name":"Denver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24"/>
        <v>start /low /b %USERPROFILE%\Documents\GitHub\eaglep3\Utilities\DownloadLogsFromS3.py --loco 4065 --day 2017-07-19</v>
      </c>
      <c r="AN234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15:45:33"},{"id":29,"name":"Sharepoint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619</v>
      </c>
      <c r="B235" s="7">
        <v>4066</v>
      </c>
      <c r="C235" s="21" t="s">
        <v>199</v>
      </c>
      <c r="D235" s="21" t="s">
        <v>949</v>
      </c>
      <c r="E235" s="13">
        <v>42935.395624999997</v>
      </c>
      <c r="F235" s="13">
        <v>42935.404594907406</v>
      </c>
      <c r="G235" s="7">
        <v>1</v>
      </c>
      <c r="H235" s="21" t="s">
        <v>950</v>
      </c>
      <c r="I235" s="13">
        <v>42935.406631944446</v>
      </c>
      <c r="J235" s="7">
        <v>0</v>
      </c>
      <c r="K235" s="89" t="str">
        <f>IF(ISEVEN(B235),(B235-1)&amp;"/"&amp;B235,B235&amp;"/"&amp;(B235+1))</f>
        <v>4065/4066</v>
      </c>
      <c r="L235" s="21" t="str">
        <f>VLOOKUP(A235,'Trips&amp;Operators'!$C$1:$G$99999,5,FALSE)</f>
        <v>CUSHING HARRY</v>
      </c>
      <c r="M235" s="6">
        <f>I235-F235</f>
        <v>2.0370370402815752E-3</v>
      </c>
      <c r="N235" s="7"/>
      <c r="O235" s="7"/>
      <c r="P235" s="7">
        <f>24*60*SUM($M235:$M235)</f>
        <v>2.9333333380054682</v>
      </c>
      <c r="Q235" s="22"/>
      <c r="R235" s="170" t="s">
        <v>1044</v>
      </c>
      <c r="S235" s="213">
        <f>1/IF(AG235="EC",12,1)*SUM(U235:U235)</f>
        <v>0</v>
      </c>
      <c r="T235" s="195" t="str">
        <f>IF(ISEVEN(LEFT(AD235,4)),"Southbound","NorthBound")</f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-07-19T08:29:42-0600',mode:absolute,to:'2017-07-19T10:45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0</v>
      </c>
      <c r="Y235" s="197">
        <f>RIGHT(D235,LEN(D235)-4)/10000</f>
        <v>0.1477</v>
      </c>
      <c r="Z235" s="197">
        <f>RIGHT(H235,LEN(H235)-4)/10000</f>
        <v>0.19020000000000001</v>
      </c>
      <c r="AA235" s="197">
        <f>ABS(Z235-Y235)</f>
        <v>4.250000000000001E-2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>VALUE(LEFT(A235,LEN(A235)-3))</f>
        <v>53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s3://rtdc.mdm.uploadarchive.raw/RTDC4066/ "%USERPROFILE%\AppData\Local\Temp\OnboardLogs"\RTDC4066\2017-07-19 --exclude "*" --recursive --include "*20170719*" &amp; "%USERPROFILE%\Documents\GitHub\mrs-test-scripts\Headless Mode &amp; Sideloading\WalkAndUnGZ.bat" "%USERPROFILE%\AppData\Local\Temp\OnboardLogs"\RTDC4066\2017-07-19 &amp; aws s3 cp s3://rtdc.mdm.uploadarchive.raw/RTDC4066/ "%USERPROFILE%\AppData\Local\Temp\OnboardLogs"\RTDC4066\2017-07-20 --exclude "*" --recursive --include "*20170720*" &amp; "%USERPROFILE%\Documents\GitHub\mrs-test-scripts\Headless Mode &amp; Sideloading\WalkAndUnGZ.bat" "%USERPROFILE%\AppData\Local\Temp\OnboardLogs"\RTDC4066\2017-07-20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/stypes="app*4066*20170719*" /stext=" 15:.+((SYSTEM_STATE.+slice.+state.+changed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22"/>
        <v>"%USERPROFILE%\Documents\GitHub\eaglep3\Utilities\RefineRTDCRunTimes.py" --tripid 53-19 --locoid 4066 --swversion DE.1.0.9.0 --startMP 204:1477 --initTime 2017-07-19T09:29:42 --startdatetime 2017-07-19T09:42:37 --delay 1 --endMP 204:1902 --enddatetime 2017-07-19T09:45:33 --enforcementcount 0 &gt;&gt;C:\Users\stu\Documents\GitHub\eaglep3-reporting\EC\2017-07-19-refined-times.txt</v>
      </c>
      <c r="AI235" s="96" t="str">
        <f t="shared" si="23"/>
        <v>echo {"issue":{"subject":"Main 3 departure","project_id":79,"tracker_id":40,"status_id":1,"priority_id":2,"assigned_to_id":23,"start_date":"2017-07-19","description":"","custom_fields":[{"id":1,"name":"Subdivision","value":"Shuttle/Test"},{"id":4,"name":"Milepost","value":"0.1902"},{"id":17,"name":"Train ID","value":"53-19"},{"id":16,"name":"Locomotive ID","value":"4066"},{"id":130,"name":"Impact","value":""},{"id":150,"name":"Time of Event (Mountain Time)","value":"09:45:33"},{"id":151,"name":"Denver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24"/>
        <v>start /low /b %USERPROFILE%\Documents\GitHub\eaglep3\Utilities\DownloadLogsFromS3.py --loco 4066 --day 2017-07-19</v>
      </c>
      <c r="AN235" s="151" t="str">
        <f t="shared" si="25"/>
        <v>echo {"issue":{"subject":"Main 3 departure","project_id":30,"tracker_id":4,"status_id":1,"priority_id":1,"assigned_to_id":10,"start_date":"2017-07-19","description":"","custom_fields":[{"id":30,"name":"Category","value":"Issue"},{"id":3,"name":"Functional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15:45:33"},{"id":29,"name":"Sharepoint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804</v>
      </c>
      <c r="B236" s="7">
        <v>4023</v>
      </c>
      <c r="C236" s="21" t="s">
        <v>199</v>
      </c>
      <c r="D236" s="21" t="s">
        <v>951</v>
      </c>
      <c r="E236" s="13">
        <v>42935.7424537037</v>
      </c>
      <c r="F236" s="13">
        <v>42935.746076388888</v>
      </c>
      <c r="G236" s="7">
        <v>4</v>
      </c>
      <c r="H236" s="21" t="s">
        <v>952</v>
      </c>
      <c r="I236" s="13">
        <v>42935.750752314816</v>
      </c>
      <c r="J236" s="7">
        <v>0</v>
      </c>
      <c r="K236" s="89" t="str">
        <f>IF(ISEVEN(B236),(B236-1)&amp;"/"&amp;B236,B236&amp;"/"&amp;(B236+1))</f>
        <v>4023/4024</v>
      </c>
      <c r="L236" s="21" t="str">
        <f>VLOOKUP(A236,'Trips&amp;Operators'!$C$1:$G$99999,5,FALSE)</f>
        <v>HART KEVIN</v>
      </c>
      <c r="M236" s="6">
        <f>I236-F236</f>
        <v>4.6759259275859222E-3</v>
      </c>
      <c r="N236" s="7">
        <f>24*60*SUM($M236:$M236)</f>
        <v>6.7333333357237279</v>
      </c>
      <c r="O236" s="7"/>
      <c r="P236" s="7"/>
      <c r="Q236" s="22"/>
      <c r="R236" s="170"/>
      <c r="S236" s="213">
        <f>1/IF(AG236="EC",12,1)*SUM(U236:U236)</f>
        <v>1</v>
      </c>
      <c r="T236" s="195" t="str">
        <f>IF(ISEVEN(LEFT(AD236,4)),"Southbound","NorthBound")</f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-07-19T16:49:08-0600',mode:absolute,to:'2017-07-19T19:01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1</v>
      </c>
      <c r="Y236" s="197">
        <f>RIGHT(D236,LEN(D236)-4)/10000</f>
        <v>2.3237000000000001</v>
      </c>
      <c r="Z236" s="197">
        <f>RIGHT(H236,LEN(H236)-4)/10000</f>
        <v>0.2089</v>
      </c>
      <c r="AA236" s="197">
        <f>ABS(Z236-Y236)</f>
        <v>2.1148000000000002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>VALUE(LEFT(A236,LEN(A236)-3))</f>
        <v>54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 &amp; aws s3 cp s3://rtdc.mdm.uploadarchive.raw/RTDC4023/ "%USERPROFILE%\AppData\Local\Temp\OnboardLogs"\RTDC4023\2017-07-20 --exclude "*" --recursive --include "*20170720*" &amp; "%USERPROFILE%\Documents\GitHub\mrs-test-scripts\Headless Mode &amp; Sideloading\WalkAndUnGZ.bat" "%USERPROFILE%\AppData\Local\Temp\OnboardLogs"\RTDC4023\2017-07-20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/stypes="app*4023*20170720*" /stext=" 00:.+((SYSTEM_STATE.+slice.+state.+changed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22"/>
        <v>"%USERPROFILE%\Documents\GitHub\eaglep3\Utilities\RefineRTDCRunTimes.py" --tripid 54-19 --locoid 4023 --swversion DE.1.0.9.0 --startMP 300:23237 --initTime 2017-07-19T17:49:08 --startdatetime 2017-07-19T17:54:21 --delay 4 --endMP 204:2089 --enddatetime 2017-07-19T18:01:05 --enforcementcount 0 &gt;&gt;C:\Users\stu\Documents\GitHub\eaglep3-reporting\EC\2017-07-19-refined-times.txt</v>
      </c>
      <c r="AI236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0.2089"},{"id":17,"name":"Train ID","value":"54-19"},{"id":16,"name":"Locomotive ID","value":"4023"},{"id":130,"name":"Impact","value":""},{"id":150,"name":"Time of Event (Mountain Time)","value":"18:01:05"},{"id":151,"name":"Denver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24"/>
        <v>start /low /b %USERPROFILE%\Documents\GitHub\eaglep3\Utilities\DownloadLogsFromS3.py --loco 4023 --day 2017-07-19</v>
      </c>
      <c r="AN236" s="151" t="str">
        <f t="shared" si="25"/>
        <v>echo {"issue":{"subject":"","project_id":30,"tracker_id":4,"status_id":1,"priority_id":1,"assigned_to_id":10,"start_date":"2017-07-20","description":"","custom_fields":[{"id":30,"name":"Category","value":"Issue"},{"id":3,"name":"Functional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UTC","value":"2017-07-20 00:01:05"},{"id":29,"name":"Sharepoint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621</v>
      </c>
      <c r="B237" s="7">
        <v>4063</v>
      </c>
      <c r="C237" s="21" t="s">
        <v>199</v>
      </c>
      <c r="D237" s="21" t="s">
        <v>953</v>
      </c>
      <c r="E237" s="13">
        <v>42935.437685185185</v>
      </c>
      <c r="F237" s="13">
        <v>42935.441238425927</v>
      </c>
      <c r="G237" s="7">
        <v>1</v>
      </c>
      <c r="H237" s="21" t="s">
        <v>954</v>
      </c>
      <c r="I237" s="13">
        <v>42935.461805555555</v>
      </c>
      <c r="J237" s="7">
        <v>0</v>
      </c>
      <c r="K237" s="89" t="str">
        <f>IF(ISEVEN(B237),(B237-1)&amp;"/"&amp;B237,B237&amp;"/"&amp;(B237+1))</f>
        <v>4063/4064</v>
      </c>
      <c r="L237" s="21" t="str">
        <f>VLOOKUP(A237,'Trips&amp;Operators'!$C$1:$G$99999,5,FALSE)</f>
        <v>YORK EDGAR</v>
      </c>
      <c r="M237" s="6">
        <f>I237-F237</f>
        <v>2.0567129628034309E-2</v>
      </c>
      <c r="N237" s="7">
        <f>24*60*SUM($M237:$M237)</f>
        <v>29.616666664369404</v>
      </c>
      <c r="O237" s="7"/>
      <c r="P237" s="7"/>
      <c r="Q237" s="22"/>
      <c r="R237" s="170"/>
      <c r="S237" s="213">
        <f>1/IF(AG237="EC",12,1)*SUM(U237:U237)</f>
        <v>1</v>
      </c>
      <c r="T237" s="195" t="str">
        <f>IF(ISEVEN(LEFT(AD237,4)),"Southbound","NorthBound")</f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-07-19T09:30:16-0600',mode:absolute,to:'2017-07-19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2</v>
      </c>
      <c r="Y237" s="197">
        <f>RIGHT(D237,LEN(D237)-4)/10000</f>
        <v>11.2212</v>
      </c>
      <c r="Z237" s="197">
        <f>RIGHT(H237,LEN(H237)-4)/10000</f>
        <v>1.4200000000000001E-2</v>
      </c>
      <c r="AA237" s="197">
        <f>ABS(Z237-Y237)</f>
        <v>11.206999999999999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>VALUE(LEFT(A237,LEN(A237)-3))</f>
        <v>56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 &amp; aws s3 cp s3://rtdc.mdm.uploadarchive.raw/RTDC4063/ "%USERPROFILE%\AppData\Local\Temp\OnboardLogs"\RTDC4063\2017-07-20 --exclude "*" --recursive --include "*20170720*" &amp; "%USERPROFILE%\Documents\GitHub\mrs-test-scripts\Headless Mode &amp; Sideloading\WalkAndUnGZ.bat" "%USERPROFILE%\AppData\Local\Temp\OnboardLogs"\RTDC4063\2017-07-20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/stypes="app*4063*20170719*" /stext=" 17:.+((SYSTEM_STATE.+slice.+state.+changed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22"/>
        <v>"%USERPROFILE%\Documents\GitHub\eaglep3\Utilities\RefineRTDCRunTimes.py" --tripid 56-19 --locoid 4063 --swversion DE.1.0.9.0 --startMP 300:112212 --initTime 2017-07-19T10:30:16 --startdatetime 2017-07-19T10:35:23 --delay 1 --endMP 204:142 --enddatetime 2017-07-19T11:05:00 --enforcementcount 0 &gt;&gt;C:\Users\stu\Documents\GitHub\eaglep3-reporting\EC\2017-07-19-refined-times.txt</v>
      </c>
      <c r="AI237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0.0142"},{"id":17,"name":"Train ID","value":"56-19"},{"id":16,"name":"Locomotive ID","value":"4063"},{"id":130,"name":"Impact","value":""},{"id":150,"name":"Time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24"/>
        <v>start /low /b %USERPROFILE%\Documents\GitHub\eaglep3\Utilities\DownloadLogsFromS3.py --loco 4063 --day 2017-07-19</v>
      </c>
      <c r="AN237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730</v>
      </c>
      <c r="B238" s="7">
        <v>4023</v>
      </c>
      <c r="C238" s="21" t="s">
        <v>199</v>
      </c>
      <c r="D238" s="21" t="s">
        <v>955</v>
      </c>
      <c r="E238" s="13">
        <v>42935.447881944441</v>
      </c>
      <c r="F238" s="13">
        <v>42935.455057870371</v>
      </c>
      <c r="G238" s="7">
        <v>9</v>
      </c>
      <c r="H238" s="21" t="s">
        <v>956</v>
      </c>
      <c r="I238" s="13">
        <v>42935.459340277775</v>
      </c>
      <c r="J238" s="7">
        <v>0</v>
      </c>
      <c r="K238" s="89" t="str">
        <f>IF(ISEVEN(B238),(B238-1)&amp;"/"&amp;B238,B238&amp;"/"&amp;(B238+1))</f>
        <v>4023/4024</v>
      </c>
      <c r="L238" s="21" t="str">
        <f>VLOOKUP(A238,'Trips&amp;Operators'!$C$1:$G$99999,5,FALSE)</f>
        <v>ROMERO CHAD</v>
      </c>
      <c r="M238" s="6">
        <f>I238-F238</f>
        <v>4.2824074043892324E-3</v>
      </c>
      <c r="N238" s="7">
        <f>24*60*SUM($M238:$M238)</f>
        <v>6.1666666623204947</v>
      </c>
      <c r="O238" s="7"/>
      <c r="P238" s="7"/>
      <c r="Q238" s="22"/>
      <c r="R238" s="170"/>
      <c r="S238" s="213">
        <f>1/IF(AG238="EC",12,1)*SUM(U238:U238)</f>
        <v>1</v>
      </c>
      <c r="T238" s="195" t="str">
        <f>IF(ISEVEN(LEFT(AD238,4)),"Southbound","NorthBound")</f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-07-19T09:44:57-0600',mode:absolute,to:'2017-07-19T12:01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2</v>
      </c>
      <c r="Y238" s="197">
        <f>RIGHT(D238,LEN(D238)-4)/10000</f>
        <v>2.1735000000000002</v>
      </c>
      <c r="Z238" s="197">
        <f>RIGHT(H238,LEN(H238)-4)/10000</f>
        <v>8.6699999999999999E-2</v>
      </c>
      <c r="AA238" s="197">
        <f>ABS(Z238-Y238)</f>
        <v>2.0868000000000002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>VALUE(LEFT(A238,LEN(A238)-3))</f>
        <v>58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s3://rtdc.mdm.uploadarchive.raw/RTDC4023/ "%USERPROFILE%\AppData\Local\Temp\OnboardLogs"\RTDC4023\2017-07-19 --exclude "*" --recursive --include "*20170719*" &amp; "%USERPROFILE%\Documents\GitHub\mrs-test-scripts\Headless Mode &amp; Sideloading\WalkAndUnGZ.bat" "%USERPROFILE%\AppData\Local\Temp\OnboardLogs"\RTDC4023\2017-07-19 &amp; aws s3 cp s3://rtdc.mdm.uploadarchive.raw/RTDC4023/ "%USERPROFILE%\AppData\Local\Temp\OnboardLogs"\RTDC4023\2017-07-20 --exclude "*" --recursive --include "*20170720*" &amp; "%USERPROFILE%\Documents\GitHub\mrs-test-scripts\Headless Mode &amp; Sideloading\WalkAndUnGZ.bat" "%USERPROFILE%\AppData\Local\Temp\OnboardLogs"\RTDC4023\2017-07-20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/stypes="app*4023*20170719*" /stext=" 17:.+((SYSTEM_STATE.+slice.+state.+changed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22"/>
        <v>"%USERPROFILE%\Documents\GitHub\eaglep3\Utilities\RefineRTDCRunTimes.py" --tripid 58-19 --locoid 4023 --swversion DE.1.0.9.0 --startMP 300:21735 --initTime 2017-07-19T10:44:57 --startdatetime 2017-07-19T10:55:17 --delay 9 --endMP 204:867 --enddatetime 2017-07-19T11:01:27 --enforcementcount 0 &gt;&gt;C:\Users\stu\Documents\GitHub\eaglep3-reporting\EC\2017-07-19-refined-times.txt</v>
      </c>
      <c r="AI238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0.0867"},{"id":17,"name":"Train ID","value":"58-19"},{"id":16,"name":"Locomotive ID","value":"4023"},{"id":130,"name":"Impact","value":""},{"id":150,"name":"Time of Event (Mountain Time)","value":"11:01:27"},{"id":151,"name":"Denver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24"/>
        <v>start /low /b %USERPROFILE%\Documents\GitHub\eaglep3\Utilities\DownloadLogsFromS3.py --loco 4023 --day 2017-07-19</v>
      </c>
      <c r="AN238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17:01:27"},{"id":29,"name":"Sharepoint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735</v>
      </c>
      <c r="B239" s="7">
        <v>4024</v>
      </c>
      <c r="C239" s="21" t="s">
        <v>199</v>
      </c>
      <c r="D239" s="21" t="s">
        <v>957</v>
      </c>
      <c r="E239" s="13">
        <v>42935.475243055553</v>
      </c>
      <c r="F239" s="13">
        <v>42935.479780092595</v>
      </c>
      <c r="G239" s="7">
        <v>1</v>
      </c>
      <c r="H239" s="21" t="s">
        <v>958</v>
      </c>
      <c r="I239" s="13">
        <v>42935.485856481479</v>
      </c>
      <c r="J239" s="7">
        <v>0</v>
      </c>
      <c r="K239" s="89" t="str">
        <f>IF(ISEVEN(B239),(B239-1)&amp;"/"&amp;B239,B239&amp;"/"&amp;(B239+1))</f>
        <v>4023/4024</v>
      </c>
      <c r="L239" s="21" t="str">
        <f>VLOOKUP(A239,'Trips&amp;Operators'!$C$1:$G$99999,5,FALSE)</f>
        <v>STARKS ANGELINA</v>
      </c>
      <c r="M239" s="6">
        <f>I239-F239</f>
        <v>6.0763888832298107E-3</v>
      </c>
      <c r="N239" s="7">
        <f>24*60*SUM($M239:$M239)</f>
        <v>8.7499999918509275</v>
      </c>
      <c r="O239" s="7"/>
      <c r="P239" s="7"/>
      <c r="Q239" s="22"/>
      <c r="R239" s="170"/>
      <c r="S239" s="213">
        <f>1/IF(AG239="EC",12,1)*SUM(U239:U239)</f>
        <v>1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-07-19T10:24:21-0600',mode:absolute,to:'2017-07-19T12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1</v>
      </c>
      <c r="Y239" s="197">
        <f>RIGHT(D239,LEN(D239)-4)/10000</f>
        <v>0.1177</v>
      </c>
      <c r="Z239" s="197">
        <f>RIGHT(H239,LEN(H239)-4)/10000</f>
        <v>2.4230999999999998</v>
      </c>
      <c r="AA239" s="197">
        <f>ABS(Z239-Y239)</f>
        <v>2.3053999999999997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>VALUE(LEFT(A239,LEN(A239)-3))</f>
        <v>59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s3://rtdc.mdm.uploadarchive.raw/RTDC4024/ "%USERPROFILE%\AppData\Local\Temp\OnboardLogs"\RTDC4024\2017-07-19 --exclude "*" --recursive --include "*20170719*" &amp; "%USERPROFILE%\Documents\GitHub\mrs-test-scripts\Headless Mode &amp; Sideloading\WalkAndUnGZ.bat" "%USERPROFILE%\AppData\Local\Temp\OnboardLogs"\RTDC4024\2017-07-19 &amp; aws s3 cp s3://rtdc.mdm.uploadarchive.raw/RTDC4024/ "%USERPROFILE%\AppData\Local\Temp\OnboardLogs"\RTDC4024\2017-07-20 --exclude "*" --recursive --include "*20170720*" &amp; "%USERPROFILE%\Documents\GitHub\mrs-test-scripts\Headless Mode &amp; Sideloading\WalkAndUnGZ.bat" "%USERPROFILE%\AppData\Local\Temp\OnboardLogs"\RTDC4024\2017-07-20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/stypes="app*4024*20170719*" /stext=" 17:.+((SYSTEM_STATE.+slice.+state.+changed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22"/>
        <v>"%USERPROFILE%\Documents\GitHub\eaglep3\Utilities\RefineRTDCRunTimes.py" --tripid 59-19 --locoid 4024 --swversion DE.1.0.9.0 --startMP 204:1177 --initTime 2017-07-19T11:24:21 --startdatetime 2017-07-19T11:30:53 --delay 1 --endMP 300:24231 --enddatetime 2017-07-19T11:39:38 --enforcementcount 0 &gt;&gt;C:\Users\stu\Documents\GitHub\eaglep3-reporting\EC\2017-07-19-refined-times.txt</v>
      </c>
      <c r="AI239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2.4231"},{"id":17,"name":"Train ID","value":"59-19"},{"id":16,"name":"Locomotive ID","value":"4024"},{"id":130,"name":"Impact","value":""},{"id":150,"name":"Time of Event (Mountain Time)","value":"11:39:38"},{"id":151,"name":"Denver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24"/>
        <v>start /low /b %USERPROFILE%\Documents\GitHub\eaglep3\Utilities\DownloadLogsFromS3.py --loco 4024 --day 2017-07-19</v>
      </c>
      <c r="AN239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17:39:38"},{"id":29,"name":"Sharepoint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796</v>
      </c>
      <c r="B240" s="7">
        <v>4022</v>
      </c>
      <c r="C240" s="21" t="s">
        <v>199</v>
      </c>
      <c r="D240" s="21" t="s">
        <v>596</v>
      </c>
      <c r="E240" s="13">
        <v>42935.71199074074</v>
      </c>
      <c r="F240" s="13">
        <v>42935.734780092593</v>
      </c>
      <c r="G240" s="7">
        <v>9</v>
      </c>
      <c r="H240" s="21" t="s">
        <v>925</v>
      </c>
      <c r="I240" s="13">
        <v>42935.742696759262</v>
      </c>
      <c r="J240" s="7">
        <v>0</v>
      </c>
      <c r="K240" s="89" t="str">
        <f>IF(ISEVEN(B240),(B240-1)&amp;"/"&amp;B240,B240&amp;"/"&amp;(B240+1))</f>
        <v>4021/4022</v>
      </c>
      <c r="L240" s="21" t="str">
        <f>VLOOKUP(A240,'Trips&amp;Operators'!$C$1:$G$99999,5,FALSE)</f>
        <v>LOPES KIMBERLY</v>
      </c>
      <c r="M240" s="6">
        <f>I240-F240</f>
        <v>7.9166666691889986E-3</v>
      </c>
      <c r="N240" s="7">
        <f>24*60*SUM($M240:$M240)</f>
        <v>11.400000003632158</v>
      </c>
      <c r="O240" s="7"/>
      <c r="P240" s="7"/>
      <c r="Q240" s="22"/>
      <c r="R240" s="170"/>
      <c r="S240" s="213">
        <f>1/IF(AG240="EC",12,1)*SUM(U240:U240)</f>
        <v>1</v>
      </c>
      <c r="T240" s="195" t="str">
        <f>IF(ISEVEN(LEFT(AD240,4)),"Southbound","NorthBound")</f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-07-19T16:05:16-0600',mode:absolute,to:'2017-07-19T18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12</v>
      </c>
      <c r="Y240" s="197">
        <f>RIGHT(D240,LEN(D240)-4)/10000</f>
        <v>0.1145</v>
      </c>
      <c r="Z240" s="197">
        <f>RIGHT(H240,LEN(H240)-4)/10000</f>
        <v>2.3306</v>
      </c>
      <c r="AA240" s="197">
        <f>ABS(Z240-Y240)</f>
        <v>2.2161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>VALUE(LEFT(A240,LEN(A240)-3))</f>
        <v>71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s3://rtdc.mdm.uploadarchive.raw/RTDC4022/ "%USERPROFILE%\AppData\Local\Temp\OnboardLogs"\RTDC4022\2017-07-19 --exclude "*" --recursive --include "*20170719*" &amp; "%USERPROFILE%\Documents\GitHub\mrs-test-scripts\Headless Mode &amp; Sideloading\WalkAndUnGZ.bat" "%USERPROFILE%\AppData\Local\Temp\OnboardLogs"\RTDC4022\2017-07-19 &amp; aws s3 cp s3://rtdc.mdm.uploadarchive.raw/RTDC4022/ "%USERPROFILE%\AppData\Local\Temp\OnboardLogs"\RTDC4022\2017-07-20 --exclude "*" --recursive --include "*20170720*" &amp; "%USERPROFILE%\Documents\GitHub\mrs-test-scripts\Headless Mode &amp; Sideloading\WalkAndUnGZ.bat" "%USERPROFILE%\AppData\Local\Temp\OnboardLogs"\RTDC4022\2017-07-20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/stypes="app*4022*20170719*" /stext=" 23:.+((SYSTEM_STATE.+slice.+state.+changed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22"/>
        <v>"%USERPROFILE%\Documents\GitHub\eaglep3\Utilities\RefineRTDCRunTimes.py" --tripid 71-19 --locoid 4022 --swversion DE.1.0.9.0 --startMP 204:1145 --initTime 2017-07-19T17:05:16 --startdatetime 2017-07-19T17:38:05 --delay 9 --endMP 300:23306 --enddatetime 2017-07-19T17:49:29 --enforcementcount 0 &gt;&gt;C:\Users\stu\Documents\GitHub\eaglep3-reporting\EC\2017-07-19-refined-times.txt</v>
      </c>
      <c r="AI240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2.3306"},{"id":17,"name":"Train ID","value":"71-19"},{"id":16,"name":"Locomotive ID","value":"4022"},{"id":130,"name":"Impact","value":""},{"id":150,"name":"Time of Event (Mountain Time)","value":"17:49:29"},{"id":151,"name":"Denver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24"/>
        <v>start /low /b %USERPROFILE%\Documents\GitHub\eaglep3\Utilities\DownloadLogsFromS3.py --loco 4022 --day 2017-07-19</v>
      </c>
      <c r="AN240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793</v>
      </c>
      <c r="B241" s="7">
        <v>4046</v>
      </c>
      <c r="C241" s="21" t="s">
        <v>199</v>
      </c>
      <c r="D241" s="21" t="s">
        <v>959</v>
      </c>
      <c r="E241" s="13">
        <v>42935.704247685186</v>
      </c>
      <c r="F241" s="13">
        <v>42935.711585648147</v>
      </c>
      <c r="G241" s="7">
        <v>3</v>
      </c>
      <c r="H241" s="21" t="s">
        <v>925</v>
      </c>
      <c r="I241" s="13">
        <v>42935.719409722224</v>
      </c>
      <c r="J241" s="7">
        <v>0</v>
      </c>
      <c r="K241" s="89" t="str">
        <f>IF(ISEVEN(B241),(B241-1)&amp;"/"&amp;B241,B241&amp;"/"&amp;(B241+1))</f>
        <v>4045/4046</v>
      </c>
      <c r="L241" s="21" t="str">
        <f>VLOOKUP(A241,'Trips&amp;Operators'!$C$1:$G$99999,5,FALSE)</f>
        <v>MOSES BRADLEY</v>
      </c>
      <c r="M241" s="6">
        <f>I241-F241</f>
        <v>7.8240740767796524E-3</v>
      </c>
      <c r="N241" s="7">
        <f>24*60*SUM($M241:$M241)</f>
        <v>11.266666670562699</v>
      </c>
      <c r="O241" s="7"/>
      <c r="P241" s="7"/>
      <c r="Q241" s="22"/>
      <c r="R241" s="170"/>
      <c r="S241" s="213">
        <f>1/IF(AG241="EC",12,1)*SUM(U241:U241)</f>
        <v>1</v>
      </c>
      <c r="T241" s="195" t="str">
        <f>IF(ISEVEN(LEFT(AD241,4)),"Southbound","NorthBound")</f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-07-19T15:54:07-0600',mode:absolute,to:'2017-07-19T18:15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2</v>
      </c>
      <c r="Y241" s="197">
        <f>RIGHT(D241,LEN(D241)-4)/10000</f>
        <v>0.14710000000000001</v>
      </c>
      <c r="Z241" s="197">
        <f>RIGHT(H241,LEN(H241)-4)/10000</f>
        <v>2.3306</v>
      </c>
      <c r="AA241" s="197">
        <f>ABS(Z241-Y241)</f>
        <v>2.1835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>VALUE(LEFT(A241,LEN(A241)-3))</f>
        <v>73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s3://rtdc.mdm.uploadarchive.raw/RTDC4046/ "%USERPROFILE%\AppData\Local\Temp\OnboardLogs"\RTDC4046\2017-07-19 --exclude "*" --recursive --include "*20170719*" &amp; "%USERPROFILE%\Documents\GitHub\mrs-test-scripts\Headless Mode &amp; Sideloading\WalkAndUnGZ.bat" "%USERPROFILE%\AppData\Local\Temp\OnboardLogs"\RTDC4046\2017-07-19 &amp; aws s3 cp s3://rtdc.mdm.uploadarchive.raw/RTDC4046/ "%USERPROFILE%\AppData\Local\Temp\OnboardLogs"\RTDC4046\2017-07-20 --exclude "*" --recursive --include "*20170720*" &amp; "%USERPROFILE%\Documents\GitHub\mrs-test-scripts\Headless Mode &amp; Sideloading\WalkAndUnGZ.bat" "%USERPROFILE%\AppData\Local\Temp\OnboardLogs"\RTDC4046\2017-07-20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/stypes="app*4046*20170719*" /stext=" 23:.+((SYSTEM_STATE.+slice.+state.+changed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22"/>
        <v>"%USERPROFILE%\Documents\GitHub\eaglep3\Utilities\RefineRTDCRunTimes.py" --tripid 73-19 --locoid 4046 --swversion DE.1.0.9.0 --startMP 204:1471 --initTime 2017-07-19T16:54:07 --startdatetime 2017-07-19T17:04:41 --delay 3 --endMP 300:23306 --enddatetime 2017-07-19T17:15:57 --enforcementcount 0 &gt;&gt;C:\Users\stu\Documents\GitHub\eaglep3-reporting\EC\2017-07-19-refined-times.txt</v>
      </c>
      <c r="AI241" s="96" t="str">
        <f t="shared" si="23"/>
        <v>echo {"issue":{"subject":"","project_id":79,"tracker_id":40,"status_id":1,"priority_id":2,"assigned_to_id":23,"start_date":"2017-07-19","description":"","custom_fields":[{"id":1,"name":"Subdivision","value":"Shuttle/Test"},{"id":4,"name":"Milepost","value":"2.3306"},{"id":17,"name":"Train ID","value":"73-19"},{"id":16,"name":"Locomotive ID","value":"4046"},{"id":130,"name":"Impact","value":""},{"id":150,"name":"Time of Event (Mountain Time)","value":"17:15:57"},{"id":151,"name":"Denver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24"/>
        <v>start /low /b %USERPROFILE%\Documents\GitHub\eaglep3\Utilities\DownloadLogsFromS3.py --loco 4046 --day 2017-07-19</v>
      </c>
      <c r="AN241" s="151" t="str">
        <f t="shared" si="25"/>
        <v>echo {"issue":{"subject":"","project_id":30,"tracker_id":4,"status_id":1,"priority_id":1,"assigned_to_id":10,"start_date":"2017-07-19","description":"","custom_fields":[{"id":30,"name":"Category","value":"Issue"},{"id":3,"name":"Functional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UTC","value":"2017-07-19 23:15:57"},{"id":29,"name":"Sharepoint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</sheetData>
  <autoFilter ref="A12:AG266">
    <sortState ref="A13:AG266">
      <sortCondition ref="AG13:AG241"/>
      <sortCondition ref="AD13:AD241"/>
    </sortState>
  </autoFilter>
  <sortState ref="A13:AN223">
    <sortCondition ref="AG13:AG223"/>
    <sortCondition ref="AD13:AD223"/>
  </sortState>
  <mergeCells count="1">
    <mergeCell ref="A11:P11"/>
  </mergeCells>
  <conditionalFormatting sqref="W11:W12 W271:X1048576 W13:X241">
    <cfRule type="cellIs" dxfId="10" priority="415" operator="equal">
      <formula>"Y"</formula>
    </cfRule>
  </conditionalFormatting>
  <conditionalFormatting sqref="X271:X1048576 X13:X241">
    <cfRule type="cellIs" dxfId="9" priority="398" operator="greaterThan">
      <formula>1</formula>
    </cfRule>
  </conditionalFormatting>
  <conditionalFormatting sqref="X271:X1048576 X12:X241">
    <cfRule type="cellIs" dxfId="8" priority="395" operator="equal">
      <formula>0</formula>
    </cfRule>
  </conditionalFormatting>
  <conditionalFormatting sqref="A13:S24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P16" sqref="P16:P2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34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411</v>
      </c>
      <c r="X6" s="208" t="s">
        <v>404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42935.321782407409</v>
      </c>
      <c r="B7" s="30" t="s">
        <v>611</v>
      </c>
      <c r="C7" s="30" t="s">
        <v>612</v>
      </c>
      <c r="D7" s="30" t="s">
        <v>49</v>
      </c>
      <c r="E7" s="30" t="s">
        <v>187</v>
      </c>
      <c r="F7" s="42">
        <v>0</v>
      </c>
      <c r="G7" s="42">
        <v>213</v>
      </c>
      <c r="H7" s="42">
        <v>31101</v>
      </c>
      <c r="I7" s="42">
        <v>30699</v>
      </c>
      <c r="J7" s="30" t="s">
        <v>188</v>
      </c>
      <c r="K7" s="42">
        <v>30970</v>
      </c>
      <c r="L7" s="131" t="s">
        <v>51</v>
      </c>
      <c r="M7" s="132">
        <f>CONVERT((I7-K7)/10000,"mi","ft")*IF(L7="Increasing Mileposts (1)",-1,1)</f>
        <v>-143.08799999999999</v>
      </c>
      <c r="N7" s="133" t="str">
        <f>VLOOKUP(C7,'Trips&amp;Operators'!$C$1:$G$99999,5,FALSE)</f>
        <v>LANGERAK WILLIAM</v>
      </c>
      <c r="O7" s="203" t="s">
        <v>180</v>
      </c>
      <c r="P7" s="134" t="s">
        <v>417</v>
      </c>
      <c r="Q7" s="30"/>
      <c r="R7" s="81" t="str">
        <f>VLOOKUP(C7,'Train Runs'!$A$13:$AE$9925,31,0)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-07-19T06:08:28-0600',mode:absolute,to:'2017-07-19T08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/stypes="*4029*201707191*" /stext=" 13:.+((SYSTEM_STATE.+slice.+state.+changed )|(ment ac)|(multiple cpu faults)|(system.+state.+changed )|(\[timeout)|(PRM\|1\|D)|(kpr)|(kdp)|(train st.+moving)|(\|lc)|(penalty))"</v>
      </c>
      <c r="U7" s="9" t="str">
        <f>MID(B7,13,4)</f>
        <v>4029</v>
      </c>
      <c r="V7" s="31">
        <f>A7-utc_offset/24</f>
        <v>42935.571782407409</v>
      </c>
      <c r="W7" s="45" t="str">
        <f>DetSubdiv(C7)</f>
        <v>EC</v>
      </c>
      <c r="X7" s="22">
        <f>VALUE(LEFT(C7,LEN(C7)-3))</f>
        <v>122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arrival","project_id":79,"tracker_id":40,"status_id":1,"priority_id":2,"assigned_to_id":23,"start_date":"2017-07-19","description":"","custom_fields":[{"id":1,"name":"Subdivision","value":"EC"},{"id":4,"name":"Milepost","value":"3.097"},{"id":17,"name":"Train ID","value":"122-19"},{"id":16,"name":"Locomotive ID","value":"4029"},{"id":130,"name":"Impact","value":""},{"id":150,"name":"Time of Event (Mountain Time)","value":"07:43:22"},{"id":151,"name":"Denver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/c/Users/stu/AppData/Local/Temp/OnboardLogs/RTDC4029 --include="*4029*201707191*"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"%USERPROFILE%\AppData\Local\Temp\OnboardLogs"\RTDC4029\*4029*201707191* &gt;&gt; 2017-07-19-SliceDisagreementCheck.txt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4029 --day 2017-07-19</v>
      </c>
    </row>
    <row r="8" spans="1:32" s="1" customFormat="1" x14ac:dyDescent="0.25">
      <c r="A8" s="31">
        <v>42935.537916666668</v>
      </c>
      <c r="B8" s="30" t="s">
        <v>611</v>
      </c>
      <c r="C8" s="30" t="s">
        <v>629</v>
      </c>
      <c r="D8" s="30" t="s">
        <v>49</v>
      </c>
      <c r="E8" s="30" t="s">
        <v>187</v>
      </c>
      <c r="F8" s="42">
        <v>0</v>
      </c>
      <c r="G8" s="42">
        <v>327</v>
      </c>
      <c r="H8" s="42">
        <v>58512</v>
      </c>
      <c r="I8" s="42">
        <v>57580</v>
      </c>
      <c r="J8" s="30" t="s">
        <v>188</v>
      </c>
      <c r="K8" s="42">
        <v>58301</v>
      </c>
      <c r="L8" s="131" t="s">
        <v>51</v>
      </c>
      <c r="M8" s="132">
        <f>CONVERT((I8-K8)/10000,"mi","ft")*IF(L8="Increasing Mileposts (1)",-1,1)</f>
        <v>-380.68799999999999</v>
      </c>
      <c r="N8" s="133" t="str">
        <f>VLOOKUP(C8,'Trips&amp;Operators'!$C$1:$G$99999,5,FALSE)</f>
        <v>PAGE MARCUS</v>
      </c>
      <c r="O8" s="203" t="s">
        <v>180</v>
      </c>
      <c r="P8" s="134" t="s">
        <v>417</v>
      </c>
      <c r="Q8" s="30"/>
      <c r="R8" s="81" t="str">
        <f>VLOOKUP(C8,'Train Runs'!$A$13:$AE$9925,31,0)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-07-19T11:11:43-0600',mode:absolute,to:'2017-07-19T14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/stypes="*4029*201707191*" /stext=" 18:.+((SYSTEM_STATE.+slice.+state.+changed )|(ment ac)|(multiple cpu faults)|(system.+state.+changed )|(\[timeout)|(PRM\|1\|D)|(kpr)|(kdp)|(train st.+moving)|(\|lc)|(penalty))"</v>
      </c>
      <c r="U8" s="9" t="str">
        <f>MID(B8,13,4)</f>
        <v>4029</v>
      </c>
      <c r="V8" s="31">
        <f>A8-utc_offset/24</f>
        <v>42935.787916666668</v>
      </c>
      <c r="W8" s="45" t="str">
        <f>DetSubdiv(C8)</f>
        <v>EC</v>
      </c>
      <c r="X8" s="22">
        <f>VALUE(LEFT(C8,LEN(C8)-3))</f>
        <v>164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arrival","project_id":79,"tracker_id":40,"status_id":1,"priority_id":2,"assigned_to_id":23,"start_date":"2017-07-19","description":"","custom_fields":[{"id":1,"name":"Subdivision","value":"EC"},{"id":4,"name":"Milepost","value":"5.8301"},{"id":17,"name":"Train ID","value":"164-19"},{"id":16,"name":"Locomotive ID","value":"4029"},{"id":130,"name":"Impact","value":""},{"id":150,"name":"Time of Event (Mountain Time)","value":"12:54:36"},{"id":151,"name":"Denver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/c/Users/stu/AppData/Local/Temp/OnboardLogs/RTDC4029 --include="*4029*201707191*"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"%USERPROFILE%\AppData\Local\Temp\OnboardLogs"\RTDC4029\*4029*201707191* &gt;&gt; 2017-07-19-SliceDisagreementCheck.txt</v>
      </c>
      <c r="AE8" s="145" t="str">
        <f t="shared" ref="AE8:AE43" si="1">"start /low /b "&amp;dls3logs&amp;" --loco "&amp;U8&amp;" --day "&amp;TEXT(V8,"YYYY-MM-DD")</f>
        <v>start /low /b %USERPROFILE%\Documents\GitHub\eaglep3\Utilities\DownloadLogsFromS3.py --loco 4029 --day 2017-07-19</v>
      </c>
    </row>
    <row r="9" spans="1:32" s="1" customFormat="1" x14ac:dyDescent="0.25">
      <c r="A9" s="31">
        <v>42935.307824074072</v>
      </c>
      <c r="B9" s="30" t="s">
        <v>609</v>
      </c>
      <c r="C9" s="30" t="s">
        <v>610</v>
      </c>
      <c r="D9" s="30" t="s">
        <v>96</v>
      </c>
      <c r="E9" s="30" t="s">
        <v>187</v>
      </c>
      <c r="F9" s="42">
        <v>270</v>
      </c>
      <c r="G9" s="42">
        <v>331</v>
      </c>
      <c r="H9" s="42">
        <v>58182</v>
      </c>
      <c r="I9" s="42">
        <v>57119</v>
      </c>
      <c r="J9" s="30" t="s">
        <v>188</v>
      </c>
      <c r="K9" s="42">
        <v>58301</v>
      </c>
      <c r="L9" s="131" t="s">
        <v>51</v>
      </c>
      <c r="M9" s="132">
        <f>CONVERT((I9-K9)/10000,"mi","ft")*IF(L9="Increasing Mileposts (1)",-1,1)</f>
        <v>-624.096</v>
      </c>
      <c r="N9" s="133" t="str">
        <f>VLOOKUP(C9,'Trips&amp;Operators'!$C$1:$G$99999,5,FALSE)</f>
        <v>GEBRETEKLE DAGNEW</v>
      </c>
      <c r="O9" s="203" t="s">
        <v>180</v>
      </c>
      <c r="P9" s="134" t="s">
        <v>417</v>
      </c>
      <c r="Q9" s="30"/>
      <c r="R9" s="81" t="str">
        <f>VLOOKUP(C9,'Train Runs'!$A$13:$AE$9925,31,0)</f>
        <v>aws s3 cp s3://rtdc.mdm.uploadarchive.raw/RTDC4053/ "%USERPROFILE%\AppData\Local\Temp\OnboardLogs"\RTDC4053\2017-07-19 --exclude "*" --recursive --include "*20170719*" &amp; "%USERPROFILE%\Documents\GitHub\mrs-test-scripts\Headless Mode &amp; Sideloading\WalkAndUnGZ.bat" "%USERPROFILE%\AppData\Local\Temp\OnboardLogs"\RTDC4053\2017-07-19 &amp; aws s3 cp s3://rtdc.mdm.uploadarchive.raw/RTDC4053/ "%USERPROFILE%\AppData\Local\Temp\OnboardLogs"\RTDC4053\2017-07-20 --exclude "*" --recursive --include "*20170720*" &amp; "%USERPROFILE%\Documents\GitHub\mrs-test-scripts\Headless Mode &amp; Sideloading\WalkAndUnGZ.bat" "%USERPROFILE%\AppData\Local\Temp\OnboardLogs"\RTDC4053\2017-07-20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-07-19T05:41:20-0600',mode:absolute,to:'2017-07-19T08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/stypes="*4053*201707191*" /stext=" 13:.+((SYSTEM_STATE.+slice.+state.+changed )|(ment ac)|(multiple cpu faults)|(system.+state.+changed )|(\[timeout)|(PRM\|1\|D)|(kpr)|(kdp)|(train st.+moving)|(\|lc)|(penalty))"</v>
      </c>
      <c r="U9" s="9" t="str">
        <f>MID(B9,13,4)</f>
        <v>4053</v>
      </c>
      <c r="V9" s="31">
        <f>A9-utc_offset/24</f>
        <v>42935.557824074072</v>
      </c>
      <c r="W9" s="45" t="str">
        <f>DetSubdiv(C9)</f>
        <v>EC</v>
      </c>
      <c r="X9" s="22">
        <f>VALUE(LEFT(C9,LEN(C9)-3))</f>
        <v>120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arrival","project_id":79,"tracker_id":40,"status_id":1,"priority_id":2,"assigned_to_id":23,"start_date":"2017-07-19","description":"","custom_fields":[{"id":1,"name":"Subdivision","value":"EC"},{"id":4,"name":"Milepost","value":"5.8301"},{"id":17,"name":"Train ID","value":"120-19"},{"id":16,"name":"Locomotive ID","value":"4053"},{"id":130,"name":"Impact","value":""},{"id":150,"name":"Time of Event (Mountain Time)","value":"07:23:16"},{"id":151,"name":"Denver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/c/Users/stu/AppData/Local/Temp/OnboardLogs/RTDC4053 --include="*4053*201707191*"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"%USERPROFILE%\AppData\Local\Temp\OnboardLogs"\RTDC4053\*4053*201707191* &gt;&gt; 2017-07-19-SliceDisagreementCheck.txt</v>
      </c>
      <c r="AE9" s="145" t="str">
        <f t="shared" si="1"/>
        <v>start /low /b %USERPROFILE%\Documents\GitHub\eaglep3\Utilities\DownloadLogsFromS3.py --loco 4053 --day 2017-07-19</v>
      </c>
    </row>
    <row r="10" spans="1:32" s="1" customFormat="1" x14ac:dyDescent="0.25">
      <c r="A10" s="31">
        <v>42935.489131944443</v>
      </c>
      <c r="B10" s="30" t="s">
        <v>626</v>
      </c>
      <c r="C10" s="30" t="s">
        <v>627</v>
      </c>
      <c r="D10" s="30" t="s">
        <v>49</v>
      </c>
      <c r="E10" s="30" t="s">
        <v>187</v>
      </c>
      <c r="F10" s="42">
        <v>0</v>
      </c>
      <c r="G10" s="42">
        <v>499</v>
      </c>
      <c r="H10" s="42">
        <v>62493</v>
      </c>
      <c r="I10" s="42">
        <v>64019</v>
      </c>
      <c r="J10" s="30" t="s">
        <v>188</v>
      </c>
      <c r="K10" s="42">
        <v>63069</v>
      </c>
      <c r="L10" s="131" t="s">
        <v>50</v>
      </c>
      <c r="M10" s="132">
        <f>CONVERT((I10-K10)/10000,"mi","ft")*IF(L10="Increasing Mileposts (1)",-1,1)</f>
        <v>-501.6</v>
      </c>
      <c r="N10" s="133" t="str">
        <f>VLOOKUP(C10,'Trips&amp;Operators'!$C$1:$G$99999,5,FALSE)</f>
        <v>PAGE MARCUS</v>
      </c>
      <c r="O10" s="203" t="s">
        <v>180</v>
      </c>
      <c r="P10" s="134" t="s">
        <v>417</v>
      </c>
      <c r="Q10" s="30"/>
      <c r="R10" s="81" t="str">
        <f>VLOOKUP(C10,'Train Runs'!$A$13:$AE$9925,31,0)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-07-19T10:25:12-0600',mode:absolute,to:'2017-07-19T13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/stypes="*4030*201707191*" /stext=" 17:.+((SYSTEM_STATE.+slice.+state.+changed )|(ment ac)|(multiple cpu faults)|(system.+state.+changed )|(\[timeout)|(PRM\|1\|D)|(kpr)|(kdp)|(train st.+moving)|(\|lc)|(penalty))"</v>
      </c>
      <c r="U10" s="9" t="str">
        <f>MID(B10,13,4)</f>
        <v>4030</v>
      </c>
      <c r="V10" s="31">
        <f>A10-utc_offset/24</f>
        <v>42935.739131944443</v>
      </c>
      <c r="W10" s="45" t="str">
        <f>DetSubdiv(C10)</f>
        <v>EC</v>
      </c>
      <c r="X10" s="22">
        <f>VALUE(LEFT(C10,LEN(C10)-3))</f>
        <v>163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arrival","project_id":79,"tracker_id":40,"status_id":1,"priority_id":2,"assigned_to_id":23,"start_date":"2017-07-19","description":"","custom_fields":[{"id":1,"name":"Subdivision","value":"EC"},{"id":4,"name":"Milepost","value":"6.3069"},{"id":17,"name":"Train ID","value":"163-19"},{"id":16,"name":"Locomotive ID","value":"4030"},{"id":130,"name":"Impact","value":""},{"id":150,"name":"Time of Event (Mountain Time)","value":"11:44:21"},{"id":151,"name":"Denver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/c/Users/stu/AppData/Local/Temp/OnboardLogs/RTDC4030 --include="*4030*201707191*"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"%USERPROFILE%\AppData\Local\Temp\OnboardLogs"\RTDC4030\*4030*201707191* &gt;&gt; 2017-07-19-SliceDisagreementCheck.txt</v>
      </c>
      <c r="AE10" s="145" t="str">
        <f t="shared" si="1"/>
        <v>start /low /b %USERPROFILE%\Documents\GitHub\eaglep3\Utilities\DownloadLogsFromS3.py --loco 4030 --day 2017-07-19</v>
      </c>
    </row>
    <row r="11" spans="1:32" s="1" customFormat="1" x14ac:dyDescent="0.25">
      <c r="A11" s="31">
        <v>42935.708148148151</v>
      </c>
      <c r="B11" s="30" t="s">
        <v>430</v>
      </c>
      <c r="C11" s="30" t="s">
        <v>632</v>
      </c>
      <c r="D11" s="30" t="s">
        <v>49</v>
      </c>
      <c r="E11" s="30" t="s">
        <v>187</v>
      </c>
      <c r="F11" s="42">
        <v>330</v>
      </c>
      <c r="G11" s="42">
        <v>394</v>
      </c>
      <c r="H11" s="42">
        <v>110031</v>
      </c>
      <c r="I11" s="42">
        <v>108948</v>
      </c>
      <c r="J11" s="30" t="s">
        <v>188</v>
      </c>
      <c r="K11" s="42">
        <v>109135</v>
      </c>
      <c r="L11" s="131" t="s">
        <v>51</v>
      </c>
      <c r="M11" s="132">
        <f>CONVERT((I11-K11)/10000,"mi","ft")*IF(L11="Increasing Mileposts (1)",-1,1)</f>
        <v>-98.736000000000004</v>
      </c>
      <c r="N11" s="133" t="str">
        <f>VLOOKUP(C11,'Trips&amp;Operators'!$C$1:$G$99999,5,FALSE)</f>
        <v>DELGADO DIANAH</v>
      </c>
      <c r="O11" s="203" t="s">
        <v>180</v>
      </c>
      <c r="P11" s="134" t="s">
        <v>417</v>
      </c>
      <c r="Q11" s="30"/>
      <c r="R11" s="81" t="str">
        <f>VLOOKUP(C11,'Train Runs'!$A$13:$AE$9925,31,0)</f>
        <v>aws s3 cp s3://rtdc.mdm.uploadarchive.raw/RTDC4041/ "%USERPROFILE%\AppData\Local\Temp\OnboardLogs"\RTDC4041\2017-07-19 --exclude "*" --recursive --include "*20170719*" &amp; "%USERPROFILE%\Documents\GitHub\mrs-test-scripts\Headless Mode &amp; Sideloading\WalkAndUnGZ.bat" "%USERPROFILE%\AppData\Local\Temp\OnboardLogs"\RTDC4041\2017-07-19 &amp; aws s3 cp s3://rtdc.mdm.uploadarchive.raw/RTDC4041/ "%USERPROFILE%\AppData\Local\Temp\OnboardLogs"\RTDC4041\2017-07-20 --exclude "*" --recursive --include "*20170720*" &amp; "%USERPROFILE%\Documents\GitHub\mrs-test-scripts\Headless Mode &amp; Sideloading\WalkAndUnGZ.bat" "%USERPROFILE%\AppData\Local\Temp\OnboardLogs"\RTDC4041\2017-07-20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-07-19T15:28:33-0600',mode:absolute,to:'2017-07-19T18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/stypes="*4041*201707192*" /stext=" 22:.+((SYSTEM_STATE.+slice.+state.+changed )|(ment ac)|(multiple cpu faults)|(system.+state.+changed )|(\[timeout)|(PRM\|1\|D)|(kpr)|(kdp)|(train st.+moving)|(\|lc)|(penalty))"</v>
      </c>
      <c r="U11" s="9" t="str">
        <f>MID(B11,13,4)</f>
        <v>4041</v>
      </c>
      <c r="V11" s="31">
        <f>A11-utc_offset/24</f>
        <v>42935.958148148151</v>
      </c>
      <c r="W11" s="45" t="str">
        <f>DetSubdiv(C11)</f>
        <v>EC</v>
      </c>
      <c r="X11" s="22">
        <f>VALUE(LEFT(C11,LEN(C11)-3))</f>
        <v>198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arrival","project_id":79,"tracker_id":40,"status_id":1,"priority_id":2,"assigned_to_id":23,"start_date":"2017-07-19","description":"","custom_fields":[{"id":1,"name":"Subdivision","value":"EC"},{"id":4,"name":"Milepost","value":"10.9135"},{"id":17,"name":"Train ID","value":"198-19"},{"id":16,"name":"Locomotive ID","value":"4041"},{"id":130,"name":"Impact","value":""},{"id":150,"name":"Time of Event (Mountain Time)","value":"16:59:44"},{"id":151,"name":"Denver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/c/Users/stu/AppData/Local/Temp/OnboardLogs/RTDC4041 --include="*4041*201707192*"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"%USERPROFILE%\AppData\Local\Temp\OnboardLogs"\RTDC4041\*4041*201707192* &gt;&gt; 2017-07-19-SliceDisagreementCheck.txt</v>
      </c>
      <c r="AE11" s="145" t="str">
        <f t="shared" si="1"/>
        <v>start /low /b %USERPROFILE%\Documents\GitHub\eaglep3\Utilities\DownloadLogsFromS3.py --loco 4041 --day 2017-07-19</v>
      </c>
    </row>
    <row r="12" spans="1:32" s="1" customFormat="1" x14ac:dyDescent="0.25">
      <c r="A12" s="31">
        <v>42935.793958333335</v>
      </c>
      <c r="B12" s="30" t="s">
        <v>336</v>
      </c>
      <c r="C12" s="30" t="s">
        <v>641</v>
      </c>
      <c r="D12" s="30" t="s">
        <v>96</v>
      </c>
      <c r="E12" s="30" t="s">
        <v>197</v>
      </c>
      <c r="F12" s="42">
        <v>400</v>
      </c>
      <c r="G12" s="42">
        <v>458</v>
      </c>
      <c r="H12" s="42">
        <v>7251</v>
      </c>
      <c r="I12" s="42">
        <v>8681</v>
      </c>
      <c r="J12" s="30" t="s">
        <v>198</v>
      </c>
      <c r="K12" s="42">
        <v>5439</v>
      </c>
      <c r="L12" s="131" t="s">
        <v>50</v>
      </c>
      <c r="M12" s="132">
        <f>CONVERT((I12-K12)/10000,"mi","ft")*IF(L12="Increasing Mileposts (1)",-1,1)</f>
        <v>-1711.7760000000001</v>
      </c>
      <c r="N12" s="133" t="str">
        <f>VLOOKUP(C12,'Trips&amp;Operators'!$C$1:$G$99999,5,FALSE)</f>
        <v>FORTUNATO FRANK</v>
      </c>
      <c r="O12" s="203" t="s">
        <v>180</v>
      </c>
      <c r="P12" s="134"/>
      <c r="Q12" s="30"/>
      <c r="R12" s="81" t="str">
        <f>VLOOKUP(C12,'Train Runs'!$A$13:$AE$9925,31,0)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-07-19T17:52:18-0600',mode:absolute,to:'2017-07-19T20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/stypes="*4028*201707200*" /stext=" 01:.+((SYSTEM_STATE.+slice.+state.+changed )|(ment ac)|(multiple cpu faults)|(system.+state.+changed )|(\[timeout)|(PRM\|1\|D)|(kpr)|(kdp)|(train st.+moving)|(\|lc)|(penalty))"</v>
      </c>
      <c r="U12" s="9" t="str">
        <f>MID(B12,13,4)</f>
        <v>4028</v>
      </c>
      <c r="V12" s="31">
        <f>A12-utc_offset/24</f>
        <v>42936.043958333335</v>
      </c>
      <c r="W12" s="45" t="str">
        <f>DetSubdiv(C12)</f>
        <v>EC</v>
      </c>
      <c r="X12" s="22">
        <f>VALUE(LEFT(C12,LEN(C12)-3))</f>
        <v>221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{"issue":{"subject":"","project_id":79,"tracker_id":40,"status_id":1,"priority_id":2,"assigned_to_id":23,"start_date":"2017-07-19","description":"","custom_fields":[{"id":1,"name":"Subdivision","value":"EC"},{"id":4,"name":"Milepost","value":"0.5439"},{"id":17,"name":"Train ID","value":"221-19"},{"id":16,"name":"Locomotive ID","value":"4028"},{"id":130,"name":"Impact","value":""},{"id":150,"name":"Time of Event (Mountain Time)","value":"19:03:18"},{"id":151,"name":"Denver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/c/Users/stu/AppData/Local/Temp/OnboardLogs/RTDC4028 --include="*4028*201707200*"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"%USERPROFILE%\AppData\Local\Temp\OnboardLogs"\RTDC4028\*4028*201707200* &gt;&gt; 2017-07-19-SliceDisagreementCheck.txt</v>
      </c>
      <c r="AE12" s="145" t="str">
        <f t="shared" si="1"/>
        <v>start /low /b %USERPROFILE%\Documents\GitHub\eaglep3\Utilities\DownloadLogsFromS3.py --loco 4028 --day 2017-07-20</v>
      </c>
    </row>
    <row r="13" spans="1:32" s="1" customFormat="1" x14ac:dyDescent="0.25">
      <c r="A13" s="31">
        <v>42935.513425925928</v>
      </c>
      <c r="B13" s="30" t="s">
        <v>352</v>
      </c>
      <c r="C13" s="30" t="s">
        <v>628</v>
      </c>
      <c r="D13" s="30" t="s">
        <v>49</v>
      </c>
      <c r="E13" s="30" t="s">
        <v>197</v>
      </c>
      <c r="F13" s="42">
        <v>400</v>
      </c>
      <c r="G13" s="42">
        <v>599</v>
      </c>
      <c r="H13" s="42">
        <v>13998</v>
      </c>
      <c r="I13" s="42">
        <v>17501</v>
      </c>
      <c r="J13" s="30" t="s">
        <v>198</v>
      </c>
      <c r="K13" s="42">
        <v>17867</v>
      </c>
      <c r="L13" s="131" t="s">
        <v>50</v>
      </c>
      <c r="M13" s="132">
        <f>CONVERT((I13-K13)/10000,"mi","ft")*IF(L13="Increasing Mileposts (1)",-1,1)</f>
        <v>193.24799999999999</v>
      </c>
      <c r="N13" s="133" t="str">
        <f>VLOOKUP(C13,'Trips&amp;Operators'!$C$1:$G$99999,5,FALSE)</f>
        <v>DELGADO DIANAH</v>
      </c>
      <c r="O13" s="203" t="s">
        <v>180</v>
      </c>
      <c r="P13" s="134"/>
      <c r="Q13" s="30"/>
      <c r="R13" s="81" t="str">
        <f>VLOOKUP(C13,'Train Runs'!$A$13:$AE$9925,31,0)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-07-19T11:10:14-0600',mode:absolute,to:'2017-07-19T13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/stypes="*4042*201707191*" /stext=" 18:.+((SYSTEM_STATE.+slice.+state.+changed )|(ment ac)|(multiple cpu faults)|(system.+state.+changed )|(\[timeout)|(PRM\|1\|D)|(kpr)|(kdp)|(train st.+moving)|(\|lc)|(penalty))"</v>
      </c>
      <c r="U13" s="9" t="str">
        <f>MID(B13,13,4)</f>
        <v>4042</v>
      </c>
      <c r="V13" s="31">
        <f>A13-utc_offset/24</f>
        <v>42935.763425925928</v>
      </c>
      <c r="W13" s="45" t="str">
        <f>DetSubdiv(C13)</f>
        <v>EC</v>
      </c>
      <c r="X13" s="22">
        <f>VALUE(LEFT(C13,LEN(C13)-3))</f>
        <v>169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{"issue":{"subject":"","project_id":79,"tracker_id":40,"status_id":1,"priority_id":2,"assigned_to_id":23,"start_date":"2017-07-19","description":"","custom_fields":[{"id":1,"name":"Subdivision","value":"EC"},{"id":4,"name":"Milepost","value":"1.7867"},{"id":17,"name":"Train ID","value":"169-19"},{"id":16,"name":"Locomotive ID","value":"4042"},{"id":130,"name":"Impact","value":""},{"id":150,"name":"Time of Event (Mountain Time)","value":"12:19:20"},{"id":151,"name":"Denver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/c/Users/stu/AppData/Local/Temp/OnboardLogs/RTDC4042 --include="*4042*201707191*"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"%USERPROFILE%\AppData\Local\Temp\OnboardLogs"\RTDC4042\*4042*201707191* &gt;&gt; 2017-07-19-SliceDisagreementCheck.txt</v>
      </c>
      <c r="AE13" s="145" t="str">
        <f t="shared" si="1"/>
        <v>start /low /b %USERPROFILE%\Documents\GitHub\eaglep3\Utilities\DownloadLogsFromS3.py --loco 4042 --day 2017-07-19</v>
      </c>
    </row>
    <row r="14" spans="1:32" x14ac:dyDescent="0.25">
      <c r="A14" s="31">
        <v>42935.254803240743</v>
      </c>
      <c r="B14" s="30" t="s">
        <v>499</v>
      </c>
      <c r="C14" s="30" t="s">
        <v>608</v>
      </c>
      <c r="D14" s="30" t="s">
        <v>49</v>
      </c>
      <c r="E14" s="30" t="s">
        <v>197</v>
      </c>
      <c r="F14" s="42">
        <v>200</v>
      </c>
      <c r="G14" s="42">
        <v>489</v>
      </c>
      <c r="H14" s="42">
        <v>24341</v>
      </c>
      <c r="I14" s="42">
        <v>25876</v>
      </c>
      <c r="J14" s="30" t="s">
        <v>198</v>
      </c>
      <c r="K14" s="42">
        <v>27333</v>
      </c>
      <c r="L14" s="131" t="s">
        <v>50</v>
      </c>
      <c r="M14" s="132">
        <f>CONVERT((I14-K14)/10000,"mi","ft")*IF(L14="Increasing Mileposts (1)",-1,1)</f>
        <v>769.29600000000005</v>
      </c>
      <c r="N14" s="133" t="str">
        <f>VLOOKUP(C14,'Trips&amp;Operators'!$C$1:$G$99999,5,FALSE)</f>
        <v>STARKS ANGELINA</v>
      </c>
      <c r="O14" s="203" t="s">
        <v>180</v>
      </c>
      <c r="P14" s="134"/>
      <c r="Q14" s="30"/>
      <c r="R14" s="81" t="str">
        <f>VLOOKUP(C14,'Train Runs'!$A$13:$AE$9925,31,0)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-07-19T04:57:29-0600',mode:absolute,to:'2017-07-19T07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/stypes="*4054*201707191*" /stext=" 12:.+((SYSTEM_STATE.+slice.+state.+changed )|(ment ac)|(multiple cpu faults)|(system.+state.+changed )|(\[timeout)|(PRM\|1\|D)|(kpr)|(kdp)|(train st.+moving)|(\|lc)|(penalty))"</v>
      </c>
      <c r="U14" s="9" t="str">
        <f>MID(B14,13,4)</f>
        <v>4054</v>
      </c>
      <c r="V14" s="31">
        <f>A14-utc_offset/24</f>
        <v>42935.504803240743</v>
      </c>
      <c r="W14" s="45" t="str">
        <f>DetSubdiv(C14)</f>
        <v>EC</v>
      </c>
      <c r="X14" s="22">
        <f>VALUE(LEFT(C14,LEN(C14)-3))</f>
        <v>119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{"issue":{"subject":"","project_id":79,"tracker_id":40,"status_id":1,"priority_id":2,"assigned_to_id":23,"start_date":"2017-07-19","description":"","custom_fields":[{"id":1,"name":"Subdivision","value":"EC"},{"id":4,"name":"Milepost","value":"2.7333"},{"id":17,"name":"Train ID","value":"119-19"},{"id":16,"name":"Locomotive ID","value":"4054"},{"id":130,"name":"Impact","value":""},{"id":150,"name":"Time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/c/Users/stu/AppData/Local/Temp/OnboardLogs/RTDC4054 --include="*4054*201707191*"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"%USERPROFILE%\AppData\Local\Temp\OnboardLogs"\RTDC4054\*4054*201707191* &gt;&gt; 2017-07-19-SliceDisagreementCheck.txt</v>
      </c>
      <c r="AE14" s="145" t="str">
        <f t="shared" si="1"/>
        <v>start /low /b %USERPROFILE%\Documents\GitHub\eaglep3\Utilities\DownloadLogsFromS3.py --loco 4054 --day 2017-07-19</v>
      </c>
      <c r="AF14" s="1"/>
    </row>
    <row r="15" spans="1:32" x14ac:dyDescent="0.25">
      <c r="A15" s="31">
        <v>42935.528333333335</v>
      </c>
      <c r="B15" s="30" t="s">
        <v>352</v>
      </c>
      <c r="C15" s="30" t="s">
        <v>628</v>
      </c>
      <c r="D15" s="30" t="s">
        <v>49</v>
      </c>
      <c r="E15" s="30" t="s">
        <v>197</v>
      </c>
      <c r="F15" s="42">
        <v>400</v>
      </c>
      <c r="G15" s="42">
        <v>541</v>
      </c>
      <c r="H15" s="42">
        <v>115248</v>
      </c>
      <c r="I15" s="42">
        <v>117030</v>
      </c>
      <c r="J15" s="30" t="s">
        <v>198</v>
      </c>
      <c r="K15" s="42">
        <v>116838</v>
      </c>
      <c r="L15" s="131" t="s">
        <v>50</v>
      </c>
      <c r="M15" s="132">
        <f>CONVERT((I15-K15)/10000,"mi","ft")*IF(L15="Increasing Mileposts (1)",-1,1)</f>
        <v>-101.376</v>
      </c>
      <c r="N15" s="133" t="str">
        <f>VLOOKUP(C15,'Trips&amp;Operators'!$C$1:$G$99999,5,FALSE)</f>
        <v>DELGADO DIANAH</v>
      </c>
      <c r="O15" s="203" t="s">
        <v>180</v>
      </c>
      <c r="P15" s="134"/>
      <c r="Q15" s="30"/>
      <c r="R15" s="81" t="str">
        <f>VLOOKUP(C15,'Train Runs'!$A$13:$AE$9925,31,0)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-07-19T11:10:14-0600',mode:absolute,to:'2017-07-19T13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/stypes="*4042*201707191*" /stext=" 18:.+((SYSTEM_STATE.+slice.+state.+changed )|(ment ac)|(multiple cpu faults)|(system.+state.+changed )|(\[timeout)|(PRM\|1\|D)|(kpr)|(kdp)|(train st.+moving)|(\|lc)|(penalty))"</v>
      </c>
      <c r="U15" s="9" t="str">
        <f>MID(B15,13,4)</f>
        <v>4042</v>
      </c>
      <c r="V15" s="31">
        <f>A15-utc_offset/24</f>
        <v>42935.778333333335</v>
      </c>
      <c r="W15" s="45" t="str">
        <f>DetSubdiv(C15)</f>
        <v>EC</v>
      </c>
      <c r="X15" s="22">
        <f>VALUE(LEFT(C15,LEN(C15)-3))</f>
        <v>169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{"issue":{"subject":"","project_id":79,"tracker_id":40,"status_id":1,"priority_id":2,"assigned_to_id":23,"start_date":"2017-07-19","description":"","custom_fields":[{"id":1,"name":"Subdivision","value":"EC"},{"id":4,"name":"Milepost","value":"11.6838"},{"id":17,"name":"Train ID","value":"169-19"},{"id":16,"name":"Locomotive ID","value":"4042"},{"id":130,"name":"Impact","value":""},{"id":150,"name":"Time of Event (Mountain Time)","value":"12:40:48"},{"id":151,"name":"Denver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/c/Users/stu/AppData/Local/Temp/OnboardLogs/RTDC4042 --include="*4042*201707191*"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"%USERPROFILE%\AppData\Local\Temp\OnboardLogs"\RTDC4042\*4042*201707191* &gt;&gt; 2017-07-19-SliceDisagreementCheck.txt</v>
      </c>
      <c r="AE15" s="145" t="str">
        <f t="shared" si="1"/>
        <v>start /low /b %USERPROFILE%\Documents\GitHub\eaglep3\Utilities\DownloadLogsFromS3.py --loco 4042 --day 2017-07-19</v>
      </c>
      <c r="AF15" s="1"/>
    </row>
    <row r="16" spans="1:32" x14ac:dyDescent="0.25">
      <c r="A16" s="31">
        <v>42935.668263888889</v>
      </c>
      <c r="B16" s="30" t="s">
        <v>611</v>
      </c>
      <c r="C16" s="30" t="s">
        <v>631</v>
      </c>
      <c r="D16" s="30" t="s">
        <v>49</v>
      </c>
      <c r="E16" s="30" t="s">
        <v>197</v>
      </c>
      <c r="F16" s="42">
        <v>750</v>
      </c>
      <c r="G16" s="42">
        <v>802</v>
      </c>
      <c r="H16" s="42">
        <v>202504</v>
      </c>
      <c r="I16" s="42">
        <v>198472</v>
      </c>
      <c r="J16" s="30" t="s">
        <v>198</v>
      </c>
      <c r="K16" s="42">
        <v>200463</v>
      </c>
      <c r="L16" s="131" t="s">
        <v>51</v>
      </c>
      <c r="M16" s="132">
        <f>CONVERT((I16-K16)/10000,"mi","ft")*IF(L16="Increasing Mileposts (1)",-1,1)</f>
        <v>-1051.248</v>
      </c>
      <c r="N16" s="133" t="str">
        <f>VLOOKUP(C16,'Trips&amp;Operators'!$C$1:$G$99999,5,FALSE)</f>
        <v>PAGE MARCUS</v>
      </c>
      <c r="O16" s="203" t="s">
        <v>180</v>
      </c>
      <c r="P16" s="134"/>
      <c r="Q16" s="30"/>
      <c r="R16" s="81" t="str">
        <f>VLOOKUP(C16,'Train Runs'!$A$13:$AE$9925,31,0)</f>
        <v>aws s3 cp s3://rtdc.mdm.uploadarchive.raw/RTDC4029/ "%USERPROFILE%\AppData\Local\Temp\OnboardLogs"\RTDC4029\2017-07-19 --exclude "*" --recursive --include "*20170719*" &amp; "%USERPROFILE%\Documents\GitHub\mrs-test-scripts\Headless Mode &amp; Sideloading\WalkAndUnGZ.bat" "%USERPROFILE%\AppData\Local\Temp\OnboardLogs"\RTDC4029\2017-07-19 &amp; aws s3 cp s3://rtdc.mdm.uploadarchive.raw/RTDC4029/ "%USERPROFILE%\AppData\Local\Temp\OnboardLogs"\RTDC4029\2017-07-20 --exclude "*" --recursive --include "*20170720*" &amp; "%USERPROFILE%\Documents\GitHub\mrs-test-scripts\Headless Mode &amp; Sideloading\WalkAndUnGZ.bat" "%USERPROFILE%\AppData\Local\Temp\OnboardLogs"\RTDC4029\2017-07-20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-07-19T14:38:39-0600',mode:absolute,to:'2017-07-19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/stypes="*4029*201707192*" /stext=" 22:.+((SYSTEM_STATE.+slice.+state.+changed )|(ment ac)|(multiple cpu faults)|(system.+state.+changed )|(\[timeout)|(PRM\|1\|D)|(kpr)|(kdp)|(train st.+moving)|(\|lc)|(penalty))"</v>
      </c>
      <c r="U16" s="9" t="str">
        <f>MID(B16,13,4)</f>
        <v>4029</v>
      </c>
      <c r="V16" s="31">
        <f>A16-utc_offset/24</f>
        <v>42935.918263888889</v>
      </c>
      <c r="W16" s="45" t="str">
        <f>DetSubdiv(C16)</f>
        <v>EC</v>
      </c>
      <c r="X16" s="22">
        <f>VALUE(LEFT(C16,LEN(C16)-3))</f>
        <v>192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{"issue":{"subject":"","project_id":79,"tracker_id":40,"status_id":1,"priority_id":2,"assigned_to_id":23,"start_date":"2017-07-19","description":"","custom_fields":[{"id":1,"name":"Subdivision","value":"EC"},{"id":4,"name":"Milepost","value":"20.0463"},{"id":17,"name":"Train ID","value":"192-19"},{"id":16,"name":"Locomotive ID","value":"4029"},{"id":130,"name":"Impact","value":""},{"id":150,"name":"Time of Event (Mountain Time)","value":"16:02:18"},{"id":151,"name":"Denver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/c/Users/stu/AppData/Local/Temp/OnboardLogs/RTDC4029 --include="*4029*201707192*"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"%USERPROFILE%\AppData\Local\Temp\OnboardLogs"\RTDC4029\*4029*201707192* &gt;&gt; 2017-07-19-SliceDisagreementCheck.txt</v>
      </c>
      <c r="AE16" s="145" t="str">
        <f t="shared" si="1"/>
        <v>start /low /b %USERPROFILE%\Documents\GitHub\eaglep3\Utilities\DownloadLogsFromS3.py --loco 4029 --day 2017-07-19</v>
      </c>
      <c r="AF16" s="1"/>
    </row>
    <row r="17" spans="1:32" x14ac:dyDescent="0.25">
      <c r="A17" s="31">
        <v>42935.327314814815</v>
      </c>
      <c r="B17" s="30" t="s">
        <v>395</v>
      </c>
      <c r="C17" s="30" t="s">
        <v>613</v>
      </c>
      <c r="D17" s="30" t="s">
        <v>49</v>
      </c>
      <c r="E17" s="30" t="s">
        <v>356</v>
      </c>
      <c r="F17" s="42">
        <v>0</v>
      </c>
      <c r="G17" s="42">
        <v>216</v>
      </c>
      <c r="H17" s="42">
        <v>64580</v>
      </c>
      <c r="I17" s="42">
        <v>64267</v>
      </c>
      <c r="J17" s="30" t="s">
        <v>357</v>
      </c>
      <c r="K17" s="42">
        <v>64008</v>
      </c>
      <c r="L17" s="131" t="s">
        <v>51</v>
      </c>
      <c r="M17" s="132">
        <f>CONVERT((I17-K17)/10000,"mi","ft")*IF(L17="Increasing Mileposts (1)",-1,1)</f>
        <v>136.75200000000001</v>
      </c>
      <c r="N17" s="133" t="str">
        <f>VLOOKUP(C17,'Trips&amp;Operators'!$C$1:$G$99999,5,FALSE)</f>
        <v>DAVIS WENDY</v>
      </c>
      <c r="O17" s="203" t="s">
        <v>434</v>
      </c>
      <c r="P17" s="134" t="s">
        <v>552</v>
      </c>
      <c r="Q17" s="30"/>
      <c r="R17" s="81" t="str">
        <f>VLOOKUP(C17,'Train Runs'!$A$13:$AE$9925,31,0)</f>
        <v>aws s3 cp s3://rtdc.mdm.uploadarchive.raw/RTDC4045/ "%USERPROFILE%\AppData\Local\Temp\OnboardLogs"\RTDC4045\2017-07-19 --exclude "*" --recursive --include "*20170719*" &amp; "%USERPROFILE%\Documents\GitHub\mrs-test-scripts\Headless Mode &amp; Sideloading\WalkAndUnGZ.bat" "%USERPROFILE%\AppData\Local\Temp\OnboardLogs"\RTDC4045\2017-07-19 &amp; aws s3 cp s3://rtdc.mdm.uploadarchive.raw/RTDC4045/ "%USERPROFILE%\AppData\Local\Temp\OnboardLogs"\RTDC4045\2017-07-20 --exclude "*" --recursive --include "*20170720*" &amp; "%USERPROFILE%\Documents\GitHub\mrs-test-scripts\Headless Mode &amp; Sideloading\WalkAndUnGZ.bat" "%USERPROFILE%\AppData\Local\Temp\OnboardLogs"\RTDC4045\2017-07-20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-07-19T06:24:28-0600',mode:absolute,to:'2017-07-19T09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/stypes="*4045*201707191*" /stext=" 13:.+((SYSTEM_STATE.+slice.+state.+changed )|(ment ac)|(multiple cpu faults)|(system.+state.+changed )|(\[timeout)|(PRM\|1\|D)|(kpr)|(kdp)|(train st.+moving)|(\|lc)|(penalty))"</v>
      </c>
      <c r="U17" s="9" t="str">
        <f>MID(B17,13,4)</f>
        <v>4045</v>
      </c>
      <c r="V17" s="31">
        <f>A17-utc_offset/24</f>
        <v>42935.577314814815</v>
      </c>
      <c r="W17" s="45" t="str">
        <f>DetSubdiv(C17)</f>
        <v>EC</v>
      </c>
      <c r="X17" s="22">
        <f>VALUE(LEFT(C17,LEN(C17)-3))</f>
        <v>124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drop","project_id":79,"tracker_id":40,"status_id":1,"priority_id":2,"assigned_to_id":23,"start_date":"2017-07-19","description":"","custom_fields":[{"id":1,"name":"Subdivision","value":"EC"},{"id":4,"name":"Milepost","value":"6.4008"},{"id":17,"name":"Train ID","value":"124-19"},{"id":16,"name":"Locomotive ID","value":"4045"},{"id":130,"name":"Impact","value":""},{"id":150,"name":"Time of Event (Mountain Time)","value":"07:51:20"},{"id":151,"name":"Denver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/c/Users/stu/AppData/Local/Temp/OnboardLogs/RTDC4045 --include="*4045*201707191*"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"%USERPROFILE%\AppData\Local\Temp\OnboardLogs"\RTDC4045\*4045*201707191* &gt;&gt; 2017-07-19-SliceDisagreementCheck.txt</v>
      </c>
      <c r="AE17" s="145" t="str">
        <f t="shared" si="1"/>
        <v>start /low /b %USERPROFILE%\Documents\GitHub\eaglep3\Utilities\DownloadLogsFromS3.py --loco 4045 --day 2017-07-19</v>
      </c>
      <c r="AF17" s="1"/>
    </row>
    <row r="18" spans="1:32" x14ac:dyDescent="0.25">
      <c r="A18" s="31">
        <v>42935.484907407408</v>
      </c>
      <c r="B18" s="30" t="s">
        <v>499</v>
      </c>
      <c r="C18" s="30" t="s">
        <v>625</v>
      </c>
      <c r="D18" s="30" t="s">
        <v>96</v>
      </c>
      <c r="E18" s="30" t="s">
        <v>356</v>
      </c>
      <c r="F18" s="42">
        <v>0</v>
      </c>
      <c r="G18" s="42">
        <v>406</v>
      </c>
      <c r="H18" s="42">
        <v>126664</v>
      </c>
      <c r="I18" s="42">
        <v>127592</v>
      </c>
      <c r="J18" s="30" t="s">
        <v>357</v>
      </c>
      <c r="K18" s="42">
        <v>126585</v>
      </c>
      <c r="L18" s="131" t="s">
        <v>50</v>
      </c>
      <c r="M18" s="132">
        <f>CONVERT((I18-K18)/10000,"mi","ft")*IF(L18="Increasing Mileposts (1)",-1,1)</f>
        <v>-531.69600000000003</v>
      </c>
      <c r="N18" s="133" t="str">
        <f>VLOOKUP(C18,'Trips&amp;Operators'!$C$1:$G$99999,5,FALSE)</f>
        <v>STEWART MICHAEL</v>
      </c>
      <c r="O18" s="203" t="s">
        <v>434</v>
      </c>
      <c r="P18" s="134" t="s">
        <v>1041</v>
      </c>
      <c r="Q18" s="30"/>
      <c r="R18" s="81" t="str">
        <f>VLOOKUP(C18,'Train Runs'!$A$13:$AE$9925,31,0)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-07-19T10:10:25-0600',mode:absolute,to:'2017-07-19T12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/stypes="*4054*201707191*" /stext=" 17:.+((SYSTEM_STATE.+slice.+state.+changed )|(ment ac)|(multiple cpu faults)|(system.+state.+changed )|(\[timeout)|(PRM\|1\|D)|(kpr)|(kdp)|(train st.+moving)|(\|lc)|(penalty))"</v>
      </c>
      <c r="U18" s="9" t="str">
        <f>MID(B18,13,4)</f>
        <v>4054</v>
      </c>
      <c r="V18" s="31">
        <f>A18-utc_offset/24</f>
        <v>42935.734907407408</v>
      </c>
      <c r="W18" s="45" t="str">
        <f>DetSubdiv(C18)</f>
        <v>EC</v>
      </c>
      <c r="X18" s="22">
        <f>VALUE(LEFT(C18,LEN(C18)-3))</f>
        <v>161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failure","project_id":79,"tracker_id":40,"status_id":1,"priority_id":2,"assigned_to_id":23,"start_date":"2017-07-19","description":"","custom_fields":[{"id":1,"name":"Subdivision","value":"EC"},{"id":4,"name":"Milepost","value":"12.6585"},{"id":17,"name":"Train ID","value":"161-19"},{"id":16,"name":"Locomotive ID","value":"4054"},{"id":130,"name":"Impact","value":""},{"id":150,"name":"Time of Event (Mountain Time)","value":"11:38:16"},{"id":151,"name":"Denver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/c/Users/stu/AppData/Local/Temp/OnboardLogs/RTDC4054 --include="*4054*201707191*"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"%USERPROFILE%\AppData\Local\Temp\OnboardLogs"\RTDC4054\*4054*201707191* &gt;&gt; 2017-07-19-SliceDisagreementCheck.txt</v>
      </c>
      <c r="AE18" s="145" t="str">
        <f t="shared" si="1"/>
        <v>start /low /b %USERPROFILE%\Documents\GitHub\eaglep3\Utilities\DownloadLogsFromS3.py --loco 4054 --day 2017-07-19</v>
      </c>
      <c r="AF18" s="1"/>
    </row>
    <row r="19" spans="1:32" x14ac:dyDescent="0.25">
      <c r="A19" s="31">
        <v>42936.019606481481</v>
      </c>
      <c r="B19" s="30" t="s">
        <v>468</v>
      </c>
      <c r="C19" s="30" t="s">
        <v>643</v>
      </c>
      <c r="D19" s="30" t="s">
        <v>49</v>
      </c>
      <c r="E19" s="30" t="s">
        <v>554</v>
      </c>
      <c r="F19" s="42">
        <v>0</v>
      </c>
      <c r="G19" s="42">
        <v>132</v>
      </c>
      <c r="H19" s="42">
        <v>232294</v>
      </c>
      <c r="I19" s="42">
        <v>232116</v>
      </c>
      <c r="J19" s="30" t="s">
        <v>555</v>
      </c>
      <c r="K19" s="42">
        <v>231650</v>
      </c>
      <c r="L19" s="131" t="s">
        <v>51</v>
      </c>
      <c r="M19" s="132">
        <f>CONVERT((I19-K19)/10000,"mi","ft")*IF(L19="Increasing Mileposts (1)",-1,1)</f>
        <v>246.048</v>
      </c>
      <c r="N19" s="133" t="str">
        <f>VLOOKUP(C19,'Trips&amp;Operators'!$C$1:$G$99999,5,FALSE)</f>
        <v>HAITHCOX MICHAEL</v>
      </c>
      <c r="O19" s="203" t="s">
        <v>434</v>
      </c>
      <c r="P19" s="134" t="s">
        <v>1043</v>
      </c>
      <c r="Q19" s="30"/>
      <c r="R19" s="81" t="str">
        <f>VLOOKUP(C19,'Train Runs'!$A$13:$AE$9925,31,0)</f>
        <v>aws s3 cp s3://rtdc.mdm.uploadarchive.raw/RTDC4031/ "%USERPROFILE%\AppData\Local\Temp\OnboardLogs"\RTDC4031\2017-07-20 --exclude "*" --recursive --include "*20170720*" &amp; "%USERPROFILE%\Documents\GitHub\mrs-test-scripts\Headless Mode &amp; Sideloading\WalkAndUnGZ.bat" "%USERPROFILE%\AppData\Local\Temp\OnboardLogs"\RTDC4031\2017-07-20 &amp; aws s3 cp s3://rtdc.mdm.uploadarchive.raw/RTDC4031/ "%USERPROFILE%\AppData\Local\Temp\OnboardLogs"\RTDC4031\2017-07-21 --exclude "*" --recursive --include "*20170721*" &amp; "%USERPROFILE%\Documents\GitHub\mrs-test-scripts\Headless Mode &amp; Sideloading\WalkAndUnGZ.bat" "%USERPROFILE%\AppData\Local\Temp\OnboardLogs"\RTDC4031\2017-07-21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-07-19T23:23:43-0600',mode:absolute,to:'2017-07-20T02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/stypes="*4031*201707200*" /stext=" 06:.+((SYSTEM_STATE.+slice.+state.+changed )|(ment ac)|(multiple cpu faults)|(system.+state.+changed )|(\[timeout)|(PRM\|1\|D)|(kpr)|(kdp)|(train st.+moving)|(\|lc)|(penalty))"</v>
      </c>
      <c r="U19" s="9" t="str">
        <f>MID(B19,13,4)</f>
        <v>4031</v>
      </c>
      <c r="V19" s="31">
        <f>A19-utc_offset/24</f>
        <v>42936.269606481481</v>
      </c>
      <c r="W19" s="45" t="str">
        <f>DetSubdiv(C19)</f>
        <v>EC</v>
      </c>
      <c r="X19" s="22">
        <f>VALUE(LEFT(C19,LEN(C19)-3))</f>
        <v>240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{"issue":{"subject":"Minor onboard in-route failure caused switch unknown banner","project_id":79,"tracker_id":40,"status_id":1,"priority_id":2,"assigned_to_id":23,"start_date":"2017-07-20","description":"","custom_fields":[{"id":1,"name":"Subdivision","value":"EC"},{"id":4,"name":"Milepost","value":"23.165"},{"id":17,"name":"Train ID","value":"240-19"},{"id":16,"name":"Locomotive ID","value":"4031"},{"id":130,"name":"Impact","value":""},{"id":150,"name":"Time of Event (Mountain Time)","value":"00:28:14"},{"id":151,"name":"Denver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/c/Users/stu/AppData/Local/Temp/OnboardLogs/RTDC4031 --include="*4031*201707200*"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"%USERPROFILE%\AppData\Local\Temp\OnboardLogs"\RTDC4031\*4031*201707200* &gt;&gt; 2017-07-19-SliceDisagreementCheck.txt</v>
      </c>
      <c r="AE19" s="145" t="str">
        <f t="shared" si="1"/>
        <v>start /low /b %USERPROFILE%\Documents\GitHub\eaglep3\Utilities\DownloadLogsFromS3.py --loco 4031 --day 2017-07-20</v>
      </c>
      <c r="AF19" s="1"/>
    </row>
    <row r="20" spans="1:32" x14ac:dyDescent="0.25">
      <c r="A20" s="31">
        <v>42935.388124999998</v>
      </c>
      <c r="B20" s="30" t="s">
        <v>336</v>
      </c>
      <c r="C20" s="30" t="s">
        <v>615</v>
      </c>
      <c r="D20" s="30" t="s">
        <v>49</v>
      </c>
      <c r="E20" s="30" t="s">
        <v>181</v>
      </c>
      <c r="F20" s="42">
        <v>0</v>
      </c>
      <c r="G20" s="42">
        <v>120</v>
      </c>
      <c r="H20" s="42">
        <v>233006</v>
      </c>
      <c r="I20" s="42">
        <v>233174</v>
      </c>
      <c r="J20" s="30" t="s">
        <v>182</v>
      </c>
      <c r="K20" s="42">
        <v>233491</v>
      </c>
      <c r="L20" s="131" t="s">
        <v>50</v>
      </c>
      <c r="M20" s="132">
        <f>CONVERT((I20-K20)/10000,"mi","ft")*IF(L20="Increasing Mileposts (1)",-1,1)</f>
        <v>167.376</v>
      </c>
      <c r="N20" s="133" t="str">
        <f>VLOOKUP(C20,'Trips&amp;Operators'!$C$1:$G$99999,5,FALSE)</f>
        <v>ELBAUM MIKE</v>
      </c>
      <c r="O20" s="203" t="s">
        <v>180</v>
      </c>
      <c r="P20" s="134"/>
      <c r="Q20" s="30"/>
      <c r="R20" s="81" t="str">
        <f>VLOOKUP(C20,'Train Runs'!$A$13:$AE$9925,31,0)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-07-19T07:25:10-0600',mode:absolute,to:'2017-07-19T10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/stypes="*4028*201707191*" /stext=" 15:.+((SYSTEM_STATE.+slice.+state.+changed )|(ment ac)|(multiple cpu faults)|(system.+state.+changed )|(\[timeout)|(PRM\|1\|D)|(kpr)|(kdp)|(train st.+moving)|(\|lc)|(penalty))"</v>
      </c>
      <c r="U20" s="9" t="str">
        <f>MID(B20,13,4)</f>
        <v>4028</v>
      </c>
      <c r="V20" s="31">
        <f>A20-utc_offset/24</f>
        <v>42935.638124999998</v>
      </c>
      <c r="W20" s="45" t="str">
        <f>DetSubdiv(C20)</f>
        <v>EC</v>
      </c>
      <c r="X20" s="22">
        <f>VALUE(LEFT(C20,LEN(C20)-3))</f>
        <v>139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ID","value":"139-19"},{"id":16,"name":"Locomotive ID","value":"4028"},{"id":130,"name":"Impact","value":""},{"id":150,"name":"Time of Event (Mountain Time)","value":"09:18:54"},{"id":151,"name":"Denver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/c/Users/stu/AppData/Local/Temp/OnboardLogs/RTDC4028 --include="*4028*201707191*"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"%USERPROFILE%\AppData\Local\Temp\OnboardLogs"\RTDC4028\*4028*201707191* &gt;&gt; 2017-07-19-SliceDisagreementCheck.txt</v>
      </c>
      <c r="AE20" s="145" t="str">
        <f t="shared" si="1"/>
        <v>start /low /b %USERPROFILE%\Documents\GitHub\eaglep3\Utilities\DownloadLogsFromS3.py --loco 4028 --day 2017-07-19</v>
      </c>
      <c r="AF20" s="1"/>
    </row>
    <row r="21" spans="1:32" x14ac:dyDescent="0.25">
      <c r="A21" s="31">
        <v>42935.538935185185</v>
      </c>
      <c r="B21" s="30" t="s">
        <v>352</v>
      </c>
      <c r="C21" s="30" t="s">
        <v>628</v>
      </c>
      <c r="D21" s="30" t="s">
        <v>49</v>
      </c>
      <c r="E21" s="30" t="s">
        <v>181</v>
      </c>
      <c r="F21" s="42">
        <v>0</v>
      </c>
      <c r="G21" s="42">
        <v>34</v>
      </c>
      <c r="H21" s="42">
        <v>233385</v>
      </c>
      <c r="I21" s="42">
        <v>233403</v>
      </c>
      <c r="J21" s="30" t="s">
        <v>182</v>
      </c>
      <c r="K21" s="42">
        <v>233491</v>
      </c>
      <c r="L21" s="131" t="s">
        <v>50</v>
      </c>
      <c r="M21" s="132">
        <f>CONVERT((I21-K21)/10000,"mi","ft")*IF(L21="Increasing Mileposts (1)",-1,1)</f>
        <v>46.463999999999999</v>
      </c>
      <c r="N21" s="133" t="str">
        <f>VLOOKUP(C21,'Trips&amp;Operators'!$C$1:$G$99999,5,FALSE)</f>
        <v>DELGADO DIANAH</v>
      </c>
      <c r="O21" s="203" t="s">
        <v>180</v>
      </c>
      <c r="P21" s="134"/>
      <c r="Q21" s="30"/>
      <c r="R21" s="81" t="str">
        <f>VLOOKUP(C21,'Train Runs'!$A$13:$AE$9925,31,0)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-07-19T11:10:14-0600',mode:absolute,to:'2017-07-19T13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/stypes="*4042*201707191*" /stext=" 18:.+((SYSTEM_STATE.+slice.+state.+changed )|(ment ac)|(multiple cpu faults)|(system.+state.+changed )|(\[timeout)|(PRM\|1\|D)|(kpr)|(kdp)|(train st.+moving)|(\|lc)|(penalty))"</v>
      </c>
      <c r="U21" s="9" t="str">
        <f>MID(B21,13,4)</f>
        <v>4042</v>
      </c>
      <c r="V21" s="31">
        <f>A21-utc_offset/24</f>
        <v>42935.788935185185</v>
      </c>
      <c r="W21" s="45" t="str">
        <f>DetSubdiv(C21)</f>
        <v>EC</v>
      </c>
      <c r="X21" s="22">
        <f>VALUE(LEFT(C21,LEN(C21)-3))</f>
        <v>169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ID","value":"169-19"},{"id":16,"name":"Locomotive ID","value":"4042"},{"id":130,"name":"Impact","value":""},{"id":150,"name":"Time of Event (Mountain Time)","value":"12:56:04"},{"id":151,"name":"Denver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/c/Users/stu/AppData/Local/Temp/OnboardLogs/RTDC4042 --include="*4042*201707191*"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"%USERPROFILE%\AppData\Local\Temp\OnboardLogs"\RTDC4042\*4042*201707191* &gt;&gt; 2017-07-19-SliceDisagreementCheck.txt</v>
      </c>
      <c r="AE21" s="145" t="str">
        <f t="shared" si="1"/>
        <v>start /low /b %USERPROFILE%\Documents\GitHub\eaglep3\Utilities\DownloadLogsFromS3.py --loco 4042 --day 2017-07-19</v>
      </c>
      <c r="AF21" s="1"/>
    </row>
    <row r="22" spans="1:32" x14ac:dyDescent="0.25">
      <c r="A22" s="31">
        <v>42935.598090277781</v>
      </c>
      <c r="B22" s="30" t="s">
        <v>336</v>
      </c>
      <c r="C22" s="30" t="s">
        <v>630</v>
      </c>
      <c r="D22" s="30" t="s">
        <v>49</v>
      </c>
      <c r="E22" s="30" t="s">
        <v>181</v>
      </c>
      <c r="F22" s="42">
        <v>0</v>
      </c>
      <c r="G22" s="42">
        <v>32</v>
      </c>
      <c r="H22" s="42">
        <v>233414</v>
      </c>
      <c r="I22" s="42">
        <v>233439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27.456</v>
      </c>
      <c r="N22" s="133" t="str">
        <f>VLOOKUP(C22,'Trips&amp;Operators'!$C$1:$G$99999,5,FALSE)</f>
        <v>LEVIN SCOTT</v>
      </c>
      <c r="O22" s="203" t="s">
        <v>180</v>
      </c>
      <c r="P22" s="134"/>
      <c r="Q22" s="30"/>
      <c r="R22" s="81" t="str">
        <f>VLOOKUP(C22,'Train Runs'!$A$13:$AE$9925,31,0)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-07-19T12:40:48-0600',mode:absolute,to:'2017-07-19T15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/stypes="*4028*201707192*" /stext=" 20:.+((SYSTEM_STATE.+slice.+state.+changed )|(ment ac)|(multiple cpu faults)|(system.+state.+changed )|(\[timeout)|(PRM\|1\|D)|(kpr)|(kdp)|(train st.+moving)|(\|lc)|(penalty))"</v>
      </c>
      <c r="U22" s="9" t="str">
        <f>MID(B22,13,4)</f>
        <v>4028</v>
      </c>
      <c r="V22" s="31">
        <f>A22-utc_offset/24</f>
        <v>42935.848090277781</v>
      </c>
      <c r="W22" s="45" t="str">
        <f>DetSubdiv(C22)</f>
        <v>EC</v>
      </c>
      <c r="X22" s="22">
        <f>VALUE(LEFT(C22,LEN(C22)-3))</f>
        <v>181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ID","value":"181-19"},{"id":16,"name":"Locomotive ID","value":"4028"},{"id":130,"name":"Impact","value":""},{"id":150,"name":"Time of Event (Mountain Time)","value":"14:21:15"},{"id":151,"name":"Denver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/c/Users/stu/AppData/Local/Temp/OnboardLogs/RTDC4028 --include="*4028*201707192*"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"%USERPROFILE%\AppData\Local\Temp\OnboardLogs"\RTDC4028\*4028*201707192* &gt;&gt; 2017-07-19-SliceDisagreementCheck.txt</v>
      </c>
      <c r="AE22" s="145" t="str">
        <f t="shared" si="1"/>
        <v>start /low /b %USERPROFILE%\Documents\GitHub\eaglep3\Utilities\DownloadLogsFromS3.py --loco 4028 --day 2017-07-19</v>
      </c>
      <c r="AF22" s="1"/>
    </row>
    <row r="23" spans="1:32" x14ac:dyDescent="0.25">
      <c r="A23" s="31">
        <v>42935.723009259258</v>
      </c>
      <c r="B23" s="30" t="s">
        <v>626</v>
      </c>
      <c r="C23" s="30" t="s">
        <v>633</v>
      </c>
      <c r="D23" s="30" t="s">
        <v>49</v>
      </c>
      <c r="E23" s="30" t="s">
        <v>181</v>
      </c>
      <c r="F23" s="42">
        <v>0</v>
      </c>
      <c r="G23" s="42">
        <v>32</v>
      </c>
      <c r="H23" s="42">
        <v>233368</v>
      </c>
      <c r="I23" s="42">
        <v>233387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54.911999999999999</v>
      </c>
      <c r="N23" s="133" t="str">
        <f>VLOOKUP(C23,'Trips&amp;Operators'!$C$1:$G$99999,5,FALSE)</f>
        <v>PAGE MARCUS</v>
      </c>
      <c r="O23" s="203" t="s">
        <v>180</v>
      </c>
      <c r="P23" s="134"/>
      <c r="Q23" s="30"/>
      <c r="R23" s="81" t="str">
        <f>VLOOKUP(C23,'Train Runs'!$A$13:$AE$9925,31,0)</f>
        <v>aws s3 cp s3://rtdc.mdm.uploadarchive.raw/RTDC4030/ "%USERPROFILE%\AppData\Local\Temp\OnboardLogs"\RTDC4030\2017-07-19 --exclude "*" --recursive --include "*20170719*" &amp; "%USERPROFILE%\Documents\GitHub\mrs-test-scripts\Headless Mode &amp; Sideloading\WalkAndUnGZ.bat" "%USERPROFILE%\AppData\Local\Temp\OnboardLogs"\RTDC4030\2017-07-19 &amp; aws s3 cp s3://rtdc.mdm.uploadarchive.raw/RTDC4030/ "%USERPROFILE%\AppData\Local\Temp\OnboardLogs"\RTDC4030\2017-07-20 --exclude "*" --recursive --include "*20170720*" &amp; "%USERPROFILE%\Documents\GitHub\mrs-test-scripts\Headless Mode &amp; Sideloading\WalkAndUnGZ.bat" "%USERPROFILE%\AppData\Local\Temp\OnboardLogs"\RTDC4030\2017-07-20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-07-19T15:41:58-0600',mode:absolute,to:'2017-07-19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/stypes="*4030*201707192*" /stext=" 23:.+((SYSTEM_STATE.+slice.+state.+changed )|(ment ac)|(multiple cpu faults)|(system.+state.+changed )|(\[timeout)|(PRM\|1\|D)|(kpr)|(kdp)|(train st.+moving)|(\|lc)|(penalty))"</v>
      </c>
      <c r="U23" s="9" t="str">
        <f>MID(B23,13,4)</f>
        <v>4030</v>
      </c>
      <c r="V23" s="31">
        <f>A23-utc_offset/24</f>
        <v>42935.973009259258</v>
      </c>
      <c r="W23" s="45" t="str">
        <f>DetSubdiv(C23)</f>
        <v>EC</v>
      </c>
      <c r="X23" s="22">
        <f>VALUE(LEFT(C23,LEN(C23)-3))</f>
        <v>205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ID","value":"205-19"},{"id":16,"name":"Locomotive ID","value":"4030"},{"id":130,"name":"Impact","value":""},{"id":150,"name":"Time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/c/Users/stu/AppData/Local/Temp/OnboardLogs/RTDC4030 --include="*4030*201707192*"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"%USERPROFILE%\AppData\Local\Temp\OnboardLogs"\RTDC4030\*4030*201707192* &gt;&gt; 2017-07-19-SliceDisagreementCheck.txt</v>
      </c>
      <c r="AE23" s="145" t="str">
        <f t="shared" si="1"/>
        <v>start /low /b %USERPROFILE%\Documents\GitHub\eaglep3\Utilities\DownloadLogsFromS3.py --loco 4030 --day 2017-07-19</v>
      </c>
      <c r="AF23" s="1"/>
    </row>
    <row r="24" spans="1:32" x14ac:dyDescent="0.25">
      <c r="A24" s="31">
        <v>42935.745162037034</v>
      </c>
      <c r="B24" s="30" t="s">
        <v>336</v>
      </c>
      <c r="C24" s="30" t="s">
        <v>634</v>
      </c>
      <c r="D24" s="30" t="s">
        <v>49</v>
      </c>
      <c r="E24" s="30" t="s">
        <v>181</v>
      </c>
      <c r="F24" s="42">
        <v>0</v>
      </c>
      <c r="G24" s="42">
        <v>21</v>
      </c>
      <c r="H24" s="42">
        <v>233456</v>
      </c>
      <c r="I24" s="42">
        <v>233472</v>
      </c>
      <c r="J24" s="30" t="s">
        <v>182</v>
      </c>
      <c r="K24" s="42">
        <v>233491</v>
      </c>
      <c r="L24" s="131" t="s">
        <v>50</v>
      </c>
      <c r="M24" s="132">
        <f>CONVERT((I24-K24)/10000,"mi","ft")*IF(L24="Increasing Mileposts (1)",-1,1)</f>
        <v>10.032</v>
      </c>
      <c r="N24" s="133" t="str">
        <f>VLOOKUP(C24,'Trips&amp;Operators'!$C$1:$G$99999,5,FALSE)</f>
        <v>LEVIN SCOTT</v>
      </c>
      <c r="O24" s="203" t="s">
        <v>180</v>
      </c>
      <c r="P24" s="134"/>
      <c r="Q24" s="30"/>
      <c r="R24" s="81" t="str">
        <f>VLOOKUP(C24,'Train Runs'!$A$13:$AE$9925,31,0)</f>
        <v>aws s3 cp s3://rtdc.mdm.uploadarchive.raw/RTDC4028/ "%USERPROFILE%\AppData\Local\Temp\OnboardLogs"\RTDC4028\2017-07-19 --exclude "*" --recursive --include "*20170719*" &amp; "%USERPROFILE%\Documents\GitHub\mrs-test-scripts\Headless Mode &amp; Sideloading\WalkAndUnGZ.bat" "%USERPROFILE%\AppData\Local\Temp\OnboardLogs"\RTDC4028\2017-07-19 &amp; aws s3 cp s3://rtdc.mdm.uploadarchive.raw/RTDC4028/ "%USERPROFILE%\AppData\Local\Temp\OnboardLogs"\RTDC4028\2017-07-20 --exclude "*" --recursive --include "*20170720*" &amp; "%USERPROFILE%\Documents\GitHub\mrs-test-scripts\Headless Mode &amp; Sideloading\WalkAndUnGZ.bat" "%USERPROFILE%\AppData\Local\Temp\OnboardLogs"\RTDC4028\2017-07-20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-07-19T16:08:49-0600',mode:absolute,to:'2017-07-19T18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/stypes="*4028*201707192*" /stext=" 23:.+((SYSTEM_STATE.+slice.+state.+changed )|(ment ac)|(multiple cpu faults)|(system.+state.+changed )|(\[timeout)|(PRM\|1\|D)|(kpr)|(kdp)|(train st.+moving)|(\|lc)|(penalty))"</v>
      </c>
      <c r="U24" s="9" t="str">
        <f>MID(B24,13,4)</f>
        <v>4028</v>
      </c>
      <c r="V24" s="31">
        <f>A24-utc_offset/24</f>
        <v>42935.995162037034</v>
      </c>
      <c r="W24" s="45" t="str">
        <f>DetSubdiv(C24)</f>
        <v>EC</v>
      </c>
      <c r="X24" s="22">
        <f>VALUE(LEFT(C24,LEN(C24)-3))</f>
        <v>209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ID","value":"209-19"},{"id":16,"name":"Locomotive ID","value":"4028"},{"id":130,"name":"Impact","value":""},{"id":150,"name":"Time of Event (Mountain Time)","value":"17:53:02"},{"id":151,"name":"Denver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/c/Users/stu/AppData/Local/Temp/OnboardLogs/RTDC4028 --include="*4028*201707192*"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"%USERPROFILE%\AppData\Local\Temp\OnboardLogs"\RTDC4028\*4028*201707192* &gt;&gt; 2017-07-19-SliceDisagreementCheck.txt</v>
      </c>
      <c r="AE24" s="145" t="str">
        <f t="shared" si="1"/>
        <v>start /low /b %USERPROFILE%\Documents\GitHub\eaglep3\Utilities\DownloadLogsFromS3.py --loco 4028 --day 2017-07-19</v>
      </c>
      <c r="AF24" s="1"/>
    </row>
    <row r="25" spans="1:32" x14ac:dyDescent="0.25">
      <c r="A25" s="31">
        <v>42935.754027777781</v>
      </c>
      <c r="B25" s="30" t="s">
        <v>352</v>
      </c>
      <c r="C25" s="30" t="s">
        <v>637</v>
      </c>
      <c r="D25" s="30" t="s">
        <v>49</v>
      </c>
      <c r="E25" s="30" t="s">
        <v>181</v>
      </c>
      <c r="F25" s="42">
        <v>0</v>
      </c>
      <c r="G25" s="42">
        <v>47</v>
      </c>
      <c r="H25" s="42">
        <v>233397</v>
      </c>
      <c r="I25" s="42">
        <v>233429</v>
      </c>
      <c r="J25" s="30" t="s">
        <v>182</v>
      </c>
      <c r="K25" s="42">
        <v>233491</v>
      </c>
      <c r="L25" s="131" t="s">
        <v>50</v>
      </c>
      <c r="M25" s="132">
        <f>CONVERT((I25-K25)/10000,"mi","ft")*IF(L25="Increasing Mileposts (1)",-1,1)</f>
        <v>32.735999999999997</v>
      </c>
      <c r="N25" s="133" t="str">
        <f>VLOOKUP(C25,'Trips&amp;Operators'!$C$1:$G$99999,5,FALSE)</f>
        <v>DELGADO DIANAH</v>
      </c>
      <c r="O25" s="203" t="s">
        <v>180</v>
      </c>
      <c r="P25" s="134"/>
      <c r="Q25" s="30"/>
      <c r="R25" s="81" t="str">
        <f>VLOOKUP(C25,'Train Runs'!$A$13:$AE$9925,31,0)</f>
        <v>aws s3 cp s3://rtdc.mdm.uploadarchive.raw/RTDC4042/ "%USERPROFILE%\AppData\Local\Temp\OnboardLogs"\RTDC4042\2017-07-19 --exclude "*" --recursive --include "*20170719*" &amp; "%USERPROFILE%\Documents\GitHub\mrs-test-scripts\Headless Mode &amp; Sideloading\WalkAndUnGZ.bat" "%USERPROFILE%\AppData\Local\Temp\OnboardLogs"\RTDC4042\2017-07-19 &amp; aws s3 cp s3://rtdc.mdm.uploadarchive.raw/RTDC4042/ "%USERPROFILE%\AppData\Local\Temp\OnboardLogs"\RTDC4042\2017-07-20 --exclude "*" --recursive --include "*20170720*" &amp; "%USERPROFILE%\Documents\GitHub\mrs-test-scripts\Headless Mode &amp; Sideloading\WalkAndUnGZ.bat" "%USERPROFILE%\AppData\Local\Temp\OnboardLogs"\RTDC4042\2017-07-20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-07-19T16:23:59-0600',mode:absolute,to:'2017-07-19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/stypes="*4042*201707200*" /stext=" 00:.+((SYSTEM_STATE.+slice.+state.+changed )|(ment ac)|(multiple cpu faults)|(system.+state.+changed )|(\[timeout)|(PRM\|1\|D)|(kpr)|(kdp)|(train st.+moving)|(\|lc)|(penalty))"</v>
      </c>
      <c r="U25" s="9" t="str">
        <f>MID(B25,13,4)</f>
        <v>4042</v>
      </c>
      <c r="V25" s="31">
        <f>A25-utc_offset/24</f>
        <v>42936.004027777781</v>
      </c>
      <c r="W25" s="45" t="str">
        <f>DetSubdiv(C25)</f>
        <v>EC</v>
      </c>
      <c r="X25" s="22">
        <f>VALUE(LEFT(C25,LEN(C25)-3))</f>
        <v>211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ID","value":"211-19"},{"id":16,"name":"Locomotive ID","value":"4042"},{"id":130,"name":"Impact","value":""},{"id":150,"name":"Time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/c/Users/stu/AppData/Local/Temp/OnboardLogs/RTDC4042 --include="*4042*201707200*"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"%USERPROFILE%\AppData\Local\Temp\OnboardLogs"\RTDC4042\*4042*201707200* &gt;&gt; 2017-07-19-SliceDisagreementCheck.txt</v>
      </c>
      <c r="AE25" s="145" t="str">
        <f t="shared" si="1"/>
        <v>start /low /b %USERPROFILE%\Documents\GitHub\eaglep3\Utilities\DownloadLogsFromS3.py --loco 4042 --day 2017-07-20</v>
      </c>
      <c r="AF25" s="1"/>
    </row>
    <row r="26" spans="1:32" x14ac:dyDescent="0.25">
      <c r="A26" s="31">
        <v>42935.787164351852</v>
      </c>
      <c r="B26" s="30" t="s">
        <v>499</v>
      </c>
      <c r="C26" s="30" t="s">
        <v>640</v>
      </c>
      <c r="D26" s="30" t="s">
        <v>49</v>
      </c>
      <c r="E26" s="30" t="s">
        <v>181</v>
      </c>
      <c r="F26" s="42">
        <v>0</v>
      </c>
      <c r="G26" s="42">
        <v>75</v>
      </c>
      <c r="H26" s="42">
        <v>233207</v>
      </c>
      <c r="I26" s="42">
        <v>233288</v>
      </c>
      <c r="J26" s="30" t="s">
        <v>182</v>
      </c>
      <c r="K26" s="42">
        <v>233491</v>
      </c>
      <c r="L26" s="131" t="s">
        <v>50</v>
      </c>
      <c r="M26" s="132">
        <f>CONVERT((I26-K26)/10000,"mi","ft")*IF(L26="Increasing Mileposts (1)",-1,1)</f>
        <v>107.184</v>
      </c>
      <c r="N26" s="133" t="str">
        <f>VLOOKUP(C26,'Trips&amp;Operators'!$C$1:$G$99999,5,FALSE)</f>
        <v>CASSIDY BRANDON</v>
      </c>
      <c r="O26" s="203" t="s">
        <v>180</v>
      </c>
      <c r="P26" s="134"/>
      <c r="Q26" s="30"/>
      <c r="R26" s="81" t="str">
        <f>VLOOKUP(C26,'Train Runs'!$A$13:$AE$9925,31,0)</f>
        <v>aws s3 cp s3://rtdc.mdm.uploadarchive.raw/RTDC4054/ "%USERPROFILE%\AppData\Local\Temp\OnboardLogs"\RTDC4054\2017-07-19 --exclude "*" --recursive --include "*20170719*" &amp; "%USERPROFILE%\Documents\GitHub\mrs-test-scripts\Headless Mode &amp; Sideloading\WalkAndUnGZ.bat" "%USERPROFILE%\AppData\Local\Temp\OnboardLogs"\RTDC4054\2017-07-19 &amp; aws s3 cp s3://rtdc.mdm.uploadarchive.raw/RTDC4054/ "%USERPROFILE%\AppData\Local\Temp\OnboardLogs"\RTDC4054\2017-07-20 --exclude "*" --recursive --include "*20170720*" &amp; "%USERPROFILE%\Documents\GitHub\mrs-test-scripts\Headless Mode &amp; Sideloading\WalkAndUnGZ.bat" "%USERPROFILE%\AppData\Local\Temp\OnboardLogs"\RTDC4054\2017-07-20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-07-19T17:14:35-0600',mode:absolute,to:'2017-07-19T19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/stypes="*4054*201707200*" /stext=" 00:.+((SYSTEM_STATE.+slice.+state.+changed )|(ment ac)|(multiple cpu faults)|(system.+state.+changed )|(\[timeout)|(PRM\|1\|D)|(kpr)|(kdp)|(train st.+moving)|(\|lc)|(penalty))"</v>
      </c>
      <c r="U26" s="9" t="str">
        <f>MID(B26,13,4)</f>
        <v>4054</v>
      </c>
      <c r="V26" s="31">
        <f>A26-utc_offset/24</f>
        <v>42936.037164351852</v>
      </c>
      <c r="W26" s="45" t="str">
        <f>DetSubdiv(C26)</f>
        <v>EC</v>
      </c>
      <c r="X26" s="22">
        <f>VALUE(LEFT(C26,LEN(C26)-3))</f>
        <v>217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{"issue":{"subject":"","project_id":79,"tracker_id":40,"status_id":1,"priority_id":2,"assigned_to_id":23,"start_date":"2017-07-19","description":"","custom_fields":[{"id":1,"name":"Subdivision","value":"EC"},{"id":4,"name":"Milepost","value":"23.3491"},{"id":17,"name":"Train ID","value":"217-19"},{"id":16,"name":"Locomotive ID","value":"4054"},{"id":130,"name":"Impact","value":""},{"id":150,"name":"Time of Event (Mountain Time)","value":"18:53:31"},{"id":151,"name":"Denver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/c/Users/stu/AppData/Local/Temp/OnboardLogs/RTDC4054 --include="*4054*201707200*"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"%USERPROFILE%\AppData\Local\Temp\OnboardLogs"\RTDC4054\*4054*201707200* &gt;&gt; 2017-07-19-SliceDisagreementCheck.txt</v>
      </c>
      <c r="AE26" s="145" t="str">
        <f t="shared" si="1"/>
        <v>start /low /b %USERPROFILE%\Documents\GitHub\eaglep3\Utilities\DownloadLogsFromS3.py --loco 4054 --day 2017-07-20</v>
      </c>
      <c r="AF26" s="1"/>
    </row>
    <row r="27" spans="1:32" s="20" customFormat="1" x14ac:dyDescent="0.25">
      <c r="A27" s="31">
        <v>42935.392245370371</v>
      </c>
      <c r="B27" s="30" t="s">
        <v>616</v>
      </c>
      <c r="C27" s="30" t="s">
        <v>617</v>
      </c>
      <c r="D27" s="30" t="s">
        <v>96</v>
      </c>
      <c r="E27" s="30" t="s">
        <v>187</v>
      </c>
      <c r="F27" s="42">
        <v>130</v>
      </c>
      <c r="G27" s="42">
        <v>188</v>
      </c>
      <c r="H27" s="42">
        <v>10814</v>
      </c>
      <c r="I27" s="42">
        <v>11182</v>
      </c>
      <c r="J27" s="30" t="s">
        <v>188</v>
      </c>
      <c r="K27" s="42">
        <v>10716</v>
      </c>
      <c r="L27" s="131" t="s">
        <v>50</v>
      </c>
      <c r="M27" s="132">
        <f>CONVERT((I27-K27)/10000,"mi","ft")*IF(L27="Increasing Mileposts (1)",-1,1)</f>
        <v>-246.048</v>
      </c>
      <c r="N27" s="133" t="str">
        <f>VLOOKUP(C27,'Trips&amp;Operators'!$C$1:$G$99999,5,FALSE)</f>
        <v>NICHOLSON WESLEY</v>
      </c>
      <c r="O27" s="203" t="s">
        <v>180</v>
      </c>
      <c r="P27" s="134" t="s">
        <v>417</v>
      </c>
      <c r="Q27" s="30"/>
      <c r="R27" s="81" t="str">
        <f>VLOOKUP(C27,'Train Runs'!$A$13:$AE$9925,31,0)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-07-19T07:57:30-0600',mode:absolute,to:'2017-07-19T10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/stypes="*4056*201707191*" /stext=" 15:.+((SYSTEM_STATE.+slice.+state.+changed )|(ment ac)|(multiple cpu faults)|(system.+state.+changed )|(\[timeout)|(PRM\|1\|D)|(kpr)|(kdp)|(train st.+moving)|(\|lc)|(penalty))"</v>
      </c>
      <c r="U27" s="9" t="str">
        <f>MID(B27,13,4)</f>
        <v>4056</v>
      </c>
      <c r="V27" s="31">
        <f>A27-utc_offset/24</f>
        <v>42935.642245370371</v>
      </c>
      <c r="W27" s="45" t="str">
        <f>DetSubdiv(C27)</f>
        <v>NW</v>
      </c>
      <c r="X27" s="22">
        <f>VALUE(LEFT(C27,LEN(C27)-3))</f>
        <v>813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arrival","project_id":79,"tracker_id":40,"status_id":1,"priority_id":2,"assigned_to_id":23,"start_date":"2017-07-19","description":"","custom_fields":[{"id":1,"name":"Subdivision","value":"NW"},{"id":4,"name":"Milepost","value":"1.0716"},{"id":17,"name":"Train ID","value":"813-19"},{"id":16,"name":"Locomotive ID","value":"4056"},{"id":130,"name":"Impact","value":""},{"id":150,"name":"Time of Event (Mountain Time)","value":"09:24:50"},{"id":151,"name":"Denver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/c/Users/stu/AppData/Local/Temp/OnboardLogs/RTDC4056 --include="*4056*201707191*"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"%USERPROFILE%\AppData\Local\Temp\OnboardLogs"\RTDC4056\*4056*201707191* &gt;&gt; 2017-07-19-SliceDisagreementCheck.txt</v>
      </c>
      <c r="AE27" s="145" t="str">
        <f t="shared" si="1"/>
        <v>start /low /b %USERPROFILE%\Documents\GitHub\eaglep3\Utilities\DownloadLogsFromS3.py --loco 4056 --day 2017-07-19</v>
      </c>
      <c r="AF27" s="1"/>
    </row>
    <row r="28" spans="1:32" x14ac:dyDescent="0.25">
      <c r="A28" s="31">
        <v>42935.454907407409</v>
      </c>
      <c r="B28" s="30" t="s">
        <v>622</v>
      </c>
      <c r="C28" s="30" t="s">
        <v>623</v>
      </c>
      <c r="D28" s="30" t="s">
        <v>49</v>
      </c>
      <c r="E28" s="30" t="s">
        <v>181</v>
      </c>
      <c r="F28" s="42">
        <v>0</v>
      </c>
      <c r="G28" s="42">
        <v>65</v>
      </c>
      <c r="H28" s="42">
        <v>773</v>
      </c>
      <c r="I28" s="42">
        <v>701</v>
      </c>
      <c r="J28" s="30" t="s">
        <v>182</v>
      </c>
      <c r="K28" s="42">
        <v>575</v>
      </c>
      <c r="L28" s="131" t="s">
        <v>51</v>
      </c>
      <c r="M28" s="132">
        <f>CONVERT((I28-K28)/10000,"mi","ft")*IF(L28="Increasing Mileposts (1)",-1,1)</f>
        <v>66.528000000000006</v>
      </c>
      <c r="N28" s="133" t="str">
        <f>VLOOKUP(C28,'Trips&amp;Operators'!$C$1:$G$99999,5,FALSE)</f>
        <v>NICHOLSON WESLEY</v>
      </c>
      <c r="O28" s="203" t="s">
        <v>180</v>
      </c>
      <c r="P28" s="134"/>
      <c r="Q28" s="30"/>
      <c r="R28" s="81" t="str">
        <f>VLOOKUP(C28,'Train Runs'!$A$13:$AE$9925,31,0)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-07-19T09:37:25-0600',mode:absolute,to:'2017-07-19T11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/stypes="*4055*201707191*" /stext=" 16:.+((SYSTEM_STATE.+slice.+state.+changed )|(ment ac)|(multiple cpu faults)|(system.+state.+changed )|(\[timeout)|(PRM\|1\|D)|(kpr)|(kdp)|(train st.+moving)|(\|lc)|(penalty))"</v>
      </c>
      <c r="U28" s="9" t="str">
        <f>MID(B28,13,4)</f>
        <v>4055</v>
      </c>
      <c r="V28" s="31">
        <f>A28-utc_offset/24</f>
        <v>42935.704907407409</v>
      </c>
      <c r="W28" s="45" t="str">
        <f>DetSubdiv(C28)</f>
        <v>NW</v>
      </c>
      <c r="X28" s="22">
        <f>VALUE(LEFT(C28,LEN(C28)-3))</f>
        <v>816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{"issue":{"subject":"","project_id":79,"tracker_id":40,"status_id":1,"priority_id":2,"assigned_to_id":23,"start_date":"2017-07-19","description":"","custom_fields":[{"id":1,"name":"Subdivision","value":"NW"},{"id":4,"name":"Milepost","value":"0.0575"},{"id":17,"name":"Train ID","value":"816-19"},{"id":16,"name":"Locomotive ID","value":"4055"},{"id":130,"name":"Impact","value":""},{"id":150,"name":"Time of Event (Mountain Time)","value":"10:55:04"},{"id":151,"name":"Denver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/c/Users/stu/AppData/Local/Temp/OnboardLogs/RTDC4055 --include="*4055*201707191*"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"%USERPROFILE%\AppData\Local\Temp\OnboardLogs"\RTDC4055\*4055*201707191* &gt;&gt; 2017-07-19-SliceDisagreementCheck.txt</v>
      </c>
      <c r="AE28" s="145" t="str">
        <f t="shared" si="1"/>
        <v>start /low /b %USERPROFILE%\Documents\GitHub\eaglep3\Utilities\DownloadLogsFromS3.py --loco 4055 --day 2017-07-19</v>
      </c>
      <c r="AF28" s="1"/>
    </row>
    <row r="29" spans="1:32" x14ac:dyDescent="0.25">
      <c r="A29" s="31">
        <v>42935.767476851855</v>
      </c>
      <c r="B29" s="30" t="s">
        <v>638</v>
      </c>
      <c r="C29" s="30" t="s">
        <v>639</v>
      </c>
      <c r="D29" s="30" t="s">
        <v>49</v>
      </c>
      <c r="E29" s="30" t="s">
        <v>181</v>
      </c>
      <c r="F29" s="42">
        <v>0</v>
      </c>
      <c r="G29" s="42">
        <v>42</v>
      </c>
      <c r="H29" s="42">
        <v>717</v>
      </c>
      <c r="I29" s="42">
        <v>675</v>
      </c>
      <c r="J29" s="30" t="s">
        <v>182</v>
      </c>
      <c r="K29" s="42">
        <v>575</v>
      </c>
      <c r="L29" s="131" t="s">
        <v>51</v>
      </c>
      <c r="M29" s="132">
        <f>CONVERT((I29-K29)/10000,"mi","ft")*IF(L29="Increasing Mileposts (1)",-1,1)</f>
        <v>52.8</v>
      </c>
      <c r="N29" s="133" t="str">
        <f>VLOOKUP(C29,'Trips&amp;Operators'!$C$1:$G$99999,5,FALSE)</f>
        <v>BIRKHOLZ NADINE</v>
      </c>
      <c r="O29" s="203" t="s">
        <v>180</v>
      </c>
      <c r="P29" s="134"/>
      <c r="Q29" s="30"/>
      <c r="R29" s="81" t="str">
        <f>VLOOKUP(C29,'Train Runs'!$A$13:$AE$9925,31,0)</f>
        <v>aws s3 cp s3://rtdc.mdm.uploadarchive.raw/RTDC4059/ "%USERPROFILE%\AppData\Local\Temp\OnboardLogs"\RTDC4059\2017-07-19 --exclude "*" --recursive --include "*20170719*" &amp; "%USERPROFILE%\Documents\GitHub\mrs-test-scripts\Headless Mode &amp; Sideloading\WalkAndUnGZ.bat" "%USERPROFILE%\AppData\Local\Temp\OnboardLogs"\RTDC4059\2017-07-19 &amp; aws s3 cp s3://rtdc.mdm.uploadarchive.raw/RTDC4059/ "%USERPROFILE%\AppData\Local\Temp\OnboardLogs"\RTDC4059\2017-07-20 --exclude "*" --recursive --include "*20170720*" &amp; "%USERPROFILE%\Documents\GitHub\mrs-test-scripts\Headless Mode &amp; Sideloading\WalkAndUnGZ.bat" "%USERPROFILE%\AppData\Local\Temp\OnboardLogs"\RTDC4059\2017-07-20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-07-19T17:06:01-0600',mode:absolute,to:'2017-07-19T19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/stypes="*4059*201707200*" /stext=" 00:.+((SYSTEM_STATE.+slice.+state.+changed )|(ment ac)|(multiple cpu faults)|(system.+state.+changed )|(\[timeout)|(PRM\|1\|D)|(kpr)|(kdp)|(train st.+moving)|(\|lc)|(penalty))"</v>
      </c>
      <c r="U29" s="9" t="str">
        <f>MID(B29,13,4)</f>
        <v>4059</v>
      </c>
      <c r="V29" s="31">
        <f>A29-utc_offset/24</f>
        <v>42936.017476851855</v>
      </c>
      <c r="W29" s="45" t="str">
        <f>DetSubdiv(C29)</f>
        <v>NW</v>
      </c>
      <c r="X29" s="22">
        <f>VALUE(LEFT(C29,LEN(C29)-3))</f>
        <v>836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{"issue":{"subject":"","project_id":79,"tracker_id":40,"status_id":1,"priority_id":2,"assigned_to_id":23,"start_date":"2017-07-19","description":"","custom_fields":[{"id":1,"name":"Subdivision","value":"NW"},{"id":4,"name":"Milepost","value":"0.0575"},{"id":17,"name":"Train ID","value":"836-19"},{"id":16,"name":"Locomotive ID","value":"4059"},{"id":130,"name":"Impact","value":""},{"id":150,"name":"Time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/c/Users/stu/AppData/Local/Temp/OnboardLogs/RTDC4059 --include="*4059*201707200*"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"%USERPROFILE%\AppData\Local\Temp\OnboardLogs"\RTDC4059\*4059*201707200* &gt;&gt; 2017-07-19-SliceDisagreementCheck.txt</v>
      </c>
      <c r="AE29" s="145" t="str">
        <f t="shared" si="1"/>
        <v>start /low /b %USERPROFILE%\Documents\GitHub\eaglep3\Utilities\DownloadLogsFromS3.py --loco 4059 --day 2017-07-20</v>
      </c>
      <c r="AF29" s="1"/>
    </row>
    <row r="30" spans="1:32" x14ac:dyDescent="0.25">
      <c r="A30" s="31">
        <v>42935.912754629629</v>
      </c>
      <c r="B30" s="30" t="s">
        <v>622</v>
      </c>
      <c r="C30" s="30" t="s">
        <v>642</v>
      </c>
      <c r="D30" s="30" t="s">
        <v>96</v>
      </c>
      <c r="E30" s="30" t="s">
        <v>181</v>
      </c>
      <c r="F30" s="42">
        <v>0</v>
      </c>
      <c r="G30" s="42">
        <v>8</v>
      </c>
      <c r="H30" s="42">
        <v>574</v>
      </c>
      <c r="I30" s="42">
        <v>0</v>
      </c>
      <c r="J30" s="30" t="s">
        <v>182</v>
      </c>
      <c r="K30" s="42">
        <v>575</v>
      </c>
      <c r="L30" s="131" t="s">
        <v>51</v>
      </c>
      <c r="M30" s="132">
        <f>CONVERT((I30-K30)/10000,"mi","ft")*IF(L30="Increasing Mileposts (1)",-1,1)</f>
        <v>-303.60000000000002</v>
      </c>
      <c r="N30" s="133" t="str">
        <f>VLOOKUP(C30,'Trips&amp;Operators'!$C$1:$G$99999,5,FALSE)</f>
        <v>BIRKHOLZ NADINE</v>
      </c>
      <c r="O30" s="203" t="s">
        <v>180</v>
      </c>
      <c r="P30" s="134"/>
      <c r="Q30" s="30"/>
      <c r="R30" s="81" t="str">
        <f>VLOOKUP(C30,'Train Runs'!$A$13:$AE$9925,31,0)</f>
        <v>aws s3 cp s3://rtdc.mdm.uploadarchive.raw/RTDC4055/ "%USERPROFILE%\AppData\Local\Temp\OnboardLogs"\RTDC4055\2017-07-19 --exclude "*" --recursive --include "*20170719*" &amp; "%USERPROFILE%\Documents\GitHub\mrs-test-scripts\Headless Mode &amp; Sideloading\WalkAndUnGZ.bat" "%USERPROFILE%\AppData\Local\Temp\OnboardLogs"\RTDC4055\2017-07-19 &amp; aws s3 cp s3://rtdc.mdm.uploadarchive.raw/RTDC4055/ "%USERPROFILE%\AppData\Local\Temp\OnboardLogs"\RTDC4055\2017-07-20 --exclude "*" --recursive --include "*20170720*" &amp; "%USERPROFILE%\Documents\GitHub\mrs-test-scripts\Headless Mode &amp; Sideloading\WalkAndUnGZ.bat" "%USERPROFILE%\AppData\Local\Temp\OnboardLogs"\RTDC4055\2017-07-20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-07-19T20:35:57-0600',mode:absolute,to:'2017-07-19T22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/stypes="*4055*201707200*" /stext=" 03:.+((SYSTEM_STATE.+slice.+state.+changed )|(ment ac)|(multiple cpu faults)|(system.+state.+changed )|(\[timeout)|(PRM\|1\|D)|(kpr)|(kdp)|(train st.+moving)|(\|lc)|(penalty))"</v>
      </c>
      <c r="U30" s="9" t="str">
        <f>MID(B30,13,4)</f>
        <v>4055</v>
      </c>
      <c r="V30" s="31">
        <f>A30-utc_offset/24</f>
        <v>42936.162754629629</v>
      </c>
      <c r="W30" s="45" t="str">
        <f>DetSubdiv(C30)</f>
        <v>NW</v>
      </c>
      <c r="X30" s="22">
        <f>VALUE(LEFT(C30,LEN(C30)-3))</f>
        <v>844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{"issue":{"subject":"","project_id":79,"tracker_id":40,"status_id":1,"priority_id":2,"assigned_to_id":23,"start_date":"2017-07-19","description":"","custom_fields":[{"id":1,"name":"Subdivision","value":"NW"},{"id":4,"name":"Milepost","value":"0.0575"},{"id":17,"name":"Train ID","value":"844-19"},{"id":16,"name":"Locomotive ID","value":"4055"},{"id":130,"name":"Impact","value":""},{"id":150,"name":"Time of Event (Mountain Time)","value":"21:54:22"},{"id":151,"name":"Denver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/c/Users/stu/AppData/Local/Temp/OnboardLogs/RTDC4055 --include="*4055*201707200*"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"%USERPROFILE%\AppData\Local\Temp\OnboardLogs"\RTDC4055\*4055*201707200* &gt;&gt; 2017-07-19-SliceDisagreementCheck.txt</v>
      </c>
      <c r="AE30" s="145" t="str">
        <f t="shared" si="1"/>
        <v>start /low /b %USERPROFILE%\Documents\GitHub\eaglep3\Utilities\DownloadLogsFromS3.py --loco 4055 --day 2017-07-20</v>
      </c>
      <c r="AF30" s="1"/>
    </row>
    <row r="31" spans="1:32" x14ac:dyDescent="0.25">
      <c r="A31" s="31">
        <v>42935.483495370368</v>
      </c>
      <c r="B31" s="30" t="s">
        <v>616</v>
      </c>
      <c r="C31" s="30" t="s">
        <v>624</v>
      </c>
      <c r="D31" s="30" t="s">
        <v>49</v>
      </c>
      <c r="E31" s="30" t="s">
        <v>181</v>
      </c>
      <c r="F31" s="42">
        <v>0</v>
      </c>
      <c r="G31" s="42">
        <v>15</v>
      </c>
      <c r="H31" s="42">
        <v>58978</v>
      </c>
      <c r="I31" s="42">
        <v>58988</v>
      </c>
      <c r="J31" s="30" t="s">
        <v>182</v>
      </c>
      <c r="K31" s="42">
        <v>59048</v>
      </c>
      <c r="L31" s="131" t="s">
        <v>50</v>
      </c>
      <c r="M31" s="132">
        <f>CONVERT((I31-K31)/10000,"mi","ft")*IF(L31="Increasing Mileposts (1)",-1,1)</f>
        <v>31.68</v>
      </c>
      <c r="N31" s="133" t="str">
        <f>VLOOKUP(C31,'Trips&amp;Operators'!$C$1:$G$99999,5,FALSE)</f>
        <v>NICHOLSON WESLEY</v>
      </c>
      <c r="O31" s="203" t="s">
        <v>180</v>
      </c>
      <c r="P31" s="134"/>
      <c r="Q31" s="30"/>
      <c r="R31" s="81" t="str">
        <f>VLOOKUP(C31,'Train Runs'!$A$13:$AE$9925,31,0)</f>
        <v>aws s3 cp s3://rtdc.mdm.uploadarchive.raw/RTDC4056/ "%USERPROFILE%\AppData\Local\Temp\OnboardLogs"\RTDC4056\2017-07-19 --exclude "*" --recursive --include "*20170719*" &amp; "%USERPROFILE%\Documents\GitHub\mrs-test-scripts\Headless Mode &amp; Sideloading\WalkAndUnGZ.bat" "%USERPROFILE%\AppData\Local\Temp\OnboardLogs"\RTDC4056\2017-07-19 &amp; aws s3 cp s3://rtdc.mdm.uploadarchive.raw/RTDC4056/ "%USERPROFILE%\AppData\Local\Temp\OnboardLogs"\RTDC4056\2017-07-20 --exclude "*" --recursive --include "*20170720*" &amp; "%USERPROFILE%\Documents\GitHub\mrs-test-scripts\Headless Mode &amp; Sideloading\WalkAndUnGZ.bat" "%USERPROFILE%\AppData\Local\Temp\OnboardLogs"\RTDC4056\2017-07-20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-07-19T09:57:24-0600',mode:absolute,to:'2017-07-19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/stypes="*4056*201707191*" /stext=" 17:.+((SYSTEM_STATE.+slice.+state.+changed )|(ment ac)|(multiple cpu faults)|(system.+state.+changed )|(\[timeout)|(PRM\|1\|D)|(kpr)|(kdp)|(train st.+moving)|(\|lc)|(penalty))"</v>
      </c>
      <c r="U31" s="9" t="str">
        <f>MID(B31,13,4)</f>
        <v>4056</v>
      </c>
      <c r="V31" s="31">
        <f>A31-utc_offset/24</f>
        <v>42935.733495370368</v>
      </c>
      <c r="W31" s="45" t="str">
        <f>DetSubdiv(C31)</f>
        <v>NW</v>
      </c>
      <c r="X31" s="22">
        <f>VALUE(LEFT(C31,LEN(C31)-3))</f>
        <v>817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{"issue":{"subject":"","project_id":79,"tracker_id":40,"status_id":1,"priority_id":2,"assigned_to_id":23,"start_date":"2017-07-19","description":"","custom_fields":[{"id":1,"name":"Subdivision","value":"NW"},{"id":4,"name":"Milepost","value":"5.9048"},{"id":17,"name":"Train ID","value":"817-19"},{"id":16,"name":"Locomotive ID","value":"4056"},{"id":130,"name":"Impact","value":""},{"id":150,"name":"Time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/c/Users/stu/AppData/Local/Temp/OnboardLogs/RTDC4056 --include="*4056*201707191*"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"%USERPROFILE%\AppData\Local\Temp\OnboardLogs"\RTDC4056\*4056*201707191* &gt;&gt; 2017-07-19-SliceDisagreementCheck.txt</v>
      </c>
      <c r="AE31" s="145" t="str">
        <f t="shared" si="1"/>
        <v>start /low /b %USERPROFILE%\Documents\GitHub\eaglep3\Utilities\DownloadLogsFromS3.py --loco 4056 --day 2017-07-19</v>
      </c>
      <c r="AF31" s="1"/>
    </row>
    <row r="32" spans="1:32" x14ac:dyDescent="0.25">
      <c r="A32" s="31">
        <v>42935.753101851849</v>
      </c>
      <c r="B32" s="30" t="s">
        <v>635</v>
      </c>
      <c r="C32" s="30" t="s">
        <v>636</v>
      </c>
      <c r="D32" s="30" t="s">
        <v>96</v>
      </c>
      <c r="E32" s="30" t="s">
        <v>181</v>
      </c>
      <c r="F32" s="42">
        <v>0</v>
      </c>
      <c r="G32" s="42">
        <v>12</v>
      </c>
      <c r="H32" s="42">
        <v>59049</v>
      </c>
      <c r="I32" s="42">
        <v>0</v>
      </c>
      <c r="J32" s="30" t="s">
        <v>182</v>
      </c>
      <c r="K32" s="42">
        <v>59048</v>
      </c>
      <c r="L32" s="131" t="s">
        <v>50</v>
      </c>
      <c r="M32" s="132">
        <f>CONVERT((I32-K32)/10000,"mi","ft")*IF(L32="Increasing Mileposts (1)",-1,1)</f>
        <v>31177.344000000001</v>
      </c>
      <c r="N32" s="133" t="str">
        <f>VLOOKUP(C32,'Trips&amp;Operators'!$C$1:$G$99999,5,FALSE)</f>
        <v>BIRKHOLZ NADINE</v>
      </c>
      <c r="O32" s="203" t="s">
        <v>180</v>
      </c>
      <c r="P32" s="134"/>
      <c r="Q32" s="30"/>
      <c r="R32" s="81" t="str">
        <f>VLOOKUP(C32,'Train Runs'!$A$13:$AE$9925,31,0)</f>
        <v>aws s3 cp s3://rtdc.mdm.uploadarchive.raw/RTDC4060/ "%USERPROFILE%\AppData\Local\Temp\OnboardLogs"\RTDC4060\2017-07-19 --exclude "*" --recursive --include "*20170719*" &amp; "%USERPROFILE%\Documents\GitHub\mrs-test-scripts\Headless Mode &amp; Sideloading\WalkAndUnGZ.bat" "%USERPROFILE%\AppData\Local\Temp\OnboardLogs"\RTDC4060\2017-07-19 &amp; aws s3 cp s3://rtdc.mdm.uploadarchive.raw/RTDC4060/ "%USERPROFILE%\AppData\Local\Temp\OnboardLogs"\RTDC4060\2017-07-20 --exclude "*" --recursive --include "*20170720*" &amp; "%USERPROFILE%\Documents\GitHub\mrs-test-scripts\Headless Mode &amp; Sideloading\WalkAndUnGZ.bat" "%USERPROFILE%\AppData\Local\Temp\OnboardLogs"\RTDC4060\2017-07-20</v>
      </c>
      <c r="S32" s="84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-07-19T16:39:32-0600',mode:absolute,to:'2017-07-19T19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/stypes="*4060*201707200*" /stext=" 00:.+((SYSTEM_STATE.+slice.+state.+changed )|(ment ac)|(multiple cpu faults)|(system.+state.+changed )|(\[timeout)|(PRM\|1\|D)|(kpr)|(kdp)|(train st.+moving)|(\|lc)|(penalty))"</v>
      </c>
      <c r="U32" s="9" t="str">
        <f>MID(B32,13,4)</f>
        <v>4060</v>
      </c>
      <c r="V32" s="31">
        <f>A32-utc_offset/24</f>
        <v>42936.003101851849</v>
      </c>
      <c r="W32" s="45" t="str">
        <f>DetSubdiv(C32)</f>
        <v>NW</v>
      </c>
      <c r="X32" s="22">
        <f>VALUE(LEFT(C32,LEN(C32)-3))</f>
        <v>835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{"issue":{"subject":"","project_id":79,"tracker_id":40,"status_id":1,"priority_id":2,"assigned_to_id":23,"start_date":"2017-07-19","description":"","custom_fields":[{"id":1,"name":"Subdivision","value":"NW"},{"id":4,"name":"Milepost","value":"5.9048"},{"id":17,"name":"Train ID","value":"835-19"},{"id":16,"name":"Locomotive ID","value":"4060"},{"id":130,"name":"Impact","value":""},{"id":150,"name":"Time of Event (Mountain Time)","value":"18:04:28"},{"id":151,"name":"Denver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/c/Users/stu/AppData/Local/Temp/OnboardLogs/RTDC4060 --include="*4060*201707200*"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"%USERPROFILE%\AppData\Local\Temp\OnboardLogs"\RTDC4060\*4060*201707200* &gt;&gt; 2017-07-19-SliceDisagreementCheck.txt</v>
      </c>
      <c r="AE32" s="145" t="str">
        <f t="shared" si="1"/>
        <v>start /low /b %USERPROFILE%\Documents\GitHub\eaglep3\Utilities\DownloadLogsFromS3.py --loco 4060 --day 2017-07-20</v>
      </c>
      <c r="AF32" s="1"/>
    </row>
    <row r="33" spans="1:32" x14ac:dyDescent="0.25">
      <c r="A33" s="31">
        <v>42935.443310185183</v>
      </c>
      <c r="B33" s="30" t="s">
        <v>553</v>
      </c>
      <c r="C33" s="30" t="s">
        <v>621</v>
      </c>
      <c r="D33" s="30" t="s">
        <v>96</v>
      </c>
      <c r="E33" s="30" t="s">
        <v>187</v>
      </c>
      <c r="F33" s="42">
        <v>190</v>
      </c>
      <c r="G33" s="42">
        <v>243</v>
      </c>
      <c r="H33" s="42">
        <v>108791</v>
      </c>
      <c r="I33" s="42">
        <v>108192</v>
      </c>
      <c r="J33" s="30" t="s">
        <v>188</v>
      </c>
      <c r="K33" s="42">
        <v>109120</v>
      </c>
      <c r="L33" s="131" t="s">
        <v>51</v>
      </c>
      <c r="M33" s="132">
        <f>CONVERT((I33-K33)/10000,"mi","ft")*IF(L33="Increasing Mileposts (1)",-1,1)</f>
        <v>-489.98399999999998</v>
      </c>
      <c r="N33" s="133" t="str">
        <f>VLOOKUP(C33,'Trips&amp;Operators'!$C$1:$G$99999,5,FALSE)</f>
        <v>YORK EDGAR</v>
      </c>
      <c r="O33" s="203" t="s">
        <v>180</v>
      </c>
      <c r="P33" s="134"/>
      <c r="Q33" s="30"/>
      <c r="R33" s="81" t="str">
        <f>VLOOKUP(C33,'Train Runs'!$A$13:$AE$9925,31,0)</f>
        <v>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 &amp; aws s3 cp s3://rtdc.mdm.uploadarchive.raw/RTDC4063/ "%USERPROFILE%\AppData\Local\Temp\OnboardLogs"\RTDC4063\2017-07-20 --exclude "*" --recursive --include "*20170720*" &amp; "%USERPROFILE%\Documents\GitHub\mrs-test-scripts\Headless Mode &amp; Sideloading\WalkAndUnGZ.bat" "%USERPROFILE%\AppData\Local\Temp\OnboardLogs"\RTDC4063\2017-07-20</v>
      </c>
      <c r="S33" s="84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-07-19T09:30:16-0600',mode:absolute,to:'2017-07-19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/stypes="*4063*201707191*" /stext=" 16:.+((SYSTEM_STATE.+slice.+state.+changed )|(ment ac)|(multiple cpu faults)|(system.+state.+changed )|(\[timeout)|(PRM\|1\|D)|(kpr)|(kdp)|(train st.+moving)|(\|lc)|(penalty))"</v>
      </c>
      <c r="U33" s="9" t="str">
        <f>MID(B33,13,4)</f>
        <v>4063</v>
      </c>
      <c r="V33" s="31">
        <f>A33-utc_offset/24</f>
        <v>42935.693310185183</v>
      </c>
      <c r="W33" s="45" t="str">
        <f>DetSubdiv(C33)</f>
        <v>Shuttle/Test</v>
      </c>
      <c r="X33" s="22">
        <f>VALUE(LEFT(C33,LEN(C33)-3))</f>
        <v>56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10.912"},{"id":17,"name":"Train ID","value":"56-19"},{"id":16,"name":"Locomotive ID","value":"4063"},{"id":130,"name":"Impact","value":""},{"id":150,"name":"Time of Event (Mountain Time)","value":"10:38:22"},{"id":151,"name":"Denver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/c/Users/stu/AppData/Local/Temp/OnboardLogs/RTDC4063 --include="*4063*201707191*"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"%USERPROFILE%\AppData\Local\Temp\OnboardLogs"\RTDC4063\*4063*201707191* &gt;&gt; 2017-07-19-SliceDisagreementCheck.txt</v>
      </c>
      <c r="AE33" s="145" t="str">
        <f t="shared" si="1"/>
        <v>start /low /b %USERPROFILE%\Documents\GitHub\eaglep3\Utilities\DownloadLogsFromS3.py --loco 4063 --day 2017-07-19</v>
      </c>
      <c r="AF33" s="1"/>
    </row>
    <row r="34" spans="1:32" x14ac:dyDescent="0.25">
      <c r="A34" s="31">
        <v>42935.400289351855</v>
      </c>
      <c r="B34" s="30" t="s">
        <v>618</v>
      </c>
      <c r="C34" s="30" t="s">
        <v>619</v>
      </c>
      <c r="D34" s="30" t="s">
        <v>96</v>
      </c>
      <c r="E34" s="30" t="s">
        <v>356</v>
      </c>
      <c r="F34" s="42">
        <v>0</v>
      </c>
      <c r="G34" s="42">
        <v>78</v>
      </c>
      <c r="H34" s="42">
        <v>1843</v>
      </c>
      <c r="I34" s="42">
        <v>1934</v>
      </c>
      <c r="J34" s="30" t="s">
        <v>357</v>
      </c>
      <c r="K34" s="42">
        <v>1692</v>
      </c>
      <c r="L34" s="131" t="s">
        <v>50</v>
      </c>
      <c r="M34" s="132">
        <f>CONVERT((I34-K34)/10000,"mi","ft")*IF(L34="Increasing Mileposts (1)",-1,1)</f>
        <v>-127.776</v>
      </c>
      <c r="N34" s="133" t="str">
        <f>VLOOKUP(C34,'Trips&amp;Operators'!$C$1:$G$99999,5,FALSE)</f>
        <v>CUSHING HARRY</v>
      </c>
      <c r="O34" s="203" t="s">
        <v>180</v>
      </c>
      <c r="P34" s="134"/>
      <c r="Q34" s="30"/>
      <c r="R34" s="81" t="str">
        <f>VLOOKUP(C34,'Train Runs'!$A$13:$AE$9925,31,0)</f>
        <v>aws s3 cp s3://rtdc.mdm.uploadarchive.raw/RTDC4065/ "%USERPROFILE%\AppData\Local\Temp\OnboardLogs"\RTDC4065\2017-07-19 --exclude "*" --recursive --include "*20170719*" &amp; "%USERPROFILE%\Documents\GitHub\mrs-test-scripts\Headless Mode &amp; Sideloading\WalkAndUnGZ.bat" "%USERPROFILE%\AppData\Local\Temp\OnboardLogs"\RTDC4065\2017-07-19 &amp; aws s3 cp s3://rtdc.mdm.uploadarchive.raw/RTDC4065/ "%USERPROFILE%\AppData\Local\Temp\OnboardLogs"\RTDC4065\2017-07-20 --exclude "*" --recursive --include "*20170720*" &amp; "%USERPROFILE%\Documents\GitHub\mrs-test-scripts\Headless Mode &amp; Sideloading\WalkAndUnGZ.bat" "%USERPROFILE%\AppData\Local\Temp\OnboardLogs"\RTDC4065\2017-07-20</v>
      </c>
      <c r="S34" s="84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-07-19T08:40:08-0600',mode:absolute,to:'2017-07-19T10:45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/stypes="*4066*201707191*" /stext=" 15:.+((SYSTEM_STATE.+slice.+state.+changed )|(ment ac)|(multiple cpu faults)|(system.+state.+changed )|(\[timeout)|(PRM\|1\|D)|(kpr)|(kdp)|(train st.+moving)|(\|lc)|(penalty))"</v>
      </c>
      <c r="U34" s="9" t="str">
        <f>MID(B34,13,4)</f>
        <v>4066</v>
      </c>
      <c r="V34" s="31">
        <f>A34-utc_offset/24</f>
        <v>42935.650289351855</v>
      </c>
      <c r="W34" s="45" t="str">
        <f>DetSubdiv(C34)</f>
        <v>Shuttle/Test</v>
      </c>
      <c r="X34" s="22">
        <f>VALUE(LEFT(C34,LEN(C34)-3))</f>
        <v>53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0.1692"},{"id":17,"name":"Train ID","value":"53-19"},{"id":16,"name":"Locomotive ID","value":"4066"},{"id":130,"name":"Impact","value":""},{"id":150,"name":"Time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/c/Users/stu/AppData/Local/Temp/OnboardLogs/RTDC4066 --include="*4066*201707191*"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"%USERPROFILE%\AppData\Local\Temp\OnboardLogs"\RTDC4066\*4066*201707191* &gt;&gt; 2017-07-19-SliceDisagreementCheck.txt</v>
      </c>
      <c r="AE34" s="145" t="str">
        <f t="shared" si="1"/>
        <v>start /low /b %USERPROFILE%\Documents\GitHub\eaglep3\Utilities\DownloadLogsFromS3.py --loco 4066 --day 2017-07-19</v>
      </c>
      <c r="AF34" s="1"/>
    </row>
    <row r="35" spans="1:32" x14ac:dyDescent="0.25">
      <c r="A35" s="31">
        <v>42935.40215277778</v>
      </c>
      <c r="B35" s="30" t="s">
        <v>553</v>
      </c>
      <c r="C35" s="30" t="s">
        <v>620</v>
      </c>
      <c r="D35" s="30" t="s">
        <v>49</v>
      </c>
      <c r="E35" s="30" t="s">
        <v>181</v>
      </c>
      <c r="F35" s="42">
        <v>0</v>
      </c>
      <c r="G35" s="42">
        <v>19</v>
      </c>
      <c r="H35" s="42">
        <v>28</v>
      </c>
      <c r="I35" s="42">
        <v>15</v>
      </c>
      <c r="J35" s="30" t="s">
        <v>182</v>
      </c>
      <c r="K35" s="42">
        <v>1</v>
      </c>
      <c r="L35" s="131" t="s">
        <v>51</v>
      </c>
      <c r="M35" s="132">
        <f>CONVERT((I35-K35)/10000,"mi","ft")*IF(L35="Increasing Mileposts (1)",-1,1)</f>
        <v>7.3920000000000003</v>
      </c>
      <c r="N35" s="133" t="str">
        <f>VLOOKUP(C35,'Trips&amp;Operators'!$C$1:$G$99999,5,FALSE)</f>
        <v>BROWN JACOB</v>
      </c>
      <c r="O35" s="203" t="s">
        <v>180</v>
      </c>
      <c r="P35" s="134"/>
      <c r="Q35" s="30"/>
      <c r="R35" s="81" t="str">
        <f>VLOOKUP(C35,'Train Runs'!$A$13:$AE$9925,31,0)</f>
        <v>aws s3 cp s3://rtdc.mdm.uploadarchive.raw/RTDC4063/ "%USERPROFILE%\AppData\Local\Temp\OnboardLogs"\RTDC4063\2017-07-19 --exclude "*" --recursive --include "*20170719*" &amp; "%USERPROFILE%\Documents\GitHub\mrs-test-scripts\Headless Mode &amp; Sideloading\WalkAndUnGZ.bat" "%USERPROFILE%\AppData\Local\Temp\OnboardLogs"\RTDC4063\2017-07-19 &amp; aws s3 cp s3://rtdc.mdm.uploadarchive.raw/RTDC4063/ "%USERPROFILE%\AppData\Local\Temp\OnboardLogs"\RTDC4063\2017-07-20 --exclude "*" --recursive --include "*20170720*" &amp; "%USERPROFILE%\Documents\GitHub\mrs-test-scripts\Headless Mode &amp; Sideloading\WalkAndUnGZ.bat" "%USERPROFILE%\AppData\Local\Temp\OnboardLogs"\RTDC4063\2017-07-20</v>
      </c>
      <c r="S35" s="84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-07-19T08:44:44-0600',mode:absolute,to:'2017-07-19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/stypes="*4063*201707191*" /stext=" 15:.+((SYSTEM_STATE.+slice.+state.+changed )|(ment ac)|(multiple cpu faults)|(system.+state.+changed )|(\[timeout)|(PRM\|1\|D)|(kpr)|(kdp)|(train st.+moving)|(\|lc)|(penalty))"</v>
      </c>
      <c r="U35" s="9" t="str">
        <f>MID(B35,13,4)</f>
        <v>4063</v>
      </c>
      <c r="V35" s="31">
        <f>A35-utc_offset/24</f>
        <v>42935.65215277778</v>
      </c>
      <c r="W35" s="45" t="str">
        <f>DetSubdiv(C35)</f>
        <v>Shuttle/Test</v>
      </c>
      <c r="X35" s="22">
        <f>VALUE(LEFT(C35,LEN(C35)-3))</f>
        <v>52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0.0001"},{"id":17,"name":"Train ID","value":"52-19"},{"id":16,"name":"Locomotive ID","value":"4063"},{"id":130,"name":"Impact","value":""},{"id":150,"name":"Time of Event (Mountain Time)","value":"09:39:06"},{"id":151,"name":"Denver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/c/Users/stu/AppData/Local/Temp/OnboardLogs/RTDC4063 --include="*4063*201707191*"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"%USERPROFILE%\AppData\Local\Temp\OnboardLogs"\RTDC4063\*4063*201707191* &gt;&gt; 2017-07-19-SliceDisagreementCheck.txt</v>
      </c>
      <c r="AE35" s="145" t="str">
        <f t="shared" si="1"/>
        <v>start /low /b %USERPROFILE%\Documents\GitHub\eaglep3\Utilities\DownloadLogsFromS3.py --loco 4063 --day 2017-07-19</v>
      </c>
      <c r="AF35" s="1"/>
    </row>
    <row r="36" spans="1:32" x14ac:dyDescent="0.25">
      <c r="A36" s="31">
        <v>42935.372708333336</v>
      </c>
      <c r="B36" s="30" t="s">
        <v>491</v>
      </c>
      <c r="C36" s="30" t="s">
        <v>614</v>
      </c>
      <c r="D36" s="30" t="s">
        <v>49</v>
      </c>
      <c r="E36" s="30" t="s">
        <v>181</v>
      </c>
      <c r="F36" s="42">
        <v>0</v>
      </c>
      <c r="G36" s="42">
        <v>35</v>
      </c>
      <c r="H36" s="42">
        <v>112468</v>
      </c>
      <c r="I36" s="42">
        <v>112494</v>
      </c>
      <c r="J36" s="30" t="s">
        <v>182</v>
      </c>
      <c r="K36" s="42">
        <v>112547</v>
      </c>
      <c r="L36" s="131" t="s">
        <v>50</v>
      </c>
      <c r="M36" s="132">
        <f>CONVERT((I36-K36)/10000,"mi","ft")*IF(L36="Increasing Mileposts (1)",-1,1)</f>
        <v>27.984000000000002</v>
      </c>
      <c r="N36" s="133" t="str">
        <f>VLOOKUP(C36,'Trips&amp;Operators'!$C$1:$G$99999,5,FALSE)</f>
        <v>BROWN JACOB</v>
      </c>
      <c r="O36" s="203" t="s">
        <v>180</v>
      </c>
      <c r="P36" s="134"/>
      <c r="Q36" s="30"/>
      <c r="R36" s="81" t="str">
        <f>VLOOKUP(C36,'Train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36" s="84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/stypes="*4064*201707191*" /stext=" 14:.+((SYSTEM_STATE.+slice.+state.+changed )|(ment ac)|(multiple cpu faults)|(system.+state.+changed )|(\[timeout)|(PRM\|1\|D)|(kpr)|(kdp)|(train st.+moving)|(\|lc)|(penalty))"</v>
      </c>
      <c r="U36" s="9" t="str">
        <f>MID(B36,13,4)</f>
        <v>4064</v>
      </c>
      <c r="V36" s="31">
        <f>A36-utc_offset/24</f>
        <v>42935.622708333336</v>
      </c>
      <c r="W36" s="45" t="str">
        <f>DetSubdiv(C36)</f>
        <v>Shuttle/Test</v>
      </c>
      <c r="X36" s="22">
        <f>VALUE(LEFT(C36,LEN(C36)-3))</f>
        <v>51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Time)","value":"08:56:42"},{"id":151,"name":"Denver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/c/Users/stu/AppData/Local/Temp/OnboardLogs/RTDC4064 --include="*4064*201707191*"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36" s="145" t="str">
        <f t="shared" si="1"/>
        <v>start /low /b %USERPROFILE%\Documents\GitHub\eaglep3\Utilities\DownloadLogsFromS3.py --loco 4064 --day 2017-07-19</v>
      </c>
      <c r="AF36" s="1"/>
    </row>
    <row r="37" spans="1:32" x14ac:dyDescent="0.25">
      <c r="A37" s="31">
        <v>42935.37327546296</v>
      </c>
      <c r="B37" s="30" t="s">
        <v>491</v>
      </c>
      <c r="C37" s="30" t="s">
        <v>614</v>
      </c>
      <c r="D37" s="30" t="s">
        <v>49</v>
      </c>
      <c r="E37" s="30" t="s">
        <v>181</v>
      </c>
      <c r="F37" s="42">
        <v>0</v>
      </c>
      <c r="G37" s="42">
        <v>13</v>
      </c>
      <c r="H37" s="42">
        <v>112521</v>
      </c>
      <c r="I37" s="42">
        <v>112523</v>
      </c>
      <c r="J37" s="30" t="s">
        <v>182</v>
      </c>
      <c r="K37" s="42">
        <v>112547</v>
      </c>
      <c r="L37" s="131" t="s">
        <v>50</v>
      </c>
      <c r="M37" s="132">
        <f>CONVERT((I37-K37)/10000,"mi","ft")*IF(L37="Increasing Mileposts (1)",-1,1)</f>
        <v>12.672000000000001</v>
      </c>
      <c r="N37" s="133" t="str">
        <f>VLOOKUP(C37,'Trips&amp;Operators'!$C$1:$G$99999,5,FALSE)</f>
        <v>BROWN JACOB</v>
      </c>
      <c r="O37" s="203" t="s">
        <v>180</v>
      </c>
      <c r="P37" s="134"/>
      <c r="Q37" s="30"/>
      <c r="R37" s="81" t="str">
        <f>VLOOKUP(C37,'Train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37" s="84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/stypes="*4064*201707191*" /stext=" 14:.+((SYSTEM_STATE.+slice.+state.+changed )|(ment ac)|(multiple cpu faults)|(system.+state.+changed )|(\[timeout)|(PRM\|1\|D)|(kpr)|(kdp)|(train st.+moving)|(\|lc)|(penalty))"</v>
      </c>
      <c r="U37" s="9" t="str">
        <f>MID(B37,13,4)</f>
        <v>4064</v>
      </c>
      <c r="V37" s="31">
        <f>A37-utc_offset/24</f>
        <v>42935.62327546296</v>
      </c>
      <c r="W37" s="45" t="str">
        <f>DetSubdiv(C37)</f>
        <v>Shuttle/Test</v>
      </c>
      <c r="X37" s="22">
        <f>VALUE(LEFT(C37,LEN(C37)-3))</f>
        <v>51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Time)","value":"08:57:31"},{"id":151,"name":"Denver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/c/Users/stu/AppData/Local/Temp/OnboardLogs/RTDC4064 --include="*4064*201707191*"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37" s="145" t="str">
        <f t="shared" si="1"/>
        <v>start /low /b %USERPROFILE%\Documents\GitHub\eaglep3\Utilities\DownloadLogsFromS3.py --loco 4064 --day 2017-07-19</v>
      </c>
      <c r="AF37" s="1"/>
    </row>
    <row r="38" spans="1:32" x14ac:dyDescent="0.25">
      <c r="A38" s="31">
        <v>42935.373738425929</v>
      </c>
      <c r="B38" s="30" t="s">
        <v>491</v>
      </c>
      <c r="C38" s="30" t="s">
        <v>614</v>
      </c>
      <c r="D38" s="30" t="s">
        <v>49</v>
      </c>
      <c r="E38" s="30" t="s">
        <v>181</v>
      </c>
      <c r="F38" s="42">
        <v>0</v>
      </c>
      <c r="G38" s="42">
        <v>11</v>
      </c>
      <c r="H38" s="42">
        <v>112543</v>
      </c>
      <c r="I38" s="42">
        <v>112547</v>
      </c>
      <c r="J38" s="30" t="s">
        <v>182</v>
      </c>
      <c r="K38" s="42">
        <v>112547</v>
      </c>
      <c r="L38" s="131" t="s">
        <v>50</v>
      </c>
      <c r="M38" s="132">
        <f>CONVERT((I38-K38)/10000,"mi","ft")*IF(L38="Increasing Mileposts (1)",-1,1)</f>
        <v>0</v>
      </c>
      <c r="N38" s="133" t="str">
        <f>VLOOKUP(C38,'Trips&amp;Operators'!$C$1:$G$99999,5,FALSE)</f>
        <v>BROWN JACOB</v>
      </c>
      <c r="O38" s="203" t="s">
        <v>180</v>
      </c>
      <c r="P38" s="134"/>
      <c r="Q38" s="30"/>
      <c r="R38" s="81" t="str">
        <f>VLOOKUP(C38,'Train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38" s="84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/stypes="*4064*201707191*" /stext=" 14:.+((SYSTEM_STATE.+slice.+state.+changed )|(ment ac)|(multiple cpu faults)|(system.+state.+changed )|(\[timeout)|(PRM\|1\|D)|(kpr)|(kdp)|(train st.+moving)|(\|lc)|(penalty))"</v>
      </c>
      <c r="U38" s="9" t="str">
        <f>MID(B38,13,4)</f>
        <v>4064</v>
      </c>
      <c r="V38" s="31">
        <f>A38-utc_offset/24</f>
        <v>42935.623738425929</v>
      </c>
      <c r="W38" s="45" t="str">
        <f>DetSubdiv(C38)</f>
        <v>Shuttle/Test</v>
      </c>
      <c r="X38" s="22">
        <f>VALUE(LEFT(C38,LEN(C38)-3))</f>
        <v>51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Time)","value":"08:58:11"},{"id":151,"name":"Denver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/c/Users/stu/AppData/Local/Temp/OnboardLogs/RTDC4064 --include="*4064*201707191*"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38" s="145" t="str">
        <f t="shared" si="1"/>
        <v>start /low /b %USERPROFILE%\Documents\GitHub\eaglep3\Utilities\DownloadLogsFromS3.py --loco 4064 --day 2017-07-19</v>
      </c>
      <c r="AF38" s="1"/>
    </row>
    <row r="39" spans="1:32" x14ac:dyDescent="0.25">
      <c r="A39" s="31">
        <v>42935.43478009259</v>
      </c>
      <c r="B39" s="30" t="s">
        <v>491</v>
      </c>
      <c r="C39" s="30" t="s">
        <v>614</v>
      </c>
      <c r="D39" s="30" t="s">
        <v>49</v>
      </c>
      <c r="E39" s="30" t="s">
        <v>181</v>
      </c>
      <c r="F39" s="42">
        <v>0</v>
      </c>
      <c r="G39" s="42">
        <v>17</v>
      </c>
      <c r="H39" s="42">
        <v>112519</v>
      </c>
      <c r="I39" s="42">
        <v>112532</v>
      </c>
      <c r="J39" s="30" t="s">
        <v>182</v>
      </c>
      <c r="K39" s="42">
        <v>112547</v>
      </c>
      <c r="L39" s="131" t="s">
        <v>50</v>
      </c>
      <c r="M39" s="132">
        <f>CONVERT((I39-K39)/10000,"mi","ft")*IF(L39="Increasing Mileposts (1)",-1,1)</f>
        <v>7.92</v>
      </c>
      <c r="N39" s="133" t="str">
        <f>VLOOKUP(C39,'Trips&amp;Operators'!$C$1:$G$99999,5,FALSE)</f>
        <v>BROWN JACOB</v>
      </c>
      <c r="O39" s="203" t="s">
        <v>180</v>
      </c>
      <c r="P39" s="134"/>
      <c r="Q39" s="30"/>
      <c r="R39" s="81" t="str">
        <f>VLOOKUP(C39,'Train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39" s="84" t="str">
        <f>VLOOKUP(C39,'Train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/stypes="*4064*201707191*" /stext=" 16:.+((SYSTEM_STATE.+slice.+state.+changed )|(ment ac)|(multiple cpu faults)|(system.+state.+changed )|(\[timeout)|(PRM\|1\|D)|(kpr)|(kdp)|(train st.+moving)|(\|lc)|(penalty))"</v>
      </c>
      <c r="U39" s="9" t="str">
        <f>MID(B39,13,4)</f>
        <v>4064</v>
      </c>
      <c r="V39" s="31">
        <f>A39-utc_offset/24</f>
        <v>42935.68478009259</v>
      </c>
      <c r="W39" s="45" t="str">
        <f>DetSubdiv(C39)</f>
        <v>Shuttle/Test</v>
      </c>
      <c r="X39" s="22">
        <f>VALUE(LEFT(C39,LEN(C39)-3))</f>
        <v>51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Time)","value":"10:26:05"},{"id":151,"name":"Denver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/c/Users/stu/AppData/Local/Temp/OnboardLogs/RTDC4064 --include="*4064*201707191*"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39" s="145" t="str">
        <f t="shared" si="1"/>
        <v>start /low /b %USERPROFILE%\Documents\GitHub\eaglep3\Utilities\DownloadLogsFromS3.py --loco 4064 --day 2017-07-19</v>
      </c>
      <c r="AF39" s="1"/>
    </row>
    <row r="40" spans="1:32" x14ac:dyDescent="0.25">
      <c r="A40" s="31">
        <v>42935.435185185182</v>
      </c>
      <c r="B40" s="30" t="s">
        <v>491</v>
      </c>
      <c r="C40" s="30" t="s">
        <v>614</v>
      </c>
      <c r="D40" s="30" t="s">
        <v>96</v>
      </c>
      <c r="E40" s="30" t="s">
        <v>181</v>
      </c>
      <c r="F40" s="42">
        <v>0</v>
      </c>
      <c r="G40" s="42">
        <v>7</v>
      </c>
      <c r="H40" s="42">
        <v>112547</v>
      </c>
      <c r="I40" s="42">
        <v>0</v>
      </c>
      <c r="J40" s="30" t="s">
        <v>182</v>
      </c>
      <c r="K40" s="42">
        <v>112547</v>
      </c>
      <c r="L40" s="131" t="s">
        <v>50</v>
      </c>
      <c r="M40" s="132">
        <f>CONVERT((I40-K40)/10000,"mi","ft")*IF(L40="Increasing Mileposts (1)",-1,1)</f>
        <v>59424.815999999999</v>
      </c>
      <c r="N40" s="133" t="str">
        <f>VLOOKUP(C40,'Trips&amp;Operators'!$C$1:$G$99999,5,FALSE)</f>
        <v>BROWN JACOB</v>
      </c>
      <c r="O40" s="203" t="s">
        <v>180</v>
      </c>
      <c r="P40" s="134"/>
      <c r="Q40" s="30"/>
      <c r="R40" s="81" t="str">
        <f>VLOOKUP(C40,'Train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40" s="84" t="str">
        <f>VLOOKUP(C40,'Train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/stypes="*4064*201707191*" /stext=" 16:.+((SYSTEM_STATE.+slice.+state.+changed )|(ment ac)|(multiple cpu faults)|(system.+state.+changed )|(\[timeout)|(PRM\|1\|D)|(kpr)|(kdp)|(train st.+moving)|(\|lc)|(penalty))"</v>
      </c>
      <c r="U40" s="9" t="str">
        <f>MID(B40,13,4)</f>
        <v>4064</v>
      </c>
      <c r="V40" s="31">
        <f>A40-utc_offset/24</f>
        <v>42935.685185185182</v>
      </c>
      <c r="W40" s="45" t="str">
        <f>DetSubdiv(C40)</f>
        <v>Shuttle/Test</v>
      </c>
      <c r="X40" s="22">
        <f>VALUE(LEFT(C40,LEN(C40)-3))</f>
        <v>51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Time)","value":"10:26:40"},{"id":151,"name":"Denver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/c/Users/stu/AppData/Local/Temp/OnboardLogs/RTDC4064 --include="*4064*201707191*"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40" s="145" t="str">
        <f t="shared" si="1"/>
        <v>start /low /b %USERPROFILE%\Documents\GitHub\eaglep3\Utilities\DownloadLogsFromS3.py --loco 4064 --day 2017-07-19</v>
      </c>
      <c r="AF40" s="1"/>
    </row>
    <row r="41" spans="1:32" x14ac:dyDescent="0.25">
      <c r="A41" s="31">
        <v>42935.490729166668</v>
      </c>
      <c r="B41" s="30" t="s">
        <v>491</v>
      </c>
      <c r="C41" s="30" t="s">
        <v>614</v>
      </c>
      <c r="D41" s="30" t="s">
        <v>49</v>
      </c>
      <c r="E41" s="30" t="s">
        <v>181</v>
      </c>
      <c r="F41" s="42">
        <v>0</v>
      </c>
      <c r="G41" s="42">
        <v>21</v>
      </c>
      <c r="H41" s="42">
        <v>112496</v>
      </c>
      <c r="I41" s="42">
        <v>112521</v>
      </c>
      <c r="J41" s="30" t="s">
        <v>182</v>
      </c>
      <c r="K41" s="42">
        <v>112547</v>
      </c>
      <c r="L41" s="131" t="s">
        <v>50</v>
      </c>
      <c r="M41" s="132">
        <f>CONVERT((I41-K41)/10000,"mi","ft")*IF(L41="Increasing Mileposts (1)",-1,1)</f>
        <v>13.728</v>
      </c>
      <c r="N41" s="133" t="str">
        <f>VLOOKUP(C41,'Trips&amp;Operators'!$C$1:$G$99999,5,FALSE)</f>
        <v>BROWN JACOB</v>
      </c>
      <c r="O41" s="203" t="s">
        <v>180</v>
      </c>
      <c r="P41" s="134"/>
      <c r="Q41" s="30"/>
      <c r="R41" s="81" t="str">
        <f>VLOOKUP(C41,'Train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41" s="84" t="str">
        <f>VLOOKUP(C41,'Train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/stypes="*4064*201707191*" /stext=" 17:.+((SYSTEM_STATE.+slice.+state.+changed )|(ment ac)|(multiple cpu faults)|(system.+state.+changed )|(\[timeout)|(PRM\|1\|D)|(kpr)|(kdp)|(train st.+moving)|(\|lc)|(penalty))"</v>
      </c>
      <c r="U41" s="9" t="str">
        <f>MID(B41,13,4)</f>
        <v>4064</v>
      </c>
      <c r="V41" s="31">
        <f>A41-utc_offset/24</f>
        <v>42935.740729166668</v>
      </c>
      <c r="W41" s="45" t="str">
        <f>DetSubdiv(C41)</f>
        <v>Shuttle/Test</v>
      </c>
      <c r="X41" s="22">
        <f>VALUE(LEFT(C41,LEN(C41)-3))</f>
        <v>51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Time)","value":"11:46:39"},{"id":151,"name":"Denver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/c/Users/stu/AppData/Local/Temp/OnboardLogs/RTDC4064 --include="*4064*201707191*"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41" s="145" t="str">
        <f t="shared" si="1"/>
        <v>start /low /b %USERPROFILE%\Documents\GitHub\eaglep3\Utilities\DownloadLogsFromS3.py --loco 4064 --day 2017-07-19</v>
      </c>
      <c r="AF41" s="1"/>
    </row>
    <row r="42" spans="1:32" x14ac:dyDescent="0.25">
      <c r="A42" s="31">
        <v>42935.49114583333</v>
      </c>
      <c r="B42" s="30" t="s">
        <v>491</v>
      </c>
      <c r="C42" s="30" t="s">
        <v>614</v>
      </c>
      <c r="D42" s="30" t="s">
        <v>49</v>
      </c>
      <c r="E42" s="30" t="s">
        <v>181</v>
      </c>
      <c r="F42" s="42">
        <v>0</v>
      </c>
      <c r="G42" s="42">
        <v>17</v>
      </c>
      <c r="H42" s="42">
        <v>112532</v>
      </c>
      <c r="I42" s="42">
        <v>112543</v>
      </c>
      <c r="J42" s="30" t="s">
        <v>182</v>
      </c>
      <c r="K42" s="42">
        <v>112547</v>
      </c>
      <c r="L42" s="131" t="s">
        <v>50</v>
      </c>
      <c r="M42" s="132">
        <f>CONVERT((I42-K42)/10000,"mi","ft")*IF(L42="Increasing Mileposts (1)",-1,1)</f>
        <v>2.1120000000000001</v>
      </c>
      <c r="N42" s="133" t="str">
        <f>VLOOKUP(C42,'Trips&amp;Operators'!$C$1:$G$99999,5,FALSE)</f>
        <v>BROWN JACOB</v>
      </c>
      <c r="O42" s="203" t="s">
        <v>180</v>
      </c>
      <c r="P42" s="134"/>
      <c r="Q42" s="30"/>
      <c r="R42" s="81" t="str">
        <f>VLOOKUP(C42,'Train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42" s="84" t="str">
        <f>VLOOKUP(C42,'Train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/stypes="*4064*201707191*" /stext=" 17:.+((SYSTEM_STATE.+slice.+state.+changed )|(ment ac)|(multiple cpu faults)|(system.+state.+changed )|(\[timeout)|(PRM\|1\|D)|(kpr)|(kdp)|(train st.+moving)|(\|lc)|(penalty))"</v>
      </c>
      <c r="U42" s="9" t="str">
        <f>MID(B42,13,4)</f>
        <v>4064</v>
      </c>
      <c r="V42" s="31">
        <f>A42-utc_offset/24</f>
        <v>42935.74114583333</v>
      </c>
      <c r="W42" s="45" t="str">
        <f>DetSubdiv(C42)</f>
        <v>Shuttle/Test</v>
      </c>
      <c r="X42" s="22">
        <f>VALUE(LEFT(C42,LEN(C42)-3))</f>
        <v>51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Time)","value":"11:47:15"},{"id":151,"name":"Denver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/c/Users/stu/AppData/Local/Temp/OnboardLogs/RTDC4064 --include="*4064*201707191*"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42" s="145" t="str">
        <f t="shared" si="1"/>
        <v>start /low /b %USERPROFILE%\Documents\GitHub\eaglep3\Utilities\DownloadLogsFromS3.py --loco 4064 --day 2017-07-19</v>
      </c>
      <c r="AF42" s="1"/>
    </row>
    <row r="43" spans="1:32" x14ac:dyDescent="0.25">
      <c r="A43" s="31">
        <v>42935.491481481484</v>
      </c>
      <c r="B43" s="30" t="s">
        <v>491</v>
      </c>
      <c r="C43" s="30" t="s">
        <v>614</v>
      </c>
      <c r="D43" s="30" t="s">
        <v>49</v>
      </c>
      <c r="E43" s="30" t="s">
        <v>181</v>
      </c>
      <c r="F43" s="42">
        <v>0</v>
      </c>
      <c r="G43" s="42">
        <v>11</v>
      </c>
      <c r="H43" s="42">
        <v>112545</v>
      </c>
      <c r="I43" s="42">
        <v>0</v>
      </c>
      <c r="J43" s="30" t="s">
        <v>182</v>
      </c>
      <c r="K43" s="42">
        <v>112547</v>
      </c>
      <c r="L43" s="131" t="s">
        <v>50</v>
      </c>
      <c r="M43" s="132">
        <f>CONVERT((I43-K43)/10000,"mi","ft")*IF(L43="Increasing Mileposts (1)",-1,1)</f>
        <v>59424.815999999999</v>
      </c>
      <c r="N43" s="133" t="str">
        <f>VLOOKUP(C43,'Trips&amp;Operators'!$C$1:$G$99999,5,FALSE)</f>
        <v>BROWN JACOB</v>
      </c>
      <c r="O43" s="203" t="s">
        <v>180</v>
      </c>
      <c r="P43" s="134"/>
      <c r="Q43" s="30"/>
      <c r="R43" s="81" t="str">
        <f>VLOOKUP(C43,'Train Runs'!$A$13:$AE$9925,31,0)</f>
        <v>aws s3 cp s3://rtdc.mdm.uploadarchive.raw/RTDC4064/ "%USERPROFILE%\AppData\Local\Temp\OnboardLogs"\RTDC4064\2017-07-19 --exclude "*" --recursive --include "*20170719*" &amp; "%USERPROFILE%\Documents\GitHub\mrs-test-scripts\Headless Mode &amp; Sideloading\WalkAndUnGZ.bat" "%USERPROFILE%\AppData\Local\Temp\OnboardLogs"\RTDC4064\2017-07-19 &amp; aws s3 cp s3://rtdc.mdm.uploadarchive.raw/RTDC4064/ "%USERPROFILE%\AppData\Local\Temp\OnboardLogs"\RTDC4064\2017-07-20 --exclude "*" --recursive --include "*20170720*" &amp; "%USERPROFILE%\Documents\GitHub\mrs-test-scripts\Headless Mode &amp; Sideloading\WalkAndUnGZ.bat" "%USERPROFILE%\AppData\Local\Temp\OnboardLogs"\RTDC4064\2017-07-20</v>
      </c>
      <c r="S43" s="84" t="str">
        <f>VLOOKUP(C43,'Train Runs'!$A$13:$AE$9925,22,0)</f>
        <v>https://d0f6bd738d7f1b3e5a7ca70fe4ff75f0.us-east-1.aws.found.io/app/kibana#/discover/Steve-Slow-Train-Analysis-(2080s-and-2083s)?_g=(refreshInterval:(display:Off,pause:!f,section:0,value:0),time:(from:'2017-07-19T08:50:42-0600',mode:absolute,to:'2017-07-19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/stypes="*4064*201707191*" /stext=" 17:.+((SYSTEM_STATE.+slice.+state.+changed )|(ment ac)|(multiple cpu faults)|(system.+state.+changed )|(\[timeout)|(PRM\|1\|D)|(kpr)|(kdp)|(train st.+moving)|(\|lc)|(penalty))"</v>
      </c>
      <c r="U43" s="9" t="str">
        <f>MID(B43,13,4)</f>
        <v>4064</v>
      </c>
      <c r="V43" s="31">
        <f>A43-utc_offset/24</f>
        <v>42935.741481481484</v>
      </c>
      <c r="W43" s="45" t="str">
        <f>DetSubdiv(C43)</f>
        <v>Shuttle/Test</v>
      </c>
      <c r="X43" s="22">
        <f>VALUE(LEFT(C43,LEN(C43)-3))</f>
        <v>51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-19","description":"","custom_fields":[{"id":1,"name":"Subdivision","value":"Shuttle/Test"},{"id":4,"name":"Milepost","value":"11.2547"},{"id":17,"name":"Train ID","value":"51-19"},{"id":16,"name":"Locomotive ID","value":"4064"},{"id":130,"name":"Impact","value":""},{"id":150,"name":"Time of Event (Mountain Time)","value":"11:47:44"},{"id":151,"name":"Denver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/c/Users/stu/AppData/Local/Temp/OnboardLogs/RTDC4064 --include="*4064*201707191*"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"%USERPROFILE%\AppData\Local\Temp\OnboardLogs"\RTDC4064\*4064*201707191* &gt;&gt; 2017-07-19-SliceDisagreementCheck.txt</v>
      </c>
      <c r="AE43" s="145" t="str">
        <f t="shared" si="1"/>
        <v>start /low /b %USERPROFILE%\Documents\GitHub\eaglep3\Utilities\DownloadLogsFromS3.py --loco 4064 --day 2017-07-19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43"/>
      <sortCondition ref="E7:E43"/>
      <sortCondition ref="K7:K43"/>
      <sortCondition ref="F7:F43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7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Runs'!$A$13:$A$99922,1,FALSE)</f>
        <v>#N/A</v>
      </c>
    </row>
    <row r="4" spans="1:10" x14ac:dyDescent="0.25">
      <c r="A4" s="195"/>
      <c r="B4" s="42" t="str">
        <f>A4&amp;"-"&amp;IF(DAY(Variables!$A$2)&lt;10,0,"")&amp;DAY(Variables!$A$2)</f>
        <v>-19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Runs'!$A$13:$A$99922,1,FALSE)</f>
        <v>#N/A</v>
      </c>
    </row>
    <row r="5" spans="1:10" x14ac:dyDescent="0.25">
      <c r="A5" s="195"/>
      <c r="B5" s="42" t="str">
        <f>A5&amp;"-"&amp;IF(DAY(Variables!$A$2)&lt;10,0,"")&amp;DAY(Variables!$A$2)</f>
        <v>-19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Runs'!$A$13:$A$99922,1,FALSE)</f>
        <v>#N/A</v>
      </c>
    </row>
    <row r="6" spans="1:10" x14ac:dyDescent="0.25">
      <c r="A6" s="195"/>
      <c r="B6" s="42" t="str">
        <f>A6&amp;"-"&amp;IF(DAY(Variables!$A$2)&lt;10,0,"")&amp;DAY(Variables!$A$2)</f>
        <v>-19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Runs'!$A$13:$A$99922,1,FALSE)</f>
        <v>#N/A</v>
      </c>
    </row>
    <row r="7" spans="1:10" x14ac:dyDescent="0.25">
      <c r="A7" s="195"/>
      <c r="B7" s="42" t="str">
        <f>A7&amp;"-"&amp;IF(DAY(Variables!$A$2)&lt;10,0,"")&amp;DAY(Variables!$A$2)</f>
        <v>-19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Runs'!$A$13:$A$99922,1,FALSE)</f>
        <v>#N/A</v>
      </c>
    </row>
    <row r="8" spans="1:10" x14ac:dyDescent="0.25">
      <c r="A8" s="195"/>
      <c r="B8" s="42" t="str">
        <f>A8&amp;"-"&amp;IF(DAY(Variables!$A$2)&lt;10,0,"")&amp;DAY(Variables!$A$2)</f>
        <v>-19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Runs'!$A$13:$A$99922,1,FALSE)</f>
        <v>#N/A</v>
      </c>
    </row>
    <row r="9" spans="1:10" x14ac:dyDescent="0.25">
      <c r="A9" s="195"/>
      <c r="B9" s="42" t="str">
        <f>A9&amp;"-"&amp;IF(DAY(Variables!$A$2)&lt;10,0,"")&amp;DAY(Variables!$A$2)</f>
        <v>-19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Runs'!$A$13:$A$99922,1,FALSE)</f>
        <v>#N/A</v>
      </c>
    </row>
    <row r="10" spans="1:10" x14ac:dyDescent="0.25">
      <c r="A10" s="195"/>
      <c r="B10" s="42" t="str">
        <f>A10&amp;"-"&amp;IF(DAY(Variables!$A$2)&lt;10,0,"")&amp;DAY(Variables!$A$2)</f>
        <v>-19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Runs'!$A$13:$A$99922,1,FALSE)</f>
        <v>#N/A</v>
      </c>
    </row>
    <row r="11" spans="1:10" x14ac:dyDescent="0.25">
      <c r="A11" s="195"/>
      <c r="B11" s="42" t="str">
        <f>A11&amp;"-"&amp;IF(DAY(Variables!$A$2)&lt;10,0,"")&amp;DAY(Variables!$A$2)</f>
        <v>-19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ref="I11:I3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Runs'!$A$13:$A$99922,1,FALSE)</f>
        <v>#N/A</v>
      </c>
    </row>
    <row r="12" spans="1:10" x14ac:dyDescent="0.25">
      <c r="A12" s="195"/>
      <c r="B12" s="42" t="str">
        <f>A12&amp;"-"&amp;IF(DAY(Variables!$A$2)&lt;10,0,"")&amp;DAY(Variables!$A$2)</f>
        <v>-19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Runs'!$A$13:$A$99922,1,FALSE)</f>
        <v>#N/A</v>
      </c>
    </row>
    <row r="13" spans="1:10" x14ac:dyDescent="0.25">
      <c r="A13" s="195"/>
      <c r="B13" s="42" t="str">
        <f>A13&amp;"-"&amp;IF(DAY(Variables!$A$2)&lt;10,0,"")&amp;DAY(Variables!$A$2)</f>
        <v>-19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Runs'!$A$13:$A$99922,1,FALSE)</f>
        <v>#N/A</v>
      </c>
    </row>
    <row r="14" spans="1:10" x14ac:dyDescent="0.25">
      <c r="A14" s="195"/>
      <c r="B14" s="42" t="str">
        <f>A14&amp;"-"&amp;IF(DAY(Variables!$A$2)&lt;10,0,"")&amp;DAY(Variables!$A$2)</f>
        <v>-19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Runs'!$A$13:$A$99922,1,FALSE)</f>
        <v>#N/A</v>
      </c>
    </row>
    <row r="15" spans="1:10" x14ac:dyDescent="0.25">
      <c r="A15" s="195"/>
      <c r="B15" s="42" t="str">
        <f>A15&amp;"-"&amp;IF(DAY(Variables!$A$2)&lt;10,0,"")&amp;DAY(Variables!$A$2)</f>
        <v>-19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Runs'!$A$13:$A$99922,1,FALSE)</f>
        <v>#N/A</v>
      </c>
    </row>
    <row r="16" spans="1:10" x14ac:dyDescent="0.25">
      <c r="A16" s="195"/>
      <c r="B16" s="42" t="str">
        <f>A16&amp;"-"&amp;IF(DAY(Variables!$A$2)&lt;10,0,"")&amp;DAY(Variables!$A$2)</f>
        <v>-19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Runs'!$A$13:$A$99922,1,FALSE)</f>
        <v>#N/A</v>
      </c>
    </row>
    <row r="17" spans="1:10" x14ac:dyDescent="0.25">
      <c r="A17" s="195"/>
      <c r="B17" s="42" t="str">
        <f>A17&amp;"-"&amp;IF(DAY(Variables!$A$2)&lt;10,0,"")&amp;DAY(Variables!$A$2)</f>
        <v>-19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Runs'!$A$13:$A$99922,1,FALSE)</f>
        <v>#N/A</v>
      </c>
    </row>
    <row r="18" spans="1:10" x14ac:dyDescent="0.25">
      <c r="A18" s="195"/>
      <c r="B18" s="42" t="str">
        <f>A18&amp;"-"&amp;IF(DAY(Variables!$A$2)&lt;10,0,"")&amp;DAY(Variables!$A$2)</f>
        <v>-19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Runs'!$A$13:$A$99922,1,FALSE)</f>
        <v>#N/A</v>
      </c>
    </row>
    <row r="19" spans="1:10" x14ac:dyDescent="0.25">
      <c r="A19" s="195"/>
      <c r="B19" s="42" t="str">
        <f>A19&amp;"-"&amp;IF(DAY(Variables!$A$2)&lt;10,0,"")&amp;DAY(Variables!$A$2)</f>
        <v>-19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Runs'!$A$13:$A$99922,1,FALSE)</f>
        <v>#N/A</v>
      </c>
    </row>
    <row r="20" spans="1:10" x14ac:dyDescent="0.25">
      <c r="A20" s="195"/>
      <c r="B20" s="42" t="str">
        <f>A20&amp;"-"&amp;IF(DAY(Variables!$A$2)&lt;10,0,"")&amp;DAY(Variables!$A$2)</f>
        <v>-19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Runs'!$A$13:$A$99922,1,FALSE)</f>
        <v>#N/A</v>
      </c>
    </row>
    <row r="21" spans="1:10" x14ac:dyDescent="0.25">
      <c r="A21" s="195"/>
      <c r="B21" s="42" t="str">
        <f>A21&amp;"-"&amp;IF(DAY(Variables!$A$2)&lt;10,0,"")&amp;DAY(Variables!$A$2)</f>
        <v>-19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Runs'!$A$13:$A$99922,1,FALSE)</f>
        <v>#N/A</v>
      </c>
    </row>
    <row r="22" spans="1:10" x14ac:dyDescent="0.25">
      <c r="A22" s="195"/>
      <c r="B22" s="42" t="str">
        <f>A22&amp;"-"&amp;IF(DAY(Variables!$A$2)&lt;10,0,"")&amp;DAY(Variables!$A$2)</f>
        <v>-19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Runs'!$A$13:$A$99922,1,FALSE)</f>
        <v>#N/A</v>
      </c>
    </row>
    <row r="23" spans="1:10" x14ac:dyDescent="0.25">
      <c r="A23" s="195"/>
      <c r="B23" s="42" t="str">
        <f>A23&amp;"-"&amp;IF(DAY(Variables!$A$2)&lt;10,0,"")&amp;DAY(Variables!$A$2)</f>
        <v>-19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Runs'!$A$13:$A$99922,1,FALSE)</f>
        <v>#N/A</v>
      </c>
    </row>
    <row r="24" spans="1:10" x14ac:dyDescent="0.25">
      <c r="A24" s="195"/>
      <c r="B24" s="42" t="str">
        <f>A24&amp;"-"&amp;IF(DAY(Variables!$A$2)&lt;10,0,"")&amp;DAY(Variables!$A$2)</f>
        <v>-19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Runs'!$A$13:$A$99922,1,FALSE)</f>
        <v>#N/A</v>
      </c>
    </row>
    <row r="25" spans="1:10" x14ac:dyDescent="0.25">
      <c r="A25" s="195"/>
      <c r="B25" s="42" t="str">
        <f>A25&amp;"-"&amp;IF(DAY(Variables!$A$2)&lt;10,0,"")&amp;DAY(Variables!$A$2)</f>
        <v>-19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Runs'!$A$13:$A$99922,1,FALSE)</f>
        <v>#N/A</v>
      </c>
    </row>
    <row r="26" spans="1:10" x14ac:dyDescent="0.25">
      <c r="A26" s="195"/>
      <c r="B26" s="42" t="str">
        <f>A26&amp;"-"&amp;IF(DAY(Variables!$A$2)&lt;10,0,"")&amp;DAY(Variables!$A$2)</f>
        <v>-19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Runs'!$A$13:$A$99922,1,FALSE)</f>
        <v>#N/A</v>
      </c>
    </row>
    <row r="27" spans="1:10" x14ac:dyDescent="0.25">
      <c r="A27" s="195"/>
      <c r="B27" s="42" t="str">
        <f>A27&amp;"-"&amp;IF(DAY(Variables!$A$2)&lt;10,0,"")&amp;DAY(Variables!$A$2)</f>
        <v>-19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Runs'!$A$13:$A$99922,1,FALSE)</f>
        <v>#N/A</v>
      </c>
    </row>
    <row r="28" spans="1:10" x14ac:dyDescent="0.25">
      <c r="A28" s="195"/>
      <c r="B28" s="42" t="str">
        <f>A28&amp;"-"&amp;IF(DAY(Variables!$A$2)&lt;10,0,"")&amp;DAY(Variables!$A$2)</f>
        <v>-19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Runs'!$A$13:$A$99922,1,FALSE)</f>
        <v>#N/A</v>
      </c>
    </row>
    <row r="29" spans="1:10" x14ac:dyDescent="0.25">
      <c r="A29" s="195"/>
      <c r="B29" s="42" t="str">
        <f>A29&amp;"-"&amp;IF(DAY(Variables!$A$2)&lt;10,0,"")&amp;DAY(Variables!$A$2)</f>
        <v>-19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Runs'!$A$13:$A$99922,1,FALSE)</f>
        <v>#N/A</v>
      </c>
    </row>
    <row r="30" spans="1:10" x14ac:dyDescent="0.25">
      <c r="A30" s="195"/>
      <c r="B30" s="42" t="str">
        <f>A30&amp;"-"&amp;IF(DAY(Variables!$A$2)&lt;10,0,"")&amp;DAY(Variables!$A$2)</f>
        <v>-19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Runs'!$A$13:$A$99922,1,FALSE)</f>
        <v>#N/A</v>
      </c>
    </row>
    <row r="31" spans="1:10" x14ac:dyDescent="0.25">
      <c r="A31" s="195"/>
      <c r="B31" s="42" t="str">
        <f>A31&amp;"-"&amp;IF(DAY(Variables!$A$2)&lt;10,0,"")&amp;DAY(Variables!$A$2)</f>
        <v>-19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Runs'!$A$13:$A$99922,1,FALSE)</f>
        <v>#N/A</v>
      </c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</sheetData>
  <autoFilter ref="A2:J39"/>
  <sortState ref="A3:J118">
    <sortCondition ref="A3:A1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42935.04959490741</v>
      </c>
      <c r="B2" s="20" t="s">
        <v>367</v>
      </c>
      <c r="C2" s="20" t="s">
        <v>566</v>
      </c>
      <c r="D2" s="138">
        <v>3290000</v>
      </c>
      <c r="E2" s="20" t="s">
        <v>531</v>
      </c>
      <c r="F2" s="20" t="s">
        <v>532</v>
      </c>
      <c r="G2" s="8" t="str">
        <f>E2&amp;" "&amp;F2</f>
        <v>CASSIDY BRANDON</v>
      </c>
    </row>
    <row r="3" spans="1:7" x14ac:dyDescent="0.25">
      <c r="A3" s="8">
        <v>42935.056493055556</v>
      </c>
      <c r="B3" s="20" t="s">
        <v>392</v>
      </c>
      <c r="C3" s="20" t="s">
        <v>567</v>
      </c>
      <c r="D3" s="138">
        <v>3090000</v>
      </c>
      <c r="E3" s="20" t="s">
        <v>368</v>
      </c>
      <c r="F3" s="20" t="s">
        <v>369</v>
      </c>
      <c r="G3" s="8" t="str">
        <f t="shared" ref="G3:G66" si="0">E3&amp;" "&amp;F3</f>
        <v>LAMAR NEKESHA</v>
      </c>
    </row>
    <row r="4" spans="1:7" x14ac:dyDescent="0.25">
      <c r="A4" s="8">
        <v>42935.068726851852</v>
      </c>
      <c r="B4" s="20" t="s">
        <v>382</v>
      </c>
      <c r="C4" s="20" t="s">
        <v>568</v>
      </c>
      <c r="D4" s="138">
        <v>3000000</v>
      </c>
      <c r="E4" s="20" t="s">
        <v>387</v>
      </c>
      <c r="F4" s="20" t="s">
        <v>388</v>
      </c>
      <c r="G4" s="8" t="str">
        <f t="shared" si="0"/>
        <v>FORTUNATO FRANK</v>
      </c>
    </row>
    <row r="5" spans="1:7" x14ac:dyDescent="0.25">
      <c r="A5" s="8">
        <v>42935.069699074076</v>
      </c>
      <c r="B5" s="20" t="s">
        <v>382</v>
      </c>
      <c r="C5" s="20" t="s">
        <v>568</v>
      </c>
      <c r="D5" s="138">
        <v>3000000</v>
      </c>
      <c r="E5" s="20" t="s">
        <v>387</v>
      </c>
      <c r="F5" s="20" t="s">
        <v>388</v>
      </c>
      <c r="G5" s="8" t="str">
        <f t="shared" si="0"/>
        <v>FORTUNATO FRANK</v>
      </c>
    </row>
    <row r="6" spans="1:7" x14ac:dyDescent="0.25">
      <c r="A6" s="8">
        <v>42935.089259259257</v>
      </c>
      <c r="B6" s="20" t="s">
        <v>393</v>
      </c>
      <c r="C6" s="20" t="s">
        <v>569</v>
      </c>
      <c r="D6" s="138">
        <v>3090000</v>
      </c>
      <c r="E6" s="20" t="s">
        <v>368</v>
      </c>
      <c r="F6" s="20" t="s">
        <v>369</v>
      </c>
      <c r="G6" s="8" t="str">
        <f t="shared" si="0"/>
        <v>LAMAR NEKESHA</v>
      </c>
    </row>
    <row r="7" spans="1:7" x14ac:dyDescent="0.25">
      <c r="A7" s="8">
        <v>42935.112824074073</v>
      </c>
      <c r="B7" s="20" t="s">
        <v>395</v>
      </c>
      <c r="C7" s="20" t="s">
        <v>570</v>
      </c>
      <c r="D7" s="138">
        <v>3340000</v>
      </c>
      <c r="E7" s="20" t="s">
        <v>466</v>
      </c>
      <c r="F7" s="20" t="s">
        <v>467</v>
      </c>
      <c r="G7" s="8" t="str">
        <f t="shared" si="0"/>
        <v>ELBAUM MIKE</v>
      </c>
    </row>
    <row r="8" spans="1:7" x14ac:dyDescent="0.25">
      <c r="A8" s="8">
        <v>42935.117199074077</v>
      </c>
      <c r="B8" s="20" t="s">
        <v>644</v>
      </c>
      <c r="C8" s="20" t="s">
        <v>645</v>
      </c>
      <c r="D8" s="138">
        <v>1200000</v>
      </c>
      <c r="E8" s="20" t="s">
        <v>646</v>
      </c>
      <c r="F8" s="20" t="s">
        <v>647</v>
      </c>
      <c r="G8" s="8" t="str">
        <f t="shared" si="0"/>
        <v>CUSHING HARRY</v>
      </c>
    </row>
    <row r="9" spans="1:7" ht="15.75" thickBot="1" x14ac:dyDescent="0.3">
      <c r="A9" s="24">
        <v>42935.125208333331</v>
      </c>
      <c r="B9" s="20" t="s">
        <v>462</v>
      </c>
      <c r="C9" s="20" t="s">
        <v>570</v>
      </c>
      <c r="D9" s="138">
        <v>3340000</v>
      </c>
      <c r="E9" s="20" t="s">
        <v>466</v>
      </c>
      <c r="F9" s="20" t="s">
        <v>467</v>
      </c>
      <c r="G9" s="8" t="str">
        <f t="shared" si="0"/>
        <v>ELBAUM MIKE</v>
      </c>
    </row>
    <row r="10" spans="1:7" x14ac:dyDescent="0.25">
      <c r="A10" s="8">
        <v>42935.136307870373</v>
      </c>
      <c r="B10" s="20" t="s">
        <v>336</v>
      </c>
      <c r="C10" s="20" t="s">
        <v>648</v>
      </c>
      <c r="D10" s="138">
        <v>3340000</v>
      </c>
      <c r="E10" s="20" t="s">
        <v>466</v>
      </c>
      <c r="F10" s="20" t="s">
        <v>467</v>
      </c>
      <c r="G10" s="8" t="str">
        <f t="shared" si="0"/>
        <v>ELBAUM MIKE</v>
      </c>
    </row>
    <row r="11" spans="1:7" x14ac:dyDescent="0.25">
      <c r="A11" s="8">
        <v>42935.140300925923</v>
      </c>
      <c r="B11" s="20" t="s">
        <v>468</v>
      </c>
      <c r="C11" s="20" t="s">
        <v>649</v>
      </c>
      <c r="D11" s="138">
        <v>2010000</v>
      </c>
      <c r="E11" s="20" t="s">
        <v>500</v>
      </c>
      <c r="F11" s="20" t="s">
        <v>501</v>
      </c>
      <c r="G11" s="8" t="str">
        <f t="shared" si="0"/>
        <v>MAELZER KURT</v>
      </c>
    </row>
    <row r="12" spans="1:7" x14ac:dyDescent="0.25">
      <c r="A12" s="8">
        <v>42935.151608796295</v>
      </c>
      <c r="B12" s="20" t="s">
        <v>472</v>
      </c>
      <c r="C12" s="20" t="s">
        <v>650</v>
      </c>
      <c r="D12" s="138">
        <v>2010000</v>
      </c>
      <c r="E12" s="20" t="s">
        <v>500</v>
      </c>
      <c r="F12" s="20" t="s">
        <v>501</v>
      </c>
      <c r="G12" s="8" t="str">
        <f t="shared" si="0"/>
        <v>MAELZER KURT</v>
      </c>
    </row>
    <row r="13" spans="1:7" x14ac:dyDescent="0.25">
      <c r="A13" s="8">
        <v>42935.152175925927</v>
      </c>
      <c r="B13" s="20" t="s">
        <v>472</v>
      </c>
      <c r="C13" s="20" t="s">
        <v>650</v>
      </c>
      <c r="D13" s="138">
        <v>2010000</v>
      </c>
      <c r="E13" s="20" t="s">
        <v>500</v>
      </c>
      <c r="F13" s="20" t="s">
        <v>501</v>
      </c>
      <c r="G13" s="8" t="str">
        <f t="shared" si="0"/>
        <v>MAELZER KURT</v>
      </c>
    </row>
    <row r="14" spans="1:7" x14ac:dyDescent="0.25">
      <c r="A14" s="8">
        <v>42935.153194444443</v>
      </c>
      <c r="B14" s="20" t="s">
        <v>472</v>
      </c>
      <c r="C14" s="20" t="s">
        <v>650</v>
      </c>
      <c r="D14" s="138">
        <v>2010000</v>
      </c>
      <c r="E14" s="20" t="s">
        <v>500</v>
      </c>
      <c r="F14" s="20" t="s">
        <v>501</v>
      </c>
      <c r="G14" s="8" t="str">
        <f t="shared" si="0"/>
        <v>MAELZER KURT</v>
      </c>
    </row>
    <row r="15" spans="1:7" x14ac:dyDescent="0.25">
      <c r="A15" s="8">
        <v>42935.161516203705</v>
      </c>
      <c r="B15" s="20" t="s">
        <v>609</v>
      </c>
      <c r="C15" s="20" t="s">
        <v>651</v>
      </c>
      <c r="D15" s="138">
        <v>1100000</v>
      </c>
      <c r="E15" s="20" t="s">
        <v>652</v>
      </c>
      <c r="F15" s="20" t="s">
        <v>653</v>
      </c>
      <c r="G15" s="8" t="str">
        <f t="shared" si="0"/>
        <v>GEBRETEKLE DAGNEW</v>
      </c>
    </row>
    <row r="16" spans="1:7" x14ac:dyDescent="0.25">
      <c r="A16" s="8">
        <v>42935.165173611109</v>
      </c>
      <c r="B16" s="20" t="s">
        <v>462</v>
      </c>
      <c r="C16" s="20" t="s">
        <v>654</v>
      </c>
      <c r="D16" s="138">
        <v>3340000</v>
      </c>
      <c r="E16" s="20" t="s">
        <v>466</v>
      </c>
      <c r="F16" s="20" t="s">
        <v>467</v>
      </c>
      <c r="G16" s="8" t="str">
        <f t="shared" si="0"/>
        <v>ELBAUM MIKE</v>
      </c>
    </row>
    <row r="17" spans="1:7" x14ac:dyDescent="0.25">
      <c r="A17" s="8">
        <v>42935.170011574075</v>
      </c>
      <c r="B17" s="20" t="s">
        <v>611</v>
      </c>
      <c r="C17" s="20" t="s">
        <v>655</v>
      </c>
      <c r="D17" s="138">
        <v>3300000</v>
      </c>
      <c r="E17" s="20" t="s">
        <v>522</v>
      </c>
      <c r="F17" s="20" t="s">
        <v>485</v>
      </c>
      <c r="G17" s="8" t="str">
        <f t="shared" si="0"/>
        <v>LANGERAK WILLIAM</v>
      </c>
    </row>
    <row r="18" spans="1:7" x14ac:dyDescent="0.25">
      <c r="A18" s="8">
        <v>42935.171932870369</v>
      </c>
      <c r="B18" s="20" t="s">
        <v>499</v>
      </c>
      <c r="C18" s="20" t="s">
        <v>656</v>
      </c>
      <c r="D18" s="138">
        <v>1110000</v>
      </c>
      <c r="E18" s="20" t="s">
        <v>423</v>
      </c>
      <c r="F18" s="20" t="s">
        <v>424</v>
      </c>
      <c r="G18" s="8" t="str">
        <f t="shared" si="0"/>
        <v>STARKS ANGELINA</v>
      </c>
    </row>
    <row r="19" spans="1:7" x14ac:dyDescent="0.25">
      <c r="A19" s="8">
        <v>42935.182951388888</v>
      </c>
      <c r="B19" s="20" t="s">
        <v>395</v>
      </c>
      <c r="C19" s="20" t="s">
        <v>657</v>
      </c>
      <c r="D19" s="138">
        <v>1990000</v>
      </c>
      <c r="E19" s="20" t="s">
        <v>383</v>
      </c>
      <c r="F19" s="20" t="s">
        <v>658</v>
      </c>
      <c r="G19" s="8" t="str">
        <f t="shared" si="0"/>
        <v>DAVIS WENDY</v>
      </c>
    </row>
    <row r="20" spans="1:7" x14ac:dyDescent="0.25">
      <c r="A20" s="8">
        <v>42935.18346064815</v>
      </c>
      <c r="B20" s="20" t="s">
        <v>626</v>
      </c>
      <c r="C20" s="20" t="s">
        <v>659</v>
      </c>
      <c r="D20" s="138">
        <v>3300000</v>
      </c>
      <c r="E20" s="20" t="s">
        <v>522</v>
      </c>
      <c r="F20" s="20" t="s">
        <v>485</v>
      </c>
      <c r="G20" s="8" t="str">
        <f t="shared" si="0"/>
        <v>LANGERAK WILLIAM</v>
      </c>
    </row>
    <row r="21" spans="1:7" x14ac:dyDescent="0.25">
      <c r="A21" s="8">
        <v>42935.183749999997</v>
      </c>
      <c r="B21" s="20" t="s">
        <v>395</v>
      </c>
      <c r="C21" s="20" t="s">
        <v>657</v>
      </c>
      <c r="D21" s="138">
        <v>1990000</v>
      </c>
      <c r="E21" s="20" t="s">
        <v>383</v>
      </c>
      <c r="F21" s="20" t="s">
        <v>658</v>
      </c>
      <c r="G21" s="8" t="str">
        <f t="shared" si="0"/>
        <v>DAVIS WENDY</v>
      </c>
    </row>
    <row r="22" spans="1:7" x14ac:dyDescent="0.25">
      <c r="A22" s="26">
        <v>42935.191550925927</v>
      </c>
      <c r="B22" s="20" t="s">
        <v>468</v>
      </c>
      <c r="C22" s="20" t="s">
        <v>660</v>
      </c>
      <c r="D22" s="138">
        <v>2010000</v>
      </c>
      <c r="E22" s="20" t="s">
        <v>500</v>
      </c>
      <c r="F22" s="20" t="s">
        <v>501</v>
      </c>
      <c r="G22" s="8" t="str">
        <f t="shared" si="0"/>
        <v>MAELZER KURT</v>
      </c>
    </row>
    <row r="23" spans="1:7" x14ac:dyDescent="0.25">
      <c r="A23" s="8">
        <v>42935.19431712963</v>
      </c>
      <c r="B23" s="20" t="s">
        <v>394</v>
      </c>
      <c r="C23" s="20" t="s">
        <v>661</v>
      </c>
      <c r="D23" s="138">
        <v>1990000</v>
      </c>
      <c r="E23" s="20" t="s">
        <v>383</v>
      </c>
      <c r="F23" s="20" t="s">
        <v>658</v>
      </c>
      <c r="G23" s="8" t="str">
        <f t="shared" si="0"/>
        <v>DAVIS WENDY</v>
      </c>
    </row>
    <row r="24" spans="1:7" x14ac:dyDescent="0.25">
      <c r="A24" s="8">
        <v>42935.202881944446</v>
      </c>
      <c r="B24" s="20" t="s">
        <v>635</v>
      </c>
      <c r="C24" s="20" t="s">
        <v>662</v>
      </c>
      <c r="D24" s="138">
        <v>2560000</v>
      </c>
      <c r="E24" s="20" t="s">
        <v>663</v>
      </c>
      <c r="F24" s="20" t="s">
        <v>360</v>
      </c>
      <c r="G24" s="8" t="str">
        <f t="shared" si="0"/>
        <v>MACDONALD THOMAS</v>
      </c>
    </row>
    <row r="25" spans="1:7" x14ac:dyDescent="0.25">
      <c r="A25" s="8">
        <v>42935.204131944447</v>
      </c>
      <c r="B25" s="20" t="s">
        <v>635</v>
      </c>
      <c r="C25" s="20" t="s">
        <v>662</v>
      </c>
      <c r="D25" s="138">
        <v>2560000</v>
      </c>
      <c r="E25" s="20" t="s">
        <v>663</v>
      </c>
      <c r="F25" s="20" t="s">
        <v>360</v>
      </c>
      <c r="G25" s="8" t="str">
        <f t="shared" si="0"/>
        <v>MACDONALD THOMAS</v>
      </c>
    </row>
    <row r="26" spans="1:7" x14ac:dyDescent="0.25">
      <c r="A26" s="8">
        <v>42935.204270833332</v>
      </c>
      <c r="B26" s="20" t="s">
        <v>430</v>
      </c>
      <c r="C26" s="20" t="s">
        <v>664</v>
      </c>
      <c r="D26" s="138">
        <v>890000</v>
      </c>
      <c r="E26" s="20" t="s">
        <v>556</v>
      </c>
      <c r="F26" s="20" t="s">
        <v>557</v>
      </c>
      <c r="G26" s="8" t="str">
        <f t="shared" si="0"/>
        <v>LOZA FIDEL</v>
      </c>
    </row>
    <row r="27" spans="1:7" x14ac:dyDescent="0.25">
      <c r="A27" s="8">
        <v>42935.204513888886</v>
      </c>
      <c r="B27" s="20" t="s">
        <v>336</v>
      </c>
      <c r="C27" s="20" t="s">
        <v>665</v>
      </c>
      <c r="D27" s="138">
        <v>3340000</v>
      </c>
      <c r="E27" s="20" t="s">
        <v>466</v>
      </c>
      <c r="F27" s="20" t="s">
        <v>467</v>
      </c>
      <c r="G27" s="8" t="str">
        <f t="shared" si="0"/>
        <v>ELBAUM MIKE</v>
      </c>
    </row>
    <row r="28" spans="1:7" x14ac:dyDescent="0.25">
      <c r="A28" s="8">
        <v>42935.213425925926</v>
      </c>
      <c r="B28" s="20" t="s">
        <v>638</v>
      </c>
      <c r="C28" s="20" t="s">
        <v>666</v>
      </c>
      <c r="D28" s="138">
        <v>2560000</v>
      </c>
      <c r="E28" s="20" t="s">
        <v>663</v>
      </c>
      <c r="F28" s="20" t="s">
        <v>360</v>
      </c>
      <c r="G28" s="8" t="str">
        <f t="shared" si="0"/>
        <v>MACDONALD THOMAS</v>
      </c>
    </row>
    <row r="29" spans="1:7" x14ac:dyDescent="0.25">
      <c r="A29" s="8">
        <v>42935.215011574073</v>
      </c>
      <c r="B29" s="20" t="s">
        <v>352</v>
      </c>
      <c r="C29" s="20" t="s">
        <v>667</v>
      </c>
      <c r="D29" s="138">
        <v>890000</v>
      </c>
      <c r="E29" s="20" t="s">
        <v>556</v>
      </c>
      <c r="F29" s="20" t="s">
        <v>557</v>
      </c>
      <c r="G29" s="8" t="str">
        <f t="shared" si="0"/>
        <v>LOZA FIDEL</v>
      </c>
    </row>
    <row r="30" spans="1:7" x14ac:dyDescent="0.25">
      <c r="A30" s="8">
        <v>42935.215150462966</v>
      </c>
      <c r="B30" s="20" t="s">
        <v>609</v>
      </c>
      <c r="C30" s="20" t="s">
        <v>668</v>
      </c>
      <c r="D30" s="138">
        <v>1100000</v>
      </c>
      <c r="E30" s="20" t="s">
        <v>652</v>
      </c>
      <c r="F30" s="20" t="s">
        <v>653</v>
      </c>
      <c r="G30" s="8" t="str">
        <f t="shared" si="0"/>
        <v>GEBRETEKLE DAGNEW</v>
      </c>
    </row>
    <row r="31" spans="1:7" x14ac:dyDescent="0.25">
      <c r="A31" s="8">
        <v>42935.222893518519</v>
      </c>
      <c r="B31" s="20" t="s">
        <v>669</v>
      </c>
      <c r="C31" s="20" t="s">
        <v>670</v>
      </c>
      <c r="D31" s="138">
        <v>2730000</v>
      </c>
      <c r="E31" s="20" t="s">
        <v>558</v>
      </c>
      <c r="F31" s="20" t="s">
        <v>559</v>
      </c>
      <c r="G31" s="8" t="str">
        <f t="shared" si="0"/>
        <v>YANG JAN</v>
      </c>
    </row>
    <row r="32" spans="1:7" x14ac:dyDescent="0.25">
      <c r="A32" s="8">
        <v>42935.223252314812</v>
      </c>
      <c r="B32" s="20" t="s">
        <v>611</v>
      </c>
      <c r="C32" s="20" t="s">
        <v>671</v>
      </c>
      <c r="D32" s="138">
        <v>3300000</v>
      </c>
      <c r="E32" s="20" t="s">
        <v>522</v>
      </c>
      <c r="F32" s="20" t="s">
        <v>485</v>
      </c>
      <c r="G32" s="8" t="str">
        <f t="shared" si="0"/>
        <v>LANGERAK WILLIAM</v>
      </c>
    </row>
    <row r="33" spans="1:7" x14ac:dyDescent="0.25">
      <c r="A33" s="8">
        <v>42935.225706018522</v>
      </c>
      <c r="B33" s="20" t="s">
        <v>472</v>
      </c>
      <c r="C33" s="20" t="s">
        <v>672</v>
      </c>
      <c r="D33" s="138">
        <v>2010000</v>
      </c>
      <c r="E33" s="20" t="s">
        <v>500</v>
      </c>
      <c r="F33" s="20" t="s">
        <v>501</v>
      </c>
      <c r="G33" s="8" t="str">
        <f t="shared" si="0"/>
        <v>MAELZER KURT</v>
      </c>
    </row>
    <row r="34" spans="1:7" x14ac:dyDescent="0.25">
      <c r="A34" s="8">
        <v>42935.228587962964</v>
      </c>
      <c r="B34" s="20" t="s">
        <v>673</v>
      </c>
      <c r="C34" s="20" t="s">
        <v>645</v>
      </c>
      <c r="D34" s="138">
        <v>1200000</v>
      </c>
      <c r="E34" s="20" t="s">
        <v>646</v>
      </c>
      <c r="F34" s="20" t="s">
        <v>647</v>
      </c>
      <c r="G34" s="8" t="str">
        <f t="shared" si="0"/>
        <v>CUSHING HARRY</v>
      </c>
    </row>
    <row r="35" spans="1:7" x14ac:dyDescent="0.25">
      <c r="A35" s="8">
        <v>42935.229849537034</v>
      </c>
      <c r="B35" s="20" t="s">
        <v>635</v>
      </c>
      <c r="C35" s="20" t="s">
        <v>674</v>
      </c>
      <c r="D35" s="138">
        <v>2560000</v>
      </c>
      <c r="E35" s="20" t="s">
        <v>663</v>
      </c>
      <c r="F35" s="20" t="s">
        <v>360</v>
      </c>
      <c r="G35" s="8" t="str">
        <f t="shared" si="0"/>
        <v>MACDONALD THOMAS</v>
      </c>
    </row>
    <row r="36" spans="1:7" x14ac:dyDescent="0.25">
      <c r="A36" s="8">
        <v>42935.230104166665</v>
      </c>
      <c r="B36" s="20" t="s">
        <v>673</v>
      </c>
      <c r="C36" s="20" t="s">
        <v>645</v>
      </c>
      <c r="D36" s="138">
        <v>1200000</v>
      </c>
      <c r="E36" s="20" t="s">
        <v>646</v>
      </c>
      <c r="F36" s="20" t="s">
        <v>647</v>
      </c>
      <c r="G36" s="8" t="str">
        <f t="shared" si="0"/>
        <v>CUSHING HARRY</v>
      </c>
    </row>
    <row r="37" spans="1:7" x14ac:dyDescent="0.25">
      <c r="A37" s="8">
        <v>42935.235497685186</v>
      </c>
      <c r="B37" s="20" t="s">
        <v>395</v>
      </c>
      <c r="C37" s="20" t="s">
        <v>675</v>
      </c>
      <c r="D37" s="138">
        <v>1990000</v>
      </c>
      <c r="E37" s="20" t="s">
        <v>383</v>
      </c>
      <c r="F37" s="20" t="s">
        <v>658</v>
      </c>
      <c r="G37" s="8" t="str">
        <f t="shared" si="0"/>
        <v>DAVIS WENDY</v>
      </c>
    </row>
    <row r="38" spans="1:7" x14ac:dyDescent="0.25">
      <c r="A38" s="8">
        <v>42935.23574074074</v>
      </c>
      <c r="B38" s="20" t="s">
        <v>676</v>
      </c>
      <c r="C38" s="20" t="s">
        <v>677</v>
      </c>
      <c r="D38" s="138">
        <v>2730000</v>
      </c>
      <c r="E38" s="20" t="s">
        <v>558</v>
      </c>
      <c r="F38" s="20" t="s">
        <v>559</v>
      </c>
      <c r="G38" s="8" t="str">
        <f t="shared" si="0"/>
        <v>YANG JAN</v>
      </c>
    </row>
    <row r="39" spans="1:7" x14ac:dyDescent="0.25">
      <c r="A39" s="8">
        <v>42935.238206018519</v>
      </c>
      <c r="B39" s="20" t="s">
        <v>462</v>
      </c>
      <c r="C39" s="20" t="s">
        <v>678</v>
      </c>
      <c r="D39" s="138">
        <v>3340000</v>
      </c>
      <c r="E39" s="20" t="s">
        <v>466</v>
      </c>
      <c r="F39" s="20" t="s">
        <v>467</v>
      </c>
      <c r="G39" s="8" t="str">
        <f t="shared" si="0"/>
        <v>ELBAUM MIKE</v>
      </c>
    </row>
    <row r="40" spans="1:7" x14ac:dyDescent="0.25">
      <c r="A40" s="8">
        <v>42935.243564814817</v>
      </c>
      <c r="B40" s="25" t="s">
        <v>622</v>
      </c>
      <c r="C40" s="20" t="s">
        <v>679</v>
      </c>
      <c r="D40" s="138">
        <v>3320000</v>
      </c>
      <c r="E40" s="20" t="s">
        <v>518</v>
      </c>
      <c r="F40" s="20" t="s">
        <v>519</v>
      </c>
      <c r="G40" s="8" t="str">
        <f t="shared" si="0"/>
        <v>NICHOLSON WESLEY</v>
      </c>
    </row>
    <row r="41" spans="1:7" x14ac:dyDescent="0.25">
      <c r="A41" s="8">
        <v>42935.245023148149</v>
      </c>
      <c r="B41" s="20" t="s">
        <v>622</v>
      </c>
      <c r="C41" s="20" t="s">
        <v>679</v>
      </c>
      <c r="D41" s="138">
        <v>3320000</v>
      </c>
      <c r="E41" s="20" t="s">
        <v>518</v>
      </c>
      <c r="F41" s="20" t="s">
        <v>519</v>
      </c>
      <c r="G41" s="8" t="str">
        <f t="shared" si="0"/>
        <v>NICHOLSON WESLEY</v>
      </c>
    </row>
    <row r="42" spans="1:7" x14ac:dyDescent="0.25">
      <c r="A42" s="8">
        <v>42935.248680555553</v>
      </c>
      <c r="B42" s="20" t="s">
        <v>499</v>
      </c>
      <c r="C42" s="20" t="s">
        <v>608</v>
      </c>
      <c r="D42" s="138">
        <v>1110000</v>
      </c>
      <c r="E42" s="20" t="s">
        <v>423</v>
      </c>
      <c r="F42" s="20" t="s">
        <v>424</v>
      </c>
      <c r="G42" s="8" t="str">
        <f t="shared" si="0"/>
        <v>STARKS ANGELINA</v>
      </c>
    </row>
    <row r="43" spans="1:7" x14ac:dyDescent="0.25">
      <c r="A43" s="8">
        <v>42935.255358796298</v>
      </c>
      <c r="B43" s="20" t="s">
        <v>638</v>
      </c>
      <c r="C43" s="20" t="s">
        <v>680</v>
      </c>
      <c r="D43" s="138">
        <v>2560000</v>
      </c>
      <c r="E43" s="20" t="s">
        <v>663</v>
      </c>
      <c r="F43" s="20" t="s">
        <v>360</v>
      </c>
      <c r="G43" s="8" t="str">
        <f t="shared" si="0"/>
        <v>MACDONALD THOMAS</v>
      </c>
    </row>
    <row r="44" spans="1:7" x14ac:dyDescent="0.25">
      <c r="A44" s="8">
        <v>42935.255416666667</v>
      </c>
      <c r="B44" s="20" t="s">
        <v>430</v>
      </c>
      <c r="C44" s="20" t="s">
        <v>681</v>
      </c>
      <c r="D44" s="138">
        <v>890000</v>
      </c>
      <c r="E44" s="20" t="s">
        <v>556</v>
      </c>
      <c r="F44" s="20" t="s">
        <v>557</v>
      </c>
      <c r="G44" s="8" t="str">
        <f t="shared" si="0"/>
        <v>LOZA FIDEL</v>
      </c>
    </row>
    <row r="45" spans="1:7" x14ac:dyDescent="0.25">
      <c r="A45" s="8">
        <v>42935.256354166668</v>
      </c>
      <c r="B45" s="20" t="s">
        <v>616</v>
      </c>
      <c r="C45" s="20" t="s">
        <v>682</v>
      </c>
      <c r="D45" s="138">
        <v>3320000</v>
      </c>
      <c r="E45" s="20" t="s">
        <v>518</v>
      </c>
      <c r="F45" s="20" t="s">
        <v>519</v>
      </c>
      <c r="G45" s="8" t="str">
        <f t="shared" si="0"/>
        <v>NICHOLSON WESLEY</v>
      </c>
    </row>
    <row r="46" spans="1:7" x14ac:dyDescent="0.25">
      <c r="A46" s="8">
        <v>42935.257037037038</v>
      </c>
      <c r="B46" s="20" t="s">
        <v>626</v>
      </c>
      <c r="C46" s="20" t="s">
        <v>683</v>
      </c>
      <c r="D46" s="138">
        <v>3300000</v>
      </c>
      <c r="E46" s="20" t="s">
        <v>522</v>
      </c>
      <c r="F46" s="20" t="s">
        <v>485</v>
      </c>
      <c r="G46" s="8" t="str">
        <f t="shared" si="0"/>
        <v>LANGERAK WILLIAM</v>
      </c>
    </row>
    <row r="47" spans="1:7" x14ac:dyDescent="0.25">
      <c r="A47" s="8">
        <v>42935.263194444444</v>
      </c>
      <c r="B47" s="20" t="s">
        <v>468</v>
      </c>
      <c r="C47" s="20" t="s">
        <v>684</v>
      </c>
      <c r="D47" s="138">
        <v>2010000</v>
      </c>
      <c r="E47" s="20" t="s">
        <v>500</v>
      </c>
      <c r="F47" s="20" t="s">
        <v>501</v>
      </c>
      <c r="G47" s="8" t="str">
        <f t="shared" si="0"/>
        <v>MAELZER KURT</v>
      </c>
    </row>
    <row r="48" spans="1:7" x14ac:dyDescent="0.25">
      <c r="A48" s="8">
        <v>42935.266886574071</v>
      </c>
      <c r="B48" s="20" t="s">
        <v>394</v>
      </c>
      <c r="C48" s="20" t="s">
        <v>685</v>
      </c>
      <c r="D48" s="138">
        <v>1990000</v>
      </c>
      <c r="E48" s="20" t="s">
        <v>383</v>
      </c>
      <c r="F48" s="20" t="s">
        <v>658</v>
      </c>
      <c r="G48" s="8" t="str">
        <f t="shared" si="0"/>
        <v>DAVIS WENDY</v>
      </c>
    </row>
    <row r="49" spans="1:7" x14ac:dyDescent="0.25">
      <c r="A49" s="8">
        <v>42935.269525462965</v>
      </c>
      <c r="B49" s="20" t="s">
        <v>635</v>
      </c>
      <c r="C49" s="20" t="s">
        <v>686</v>
      </c>
      <c r="D49" s="138">
        <v>2560000</v>
      </c>
      <c r="E49" s="20" t="s">
        <v>663</v>
      </c>
      <c r="F49" s="20" t="s">
        <v>360</v>
      </c>
      <c r="G49" s="8" t="str">
        <f t="shared" si="0"/>
        <v>MACDONALD THOMAS</v>
      </c>
    </row>
    <row r="50" spans="1:7" x14ac:dyDescent="0.25">
      <c r="A50" s="8">
        <v>42935.274502314816</v>
      </c>
      <c r="B50" s="20" t="s">
        <v>669</v>
      </c>
      <c r="C50" s="20" t="s">
        <v>687</v>
      </c>
      <c r="D50" s="138">
        <v>2730000</v>
      </c>
      <c r="E50" s="20" t="s">
        <v>558</v>
      </c>
      <c r="F50" s="20" t="s">
        <v>559</v>
      </c>
      <c r="G50" s="8" t="str">
        <f t="shared" si="0"/>
        <v>YANG JAN</v>
      </c>
    </row>
    <row r="51" spans="1:7" x14ac:dyDescent="0.25">
      <c r="A51" s="8">
        <v>42935.275810185187</v>
      </c>
      <c r="B51" s="20" t="s">
        <v>622</v>
      </c>
      <c r="C51" s="20" t="s">
        <v>688</v>
      </c>
      <c r="D51" s="138">
        <v>3320000</v>
      </c>
      <c r="E51" s="20" t="s">
        <v>518</v>
      </c>
      <c r="F51" s="20" t="s">
        <v>519</v>
      </c>
      <c r="G51" s="8" t="str">
        <f t="shared" si="0"/>
        <v>NICHOLSON WESLEY</v>
      </c>
    </row>
    <row r="52" spans="1:7" x14ac:dyDescent="0.25">
      <c r="A52" s="8">
        <v>42935.277118055557</v>
      </c>
      <c r="B52" s="20" t="s">
        <v>336</v>
      </c>
      <c r="C52" s="20" t="s">
        <v>689</v>
      </c>
      <c r="D52" s="138">
        <v>3340000</v>
      </c>
      <c r="E52" s="20" t="s">
        <v>466</v>
      </c>
      <c r="F52" s="20" t="s">
        <v>467</v>
      </c>
      <c r="G52" s="8" t="str">
        <f t="shared" si="0"/>
        <v>ELBAUM MIKE</v>
      </c>
    </row>
    <row r="53" spans="1:7" x14ac:dyDescent="0.25">
      <c r="A53" s="8">
        <v>42935.279803240737</v>
      </c>
      <c r="B53" s="20" t="s">
        <v>609</v>
      </c>
      <c r="C53" s="20" t="s">
        <v>610</v>
      </c>
      <c r="D53" s="138">
        <v>1100000</v>
      </c>
      <c r="E53" s="20" t="s">
        <v>652</v>
      </c>
      <c r="F53" s="20" t="s">
        <v>653</v>
      </c>
      <c r="G53" s="8" t="str">
        <f t="shared" si="0"/>
        <v>GEBRETEKLE DAGNEW</v>
      </c>
    </row>
    <row r="54" spans="1:7" x14ac:dyDescent="0.25">
      <c r="A54" s="8">
        <v>42935.288194444445</v>
      </c>
      <c r="B54" s="20" t="s">
        <v>352</v>
      </c>
      <c r="C54" s="20" t="s">
        <v>690</v>
      </c>
      <c r="D54" s="138">
        <v>3200000</v>
      </c>
      <c r="E54" s="20" t="s">
        <v>517</v>
      </c>
      <c r="F54" s="20" t="s">
        <v>475</v>
      </c>
      <c r="G54" s="8" t="str">
        <f t="shared" si="0"/>
        <v>MILLER KEVIN</v>
      </c>
    </row>
    <row r="55" spans="1:7" x14ac:dyDescent="0.25">
      <c r="A55" s="8">
        <v>42935.29042824074</v>
      </c>
      <c r="B55" s="20" t="s">
        <v>616</v>
      </c>
      <c r="C55" s="20" t="s">
        <v>691</v>
      </c>
      <c r="D55" s="138">
        <v>3320000</v>
      </c>
      <c r="E55" s="20" t="s">
        <v>518</v>
      </c>
      <c r="F55" s="20" t="s">
        <v>519</v>
      </c>
      <c r="G55" s="8" t="str">
        <f t="shared" si="0"/>
        <v>NICHOLSON WESLEY</v>
      </c>
    </row>
    <row r="56" spans="1:7" x14ac:dyDescent="0.25">
      <c r="A56" s="8">
        <v>42935.296203703707</v>
      </c>
      <c r="B56" s="20" t="s">
        <v>638</v>
      </c>
      <c r="C56" s="20" t="s">
        <v>692</v>
      </c>
      <c r="D56" s="138">
        <v>2560000</v>
      </c>
      <c r="E56" s="20" t="s">
        <v>663</v>
      </c>
      <c r="F56" s="20" t="s">
        <v>360</v>
      </c>
      <c r="G56" s="8" t="str">
        <f t="shared" si="0"/>
        <v>MACDONALD THOMAS</v>
      </c>
    </row>
    <row r="57" spans="1:7" x14ac:dyDescent="0.25">
      <c r="A57" s="8">
        <v>42935.296458333331</v>
      </c>
      <c r="B57" s="20" t="s">
        <v>352</v>
      </c>
      <c r="C57" s="20" t="s">
        <v>690</v>
      </c>
      <c r="D57" s="138">
        <v>3200000</v>
      </c>
      <c r="E57" s="20" t="s">
        <v>517</v>
      </c>
      <c r="F57" s="20" t="s">
        <v>475</v>
      </c>
      <c r="G57" s="8" t="str">
        <f t="shared" si="0"/>
        <v>MILLER KEVIN</v>
      </c>
    </row>
    <row r="58" spans="1:7" x14ac:dyDescent="0.25">
      <c r="A58" s="8">
        <v>42935.298182870371</v>
      </c>
      <c r="B58" s="20" t="s">
        <v>611</v>
      </c>
      <c r="C58" s="20" t="s">
        <v>612</v>
      </c>
      <c r="D58" s="138">
        <v>3300000</v>
      </c>
      <c r="E58" s="20" t="s">
        <v>522</v>
      </c>
      <c r="F58" s="20" t="s">
        <v>485</v>
      </c>
      <c r="G58" s="8" t="str">
        <f t="shared" si="0"/>
        <v>LANGERAK WILLIAM</v>
      </c>
    </row>
    <row r="59" spans="1:7" x14ac:dyDescent="0.25">
      <c r="A59" s="8">
        <v>42935.298587962963</v>
      </c>
      <c r="B59" s="20" t="s">
        <v>472</v>
      </c>
      <c r="C59" s="20" t="s">
        <v>693</v>
      </c>
      <c r="D59" s="138">
        <v>2010000</v>
      </c>
      <c r="E59" s="20" t="s">
        <v>500</v>
      </c>
      <c r="F59" s="20" t="s">
        <v>501</v>
      </c>
      <c r="G59" s="8" t="str">
        <f t="shared" si="0"/>
        <v>MAELZER KURT</v>
      </c>
    </row>
    <row r="60" spans="1:7" x14ac:dyDescent="0.25">
      <c r="A60" s="8">
        <v>42935.309027777781</v>
      </c>
      <c r="B60" s="20" t="s">
        <v>395</v>
      </c>
      <c r="C60" s="20" t="s">
        <v>613</v>
      </c>
      <c r="D60" s="138">
        <v>1990000</v>
      </c>
      <c r="E60" s="20" t="s">
        <v>383</v>
      </c>
      <c r="F60" s="20" t="s">
        <v>658</v>
      </c>
      <c r="G60" s="8" t="str">
        <f t="shared" si="0"/>
        <v>DAVIS WENDY</v>
      </c>
    </row>
    <row r="61" spans="1:7" x14ac:dyDescent="0.25">
      <c r="A61" s="8">
        <v>42935.309386574074</v>
      </c>
      <c r="B61" s="20" t="s">
        <v>462</v>
      </c>
      <c r="C61" s="20" t="s">
        <v>694</v>
      </c>
      <c r="D61" s="138">
        <v>3340000</v>
      </c>
      <c r="E61" s="20" t="s">
        <v>466</v>
      </c>
      <c r="F61" s="20" t="s">
        <v>467</v>
      </c>
      <c r="G61" s="8" t="str">
        <f t="shared" si="0"/>
        <v>ELBAUM MIKE</v>
      </c>
    </row>
    <row r="62" spans="1:7" x14ac:dyDescent="0.25">
      <c r="A62" s="8">
        <v>42935.309571759259</v>
      </c>
      <c r="B62" s="20" t="s">
        <v>676</v>
      </c>
      <c r="C62" s="20" t="s">
        <v>695</v>
      </c>
      <c r="D62" s="138">
        <v>2730000</v>
      </c>
      <c r="E62" s="20" t="s">
        <v>558</v>
      </c>
      <c r="F62" s="20" t="s">
        <v>559</v>
      </c>
      <c r="G62" s="8" t="str">
        <f t="shared" si="0"/>
        <v>YANG JAN</v>
      </c>
    </row>
    <row r="63" spans="1:7" x14ac:dyDescent="0.25">
      <c r="A63" s="8">
        <v>42935.318553240744</v>
      </c>
      <c r="B63" s="20" t="s">
        <v>622</v>
      </c>
      <c r="C63" s="20" t="s">
        <v>696</v>
      </c>
      <c r="D63" s="138">
        <v>3320000</v>
      </c>
      <c r="E63" s="20" t="s">
        <v>518</v>
      </c>
      <c r="F63" s="20" t="s">
        <v>519</v>
      </c>
      <c r="G63" s="8" t="str">
        <f t="shared" si="0"/>
        <v>NICHOLSON WESLEY</v>
      </c>
    </row>
    <row r="64" spans="1:7" x14ac:dyDescent="0.25">
      <c r="A64" s="26">
        <v>42935.320462962962</v>
      </c>
      <c r="B64" s="20" t="s">
        <v>499</v>
      </c>
      <c r="C64" s="20" t="s">
        <v>697</v>
      </c>
      <c r="D64" s="138">
        <v>1110000</v>
      </c>
      <c r="E64" s="20" t="s">
        <v>423</v>
      </c>
      <c r="F64" s="20" t="s">
        <v>424</v>
      </c>
      <c r="G64" s="8" t="str">
        <f t="shared" si="0"/>
        <v>STARKS ANGELINA</v>
      </c>
    </row>
    <row r="65" spans="1:7" x14ac:dyDescent="0.25">
      <c r="A65" s="8">
        <v>42935.326203703706</v>
      </c>
      <c r="B65" s="20" t="s">
        <v>635</v>
      </c>
      <c r="C65" s="20" t="s">
        <v>698</v>
      </c>
      <c r="D65" s="138">
        <v>2560000</v>
      </c>
      <c r="E65" s="20" t="s">
        <v>663</v>
      </c>
      <c r="F65" s="20" t="s">
        <v>360</v>
      </c>
      <c r="G65" s="8" t="str">
        <f t="shared" si="0"/>
        <v>MACDONALD THOMAS</v>
      </c>
    </row>
    <row r="66" spans="1:7" x14ac:dyDescent="0.25">
      <c r="A66" s="8">
        <v>42935.328900462962</v>
      </c>
      <c r="B66" s="20" t="s">
        <v>430</v>
      </c>
      <c r="C66" s="20" t="s">
        <v>699</v>
      </c>
      <c r="D66" s="138">
        <v>3200000</v>
      </c>
      <c r="E66" s="20" t="s">
        <v>517</v>
      </c>
      <c r="F66" s="20" t="s">
        <v>475</v>
      </c>
      <c r="G66" s="8" t="str">
        <f t="shared" si="0"/>
        <v>MILLER KEVIN</v>
      </c>
    </row>
    <row r="67" spans="1:7" x14ac:dyDescent="0.25">
      <c r="A67" s="8">
        <v>42935.332280092596</v>
      </c>
      <c r="B67" s="20" t="s">
        <v>616</v>
      </c>
      <c r="C67" s="20" t="s">
        <v>700</v>
      </c>
      <c r="D67" s="138">
        <v>3320000</v>
      </c>
      <c r="E67" s="20" t="s">
        <v>518</v>
      </c>
      <c r="F67" s="20" t="s">
        <v>519</v>
      </c>
      <c r="G67" s="8" t="str">
        <f t="shared" ref="G67:G130" si="1">E67&amp;" "&amp;F67</f>
        <v>NICHOLSON WESLEY</v>
      </c>
    </row>
    <row r="68" spans="1:7" x14ac:dyDescent="0.25">
      <c r="A68" s="8">
        <v>42935.332384259258</v>
      </c>
      <c r="B68" s="20" t="s">
        <v>626</v>
      </c>
      <c r="C68" s="20" t="s">
        <v>701</v>
      </c>
      <c r="D68" s="138">
        <v>3300000</v>
      </c>
      <c r="E68" s="20" t="s">
        <v>522</v>
      </c>
      <c r="F68" s="20" t="s">
        <v>485</v>
      </c>
      <c r="G68" s="8" t="str">
        <f t="shared" si="1"/>
        <v>LANGERAK WILLIAM</v>
      </c>
    </row>
    <row r="69" spans="1:7" x14ac:dyDescent="0.25">
      <c r="A69" s="8">
        <v>42935.333692129629</v>
      </c>
      <c r="B69" s="20" t="s">
        <v>468</v>
      </c>
      <c r="C69" s="20" t="s">
        <v>702</v>
      </c>
      <c r="D69" s="138">
        <v>2010000</v>
      </c>
      <c r="E69" s="20" t="s">
        <v>500</v>
      </c>
      <c r="F69" s="20" t="s">
        <v>501</v>
      </c>
      <c r="G69" s="8" t="str">
        <f t="shared" si="1"/>
        <v>MAELZER KURT</v>
      </c>
    </row>
    <row r="70" spans="1:7" x14ac:dyDescent="0.25">
      <c r="A70" s="8">
        <v>42935.338067129633</v>
      </c>
      <c r="B70" s="20" t="s">
        <v>638</v>
      </c>
      <c r="C70" s="20" t="s">
        <v>703</v>
      </c>
      <c r="D70" s="138">
        <v>2560000</v>
      </c>
      <c r="E70" s="20" t="s">
        <v>663</v>
      </c>
      <c r="F70" s="20" t="s">
        <v>360</v>
      </c>
      <c r="G70" s="8" t="str">
        <f t="shared" si="1"/>
        <v>MACDONALD THOMAS</v>
      </c>
    </row>
    <row r="71" spans="1:7" x14ac:dyDescent="0.25">
      <c r="A71" s="8">
        <v>42935.344513888886</v>
      </c>
      <c r="B71" s="20" t="s">
        <v>394</v>
      </c>
      <c r="C71" s="20" t="s">
        <v>704</v>
      </c>
      <c r="D71" s="138">
        <v>1990000</v>
      </c>
      <c r="E71" s="20" t="s">
        <v>383</v>
      </c>
      <c r="F71" s="20" t="s">
        <v>658</v>
      </c>
      <c r="G71" s="8" t="str">
        <f t="shared" si="1"/>
        <v>DAVIS WENDY</v>
      </c>
    </row>
    <row r="72" spans="1:7" x14ac:dyDescent="0.25">
      <c r="A72" s="8">
        <v>42935.350439814814</v>
      </c>
      <c r="B72" s="20" t="s">
        <v>669</v>
      </c>
      <c r="C72" s="20" t="s">
        <v>705</v>
      </c>
      <c r="D72" s="138">
        <v>2730000</v>
      </c>
      <c r="E72" s="20" t="s">
        <v>558</v>
      </c>
      <c r="F72" s="20" t="s">
        <v>559</v>
      </c>
      <c r="G72" s="8" t="str">
        <f t="shared" si="1"/>
        <v>YANG JAN</v>
      </c>
    </row>
    <row r="73" spans="1:7" x14ac:dyDescent="0.25">
      <c r="A73" s="8">
        <v>42935.351157407407</v>
      </c>
      <c r="B73" s="20" t="s">
        <v>336</v>
      </c>
      <c r="C73" s="20" t="s">
        <v>615</v>
      </c>
      <c r="D73" s="138">
        <v>3340000</v>
      </c>
      <c r="E73" s="20" t="s">
        <v>466</v>
      </c>
      <c r="F73" s="20" t="s">
        <v>467</v>
      </c>
      <c r="G73" s="8" t="str">
        <f t="shared" si="1"/>
        <v>ELBAUM MIKE</v>
      </c>
    </row>
    <row r="74" spans="1:7" x14ac:dyDescent="0.25">
      <c r="A74" s="8">
        <v>42935.351412037038</v>
      </c>
      <c r="B74" s="20" t="s">
        <v>491</v>
      </c>
      <c r="C74" s="20" t="s">
        <v>614</v>
      </c>
      <c r="D74" s="138">
        <v>2270000</v>
      </c>
      <c r="E74" s="20" t="s">
        <v>502</v>
      </c>
      <c r="F74" s="20" t="s">
        <v>503</v>
      </c>
      <c r="G74" s="8" t="str">
        <f t="shared" si="1"/>
        <v>BROWN JACOB</v>
      </c>
    </row>
    <row r="75" spans="1:7" x14ac:dyDescent="0.25">
      <c r="A75" s="8">
        <v>42935.353043981479</v>
      </c>
      <c r="B75" s="20" t="s">
        <v>635</v>
      </c>
      <c r="C75" s="20" t="s">
        <v>706</v>
      </c>
      <c r="D75" s="138">
        <v>2560000</v>
      </c>
      <c r="E75" s="20" t="s">
        <v>663</v>
      </c>
      <c r="F75" s="20" t="s">
        <v>360</v>
      </c>
      <c r="G75" s="8" t="str">
        <f t="shared" si="1"/>
        <v>MACDONALD THOMAS</v>
      </c>
    </row>
    <row r="76" spans="1:7" x14ac:dyDescent="0.25">
      <c r="A76" s="8">
        <v>42935.359803240739</v>
      </c>
      <c r="B76" s="20" t="s">
        <v>622</v>
      </c>
      <c r="C76" s="20" t="s">
        <v>707</v>
      </c>
      <c r="D76" s="138">
        <v>3320000</v>
      </c>
      <c r="E76" s="20" t="s">
        <v>518</v>
      </c>
      <c r="F76" s="20" t="s">
        <v>519</v>
      </c>
      <c r="G76" s="8" t="str">
        <f t="shared" si="1"/>
        <v>NICHOLSON WESLEY</v>
      </c>
    </row>
    <row r="77" spans="1:7" x14ac:dyDescent="0.25">
      <c r="A77" s="8">
        <v>42935.361319444448</v>
      </c>
      <c r="B77" s="20" t="s">
        <v>609</v>
      </c>
      <c r="C77" s="20" t="s">
        <v>708</v>
      </c>
      <c r="D77" s="138">
        <v>1100000</v>
      </c>
      <c r="E77" s="20" t="s">
        <v>652</v>
      </c>
      <c r="F77" s="20" t="s">
        <v>653</v>
      </c>
      <c r="G77" s="8" t="str">
        <f t="shared" si="1"/>
        <v>GEBRETEKLE DAGNEW</v>
      </c>
    </row>
    <row r="78" spans="1:7" x14ac:dyDescent="0.25">
      <c r="A78" s="8">
        <v>42935.36136574074</v>
      </c>
      <c r="B78" s="20" t="s">
        <v>352</v>
      </c>
      <c r="C78" s="20" t="s">
        <v>709</v>
      </c>
      <c r="D78" s="138">
        <v>890000</v>
      </c>
      <c r="E78" s="20" t="s">
        <v>556</v>
      </c>
      <c r="F78" s="20" t="s">
        <v>557</v>
      </c>
      <c r="G78" s="8" t="str">
        <f t="shared" si="1"/>
        <v>LOZA FIDEL</v>
      </c>
    </row>
    <row r="79" spans="1:7" x14ac:dyDescent="0.25">
      <c r="A79" s="8">
        <v>42935.370185185187</v>
      </c>
      <c r="B79" s="20" t="s">
        <v>611</v>
      </c>
      <c r="C79" s="20" t="s">
        <v>710</v>
      </c>
      <c r="D79" s="138">
        <v>3300000</v>
      </c>
      <c r="E79" s="20" t="s">
        <v>522</v>
      </c>
      <c r="F79" s="20" t="s">
        <v>485</v>
      </c>
      <c r="G79" s="8" t="str">
        <f t="shared" si="1"/>
        <v>LANGERAK WILLIAM</v>
      </c>
    </row>
    <row r="80" spans="1:7" x14ac:dyDescent="0.25">
      <c r="A80" s="8">
        <v>42935.371504629627</v>
      </c>
      <c r="B80" s="20" t="s">
        <v>472</v>
      </c>
      <c r="C80" s="20" t="s">
        <v>711</v>
      </c>
      <c r="D80" s="138">
        <v>2010000</v>
      </c>
      <c r="E80" s="20" t="s">
        <v>500</v>
      </c>
      <c r="F80" s="20" t="s">
        <v>501</v>
      </c>
      <c r="G80" s="8" t="str">
        <f t="shared" si="1"/>
        <v>MAELZER KURT</v>
      </c>
    </row>
    <row r="81" spans="1:7" x14ac:dyDescent="0.25">
      <c r="A81" s="8">
        <v>42935.373726851853</v>
      </c>
      <c r="B81" s="20" t="s">
        <v>616</v>
      </c>
      <c r="C81" s="20" t="s">
        <v>617</v>
      </c>
      <c r="D81" s="138">
        <v>3320000</v>
      </c>
      <c r="E81" s="20" t="s">
        <v>518</v>
      </c>
      <c r="F81" s="20" t="s">
        <v>519</v>
      </c>
      <c r="G81" s="8" t="str">
        <f t="shared" si="1"/>
        <v>NICHOLSON WESLEY</v>
      </c>
    </row>
    <row r="82" spans="1:7" x14ac:dyDescent="0.25">
      <c r="A82" s="8">
        <v>42935.375590277778</v>
      </c>
      <c r="B82" s="20" t="s">
        <v>553</v>
      </c>
      <c r="C82" s="20" t="s">
        <v>620</v>
      </c>
      <c r="D82" s="138">
        <v>2270000</v>
      </c>
      <c r="E82" s="20" t="s">
        <v>502</v>
      </c>
      <c r="F82" s="20" t="s">
        <v>503</v>
      </c>
      <c r="G82" s="8" t="str">
        <f t="shared" si="1"/>
        <v>BROWN JACOB</v>
      </c>
    </row>
    <row r="83" spans="1:7" x14ac:dyDescent="0.25">
      <c r="A83" s="8">
        <v>42935.379687499997</v>
      </c>
      <c r="B83" s="20" t="s">
        <v>395</v>
      </c>
      <c r="C83" s="20" t="s">
        <v>712</v>
      </c>
      <c r="D83" s="138">
        <v>1990000</v>
      </c>
      <c r="E83" s="20" t="s">
        <v>383</v>
      </c>
      <c r="F83" s="20" t="s">
        <v>658</v>
      </c>
      <c r="G83" s="8" t="str">
        <f t="shared" si="1"/>
        <v>DAVIS WENDY</v>
      </c>
    </row>
    <row r="84" spans="1:7" x14ac:dyDescent="0.25">
      <c r="A84" s="8">
        <v>42935.382453703707</v>
      </c>
      <c r="B84" s="20" t="s">
        <v>676</v>
      </c>
      <c r="C84" s="20" t="s">
        <v>713</v>
      </c>
      <c r="D84" s="138">
        <v>2730000</v>
      </c>
      <c r="E84" s="20" t="s">
        <v>558</v>
      </c>
      <c r="F84" s="20" t="s">
        <v>559</v>
      </c>
      <c r="G84" s="8" t="str">
        <f t="shared" si="1"/>
        <v>YANG JAN</v>
      </c>
    </row>
    <row r="85" spans="1:7" x14ac:dyDescent="0.25">
      <c r="A85" s="8">
        <v>42935.390324074076</v>
      </c>
      <c r="B85" s="20" t="s">
        <v>462</v>
      </c>
      <c r="C85" s="20" t="s">
        <v>714</v>
      </c>
      <c r="D85" s="138">
        <v>3340000</v>
      </c>
      <c r="E85" s="20" t="s">
        <v>466</v>
      </c>
      <c r="F85" s="20" t="s">
        <v>467</v>
      </c>
      <c r="G85" s="8" t="str">
        <f t="shared" si="1"/>
        <v>ELBAUM MIKE</v>
      </c>
    </row>
    <row r="86" spans="1:7" x14ac:dyDescent="0.25">
      <c r="A86" s="8">
        <v>42935.392187500001</v>
      </c>
      <c r="B86" s="20" t="s">
        <v>499</v>
      </c>
      <c r="C86" s="20" t="s">
        <v>715</v>
      </c>
      <c r="D86" s="138">
        <v>1110000</v>
      </c>
      <c r="E86" s="20" t="s">
        <v>423</v>
      </c>
      <c r="F86" s="20" t="s">
        <v>424</v>
      </c>
      <c r="G86" s="8" t="str">
        <f t="shared" si="1"/>
        <v>STARKS ANGELINA</v>
      </c>
    </row>
    <row r="87" spans="1:7" x14ac:dyDescent="0.25">
      <c r="A87" s="8">
        <v>42935.39607638889</v>
      </c>
      <c r="B87" s="20" t="s">
        <v>618</v>
      </c>
      <c r="C87" s="20" t="s">
        <v>619</v>
      </c>
      <c r="D87" s="138">
        <v>1200000</v>
      </c>
      <c r="E87" s="20" t="s">
        <v>646</v>
      </c>
      <c r="F87" s="20" t="s">
        <v>647</v>
      </c>
      <c r="G87" s="8" t="str">
        <f t="shared" si="1"/>
        <v>CUSHING HARRY</v>
      </c>
    </row>
    <row r="88" spans="1:7" x14ac:dyDescent="0.25">
      <c r="A88" s="8">
        <v>42935.401550925926</v>
      </c>
      <c r="B88" s="20" t="s">
        <v>430</v>
      </c>
      <c r="C88" s="20" t="s">
        <v>716</v>
      </c>
      <c r="D88" s="138">
        <v>3200000</v>
      </c>
      <c r="E88" s="20" t="s">
        <v>517</v>
      </c>
      <c r="F88" s="20" t="s">
        <v>475</v>
      </c>
      <c r="G88" s="8" t="str">
        <f t="shared" si="1"/>
        <v>MILLER KEVIN</v>
      </c>
    </row>
    <row r="89" spans="1:7" x14ac:dyDescent="0.25">
      <c r="A89" s="8">
        <v>42935.402349537035</v>
      </c>
      <c r="B89" s="20" t="s">
        <v>622</v>
      </c>
      <c r="C89" s="20" t="s">
        <v>717</v>
      </c>
      <c r="D89" s="138">
        <v>3320000</v>
      </c>
      <c r="E89" s="20" t="s">
        <v>518</v>
      </c>
      <c r="F89" s="20" t="s">
        <v>519</v>
      </c>
      <c r="G89" s="8" t="str">
        <f t="shared" si="1"/>
        <v>NICHOLSON WESLEY</v>
      </c>
    </row>
    <row r="90" spans="1:7" x14ac:dyDescent="0.25">
      <c r="A90" s="8">
        <v>42935.402465277781</v>
      </c>
      <c r="B90" s="20" t="s">
        <v>626</v>
      </c>
      <c r="C90" s="20" t="s">
        <v>718</v>
      </c>
      <c r="D90" s="138">
        <v>3300000</v>
      </c>
      <c r="E90" s="20" t="s">
        <v>522</v>
      </c>
      <c r="F90" s="20" t="s">
        <v>485</v>
      </c>
      <c r="G90" s="8" t="str">
        <f t="shared" si="1"/>
        <v>LANGERAK WILLIAM</v>
      </c>
    </row>
    <row r="91" spans="1:7" x14ac:dyDescent="0.25">
      <c r="A91" s="8">
        <v>42935.403865740744</v>
      </c>
      <c r="B91" s="20" t="s">
        <v>673</v>
      </c>
      <c r="C91" s="20" t="s">
        <v>619</v>
      </c>
      <c r="D91" s="138">
        <v>1200000</v>
      </c>
      <c r="E91" s="20" t="s">
        <v>646</v>
      </c>
      <c r="F91" s="20" t="s">
        <v>647</v>
      </c>
      <c r="G91" s="8" t="str">
        <f t="shared" si="1"/>
        <v>CUSHING HARRY</v>
      </c>
    </row>
    <row r="92" spans="1:7" x14ac:dyDescent="0.25">
      <c r="A92" s="8">
        <v>42935.406435185185</v>
      </c>
      <c r="B92" s="20" t="s">
        <v>553</v>
      </c>
      <c r="C92" s="20" t="s">
        <v>620</v>
      </c>
      <c r="D92" s="138">
        <v>2270000</v>
      </c>
      <c r="E92" s="20" t="s">
        <v>502</v>
      </c>
      <c r="F92" s="20" t="s">
        <v>503</v>
      </c>
      <c r="G92" s="8" t="str">
        <f t="shared" si="1"/>
        <v>BROWN JACOB</v>
      </c>
    </row>
    <row r="93" spans="1:7" x14ac:dyDescent="0.25">
      <c r="A93" s="8">
        <v>42935.406944444447</v>
      </c>
      <c r="B93" s="20" t="s">
        <v>468</v>
      </c>
      <c r="C93" s="20" t="s">
        <v>719</v>
      </c>
      <c r="D93" s="138">
        <v>2010000</v>
      </c>
      <c r="E93" s="20" t="s">
        <v>500</v>
      </c>
      <c r="F93" s="20" t="s">
        <v>501</v>
      </c>
      <c r="G93" s="8" t="str">
        <f t="shared" si="1"/>
        <v>MAELZER KURT</v>
      </c>
    </row>
    <row r="94" spans="1:7" x14ac:dyDescent="0.25">
      <c r="A94" s="8">
        <v>42935.41070601852</v>
      </c>
      <c r="B94" s="20" t="s">
        <v>491</v>
      </c>
      <c r="C94" s="20" t="s">
        <v>614</v>
      </c>
      <c r="D94" s="138">
        <v>1830000</v>
      </c>
      <c r="E94" s="20" t="s">
        <v>720</v>
      </c>
      <c r="F94" s="20" t="s">
        <v>721</v>
      </c>
      <c r="G94" s="8" t="str">
        <f t="shared" si="1"/>
        <v>YORK EDGAR</v>
      </c>
    </row>
    <row r="95" spans="1:7" x14ac:dyDescent="0.25">
      <c r="A95" s="8">
        <v>42935.413090277776</v>
      </c>
      <c r="B95" s="20" t="s">
        <v>618</v>
      </c>
      <c r="C95" s="20" t="s">
        <v>722</v>
      </c>
      <c r="D95" s="138">
        <v>1200000</v>
      </c>
      <c r="E95" s="20" t="s">
        <v>646</v>
      </c>
      <c r="F95" s="20" t="s">
        <v>647</v>
      </c>
      <c r="G95" s="8" t="str">
        <f t="shared" si="1"/>
        <v>CUSHING HARRY</v>
      </c>
    </row>
    <row r="96" spans="1:7" x14ac:dyDescent="0.25">
      <c r="A96" s="8">
        <v>42935.416412037041</v>
      </c>
      <c r="B96" s="20" t="s">
        <v>616</v>
      </c>
      <c r="C96" s="20" t="s">
        <v>723</v>
      </c>
      <c r="D96" s="138">
        <v>3320000</v>
      </c>
      <c r="E96" s="20" t="s">
        <v>518</v>
      </c>
      <c r="F96" s="20" t="s">
        <v>519</v>
      </c>
      <c r="G96" s="8" t="str">
        <f t="shared" si="1"/>
        <v>NICHOLSON WESLEY</v>
      </c>
    </row>
    <row r="97" spans="1:7" x14ac:dyDescent="0.25">
      <c r="A97" s="8">
        <v>42935.419108796297</v>
      </c>
      <c r="B97" s="20" t="s">
        <v>669</v>
      </c>
      <c r="C97" s="20" t="s">
        <v>724</v>
      </c>
      <c r="D97" s="138">
        <v>2730000</v>
      </c>
      <c r="E97" s="20" t="s">
        <v>558</v>
      </c>
      <c r="F97" s="20" t="s">
        <v>559</v>
      </c>
      <c r="G97" s="8" t="str">
        <f t="shared" si="1"/>
        <v>YANG JAN</v>
      </c>
    </row>
    <row r="98" spans="1:7" x14ac:dyDescent="0.25">
      <c r="A98" s="8">
        <v>42935.424212962964</v>
      </c>
      <c r="B98" s="20" t="s">
        <v>336</v>
      </c>
      <c r="C98" s="20" t="s">
        <v>725</v>
      </c>
      <c r="D98" s="138">
        <v>2560000</v>
      </c>
      <c r="E98" s="20" t="s">
        <v>663</v>
      </c>
      <c r="F98" s="20" t="s">
        <v>360</v>
      </c>
      <c r="G98" s="8" t="str">
        <f t="shared" si="1"/>
        <v>MACDONALD THOMAS</v>
      </c>
    </row>
    <row r="99" spans="1:7" x14ac:dyDescent="0.25">
      <c r="A99" s="8">
        <v>42935.433761574073</v>
      </c>
      <c r="B99" s="20" t="s">
        <v>609</v>
      </c>
      <c r="C99" s="20" t="s">
        <v>726</v>
      </c>
      <c r="D99" s="138">
        <v>1100000</v>
      </c>
      <c r="E99" s="20" t="s">
        <v>652</v>
      </c>
      <c r="F99" s="20" t="s">
        <v>653</v>
      </c>
      <c r="G99" s="8" t="str">
        <f t="shared" si="1"/>
        <v>GEBRETEKLE DAGNEW</v>
      </c>
    </row>
    <row r="100" spans="1:7" x14ac:dyDescent="0.25">
      <c r="A100" s="8">
        <v>42935.435069444444</v>
      </c>
      <c r="B100" s="20" t="s">
        <v>352</v>
      </c>
      <c r="C100" s="20" t="s">
        <v>727</v>
      </c>
      <c r="D100" s="138">
        <v>3200000</v>
      </c>
      <c r="E100" s="20" t="s">
        <v>517</v>
      </c>
      <c r="F100" s="20" t="s">
        <v>475</v>
      </c>
      <c r="G100" s="8" t="str">
        <f t="shared" si="1"/>
        <v>MILLER KEVIN</v>
      </c>
    </row>
    <row r="101" spans="1:7" x14ac:dyDescent="0.25">
      <c r="A101" s="8">
        <v>42935.438368055555</v>
      </c>
      <c r="B101" s="20" t="s">
        <v>553</v>
      </c>
      <c r="C101" s="20" t="s">
        <v>621</v>
      </c>
      <c r="D101" s="138">
        <v>1830000</v>
      </c>
      <c r="E101" s="20" t="s">
        <v>720</v>
      </c>
      <c r="F101" s="20" t="s">
        <v>721</v>
      </c>
      <c r="G101" s="8" t="str">
        <f t="shared" si="1"/>
        <v>YORK EDGAR</v>
      </c>
    </row>
    <row r="102" spans="1:7" x14ac:dyDescent="0.25">
      <c r="A102" s="8">
        <v>42935.442708333336</v>
      </c>
      <c r="B102" s="20" t="s">
        <v>611</v>
      </c>
      <c r="C102" s="20" t="s">
        <v>728</v>
      </c>
      <c r="D102" s="138">
        <v>3300000</v>
      </c>
      <c r="E102" s="20" t="s">
        <v>522</v>
      </c>
      <c r="F102" s="20" t="s">
        <v>485</v>
      </c>
      <c r="G102" s="8" t="str">
        <f t="shared" si="1"/>
        <v>LANGERAK WILLIAM</v>
      </c>
    </row>
    <row r="103" spans="1:7" x14ac:dyDescent="0.25">
      <c r="A103" s="8">
        <v>42935.442731481482</v>
      </c>
      <c r="B103" s="20" t="s">
        <v>472</v>
      </c>
      <c r="C103" s="20" t="s">
        <v>729</v>
      </c>
      <c r="D103" s="138">
        <v>1780000</v>
      </c>
      <c r="E103" s="20" t="s">
        <v>520</v>
      </c>
      <c r="F103" s="20" t="s">
        <v>521</v>
      </c>
      <c r="G103" s="8" t="str">
        <f t="shared" si="1"/>
        <v>DE LA ROSA ALEX</v>
      </c>
    </row>
    <row r="104" spans="1:7" x14ac:dyDescent="0.25">
      <c r="A104" s="8">
        <v>42935.443124999998</v>
      </c>
      <c r="B104" s="20" t="s">
        <v>622</v>
      </c>
      <c r="C104" s="20" t="s">
        <v>623</v>
      </c>
      <c r="D104" s="138">
        <v>3320000</v>
      </c>
      <c r="E104" s="20" t="s">
        <v>518</v>
      </c>
      <c r="F104" s="20" t="s">
        <v>519</v>
      </c>
      <c r="G104" s="8" t="str">
        <f t="shared" si="1"/>
        <v>NICHOLSON WESLEY</v>
      </c>
    </row>
    <row r="105" spans="1:7" x14ac:dyDescent="0.25">
      <c r="A105" s="8">
        <v>42935.448703703703</v>
      </c>
      <c r="B105" s="20" t="s">
        <v>471</v>
      </c>
      <c r="C105" s="20" t="s">
        <v>730</v>
      </c>
      <c r="D105" s="138">
        <v>2470000</v>
      </c>
      <c r="E105" s="20" t="s">
        <v>561</v>
      </c>
      <c r="F105" s="20" t="s">
        <v>562</v>
      </c>
      <c r="G105" s="8" t="str">
        <f t="shared" si="1"/>
        <v>ROMERO CHAD</v>
      </c>
    </row>
    <row r="106" spans="1:7" x14ac:dyDescent="0.25">
      <c r="A106" s="8">
        <v>42935.45039351852</v>
      </c>
      <c r="B106" s="20" t="s">
        <v>673</v>
      </c>
      <c r="C106" s="20" t="s">
        <v>731</v>
      </c>
      <c r="D106" s="138">
        <v>1200000</v>
      </c>
      <c r="E106" s="20" t="s">
        <v>646</v>
      </c>
      <c r="F106" s="20" t="s">
        <v>647</v>
      </c>
      <c r="G106" s="8" t="str">
        <f t="shared" si="1"/>
        <v>CUSHING HARRY</v>
      </c>
    </row>
    <row r="107" spans="1:7" x14ac:dyDescent="0.25">
      <c r="A107" s="8">
        <v>42935.456608796296</v>
      </c>
      <c r="B107" s="20" t="s">
        <v>676</v>
      </c>
      <c r="C107" s="20" t="s">
        <v>732</v>
      </c>
      <c r="D107" s="138">
        <v>2730000</v>
      </c>
      <c r="E107" s="20" t="s">
        <v>558</v>
      </c>
      <c r="F107" s="20" t="s">
        <v>559</v>
      </c>
      <c r="G107" s="8" t="str">
        <f t="shared" si="1"/>
        <v>YANG JAN</v>
      </c>
    </row>
    <row r="108" spans="1:7" x14ac:dyDescent="0.25">
      <c r="A108" s="8">
        <v>42935.456956018519</v>
      </c>
      <c r="B108" s="20" t="s">
        <v>616</v>
      </c>
      <c r="C108" s="20" t="s">
        <v>624</v>
      </c>
      <c r="D108" s="138">
        <v>3320000</v>
      </c>
      <c r="E108" s="20" t="s">
        <v>518</v>
      </c>
      <c r="F108" s="20" t="s">
        <v>519</v>
      </c>
      <c r="G108" s="8" t="str">
        <f t="shared" si="1"/>
        <v>NICHOLSON WESLEY</v>
      </c>
    </row>
    <row r="109" spans="1:7" x14ac:dyDescent="0.25">
      <c r="A109" s="8">
        <v>42935.466400462959</v>
      </c>
      <c r="B109" s="20" t="s">
        <v>499</v>
      </c>
      <c r="C109" s="20" t="s">
        <v>625</v>
      </c>
      <c r="D109" s="138">
        <v>880000</v>
      </c>
      <c r="E109" s="20" t="s">
        <v>563</v>
      </c>
      <c r="F109" s="20" t="s">
        <v>192</v>
      </c>
      <c r="G109" s="8" t="str">
        <f t="shared" si="1"/>
        <v>STEWART MICHAEL</v>
      </c>
    </row>
    <row r="110" spans="1:7" x14ac:dyDescent="0.25">
      <c r="A110" s="8">
        <v>42935.467280092591</v>
      </c>
      <c r="B110" s="20" t="s">
        <v>462</v>
      </c>
      <c r="C110" s="20" t="s">
        <v>733</v>
      </c>
      <c r="D110" s="138">
        <v>2560000</v>
      </c>
      <c r="E110" s="20" t="s">
        <v>663</v>
      </c>
      <c r="F110" s="20" t="s">
        <v>360</v>
      </c>
      <c r="G110" s="8" t="str">
        <f t="shared" si="1"/>
        <v>MACDONALD THOMAS</v>
      </c>
    </row>
    <row r="111" spans="1:7" x14ac:dyDescent="0.25">
      <c r="A111" s="8">
        <v>42935.467789351853</v>
      </c>
      <c r="B111" s="20" t="s">
        <v>491</v>
      </c>
      <c r="C111" s="20" t="s">
        <v>614</v>
      </c>
      <c r="D111" s="138">
        <v>2270000</v>
      </c>
      <c r="E111" s="20" t="s">
        <v>502</v>
      </c>
      <c r="F111" s="20" t="s">
        <v>503</v>
      </c>
      <c r="G111" s="8" t="str">
        <f t="shared" si="1"/>
        <v>BROWN JACOB</v>
      </c>
    </row>
    <row r="112" spans="1:7" x14ac:dyDescent="0.25">
      <c r="A112" s="8">
        <v>42935.474016203705</v>
      </c>
      <c r="B112" s="20" t="s">
        <v>430</v>
      </c>
      <c r="C112" s="20" t="s">
        <v>734</v>
      </c>
      <c r="D112" s="138">
        <v>3200000</v>
      </c>
      <c r="E112" s="20" t="s">
        <v>517</v>
      </c>
      <c r="F112" s="20" t="s">
        <v>475</v>
      </c>
      <c r="G112" s="8" t="str">
        <f t="shared" si="1"/>
        <v>MILLER KEVIN</v>
      </c>
    </row>
    <row r="113" spans="1:7" x14ac:dyDescent="0.25">
      <c r="A113" s="8">
        <v>42935.475682870368</v>
      </c>
      <c r="B113" s="20" t="s">
        <v>560</v>
      </c>
      <c r="C113" s="20" t="s">
        <v>735</v>
      </c>
      <c r="D113" s="138">
        <v>1110000</v>
      </c>
      <c r="E113" s="20" t="s">
        <v>423</v>
      </c>
      <c r="F113" s="20" t="s">
        <v>424</v>
      </c>
      <c r="G113" s="8" t="str">
        <f t="shared" si="1"/>
        <v>STARKS ANGELINA</v>
      </c>
    </row>
    <row r="114" spans="1:7" x14ac:dyDescent="0.25">
      <c r="A114" s="8">
        <v>42935.476909722223</v>
      </c>
      <c r="B114" s="20" t="s">
        <v>626</v>
      </c>
      <c r="C114" s="20" t="s">
        <v>627</v>
      </c>
      <c r="D114" s="138">
        <v>3260000</v>
      </c>
      <c r="E114" s="20" t="s">
        <v>525</v>
      </c>
      <c r="F114" s="20" t="s">
        <v>526</v>
      </c>
      <c r="G114" s="8" t="str">
        <f t="shared" si="1"/>
        <v>PAGE MARCUS</v>
      </c>
    </row>
    <row r="115" spans="1:7" x14ac:dyDescent="0.25">
      <c r="A115" s="8">
        <v>42935.484710648147</v>
      </c>
      <c r="B115" s="20" t="s">
        <v>468</v>
      </c>
      <c r="C115" s="20" t="s">
        <v>736</v>
      </c>
      <c r="D115" s="138">
        <v>1780000</v>
      </c>
      <c r="E115" s="20" t="s">
        <v>520</v>
      </c>
      <c r="F115" s="20" t="s">
        <v>521</v>
      </c>
      <c r="G115" s="8" t="str">
        <f t="shared" si="1"/>
        <v>DE LA ROSA ALEX</v>
      </c>
    </row>
    <row r="116" spans="1:7" x14ac:dyDescent="0.25">
      <c r="A116" s="8">
        <v>42935.485150462962</v>
      </c>
      <c r="B116" s="20" t="s">
        <v>622</v>
      </c>
      <c r="C116" s="20" t="s">
        <v>737</v>
      </c>
      <c r="D116" s="138">
        <v>3320000</v>
      </c>
      <c r="E116" s="20" t="s">
        <v>518</v>
      </c>
      <c r="F116" s="20" t="s">
        <v>519</v>
      </c>
      <c r="G116" s="8" t="str">
        <f t="shared" si="1"/>
        <v>NICHOLSON WESLEY</v>
      </c>
    </row>
    <row r="117" spans="1:7" x14ac:dyDescent="0.25">
      <c r="A117" s="8">
        <v>42935.487592592595</v>
      </c>
      <c r="B117" s="20" t="s">
        <v>618</v>
      </c>
      <c r="C117" s="20" t="s">
        <v>738</v>
      </c>
      <c r="D117" s="138">
        <v>1770000</v>
      </c>
      <c r="E117" s="20" t="s">
        <v>504</v>
      </c>
      <c r="F117" s="20" t="s">
        <v>505</v>
      </c>
      <c r="G117" s="8" t="str">
        <f t="shared" si="1"/>
        <v>BRUDER RICHARD</v>
      </c>
    </row>
    <row r="118" spans="1:7" x14ac:dyDescent="0.25">
      <c r="A118" s="8">
        <v>42935.49322916667</v>
      </c>
      <c r="B118" s="20" t="s">
        <v>669</v>
      </c>
      <c r="C118" s="20" t="s">
        <v>739</v>
      </c>
      <c r="D118" s="138">
        <v>2730000</v>
      </c>
      <c r="E118" s="20" t="s">
        <v>558</v>
      </c>
      <c r="F118" s="20" t="s">
        <v>559</v>
      </c>
      <c r="G118" s="8" t="str">
        <f t="shared" si="1"/>
        <v>YANG JAN</v>
      </c>
    </row>
    <row r="119" spans="1:7" x14ac:dyDescent="0.25">
      <c r="A119" s="8">
        <v>42935.494618055556</v>
      </c>
      <c r="B119" s="20" t="s">
        <v>553</v>
      </c>
      <c r="C119" s="20" t="s">
        <v>620</v>
      </c>
      <c r="D119" s="138">
        <v>2270000</v>
      </c>
      <c r="E119" s="20" t="s">
        <v>502</v>
      </c>
      <c r="F119" s="20" t="s">
        <v>503</v>
      </c>
      <c r="G119" s="8" t="str">
        <f t="shared" si="1"/>
        <v>BROWN JACOB</v>
      </c>
    </row>
    <row r="120" spans="1:7" x14ac:dyDescent="0.25">
      <c r="A120" s="8">
        <v>42935.497291666667</v>
      </c>
      <c r="B120" s="20" t="s">
        <v>336</v>
      </c>
      <c r="C120" s="20" t="s">
        <v>740</v>
      </c>
      <c r="D120" s="138">
        <v>1300000</v>
      </c>
      <c r="E120" s="20" t="s">
        <v>529</v>
      </c>
      <c r="F120" s="20" t="s">
        <v>530</v>
      </c>
      <c r="G120" s="8" t="str">
        <f t="shared" si="1"/>
        <v>LEVIN SCOTT</v>
      </c>
    </row>
    <row r="121" spans="1:7" x14ac:dyDescent="0.25">
      <c r="A121" s="8">
        <v>42935.499247685184</v>
      </c>
      <c r="B121" s="20" t="s">
        <v>616</v>
      </c>
      <c r="C121" s="20" t="s">
        <v>741</v>
      </c>
      <c r="D121" s="138">
        <v>3320000</v>
      </c>
      <c r="E121" s="20" t="s">
        <v>518</v>
      </c>
      <c r="F121" s="20" t="s">
        <v>519</v>
      </c>
      <c r="G121" s="8" t="str">
        <f t="shared" si="1"/>
        <v>NICHOLSON WESLEY</v>
      </c>
    </row>
    <row r="122" spans="1:7" x14ac:dyDescent="0.25">
      <c r="A122" s="8">
        <v>42935.505428240744</v>
      </c>
      <c r="B122" s="25" t="s">
        <v>553</v>
      </c>
      <c r="C122" s="20" t="s">
        <v>620</v>
      </c>
      <c r="D122" s="138">
        <v>2270000</v>
      </c>
      <c r="E122" s="20" t="s">
        <v>502</v>
      </c>
      <c r="F122" s="20" t="s">
        <v>503</v>
      </c>
      <c r="G122" s="8" t="str">
        <f t="shared" si="1"/>
        <v>BROWN JACOB</v>
      </c>
    </row>
    <row r="123" spans="1:7" x14ac:dyDescent="0.25">
      <c r="A123" s="8">
        <v>42935.505520833336</v>
      </c>
      <c r="B123" s="20" t="s">
        <v>609</v>
      </c>
      <c r="C123" s="20" t="s">
        <v>742</v>
      </c>
      <c r="D123" s="138">
        <v>880000</v>
      </c>
      <c r="E123" s="20" t="s">
        <v>563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42935.507962962962</v>
      </c>
      <c r="B124" s="20" t="s">
        <v>352</v>
      </c>
      <c r="C124" s="20" t="s">
        <v>628</v>
      </c>
      <c r="D124" s="138">
        <v>2370000</v>
      </c>
      <c r="E124" s="20" t="s">
        <v>743</v>
      </c>
      <c r="F124" s="20" t="s">
        <v>744</v>
      </c>
      <c r="G124" s="8" t="str">
        <f t="shared" si="1"/>
        <v>DELGADO DIANAH</v>
      </c>
    </row>
    <row r="125" spans="1:7" x14ac:dyDescent="0.25">
      <c r="A125" s="8">
        <v>42935.50885416667</v>
      </c>
      <c r="B125" s="20" t="s">
        <v>611</v>
      </c>
      <c r="C125" s="20" t="s">
        <v>629</v>
      </c>
      <c r="D125" s="138">
        <v>3260000</v>
      </c>
      <c r="E125" s="20" t="s">
        <v>525</v>
      </c>
      <c r="F125" s="20" t="s">
        <v>526</v>
      </c>
      <c r="G125" s="8" t="str">
        <f t="shared" si="1"/>
        <v>PAGE MARCUS</v>
      </c>
    </row>
    <row r="126" spans="1:7" x14ac:dyDescent="0.25">
      <c r="A126" s="8">
        <v>42935.51934027778</v>
      </c>
      <c r="B126" s="20" t="s">
        <v>472</v>
      </c>
      <c r="C126" s="20" t="s">
        <v>745</v>
      </c>
      <c r="D126" s="138">
        <v>920000</v>
      </c>
      <c r="E126" s="20" t="s">
        <v>383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42935.522800925923</v>
      </c>
      <c r="B127" s="20" t="s">
        <v>609</v>
      </c>
      <c r="C127" s="20" t="s">
        <v>742</v>
      </c>
      <c r="D127" s="138">
        <v>880000</v>
      </c>
      <c r="E127" s="20" t="s">
        <v>563</v>
      </c>
      <c r="F127" s="20" t="s">
        <v>192</v>
      </c>
      <c r="G127" s="8" t="str">
        <f t="shared" si="1"/>
        <v>STEWART MICHAEL</v>
      </c>
    </row>
    <row r="128" spans="1:7" x14ac:dyDescent="0.25">
      <c r="A128" s="8">
        <v>42935.526226851849</v>
      </c>
      <c r="B128" s="20" t="s">
        <v>622</v>
      </c>
      <c r="C128" s="20" t="s">
        <v>746</v>
      </c>
      <c r="D128" s="138">
        <v>3320000</v>
      </c>
      <c r="E128" s="20" t="s">
        <v>518</v>
      </c>
      <c r="F128" s="20" t="s">
        <v>519</v>
      </c>
      <c r="G128" s="8" t="str">
        <f t="shared" si="1"/>
        <v>NICHOLSON WESLEY</v>
      </c>
    </row>
    <row r="129" spans="1:7" x14ac:dyDescent="0.25">
      <c r="A129" s="8">
        <v>42935.527175925927</v>
      </c>
      <c r="B129" s="20" t="s">
        <v>673</v>
      </c>
      <c r="C129" s="20" t="s">
        <v>747</v>
      </c>
      <c r="D129" s="138">
        <v>1770000</v>
      </c>
      <c r="E129" s="20" t="s">
        <v>504</v>
      </c>
      <c r="F129" s="20" t="s">
        <v>505</v>
      </c>
      <c r="G129" s="8" t="str">
        <f t="shared" si="1"/>
        <v>BRUDER RICHARD</v>
      </c>
    </row>
    <row r="130" spans="1:7" x14ac:dyDescent="0.25">
      <c r="A130" s="8">
        <v>42935.528425925928</v>
      </c>
      <c r="B130" s="20" t="s">
        <v>676</v>
      </c>
      <c r="C130" s="20" t="s">
        <v>748</v>
      </c>
      <c r="D130" s="138">
        <v>3330000</v>
      </c>
      <c r="E130" s="20" t="s">
        <v>523</v>
      </c>
      <c r="F130" s="20" t="s">
        <v>524</v>
      </c>
      <c r="G130" s="8" t="str">
        <f t="shared" si="1"/>
        <v>GONZALEZ ARMANDO</v>
      </c>
    </row>
    <row r="131" spans="1:7" x14ac:dyDescent="0.25">
      <c r="A131" s="8">
        <v>42935.532847222225</v>
      </c>
      <c r="B131" s="20" t="s">
        <v>553</v>
      </c>
      <c r="C131" s="20" t="s">
        <v>620</v>
      </c>
      <c r="D131" s="138">
        <v>2270000</v>
      </c>
      <c r="E131" s="20" t="s">
        <v>502</v>
      </c>
      <c r="F131" s="20" t="s">
        <v>503</v>
      </c>
      <c r="G131" s="8" t="str">
        <f t="shared" ref="G131:G194" si="2">E131&amp;" "&amp;F131</f>
        <v>BROWN JACOB</v>
      </c>
    </row>
    <row r="132" spans="1:7" x14ac:dyDescent="0.25">
      <c r="A132" s="8">
        <v>42935.536898148152</v>
      </c>
      <c r="B132" s="20" t="s">
        <v>462</v>
      </c>
      <c r="C132" s="20" t="s">
        <v>749</v>
      </c>
      <c r="D132" s="138">
        <v>1300000</v>
      </c>
      <c r="E132" s="20" t="s">
        <v>529</v>
      </c>
      <c r="F132" s="20" t="s">
        <v>530</v>
      </c>
      <c r="G132" s="8" t="str">
        <f t="shared" si="2"/>
        <v>LEVIN SCOTT</v>
      </c>
    </row>
    <row r="133" spans="1:7" x14ac:dyDescent="0.25">
      <c r="A133" s="8">
        <v>42935.546064814815</v>
      </c>
      <c r="B133" s="20" t="s">
        <v>430</v>
      </c>
      <c r="C133" s="20" t="s">
        <v>750</v>
      </c>
      <c r="D133" s="138">
        <v>2370000</v>
      </c>
      <c r="E133" s="20" t="s">
        <v>743</v>
      </c>
      <c r="F133" s="20" t="s">
        <v>744</v>
      </c>
      <c r="G133" s="8" t="str">
        <f t="shared" si="2"/>
        <v>DELGADO DIANAH</v>
      </c>
    </row>
    <row r="134" spans="1:7" x14ac:dyDescent="0.25">
      <c r="A134" s="8">
        <v>42935.549618055556</v>
      </c>
      <c r="B134" s="20" t="s">
        <v>616</v>
      </c>
      <c r="C134" s="20" t="s">
        <v>751</v>
      </c>
      <c r="D134" s="138">
        <v>3310000</v>
      </c>
      <c r="E134" s="20" t="s">
        <v>527</v>
      </c>
      <c r="F134" s="20" t="s">
        <v>528</v>
      </c>
      <c r="G134" s="8" t="str">
        <f t="shared" si="2"/>
        <v>ANDERS STEVEN</v>
      </c>
    </row>
    <row r="135" spans="1:7" x14ac:dyDescent="0.25">
      <c r="A135" s="8">
        <v>42935.549803240741</v>
      </c>
      <c r="B135" s="20" t="s">
        <v>626</v>
      </c>
      <c r="C135" s="20" t="s">
        <v>752</v>
      </c>
      <c r="D135" s="138">
        <v>3260000</v>
      </c>
      <c r="E135" s="20" t="s">
        <v>525</v>
      </c>
      <c r="F135" s="20" t="s">
        <v>526</v>
      </c>
      <c r="G135" s="8" t="str">
        <f t="shared" si="2"/>
        <v>PAGE MARCUS</v>
      </c>
    </row>
    <row r="136" spans="1:7" x14ac:dyDescent="0.25">
      <c r="A136" s="8">
        <v>42935.55201388889</v>
      </c>
      <c r="B136" s="20" t="s">
        <v>499</v>
      </c>
      <c r="C136" s="20" t="s">
        <v>753</v>
      </c>
      <c r="D136" s="138">
        <v>880000</v>
      </c>
      <c r="E136" s="20" t="s">
        <v>563</v>
      </c>
      <c r="F136" s="20" t="s">
        <v>192</v>
      </c>
      <c r="G136" s="8" t="str">
        <f t="shared" si="2"/>
        <v>STEWART MICHAEL</v>
      </c>
    </row>
    <row r="137" spans="1:7" x14ac:dyDescent="0.25">
      <c r="A137" s="8">
        <v>42935.559745370374</v>
      </c>
      <c r="B137" s="20" t="s">
        <v>468</v>
      </c>
      <c r="C137" s="20" t="s">
        <v>754</v>
      </c>
      <c r="D137" s="138">
        <v>920000</v>
      </c>
      <c r="E137" s="20" t="s">
        <v>383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42935.560069444444</v>
      </c>
      <c r="B138" s="20" t="s">
        <v>618</v>
      </c>
      <c r="C138" s="20" t="s">
        <v>755</v>
      </c>
      <c r="D138" s="138">
        <v>1770000</v>
      </c>
      <c r="E138" s="20" t="s">
        <v>504</v>
      </c>
      <c r="F138" s="20" t="s">
        <v>505</v>
      </c>
      <c r="G138" s="8" t="str">
        <f t="shared" si="2"/>
        <v>BRUDER RICHARD</v>
      </c>
    </row>
    <row r="139" spans="1:7" x14ac:dyDescent="0.25">
      <c r="A139" s="8">
        <v>42935.56759259259</v>
      </c>
      <c r="B139" s="20" t="s">
        <v>669</v>
      </c>
      <c r="C139" s="20" t="s">
        <v>756</v>
      </c>
      <c r="D139" s="138">
        <v>3330000</v>
      </c>
      <c r="E139" s="20" t="s">
        <v>523</v>
      </c>
      <c r="F139" s="20" t="s">
        <v>524</v>
      </c>
      <c r="G139" s="8" t="str">
        <f t="shared" si="2"/>
        <v>GONZALEZ ARMANDO</v>
      </c>
    </row>
    <row r="140" spans="1:7" x14ac:dyDescent="0.25">
      <c r="A140" s="8">
        <v>42935.568101851852</v>
      </c>
      <c r="B140" s="20" t="s">
        <v>622</v>
      </c>
      <c r="C140" s="20" t="s">
        <v>757</v>
      </c>
      <c r="D140" s="138">
        <v>3310000</v>
      </c>
      <c r="E140" s="20" t="s">
        <v>527</v>
      </c>
      <c r="F140" s="20" t="s">
        <v>528</v>
      </c>
      <c r="G140" s="8" t="str">
        <f t="shared" si="2"/>
        <v>ANDERS STEVEN</v>
      </c>
    </row>
    <row r="141" spans="1:7" x14ac:dyDescent="0.25">
      <c r="A141" s="8">
        <v>42935.570439814815</v>
      </c>
      <c r="B141" s="20" t="s">
        <v>336</v>
      </c>
      <c r="C141" s="20" t="s">
        <v>630</v>
      </c>
      <c r="D141" s="138">
        <v>1300000</v>
      </c>
      <c r="E141" s="20" t="s">
        <v>529</v>
      </c>
      <c r="F141" s="20" t="s">
        <v>530</v>
      </c>
      <c r="G141" s="8" t="str">
        <f t="shared" si="2"/>
        <v>LEVIN SCOTT</v>
      </c>
    </row>
    <row r="142" spans="1:7" x14ac:dyDescent="0.25">
      <c r="A142" s="8">
        <v>42935.57953703704</v>
      </c>
      <c r="B142" s="20" t="s">
        <v>611</v>
      </c>
      <c r="C142" s="20" t="s">
        <v>758</v>
      </c>
      <c r="D142" s="138">
        <v>3260000</v>
      </c>
      <c r="E142" s="20" t="s">
        <v>525</v>
      </c>
      <c r="F142" s="20" t="s">
        <v>526</v>
      </c>
      <c r="G142" s="8" t="str">
        <f t="shared" si="2"/>
        <v>PAGE MARCUS</v>
      </c>
    </row>
    <row r="143" spans="1:7" x14ac:dyDescent="0.25">
      <c r="A143" s="8">
        <v>42935.579594907409</v>
      </c>
      <c r="B143" s="20" t="s">
        <v>352</v>
      </c>
      <c r="C143" s="20" t="s">
        <v>759</v>
      </c>
      <c r="D143" s="138">
        <v>2370000</v>
      </c>
      <c r="E143" s="20" t="s">
        <v>743</v>
      </c>
      <c r="F143" s="20" t="s">
        <v>744</v>
      </c>
      <c r="G143" s="8" t="str">
        <f t="shared" si="2"/>
        <v>DELGADO DIANAH</v>
      </c>
    </row>
    <row r="144" spans="1:7" x14ac:dyDescent="0.25">
      <c r="A144" s="8">
        <v>42935.579791666663</v>
      </c>
      <c r="B144" s="20" t="s">
        <v>609</v>
      </c>
      <c r="C144" s="20" t="s">
        <v>760</v>
      </c>
      <c r="D144" s="138">
        <v>880000</v>
      </c>
      <c r="E144" s="20" t="s">
        <v>563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42935.593055555553</v>
      </c>
      <c r="B145" s="20" t="s">
        <v>472</v>
      </c>
      <c r="C145" s="20" t="s">
        <v>761</v>
      </c>
      <c r="D145" s="138">
        <v>920000</v>
      </c>
      <c r="E145" s="20" t="s">
        <v>383</v>
      </c>
      <c r="F145" s="20" t="s">
        <v>192</v>
      </c>
      <c r="G145" s="8" t="str">
        <f t="shared" si="2"/>
        <v>DAVIS MICHAEL</v>
      </c>
    </row>
    <row r="146" spans="1:7" x14ac:dyDescent="0.25">
      <c r="A146" s="8">
        <v>42935.594131944446</v>
      </c>
      <c r="B146" s="20" t="s">
        <v>616</v>
      </c>
      <c r="C146" s="20" t="s">
        <v>762</v>
      </c>
      <c r="D146" s="138">
        <v>3310000</v>
      </c>
      <c r="E146" s="20" t="s">
        <v>527</v>
      </c>
      <c r="F146" s="20" t="s">
        <v>528</v>
      </c>
      <c r="G146" s="8" t="str">
        <f t="shared" si="2"/>
        <v>ANDERS STEVEN</v>
      </c>
    </row>
    <row r="147" spans="1:7" x14ac:dyDescent="0.25">
      <c r="A147" s="8">
        <v>42935.59915509259</v>
      </c>
      <c r="B147" s="20" t="s">
        <v>676</v>
      </c>
      <c r="C147" s="20" t="s">
        <v>763</v>
      </c>
      <c r="D147" s="138">
        <v>3330000</v>
      </c>
      <c r="E147" s="20" t="s">
        <v>523</v>
      </c>
      <c r="F147" s="20" t="s">
        <v>524</v>
      </c>
      <c r="G147" s="8" t="str">
        <f t="shared" si="2"/>
        <v>GONZALEZ ARMANDO</v>
      </c>
    </row>
    <row r="148" spans="1:7" x14ac:dyDescent="0.25">
      <c r="A148" s="8">
        <v>42935.599293981482</v>
      </c>
      <c r="B148" s="20" t="s">
        <v>673</v>
      </c>
      <c r="C148" s="20" t="s">
        <v>764</v>
      </c>
      <c r="D148" s="138">
        <v>1770000</v>
      </c>
      <c r="E148" s="20" t="s">
        <v>504</v>
      </c>
      <c r="F148" s="20" t="s">
        <v>505</v>
      </c>
      <c r="G148" s="8" t="str">
        <f t="shared" si="2"/>
        <v>BRUDER RICHARD</v>
      </c>
    </row>
    <row r="149" spans="1:7" x14ac:dyDescent="0.25">
      <c r="A149" s="8">
        <v>42935.608391203707</v>
      </c>
      <c r="B149" s="20" t="s">
        <v>462</v>
      </c>
      <c r="C149" s="20" t="s">
        <v>765</v>
      </c>
      <c r="D149" s="138">
        <v>1300000</v>
      </c>
      <c r="E149" s="20" t="s">
        <v>529</v>
      </c>
      <c r="F149" s="20" t="s">
        <v>530</v>
      </c>
      <c r="G149" s="8" t="str">
        <f t="shared" si="2"/>
        <v>LEVIN SCOTT</v>
      </c>
    </row>
    <row r="150" spans="1:7" x14ac:dyDescent="0.25">
      <c r="A150" s="8">
        <v>42935.610277777778</v>
      </c>
      <c r="B150" s="20" t="s">
        <v>622</v>
      </c>
      <c r="C150" s="20" t="s">
        <v>766</v>
      </c>
      <c r="D150" s="138">
        <v>3310000</v>
      </c>
      <c r="E150" s="20" t="s">
        <v>527</v>
      </c>
      <c r="F150" s="20" t="s">
        <v>528</v>
      </c>
      <c r="G150" s="8" t="str">
        <f t="shared" si="2"/>
        <v>ANDERS STEVEN</v>
      </c>
    </row>
    <row r="151" spans="1:7" x14ac:dyDescent="0.25">
      <c r="A151" s="8">
        <v>42935.612326388888</v>
      </c>
      <c r="B151" s="20" t="s">
        <v>499</v>
      </c>
      <c r="C151" s="20" t="s">
        <v>767</v>
      </c>
      <c r="D151" s="138">
        <v>880000</v>
      </c>
      <c r="E151" s="20" t="s">
        <v>563</v>
      </c>
      <c r="F151" s="20" t="s">
        <v>192</v>
      </c>
      <c r="G151" s="8" t="str">
        <f t="shared" si="2"/>
        <v>STEWART MICHAEL</v>
      </c>
    </row>
    <row r="152" spans="1:7" x14ac:dyDescent="0.25">
      <c r="A152" s="8">
        <v>42935.617152777777</v>
      </c>
      <c r="B152" s="20" t="s">
        <v>430</v>
      </c>
      <c r="C152" s="20" t="s">
        <v>768</v>
      </c>
      <c r="D152" s="138">
        <v>2370000</v>
      </c>
      <c r="E152" s="20" t="s">
        <v>743</v>
      </c>
      <c r="F152" s="20" t="s">
        <v>744</v>
      </c>
      <c r="G152" s="8" t="str">
        <f t="shared" si="2"/>
        <v>DELGADO DIANAH</v>
      </c>
    </row>
    <row r="153" spans="1:7" x14ac:dyDescent="0.25">
      <c r="A153" s="8">
        <v>42935.619490740741</v>
      </c>
      <c r="B153" s="20" t="s">
        <v>626</v>
      </c>
      <c r="C153" s="20" t="s">
        <v>769</v>
      </c>
      <c r="D153" s="138">
        <v>3260000</v>
      </c>
      <c r="E153" s="20" t="s">
        <v>525</v>
      </c>
      <c r="F153" s="20" t="s">
        <v>526</v>
      </c>
      <c r="G153" s="8" t="str">
        <f t="shared" si="2"/>
        <v>PAGE MARCUS</v>
      </c>
    </row>
    <row r="154" spans="1:7" x14ac:dyDescent="0.25">
      <c r="A154" s="8">
        <v>42935.632465277777</v>
      </c>
      <c r="B154" s="20" t="s">
        <v>618</v>
      </c>
      <c r="C154" s="20" t="s">
        <v>770</v>
      </c>
      <c r="D154" s="138">
        <v>1770000</v>
      </c>
      <c r="E154" s="20" t="s">
        <v>504</v>
      </c>
      <c r="F154" s="20" t="s">
        <v>505</v>
      </c>
      <c r="G154" s="8" t="str">
        <f t="shared" si="2"/>
        <v>BRUDER RICHARD</v>
      </c>
    </row>
    <row r="155" spans="1:7" x14ac:dyDescent="0.25">
      <c r="A155" s="8">
        <v>42935.632719907408</v>
      </c>
      <c r="B155" s="20" t="s">
        <v>468</v>
      </c>
      <c r="C155" s="20" t="s">
        <v>771</v>
      </c>
      <c r="D155" s="138">
        <v>920000</v>
      </c>
      <c r="E155" s="20" t="s">
        <v>383</v>
      </c>
      <c r="F155" s="20" t="s">
        <v>192</v>
      </c>
      <c r="G155" s="8" t="str">
        <f t="shared" si="2"/>
        <v>DAVIS MICHAEL</v>
      </c>
    </row>
    <row r="156" spans="1:7" x14ac:dyDescent="0.25">
      <c r="A156" s="8">
        <v>42935.63417824074</v>
      </c>
      <c r="B156" s="20" t="s">
        <v>616</v>
      </c>
      <c r="C156" s="20" t="s">
        <v>772</v>
      </c>
      <c r="D156" s="138">
        <v>3310000</v>
      </c>
      <c r="E156" s="20" t="s">
        <v>527</v>
      </c>
      <c r="F156" s="20" t="s">
        <v>528</v>
      </c>
      <c r="G156" s="8" t="str">
        <f t="shared" si="2"/>
        <v>ANDERS STEVEN</v>
      </c>
    </row>
    <row r="157" spans="1:7" x14ac:dyDescent="0.25">
      <c r="A157" s="8">
        <v>42935.63621527778</v>
      </c>
      <c r="B157" s="20" t="s">
        <v>638</v>
      </c>
      <c r="C157" s="20" t="s">
        <v>773</v>
      </c>
      <c r="D157" s="138">
        <v>3280000</v>
      </c>
      <c r="E157" s="20" t="s">
        <v>464</v>
      </c>
      <c r="F157" s="20" t="s">
        <v>465</v>
      </c>
      <c r="G157" s="8" t="str">
        <f t="shared" si="2"/>
        <v>BIRKHOLZ NADINE</v>
      </c>
    </row>
    <row r="158" spans="1:7" x14ac:dyDescent="0.25">
      <c r="A158" s="8">
        <v>42935.638020833336</v>
      </c>
      <c r="B158" s="20" t="s">
        <v>669</v>
      </c>
      <c r="C158" s="20" t="s">
        <v>774</v>
      </c>
      <c r="D158" s="138">
        <v>3330000</v>
      </c>
      <c r="E158" s="20" t="s">
        <v>523</v>
      </c>
      <c r="F158" s="20" t="s">
        <v>524</v>
      </c>
      <c r="G158" s="8" t="str">
        <f t="shared" si="2"/>
        <v>GONZALEZ ARMANDO</v>
      </c>
    </row>
    <row r="159" spans="1:7" x14ac:dyDescent="0.25">
      <c r="A159" s="8">
        <v>42935.639085648145</v>
      </c>
      <c r="B159" s="20" t="s">
        <v>638</v>
      </c>
      <c r="C159" s="20" t="s">
        <v>773</v>
      </c>
      <c r="D159" s="138">
        <v>3280000</v>
      </c>
      <c r="E159" s="20" t="s">
        <v>464</v>
      </c>
      <c r="F159" s="20" t="s">
        <v>465</v>
      </c>
      <c r="G159" s="8" t="str">
        <f t="shared" si="2"/>
        <v>BIRKHOLZ NADINE</v>
      </c>
    </row>
    <row r="160" spans="1:7" x14ac:dyDescent="0.25">
      <c r="A160" s="8">
        <v>42935.639363425929</v>
      </c>
      <c r="B160" s="20" t="s">
        <v>553</v>
      </c>
      <c r="C160" s="20" t="s">
        <v>619</v>
      </c>
      <c r="D160" s="138">
        <v>2550000</v>
      </c>
      <c r="E160" s="20" t="s">
        <v>775</v>
      </c>
      <c r="F160" s="20" t="s">
        <v>776</v>
      </c>
      <c r="G160" s="8" t="str">
        <f t="shared" si="2"/>
        <v>BADERTSCHER DIANE</v>
      </c>
    </row>
    <row r="161" spans="1:7" x14ac:dyDescent="0.25">
      <c r="A161" s="8">
        <v>42935.639641203707</v>
      </c>
      <c r="B161" s="20" t="s">
        <v>638</v>
      </c>
      <c r="C161" s="20" t="s">
        <v>773</v>
      </c>
      <c r="D161" s="138">
        <v>3280000</v>
      </c>
      <c r="E161" s="20" t="s">
        <v>464</v>
      </c>
      <c r="F161" s="20" t="s">
        <v>465</v>
      </c>
      <c r="G161" s="8" t="str">
        <f t="shared" si="2"/>
        <v>BIRKHOLZ NADINE</v>
      </c>
    </row>
    <row r="162" spans="1:7" x14ac:dyDescent="0.25">
      <c r="A162" s="8">
        <v>42935.641504629632</v>
      </c>
      <c r="B162" s="20" t="s">
        <v>553</v>
      </c>
      <c r="C162" s="20" t="s">
        <v>619</v>
      </c>
      <c r="D162" s="138">
        <v>2550000</v>
      </c>
      <c r="E162" s="20" t="s">
        <v>775</v>
      </c>
      <c r="F162" s="20" t="s">
        <v>776</v>
      </c>
      <c r="G162" s="8" t="str">
        <f t="shared" si="2"/>
        <v>BADERTSCHER DIANE</v>
      </c>
    </row>
    <row r="163" spans="1:7" x14ac:dyDescent="0.25">
      <c r="A163" s="8">
        <v>42935.642708333333</v>
      </c>
      <c r="B163" s="20" t="s">
        <v>336</v>
      </c>
      <c r="C163" s="20" t="s">
        <v>777</v>
      </c>
      <c r="D163" s="138">
        <v>1300000</v>
      </c>
      <c r="E163" s="20" t="s">
        <v>529</v>
      </c>
      <c r="F163" s="20" t="s">
        <v>530</v>
      </c>
      <c r="G163" s="8" t="str">
        <f t="shared" si="2"/>
        <v>LEVIN SCOTT</v>
      </c>
    </row>
    <row r="164" spans="1:7" x14ac:dyDescent="0.25">
      <c r="A164" s="8">
        <v>42935.645196759258</v>
      </c>
      <c r="B164" s="20" t="s">
        <v>491</v>
      </c>
      <c r="C164" s="20" t="s">
        <v>619</v>
      </c>
      <c r="D164" s="138">
        <v>2550000</v>
      </c>
      <c r="E164" s="20" t="s">
        <v>775</v>
      </c>
      <c r="F164" s="20" t="s">
        <v>776</v>
      </c>
      <c r="G164" s="8" t="str">
        <f t="shared" si="2"/>
        <v>BADERTSCHER DIANE</v>
      </c>
    </row>
    <row r="165" spans="1:7" x14ac:dyDescent="0.25">
      <c r="A165" s="8">
        <v>42935.646365740744</v>
      </c>
      <c r="B165" s="20" t="s">
        <v>491</v>
      </c>
      <c r="C165" s="20" t="s">
        <v>619</v>
      </c>
      <c r="D165" s="138">
        <v>2550000</v>
      </c>
      <c r="E165" s="20" t="s">
        <v>775</v>
      </c>
      <c r="F165" s="20" t="s">
        <v>776</v>
      </c>
      <c r="G165" s="8" t="str">
        <f t="shared" si="2"/>
        <v>BADERTSCHER DIANE</v>
      </c>
    </row>
    <row r="166" spans="1:7" x14ac:dyDescent="0.25">
      <c r="A166" s="8">
        <v>42935.648194444446</v>
      </c>
      <c r="B166" s="20" t="s">
        <v>491</v>
      </c>
      <c r="C166" s="20" t="s">
        <v>619</v>
      </c>
      <c r="D166" s="138">
        <v>2550000</v>
      </c>
      <c r="E166" s="20" t="s">
        <v>775</v>
      </c>
      <c r="F166" s="20" t="s">
        <v>776</v>
      </c>
      <c r="G166" s="8" t="str">
        <f t="shared" si="2"/>
        <v>BADERTSCHER DIANE</v>
      </c>
    </row>
    <row r="167" spans="1:7" x14ac:dyDescent="0.25">
      <c r="A167" s="8">
        <v>42935.651226851849</v>
      </c>
      <c r="B167" s="20" t="s">
        <v>609</v>
      </c>
      <c r="C167" s="20" t="s">
        <v>778</v>
      </c>
      <c r="D167" s="138">
        <v>880000</v>
      </c>
      <c r="E167" s="20" t="s">
        <v>563</v>
      </c>
      <c r="F167" s="20" t="s">
        <v>192</v>
      </c>
      <c r="G167" s="8" t="str">
        <f t="shared" si="2"/>
        <v>STEWART MICHAEL</v>
      </c>
    </row>
    <row r="168" spans="1:7" x14ac:dyDescent="0.25">
      <c r="A168" s="8">
        <v>42935.652187500003</v>
      </c>
      <c r="B168" s="20" t="s">
        <v>611</v>
      </c>
      <c r="C168" s="20" t="s">
        <v>631</v>
      </c>
      <c r="D168" s="138">
        <v>3260000</v>
      </c>
      <c r="E168" s="20" t="s">
        <v>525</v>
      </c>
      <c r="F168" s="20" t="s">
        <v>526</v>
      </c>
      <c r="G168" s="8" t="str">
        <f t="shared" si="2"/>
        <v>PAGE MARCUS</v>
      </c>
    </row>
    <row r="169" spans="1:7" x14ac:dyDescent="0.25">
      <c r="A169" s="8">
        <v>42935.652256944442</v>
      </c>
      <c r="B169" s="20" t="s">
        <v>352</v>
      </c>
      <c r="C169" s="20" t="s">
        <v>779</v>
      </c>
      <c r="D169" s="138">
        <v>2370000</v>
      </c>
      <c r="E169" s="20" t="s">
        <v>743</v>
      </c>
      <c r="F169" s="20" t="s">
        <v>744</v>
      </c>
      <c r="G169" s="8" t="str">
        <f t="shared" si="2"/>
        <v>DELGADO DIANAH</v>
      </c>
    </row>
    <row r="170" spans="1:7" x14ac:dyDescent="0.25">
      <c r="A170" s="8">
        <v>42935.652662037035</v>
      </c>
      <c r="B170" s="20" t="s">
        <v>622</v>
      </c>
      <c r="C170" s="20" t="s">
        <v>780</v>
      </c>
      <c r="D170" s="138">
        <v>3310000</v>
      </c>
      <c r="E170" s="20" t="s">
        <v>527</v>
      </c>
      <c r="F170" s="20" t="s">
        <v>528</v>
      </c>
      <c r="G170" s="8" t="str">
        <f t="shared" si="2"/>
        <v>ANDERS STEVEN</v>
      </c>
    </row>
    <row r="171" spans="1:7" x14ac:dyDescent="0.25">
      <c r="A171" s="8">
        <v>42935.653564814813</v>
      </c>
      <c r="B171" s="20" t="s">
        <v>491</v>
      </c>
      <c r="C171" s="20" t="s">
        <v>619</v>
      </c>
      <c r="D171" s="138">
        <v>2550000</v>
      </c>
      <c r="E171" s="20" t="s">
        <v>775</v>
      </c>
      <c r="F171" s="20" t="s">
        <v>776</v>
      </c>
      <c r="G171" s="8" t="str">
        <f t="shared" si="2"/>
        <v>BADERTSCHER DIANE</v>
      </c>
    </row>
    <row r="172" spans="1:7" x14ac:dyDescent="0.25">
      <c r="A172" s="8">
        <v>42935.654074074075</v>
      </c>
      <c r="B172" s="20" t="s">
        <v>635</v>
      </c>
      <c r="C172" s="20" t="s">
        <v>781</v>
      </c>
      <c r="D172" s="138">
        <v>3280000</v>
      </c>
      <c r="E172" s="20" t="s">
        <v>464</v>
      </c>
      <c r="F172" s="20" t="s">
        <v>465</v>
      </c>
      <c r="G172" s="8" t="str">
        <f t="shared" si="2"/>
        <v>BIRKHOLZ NADINE</v>
      </c>
    </row>
    <row r="173" spans="1:7" x14ac:dyDescent="0.25">
      <c r="A173" s="8">
        <v>42935.664780092593</v>
      </c>
      <c r="B173" s="20" t="s">
        <v>491</v>
      </c>
      <c r="C173" s="20" t="s">
        <v>619</v>
      </c>
      <c r="D173" s="138">
        <v>2550000</v>
      </c>
      <c r="E173" s="20" t="s">
        <v>775</v>
      </c>
      <c r="F173" s="20" t="s">
        <v>776</v>
      </c>
      <c r="G173" s="8" t="str">
        <f t="shared" si="2"/>
        <v>BADERTSCHER DIANE</v>
      </c>
    </row>
    <row r="174" spans="1:7" x14ac:dyDescent="0.25">
      <c r="A174" s="8">
        <v>42935.66510416667</v>
      </c>
      <c r="B174" s="20" t="s">
        <v>472</v>
      </c>
      <c r="C174" s="20" t="s">
        <v>782</v>
      </c>
      <c r="D174" s="138">
        <v>920000</v>
      </c>
      <c r="E174" s="20" t="s">
        <v>383</v>
      </c>
      <c r="F174" s="20" t="s">
        <v>192</v>
      </c>
      <c r="G174" s="8" t="str">
        <f t="shared" si="2"/>
        <v>DAVIS MICHAEL</v>
      </c>
    </row>
    <row r="175" spans="1:7" x14ac:dyDescent="0.25">
      <c r="A175" s="8">
        <v>42935.667534722219</v>
      </c>
      <c r="B175" s="20" t="s">
        <v>491</v>
      </c>
      <c r="C175" s="20" t="s">
        <v>619</v>
      </c>
      <c r="D175" s="138">
        <v>2550000</v>
      </c>
      <c r="E175" s="20" t="s">
        <v>775</v>
      </c>
      <c r="F175" s="20" t="s">
        <v>776</v>
      </c>
      <c r="G175" s="8" t="str">
        <f t="shared" si="2"/>
        <v>BADERTSCHER DIANE</v>
      </c>
    </row>
    <row r="176" spans="1:7" x14ac:dyDescent="0.25">
      <c r="A176" s="8">
        <v>42935.670208333337</v>
      </c>
      <c r="B176" s="20" t="s">
        <v>491</v>
      </c>
      <c r="C176" s="20" t="s">
        <v>619</v>
      </c>
      <c r="D176" s="138">
        <v>2550000</v>
      </c>
      <c r="E176" s="20" t="s">
        <v>775</v>
      </c>
      <c r="F176" s="20" t="s">
        <v>776</v>
      </c>
      <c r="G176" s="8" t="str">
        <f t="shared" si="2"/>
        <v>BADERTSCHER DIANE</v>
      </c>
    </row>
    <row r="177" spans="1:7" x14ac:dyDescent="0.25">
      <c r="A177" s="8">
        <v>42935.671307870369</v>
      </c>
      <c r="B177" s="20" t="s">
        <v>638</v>
      </c>
      <c r="C177" s="20" t="s">
        <v>783</v>
      </c>
      <c r="D177" s="138">
        <v>3280000</v>
      </c>
      <c r="E177" s="20" t="s">
        <v>464</v>
      </c>
      <c r="F177" s="20" t="s">
        <v>465</v>
      </c>
      <c r="G177" s="8" t="str">
        <f t="shared" si="2"/>
        <v>BIRKHOLZ NADINE</v>
      </c>
    </row>
    <row r="178" spans="1:7" x14ac:dyDescent="0.25">
      <c r="A178" s="8">
        <v>42935.672291666669</v>
      </c>
      <c r="B178" s="20" t="s">
        <v>676</v>
      </c>
      <c r="C178" s="20" t="s">
        <v>784</v>
      </c>
      <c r="D178" s="138">
        <v>3330000</v>
      </c>
      <c r="E178" s="20" t="s">
        <v>523</v>
      </c>
      <c r="F178" s="20" t="s">
        <v>524</v>
      </c>
      <c r="G178" s="8" t="str">
        <f t="shared" si="2"/>
        <v>GONZALEZ ARMANDO</v>
      </c>
    </row>
    <row r="179" spans="1:7" x14ac:dyDescent="0.25">
      <c r="A179" s="8">
        <v>42935.673136574071</v>
      </c>
      <c r="B179" s="20" t="s">
        <v>673</v>
      </c>
      <c r="C179" s="20" t="s">
        <v>785</v>
      </c>
      <c r="D179" s="138">
        <v>1770000</v>
      </c>
      <c r="E179" s="20" t="s">
        <v>504</v>
      </c>
      <c r="F179" s="20" t="s">
        <v>505</v>
      </c>
      <c r="G179" s="8" t="str">
        <f t="shared" si="2"/>
        <v>BRUDER RICHARD</v>
      </c>
    </row>
    <row r="180" spans="1:7" x14ac:dyDescent="0.25">
      <c r="A180" s="8">
        <v>42935.676585648151</v>
      </c>
      <c r="B180" s="20" t="s">
        <v>616</v>
      </c>
      <c r="C180" s="20" t="s">
        <v>786</v>
      </c>
      <c r="D180" s="138">
        <v>3310000</v>
      </c>
      <c r="E180" s="20" t="s">
        <v>527</v>
      </c>
      <c r="F180" s="20" t="s">
        <v>528</v>
      </c>
      <c r="G180" s="8" t="str">
        <f t="shared" si="2"/>
        <v>ANDERS STEVEN</v>
      </c>
    </row>
    <row r="181" spans="1:7" x14ac:dyDescent="0.25">
      <c r="A181" s="8">
        <v>42935.683379629627</v>
      </c>
      <c r="B181" s="20" t="s">
        <v>462</v>
      </c>
      <c r="C181" s="20" t="s">
        <v>787</v>
      </c>
      <c r="D181" s="138">
        <v>1300000</v>
      </c>
      <c r="E181" s="20" t="s">
        <v>529</v>
      </c>
      <c r="F181" s="20" t="s">
        <v>530</v>
      </c>
      <c r="G181" s="8" t="str">
        <f t="shared" si="2"/>
        <v>LEVIN SCOTT</v>
      </c>
    </row>
    <row r="182" spans="1:7" x14ac:dyDescent="0.25">
      <c r="A182" s="8">
        <v>42935.686053240737</v>
      </c>
      <c r="B182" s="20" t="s">
        <v>499</v>
      </c>
      <c r="C182" s="20" t="s">
        <v>788</v>
      </c>
      <c r="D182" s="138">
        <v>880000</v>
      </c>
      <c r="E182" s="20" t="s">
        <v>563</v>
      </c>
      <c r="F182" s="20" t="s">
        <v>192</v>
      </c>
      <c r="G182" s="8" t="str">
        <f t="shared" si="2"/>
        <v>STEWART MICHAEL</v>
      </c>
    </row>
    <row r="183" spans="1:7" x14ac:dyDescent="0.25">
      <c r="A183" s="8">
        <v>42935.687106481484</v>
      </c>
      <c r="B183" s="20" t="s">
        <v>430</v>
      </c>
      <c r="C183" s="20" t="s">
        <v>632</v>
      </c>
      <c r="D183" s="138">
        <v>2370000</v>
      </c>
      <c r="E183" s="20" t="s">
        <v>743</v>
      </c>
      <c r="F183" s="20" t="s">
        <v>744</v>
      </c>
      <c r="G183" s="8" t="str">
        <f t="shared" si="2"/>
        <v>DELGADO DIANAH</v>
      </c>
    </row>
    <row r="184" spans="1:7" x14ac:dyDescent="0.25">
      <c r="A184" s="8">
        <v>42935.693935185183</v>
      </c>
      <c r="B184" s="20" t="s">
        <v>622</v>
      </c>
      <c r="C184" s="20" t="s">
        <v>789</v>
      </c>
      <c r="D184" s="138">
        <v>3310000</v>
      </c>
      <c r="E184" s="20" t="s">
        <v>527</v>
      </c>
      <c r="F184" s="20" t="s">
        <v>528</v>
      </c>
      <c r="G184" s="8" t="str">
        <f t="shared" si="2"/>
        <v>ANDERS STEVEN</v>
      </c>
    </row>
    <row r="185" spans="1:7" x14ac:dyDescent="0.25">
      <c r="A185" s="8">
        <v>42935.696122685185</v>
      </c>
      <c r="B185" s="20" t="s">
        <v>626</v>
      </c>
      <c r="C185" s="20" t="s">
        <v>633</v>
      </c>
      <c r="D185" s="138">
        <v>3260000</v>
      </c>
      <c r="E185" s="20" t="s">
        <v>525</v>
      </c>
      <c r="F185" s="20" t="s">
        <v>526</v>
      </c>
      <c r="G185" s="8" t="str">
        <f t="shared" si="2"/>
        <v>PAGE MARCUS</v>
      </c>
    </row>
    <row r="186" spans="1:7" x14ac:dyDescent="0.25">
      <c r="A186" s="8">
        <v>42935.700185185182</v>
      </c>
      <c r="B186" s="20" t="s">
        <v>635</v>
      </c>
      <c r="C186" s="20" t="s">
        <v>790</v>
      </c>
      <c r="D186" s="138">
        <v>3280000</v>
      </c>
      <c r="E186" s="20" t="s">
        <v>464</v>
      </c>
      <c r="F186" s="20" t="s">
        <v>465</v>
      </c>
      <c r="G186" s="8" t="str">
        <f t="shared" si="2"/>
        <v>BIRKHOLZ NADINE</v>
      </c>
    </row>
    <row r="187" spans="1:7" x14ac:dyDescent="0.25">
      <c r="A187" s="8">
        <v>42935.704386574071</v>
      </c>
      <c r="B187" s="20" t="s">
        <v>468</v>
      </c>
      <c r="C187" s="20" t="s">
        <v>791</v>
      </c>
      <c r="D187" s="138">
        <v>920000</v>
      </c>
      <c r="E187" s="20" t="s">
        <v>383</v>
      </c>
      <c r="F187" s="20" t="s">
        <v>192</v>
      </c>
      <c r="G187" s="8" t="str">
        <f t="shared" si="2"/>
        <v>DAVIS MICHAEL</v>
      </c>
    </row>
    <row r="188" spans="1:7" x14ac:dyDescent="0.25">
      <c r="A188" s="8">
        <v>42935.704571759263</v>
      </c>
      <c r="B188" s="20" t="s">
        <v>618</v>
      </c>
      <c r="C188" s="20" t="s">
        <v>792</v>
      </c>
      <c r="D188" s="138">
        <v>1770000</v>
      </c>
      <c r="E188" s="20" t="s">
        <v>504</v>
      </c>
      <c r="F188" s="20" t="s">
        <v>505</v>
      </c>
      <c r="G188" s="8" t="str">
        <f t="shared" si="2"/>
        <v>BRUDER RICHARD</v>
      </c>
    </row>
    <row r="189" spans="1:7" x14ac:dyDescent="0.25">
      <c r="A189" s="8">
        <v>42935.705208333333</v>
      </c>
      <c r="B189" s="20" t="s">
        <v>394</v>
      </c>
      <c r="C189" s="20" t="s">
        <v>793</v>
      </c>
      <c r="D189" s="138">
        <v>2040000</v>
      </c>
      <c r="E189" s="20" t="s">
        <v>425</v>
      </c>
      <c r="F189" s="20" t="s">
        <v>426</v>
      </c>
      <c r="G189" s="8" t="str">
        <f t="shared" si="2"/>
        <v>MOSES BRADLEY</v>
      </c>
    </row>
    <row r="190" spans="1:7" x14ac:dyDescent="0.25">
      <c r="A190" s="8">
        <v>42935.710011574076</v>
      </c>
      <c r="B190" s="20" t="s">
        <v>491</v>
      </c>
      <c r="C190" s="20" t="s">
        <v>619</v>
      </c>
      <c r="D190" s="138">
        <v>2550000</v>
      </c>
      <c r="E190" s="20" t="s">
        <v>775</v>
      </c>
      <c r="F190" s="20" t="s">
        <v>776</v>
      </c>
      <c r="G190" s="8" t="str">
        <f t="shared" si="2"/>
        <v>BADERTSCHER DIANE</v>
      </c>
    </row>
    <row r="191" spans="1:7" x14ac:dyDescent="0.25">
      <c r="A191" s="8">
        <v>42935.712280092594</v>
      </c>
      <c r="B191" s="20" t="s">
        <v>669</v>
      </c>
      <c r="C191" s="20" t="s">
        <v>794</v>
      </c>
      <c r="D191" s="138">
        <v>3330000</v>
      </c>
      <c r="E191" s="20" t="s">
        <v>523</v>
      </c>
      <c r="F191" s="20" t="s">
        <v>524</v>
      </c>
      <c r="G191" s="8" t="str">
        <f t="shared" si="2"/>
        <v>GONZALEZ ARMANDO</v>
      </c>
    </row>
    <row r="192" spans="1:7" x14ac:dyDescent="0.25">
      <c r="A192" s="8">
        <v>42935.713738425926</v>
      </c>
      <c r="B192" s="20" t="s">
        <v>638</v>
      </c>
      <c r="C192" s="20" t="s">
        <v>795</v>
      </c>
      <c r="D192" s="138">
        <v>3280000</v>
      </c>
      <c r="E192" s="20" t="s">
        <v>464</v>
      </c>
      <c r="F192" s="20" t="s">
        <v>465</v>
      </c>
      <c r="G192" s="8" t="str">
        <f t="shared" si="2"/>
        <v>BIRKHOLZ NADINE</v>
      </c>
    </row>
    <row r="193" spans="1:7" x14ac:dyDescent="0.25">
      <c r="A193" s="8">
        <v>42935.714907407404</v>
      </c>
      <c r="B193" s="20" t="s">
        <v>336</v>
      </c>
      <c r="C193" s="20" t="s">
        <v>634</v>
      </c>
      <c r="D193" s="138">
        <v>1300000</v>
      </c>
      <c r="E193" s="20" t="s">
        <v>529</v>
      </c>
      <c r="F193" s="20" t="s">
        <v>530</v>
      </c>
      <c r="G193" s="8" t="str">
        <f t="shared" si="2"/>
        <v>LEVIN SCOTT</v>
      </c>
    </row>
    <row r="194" spans="1:7" x14ac:dyDescent="0.25">
      <c r="A194" s="8">
        <v>42935.718078703707</v>
      </c>
      <c r="B194" s="20" t="s">
        <v>337</v>
      </c>
      <c r="C194" s="20" t="s">
        <v>796</v>
      </c>
      <c r="D194" s="138">
        <v>2440000</v>
      </c>
      <c r="E194" s="20" t="s">
        <v>797</v>
      </c>
      <c r="F194" s="20" t="s">
        <v>798</v>
      </c>
      <c r="G194" s="8" t="str">
        <f t="shared" si="2"/>
        <v>LOPES KIMBERLY</v>
      </c>
    </row>
    <row r="195" spans="1:7" x14ac:dyDescent="0.25">
      <c r="A195" s="8">
        <v>42935.719756944447</v>
      </c>
      <c r="B195" s="20" t="s">
        <v>616</v>
      </c>
      <c r="C195" s="20" t="s">
        <v>799</v>
      </c>
      <c r="D195" s="138">
        <v>3310000</v>
      </c>
      <c r="E195" s="20" t="s">
        <v>527</v>
      </c>
      <c r="F195" s="20" t="s">
        <v>528</v>
      </c>
      <c r="G195" s="8" t="str">
        <f t="shared" ref="G195:G258" si="3">E195&amp;" "&amp;F195</f>
        <v>ANDERS STEVEN</v>
      </c>
    </row>
    <row r="196" spans="1:7" x14ac:dyDescent="0.25">
      <c r="A196" s="8">
        <v>42935.72415509259</v>
      </c>
      <c r="B196" s="20" t="s">
        <v>609</v>
      </c>
      <c r="C196" s="20" t="s">
        <v>800</v>
      </c>
      <c r="D196" s="138">
        <v>880000</v>
      </c>
      <c r="E196" s="20" t="s">
        <v>563</v>
      </c>
      <c r="F196" s="20" t="s">
        <v>192</v>
      </c>
      <c r="G196" s="8" t="str">
        <f t="shared" si="3"/>
        <v>STEWART MICHAEL</v>
      </c>
    </row>
    <row r="197" spans="1:7" x14ac:dyDescent="0.25">
      <c r="A197" s="8">
        <v>42935.724907407406</v>
      </c>
      <c r="B197" s="20" t="s">
        <v>611</v>
      </c>
      <c r="C197" s="20" t="s">
        <v>801</v>
      </c>
      <c r="D197" s="138">
        <v>3260000</v>
      </c>
      <c r="E197" s="20" t="s">
        <v>525</v>
      </c>
      <c r="F197" s="20" t="s">
        <v>526</v>
      </c>
      <c r="G197" s="8" t="str">
        <f t="shared" si="3"/>
        <v>PAGE MARCUS</v>
      </c>
    </row>
    <row r="198" spans="1:7" x14ac:dyDescent="0.25">
      <c r="A198" s="8">
        <v>42935.725555555553</v>
      </c>
      <c r="B198" s="20" t="s">
        <v>352</v>
      </c>
      <c r="C198" s="20" t="s">
        <v>637</v>
      </c>
      <c r="D198" s="138">
        <v>2370000</v>
      </c>
      <c r="E198" s="20" t="s">
        <v>743</v>
      </c>
      <c r="F198" s="20" t="s">
        <v>744</v>
      </c>
      <c r="G198" s="8" t="str">
        <f t="shared" si="3"/>
        <v>DELGADO DIANAH</v>
      </c>
    </row>
    <row r="199" spans="1:7" x14ac:dyDescent="0.25">
      <c r="A199" s="8">
        <v>42935.735694444447</v>
      </c>
      <c r="B199" s="20" t="s">
        <v>622</v>
      </c>
      <c r="C199" s="20" t="s">
        <v>802</v>
      </c>
      <c r="D199" s="138">
        <v>3310000</v>
      </c>
      <c r="E199" s="20" t="s">
        <v>527</v>
      </c>
      <c r="F199" s="20" t="s">
        <v>528</v>
      </c>
      <c r="G199" s="8" t="str">
        <f t="shared" si="3"/>
        <v>ANDERS STEVEN</v>
      </c>
    </row>
    <row r="200" spans="1:7" x14ac:dyDescent="0.25">
      <c r="A200" s="8">
        <v>42935.736192129632</v>
      </c>
      <c r="B200" s="20" t="s">
        <v>635</v>
      </c>
      <c r="C200" s="20" t="s">
        <v>636</v>
      </c>
      <c r="D200" s="138">
        <v>3280000</v>
      </c>
      <c r="E200" s="20" t="s">
        <v>464</v>
      </c>
      <c r="F200" s="20" t="s">
        <v>465</v>
      </c>
      <c r="G200" s="8" t="str">
        <f t="shared" si="3"/>
        <v>BIRKHOLZ NADINE</v>
      </c>
    </row>
    <row r="201" spans="1:7" x14ac:dyDescent="0.25">
      <c r="A201" s="8">
        <v>42935.73646990741</v>
      </c>
      <c r="B201" s="20" t="s">
        <v>472</v>
      </c>
      <c r="C201" s="20" t="s">
        <v>803</v>
      </c>
      <c r="D201" s="138">
        <v>2090000</v>
      </c>
      <c r="E201" s="20" t="s">
        <v>398</v>
      </c>
      <c r="F201" s="20" t="s">
        <v>192</v>
      </c>
      <c r="G201" s="8" t="str">
        <f t="shared" si="3"/>
        <v>HAITHCOX MICHAEL</v>
      </c>
    </row>
    <row r="202" spans="1:7" x14ac:dyDescent="0.25">
      <c r="A202" s="26">
        <v>42935.743055555555</v>
      </c>
      <c r="B202" s="20" t="s">
        <v>471</v>
      </c>
      <c r="C202" s="20" t="s">
        <v>804</v>
      </c>
      <c r="D202" s="138">
        <v>3190000</v>
      </c>
      <c r="E202" s="20" t="s">
        <v>805</v>
      </c>
      <c r="F202" s="20" t="s">
        <v>475</v>
      </c>
      <c r="G202" s="8" t="str">
        <f t="shared" si="3"/>
        <v>HART KEVIN</v>
      </c>
    </row>
    <row r="203" spans="1:7" x14ac:dyDescent="0.25">
      <c r="A203" s="8">
        <v>42935.746111111112</v>
      </c>
      <c r="B203" s="20" t="s">
        <v>673</v>
      </c>
      <c r="C203" s="20" t="s">
        <v>806</v>
      </c>
      <c r="D203" s="138">
        <v>1770000</v>
      </c>
      <c r="E203" s="20" t="s">
        <v>504</v>
      </c>
      <c r="F203" s="20" t="s">
        <v>505</v>
      </c>
      <c r="G203" s="8" t="str">
        <f t="shared" si="3"/>
        <v>BRUDER RICHARD</v>
      </c>
    </row>
    <row r="204" spans="1:7" x14ac:dyDescent="0.25">
      <c r="A204" s="8">
        <v>42935.74659722222</v>
      </c>
      <c r="B204" s="20" t="s">
        <v>676</v>
      </c>
      <c r="C204" s="20" t="s">
        <v>807</v>
      </c>
      <c r="D204" s="138">
        <v>3330000</v>
      </c>
      <c r="E204" s="20" t="s">
        <v>523</v>
      </c>
      <c r="F204" s="20" t="s">
        <v>524</v>
      </c>
      <c r="G204" s="8" t="str">
        <f t="shared" si="3"/>
        <v>GONZALEZ ARMANDO</v>
      </c>
    </row>
    <row r="205" spans="1:7" x14ac:dyDescent="0.25">
      <c r="A205" s="8">
        <v>42935.750416666669</v>
      </c>
      <c r="B205" s="20" t="s">
        <v>491</v>
      </c>
      <c r="C205" s="20" t="s">
        <v>619</v>
      </c>
      <c r="D205" s="138">
        <v>2550000</v>
      </c>
      <c r="E205" s="20" t="s">
        <v>775</v>
      </c>
      <c r="F205" s="20" t="s">
        <v>776</v>
      </c>
      <c r="G205" s="8" t="str">
        <f t="shared" si="3"/>
        <v>BADERTSCHER DIANE</v>
      </c>
    </row>
    <row r="206" spans="1:7" x14ac:dyDescent="0.25">
      <c r="A206" s="8">
        <v>42935.751921296294</v>
      </c>
      <c r="B206" s="20" t="s">
        <v>491</v>
      </c>
      <c r="C206" s="20" t="s">
        <v>619</v>
      </c>
      <c r="D206" s="138">
        <v>2550000</v>
      </c>
      <c r="E206" s="20" t="s">
        <v>775</v>
      </c>
      <c r="F206" s="20" t="s">
        <v>776</v>
      </c>
      <c r="G206" s="8" t="str">
        <f t="shared" si="3"/>
        <v>BADERTSCHER DIANE</v>
      </c>
    </row>
    <row r="207" spans="1:7" x14ac:dyDescent="0.25">
      <c r="A207" s="8">
        <v>42935.754467592589</v>
      </c>
      <c r="B207" s="20" t="s">
        <v>491</v>
      </c>
      <c r="C207" s="20" t="s">
        <v>808</v>
      </c>
      <c r="D207" s="138">
        <v>2550000</v>
      </c>
      <c r="E207" s="20" t="s">
        <v>775</v>
      </c>
      <c r="F207" s="20" t="s">
        <v>776</v>
      </c>
      <c r="G207" s="8" t="str">
        <f t="shared" si="3"/>
        <v>BADERTSCHER DIANE</v>
      </c>
    </row>
    <row r="208" spans="1:7" x14ac:dyDescent="0.25">
      <c r="A208" s="8">
        <v>42935.754525462966</v>
      </c>
      <c r="B208" s="20" t="s">
        <v>638</v>
      </c>
      <c r="C208" s="20" t="s">
        <v>639</v>
      </c>
      <c r="D208" s="138">
        <v>3280000</v>
      </c>
      <c r="E208" s="20" t="s">
        <v>464</v>
      </c>
      <c r="F208" s="20" t="s">
        <v>465</v>
      </c>
      <c r="G208" s="8" t="str">
        <f t="shared" si="3"/>
        <v>BIRKHOLZ NADINE</v>
      </c>
    </row>
    <row r="209" spans="1:7" x14ac:dyDescent="0.25">
      <c r="A209" s="8">
        <v>42935.755879629629</v>
      </c>
      <c r="B209" s="20" t="s">
        <v>462</v>
      </c>
      <c r="C209" s="20" t="s">
        <v>809</v>
      </c>
      <c r="D209" s="138">
        <v>1300000</v>
      </c>
      <c r="E209" s="20" t="s">
        <v>529</v>
      </c>
      <c r="F209" s="20" t="s">
        <v>530</v>
      </c>
      <c r="G209" s="8" t="str">
        <f t="shared" si="3"/>
        <v>LEVIN SCOTT</v>
      </c>
    </row>
    <row r="210" spans="1:7" x14ac:dyDescent="0.25">
      <c r="A210" s="8">
        <v>42935.760185185187</v>
      </c>
      <c r="B210" s="20" t="s">
        <v>553</v>
      </c>
      <c r="C210" s="20" t="s">
        <v>808</v>
      </c>
      <c r="D210" s="138">
        <v>2550000</v>
      </c>
      <c r="E210" s="20" t="s">
        <v>775</v>
      </c>
      <c r="F210" s="20" t="s">
        <v>776</v>
      </c>
      <c r="G210" s="8" t="str">
        <f t="shared" si="3"/>
        <v>BADERTSCHER DIANE</v>
      </c>
    </row>
    <row r="211" spans="1:7" x14ac:dyDescent="0.25">
      <c r="A211" s="8">
        <v>42935.760659722226</v>
      </c>
      <c r="B211" s="20" t="s">
        <v>499</v>
      </c>
      <c r="C211" s="20" t="s">
        <v>640</v>
      </c>
      <c r="D211" s="138">
        <v>3290000</v>
      </c>
      <c r="E211" s="20" t="s">
        <v>531</v>
      </c>
      <c r="F211" s="20" t="s">
        <v>532</v>
      </c>
      <c r="G211" s="8" t="str">
        <f t="shared" si="3"/>
        <v>CASSIDY BRANDON</v>
      </c>
    </row>
    <row r="212" spans="1:7" x14ac:dyDescent="0.25">
      <c r="A212" s="8">
        <v>42935.760787037034</v>
      </c>
      <c r="B212" s="20" t="s">
        <v>616</v>
      </c>
      <c r="C212" s="20" t="s">
        <v>810</v>
      </c>
      <c r="D212" s="138">
        <v>3310000</v>
      </c>
      <c r="E212" s="20" t="s">
        <v>527</v>
      </c>
      <c r="F212" s="20" t="s">
        <v>528</v>
      </c>
      <c r="G212" s="8" t="str">
        <f t="shared" si="3"/>
        <v>ANDERS STEVEN</v>
      </c>
    </row>
    <row r="213" spans="1:7" x14ac:dyDescent="0.25">
      <c r="A213" s="8">
        <v>42935.760914351849</v>
      </c>
      <c r="B213" s="20" t="s">
        <v>430</v>
      </c>
      <c r="C213" s="20" t="s">
        <v>811</v>
      </c>
      <c r="D213" s="138">
        <v>2370000</v>
      </c>
      <c r="E213" s="20" t="s">
        <v>743</v>
      </c>
      <c r="F213" s="20" t="s">
        <v>744</v>
      </c>
      <c r="G213" s="8" t="str">
        <f t="shared" si="3"/>
        <v>DELGADO DIANAH</v>
      </c>
    </row>
    <row r="214" spans="1:7" x14ac:dyDescent="0.25">
      <c r="A214" s="8">
        <v>42935.767418981479</v>
      </c>
      <c r="B214" s="20" t="s">
        <v>626</v>
      </c>
      <c r="C214" s="20" t="s">
        <v>812</v>
      </c>
      <c r="D214" s="138">
        <v>3090000</v>
      </c>
      <c r="E214" s="20" t="s">
        <v>368</v>
      </c>
      <c r="F214" s="20" t="s">
        <v>369</v>
      </c>
      <c r="G214" s="8" t="str">
        <f t="shared" si="3"/>
        <v>LAMAR NEKESHA</v>
      </c>
    </row>
    <row r="215" spans="1:7" x14ac:dyDescent="0.25">
      <c r="A215" s="8">
        <v>42935.768773148149</v>
      </c>
      <c r="B215" s="20" t="s">
        <v>468</v>
      </c>
      <c r="C215" s="20" t="s">
        <v>813</v>
      </c>
      <c r="D215" s="138">
        <v>2090000</v>
      </c>
      <c r="E215" s="20" t="s">
        <v>398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42935.77679398148</v>
      </c>
      <c r="B216" s="20" t="s">
        <v>618</v>
      </c>
      <c r="C216" s="20" t="s">
        <v>814</v>
      </c>
      <c r="D216" s="138">
        <v>1770000</v>
      </c>
      <c r="E216" s="20" t="s">
        <v>504</v>
      </c>
      <c r="F216" s="20" t="s">
        <v>505</v>
      </c>
      <c r="G216" s="8" t="str">
        <f t="shared" si="3"/>
        <v>BRUDER RICHARD</v>
      </c>
    </row>
    <row r="217" spans="1:7" x14ac:dyDescent="0.25">
      <c r="A217" s="8">
        <v>42935.777291666665</v>
      </c>
      <c r="B217" s="20" t="s">
        <v>622</v>
      </c>
      <c r="C217" s="20" t="s">
        <v>815</v>
      </c>
      <c r="D217" s="138">
        <v>3310000</v>
      </c>
      <c r="E217" s="20" t="s">
        <v>527</v>
      </c>
      <c r="F217" s="20" t="s">
        <v>528</v>
      </c>
      <c r="G217" s="8" t="str">
        <f t="shared" si="3"/>
        <v>ANDERS STEVEN</v>
      </c>
    </row>
    <row r="218" spans="1:7" x14ac:dyDescent="0.25">
      <c r="A218" s="8">
        <v>42935.778807870367</v>
      </c>
      <c r="B218" s="20" t="s">
        <v>635</v>
      </c>
      <c r="C218" s="20" t="s">
        <v>816</v>
      </c>
      <c r="D218" s="138">
        <v>3280000</v>
      </c>
      <c r="E218" s="20" t="s">
        <v>464</v>
      </c>
      <c r="F218" s="20" t="s">
        <v>465</v>
      </c>
      <c r="G218" s="8" t="str">
        <f t="shared" si="3"/>
        <v>BIRKHOLZ NADINE</v>
      </c>
    </row>
    <row r="219" spans="1:7" x14ac:dyDescent="0.25">
      <c r="A219" s="8">
        <v>42935.786203703705</v>
      </c>
      <c r="B219" s="20" t="s">
        <v>669</v>
      </c>
      <c r="C219" s="20" t="s">
        <v>817</v>
      </c>
      <c r="D219" s="138">
        <v>3330000</v>
      </c>
      <c r="E219" s="20" t="s">
        <v>523</v>
      </c>
      <c r="F219" s="20" t="s">
        <v>524</v>
      </c>
      <c r="G219" s="8" t="str">
        <f t="shared" si="3"/>
        <v>GONZALEZ ARMANDO</v>
      </c>
    </row>
    <row r="220" spans="1:7" x14ac:dyDescent="0.25">
      <c r="A220" s="8">
        <v>42935.786932870367</v>
      </c>
      <c r="B220" s="20" t="s">
        <v>336</v>
      </c>
      <c r="C220" s="20" t="s">
        <v>641</v>
      </c>
      <c r="D220" s="138">
        <v>3000000</v>
      </c>
      <c r="E220" s="20" t="s">
        <v>387</v>
      </c>
      <c r="F220" s="20" t="s">
        <v>388</v>
      </c>
      <c r="G220" s="8" t="str">
        <f t="shared" si="3"/>
        <v>FORTUNATO FRANK</v>
      </c>
    </row>
    <row r="221" spans="1:7" x14ac:dyDescent="0.25">
      <c r="A221" s="8">
        <v>42935.792291666665</v>
      </c>
      <c r="B221" s="20" t="s">
        <v>609</v>
      </c>
      <c r="C221" s="20" t="s">
        <v>818</v>
      </c>
      <c r="D221" s="138">
        <v>3290000</v>
      </c>
      <c r="E221" s="20" t="s">
        <v>531</v>
      </c>
      <c r="F221" s="20" t="s">
        <v>532</v>
      </c>
      <c r="G221" s="8" t="str">
        <f t="shared" si="3"/>
        <v>CASSIDY BRANDON</v>
      </c>
    </row>
    <row r="222" spans="1:7" x14ac:dyDescent="0.25">
      <c r="A222" s="8">
        <v>42935.796666666669</v>
      </c>
      <c r="B222" s="20" t="s">
        <v>638</v>
      </c>
      <c r="C222" s="20" t="s">
        <v>819</v>
      </c>
      <c r="D222" s="138">
        <v>3280000</v>
      </c>
      <c r="E222" s="20" t="s">
        <v>464</v>
      </c>
      <c r="F222" s="20" t="s">
        <v>465</v>
      </c>
      <c r="G222" s="8" t="str">
        <f t="shared" si="3"/>
        <v>BIRKHOLZ NADINE</v>
      </c>
    </row>
    <row r="223" spans="1:7" x14ac:dyDescent="0.25">
      <c r="A223" s="8">
        <v>42935.797523148147</v>
      </c>
      <c r="B223" s="20" t="s">
        <v>352</v>
      </c>
      <c r="C223" s="20" t="s">
        <v>820</v>
      </c>
      <c r="D223" s="138">
        <v>2370000</v>
      </c>
      <c r="E223" s="20" t="s">
        <v>743</v>
      </c>
      <c r="F223" s="20" t="s">
        <v>744</v>
      </c>
      <c r="G223" s="8" t="str">
        <f t="shared" si="3"/>
        <v>DELGADO DIANAH</v>
      </c>
    </row>
    <row r="224" spans="1:7" x14ac:dyDescent="0.25">
      <c r="A224" s="8">
        <v>42935.804386574076</v>
      </c>
      <c r="B224" t="s">
        <v>616</v>
      </c>
      <c r="C224" t="s">
        <v>821</v>
      </c>
      <c r="D224" s="138">
        <v>3310000</v>
      </c>
      <c r="E224" t="s">
        <v>527</v>
      </c>
      <c r="F224" s="20" t="s">
        <v>528</v>
      </c>
      <c r="G224" s="8" t="str">
        <f t="shared" si="3"/>
        <v>ANDERS STEVEN</v>
      </c>
    </row>
    <row r="225" spans="1:7" x14ac:dyDescent="0.25">
      <c r="A225" s="8">
        <v>42935.806574074071</v>
      </c>
      <c r="B225" t="s">
        <v>611</v>
      </c>
      <c r="C225" t="s">
        <v>822</v>
      </c>
      <c r="D225" s="138">
        <v>3090000</v>
      </c>
      <c r="E225" t="s">
        <v>368</v>
      </c>
      <c r="F225" s="20" t="s">
        <v>369</v>
      </c>
      <c r="G225" s="8" t="str">
        <f t="shared" si="3"/>
        <v>LAMAR NEKESHA</v>
      </c>
    </row>
    <row r="226" spans="1:7" x14ac:dyDescent="0.25">
      <c r="A226" s="8">
        <v>42935.809293981481</v>
      </c>
      <c r="B226" t="s">
        <v>472</v>
      </c>
      <c r="C226" t="s">
        <v>823</v>
      </c>
      <c r="D226" s="138">
        <v>2090000</v>
      </c>
      <c r="E226" t="s">
        <v>398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42935.818472222221</v>
      </c>
      <c r="B227" t="s">
        <v>622</v>
      </c>
      <c r="C227" t="s">
        <v>824</v>
      </c>
      <c r="D227" s="138">
        <v>3310000</v>
      </c>
      <c r="E227" t="s">
        <v>527</v>
      </c>
      <c r="F227" s="20" t="s">
        <v>528</v>
      </c>
      <c r="G227" s="8" t="str">
        <f t="shared" si="3"/>
        <v>ANDERS STEVEN</v>
      </c>
    </row>
    <row r="228" spans="1:7" x14ac:dyDescent="0.25">
      <c r="A228" s="8">
        <v>42935.81994212963</v>
      </c>
      <c r="B228" t="s">
        <v>676</v>
      </c>
      <c r="C228" t="s">
        <v>825</v>
      </c>
      <c r="D228" s="138">
        <v>3330000</v>
      </c>
      <c r="E228" t="s">
        <v>523</v>
      </c>
      <c r="F228" s="20" t="s">
        <v>524</v>
      </c>
      <c r="G228" s="8" t="str">
        <f t="shared" si="3"/>
        <v>GONZALEZ ARMANDO</v>
      </c>
    </row>
    <row r="229" spans="1:7" x14ac:dyDescent="0.25">
      <c r="A229" s="8">
        <v>42935.828506944446</v>
      </c>
      <c r="B229" t="s">
        <v>462</v>
      </c>
      <c r="C229" t="s">
        <v>826</v>
      </c>
      <c r="D229" s="138">
        <v>3000000</v>
      </c>
      <c r="E229" t="s">
        <v>387</v>
      </c>
      <c r="F229" s="20" t="s">
        <v>388</v>
      </c>
      <c r="G229" s="8" t="str">
        <f t="shared" si="3"/>
        <v>FORTUNATO FRANK</v>
      </c>
    </row>
    <row r="230" spans="1:7" x14ac:dyDescent="0.25">
      <c r="A230" s="8">
        <v>42935.829131944447</v>
      </c>
      <c r="B230" t="s">
        <v>499</v>
      </c>
      <c r="C230" t="s">
        <v>827</v>
      </c>
      <c r="D230" s="138">
        <v>3290000</v>
      </c>
      <c r="E230" t="s">
        <v>531</v>
      </c>
      <c r="F230" s="20" t="s">
        <v>532</v>
      </c>
      <c r="G230" s="8" t="str">
        <f t="shared" si="3"/>
        <v>CASSIDY BRANDON</v>
      </c>
    </row>
    <row r="231" spans="1:7" x14ac:dyDescent="0.25">
      <c r="A231" s="8">
        <v>42935.840312499997</v>
      </c>
      <c r="B231" t="s">
        <v>468</v>
      </c>
      <c r="C231" t="s">
        <v>828</v>
      </c>
      <c r="D231" s="138">
        <v>2090000</v>
      </c>
      <c r="E231" t="s">
        <v>398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42935.842164351852</v>
      </c>
      <c r="B232" t="s">
        <v>616</v>
      </c>
      <c r="C232" t="s">
        <v>829</v>
      </c>
      <c r="D232" s="138">
        <v>3310000</v>
      </c>
      <c r="E232" t="s">
        <v>527</v>
      </c>
      <c r="F232" s="20" t="s">
        <v>528</v>
      </c>
      <c r="G232" s="8" t="str">
        <f t="shared" si="3"/>
        <v>ANDERS STEVEN</v>
      </c>
    </row>
    <row r="233" spans="1:7" x14ac:dyDescent="0.25">
      <c r="A233" s="8">
        <v>42935.849293981482</v>
      </c>
      <c r="B233" t="s">
        <v>626</v>
      </c>
      <c r="C233" t="s">
        <v>830</v>
      </c>
      <c r="D233" s="138">
        <v>2610000</v>
      </c>
      <c r="E233" t="s">
        <v>384</v>
      </c>
      <c r="F233" s="20" t="s">
        <v>385</v>
      </c>
      <c r="G233" s="8" t="str">
        <f t="shared" si="3"/>
        <v>MAGEE KENYA</v>
      </c>
    </row>
    <row r="234" spans="1:7" x14ac:dyDescent="0.25">
      <c r="A234" s="8">
        <v>42935.860625000001</v>
      </c>
      <c r="B234" t="s">
        <v>622</v>
      </c>
      <c r="C234" t="s">
        <v>831</v>
      </c>
      <c r="D234" s="138">
        <v>3310000</v>
      </c>
      <c r="E234" t="s">
        <v>527</v>
      </c>
      <c r="F234" s="20" t="s">
        <v>528</v>
      </c>
      <c r="G234" s="8" t="str">
        <f t="shared" si="3"/>
        <v>ANDERS STEVEN</v>
      </c>
    </row>
    <row r="235" spans="1:7" x14ac:dyDescent="0.25">
      <c r="A235" s="8">
        <v>42935.862268518518</v>
      </c>
      <c r="B235" t="s">
        <v>609</v>
      </c>
      <c r="C235" t="s">
        <v>832</v>
      </c>
      <c r="D235" s="138">
        <v>3290000</v>
      </c>
      <c r="E235" t="s">
        <v>531</v>
      </c>
      <c r="F235" s="20" t="s">
        <v>532</v>
      </c>
      <c r="G235" s="8" t="str">
        <f t="shared" si="3"/>
        <v>CASSIDY BRANDON</v>
      </c>
    </row>
    <row r="236" spans="1:7" x14ac:dyDescent="0.25">
      <c r="A236" s="8">
        <v>42935.86277777778</v>
      </c>
      <c r="B236" t="s">
        <v>336</v>
      </c>
      <c r="C236" t="s">
        <v>833</v>
      </c>
      <c r="D236" s="138">
        <v>3000000</v>
      </c>
      <c r="E236" t="s">
        <v>387</v>
      </c>
      <c r="F236" s="20" t="s">
        <v>388</v>
      </c>
      <c r="G236" s="8" t="str">
        <f t="shared" si="3"/>
        <v>FORTUNATO FRANK</v>
      </c>
    </row>
    <row r="237" spans="1:7" x14ac:dyDescent="0.25">
      <c r="A237" s="8">
        <v>42935.885289351849</v>
      </c>
      <c r="B237" t="s">
        <v>616</v>
      </c>
      <c r="C237" t="s">
        <v>834</v>
      </c>
      <c r="D237" s="138">
        <v>3280000</v>
      </c>
      <c r="E237" t="s">
        <v>464</v>
      </c>
      <c r="F237" s="20" t="s">
        <v>465</v>
      </c>
      <c r="G237" s="8" t="str">
        <f t="shared" si="3"/>
        <v>BIRKHOLZ NADINE</v>
      </c>
    </row>
    <row r="238" spans="1:7" x14ac:dyDescent="0.25">
      <c r="A238" s="8">
        <v>42935.888136574074</v>
      </c>
      <c r="B238" t="s">
        <v>472</v>
      </c>
      <c r="C238" t="s">
        <v>835</v>
      </c>
      <c r="D238" s="138">
        <v>3190000</v>
      </c>
      <c r="E238" t="s">
        <v>805</v>
      </c>
      <c r="F238" s="20" t="s">
        <v>475</v>
      </c>
      <c r="G238" s="8" t="str">
        <f t="shared" si="3"/>
        <v>HART KEVIN</v>
      </c>
    </row>
    <row r="239" spans="1:7" x14ac:dyDescent="0.25">
      <c r="A239" s="8">
        <v>42935.891967592594</v>
      </c>
      <c r="B239" t="s">
        <v>611</v>
      </c>
      <c r="C239" t="s">
        <v>836</v>
      </c>
      <c r="D239" s="138">
        <v>2610000</v>
      </c>
      <c r="E239" t="s">
        <v>384</v>
      </c>
      <c r="F239" s="20" t="s">
        <v>385</v>
      </c>
      <c r="G239" s="8" t="str">
        <f t="shared" si="3"/>
        <v>MAGEE KENYA</v>
      </c>
    </row>
    <row r="240" spans="1:7" x14ac:dyDescent="0.25">
      <c r="A240" s="8">
        <v>42935.900393518517</v>
      </c>
      <c r="B240" t="s">
        <v>622</v>
      </c>
      <c r="C240" t="s">
        <v>642</v>
      </c>
      <c r="D240" s="138">
        <v>3280000</v>
      </c>
      <c r="E240" t="s">
        <v>464</v>
      </c>
      <c r="F240" s="20" t="s">
        <v>465</v>
      </c>
      <c r="G240" s="8" t="str">
        <f t="shared" si="3"/>
        <v>BIRKHOLZ NADINE</v>
      </c>
    </row>
    <row r="241" spans="1:7" x14ac:dyDescent="0.25">
      <c r="A241" s="8">
        <v>42935.902280092596</v>
      </c>
      <c r="B241" t="s">
        <v>499</v>
      </c>
      <c r="C241" t="s">
        <v>837</v>
      </c>
      <c r="D241" s="138">
        <v>3290000</v>
      </c>
      <c r="E241" t="s">
        <v>531</v>
      </c>
      <c r="F241" s="20" t="s">
        <v>532</v>
      </c>
      <c r="G241" s="8" t="str">
        <f t="shared" si="3"/>
        <v>CASSIDY BRANDON</v>
      </c>
    </row>
    <row r="242" spans="1:7" x14ac:dyDescent="0.25">
      <c r="A242" s="8">
        <v>42935.909421296295</v>
      </c>
      <c r="B242" t="s">
        <v>462</v>
      </c>
      <c r="C242" t="s">
        <v>838</v>
      </c>
      <c r="D242" s="138">
        <v>3000000</v>
      </c>
      <c r="E242" t="s">
        <v>387</v>
      </c>
      <c r="F242" s="20" t="s">
        <v>388</v>
      </c>
      <c r="G242" s="8" t="str">
        <f t="shared" si="3"/>
        <v>FORTUNATO FRANK</v>
      </c>
    </row>
    <row r="243" spans="1:7" x14ac:dyDescent="0.25">
      <c r="A243" s="8">
        <v>42935.920925925922</v>
      </c>
      <c r="B243" t="s">
        <v>616</v>
      </c>
      <c r="C243" t="s">
        <v>839</v>
      </c>
      <c r="D243" s="138">
        <v>3280000</v>
      </c>
      <c r="E243" t="s">
        <v>464</v>
      </c>
      <c r="F243" s="20" t="s">
        <v>465</v>
      </c>
      <c r="G243" s="8" t="str">
        <f t="shared" si="3"/>
        <v>BIRKHOLZ NADINE</v>
      </c>
    </row>
    <row r="244" spans="1:7" x14ac:dyDescent="0.25">
      <c r="A244" s="8">
        <v>42935.932719907411</v>
      </c>
      <c r="B244" t="s">
        <v>468</v>
      </c>
      <c r="C244" t="s">
        <v>840</v>
      </c>
      <c r="D244" s="138">
        <v>3190000</v>
      </c>
      <c r="E244" t="s">
        <v>805</v>
      </c>
      <c r="F244" s="20" t="s">
        <v>475</v>
      </c>
      <c r="G244" s="8" t="str">
        <f t="shared" si="3"/>
        <v>HART KEVIN</v>
      </c>
    </row>
    <row r="245" spans="1:7" x14ac:dyDescent="0.25">
      <c r="A245" s="8">
        <v>42935.932905092595</v>
      </c>
      <c r="B245" t="s">
        <v>626</v>
      </c>
      <c r="C245" t="s">
        <v>841</v>
      </c>
      <c r="D245" s="138">
        <v>3090000</v>
      </c>
      <c r="E245" t="s">
        <v>368</v>
      </c>
      <c r="F245" s="20" t="s">
        <v>369</v>
      </c>
      <c r="G245" s="8" t="str">
        <f t="shared" si="3"/>
        <v>LAMAR NEKESHA</v>
      </c>
    </row>
    <row r="246" spans="1:7" x14ac:dyDescent="0.25">
      <c r="A246" s="8">
        <v>42935.942881944444</v>
      </c>
      <c r="B246" t="s">
        <v>622</v>
      </c>
      <c r="C246" t="s">
        <v>842</v>
      </c>
      <c r="D246" s="138">
        <v>3280000</v>
      </c>
      <c r="E246" t="s">
        <v>464</v>
      </c>
      <c r="F246" s="20" t="s">
        <v>465</v>
      </c>
      <c r="G246" s="8" t="str">
        <f t="shared" si="3"/>
        <v>BIRKHOLZ NADINE</v>
      </c>
    </row>
    <row r="247" spans="1:7" x14ac:dyDescent="0.25">
      <c r="A247" s="8">
        <v>42935.94734953704</v>
      </c>
      <c r="B247" t="s">
        <v>336</v>
      </c>
      <c r="C247" t="s">
        <v>843</v>
      </c>
      <c r="D247" s="138">
        <v>2680000</v>
      </c>
      <c r="E247" t="s">
        <v>564</v>
      </c>
      <c r="F247" s="20" t="s">
        <v>565</v>
      </c>
      <c r="G247" s="8" t="str">
        <f t="shared" si="3"/>
        <v>DUNCAN SHEILA</v>
      </c>
    </row>
    <row r="248" spans="1:7" x14ac:dyDescent="0.25">
      <c r="A248" s="8">
        <v>42935.954791666663</v>
      </c>
      <c r="B248" t="s">
        <v>609</v>
      </c>
      <c r="C248" t="s">
        <v>844</v>
      </c>
      <c r="D248" s="138">
        <v>3290000</v>
      </c>
      <c r="E248" t="s">
        <v>531</v>
      </c>
      <c r="F248" s="20" t="s">
        <v>532</v>
      </c>
      <c r="G248" s="8" t="str">
        <f t="shared" si="3"/>
        <v>CASSIDY BRANDON</v>
      </c>
    </row>
    <row r="249" spans="1:7" x14ac:dyDescent="0.25">
      <c r="A249" s="8">
        <v>42935.965150462966</v>
      </c>
      <c r="B249" t="s">
        <v>472</v>
      </c>
      <c r="C249" t="s">
        <v>845</v>
      </c>
      <c r="D249" s="138">
        <v>2090000</v>
      </c>
      <c r="E249" t="s">
        <v>398</v>
      </c>
      <c r="F249" s="20" t="s">
        <v>192</v>
      </c>
      <c r="G249" s="8" t="str">
        <f t="shared" si="3"/>
        <v>HAITHCOX MICHAEL</v>
      </c>
    </row>
    <row r="250" spans="1:7" x14ac:dyDescent="0.25">
      <c r="A250" s="8">
        <v>42935.973090277781</v>
      </c>
      <c r="B250" t="s">
        <v>611</v>
      </c>
      <c r="C250" t="s">
        <v>846</v>
      </c>
      <c r="D250" s="138">
        <v>3090000</v>
      </c>
      <c r="E250" t="s">
        <v>368</v>
      </c>
      <c r="F250" s="20" t="s">
        <v>369</v>
      </c>
      <c r="G250" s="8" t="str">
        <f t="shared" si="3"/>
        <v>LAMAR NEKESHA</v>
      </c>
    </row>
    <row r="251" spans="1:7" x14ac:dyDescent="0.25">
      <c r="A251" s="8">
        <v>42935.991331018522</v>
      </c>
      <c r="B251" t="s">
        <v>499</v>
      </c>
      <c r="C251" t="s">
        <v>847</v>
      </c>
      <c r="D251" s="138">
        <v>3290000</v>
      </c>
      <c r="E251" t="s">
        <v>531</v>
      </c>
      <c r="F251" s="20" t="s">
        <v>532</v>
      </c>
      <c r="G251" s="8" t="str">
        <f t="shared" si="3"/>
        <v>CASSIDY BRANDON</v>
      </c>
    </row>
    <row r="252" spans="1:7" x14ac:dyDescent="0.25">
      <c r="A252" s="8">
        <v>42935.995891203704</v>
      </c>
      <c r="B252" t="s">
        <v>462</v>
      </c>
      <c r="C252" t="s">
        <v>848</v>
      </c>
      <c r="D252" s="138">
        <v>2680000</v>
      </c>
      <c r="E252" t="s">
        <v>564</v>
      </c>
      <c r="F252" s="20" t="s">
        <v>565</v>
      </c>
      <c r="G252" s="8" t="str">
        <f t="shared" si="3"/>
        <v>DUNCAN SHEILA</v>
      </c>
    </row>
    <row r="253" spans="1:7" x14ac:dyDescent="0.25">
      <c r="A253" s="8">
        <v>42936.016956018517</v>
      </c>
      <c r="B253" t="s">
        <v>468</v>
      </c>
      <c r="C253" t="s">
        <v>643</v>
      </c>
      <c r="D253" s="138">
        <v>2090000</v>
      </c>
      <c r="E253" t="s">
        <v>398</v>
      </c>
      <c r="F253" s="20" t="s">
        <v>192</v>
      </c>
      <c r="G253" s="8" t="str">
        <f t="shared" si="3"/>
        <v>HAITHCOX MICHAEL</v>
      </c>
    </row>
    <row r="254" spans="1:7" x14ac:dyDescent="0.25">
      <c r="A254" s="8">
        <v>42936.018530092595</v>
      </c>
      <c r="B254" t="s">
        <v>626</v>
      </c>
      <c r="C254" t="s">
        <v>849</v>
      </c>
      <c r="D254" s="138">
        <v>3090000</v>
      </c>
      <c r="E254" t="s">
        <v>368</v>
      </c>
      <c r="F254" s="20" t="s">
        <v>369</v>
      </c>
      <c r="G254" s="8" t="str">
        <f t="shared" si="3"/>
        <v>LAMAR NEKESHA</v>
      </c>
    </row>
    <row r="255" spans="1:7" x14ac:dyDescent="0.25">
      <c r="A255" s="8">
        <v>42936.029016203705</v>
      </c>
      <c r="B255" t="s">
        <v>336</v>
      </c>
      <c r="C255" t="s">
        <v>850</v>
      </c>
      <c r="D255" s="138">
        <v>2680000</v>
      </c>
      <c r="E255" t="s">
        <v>564</v>
      </c>
      <c r="F255" s="20" t="s">
        <v>565</v>
      </c>
      <c r="G255" s="8" t="str">
        <f t="shared" si="3"/>
        <v>DUNCAN SHEILA</v>
      </c>
    </row>
    <row r="256" spans="1:7" x14ac:dyDescent="0.25">
      <c r="A256" s="8">
        <v>42936.033483796295</v>
      </c>
      <c r="B256" t="s">
        <v>609</v>
      </c>
      <c r="C256" t="s">
        <v>851</v>
      </c>
      <c r="D256" s="138">
        <v>3290000</v>
      </c>
      <c r="E256" t="s">
        <v>531</v>
      </c>
      <c r="F256" s="20" t="s">
        <v>532</v>
      </c>
      <c r="G256" s="8" t="str">
        <f t="shared" si="3"/>
        <v>CASSIDY BRANDON</v>
      </c>
    </row>
    <row r="257" spans="1:7" x14ac:dyDescent="0.25">
      <c r="A257" s="8">
        <v>42936.048252314817</v>
      </c>
      <c r="B257" t="s">
        <v>611</v>
      </c>
      <c r="C257" t="s">
        <v>852</v>
      </c>
      <c r="D257" s="138">
        <v>3090000</v>
      </c>
      <c r="E257" t="s">
        <v>368</v>
      </c>
      <c r="F257" s="20" t="s">
        <v>369</v>
      </c>
      <c r="G257" s="8" t="str">
        <f t="shared" si="3"/>
        <v>LAMAR NEKESHA</v>
      </c>
    </row>
    <row r="258" spans="1:7" x14ac:dyDescent="0.25">
      <c r="A258" s="8">
        <v>42936.048483796294</v>
      </c>
      <c r="B258" t="s">
        <v>472</v>
      </c>
      <c r="C258" t="s">
        <v>853</v>
      </c>
      <c r="D258" s="138">
        <v>2090000</v>
      </c>
      <c r="E258" t="s">
        <v>398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42936.056805555556</v>
      </c>
      <c r="B259" t="s">
        <v>611</v>
      </c>
      <c r="C259" t="s">
        <v>852</v>
      </c>
      <c r="D259" s="138">
        <v>3090000</v>
      </c>
      <c r="E259" t="s">
        <v>368</v>
      </c>
      <c r="F259" s="20" t="s">
        <v>369</v>
      </c>
      <c r="G259" s="8" t="str">
        <f t="shared" ref="G259:G322" si="4">E259&amp;" "&amp;F259</f>
        <v>LAMAR NEKESHA</v>
      </c>
    </row>
    <row r="260" spans="1:7" x14ac:dyDescent="0.25">
      <c r="A260" s="8">
        <v>42936.068935185183</v>
      </c>
      <c r="B260" t="s">
        <v>499</v>
      </c>
      <c r="C260" t="s">
        <v>854</v>
      </c>
      <c r="D260" s="138">
        <v>3290000</v>
      </c>
      <c r="E260" t="s">
        <v>531</v>
      </c>
      <c r="F260" s="20" t="s">
        <v>532</v>
      </c>
      <c r="G260" s="8" t="str">
        <f t="shared" si="4"/>
        <v>CASSIDY BRANDON</v>
      </c>
    </row>
    <row r="261" spans="1:7" x14ac:dyDescent="0.25">
      <c r="A261" s="8">
        <v>42936.089525462965</v>
      </c>
      <c r="B261" t="s">
        <v>626</v>
      </c>
      <c r="C261" t="s">
        <v>855</v>
      </c>
      <c r="D261" s="138">
        <v>3090000</v>
      </c>
      <c r="E261" t="s">
        <v>368</v>
      </c>
      <c r="F261" s="20" t="s">
        <v>369</v>
      </c>
      <c r="G261" s="8" t="str">
        <f t="shared" si="4"/>
        <v>LAMAR NEKESHA</v>
      </c>
    </row>
    <row r="262" spans="1:7" x14ac:dyDescent="0.25">
      <c r="A262" s="8">
        <v>42928.069699074076</v>
      </c>
      <c r="B262" t="s">
        <v>336</v>
      </c>
      <c r="C262" t="s">
        <v>476</v>
      </c>
      <c r="D262" s="138">
        <v>3000000</v>
      </c>
      <c r="E262" t="s">
        <v>387</v>
      </c>
      <c r="F262" s="20" t="s">
        <v>388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476</v>
      </c>
      <c r="D263" s="138">
        <v>3000000</v>
      </c>
      <c r="E263" t="s">
        <v>387</v>
      </c>
      <c r="F263" s="20" t="s">
        <v>388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477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463</v>
      </c>
      <c r="D265" s="138">
        <v>3000000</v>
      </c>
      <c r="E265" t="s">
        <v>387</v>
      </c>
      <c r="F265" s="20" t="s">
        <v>388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468</v>
      </c>
      <c r="C266" t="s">
        <v>469</v>
      </c>
      <c r="D266" s="138">
        <v>1110000</v>
      </c>
      <c r="E266" t="s">
        <v>423</v>
      </c>
      <c r="F266" s="20" t="s">
        <v>424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412</v>
      </c>
      <c r="C267" t="s">
        <v>435</v>
      </c>
      <c r="D267" s="138">
        <v>2090000</v>
      </c>
      <c r="E267" t="s">
        <v>398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393</v>
      </c>
      <c r="C268" t="s">
        <v>436</v>
      </c>
      <c r="D268" s="138">
        <v>2000000</v>
      </c>
      <c r="E268" t="s">
        <v>400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418</v>
      </c>
      <c r="C269" t="s">
        <v>437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394</v>
      </c>
      <c r="C270" t="s">
        <v>438</v>
      </c>
      <c r="D270" s="138">
        <v>2610000</v>
      </c>
      <c r="E270" t="s">
        <v>384</v>
      </c>
      <c r="F270" s="20" t="s">
        <v>385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412</v>
      </c>
      <c r="C271" t="s">
        <v>435</v>
      </c>
      <c r="D271" s="138">
        <v>2090000</v>
      </c>
      <c r="E271" t="s">
        <v>398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392</v>
      </c>
      <c r="C272" t="s">
        <v>439</v>
      </c>
      <c r="D272" s="138">
        <v>2000000</v>
      </c>
      <c r="E272" t="s">
        <v>400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395</v>
      </c>
      <c r="C273" t="s">
        <v>438</v>
      </c>
      <c r="D273" s="138">
        <v>2610000</v>
      </c>
      <c r="E273" t="s">
        <v>384</v>
      </c>
      <c r="F273" s="20" t="s">
        <v>385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432</v>
      </c>
      <c r="C274" t="s">
        <v>440</v>
      </c>
      <c r="D274" s="138">
        <v>3000000</v>
      </c>
      <c r="E274" t="s">
        <v>387</v>
      </c>
      <c r="F274" s="20" t="s">
        <v>388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394</v>
      </c>
      <c r="C275" t="s">
        <v>441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393</v>
      </c>
      <c r="C276" t="s">
        <v>442</v>
      </c>
      <c r="D276" s="138">
        <v>2000000</v>
      </c>
      <c r="E276" t="s">
        <v>400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414</v>
      </c>
      <c r="C277" t="s">
        <v>443</v>
      </c>
      <c r="D277" s="138">
        <v>2090000</v>
      </c>
      <c r="E277" t="s">
        <v>398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444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392</v>
      </c>
      <c r="C279" t="s">
        <v>445</v>
      </c>
      <c r="D279" s="138">
        <v>2000000</v>
      </c>
      <c r="E279" t="s">
        <v>400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431</v>
      </c>
      <c r="C280" t="s">
        <v>446</v>
      </c>
      <c r="D280" s="138">
        <v>3000000</v>
      </c>
      <c r="E280" t="s">
        <v>387</v>
      </c>
      <c r="F280" s="20" t="s">
        <v>388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395</v>
      </c>
      <c r="C281" t="s">
        <v>447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393</v>
      </c>
      <c r="C282" t="s">
        <v>445</v>
      </c>
      <c r="D282" s="138">
        <v>2000000</v>
      </c>
      <c r="E282" t="s">
        <v>400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412</v>
      </c>
      <c r="C283" t="s">
        <v>448</v>
      </c>
      <c r="D283" s="138">
        <v>2090000</v>
      </c>
      <c r="E283" t="s">
        <v>398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449</v>
      </c>
      <c r="D284" s="138">
        <v>2610000</v>
      </c>
      <c r="E284" t="s">
        <v>384</v>
      </c>
      <c r="F284" s="20" t="s">
        <v>385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430</v>
      </c>
      <c r="C285" t="s">
        <v>450</v>
      </c>
      <c r="D285" s="138">
        <v>2610000</v>
      </c>
      <c r="E285" t="s">
        <v>384</v>
      </c>
      <c r="F285" s="20" t="s">
        <v>385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418</v>
      </c>
      <c r="C286" t="s">
        <v>451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432</v>
      </c>
      <c r="C287" t="s">
        <v>452</v>
      </c>
      <c r="D287" s="138">
        <v>3000000</v>
      </c>
      <c r="E287" t="s">
        <v>387</v>
      </c>
      <c r="F287" s="20" t="s">
        <v>388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453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414</v>
      </c>
      <c r="C289" t="s">
        <v>433</v>
      </c>
      <c r="D289" s="138">
        <v>2090000</v>
      </c>
      <c r="E289" t="s">
        <v>398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454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431</v>
      </c>
      <c r="C291" t="s">
        <v>455</v>
      </c>
      <c r="D291" s="138">
        <v>3000000</v>
      </c>
      <c r="E291" t="s">
        <v>387</v>
      </c>
      <c r="F291" s="20" t="s">
        <v>388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412</v>
      </c>
      <c r="C292" t="s">
        <v>456</v>
      </c>
      <c r="D292" s="138">
        <v>2090000</v>
      </c>
      <c r="E292" t="s">
        <v>398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418</v>
      </c>
      <c r="C293" t="s">
        <v>457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458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459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459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459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478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401</v>
      </c>
      <c r="P1" s="171" t="s">
        <v>156</v>
      </c>
      <c r="Q1" s="171" t="s">
        <v>163</v>
      </c>
      <c r="R1" s="171" t="s">
        <v>402</v>
      </c>
      <c r="S1" s="171" t="s">
        <v>160</v>
      </c>
    </row>
    <row r="2" spans="1:19" x14ac:dyDescent="0.25">
      <c r="A2" s="172">
        <v>77.05</v>
      </c>
      <c r="B2" s="172">
        <v>0.28000000000000003</v>
      </c>
      <c r="C2" s="172">
        <v>49.12</v>
      </c>
      <c r="D2" s="8">
        <v>42935</v>
      </c>
      <c r="E2" s="172">
        <v>0.38</v>
      </c>
      <c r="F2" s="172" t="s">
        <v>573</v>
      </c>
      <c r="G2" s="172">
        <v>281.13</v>
      </c>
      <c r="H2" s="172">
        <v>0</v>
      </c>
      <c r="I2" s="172">
        <v>0</v>
      </c>
      <c r="J2" s="172"/>
      <c r="K2" s="172">
        <v>1013.32</v>
      </c>
      <c r="L2" s="172" t="s">
        <v>572</v>
      </c>
      <c r="M2" s="172">
        <v>77.05</v>
      </c>
      <c r="N2" s="172">
        <v>1500444000</v>
      </c>
      <c r="O2" s="172">
        <v>0</v>
      </c>
      <c r="P2" s="172">
        <v>10</v>
      </c>
      <c r="Q2" s="172">
        <v>186</v>
      </c>
      <c r="R2" s="172">
        <v>11.51</v>
      </c>
      <c r="S2" s="172">
        <v>6.12</v>
      </c>
    </row>
    <row r="3" spans="1:19" x14ac:dyDescent="0.25">
      <c r="A3" s="172">
        <v>75.64</v>
      </c>
      <c r="B3" s="172">
        <v>0.23</v>
      </c>
      <c r="C3" s="172">
        <v>49.47</v>
      </c>
      <c r="D3" s="8">
        <v>42935.041666666664</v>
      </c>
      <c r="E3" s="172">
        <v>0.4</v>
      </c>
      <c r="F3" s="172" t="s">
        <v>492</v>
      </c>
      <c r="G3" s="172">
        <v>281.13</v>
      </c>
      <c r="H3" s="172">
        <v>0</v>
      </c>
      <c r="I3" s="172">
        <v>0</v>
      </c>
      <c r="J3" s="172"/>
      <c r="K3" s="172">
        <v>1013.58</v>
      </c>
      <c r="L3" s="172" t="s">
        <v>493</v>
      </c>
      <c r="M3" s="172">
        <v>75.64</v>
      </c>
      <c r="N3" s="172">
        <v>1500447600</v>
      </c>
      <c r="O3" s="172">
        <v>0</v>
      </c>
      <c r="P3" s="172">
        <v>10</v>
      </c>
      <c r="Q3" s="172">
        <v>200</v>
      </c>
      <c r="R3" s="172">
        <v>10.85</v>
      </c>
      <c r="S3" s="172">
        <v>5.53</v>
      </c>
    </row>
    <row r="4" spans="1:19" x14ac:dyDescent="0.25">
      <c r="A4" s="172">
        <v>74.45</v>
      </c>
      <c r="B4" s="172">
        <v>0.38</v>
      </c>
      <c r="C4" s="172">
        <v>50.33</v>
      </c>
      <c r="D4" s="8">
        <v>42935.083333333336</v>
      </c>
      <c r="E4" s="172">
        <v>0.43</v>
      </c>
      <c r="F4" s="172" t="s">
        <v>573</v>
      </c>
      <c r="G4" s="172">
        <v>281.13</v>
      </c>
      <c r="H4" s="172">
        <v>0</v>
      </c>
      <c r="I4" s="172">
        <v>0</v>
      </c>
      <c r="J4" s="172"/>
      <c r="K4" s="172">
        <v>1013.71</v>
      </c>
      <c r="L4" s="172" t="s">
        <v>572</v>
      </c>
      <c r="M4" s="172">
        <v>74.45</v>
      </c>
      <c r="N4" s="172">
        <v>1500451200</v>
      </c>
      <c r="O4" s="172">
        <v>0</v>
      </c>
      <c r="P4" s="172">
        <v>10</v>
      </c>
      <c r="Q4" s="172">
        <v>202</v>
      </c>
      <c r="R4" s="172">
        <v>8.75</v>
      </c>
      <c r="S4" s="172">
        <v>5.3</v>
      </c>
    </row>
    <row r="5" spans="1:19" x14ac:dyDescent="0.25">
      <c r="A5" s="172">
        <v>73.2</v>
      </c>
      <c r="B5" s="172">
        <v>0.49</v>
      </c>
      <c r="C5" s="172">
        <v>51.36</v>
      </c>
      <c r="D5" s="8">
        <v>42935.125</v>
      </c>
      <c r="E5" s="172">
        <v>0.46</v>
      </c>
      <c r="F5" s="172" t="s">
        <v>573</v>
      </c>
      <c r="G5" s="172">
        <v>281.13</v>
      </c>
      <c r="H5" s="172">
        <v>0</v>
      </c>
      <c r="I5" s="172">
        <v>0</v>
      </c>
      <c r="J5" s="172"/>
      <c r="K5" s="172">
        <v>1014.05</v>
      </c>
      <c r="L5" s="172" t="s">
        <v>572</v>
      </c>
      <c r="M5" s="172">
        <v>73.2</v>
      </c>
      <c r="N5" s="172">
        <v>1500454800</v>
      </c>
      <c r="O5" s="172">
        <v>0</v>
      </c>
      <c r="P5" s="172">
        <v>10</v>
      </c>
      <c r="Q5" s="172">
        <v>214</v>
      </c>
      <c r="R5" s="172">
        <v>6.19</v>
      </c>
      <c r="S5" s="172">
        <v>4.74</v>
      </c>
    </row>
    <row r="6" spans="1:19" x14ac:dyDescent="0.25">
      <c r="A6" s="172">
        <v>73.03</v>
      </c>
      <c r="B6" s="172">
        <v>0.56999999999999995</v>
      </c>
      <c r="C6" s="172">
        <v>51.02</v>
      </c>
      <c r="D6" s="8">
        <v>42935.166666666664</v>
      </c>
      <c r="E6" s="172">
        <v>0.46</v>
      </c>
      <c r="F6" s="172" t="s">
        <v>573</v>
      </c>
      <c r="G6" s="172">
        <v>281.13</v>
      </c>
      <c r="H6" s="172">
        <v>0</v>
      </c>
      <c r="I6" s="172">
        <v>0</v>
      </c>
      <c r="J6" s="172"/>
      <c r="K6" s="172">
        <v>1013.95</v>
      </c>
      <c r="L6" s="172" t="s">
        <v>572</v>
      </c>
      <c r="M6" s="172">
        <v>73.03</v>
      </c>
      <c r="N6" s="172">
        <v>1500458400</v>
      </c>
      <c r="O6" s="172">
        <v>0</v>
      </c>
      <c r="P6" s="172">
        <v>10</v>
      </c>
      <c r="Q6" s="172">
        <v>212</v>
      </c>
      <c r="R6" s="172">
        <v>6.68</v>
      </c>
      <c r="S6" s="172">
        <v>4.71</v>
      </c>
    </row>
    <row r="7" spans="1:19" x14ac:dyDescent="0.25">
      <c r="A7" s="172">
        <v>72.930000000000007</v>
      </c>
      <c r="B7" s="172">
        <v>0.64</v>
      </c>
      <c r="C7" s="172">
        <v>50.57</v>
      </c>
      <c r="D7" s="8">
        <v>42935.208333333336</v>
      </c>
      <c r="E7" s="172">
        <v>0.45</v>
      </c>
      <c r="F7" s="172" t="s">
        <v>573</v>
      </c>
      <c r="G7" s="172">
        <v>281.01</v>
      </c>
      <c r="H7" s="172">
        <v>0</v>
      </c>
      <c r="I7" s="172">
        <v>0</v>
      </c>
      <c r="J7" s="172"/>
      <c r="K7" s="172">
        <v>1013.68</v>
      </c>
      <c r="L7" s="172" t="s">
        <v>856</v>
      </c>
      <c r="M7" s="172">
        <v>72.930000000000007</v>
      </c>
      <c r="N7" s="172">
        <v>1500462000</v>
      </c>
      <c r="O7" s="172">
        <v>0</v>
      </c>
      <c r="P7" s="172">
        <v>10</v>
      </c>
      <c r="Q7" s="172">
        <v>222</v>
      </c>
      <c r="R7" s="172">
        <v>6.38</v>
      </c>
      <c r="S7" s="172">
        <v>4.38</v>
      </c>
    </row>
    <row r="8" spans="1:19" x14ac:dyDescent="0.25">
      <c r="A8" s="172">
        <v>75.62</v>
      </c>
      <c r="B8" s="172">
        <v>0.32</v>
      </c>
      <c r="C8" s="172">
        <v>49.46</v>
      </c>
      <c r="D8" s="8">
        <v>42935.25</v>
      </c>
      <c r="E8" s="172">
        <v>0.4</v>
      </c>
      <c r="F8" s="172" t="s">
        <v>571</v>
      </c>
      <c r="G8" s="172">
        <v>281.49</v>
      </c>
      <c r="H8" s="172">
        <v>0</v>
      </c>
      <c r="I8" s="172">
        <v>0</v>
      </c>
      <c r="J8" s="172"/>
      <c r="K8" s="172">
        <v>1013.32</v>
      </c>
      <c r="L8" s="172" t="s">
        <v>572</v>
      </c>
      <c r="M8" s="172">
        <v>75.62</v>
      </c>
      <c r="N8" s="172">
        <v>1500465600</v>
      </c>
      <c r="O8" s="172">
        <v>0</v>
      </c>
      <c r="P8" s="172">
        <v>10</v>
      </c>
      <c r="Q8" s="172">
        <v>208</v>
      </c>
      <c r="R8" s="172">
        <v>10.029999999999999</v>
      </c>
      <c r="S8" s="172">
        <v>4.17</v>
      </c>
    </row>
    <row r="9" spans="1:19" x14ac:dyDescent="0.25">
      <c r="A9" s="172">
        <v>76.97</v>
      </c>
      <c r="B9" s="172">
        <v>0.27</v>
      </c>
      <c r="C9" s="172">
        <v>49.56</v>
      </c>
      <c r="D9" s="8">
        <v>42935.291666666664</v>
      </c>
      <c r="E9" s="172">
        <v>0.38</v>
      </c>
      <c r="F9" s="172" t="s">
        <v>571</v>
      </c>
      <c r="G9" s="172">
        <v>281.38</v>
      </c>
      <c r="H9" s="172">
        <v>0</v>
      </c>
      <c r="I9" s="172">
        <v>0</v>
      </c>
      <c r="J9" s="172"/>
      <c r="K9" s="172">
        <v>1013.02</v>
      </c>
      <c r="L9" s="172" t="s">
        <v>572</v>
      </c>
      <c r="M9" s="172">
        <v>76.97</v>
      </c>
      <c r="N9" s="172">
        <v>1500469200</v>
      </c>
      <c r="O9" s="172">
        <v>0</v>
      </c>
      <c r="P9" s="172">
        <v>10</v>
      </c>
      <c r="Q9" s="172">
        <v>173</v>
      </c>
      <c r="R9" s="172">
        <v>8.75</v>
      </c>
      <c r="S9" s="172">
        <v>3.5</v>
      </c>
    </row>
    <row r="10" spans="1:19" x14ac:dyDescent="0.25">
      <c r="A10" s="172">
        <v>79.8</v>
      </c>
      <c r="B10" s="172">
        <v>0.27</v>
      </c>
      <c r="C10" s="172">
        <v>49.5</v>
      </c>
      <c r="D10" s="8">
        <v>42935.333333333336</v>
      </c>
      <c r="E10" s="172">
        <v>0.35</v>
      </c>
      <c r="F10" s="172" t="s">
        <v>571</v>
      </c>
      <c r="G10" s="172">
        <v>281.26</v>
      </c>
      <c r="H10" s="172">
        <v>0</v>
      </c>
      <c r="I10" s="172">
        <v>0</v>
      </c>
      <c r="J10" s="172"/>
      <c r="K10" s="172">
        <v>1012.57</v>
      </c>
      <c r="L10" s="172" t="s">
        <v>572</v>
      </c>
      <c r="M10" s="172">
        <v>79.8</v>
      </c>
      <c r="N10" s="172">
        <v>1500472800</v>
      </c>
      <c r="O10" s="172">
        <v>1</v>
      </c>
      <c r="P10" s="172">
        <v>10</v>
      </c>
      <c r="Q10" s="172">
        <v>264</v>
      </c>
      <c r="R10" s="172">
        <v>5.54</v>
      </c>
      <c r="S10" s="172">
        <v>3.1</v>
      </c>
    </row>
    <row r="11" spans="1:19" x14ac:dyDescent="0.25">
      <c r="A11" s="172">
        <v>83.23</v>
      </c>
      <c r="B11" s="172">
        <v>0.27</v>
      </c>
      <c r="C11" s="172">
        <v>49.78</v>
      </c>
      <c r="D11" s="8">
        <v>42935.375</v>
      </c>
      <c r="E11" s="172">
        <v>0.31</v>
      </c>
      <c r="F11" s="172" t="s">
        <v>571</v>
      </c>
      <c r="G11" s="172">
        <v>281.14</v>
      </c>
      <c r="H11" s="172">
        <v>0</v>
      </c>
      <c r="I11" s="172">
        <v>0</v>
      </c>
      <c r="J11" s="172"/>
      <c r="K11" s="172">
        <v>1012.34</v>
      </c>
      <c r="L11" s="172" t="s">
        <v>572</v>
      </c>
      <c r="M11" s="172">
        <v>83.23</v>
      </c>
      <c r="N11" s="172">
        <v>1500476400</v>
      </c>
      <c r="O11" s="172">
        <v>2</v>
      </c>
      <c r="P11" s="172">
        <v>10</v>
      </c>
      <c r="Q11" s="172">
        <v>306</v>
      </c>
      <c r="R11" s="172">
        <v>4.4800000000000004</v>
      </c>
      <c r="S11" s="172">
        <v>2.68</v>
      </c>
    </row>
    <row r="12" spans="1:19" x14ac:dyDescent="0.25">
      <c r="A12" s="172">
        <v>87.14</v>
      </c>
      <c r="B12" s="172">
        <v>0.28000000000000003</v>
      </c>
      <c r="C12" s="172">
        <v>49.34</v>
      </c>
      <c r="D12" s="8">
        <v>42935.416666666664</v>
      </c>
      <c r="E12" s="172">
        <v>0.27</v>
      </c>
      <c r="F12" s="172" t="s">
        <v>571</v>
      </c>
      <c r="G12" s="172">
        <v>281.27</v>
      </c>
      <c r="H12" s="172">
        <v>0</v>
      </c>
      <c r="I12" s="172">
        <v>0</v>
      </c>
      <c r="J12" s="172"/>
      <c r="K12" s="172">
        <v>1011.58</v>
      </c>
      <c r="L12" s="172" t="s">
        <v>572</v>
      </c>
      <c r="M12" s="172">
        <v>87.14</v>
      </c>
      <c r="N12" s="172">
        <v>1500480000</v>
      </c>
      <c r="O12" s="172">
        <v>4</v>
      </c>
      <c r="P12" s="172">
        <v>10</v>
      </c>
      <c r="Q12" s="172">
        <v>300</v>
      </c>
      <c r="R12" s="172">
        <v>4.62</v>
      </c>
      <c r="S12" s="172">
        <v>3.01</v>
      </c>
    </row>
    <row r="13" spans="1:19" x14ac:dyDescent="0.25">
      <c r="A13" s="172">
        <v>91.45</v>
      </c>
      <c r="B13" s="172">
        <v>0.28000000000000003</v>
      </c>
      <c r="C13" s="172">
        <v>48.28</v>
      </c>
      <c r="D13" s="8">
        <v>42935.458333333336</v>
      </c>
      <c r="E13" s="172">
        <v>0.23</v>
      </c>
      <c r="F13" s="172" t="s">
        <v>571</v>
      </c>
      <c r="G13" s="172">
        <v>281.39</v>
      </c>
      <c r="H13" s="172">
        <v>0</v>
      </c>
      <c r="I13" s="172">
        <v>0</v>
      </c>
      <c r="J13" s="172"/>
      <c r="K13" s="172">
        <v>1010.74</v>
      </c>
      <c r="L13" s="172" t="s">
        <v>572</v>
      </c>
      <c r="M13" s="172">
        <v>91.45</v>
      </c>
      <c r="N13" s="172">
        <v>1500483600</v>
      </c>
      <c r="O13" s="172">
        <v>7</v>
      </c>
      <c r="P13" s="172">
        <v>10</v>
      </c>
      <c r="Q13" s="172">
        <v>9</v>
      </c>
      <c r="R13" s="172">
        <v>6.34</v>
      </c>
      <c r="S13" s="172">
        <v>3.47</v>
      </c>
    </row>
    <row r="14" spans="1:19" x14ac:dyDescent="0.25">
      <c r="A14" s="172">
        <v>94.89</v>
      </c>
      <c r="B14" s="172">
        <v>0.23</v>
      </c>
      <c r="C14" s="172">
        <v>46.8</v>
      </c>
      <c r="D14" s="8">
        <v>42935.5</v>
      </c>
      <c r="E14" s="172">
        <v>0.19</v>
      </c>
      <c r="F14" s="172" t="s">
        <v>494</v>
      </c>
      <c r="G14" s="172">
        <v>283.5</v>
      </c>
      <c r="H14" s="172">
        <v>0</v>
      </c>
      <c r="I14" s="172">
        <v>0</v>
      </c>
      <c r="J14" s="172"/>
      <c r="K14" s="172">
        <v>1010.09</v>
      </c>
      <c r="L14" s="172" t="s">
        <v>493</v>
      </c>
      <c r="M14" s="172">
        <v>94.89</v>
      </c>
      <c r="N14" s="172">
        <v>1500487200</v>
      </c>
      <c r="O14" s="172">
        <v>10</v>
      </c>
      <c r="P14" s="172">
        <v>10</v>
      </c>
      <c r="Q14" s="172">
        <v>37</v>
      </c>
      <c r="R14" s="172">
        <v>8.33</v>
      </c>
      <c r="S14" s="172">
        <v>4.38</v>
      </c>
    </row>
    <row r="15" spans="1:19" x14ac:dyDescent="0.25">
      <c r="A15" s="172">
        <v>98.24</v>
      </c>
      <c r="B15" s="172">
        <v>0.22</v>
      </c>
      <c r="C15" s="172">
        <v>44.78</v>
      </c>
      <c r="D15" s="8">
        <v>42935.541666666664</v>
      </c>
      <c r="E15" s="172">
        <v>0.16</v>
      </c>
      <c r="F15" s="172" t="s">
        <v>494</v>
      </c>
      <c r="G15" s="172">
        <v>284.31</v>
      </c>
      <c r="H15" s="172">
        <v>0</v>
      </c>
      <c r="I15" s="172">
        <v>0</v>
      </c>
      <c r="J15" s="172"/>
      <c r="K15" s="172">
        <v>1009.27</v>
      </c>
      <c r="L15" s="172" t="s">
        <v>493</v>
      </c>
      <c r="M15" s="172">
        <v>98.24</v>
      </c>
      <c r="N15" s="172">
        <v>1500490800</v>
      </c>
      <c r="O15" s="172">
        <v>11</v>
      </c>
      <c r="P15" s="172">
        <v>10</v>
      </c>
      <c r="Q15" s="172">
        <v>46</v>
      </c>
      <c r="R15" s="172">
        <v>7.83</v>
      </c>
      <c r="S15" s="172">
        <v>4.72</v>
      </c>
    </row>
    <row r="16" spans="1:19" x14ac:dyDescent="0.25">
      <c r="A16" s="172">
        <v>100.85</v>
      </c>
      <c r="B16" s="172">
        <v>0.21</v>
      </c>
      <c r="C16" s="172">
        <v>42.28</v>
      </c>
      <c r="D16" s="8">
        <v>42935.583333333336</v>
      </c>
      <c r="E16" s="172">
        <v>0.14000000000000001</v>
      </c>
      <c r="F16" s="172" t="s">
        <v>494</v>
      </c>
      <c r="G16" s="172">
        <v>285</v>
      </c>
      <c r="H16" s="172">
        <v>0</v>
      </c>
      <c r="I16" s="172">
        <v>0</v>
      </c>
      <c r="J16" s="172"/>
      <c r="K16" s="172">
        <v>1008.39</v>
      </c>
      <c r="L16" s="172" t="s">
        <v>493</v>
      </c>
      <c r="M16" s="172">
        <v>100.85</v>
      </c>
      <c r="N16" s="172">
        <v>1500494400</v>
      </c>
      <c r="O16" s="172">
        <v>11</v>
      </c>
      <c r="P16" s="172">
        <v>10</v>
      </c>
      <c r="Q16" s="172">
        <v>47</v>
      </c>
      <c r="R16" s="172">
        <v>7.93</v>
      </c>
      <c r="S16" s="172">
        <v>5.48</v>
      </c>
    </row>
    <row r="17" spans="1:19" x14ac:dyDescent="0.25">
      <c r="A17" s="172">
        <v>100.14</v>
      </c>
      <c r="B17" s="172">
        <v>0.26</v>
      </c>
      <c r="C17" s="172">
        <v>40.03</v>
      </c>
      <c r="D17" s="8">
        <v>42935.625</v>
      </c>
      <c r="E17" s="172">
        <v>0.13</v>
      </c>
      <c r="F17" s="172" t="s">
        <v>571</v>
      </c>
      <c r="G17" s="172">
        <v>285.35000000000002</v>
      </c>
      <c r="H17" s="172">
        <v>0</v>
      </c>
      <c r="I17" s="172">
        <v>0</v>
      </c>
      <c r="J17" s="172"/>
      <c r="K17" s="172">
        <v>1008.08</v>
      </c>
      <c r="L17" s="172" t="s">
        <v>572</v>
      </c>
      <c r="M17" s="172">
        <v>100.14</v>
      </c>
      <c r="N17" s="172">
        <v>1500498000</v>
      </c>
      <c r="O17" s="172">
        <v>8</v>
      </c>
      <c r="P17" s="172">
        <v>10</v>
      </c>
      <c r="Q17" s="172">
        <v>54</v>
      </c>
      <c r="R17" s="172">
        <v>7.69</v>
      </c>
      <c r="S17" s="172">
        <v>5.33</v>
      </c>
    </row>
    <row r="18" spans="1:19" x14ac:dyDescent="0.25">
      <c r="A18" s="172">
        <v>99.82</v>
      </c>
      <c r="B18" s="172">
        <v>0.46</v>
      </c>
      <c r="C18" s="172">
        <v>40.4</v>
      </c>
      <c r="D18" s="8">
        <v>42935.666666666664</v>
      </c>
      <c r="E18" s="172">
        <v>0.13</v>
      </c>
      <c r="F18" s="172" t="s">
        <v>571</v>
      </c>
      <c r="G18" s="172">
        <v>285.12</v>
      </c>
      <c r="H18" s="172">
        <v>0</v>
      </c>
      <c r="I18" s="172">
        <v>0</v>
      </c>
      <c r="J18" s="172"/>
      <c r="K18" s="172">
        <v>1008.06</v>
      </c>
      <c r="L18" s="172" t="s">
        <v>572</v>
      </c>
      <c r="M18" s="172">
        <v>99.82</v>
      </c>
      <c r="N18" s="172">
        <v>1500501600</v>
      </c>
      <c r="O18" s="172">
        <v>4</v>
      </c>
      <c r="P18" s="172">
        <v>10</v>
      </c>
      <c r="Q18" s="172">
        <v>45</v>
      </c>
      <c r="R18" s="172">
        <v>8.9700000000000006</v>
      </c>
      <c r="S18" s="172">
        <v>5.2</v>
      </c>
    </row>
    <row r="19" spans="1:19" x14ac:dyDescent="0.25">
      <c r="A19" s="172">
        <v>98.5</v>
      </c>
      <c r="B19" s="172">
        <v>0.49</v>
      </c>
      <c r="C19" s="172">
        <v>43.43</v>
      </c>
      <c r="D19" s="8">
        <v>42935.708333333336</v>
      </c>
      <c r="E19" s="172">
        <v>0.15</v>
      </c>
      <c r="F19" s="172" t="s">
        <v>571</v>
      </c>
      <c r="G19" s="172">
        <v>284.52999999999997</v>
      </c>
      <c r="H19" s="172">
        <v>0</v>
      </c>
      <c r="I19" s="172">
        <v>0</v>
      </c>
      <c r="J19" s="172"/>
      <c r="K19" s="172">
        <v>1008.42</v>
      </c>
      <c r="L19" s="172" t="s">
        <v>572</v>
      </c>
      <c r="M19" s="172">
        <v>98.5</v>
      </c>
      <c r="N19" s="172">
        <v>1500505200</v>
      </c>
      <c r="O19" s="172">
        <v>2</v>
      </c>
      <c r="P19" s="172">
        <v>10</v>
      </c>
      <c r="Q19" s="172">
        <v>316</v>
      </c>
      <c r="R19" s="172">
        <v>10.99</v>
      </c>
      <c r="S19" s="172">
        <v>5.77</v>
      </c>
    </row>
    <row r="20" spans="1:19" x14ac:dyDescent="0.25">
      <c r="A20" s="172">
        <v>95.41</v>
      </c>
      <c r="B20" s="172">
        <v>0.62</v>
      </c>
      <c r="C20" s="172">
        <v>45.31</v>
      </c>
      <c r="D20" s="8">
        <v>42935.75</v>
      </c>
      <c r="E20" s="172">
        <v>0.18</v>
      </c>
      <c r="F20" s="172" t="s">
        <v>571</v>
      </c>
      <c r="G20" s="172">
        <v>283.25</v>
      </c>
      <c r="H20" s="172">
        <v>0</v>
      </c>
      <c r="I20" s="172">
        <v>0</v>
      </c>
      <c r="J20" s="172"/>
      <c r="K20" s="172">
        <v>1008.89</v>
      </c>
      <c r="L20" s="172" t="s">
        <v>856</v>
      </c>
      <c r="M20" s="172">
        <v>95.41</v>
      </c>
      <c r="N20" s="172">
        <v>1500508800</v>
      </c>
      <c r="O20" s="172">
        <v>1</v>
      </c>
      <c r="P20" s="172">
        <v>10</v>
      </c>
      <c r="Q20" s="172">
        <v>278</v>
      </c>
      <c r="R20" s="172">
        <v>15.13</v>
      </c>
      <c r="S20" s="172">
        <v>10.11</v>
      </c>
    </row>
    <row r="21" spans="1:19" x14ac:dyDescent="0.25">
      <c r="A21" s="172">
        <v>92.06</v>
      </c>
      <c r="B21" s="172">
        <v>0.69</v>
      </c>
      <c r="C21" s="172">
        <v>47.66</v>
      </c>
      <c r="D21" s="8">
        <v>42935.791666666664</v>
      </c>
      <c r="E21" s="172">
        <v>0.22</v>
      </c>
      <c r="F21" s="172" t="s">
        <v>571</v>
      </c>
      <c r="G21" s="172">
        <v>282.79000000000002</v>
      </c>
      <c r="H21" s="172">
        <v>0</v>
      </c>
      <c r="I21" s="172">
        <v>0</v>
      </c>
      <c r="J21" s="172"/>
      <c r="K21" s="172">
        <v>1009.54</v>
      </c>
      <c r="L21" s="172" t="s">
        <v>856</v>
      </c>
      <c r="M21" s="172">
        <v>92.06</v>
      </c>
      <c r="N21" s="172">
        <v>1500512400</v>
      </c>
      <c r="O21" s="172">
        <v>0</v>
      </c>
      <c r="P21" s="172">
        <v>10</v>
      </c>
      <c r="Q21" s="172">
        <v>256</v>
      </c>
      <c r="R21" s="172">
        <v>13.95</v>
      </c>
      <c r="S21" s="172">
        <v>9.7799999999999994</v>
      </c>
    </row>
    <row r="22" spans="1:19" x14ac:dyDescent="0.25">
      <c r="A22" s="172">
        <v>87.05</v>
      </c>
      <c r="B22" s="172">
        <v>0.7</v>
      </c>
      <c r="C22" s="172">
        <v>51.24</v>
      </c>
      <c r="D22" s="8">
        <v>42935.833333333336</v>
      </c>
      <c r="E22" s="172">
        <v>0.28999999999999998</v>
      </c>
      <c r="F22" s="172" t="s">
        <v>479</v>
      </c>
      <c r="G22" s="172">
        <v>282.55</v>
      </c>
      <c r="H22" s="172">
        <v>9.7000000000000003E-3</v>
      </c>
      <c r="I22" s="172">
        <v>0.08</v>
      </c>
      <c r="J22" s="172" t="s">
        <v>479</v>
      </c>
      <c r="K22" s="172">
        <v>1010.24</v>
      </c>
      <c r="L22" s="172" t="s">
        <v>533</v>
      </c>
      <c r="M22" s="172">
        <v>87.05</v>
      </c>
      <c r="N22" s="172">
        <v>1500516000</v>
      </c>
      <c r="O22" s="172">
        <v>0</v>
      </c>
      <c r="P22" s="172">
        <v>10</v>
      </c>
      <c r="Q22" s="172">
        <v>155</v>
      </c>
      <c r="R22" s="172">
        <v>16.68</v>
      </c>
      <c r="S22" s="172">
        <v>9.6</v>
      </c>
    </row>
    <row r="23" spans="1:19" x14ac:dyDescent="0.25">
      <c r="A23" s="172">
        <v>84.12</v>
      </c>
      <c r="B23" s="172">
        <v>0.81</v>
      </c>
      <c r="C23" s="172">
        <v>51.73</v>
      </c>
      <c r="D23" s="8">
        <v>42935.875</v>
      </c>
      <c r="E23" s="172">
        <v>0.33</v>
      </c>
      <c r="F23" s="172" t="s">
        <v>573</v>
      </c>
      <c r="G23" s="172">
        <v>282.20999999999998</v>
      </c>
      <c r="H23" s="172">
        <v>2.2000000000000001E-3</v>
      </c>
      <c r="I23" s="172">
        <v>0.01</v>
      </c>
      <c r="J23" s="172" t="s">
        <v>479</v>
      </c>
      <c r="K23" s="172">
        <v>1011.07</v>
      </c>
      <c r="L23" s="172" t="s">
        <v>856</v>
      </c>
      <c r="M23" s="172">
        <v>84.12</v>
      </c>
      <c r="N23" s="172">
        <v>1500519600</v>
      </c>
      <c r="O23" s="172">
        <v>0</v>
      </c>
      <c r="P23" s="172">
        <v>10</v>
      </c>
      <c r="Q23" s="172">
        <v>238</v>
      </c>
      <c r="R23" s="172">
        <v>12.19</v>
      </c>
      <c r="S23" s="172">
        <v>6.86</v>
      </c>
    </row>
    <row r="24" spans="1:19" x14ac:dyDescent="0.25">
      <c r="A24" s="172">
        <v>82.11</v>
      </c>
      <c r="B24" s="172">
        <v>0.76</v>
      </c>
      <c r="C24" s="172">
        <v>51.55</v>
      </c>
      <c r="D24" s="8">
        <v>42935.916666666664</v>
      </c>
      <c r="E24" s="172">
        <v>0.35</v>
      </c>
      <c r="F24" s="172" t="s">
        <v>573</v>
      </c>
      <c r="G24" s="172">
        <v>281.97000000000003</v>
      </c>
      <c r="H24" s="172">
        <v>0</v>
      </c>
      <c r="I24" s="172">
        <v>0</v>
      </c>
      <c r="J24" s="172"/>
      <c r="K24" s="172">
        <v>1011.65</v>
      </c>
      <c r="L24" s="172" t="s">
        <v>856</v>
      </c>
      <c r="M24" s="172">
        <v>82.11</v>
      </c>
      <c r="N24" s="172">
        <v>1500523200</v>
      </c>
      <c r="O24" s="172">
        <v>0</v>
      </c>
      <c r="P24" s="172">
        <v>10</v>
      </c>
      <c r="Q24" s="172">
        <v>182</v>
      </c>
      <c r="R24" s="172">
        <v>8.73</v>
      </c>
      <c r="S24" s="172">
        <v>5.73</v>
      </c>
    </row>
    <row r="25" spans="1:19" x14ac:dyDescent="0.25">
      <c r="A25" s="172">
        <v>80.12</v>
      </c>
      <c r="B25" s="172">
        <v>0.68</v>
      </c>
      <c r="C25" s="172">
        <v>51.77</v>
      </c>
      <c r="D25" s="8">
        <v>42935.958333333336</v>
      </c>
      <c r="E25" s="172">
        <v>0.37</v>
      </c>
      <c r="F25" s="172" t="s">
        <v>573</v>
      </c>
      <c r="G25" s="172">
        <v>281.86</v>
      </c>
      <c r="H25" s="172">
        <v>0</v>
      </c>
      <c r="I25" s="172">
        <v>0</v>
      </c>
      <c r="J25" s="172"/>
      <c r="K25" s="172">
        <v>1012.01</v>
      </c>
      <c r="L25" s="172" t="s">
        <v>856</v>
      </c>
      <c r="M25" s="172">
        <v>80.12</v>
      </c>
      <c r="N25" s="172">
        <v>1500526800</v>
      </c>
      <c r="O25" s="172">
        <v>0</v>
      </c>
      <c r="P25" s="172">
        <v>10</v>
      </c>
      <c r="Q25" s="172">
        <v>87</v>
      </c>
      <c r="R25" s="172">
        <v>9.99</v>
      </c>
      <c r="S25" s="172">
        <v>5.1100000000000003</v>
      </c>
    </row>
    <row r="26" spans="1:19" x14ac:dyDescent="0.25">
      <c r="A26" s="172">
        <v>77.790000000000006</v>
      </c>
      <c r="B26" s="172">
        <v>0.37</v>
      </c>
      <c r="C26" s="172">
        <v>49.46</v>
      </c>
      <c r="D26" s="8">
        <v>42936</v>
      </c>
      <c r="E26" s="172">
        <v>0.37</v>
      </c>
      <c r="F26" s="172" t="s">
        <v>573</v>
      </c>
      <c r="G26" s="172">
        <v>281.85000000000002</v>
      </c>
      <c r="H26" s="172">
        <v>0</v>
      </c>
      <c r="I26" s="172">
        <v>0</v>
      </c>
      <c r="J26" s="172"/>
      <c r="K26" s="172">
        <v>1013.03</v>
      </c>
      <c r="L26" s="172" t="s">
        <v>572</v>
      </c>
      <c r="M26" s="172">
        <v>77.790000000000006</v>
      </c>
      <c r="N26" s="172">
        <v>1500530400</v>
      </c>
      <c r="O26" s="172">
        <v>0</v>
      </c>
      <c r="P26" s="172">
        <v>10</v>
      </c>
      <c r="Q26" s="172">
        <v>309</v>
      </c>
      <c r="R26" s="172">
        <v>7.23</v>
      </c>
      <c r="S26" s="172">
        <v>5.39</v>
      </c>
    </row>
    <row r="27" spans="1:19" x14ac:dyDescent="0.25">
      <c r="A27" s="172">
        <v>76.56</v>
      </c>
      <c r="B27" s="172">
        <v>0.39</v>
      </c>
      <c r="C27" s="172">
        <v>50.06</v>
      </c>
      <c r="D27" s="8">
        <v>42936.041666666664</v>
      </c>
      <c r="E27" s="172">
        <v>0.39</v>
      </c>
      <c r="F27" s="172" t="s">
        <v>573</v>
      </c>
      <c r="G27" s="172">
        <v>282.08</v>
      </c>
      <c r="H27" s="172">
        <v>0</v>
      </c>
      <c r="I27" s="172">
        <v>0</v>
      </c>
      <c r="J27" s="172"/>
      <c r="K27" s="172">
        <v>1013.35</v>
      </c>
      <c r="L27" s="172" t="s">
        <v>572</v>
      </c>
      <c r="M27" s="172">
        <v>76.56</v>
      </c>
      <c r="N27" s="172">
        <v>1500534000</v>
      </c>
      <c r="O27" s="172">
        <v>0</v>
      </c>
      <c r="P27" s="172">
        <v>10</v>
      </c>
      <c r="Q27" s="172">
        <v>256</v>
      </c>
      <c r="R27" s="172">
        <v>4.6399999999999997</v>
      </c>
      <c r="S27" s="172">
        <v>3.26</v>
      </c>
    </row>
    <row r="28" spans="1:19" x14ac:dyDescent="0.25">
      <c r="A28" s="172">
        <v>75.25</v>
      </c>
      <c r="B28" s="172">
        <v>0.35</v>
      </c>
      <c r="C28" s="172">
        <v>50.84</v>
      </c>
      <c r="D28" s="8">
        <v>42936.083333333336</v>
      </c>
      <c r="E28" s="172">
        <v>0.42</v>
      </c>
      <c r="F28" s="172" t="s">
        <v>573</v>
      </c>
      <c r="G28" s="172">
        <v>282.42</v>
      </c>
      <c r="H28" s="172">
        <v>0</v>
      </c>
      <c r="I28" s="172">
        <v>0</v>
      </c>
      <c r="J28" s="172"/>
      <c r="K28" s="172">
        <v>1013.68</v>
      </c>
      <c r="L28" s="172" t="s">
        <v>572</v>
      </c>
      <c r="M28" s="172">
        <v>75.25</v>
      </c>
      <c r="N28" s="172">
        <v>1500537600</v>
      </c>
      <c r="O28" s="172">
        <v>0</v>
      </c>
      <c r="P28" s="172">
        <v>10</v>
      </c>
      <c r="Q28" s="172">
        <v>162</v>
      </c>
      <c r="R28" s="172">
        <v>5.25</v>
      </c>
      <c r="S28" s="172">
        <v>3</v>
      </c>
    </row>
    <row r="29" spans="1:19" x14ac:dyDescent="0.25">
      <c r="A29" s="172">
        <v>74.08</v>
      </c>
      <c r="B29" s="172">
        <v>0.37</v>
      </c>
      <c r="C29" s="172">
        <v>50.95</v>
      </c>
      <c r="D29" s="8">
        <v>42936.125</v>
      </c>
      <c r="E29" s="172">
        <v>0.44</v>
      </c>
      <c r="F29" s="172" t="s">
        <v>573</v>
      </c>
      <c r="G29" s="172">
        <v>282.54000000000002</v>
      </c>
      <c r="H29" s="172">
        <v>0</v>
      </c>
      <c r="I29" s="172">
        <v>0</v>
      </c>
      <c r="J29" s="172"/>
      <c r="K29" s="172">
        <v>1013.83</v>
      </c>
      <c r="L29" s="172" t="s">
        <v>572</v>
      </c>
      <c r="M29" s="172">
        <v>74.08</v>
      </c>
      <c r="N29" s="172">
        <v>1500541200</v>
      </c>
      <c r="O29" s="172">
        <v>0</v>
      </c>
      <c r="P29" s="172">
        <v>10</v>
      </c>
      <c r="Q29" s="172">
        <v>222</v>
      </c>
      <c r="R29" s="172">
        <v>5.67</v>
      </c>
      <c r="S29" s="172">
        <v>3.3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abSelected="1"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42935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405</v>
      </c>
      <c r="AE2" s="56" t="s">
        <v>408</v>
      </c>
      <c r="AF2" s="56" t="s">
        <v>409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406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407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410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1026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1027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1031</v>
      </c>
      <c r="J25" s="140" t="s">
        <v>146</v>
      </c>
      <c r="M25" s="154" t="b">
        <v>1</v>
      </c>
    </row>
    <row r="26" spans="3:24" x14ac:dyDescent="0.25">
      <c r="C26" t="s">
        <v>1032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C:\Users\stu\Documents\GitHub\eaglep3-reporting\EC\2017-07-19-refined-times.txt</v>
      </c>
    </row>
    <row r="27" spans="3:24" x14ac:dyDescent="0.25">
      <c r="C27" t="s">
        <v>1033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C:\Users\stu\Documents\GitHub\eaglep3-reporting\EC\2017-07-19-Enforcements.txt</v>
      </c>
    </row>
    <row r="28" spans="3:24" x14ac:dyDescent="0.25">
      <c r="C28" t="s">
        <v>1034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C:\Users\stu\Documents\GitHub\eaglep3-reporting\EC\2017-07-19-Runs-refined.txt</v>
      </c>
    </row>
    <row r="29" spans="3:24" x14ac:dyDescent="0.25">
      <c r="C29" t="s">
        <v>1035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C:\Users\stu\Documents\GitHub\eaglep3-reporting\EC\2017-07-19-Trips.txt</v>
      </c>
    </row>
    <row r="30" spans="3:24" x14ac:dyDescent="0.25">
      <c r="C30" t="s">
        <v>1036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C:\Users\stu\Documents\GitHub\eaglep3-reporting\EC\2017-07-19-Weather.txt</v>
      </c>
    </row>
    <row r="31" spans="3:24" x14ac:dyDescent="0.25">
      <c r="C31" t="s">
        <v>1037</v>
      </c>
      <c r="J31" s="140" t="s">
        <v>194</v>
      </c>
      <c r="M31" s="154" t="s">
        <v>195</v>
      </c>
    </row>
    <row r="32" spans="3:24" x14ac:dyDescent="0.25">
      <c r="C32" t="s">
        <v>1038</v>
      </c>
    </row>
    <row r="33" spans="3:3" x14ac:dyDescent="0.25">
      <c r="C33" t="s">
        <v>1039</v>
      </c>
    </row>
    <row r="34" spans="3:3" x14ac:dyDescent="0.25">
      <c r="C34" t="s">
        <v>1040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2017-07-21T12:44:38Z</dcterms:modified>
</cp:coreProperties>
</file>