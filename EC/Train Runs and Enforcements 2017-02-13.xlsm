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Enforcements!$A$6:$AC$50</definedName>
    <definedName name="_xlnm._FilterDatabase" localSheetId="2" hidden="1">'Missing Trips'!$A$2:$J$120</definedName>
    <definedName name="_xlnm._FilterDatabase" localSheetId="0" hidden="1">'Train Runs'!$A$12:$AG$228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61" i="1" l="1"/>
  <c r="K160" i="1"/>
  <c r="L160" i="1"/>
  <c r="M160" i="1"/>
  <c r="V160" i="1"/>
  <c r="Y160" i="1"/>
  <c r="Z160" i="1"/>
  <c r="AA160" i="1" s="1"/>
  <c r="AB160" i="1"/>
  <c r="AC160" i="1"/>
  <c r="AD160" i="1"/>
  <c r="T160" i="1" s="1"/>
  <c r="AE160" i="1"/>
  <c r="AF160" i="1"/>
  <c r="AH160" i="1"/>
  <c r="AM160" i="1"/>
  <c r="AN160" i="1"/>
  <c r="P92" i="1"/>
  <c r="X62" i="1"/>
  <c r="X63" i="1"/>
  <c r="X64" i="1"/>
  <c r="X65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/>
  <c r="V15" i="1"/>
  <c r="Y15" i="1"/>
  <c r="Z15" i="1"/>
  <c r="AA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/>
  <c r="V23" i="1"/>
  <c r="Y23" i="1"/>
  <c r="AA23" i="1" s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AA28" i="1" s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S16" i="3" s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S9" i="3" s="1"/>
  <c r="Y32" i="1"/>
  <c r="Z32" i="1"/>
  <c r="AB32" i="1"/>
  <c r="AC32" i="1"/>
  <c r="AD32" i="1"/>
  <c r="AE32" i="1"/>
  <c r="AF32" i="1"/>
  <c r="AG32" i="1"/>
  <c r="AI32" i="1" s="1"/>
  <c r="AH32" i="1"/>
  <c r="AM32" i="1"/>
  <c r="AN32" i="1"/>
  <c r="K33" i="1"/>
  <c r="L33" i="1"/>
  <c r="M33" i="1"/>
  <c r="N33" i="1" s="1"/>
  <c r="T33" i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AA43" i="1" s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G46" i="1"/>
  <c r="AH46" i="1"/>
  <c r="AM46" i="1"/>
  <c r="AN46" i="1"/>
  <c r="K47" i="1"/>
  <c r="L47" i="1"/>
  <c r="M47" i="1"/>
  <c r="N47" i="1" s="1"/>
  <c r="T47" i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AA48" i="1" s="1"/>
  <c r="Z48" i="1"/>
  <c r="AB48" i="1"/>
  <c r="AC48" i="1"/>
  <c r="AD48" i="1"/>
  <c r="X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T52" i="1"/>
  <c r="V52" i="1"/>
  <c r="Y52" i="1"/>
  <c r="Z52" i="1"/>
  <c r="AA52" i="1" s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G53" i="1"/>
  <c r="AI53" i="1" s="1"/>
  <c r="AH53" i="1"/>
  <c r="AM53" i="1"/>
  <c r="AN53" i="1"/>
  <c r="K54" i="1"/>
  <c r="L54" i="1"/>
  <c r="M54" i="1"/>
  <c r="N54" i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T56" i="1"/>
  <c r="V56" i="1"/>
  <c r="Y56" i="1"/>
  <c r="Z56" i="1"/>
  <c r="AA56" i="1" s="1"/>
  <c r="W56" i="1" s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X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G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A66" i="1" s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T67" i="1"/>
  <c r="V67" i="1"/>
  <c r="Y67" i="1"/>
  <c r="Z67" i="1"/>
  <c r="AA67" i="1" s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G68" i="1"/>
  <c r="AI68" i="1" s="1"/>
  <c r="AH68" i="1"/>
  <c r="AM68" i="1"/>
  <c r="AN68" i="1"/>
  <c r="K69" i="1"/>
  <c r="L69" i="1"/>
  <c r="M69" i="1"/>
  <c r="N69" i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X71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W71" i="1" s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G72" i="1"/>
  <c r="AI72" i="1" s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A74" i="1" s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T75" i="1"/>
  <c r="V75" i="1"/>
  <c r="X75" i="1"/>
  <c r="Y75" i="1"/>
  <c r="Z75" i="1"/>
  <c r="AA75" i="1" s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X79" i="1" s="1"/>
  <c r="AE78" i="1"/>
  <c r="AF78" i="1"/>
  <c r="AH78" i="1"/>
  <c r="AM78" i="1"/>
  <c r="AN78" i="1"/>
  <c r="K79" i="1"/>
  <c r="L79" i="1"/>
  <c r="M79" i="1"/>
  <c r="N79" i="1" s="1"/>
  <c r="T79" i="1"/>
  <c r="V79" i="1"/>
  <c r="Y79" i="1"/>
  <c r="Z79" i="1"/>
  <c r="AA79" i="1" s="1"/>
  <c r="AB79" i="1"/>
  <c r="AC79" i="1"/>
  <c r="AD79" i="1"/>
  <c r="AG79" i="1" s="1"/>
  <c r="AE79" i="1"/>
  <c r="R25" i="3" s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A83" i="1" s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W85" i="1" s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G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I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A108" i="1" s="1"/>
  <c r="AB108" i="1"/>
  <c r="AC108" i="1"/>
  <c r="AD108" i="1"/>
  <c r="T108" i="1" s="1"/>
  <c r="AE108" i="1"/>
  <c r="AF108" i="1"/>
  <c r="AG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S21" i="3" s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I117" i="1" s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A118" i="1" s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AA121" i="1" s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A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A129" i="1"/>
  <c r="W129" i="1" s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A134" i="1" s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A140" i="1" s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G141" i="1"/>
  <c r="AI141" i="1" s="1"/>
  <c r="AH141" i="1"/>
  <c r="AM141" i="1"/>
  <c r="AN141" i="1"/>
  <c r="K142" i="1"/>
  <c r="L142" i="1"/>
  <c r="M142" i="1"/>
  <c r="N142" i="1" s="1"/>
  <c r="V142" i="1"/>
  <c r="X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AA143" i="1" s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T146" i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X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X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/>
  <c r="V150" i="1"/>
  <c r="Y150" i="1"/>
  <c r="Z150" i="1"/>
  <c r="AA150" i="1" s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A155" i="1" s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G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A207" i="1" s="1"/>
  <c r="AB207" i="1"/>
  <c r="AC207" i="1"/>
  <c r="AD207" i="1"/>
  <c r="AG207" i="1" s="1"/>
  <c r="AE207" i="1"/>
  <c r="AF207" i="1"/>
  <c r="AH161" i="1"/>
  <c r="AM161" i="1"/>
  <c r="AN161" i="1"/>
  <c r="K208" i="1"/>
  <c r="L208" i="1"/>
  <c r="M208" i="1"/>
  <c r="N208" i="1" s="1"/>
  <c r="T208" i="1"/>
  <c r="V208" i="1"/>
  <c r="Y208" i="1"/>
  <c r="Z208" i="1"/>
  <c r="AB208" i="1"/>
  <c r="AC208" i="1"/>
  <c r="AD208" i="1"/>
  <c r="AE208" i="1"/>
  <c r="AF208" i="1"/>
  <c r="AH162" i="1"/>
  <c r="AM162" i="1"/>
  <c r="AN162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3" i="1"/>
  <c r="AM163" i="1"/>
  <c r="AN163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4" i="1"/>
  <c r="AM164" i="1"/>
  <c r="AN164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5" i="1"/>
  <c r="AM165" i="1"/>
  <c r="AN165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6" i="1"/>
  <c r="AM166" i="1"/>
  <c r="AN166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7" i="1"/>
  <c r="AM167" i="1"/>
  <c r="AN167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8" i="1"/>
  <c r="AM168" i="1"/>
  <c r="AN168" i="1"/>
  <c r="K220" i="1"/>
  <c r="L220" i="1"/>
  <c r="M220" i="1"/>
  <c r="N220" i="1" s="1"/>
  <c r="V220" i="1"/>
  <c r="Y220" i="1"/>
  <c r="Z220" i="1"/>
  <c r="AA220" i="1"/>
  <c r="AB220" i="1"/>
  <c r="AC220" i="1"/>
  <c r="AD220" i="1"/>
  <c r="T220" i="1" s="1"/>
  <c r="AE220" i="1"/>
  <c r="AF220" i="1"/>
  <c r="AH169" i="1"/>
  <c r="AM169" i="1"/>
  <c r="AN169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0" i="1"/>
  <c r="AM170" i="1"/>
  <c r="AN170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1" i="1"/>
  <c r="AM171" i="1"/>
  <c r="AN171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2" i="1"/>
  <c r="AM172" i="1"/>
  <c r="AN172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73" i="1"/>
  <c r="AM173" i="1"/>
  <c r="AN173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4" i="1"/>
  <c r="AM174" i="1"/>
  <c r="AN174" i="1"/>
  <c r="K226" i="1"/>
  <c r="L226" i="1"/>
  <c r="M226" i="1"/>
  <c r="N226" i="1" s="1"/>
  <c r="V226" i="1"/>
  <c r="S35" i="3" s="1"/>
  <c r="Y226" i="1"/>
  <c r="Z226" i="1"/>
  <c r="AB226" i="1"/>
  <c r="AC226" i="1"/>
  <c r="AD226" i="1"/>
  <c r="T226" i="1" s="1"/>
  <c r="AE226" i="1"/>
  <c r="AF226" i="1"/>
  <c r="AH175" i="1"/>
  <c r="AM175" i="1"/>
  <c r="AN175" i="1"/>
  <c r="K157" i="1"/>
  <c r="L157" i="1"/>
  <c r="M157" i="1"/>
  <c r="N157" i="1"/>
  <c r="V157" i="1"/>
  <c r="Y157" i="1"/>
  <c r="Z157" i="1"/>
  <c r="AB157" i="1"/>
  <c r="AC157" i="1"/>
  <c r="AD157" i="1"/>
  <c r="T157" i="1" s="1"/>
  <c r="AE157" i="1"/>
  <c r="AF157" i="1"/>
  <c r="AH176" i="1"/>
  <c r="AM176" i="1"/>
  <c r="AN176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77" i="1"/>
  <c r="AM177" i="1"/>
  <c r="AN177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78" i="1"/>
  <c r="AM178" i="1"/>
  <c r="AN178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9" i="1"/>
  <c r="AM179" i="1"/>
  <c r="AN179" i="1"/>
  <c r="K162" i="1"/>
  <c r="L162" i="1"/>
  <c r="M162" i="1"/>
  <c r="N162" i="1" s="1"/>
  <c r="V162" i="1"/>
  <c r="Y162" i="1"/>
  <c r="Z162" i="1"/>
  <c r="AA162" i="1" s="1"/>
  <c r="AB162" i="1"/>
  <c r="AC162" i="1"/>
  <c r="AD162" i="1"/>
  <c r="T162" i="1" s="1"/>
  <c r="AE162" i="1"/>
  <c r="R32" i="3" s="1"/>
  <c r="AF162" i="1"/>
  <c r="AH180" i="1"/>
  <c r="AM180" i="1"/>
  <c r="AN180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81" i="1"/>
  <c r="AM181" i="1"/>
  <c r="AN181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2" i="1"/>
  <c r="AM182" i="1"/>
  <c r="AN18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3" i="1"/>
  <c r="AM183" i="1"/>
  <c r="AN183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4" i="1"/>
  <c r="AM184" i="1"/>
  <c r="AN184" i="1"/>
  <c r="K167" i="1"/>
  <c r="L167" i="1"/>
  <c r="M167" i="1"/>
  <c r="N167" i="1" s="1"/>
  <c r="V167" i="1"/>
  <c r="Y167" i="1"/>
  <c r="Z167" i="1"/>
  <c r="AA167" i="1" s="1"/>
  <c r="W167" i="1" s="1"/>
  <c r="AB167" i="1"/>
  <c r="AC167" i="1"/>
  <c r="AD167" i="1"/>
  <c r="AG167" i="1" s="1"/>
  <c r="AE167" i="1"/>
  <c r="R29" i="3" s="1"/>
  <c r="AF167" i="1"/>
  <c r="AH185" i="1"/>
  <c r="AM185" i="1"/>
  <c r="AN185" i="1"/>
  <c r="K168" i="1"/>
  <c r="L168" i="1"/>
  <c r="M168" i="1"/>
  <c r="N168" i="1" s="1"/>
  <c r="T168" i="1"/>
  <c r="V168" i="1"/>
  <c r="Y168" i="1"/>
  <c r="Z168" i="1"/>
  <c r="AB168" i="1"/>
  <c r="AC168" i="1"/>
  <c r="AD168" i="1"/>
  <c r="AE168" i="1"/>
  <c r="AF168" i="1"/>
  <c r="AH186" i="1"/>
  <c r="AM186" i="1"/>
  <c r="AN186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187" i="1"/>
  <c r="AM187" i="1"/>
  <c r="AN187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188" i="1"/>
  <c r="AM188" i="1"/>
  <c r="AN188" i="1"/>
  <c r="K171" i="1"/>
  <c r="L171" i="1"/>
  <c r="M171" i="1"/>
  <c r="N171" i="1" s="1"/>
  <c r="V171" i="1"/>
  <c r="S27" i="3" s="1"/>
  <c r="Y171" i="1"/>
  <c r="AA171" i="1" s="1"/>
  <c r="Z171" i="1"/>
  <c r="AB171" i="1"/>
  <c r="AC171" i="1"/>
  <c r="AD171" i="1"/>
  <c r="AG171" i="1" s="1"/>
  <c r="AE171" i="1"/>
  <c r="AF171" i="1"/>
  <c r="AH189" i="1"/>
  <c r="AM189" i="1"/>
  <c r="AN189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0" i="1"/>
  <c r="AM190" i="1"/>
  <c r="AN190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1" i="1"/>
  <c r="AM191" i="1"/>
  <c r="AN191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2" i="1"/>
  <c r="AM192" i="1"/>
  <c r="AN192" i="1"/>
  <c r="K175" i="1"/>
  <c r="L175" i="1"/>
  <c r="M175" i="1"/>
  <c r="N175" i="1" s="1"/>
  <c r="V175" i="1"/>
  <c r="Y175" i="1"/>
  <c r="Z175" i="1"/>
  <c r="AA175" i="1" s="1"/>
  <c r="AB175" i="1"/>
  <c r="AC175" i="1"/>
  <c r="AD175" i="1"/>
  <c r="AG175" i="1" s="1"/>
  <c r="AE175" i="1"/>
  <c r="AF175" i="1"/>
  <c r="AH193" i="1"/>
  <c r="AM193" i="1"/>
  <c r="AN19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4" i="1"/>
  <c r="AM194" i="1"/>
  <c r="AN194" i="1"/>
  <c r="K177" i="1"/>
  <c r="L177" i="1"/>
  <c r="M177" i="1"/>
  <c r="N177" i="1" s="1"/>
  <c r="V177" i="1"/>
  <c r="Y177" i="1"/>
  <c r="Z177" i="1"/>
  <c r="AA177" i="1" s="1"/>
  <c r="AB177" i="1"/>
  <c r="AC177" i="1"/>
  <c r="AD177" i="1"/>
  <c r="T177" i="1" s="1"/>
  <c r="AE177" i="1"/>
  <c r="AF177" i="1"/>
  <c r="AG177" i="1"/>
  <c r="AH195" i="1"/>
  <c r="AM195" i="1"/>
  <c r="AN195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6" i="1"/>
  <c r="AM196" i="1"/>
  <c r="AN196" i="1"/>
  <c r="K179" i="1"/>
  <c r="L179" i="1"/>
  <c r="M179" i="1"/>
  <c r="N179" i="1" s="1"/>
  <c r="V179" i="1"/>
  <c r="X179" i="1"/>
  <c r="Y179" i="1"/>
  <c r="Z179" i="1"/>
  <c r="AA179" i="1" s="1"/>
  <c r="AB179" i="1"/>
  <c r="AC179" i="1"/>
  <c r="AD179" i="1"/>
  <c r="AG179" i="1" s="1"/>
  <c r="AE179" i="1"/>
  <c r="AF179" i="1"/>
  <c r="AH197" i="1"/>
  <c r="AM197" i="1"/>
  <c r="AN197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98" i="1"/>
  <c r="AM198" i="1"/>
  <c r="AN19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9" i="1"/>
  <c r="AM199" i="1"/>
  <c r="AN199" i="1"/>
  <c r="K182" i="1"/>
  <c r="L182" i="1"/>
  <c r="M182" i="1"/>
  <c r="N182" i="1"/>
  <c r="V182" i="1"/>
  <c r="Y182" i="1"/>
  <c r="Z182" i="1"/>
  <c r="AB182" i="1"/>
  <c r="AC182" i="1"/>
  <c r="AD182" i="1"/>
  <c r="T182" i="1" s="1"/>
  <c r="AE182" i="1"/>
  <c r="AF182" i="1"/>
  <c r="AH200" i="1"/>
  <c r="AM200" i="1"/>
  <c r="AN200" i="1"/>
  <c r="K183" i="1"/>
  <c r="L183" i="1"/>
  <c r="M183" i="1"/>
  <c r="N183" i="1" s="1"/>
  <c r="V183" i="1"/>
  <c r="Y183" i="1"/>
  <c r="Z183" i="1"/>
  <c r="AA183" i="1" s="1"/>
  <c r="AB183" i="1"/>
  <c r="AC183" i="1"/>
  <c r="AD183" i="1"/>
  <c r="AG183" i="1" s="1"/>
  <c r="AE183" i="1"/>
  <c r="AF183" i="1"/>
  <c r="AH201" i="1"/>
  <c r="AM201" i="1"/>
  <c r="AN201" i="1"/>
  <c r="K184" i="1"/>
  <c r="L184" i="1"/>
  <c r="M184" i="1"/>
  <c r="N184" i="1" s="1"/>
  <c r="T184" i="1"/>
  <c r="V184" i="1"/>
  <c r="Y184" i="1"/>
  <c r="Z184" i="1"/>
  <c r="AB184" i="1"/>
  <c r="AC184" i="1"/>
  <c r="AD184" i="1"/>
  <c r="AE184" i="1"/>
  <c r="AF184" i="1"/>
  <c r="AH202" i="1"/>
  <c r="AM202" i="1"/>
  <c r="AN202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3" i="1"/>
  <c r="AM203" i="1"/>
  <c r="AN203" i="1"/>
  <c r="K186" i="1"/>
  <c r="L186" i="1"/>
  <c r="M186" i="1"/>
  <c r="N186" i="1" s="1"/>
  <c r="V186" i="1"/>
  <c r="Y186" i="1"/>
  <c r="Z186" i="1"/>
  <c r="AA186" i="1" s="1"/>
  <c r="AB186" i="1"/>
  <c r="AC186" i="1"/>
  <c r="AD186" i="1"/>
  <c r="T186" i="1" s="1"/>
  <c r="AE186" i="1"/>
  <c r="AF186" i="1"/>
  <c r="AH204" i="1"/>
  <c r="AM204" i="1"/>
  <c r="AN204" i="1"/>
  <c r="K187" i="1"/>
  <c r="L187" i="1"/>
  <c r="M187" i="1"/>
  <c r="N187" i="1" s="1"/>
  <c r="V187" i="1"/>
  <c r="Y187" i="1"/>
  <c r="AA187" i="1" s="1"/>
  <c r="Z187" i="1"/>
  <c r="AB187" i="1"/>
  <c r="AC187" i="1"/>
  <c r="AD187" i="1"/>
  <c r="AG187" i="1" s="1"/>
  <c r="AE187" i="1"/>
  <c r="AF187" i="1"/>
  <c r="AH205" i="1"/>
  <c r="AM205" i="1"/>
  <c r="AN205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206" i="1"/>
  <c r="AM206" i="1"/>
  <c r="AN20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7" i="1"/>
  <c r="AM207" i="1"/>
  <c r="AN207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8" i="1"/>
  <c r="AM208" i="1"/>
  <c r="AN208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09" i="1"/>
  <c r="AM209" i="1"/>
  <c r="AN209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0" i="1"/>
  <c r="AM210" i="1"/>
  <c r="AN210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1" i="1"/>
  <c r="AM211" i="1"/>
  <c r="AN211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2" i="1"/>
  <c r="AM212" i="1"/>
  <c r="AN212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3" i="1"/>
  <c r="AM213" i="1"/>
  <c r="AN213" i="1"/>
  <c r="K196" i="1"/>
  <c r="L196" i="1"/>
  <c r="M196" i="1"/>
  <c r="N196" i="1" s="1"/>
  <c r="V196" i="1"/>
  <c r="Y196" i="1"/>
  <c r="AA196" i="1" s="1"/>
  <c r="Z196" i="1"/>
  <c r="AB196" i="1"/>
  <c r="AC196" i="1"/>
  <c r="AD196" i="1"/>
  <c r="AE196" i="1"/>
  <c r="AF196" i="1"/>
  <c r="AH214" i="1"/>
  <c r="AM214" i="1"/>
  <c r="AN214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5" i="1"/>
  <c r="AM215" i="1"/>
  <c r="AN215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6" i="1"/>
  <c r="AM216" i="1"/>
  <c r="AN216" i="1"/>
  <c r="K199" i="1"/>
  <c r="L199" i="1"/>
  <c r="M199" i="1"/>
  <c r="N199" i="1" s="1"/>
  <c r="V199" i="1"/>
  <c r="Y199" i="1"/>
  <c r="Z199" i="1"/>
  <c r="AA199" i="1" s="1"/>
  <c r="AB199" i="1"/>
  <c r="AC199" i="1"/>
  <c r="AD199" i="1"/>
  <c r="AG199" i="1" s="1"/>
  <c r="AE199" i="1"/>
  <c r="AF199" i="1"/>
  <c r="AH217" i="1"/>
  <c r="AM217" i="1"/>
  <c r="AN217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8" i="1"/>
  <c r="AM218" i="1"/>
  <c r="AN218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9" i="1"/>
  <c r="AM219" i="1"/>
  <c r="AN219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0" i="1"/>
  <c r="AM220" i="1"/>
  <c r="AN220" i="1"/>
  <c r="K203" i="1"/>
  <c r="L203" i="1"/>
  <c r="M203" i="1"/>
  <c r="N203" i="1" s="1"/>
  <c r="V203" i="1"/>
  <c r="Y203" i="1"/>
  <c r="Z203" i="1"/>
  <c r="AA203" i="1" s="1"/>
  <c r="AB203" i="1"/>
  <c r="AC203" i="1"/>
  <c r="AD203" i="1"/>
  <c r="AG203" i="1" s="1"/>
  <c r="AE203" i="1"/>
  <c r="AF203" i="1"/>
  <c r="AH221" i="1"/>
  <c r="AM221" i="1"/>
  <c r="AN221" i="1"/>
  <c r="K215" i="1"/>
  <c r="L215" i="1"/>
  <c r="M215" i="1"/>
  <c r="N215" i="1" s="1"/>
  <c r="V215" i="1"/>
  <c r="S37" i="3" s="1"/>
  <c r="Y215" i="1"/>
  <c r="Z215" i="1"/>
  <c r="AB215" i="1"/>
  <c r="AC215" i="1"/>
  <c r="AD215" i="1"/>
  <c r="AE215" i="1"/>
  <c r="R37" i="3" s="1"/>
  <c r="AF215" i="1"/>
  <c r="AH222" i="1"/>
  <c r="AM222" i="1"/>
  <c r="AN222" i="1"/>
  <c r="K216" i="1"/>
  <c r="L216" i="1"/>
  <c r="M216" i="1"/>
  <c r="N216" i="1" s="1"/>
  <c r="V216" i="1"/>
  <c r="Y216" i="1"/>
  <c r="Z216" i="1"/>
  <c r="AA216" i="1" s="1"/>
  <c r="AB216" i="1"/>
  <c r="AC216" i="1"/>
  <c r="AD216" i="1"/>
  <c r="T216" i="1" s="1"/>
  <c r="AE216" i="1"/>
  <c r="AF216" i="1"/>
  <c r="AG216" i="1"/>
  <c r="AH223" i="1"/>
  <c r="AM223" i="1"/>
  <c r="AN223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24" i="1"/>
  <c r="AM224" i="1"/>
  <c r="AN224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25" i="1"/>
  <c r="AI225" i="1"/>
  <c r="AM225" i="1"/>
  <c r="AN225" i="1"/>
  <c r="K219" i="1"/>
  <c r="L219" i="1"/>
  <c r="M219" i="1"/>
  <c r="N219" i="1" s="1"/>
  <c r="V219" i="1"/>
  <c r="Y219" i="1"/>
  <c r="Z219" i="1"/>
  <c r="AB219" i="1"/>
  <c r="AC219" i="1"/>
  <c r="AD219" i="1"/>
  <c r="X220" i="1" s="1"/>
  <c r="AE219" i="1"/>
  <c r="AF219" i="1"/>
  <c r="AH226" i="1"/>
  <c r="AM226" i="1"/>
  <c r="AN226" i="1"/>
  <c r="M37" i="3"/>
  <c r="U37" i="3"/>
  <c r="T37" i="3" s="1"/>
  <c r="V37" i="3"/>
  <c r="W37" i="3"/>
  <c r="Y37" i="3" s="1"/>
  <c r="X37" i="3"/>
  <c r="M31" i="3"/>
  <c r="R31" i="3"/>
  <c r="S31" i="3"/>
  <c r="U31" i="3"/>
  <c r="AD31" i="3" s="1"/>
  <c r="V31" i="3"/>
  <c r="W31" i="3"/>
  <c r="X31" i="3"/>
  <c r="AC31" i="3"/>
  <c r="M7" i="3"/>
  <c r="R7" i="3"/>
  <c r="S7" i="3"/>
  <c r="U7" i="3"/>
  <c r="AC7" i="3" s="1"/>
  <c r="V7" i="3"/>
  <c r="W7" i="3"/>
  <c r="X7" i="3"/>
  <c r="M11" i="3"/>
  <c r="R11" i="3"/>
  <c r="S11" i="3"/>
  <c r="U11" i="3"/>
  <c r="AC11" i="3" s="1"/>
  <c r="V11" i="3"/>
  <c r="W11" i="3"/>
  <c r="X11" i="3"/>
  <c r="AD11" i="3"/>
  <c r="M32" i="3"/>
  <c r="S32" i="3"/>
  <c r="U32" i="3"/>
  <c r="V32" i="3"/>
  <c r="W32" i="3"/>
  <c r="X32" i="3"/>
  <c r="AC32" i="3"/>
  <c r="M16" i="3"/>
  <c r="R16" i="3"/>
  <c r="U16" i="3"/>
  <c r="AD16" i="3" s="1"/>
  <c r="V16" i="3"/>
  <c r="W16" i="3"/>
  <c r="X16" i="3"/>
  <c r="M9" i="3"/>
  <c r="R9" i="3"/>
  <c r="U9" i="3"/>
  <c r="AC9" i="3" s="1"/>
  <c r="V9" i="3"/>
  <c r="W9" i="3"/>
  <c r="X9" i="3"/>
  <c r="M28" i="3"/>
  <c r="R28" i="3"/>
  <c r="S28" i="3"/>
  <c r="U28" i="3"/>
  <c r="AC28" i="3" s="1"/>
  <c r="V28" i="3"/>
  <c r="W28" i="3"/>
  <c r="X28" i="3"/>
  <c r="M17" i="3"/>
  <c r="R17" i="3"/>
  <c r="S17" i="3"/>
  <c r="U17" i="3"/>
  <c r="T17" i="3" s="1"/>
  <c r="V17" i="3"/>
  <c r="W17" i="3"/>
  <c r="X17" i="3"/>
  <c r="AC17" i="3"/>
  <c r="M18" i="3"/>
  <c r="R18" i="3"/>
  <c r="S18" i="3"/>
  <c r="U18" i="3"/>
  <c r="V18" i="3"/>
  <c r="W18" i="3"/>
  <c r="Y18" i="3" s="1"/>
  <c r="X18" i="3"/>
  <c r="M33" i="3"/>
  <c r="R33" i="3"/>
  <c r="S33" i="3"/>
  <c r="U33" i="3"/>
  <c r="AC33" i="3" s="1"/>
  <c r="V33" i="3"/>
  <c r="W33" i="3"/>
  <c r="X33" i="3"/>
  <c r="M29" i="3"/>
  <c r="S29" i="3"/>
  <c r="U29" i="3"/>
  <c r="AC29" i="3" s="1"/>
  <c r="V29" i="3"/>
  <c r="W29" i="3"/>
  <c r="X29" i="3"/>
  <c r="M24" i="3"/>
  <c r="R24" i="3"/>
  <c r="S24" i="3"/>
  <c r="U24" i="3"/>
  <c r="T24" i="3" s="1"/>
  <c r="V24" i="3"/>
  <c r="W24" i="3"/>
  <c r="X24" i="3"/>
  <c r="AC24" i="3"/>
  <c r="M27" i="3"/>
  <c r="R27" i="3"/>
  <c r="U27" i="3"/>
  <c r="AD27" i="3" s="1"/>
  <c r="V27" i="3"/>
  <c r="AE27" i="3" s="1"/>
  <c r="W27" i="3"/>
  <c r="Y27" i="3" s="1"/>
  <c r="X27" i="3"/>
  <c r="M8" i="3"/>
  <c r="R8" i="3"/>
  <c r="S8" i="3"/>
  <c r="U8" i="3"/>
  <c r="AC8" i="3" s="1"/>
  <c r="V8" i="3"/>
  <c r="W8" i="3"/>
  <c r="Y8" i="3" s="1"/>
  <c r="X8" i="3"/>
  <c r="M10" i="3"/>
  <c r="R10" i="3"/>
  <c r="S10" i="3"/>
  <c r="U10" i="3"/>
  <c r="AC10" i="3" s="1"/>
  <c r="V10" i="3"/>
  <c r="W10" i="3"/>
  <c r="X10" i="3"/>
  <c r="M25" i="3"/>
  <c r="S25" i="3"/>
  <c r="U25" i="3"/>
  <c r="T25" i="3" s="1"/>
  <c r="V25" i="3"/>
  <c r="AE24" i="3" s="1"/>
  <c r="W25" i="3"/>
  <c r="X25" i="3"/>
  <c r="AC25" i="3"/>
  <c r="AD24" i="3"/>
  <c r="M15" i="3"/>
  <c r="R15" i="3"/>
  <c r="S15" i="3"/>
  <c r="U15" i="3"/>
  <c r="V15" i="3"/>
  <c r="W15" i="3"/>
  <c r="X15" i="3"/>
  <c r="AC15" i="3"/>
  <c r="M30" i="3"/>
  <c r="R30" i="3"/>
  <c r="S30" i="3"/>
  <c r="U30" i="3"/>
  <c r="AC30" i="3" s="1"/>
  <c r="V30" i="3"/>
  <c r="W30" i="3"/>
  <c r="X30" i="3"/>
  <c r="Y30" i="3"/>
  <c r="M12" i="3"/>
  <c r="R12" i="3"/>
  <c r="S12" i="3"/>
  <c r="T12" i="3"/>
  <c r="U12" i="3"/>
  <c r="AC12" i="3" s="1"/>
  <c r="V12" i="3"/>
  <c r="W12" i="3"/>
  <c r="Y12" i="3" s="1"/>
  <c r="X12" i="3"/>
  <c r="M13" i="3"/>
  <c r="R13" i="3"/>
  <c r="S13" i="3"/>
  <c r="U13" i="3"/>
  <c r="T13" i="3" s="1"/>
  <c r="V13" i="3"/>
  <c r="W13" i="3"/>
  <c r="X13" i="3"/>
  <c r="AC13" i="3"/>
  <c r="M19" i="3"/>
  <c r="R19" i="3"/>
  <c r="S19" i="3"/>
  <c r="U19" i="3"/>
  <c r="V19" i="3"/>
  <c r="W19" i="3"/>
  <c r="X19" i="3"/>
  <c r="M20" i="3"/>
  <c r="R20" i="3"/>
  <c r="S20" i="3"/>
  <c r="U20" i="3"/>
  <c r="AC20" i="3" s="1"/>
  <c r="V20" i="3"/>
  <c r="W20" i="3"/>
  <c r="Y20" i="3" s="1"/>
  <c r="X20" i="3"/>
  <c r="M34" i="3"/>
  <c r="R34" i="3"/>
  <c r="S34" i="3"/>
  <c r="U34" i="3"/>
  <c r="AC34" i="3" s="1"/>
  <c r="V34" i="3"/>
  <c r="W34" i="3"/>
  <c r="X34" i="3"/>
  <c r="M21" i="3"/>
  <c r="R21" i="3"/>
  <c r="U21" i="3"/>
  <c r="T21" i="3" s="1"/>
  <c r="V21" i="3"/>
  <c r="W21" i="3"/>
  <c r="Y21" i="3" s="1"/>
  <c r="X21" i="3"/>
  <c r="AC21" i="3"/>
  <c r="M35" i="3"/>
  <c r="R35" i="3"/>
  <c r="U35" i="3"/>
  <c r="V35" i="3"/>
  <c r="W35" i="3"/>
  <c r="Y35" i="3" s="1"/>
  <c r="X35" i="3"/>
  <c r="M23" i="3"/>
  <c r="R23" i="3"/>
  <c r="S23" i="3"/>
  <c r="U23" i="3"/>
  <c r="AC23" i="3" s="1"/>
  <c r="V23" i="3"/>
  <c r="W23" i="3"/>
  <c r="Y23" i="3" s="1"/>
  <c r="X23" i="3"/>
  <c r="M22" i="3"/>
  <c r="R22" i="3"/>
  <c r="S22" i="3"/>
  <c r="U22" i="3"/>
  <c r="AC22" i="3" s="1"/>
  <c r="V22" i="3"/>
  <c r="W22" i="3"/>
  <c r="X22" i="3"/>
  <c r="M26" i="3"/>
  <c r="R26" i="3"/>
  <c r="S26" i="3"/>
  <c r="U26" i="3"/>
  <c r="V26" i="3"/>
  <c r="W26" i="3"/>
  <c r="Y26" i="3" s="1"/>
  <c r="X26" i="3"/>
  <c r="AC26" i="3"/>
  <c r="M14" i="3"/>
  <c r="R14" i="3"/>
  <c r="S14" i="3"/>
  <c r="U14" i="3"/>
  <c r="AD37" i="3" s="1"/>
  <c r="V14" i="3"/>
  <c r="W14" i="3"/>
  <c r="Y14" i="3" s="1"/>
  <c r="X14" i="3"/>
  <c r="AG160" i="1" l="1"/>
  <c r="X160" i="1"/>
  <c r="AG218" i="1"/>
  <c r="X218" i="1"/>
  <c r="T32" i="3"/>
  <c r="AD32" i="3"/>
  <c r="T185" i="1"/>
  <c r="AG185" i="1"/>
  <c r="U185" i="1" s="1"/>
  <c r="S185" i="1" s="1"/>
  <c r="X180" i="1"/>
  <c r="T180" i="1"/>
  <c r="W171" i="1"/>
  <c r="AA147" i="1"/>
  <c r="W147" i="1" s="1"/>
  <c r="T100" i="1"/>
  <c r="AG100" i="1"/>
  <c r="AG98" i="1"/>
  <c r="X98" i="1"/>
  <c r="T98" i="1"/>
  <c r="AG63" i="1"/>
  <c r="T63" i="1"/>
  <c r="U63" i="1" s="1"/>
  <c r="S63" i="1" s="1"/>
  <c r="T143" i="1"/>
  <c r="X143" i="1"/>
  <c r="AG143" i="1"/>
  <c r="AI143" i="1" s="1"/>
  <c r="T158" i="1"/>
  <c r="X158" i="1"/>
  <c r="T156" i="1"/>
  <c r="AG156" i="1"/>
  <c r="U156" i="1" s="1"/>
  <c r="S156" i="1" s="1"/>
  <c r="AG152" i="1"/>
  <c r="T152" i="1"/>
  <c r="AG144" i="1"/>
  <c r="T144" i="1"/>
  <c r="U144" i="1" s="1"/>
  <c r="S144" i="1" s="1"/>
  <c r="T131" i="1"/>
  <c r="X131" i="1"/>
  <c r="AG131" i="1"/>
  <c r="AI131" i="1" s="1"/>
  <c r="T80" i="1"/>
  <c r="U80" i="1" s="1"/>
  <c r="S80" i="1" s="1"/>
  <c r="AG80" i="1"/>
  <c r="T76" i="1"/>
  <c r="AG76" i="1"/>
  <c r="AI76" i="1" s="1"/>
  <c r="AD33" i="3"/>
  <c r="AE35" i="3"/>
  <c r="T127" i="1"/>
  <c r="X127" i="1"/>
  <c r="AG127" i="1"/>
  <c r="AI127" i="1" s="1"/>
  <c r="T114" i="1"/>
  <c r="AG114" i="1"/>
  <c r="T57" i="1"/>
  <c r="AG57" i="1"/>
  <c r="AI57" i="1" s="1"/>
  <c r="T28" i="1"/>
  <c r="AG28" i="1"/>
  <c r="AI28" i="1" s="1"/>
  <c r="AA218" i="1"/>
  <c r="W218" i="1" s="1"/>
  <c r="AA215" i="1"/>
  <c r="AA202" i="1"/>
  <c r="AA198" i="1"/>
  <c r="AA194" i="1"/>
  <c r="AA185" i="1"/>
  <c r="W185" i="1" s="1"/>
  <c r="X175" i="1"/>
  <c r="AA163" i="1"/>
  <c r="W163" i="1" s="1"/>
  <c r="AA161" i="1"/>
  <c r="AA158" i="1"/>
  <c r="T225" i="1"/>
  <c r="AA209" i="1"/>
  <c r="AA152" i="1"/>
  <c r="AA151" i="1"/>
  <c r="W151" i="1" s="1"/>
  <c r="T140" i="1"/>
  <c r="X129" i="1"/>
  <c r="AA114" i="1"/>
  <c r="W114" i="1" s="1"/>
  <c r="X111" i="1"/>
  <c r="AA100" i="1"/>
  <c r="AA98" i="1"/>
  <c r="W98" i="1" s="1"/>
  <c r="AA97" i="1"/>
  <c r="AA93" i="1"/>
  <c r="T71" i="1"/>
  <c r="AI64" i="1"/>
  <c r="AA63" i="1"/>
  <c r="W63" i="1" s="1"/>
  <c r="AI46" i="1"/>
  <c r="AA39" i="1"/>
  <c r="AA35" i="1"/>
  <c r="X32" i="1"/>
  <c r="AA16" i="1"/>
  <c r="AE32" i="3"/>
  <c r="AA210" i="1"/>
  <c r="AD29" i="3"/>
  <c r="Y15" i="3"/>
  <c r="Y7" i="3"/>
  <c r="Y31" i="3"/>
  <c r="X164" i="1"/>
  <c r="X135" i="1"/>
  <c r="AA40" i="1"/>
  <c r="X29" i="1"/>
  <c r="AE16" i="3"/>
  <c r="Y16" i="3"/>
  <c r="Y32" i="3"/>
  <c r="AA191" i="1"/>
  <c r="AA178" i="1"/>
  <c r="X172" i="1"/>
  <c r="AG169" i="1"/>
  <c r="AI169" i="1" s="1"/>
  <c r="X221" i="1"/>
  <c r="AA221" i="1"/>
  <c r="AG220" i="1"/>
  <c r="U220" i="1" s="1"/>
  <c r="S220" i="1" s="1"/>
  <c r="AG212" i="1"/>
  <c r="AA211" i="1"/>
  <c r="AA206" i="1"/>
  <c r="AA148" i="1"/>
  <c r="W148" i="1" s="1"/>
  <c r="T148" i="1"/>
  <c r="AA146" i="1"/>
  <c r="W146" i="1" s="1"/>
  <c r="AA141" i="1"/>
  <c r="W141" i="1" s="1"/>
  <c r="AG139" i="1"/>
  <c r="AI139" i="1" s="1"/>
  <c r="AA138" i="1"/>
  <c r="W138" i="1" s="1"/>
  <c r="AA133" i="1"/>
  <c r="W133" i="1" s="1"/>
  <c r="AA130" i="1"/>
  <c r="AG112" i="1"/>
  <c r="AI112" i="1" s="1"/>
  <c r="AA88" i="1"/>
  <c r="AA84" i="1"/>
  <c r="AA82" i="1"/>
  <c r="X67" i="1"/>
  <c r="AG61" i="1"/>
  <c r="AI61" i="1" s="1"/>
  <c r="AA60" i="1"/>
  <c r="T60" i="1"/>
  <c r="AA59" i="1"/>
  <c r="X52" i="1"/>
  <c r="AG40" i="1"/>
  <c r="AI40" i="1" s="1"/>
  <c r="X40" i="1"/>
  <c r="AG33" i="1"/>
  <c r="U33" i="1" s="1"/>
  <c r="S33" i="1" s="1"/>
  <c r="AG21" i="1"/>
  <c r="AA20" i="1"/>
  <c r="AG201" i="1"/>
  <c r="AA197" i="1"/>
  <c r="AA195" i="1"/>
  <c r="AG193" i="1"/>
  <c r="AG189" i="1"/>
  <c r="AA182" i="1"/>
  <c r="AA181" i="1"/>
  <c r="X176" i="1"/>
  <c r="AG173" i="1"/>
  <c r="AI173" i="1" s="1"/>
  <c r="AA166" i="1"/>
  <c r="AA165" i="1"/>
  <c r="X159" i="1"/>
  <c r="AA159" i="1"/>
  <c r="AG158" i="1"/>
  <c r="W158" i="1" s="1"/>
  <c r="AG226" i="1"/>
  <c r="AA224" i="1"/>
  <c r="AA222" i="1"/>
  <c r="AA214" i="1"/>
  <c r="AG153" i="1"/>
  <c r="AI153" i="1" s="1"/>
  <c r="AA136" i="1"/>
  <c r="AA126" i="1"/>
  <c r="AG123" i="1"/>
  <c r="AI123" i="1" s="1"/>
  <c r="X123" i="1"/>
  <c r="X119" i="1"/>
  <c r="X117" i="1"/>
  <c r="AA111" i="1"/>
  <c r="W111" i="1" s="1"/>
  <c r="T111" i="1"/>
  <c r="AA110" i="1"/>
  <c r="AA106" i="1"/>
  <c r="W106" i="1" s="1"/>
  <c r="AG104" i="1"/>
  <c r="W104" i="1" s="1"/>
  <c r="AA101" i="1"/>
  <c r="AG96" i="1"/>
  <c r="X94" i="1"/>
  <c r="AA92" i="1"/>
  <c r="AA90" i="1"/>
  <c r="AA78" i="1"/>
  <c r="AA70" i="1"/>
  <c r="AA55" i="1"/>
  <c r="AG45" i="1"/>
  <c r="X45" i="1"/>
  <c r="AG41" i="1"/>
  <c r="X41" i="1"/>
  <c r="AA34" i="1"/>
  <c r="W28" i="1"/>
  <c r="AA24" i="1"/>
  <c r="X21" i="1"/>
  <c r="X20" i="1"/>
  <c r="AG145" i="1"/>
  <c r="AI145" i="1" s="1"/>
  <c r="T122" i="1"/>
  <c r="AI114" i="1"/>
  <c r="X90" i="1"/>
  <c r="W88" i="1"/>
  <c r="AI80" i="1"/>
  <c r="X56" i="1"/>
  <c r="AA51" i="1"/>
  <c r="W51" i="1" s="1"/>
  <c r="AA27" i="1"/>
  <c r="AA19" i="1"/>
  <c r="AA217" i="1"/>
  <c r="AA201" i="1"/>
  <c r="AG197" i="1"/>
  <c r="X195" i="1"/>
  <c r="AA193" i="1"/>
  <c r="AA190" i="1"/>
  <c r="AA189" i="1"/>
  <c r="X187" i="1"/>
  <c r="X184" i="1"/>
  <c r="AG181" i="1"/>
  <c r="AI181" i="1" s="1"/>
  <c r="T176" i="1"/>
  <c r="AA174" i="1"/>
  <c r="AA173" i="1"/>
  <c r="W173" i="1" s="1"/>
  <c r="X171" i="1"/>
  <c r="X168" i="1"/>
  <c r="AG165" i="1"/>
  <c r="AI165" i="1" s="1"/>
  <c r="AA223" i="1"/>
  <c r="AA212" i="1"/>
  <c r="X208" i="1"/>
  <c r="AA156" i="1"/>
  <c r="X154" i="1"/>
  <c r="AI151" i="1"/>
  <c r="T150" i="1"/>
  <c r="AA144" i="1"/>
  <c r="AA139" i="1"/>
  <c r="AA137" i="1"/>
  <c r="W137" i="1" s="1"/>
  <c r="AA122" i="1"/>
  <c r="W122" i="1" s="1"/>
  <c r="T119" i="1"/>
  <c r="AA117" i="1"/>
  <c r="W117" i="1" s="1"/>
  <c r="AG111" i="1"/>
  <c r="U111" i="1" s="1"/>
  <c r="S111" i="1" s="1"/>
  <c r="AG107" i="1"/>
  <c r="U107" i="1" s="1"/>
  <c r="X107" i="1"/>
  <c r="X106" i="1"/>
  <c r="AA104" i="1"/>
  <c r="AA102" i="1"/>
  <c r="AA96" i="1"/>
  <c r="W96" i="1" s="1"/>
  <c r="AA94" i="1"/>
  <c r="AG92" i="1"/>
  <c r="AA89" i="1"/>
  <c r="X86" i="1"/>
  <c r="AA86" i="1"/>
  <c r="AA47" i="1"/>
  <c r="W47" i="1" s="1"/>
  <c r="AG44" i="1"/>
  <c r="AI44" i="1" s="1"/>
  <c r="AA32" i="1"/>
  <c r="W32" i="1" s="1"/>
  <c r="X24" i="1"/>
  <c r="T188" i="1"/>
  <c r="X183" i="1"/>
  <c r="AI177" i="1"/>
  <c r="T172" i="1"/>
  <c r="U172" i="1" s="1"/>
  <c r="S172" i="1" s="1"/>
  <c r="X167" i="1"/>
  <c r="X212" i="1"/>
  <c r="W205" i="1"/>
  <c r="AI156" i="1"/>
  <c r="AA149" i="1"/>
  <c r="X146" i="1"/>
  <c r="X139" i="1"/>
  <c r="X133" i="1"/>
  <c r="X44" i="1"/>
  <c r="X36" i="1"/>
  <c r="X25" i="1"/>
  <c r="W201" i="1"/>
  <c r="X199" i="1"/>
  <c r="T195" i="1"/>
  <c r="W193" i="1"/>
  <c r="X191" i="1"/>
  <c r="W224" i="1"/>
  <c r="T203" i="1"/>
  <c r="AG219" i="1"/>
  <c r="U219" i="1" s="1"/>
  <c r="S219" i="1" s="1"/>
  <c r="X219" i="1"/>
  <c r="X215" i="1"/>
  <c r="AG215" i="1"/>
  <c r="X196" i="1"/>
  <c r="AG196" i="1"/>
  <c r="W196" i="1" s="1"/>
  <c r="T191" i="1"/>
  <c r="X204" i="1"/>
  <c r="AI147" i="1"/>
  <c r="T218" i="1"/>
  <c r="U218" i="1" s="1"/>
  <c r="S218" i="1" s="1"/>
  <c r="W216" i="1"/>
  <c r="X203" i="1"/>
  <c r="T199" i="1"/>
  <c r="U199" i="1" s="1"/>
  <c r="S199" i="1" s="1"/>
  <c r="AA219" i="1"/>
  <c r="T219" i="1"/>
  <c r="T215" i="1"/>
  <c r="X200" i="1"/>
  <c r="AG200" i="1"/>
  <c r="AA200" i="1"/>
  <c r="T196" i="1"/>
  <c r="X192" i="1"/>
  <c r="AG192" i="1"/>
  <c r="AA192" i="1"/>
  <c r="W189" i="1"/>
  <c r="AA188" i="1"/>
  <c r="T187" i="1"/>
  <c r="AA184" i="1"/>
  <c r="T183" i="1"/>
  <c r="U183" i="1" s="1"/>
  <c r="S183" i="1" s="1"/>
  <c r="W181" i="1"/>
  <c r="AA180" i="1"/>
  <c r="T179" i="1"/>
  <c r="W177" i="1"/>
  <c r="AA176" i="1"/>
  <c r="T175" i="1"/>
  <c r="AA172" i="1"/>
  <c r="T171" i="1"/>
  <c r="W169" i="1"/>
  <c r="AA168" i="1"/>
  <c r="T167" i="1"/>
  <c r="U167" i="1" s="1"/>
  <c r="S167" i="1" s="1"/>
  <c r="W165" i="1"/>
  <c r="AA164" i="1"/>
  <c r="X163" i="1"/>
  <c r="AG161" i="1"/>
  <c r="W161" i="1" s="1"/>
  <c r="AA157" i="1"/>
  <c r="AA226" i="1"/>
  <c r="W226" i="1" s="1"/>
  <c r="AA225" i="1"/>
  <c r="W225" i="1" s="1"/>
  <c r="X224" i="1"/>
  <c r="AG222" i="1"/>
  <c r="AG211" i="1"/>
  <c r="U211" i="1" s="1"/>
  <c r="S211" i="1" s="1"/>
  <c r="AG208" i="1"/>
  <c r="AG204" i="1"/>
  <c r="U204" i="1" s="1"/>
  <c r="S204" i="1" s="1"/>
  <c r="X152" i="1"/>
  <c r="X151" i="1"/>
  <c r="X150" i="1"/>
  <c r="T147" i="1"/>
  <c r="U147" i="1" s="1"/>
  <c r="S147" i="1" s="1"/>
  <c r="X144" i="1"/>
  <c r="AA142" i="1"/>
  <c r="W142" i="1" s="1"/>
  <c r="T142" i="1"/>
  <c r="X140" i="1"/>
  <c r="X137" i="1"/>
  <c r="AG135" i="1"/>
  <c r="AI135" i="1" s="1"/>
  <c r="T133" i="1"/>
  <c r="AA132" i="1"/>
  <c r="AA131" i="1"/>
  <c r="W131" i="1" s="1"/>
  <c r="AG130" i="1"/>
  <c r="T129" i="1"/>
  <c r="AA128" i="1"/>
  <c r="X126" i="1"/>
  <c r="AA123" i="1"/>
  <c r="AG121" i="1"/>
  <c r="AI121" i="1" s="1"/>
  <c r="AG119" i="1"/>
  <c r="AI119" i="1" s="1"/>
  <c r="AG115" i="1"/>
  <c r="U115" i="1" s="1"/>
  <c r="X115" i="1"/>
  <c r="AG110" i="1"/>
  <c r="W102" i="1"/>
  <c r="T102" i="1"/>
  <c r="U102" i="1" s="1"/>
  <c r="S102" i="1" s="1"/>
  <c r="U98" i="1"/>
  <c r="S98" i="1" s="1"/>
  <c r="AI98" i="1"/>
  <c r="AG188" i="1"/>
  <c r="AG184" i="1"/>
  <c r="AG180" i="1"/>
  <c r="AG176" i="1"/>
  <c r="AG172" i="1"/>
  <c r="AG168" i="1"/>
  <c r="AG164" i="1"/>
  <c r="T159" i="1"/>
  <c r="X225" i="1"/>
  <c r="T221" i="1"/>
  <c r="U221" i="1" s="1"/>
  <c r="S221" i="1" s="1"/>
  <c r="AA213" i="1"/>
  <c r="W212" i="1"/>
  <c r="X211" i="1"/>
  <c r="X207" i="1"/>
  <c r="AA154" i="1"/>
  <c r="W143" i="1"/>
  <c r="W139" i="1"/>
  <c r="T138" i="1"/>
  <c r="X134" i="1"/>
  <c r="X130" i="1"/>
  <c r="AA127" i="1"/>
  <c r="W127" i="1" s="1"/>
  <c r="X122" i="1"/>
  <c r="AA120" i="1"/>
  <c r="X118" i="1"/>
  <c r="T117" i="1"/>
  <c r="U117" i="1" s="1"/>
  <c r="S117" i="1" s="1"/>
  <c r="AA113" i="1"/>
  <c r="W108" i="1"/>
  <c r="T106" i="1"/>
  <c r="U106" i="1" s="1"/>
  <c r="S106" i="1" s="1"/>
  <c r="AI102" i="1"/>
  <c r="X95" i="1"/>
  <c r="AG95" i="1"/>
  <c r="T95" i="1"/>
  <c r="T163" i="1"/>
  <c r="U163" i="1" s="1"/>
  <c r="S163" i="1" s="1"/>
  <c r="T224" i="1"/>
  <c r="U224" i="1" s="1"/>
  <c r="S224" i="1" s="1"/>
  <c r="W222" i="1"/>
  <c r="W211" i="1"/>
  <c r="T151" i="1"/>
  <c r="T137" i="1"/>
  <c r="W130" i="1"/>
  <c r="T126" i="1"/>
  <c r="AA124" i="1"/>
  <c r="W121" i="1"/>
  <c r="AA116" i="1"/>
  <c r="AA115" i="1"/>
  <c r="W115" i="1" s="1"/>
  <c r="AA109" i="1"/>
  <c r="X102" i="1"/>
  <c r="T99" i="1"/>
  <c r="X99" i="1"/>
  <c r="AG99" i="1"/>
  <c r="AI20" i="1"/>
  <c r="AG159" i="1"/>
  <c r="W159" i="1" s="1"/>
  <c r="AG221" i="1"/>
  <c r="W221" i="1" s="1"/>
  <c r="AG213" i="1"/>
  <c r="AA208" i="1"/>
  <c r="W208" i="1" s="1"/>
  <c r="T207" i="1"/>
  <c r="U207" i="1" s="1"/>
  <c r="S207" i="1" s="1"/>
  <c r="AA204" i="1"/>
  <c r="X156" i="1"/>
  <c r="U153" i="1"/>
  <c r="AG149" i="1"/>
  <c r="X138" i="1"/>
  <c r="AA135" i="1"/>
  <c r="W135" i="1" s="1"/>
  <c r="T134" i="1"/>
  <c r="AA119" i="1"/>
  <c r="T118" i="1"/>
  <c r="U114" i="1"/>
  <c r="S114" i="1" s="1"/>
  <c r="X110" i="1"/>
  <c r="X103" i="1"/>
  <c r="AG103" i="1"/>
  <c r="T103" i="1"/>
  <c r="W100" i="1"/>
  <c r="AA103" i="1"/>
  <c r="AA95" i="1"/>
  <c r="W95" i="1" s="1"/>
  <c r="AG94" i="1"/>
  <c r="AG91" i="1"/>
  <c r="U91" i="1" s="1"/>
  <c r="S91" i="1" s="1"/>
  <c r="X91" i="1"/>
  <c r="AA87" i="1"/>
  <c r="T86" i="1"/>
  <c r="AG84" i="1"/>
  <c r="AI84" i="1" s="1"/>
  <c r="AG82" i="1"/>
  <c r="AA80" i="1"/>
  <c r="W80" i="1" s="1"/>
  <c r="T78" i="1"/>
  <c r="AA77" i="1"/>
  <c r="AG74" i="1"/>
  <c r="W74" i="1" s="1"/>
  <c r="AA72" i="1"/>
  <c r="W72" i="1" s="1"/>
  <c r="T70" i="1"/>
  <c r="AA69" i="1"/>
  <c r="AG66" i="1"/>
  <c r="AA64" i="1"/>
  <c r="W64" i="1" s="1"/>
  <c r="AA62" i="1"/>
  <c r="AG59" i="1"/>
  <c r="AA57" i="1"/>
  <c r="T55" i="1"/>
  <c r="AA54" i="1"/>
  <c r="AA50" i="1"/>
  <c r="T48" i="1"/>
  <c r="U41" i="1"/>
  <c r="AG37" i="1"/>
  <c r="X37" i="1"/>
  <c r="T32" i="1"/>
  <c r="AA30" i="1"/>
  <c r="AA29" i="1"/>
  <c r="AA26" i="1"/>
  <c r="T25" i="1"/>
  <c r="AG24" i="1"/>
  <c r="W24" i="1" s="1"/>
  <c r="AG17" i="1"/>
  <c r="U17" i="1" s="1"/>
  <c r="S17" i="1" s="1"/>
  <c r="X17" i="1"/>
  <c r="T90" i="1"/>
  <c r="T36" i="1"/>
  <c r="U32" i="1"/>
  <c r="S32" i="1" s="1"/>
  <c r="T29" i="1"/>
  <c r="W20" i="1"/>
  <c r="T16" i="1"/>
  <c r="AA112" i="1"/>
  <c r="AA107" i="1"/>
  <c r="W107" i="1" s="1"/>
  <c r="AA99" i="1"/>
  <c r="W99" i="1" s="1"/>
  <c r="AA91" i="1"/>
  <c r="AG90" i="1"/>
  <c r="AG87" i="1"/>
  <c r="W87" i="1" s="1"/>
  <c r="X87" i="1"/>
  <c r="AG86" i="1"/>
  <c r="AI85" i="1"/>
  <c r="AA81" i="1"/>
  <c r="AG78" i="1"/>
  <c r="AA76" i="1"/>
  <c r="W76" i="1" s="1"/>
  <c r="AA73" i="1"/>
  <c r="AG70" i="1"/>
  <c r="W70" i="1" s="1"/>
  <c r="AA68" i="1"/>
  <c r="W68" i="1" s="1"/>
  <c r="AA65" i="1"/>
  <c r="AA61" i="1"/>
  <c r="W61" i="1" s="1"/>
  <c r="AA58" i="1"/>
  <c r="AG55" i="1"/>
  <c r="AA53" i="1"/>
  <c r="W53" i="1" s="1"/>
  <c r="AI51" i="1"/>
  <c r="AG49" i="1"/>
  <c r="AI49" i="1" s="1"/>
  <c r="X49" i="1"/>
  <c r="AG48" i="1"/>
  <c r="W48" i="1" s="1"/>
  <c r="AI47" i="1"/>
  <c r="AA38" i="1"/>
  <c r="AG36" i="1"/>
  <c r="W36" i="1" s="1"/>
  <c r="AG29" i="1"/>
  <c r="X28" i="1"/>
  <c r="AG25" i="1"/>
  <c r="U25" i="1" s="1"/>
  <c r="S25" i="1" s="1"/>
  <c r="T20" i="1"/>
  <c r="U20" i="1" s="1"/>
  <c r="S20" i="1" s="1"/>
  <c r="AA18" i="1"/>
  <c r="AG16" i="1"/>
  <c r="W92" i="1"/>
  <c r="W46" i="1"/>
  <c r="U44" i="1"/>
  <c r="S44" i="1" s="1"/>
  <c r="AA42" i="1"/>
  <c r="U40" i="1"/>
  <c r="S40" i="1" s="1"/>
  <c r="AA22" i="1"/>
  <c r="W203" i="1"/>
  <c r="W199" i="1"/>
  <c r="W195" i="1"/>
  <c r="W191" i="1"/>
  <c r="W187" i="1"/>
  <c r="W183" i="1"/>
  <c r="W179" i="1"/>
  <c r="W175" i="1"/>
  <c r="AI161" i="1"/>
  <c r="U187" i="1"/>
  <c r="S187" i="1" s="1"/>
  <c r="AI205" i="1"/>
  <c r="AI201" i="1"/>
  <c r="U179" i="1"/>
  <c r="S179" i="1" s="1"/>
  <c r="AI197" i="1"/>
  <c r="U175" i="1"/>
  <c r="S175" i="1" s="1"/>
  <c r="AI193" i="1"/>
  <c r="U171" i="1"/>
  <c r="S171" i="1" s="1"/>
  <c r="AI189" i="1"/>
  <c r="AI185" i="1"/>
  <c r="S153" i="1"/>
  <c r="U191" i="1"/>
  <c r="S191" i="1" s="1"/>
  <c r="U203" i="1"/>
  <c r="S203" i="1" s="1"/>
  <c r="AI221" i="1"/>
  <c r="U195" i="1"/>
  <c r="S195" i="1" s="1"/>
  <c r="AI213" i="1"/>
  <c r="W207" i="1"/>
  <c r="U215" i="1"/>
  <c r="S215" i="1" s="1"/>
  <c r="U200" i="1"/>
  <c r="S200" i="1" s="1"/>
  <c r="U196" i="1"/>
  <c r="S196" i="1" s="1"/>
  <c r="U192" i="1"/>
  <c r="S192" i="1" s="1"/>
  <c r="U188" i="1"/>
  <c r="S188" i="1" s="1"/>
  <c r="U184" i="1"/>
  <c r="S184" i="1" s="1"/>
  <c r="U180" i="1"/>
  <c r="S180" i="1" s="1"/>
  <c r="U176" i="1"/>
  <c r="S176" i="1" s="1"/>
  <c r="U168" i="1"/>
  <c r="S168" i="1" s="1"/>
  <c r="U164" i="1"/>
  <c r="S164" i="1" s="1"/>
  <c r="U225" i="1"/>
  <c r="S225" i="1" s="1"/>
  <c r="U212" i="1"/>
  <c r="S212" i="1" s="1"/>
  <c r="U208" i="1"/>
  <c r="S208" i="1" s="1"/>
  <c r="AI152" i="1"/>
  <c r="U152" i="1"/>
  <c r="S152" i="1" s="1"/>
  <c r="U150" i="1"/>
  <c r="S150" i="1" s="1"/>
  <c r="AI150" i="1"/>
  <c r="AI144" i="1"/>
  <c r="AI140" i="1"/>
  <c r="U140" i="1"/>
  <c r="S140" i="1" s="1"/>
  <c r="U134" i="1"/>
  <c r="S134" i="1" s="1"/>
  <c r="AI134" i="1"/>
  <c r="U118" i="1"/>
  <c r="S118" i="1" s="1"/>
  <c r="AI118" i="1"/>
  <c r="U216" i="1"/>
  <c r="S216" i="1" s="1"/>
  <c r="U201" i="1"/>
  <c r="S201" i="1" s="1"/>
  <c r="U197" i="1"/>
  <c r="S197" i="1" s="1"/>
  <c r="U193" i="1"/>
  <c r="S193" i="1" s="1"/>
  <c r="U189" i="1"/>
  <c r="S189" i="1" s="1"/>
  <c r="U181" i="1"/>
  <c r="S181" i="1" s="1"/>
  <c r="U177" i="1"/>
  <c r="S177" i="1" s="1"/>
  <c r="U173" i="1"/>
  <c r="S173" i="1" s="1"/>
  <c r="U169" i="1"/>
  <c r="S169" i="1" s="1"/>
  <c r="U165" i="1"/>
  <c r="S165" i="1" s="1"/>
  <c r="U161" i="1"/>
  <c r="S161" i="1" s="1"/>
  <c r="U226" i="1"/>
  <c r="S226" i="1" s="1"/>
  <c r="U222" i="1"/>
  <c r="S222" i="1" s="1"/>
  <c r="U213" i="1"/>
  <c r="S213" i="1" s="1"/>
  <c r="AG209" i="1"/>
  <c r="AI209" i="1" s="1"/>
  <c r="U205" i="1"/>
  <c r="S205" i="1" s="1"/>
  <c r="AG154" i="1"/>
  <c r="T154" i="1"/>
  <c r="U133" i="1"/>
  <c r="S133" i="1" s="1"/>
  <c r="AI133" i="1"/>
  <c r="U129" i="1"/>
  <c r="S129" i="1" s="1"/>
  <c r="AI129" i="1"/>
  <c r="U122" i="1"/>
  <c r="S122" i="1" s="1"/>
  <c r="AI122" i="1"/>
  <c r="U121" i="1"/>
  <c r="S121" i="1" s="1"/>
  <c r="AI226" i="1"/>
  <c r="AG217" i="1"/>
  <c r="AI217" i="1" s="1"/>
  <c r="X216" i="1"/>
  <c r="AI222" i="1"/>
  <c r="AG202" i="1"/>
  <c r="AI202" i="1" s="1"/>
  <c r="X201" i="1"/>
  <c r="AI218" i="1"/>
  <c r="AG198" i="1"/>
  <c r="W198" i="1" s="1"/>
  <c r="X197" i="1"/>
  <c r="AG194" i="1"/>
  <c r="AI194" i="1" s="1"/>
  <c r="X193" i="1"/>
  <c r="AG190" i="1"/>
  <c r="AI190" i="1" s="1"/>
  <c r="X189" i="1"/>
  <c r="AG186" i="1"/>
  <c r="AI186" i="1" s="1"/>
  <c r="X185" i="1"/>
  <c r="AG182" i="1"/>
  <c r="X181" i="1"/>
  <c r="AG178" i="1"/>
  <c r="AI178" i="1" s="1"/>
  <c r="X177" i="1"/>
  <c r="AG174" i="1"/>
  <c r="AI174" i="1" s="1"/>
  <c r="X173" i="1"/>
  <c r="AG170" i="1"/>
  <c r="AI170" i="1" s="1"/>
  <c r="X169" i="1"/>
  <c r="AG166" i="1"/>
  <c r="X165" i="1"/>
  <c r="AG162" i="1"/>
  <c r="AG157" i="1"/>
  <c r="W157" i="1" s="1"/>
  <c r="X226" i="1"/>
  <c r="AG223" i="1"/>
  <c r="X222" i="1"/>
  <c r="AG214" i="1"/>
  <c r="X213" i="1"/>
  <c r="AG210" i="1"/>
  <c r="AI210" i="1" s="1"/>
  <c r="X209" i="1"/>
  <c r="AI162" i="1"/>
  <c r="AG206" i="1"/>
  <c r="W206" i="1" s="1"/>
  <c r="X205" i="1"/>
  <c r="AI157" i="1"/>
  <c r="AG155" i="1"/>
  <c r="AI148" i="1"/>
  <c r="U148" i="1"/>
  <c r="S148" i="1" s="1"/>
  <c r="U146" i="1"/>
  <c r="S146" i="1" s="1"/>
  <c r="AI146" i="1"/>
  <c r="U145" i="1"/>
  <c r="S145" i="1" s="1"/>
  <c r="U142" i="1"/>
  <c r="S142" i="1" s="1"/>
  <c r="AI142" i="1"/>
  <c r="U141" i="1"/>
  <c r="S141" i="1" s="1"/>
  <c r="U138" i="1"/>
  <c r="S138" i="1" s="1"/>
  <c r="AI138" i="1"/>
  <c r="W126" i="1"/>
  <c r="X217" i="1"/>
  <c r="X202" i="1"/>
  <c r="X198" i="1"/>
  <c r="AI215" i="1"/>
  <c r="X194" i="1"/>
  <c r="AI211" i="1"/>
  <c r="X190" i="1"/>
  <c r="AI207" i="1"/>
  <c r="X186" i="1"/>
  <c r="AI203" i="1"/>
  <c r="X182" i="1"/>
  <c r="AI199" i="1"/>
  <c r="X178" i="1"/>
  <c r="AI195" i="1"/>
  <c r="X174" i="1"/>
  <c r="AI191" i="1"/>
  <c r="X170" i="1"/>
  <c r="AI187" i="1"/>
  <c r="X166" i="1"/>
  <c r="AI183" i="1"/>
  <c r="X162" i="1"/>
  <c r="AI179" i="1"/>
  <c r="X157" i="1"/>
  <c r="AI175" i="1"/>
  <c r="X223" i="1"/>
  <c r="AI171" i="1"/>
  <c r="X214" i="1"/>
  <c r="AI167" i="1"/>
  <c r="X210" i="1"/>
  <c r="X206" i="1"/>
  <c r="X155" i="1"/>
  <c r="W152" i="1"/>
  <c r="W150" i="1"/>
  <c r="W144" i="1"/>
  <c r="W140" i="1"/>
  <c r="U137" i="1"/>
  <c r="S137" i="1" s="1"/>
  <c r="AI137" i="1"/>
  <c r="W134" i="1"/>
  <c r="U126" i="1"/>
  <c r="S126" i="1" s="1"/>
  <c r="AI126" i="1"/>
  <c r="W118" i="1"/>
  <c r="U151" i="1"/>
  <c r="S151" i="1" s="1"/>
  <c r="U143" i="1"/>
  <c r="S143" i="1" s="1"/>
  <c r="U135" i="1"/>
  <c r="S135" i="1" s="1"/>
  <c r="U131" i="1"/>
  <c r="S131" i="1" s="1"/>
  <c r="U127" i="1"/>
  <c r="S127" i="1" s="1"/>
  <c r="AG136" i="1"/>
  <c r="W136" i="1" s="1"/>
  <c r="AG132" i="1"/>
  <c r="AG128" i="1"/>
  <c r="AG124" i="1"/>
  <c r="AG120" i="1"/>
  <c r="W120" i="1" s="1"/>
  <c r="T116" i="1"/>
  <c r="X116" i="1"/>
  <c r="X136" i="1"/>
  <c r="X132" i="1"/>
  <c r="X128" i="1"/>
  <c r="AG125" i="1"/>
  <c r="X124" i="1"/>
  <c r="X120" i="1"/>
  <c r="AG116" i="1"/>
  <c r="X153" i="1"/>
  <c r="X149" i="1"/>
  <c r="X145" i="1"/>
  <c r="X141" i="1"/>
  <c r="X125" i="1"/>
  <c r="X121" i="1"/>
  <c r="S115" i="1"/>
  <c r="AI115" i="1"/>
  <c r="X114" i="1"/>
  <c r="T113" i="1"/>
  <c r="X113" i="1"/>
  <c r="AG113" i="1"/>
  <c r="U112" i="1"/>
  <c r="S112" i="1" s="1"/>
  <c r="U108" i="1"/>
  <c r="S108" i="1" s="1"/>
  <c r="U100" i="1"/>
  <c r="S100" i="1" s="1"/>
  <c r="U96" i="1"/>
  <c r="S96" i="1" s="1"/>
  <c r="U92" i="1"/>
  <c r="S92" i="1" s="1"/>
  <c r="U88" i="1"/>
  <c r="S88" i="1" s="1"/>
  <c r="T85" i="1"/>
  <c r="AI75" i="1"/>
  <c r="U75" i="1"/>
  <c r="S75" i="1" s="1"/>
  <c r="AI67" i="1"/>
  <c r="U67" i="1"/>
  <c r="S67" i="1" s="1"/>
  <c r="AI60" i="1"/>
  <c r="U60" i="1"/>
  <c r="S60" i="1" s="1"/>
  <c r="AI52" i="1"/>
  <c r="U52" i="1"/>
  <c r="S52" i="1" s="1"/>
  <c r="W50" i="1"/>
  <c r="X112" i="1"/>
  <c r="AI111" i="1"/>
  <c r="AG109" i="1"/>
  <c r="W109" i="1" s="1"/>
  <c r="X108" i="1"/>
  <c r="AI107" i="1"/>
  <c r="S107" i="1"/>
  <c r="AG105" i="1"/>
  <c r="X104" i="1"/>
  <c r="AI103" i="1"/>
  <c r="AG101" i="1"/>
  <c r="W101" i="1" s="1"/>
  <c r="X100" i="1"/>
  <c r="AI99" i="1"/>
  <c r="AG97" i="1"/>
  <c r="W97" i="1" s="1"/>
  <c r="X96" i="1"/>
  <c r="AI95" i="1"/>
  <c r="AG93" i="1"/>
  <c r="X92" i="1"/>
  <c r="AI91" i="1"/>
  <c r="AG89" i="1"/>
  <c r="X88" i="1"/>
  <c r="AI87" i="1"/>
  <c r="AI86" i="1"/>
  <c r="X85" i="1"/>
  <c r="W83" i="1"/>
  <c r="T83" i="1"/>
  <c r="W79" i="1"/>
  <c r="AI50" i="1"/>
  <c r="X109" i="1"/>
  <c r="T109" i="1"/>
  <c r="AI108" i="1"/>
  <c r="X105" i="1"/>
  <c r="X101" i="1"/>
  <c r="AI100" i="1"/>
  <c r="X97" i="1"/>
  <c r="AI96" i="1"/>
  <c r="X93" i="1"/>
  <c r="AI92" i="1"/>
  <c r="X89" i="1"/>
  <c r="AI88" i="1"/>
  <c r="AI83" i="1"/>
  <c r="U83" i="1"/>
  <c r="S83" i="1" s="1"/>
  <c r="AI79" i="1"/>
  <c r="U79" i="1"/>
  <c r="S79" i="1" s="1"/>
  <c r="AI71" i="1"/>
  <c r="U71" i="1"/>
  <c r="S71" i="1" s="1"/>
  <c r="AI63" i="1"/>
  <c r="AI56" i="1"/>
  <c r="U56" i="1"/>
  <c r="S56" i="1" s="1"/>
  <c r="U85" i="1"/>
  <c r="S85" i="1" s="1"/>
  <c r="X83" i="1"/>
  <c r="W75" i="1"/>
  <c r="W67" i="1"/>
  <c r="W60" i="1"/>
  <c r="W52" i="1"/>
  <c r="X82" i="1"/>
  <c r="X78" i="1"/>
  <c r="X74" i="1"/>
  <c r="X70" i="1"/>
  <c r="X66" i="1"/>
  <c r="X59" i="1"/>
  <c r="X55" i="1"/>
  <c r="U48" i="1"/>
  <c r="S48" i="1" s="1"/>
  <c r="U47" i="1"/>
  <c r="S47" i="1" s="1"/>
  <c r="AI45" i="1"/>
  <c r="T42" i="1"/>
  <c r="X42" i="1"/>
  <c r="AG42" i="1"/>
  <c r="AI37" i="1"/>
  <c r="T26" i="1"/>
  <c r="X26" i="1"/>
  <c r="AG26" i="1"/>
  <c r="AI21" i="1"/>
  <c r="U76" i="1"/>
  <c r="S76" i="1" s="1"/>
  <c r="U72" i="1"/>
  <c r="S72" i="1" s="1"/>
  <c r="U68" i="1"/>
  <c r="S68" i="1" s="1"/>
  <c r="U64" i="1"/>
  <c r="S64" i="1" s="1"/>
  <c r="U61" i="1"/>
  <c r="S61" i="1" s="1"/>
  <c r="U53" i="1"/>
  <c r="S53" i="1" s="1"/>
  <c r="S41" i="1"/>
  <c r="AI41" i="1"/>
  <c r="AA33" i="1"/>
  <c r="T30" i="1"/>
  <c r="X30" i="1"/>
  <c r="AG30" i="1"/>
  <c r="W30" i="1" s="1"/>
  <c r="U28" i="1"/>
  <c r="S28" i="1" s="1"/>
  <c r="AA17" i="1"/>
  <c r="W17" i="1" s="1"/>
  <c r="X84" i="1"/>
  <c r="AG81" i="1"/>
  <c r="X80" i="1"/>
  <c r="AG77" i="1"/>
  <c r="X76" i="1"/>
  <c r="AG73" i="1"/>
  <c r="X72" i="1"/>
  <c r="AG69" i="1"/>
  <c r="X68" i="1"/>
  <c r="AG65" i="1"/>
  <c r="AG62" i="1"/>
  <c r="W62" i="1" s="1"/>
  <c r="X61" i="1"/>
  <c r="AG58" i="1"/>
  <c r="X57" i="1"/>
  <c r="AG54" i="1"/>
  <c r="W54" i="1" s="1"/>
  <c r="X53" i="1"/>
  <c r="T51" i="1"/>
  <c r="U51" i="1" s="1"/>
  <c r="S51" i="1" s="1"/>
  <c r="AA49" i="1"/>
  <c r="AI48" i="1"/>
  <c r="X47" i="1"/>
  <c r="T46" i="1"/>
  <c r="U46" i="1" s="1"/>
  <c r="S46" i="1" s="1"/>
  <c r="X46" i="1"/>
  <c r="AA45" i="1"/>
  <c r="W45" i="1" s="1"/>
  <c r="U45" i="1"/>
  <c r="S45" i="1" s="1"/>
  <c r="AA37" i="1"/>
  <c r="W37" i="1" s="1"/>
  <c r="U37" i="1"/>
  <c r="S37" i="1" s="1"/>
  <c r="T34" i="1"/>
  <c r="X34" i="1"/>
  <c r="AG34" i="1"/>
  <c r="AI29" i="1"/>
  <c r="AA21" i="1"/>
  <c r="W21" i="1" s="1"/>
  <c r="U21" i="1"/>
  <c r="S21" i="1" s="1"/>
  <c r="T18" i="1"/>
  <c r="X18" i="1"/>
  <c r="AG18" i="1"/>
  <c r="X81" i="1"/>
  <c r="X77" i="1"/>
  <c r="X73" i="1"/>
  <c r="X69" i="1"/>
  <c r="X58" i="1"/>
  <c r="X54" i="1"/>
  <c r="X51" i="1"/>
  <c r="T50" i="1"/>
  <c r="U50" i="1" s="1"/>
  <c r="S50" i="1" s="1"/>
  <c r="X50" i="1"/>
  <c r="AA41" i="1"/>
  <c r="W41" i="1" s="1"/>
  <c r="T38" i="1"/>
  <c r="X38" i="1"/>
  <c r="AG38" i="1"/>
  <c r="W38" i="1" s="1"/>
  <c r="AA25" i="1"/>
  <c r="T22" i="1"/>
  <c r="X22" i="1"/>
  <c r="AG22" i="1"/>
  <c r="W22" i="1" s="1"/>
  <c r="AI17" i="1"/>
  <c r="AG14" i="1"/>
  <c r="W14" i="1" s="1"/>
  <c r="AG43" i="1"/>
  <c r="AG39" i="1"/>
  <c r="AG35" i="1"/>
  <c r="W35" i="1" s="1"/>
  <c r="AG31" i="1"/>
  <c r="AG27" i="1"/>
  <c r="AG23" i="1"/>
  <c r="W23" i="1" s="1"/>
  <c r="AG19" i="1"/>
  <c r="W19" i="1" s="1"/>
  <c r="AG15" i="1"/>
  <c r="W15" i="1" s="1"/>
  <c r="X43" i="1"/>
  <c r="X39" i="1"/>
  <c r="X35" i="1"/>
  <c r="X31" i="1"/>
  <c r="X27" i="1"/>
  <c r="X23" i="1"/>
  <c r="X19" i="1"/>
  <c r="X15" i="1"/>
  <c r="AD35" i="3"/>
  <c r="AC35" i="3"/>
  <c r="Y19" i="3"/>
  <c r="AD25" i="3"/>
  <c r="AD23" i="3"/>
  <c r="Y24" i="3"/>
  <c r="AD17" i="3"/>
  <c r="Y17" i="3"/>
  <c r="AD13" i="3"/>
  <c r="T11" i="3"/>
  <c r="AD21" i="3"/>
  <c r="Y33" i="3"/>
  <c r="Y9" i="3"/>
  <c r="AD12" i="3"/>
  <c r="AE12" i="3"/>
  <c r="AD9" i="3"/>
  <c r="T22" i="3"/>
  <c r="Y34" i="3"/>
  <c r="AD19" i="3"/>
  <c r="AD15" i="3"/>
  <c r="AD8" i="3"/>
  <c r="Y13" i="3"/>
  <c r="Y10" i="3"/>
  <c r="Y29" i="3"/>
  <c r="Y28" i="3"/>
  <c r="Y11" i="3"/>
  <c r="AC14" i="3"/>
  <c r="T26" i="3"/>
  <c r="Y22" i="3"/>
  <c r="T34" i="3"/>
  <c r="AD28" i="3"/>
  <c r="AE28" i="3"/>
  <c r="Y25" i="3"/>
  <c r="AE23" i="3"/>
  <c r="AC27" i="3"/>
  <c r="AE19" i="3"/>
  <c r="AC18" i="3"/>
  <c r="AE15" i="3"/>
  <c r="AC16" i="3"/>
  <c r="AE11" i="3"/>
  <c r="AE31" i="3"/>
  <c r="AC19" i="3"/>
  <c r="T10" i="3"/>
  <c r="AD20" i="3"/>
  <c r="T29" i="3"/>
  <c r="T28" i="3"/>
  <c r="T30" i="3"/>
  <c r="AE22" i="3"/>
  <c r="T8" i="3"/>
  <c r="AE18" i="3"/>
  <c r="T33" i="3"/>
  <c r="AE14" i="3"/>
  <c r="T9" i="3"/>
  <c r="AE10" i="3"/>
  <c r="T7" i="3"/>
  <c r="AC37" i="3"/>
  <c r="AE30" i="3"/>
  <c r="T20" i="3"/>
  <c r="AE37" i="3"/>
  <c r="T14" i="3"/>
  <c r="AD34" i="3"/>
  <c r="AE33" i="3"/>
  <c r="T35" i="3"/>
  <c r="AD30" i="3"/>
  <c r="AE29" i="3"/>
  <c r="T19" i="3"/>
  <c r="AD26" i="3"/>
  <c r="AE25" i="3"/>
  <c r="T15" i="3"/>
  <c r="AD22" i="3"/>
  <c r="AE21" i="3"/>
  <c r="T27" i="3"/>
  <c r="AD18" i="3"/>
  <c r="AE17" i="3"/>
  <c r="T18" i="3"/>
  <c r="AD14" i="3"/>
  <c r="AE13" i="3"/>
  <c r="T16" i="3"/>
  <c r="AD10" i="3"/>
  <c r="AE9" i="3"/>
  <c r="T31" i="3"/>
  <c r="AE34" i="3"/>
  <c r="T23" i="3"/>
  <c r="AE26" i="3"/>
  <c r="AE20" i="3"/>
  <c r="AE8" i="3"/>
  <c r="R36" i="3"/>
  <c r="M36" i="3"/>
  <c r="S36" i="3"/>
  <c r="U36" i="3"/>
  <c r="T36" i="3" s="1"/>
  <c r="V36" i="3"/>
  <c r="W36" i="3"/>
  <c r="X36" i="3"/>
  <c r="AI160" i="1" l="1"/>
  <c r="U160" i="1"/>
  <c r="S160" i="1" s="1"/>
  <c r="W160" i="1"/>
  <c r="AI33" i="1"/>
  <c r="W49" i="1"/>
  <c r="AI25" i="1"/>
  <c r="AI104" i="1"/>
  <c r="W93" i="1"/>
  <c r="U104" i="1"/>
  <c r="S104" i="1" s="1"/>
  <c r="U87" i="1"/>
  <c r="S87" i="1" s="1"/>
  <c r="U119" i="1"/>
  <c r="S119" i="1" s="1"/>
  <c r="AI219" i="1"/>
  <c r="W182" i="1"/>
  <c r="U29" i="1"/>
  <c r="S29" i="1" s="1"/>
  <c r="U86" i="1"/>
  <c r="S86" i="1" s="1"/>
  <c r="W91" i="1"/>
  <c r="U99" i="1"/>
  <c r="S99" i="1" s="1"/>
  <c r="U158" i="1"/>
  <c r="S158" i="1" s="1"/>
  <c r="W123" i="1"/>
  <c r="W220" i="1"/>
  <c r="W33" i="1"/>
  <c r="U57" i="1"/>
  <c r="S57" i="1" s="1"/>
  <c r="W42" i="1"/>
  <c r="W116" i="1"/>
  <c r="W132" i="1"/>
  <c r="U123" i="1"/>
  <c r="S123" i="1" s="1"/>
  <c r="U139" i="1"/>
  <c r="S139" i="1" s="1"/>
  <c r="W214" i="1"/>
  <c r="U159" i="1"/>
  <c r="S159" i="1" s="1"/>
  <c r="U84" i="1"/>
  <c r="S84" i="1" s="1"/>
  <c r="W55" i="1"/>
  <c r="W57" i="1"/>
  <c r="W119" i="1"/>
  <c r="W204" i="1"/>
  <c r="W40" i="1"/>
  <c r="W25" i="1"/>
  <c r="U49" i="1"/>
  <c r="S49" i="1" s="1"/>
  <c r="W69" i="1"/>
  <c r="W77" i="1"/>
  <c r="AI158" i="1"/>
  <c r="W223" i="1"/>
  <c r="W166" i="1"/>
  <c r="W16" i="1"/>
  <c r="W112" i="1"/>
  <c r="W94" i="1"/>
  <c r="W215" i="1"/>
  <c r="W156" i="1"/>
  <c r="W86" i="1"/>
  <c r="W219" i="1"/>
  <c r="W44" i="1"/>
  <c r="W197" i="1"/>
  <c r="W145" i="1"/>
  <c r="U95" i="1"/>
  <c r="S95" i="1" s="1"/>
  <c r="W153" i="1"/>
  <c r="AI223" i="1"/>
  <c r="AI166" i="1"/>
  <c r="AI182" i="1"/>
  <c r="AI198" i="1"/>
  <c r="AI214" i="1"/>
  <c r="U78" i="1"/>
  <c r="S78" i="1" s="1"/>
  <c r="AI78" i="1"/>
  <c r="U59" i="1"/>
  <c r="S59" i="1" s="1"/>
  <c r="AI59" i="1"/>
  <c r="U66" i="1"/>
  <c r="S66" i="1" s="1"/>
  <c r="AI66" i="1"/>
  <c r="U74" i="1"/>
  <c r="S74" i="1" s="1"/>
  <c r="AI74" i="1"/>
  <c r="U82" i="1"/>
  <c r="S82" i="1" s="1"/>
  <c r="AI82" i="1"/>
  <c r="W103" i="1"/>
  <c r="W66" i="1"/>
  <c r="U110" i="1"/>
  <c r="S110" i="1" s="1"/>
  <c r="AI110" i="1"/>
  <c r="W172" i="1"/>
  <c r="W188" i="1"/>
  <c r="W110" i="1"/>
  <c r="U16" i="1"/>
  <c r="S16" i="1" s="1"/>
  <c r="AI16" i="1"/>
  <c r="U70" i="1"/>
  <c r="S70" i="1" s="1"/>
  <c r="AI70" i="1"/>
  <c r="W29" i="1"/>
  <c r="U149" i="1"/>
  <c r="S149" i="1" s="1"/>
  <c r="AI149" i="1"/>
  <c r="W78" i="1"/>
  <c r="W168" i="1"/>
  <c r="W184" i="1"/>
  <c r="AI206" i="1"/>
  <c r="U90" i="1"/>
  <c r="S90" i="1" s="1"/>
  <c r="AI90" i="1"/>
  <c r="U24" i="1"/>
  <c r="S24" i="1" s="1"/>
  <c r="AI24" i="1"/>
  <c r="U94" i="1"/>
  <c r="S94" i="1" s="1"/>
  <c r="AI94" i="1"/>
  <c r="W82" i="1"/>
  <c r="W90" i="1"/>
  <c r="U130" i="1"/>
  <c r="S130" i="1" s="1"/>
  <c r="AI130" i="1"/>
  <c r="W164" i="1"/>
  <c r="W180" i="1"/>
  <c r="W149" i="1"/>
  <c r="U36" i="1"/>
  <c r="S36" i="1" s="1"/>
  <c r="AI36" i="1"/>
  <c r="U55" i="1"/>
  <c r="S55" i="1" s="1"/>
  <c r="AI55" i="1"/>
  <c r="U103" i="1"/>
  <c r="S103" i="1" s="1"/>
  <c r="W59" i="1"/>
  <c r="W84" i="1"/>
  <c r="W213" i="1"/>
  <c r="W176" i="1"/>
  <c r="W192" i="1"/>
  <c r="W200" i="1"/>
  <c r="AI113" i="1"/>
  <c r="U113" i="1"/>
  <c r="S113" i="1" s="1"/>
  <c r="AI128" i="1"/>
  <c r="U128" i="1"/>
  <c r="S128" i="1" s="1"/>
  <c r="U210" i="1"/>
  <c r="S210" i="1" s="1"/>
  <c r="AI164" i="1"/>
  <c r="U162" i="1"/>
  <c r="S162" i="1" s="1"/>
  <c r="AI180" i="1"/>
  <c r="U178" i="1"/>
  <c r="S178" i="1" s="1"/>
  <c r="AI196" i="1"/>
  <c r="U194" i="1"/>
  <c r="S194" i="1" s="1"/>
  <c r="AI212" i="1"/>
  <c r="W128" i="1"/>
  <c r="AI163" i="1"/>
  <c r="U209" i="1"/>
  <c r="S209" i="1" s="1"/>
  <c r="W209" i="1"/>
  <c r="U39" i="1"/>
  <c r="S39" i="1" s="1"/>
  <c r="AI39" i="1"/>
  <c r="AI26" i="1"/>
  <c r="U26" i="1"/>
  <c r="S26" i="1" s="1"/>
  <c r="U27" i="1"/>
  <c r="S27" i="1" s="1"/>
  <c r="AI27" i="1"/>
  <c r="W27" i="1"/>
  <c r="AI22" i="1"/>
  <c r="U22" i="1"/>
  <c r="S22" i="1" s="1"/>
  <c r="W26" i="1"/>
  <c r="U58" i="1"/>
  <c r="S58" i="1" s="1"/>
  <c r="AI58" i="1"/>
  <c r="U81" i="1"/>
  <c r="S81" i="1"/>
  <c r="AI81" i="1"/>
  <c r="W39" i="1"/>
  <c r="AI89" i="1"/>
  <c r="U89" i="1"/>
  <c r="S89" i="1" s="1"/>
  <c r="AI93" i="1"/>
  <c r="U93" i="1"/>
  <c r="S93" i="1" s="1"/>
  <c r="AI97" i="1"/>
  <c r="U97" i="1"/>
  <c r="S97" i="1" s="1"/>
  <c r="AI105" i="1"/>
  <c r="U105" i="1"/>
  <c r="S105" i="1" s="1"/>
  <c r="AI109" i="1"/>
  <c r="U109" i="1"/>
  <c r="S109" i="1" s="1"/>
  <c r="AI132" i="1"/>
  <c r="U132" i="1"/>
  <c r="S132" i="1" s="1"/>
  <c r="U206" i="1"/>
  <c r="S206" i="1"/>
  <c r="AI159" i="1"/>
  <c r="U157" i="1"/>
  <c r="S157" i="1" s="1"/>
  <c r="AI176" i="1"/>
  <c r="U174" i="1"/>
  <c r="S174" i="1" s="1"/>
  <c r="AI192" i="1"/>
  <c r="U190" i="1"/>
  <c r="S190" i="1" s="1"/>
  <c r="AI208" i="1"/>
  <c r="U217" i="1"/>
  <c r="S217" i="1" s="1"/>
  <c r="AI224" i="1"/>
  <c r="W210" i="1"/>
  <c r="U62" i="1"/>
  <c r="S62" i="1" s="1"/>
  <c r="AI62" i="1"/>
  <c r="U77" i="1"/>
  <c r="S77" i="1" s="1"/>
  <c r="AI77" i="1"/>
  <c r="U23" i="1"/>
  <c r="S23" i="1" s="1"/>
  <c r="AI23" i="1"/>
  <c r="AI38" i="1"/>
  <c r="U38" i="1"/>
  <c r="S38" i="1" s="1"/>
  <c r="U43" i="1"/>
  <c r="S43" i="1" s="1"/>
  <c r="AI43" i="1"/>
  <c r="W43" i="1"/>
  <c r="U65" i="1"/>
  <c r="S65" i="1" s="1"/>
  <c r="AI65" i="1"/>
  <c r="U73" i="1"/>
  <c r="S73" i="1" s="1"/>
  <c r="AI73" i="1"/>
  <c r="AI101" i="1"/>
  <c r="U101" i="1"/>
  <c r="S101" i="1" s="1"/>
  <c r="U15" i="1"/>
  <c r="S15" i="1" s="1"/>
  <c r="AI15" i="1"/>
  <c r="U31" i="1"/>
  <c r="S31" i="1" s="1"/>
  <c r="AI31" i="1"/>
  <c r="W31" i="1"/>
  <c r="AI14" i="1"/>
  <c r="U14" i="1"/>
  <c r="S14" i="1" s="1"/>
  <c r="AI18" i="1"/>
  <c r="U18" i="1"/>
  <c r="S18" i="1" s="1"/>
  <c r="AI34" i="1"/>
  <c r="U34" i="1"/>
  <c r="S34" i="1" s="1"/>
  <c r="W18" i="1"/>
  <c r="AI30" i="1"/>
  <c r="U30" i="1"/>
  <c r="S30" i="1" s="1"/>
  <c r="W34" i="1"/>
  <c r="AI42" i="1"/>
  <c r="U42" i="1"/>
  <c r="S42" i="1" s="1"/>
  <c r="W58" i="1"/>
  <c r="W65" i="1"/>
  <c r="W73" i="1"/>
  <c r="W81" i="1"/>
  <c r="W113" i="1"/>
  <c r="U125" i="1"/>
  <c r="S125" i="1" s="1"/>
  <c r="AI125" i="1"/>
  <c r="W89" i="1"/>
  <c r="W105" i="1"/>
  <c r="AI120" i="1"/>
  <c r="U120" i="1"/>
  <c r="S120" i="1" s="1"/>
  <c r="AI136" i="1"/>
  <c r="U136" i="1"/>
  <c r="S136" i="1" s="1"/>
  <c r="U155" i="1"/>
  <c r="S155" i="1" s="1"/>
  <c r="AI155" i="1"/>
  <c r="U223" i="1"/>
  <c r="S223" i="1" s="1"/>
  <c r="AI172" i="1"/>
  <c r="U170" i="1"/>
  <c r="S170" i="1" s="1"/>
  <c r="AI188" i="1"/>
  <c r="U186" i="1"/>
  <c r="S186" i="1" s="1"/>
  <c r="AI204" i="1"/>
  <c r="U202" i="1"/>
  <c r="S202" i="1" s="1"/>
  <c r="AI220" i="1"/>
  <c r="U154" i="1"/>
  <c r="S154" i="1" s="1"/>
  <c r="AI154" i="1"/>
  <c r="W190" i="1"/>
  <c r="W202" i="1"/>
  <c r="W154" i="1"/>
  <c r="W170" i="1"/>
  <c r="W174" i="1"/>
  <c r="W178" i="1"/>
  <c r="W186" i="1"/>
  <c r="U19" i="1"/>
  <c r="S19" i="1" s="1"/>
  <c r="AI19" i="1"/>
  <c r="U35" i="1"/>
  <c r="S35" i="1" s="1"/>
  <c r="AI35" i="1"/>
  <c r="U54" i="1"/>
  <c r="S54" i="1" s="1"/>
  <c r="AI54" i="1"/>
  <c r="U69" i="1"/>
  <c r="S69" i="1" s="1"/>
  <c r="AI69" i="1"/>
  <c r="U116" i="1"/>
  <c r="S116" i="1" s="1"/>
  <c r="AI116" i="1"/>
  <c r="AI124" i="1"/>
  <c r="U124" i="1"/>
  <c r="S124" i="1" s="1"/>
  <c r="W124" i="1"/>
  <c r="U214" i="1"/>
  <c r="S214" i="1" s="1"/>
  <c r="AI168" i="1"/>
  <c r="U166" i="1"/>
  <c r="S166" i="1" s="1"/>
  <c r="AI184" i="1"/>
  <c r="U182" i="1"/>
  <c r="S182" i="1" s="1"/>
  <c r="AI200" i="1"/>
  <c r="U198" i="1"/>
  <c r="S198" i="1" s="1"/>
  <c r="AI216" i="1"/>
  <c r="W125" i="1"/>
  <c r="W162" i="1"/>
  <c r="W155" i="1"/>
  <c r="W217" i="1"/>
  <c r="W194" i="1"/>
  <c r="AE36" i="3"/>
  <c r="AD36" i="3"/>
  <c r="AC36" i="3"/>
  <c r="Y36" i="3"/>
  <c r="B4" i="6" l="1"/>
  <c r="G4" i="6" s="1"/>
  <c r="F4" i="6" l="1"/>
  <c r="J4" i="6"/>
  <c r="I4" i="6"/>
  <c r="AE7" i="3" l="1"/>
  <c r="AD7" i="3"/>
  <c r="B55" i="9" l="1"/>
  <c r="B56" i="9"/>
  <c r="B57" i="9"/>
  <c r="C57" i="9" s="1"/>
  <c r="B58" i="9"/>
  <c r="B59" i="9"/>
  <c r="C59" i="9" s="1"/>
  <c r="B60" i="9"/>
  <c r="B61" i="9"/>
  <c r="C61" i="9" s="1"/>
  <c r="B62" i="9"/>
  <c r="C62" i="9" l="1"/>
  <c r="C60" i="9"/>
  <c r="C58" i="9"/>
  <c r="C56" i="9"/>
  <c r="B50" i="9" l="1"/>
  <c r="B51" i="9"/>
  <c r="B52" i="9"/>
  <c r="C52" i="9" s="1"/>
  <c r="B53" i="9"/>
  <c r="B54" i="9"/>
  <c r="C54" i="9" l="1"/>
  <c r="C55" i="9"/>
  <c r="C53" i="9"/>
  <c r="C51" i="9"/>
  <c r="Y13" i="1"/>
  <c r="K13" i="1"/>
  <c r="L13" i="1"/>
  <c r="M13" i="1"/>
  <c r="N13" i="1" s="1"/>
  <c r="V13" i="1"/>
  <c r="Z13" i="1"/>
  <c r="AB13" i="1"/>
  <c r="AC13" i="1"/>
  <c r="AD13" i="1"/>
  <c r="X14" i="1" s="1"/>
  <c r="AE13" i="1"/>
  <c r="AF13" i="1"/>
  <c r="AM13" i="1"/>
  <c r="AN13" i="1"/>
  <c r="T13" i="1" l="1"/>
  <c r="X13" i="1"/>
  <c r="AA13" i="1"/>
  <c r="AG13" i="1"/>
  <c r="W13" i="1" l="1"/>
  <c r="U13" i="1"/>
  <c r="S13" i="1" s="1"/>
  <c r="AI13" i="1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N37" i="3" s="1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N7" i="3" s="1"/>
  <c r="G39" i="4"/>
  <c r="N16" i="3" s="1"/>
  <c r="G40" i="4"/>
  <c r="N9" i="3" s="1"/>
  <c r="G41" i="4"/>
  <c r="N32" i="3" s="1"/>
  <c r="G42" i="4"/>
  <c r="G43" i="4"/>
  <c r="N11" i="3" s="1"/>
  <c r="G44" i="4"/>
  <c r="N28" i="3" s="1"/>
  <c r="G45" i="4"/>
  <c r="G46" i="4"/>
  <c r="G47" i="4"/>
  <c r="G48" i="4"/>
  <c r="G49" i="4"/>
  <c r="G50" i="4"/>
  <c r="G51" i="4"/>
  <c r="G52" i="4"/>
  <c r="G53" i="4"/>
  <c r="N33" i="3" s="1"/>
  <c r="G54" i="4"/>
  <c r="G55" i="4"/>
  <c r="N24" i="3" s="1"/>
  <c r="G56" i="4"/>
  <c r="G57" i="4"/>
  <c r="N29" i="3" s="1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N27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N8" i="3" s="1"/>
  <c r="G89" i="4"/>
  <c r="G90" i="4"/>
  <c r="G91" i="4"/>
  <c r="G92" i="4"/>
  <c r="G93" i="4"/>
  <c r="G94" i="4"/>
  <c r="G95" i="4"/>
  <c r="G96" i="4"/>
  <c r="N10" i="3" s="1"/>
  <c r="G97" i="4"/>
  <c r="G98" i="4"/>
  <c r="N25" i="3" s="1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N15" i="3" s="1"/>
  <c r="G116" i="4"/>
  <c r="G117" i="4"/>
  <c r="G118" i="4"/>
  <c r="G119" i="4"/>
  <c r="G120" i="4"/>
  <c r="G121" i="4"/>
  <c r="G122" i="4"/>
  <c r="G123" i="4"/>
  <c r="G124" i="4"/>
  <c r="G125" i="4"/>
  <c r="G126" i="4"/>
  <c r="G127" i="4"/>
  <c r="N30" i="3" s="1"/>
  <c r="G128" i="4"/>
  <c r="G129" i="4"/>
  <c r="G130" i="4"/>
  <c r="G131" i="4"/>
  <c r="N19" i="3" s="1"/>
  <c r="G132" i="4"/>
  <c r="G133" i="4"/>
  <c r="G134" i="4"/>
  <c r="G135" i="4"/>
  <c r="G136" i="4"/>
  <c r="G137" i="4"/>
  <c r="G138" i="4"/>
  <c r="G139" i="4"/>
  <c r="N20" i="3" s="1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N34" i="3" s="1"/>
  <c r="G154" i="4"/>
  <c r="G155" i="4"/>
  <c r="G156" i="4"/>
  <c r="G157" i="4"/>
  <c r="G158" i="4"/>
  <c r="G159" i="4"/>
  <c r="G160" i="4"/>
  <c r="G161" i="4"/>
  <c r="G162" i="4"/>
  <c r="G163" i="4"/>
  <c r="N21" i="3" s="1"/>
  <c r="G164" i="4"/>
  <c r="G165" i="4"/>
  <c r="G166" i="4"/>
  <c r="G167" i="4"/>
  <c r="G168" i="4"/>
  <c r="N23" i="3" s="1"/>
  <c r="G169" i="4"/>
  <c r="G170" i="4"/>
  <c r="G171" i="4"/>
  <c r="G172" i="4"/>
  <c r="N35" i="3" s="1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N22" i="3" s="1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N26" i="3" s="1"/>
  <c r="G217" i="4"/>
  <c r="G218" i="4"/>
  <c r="G219" i="4"/>
  <c r="G220" i="4"/>
  <c r="G221" i="4"/>
  <c r="N14" i="3" s="1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7" i="3" l="1"/>
  <c r="N18" i="3"/>
  <c r="N12" i="3"/>
  <c r="N13" i="3"/>
  <c r="N36" i="3"/>
  <c r="N31" i="3"/>
  <c r="H4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3" i="6" l="1"/>
  <c r="I3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5" i="6" l="1"/>
  <c r="I5" i="6" s="1"/>
  <c r="G3" i="6"/>
  <c r="F3" i="6"/>
  <c r="J3" i="6"/>
  <c r="H3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6" i="6" l="1"/>
  <c r="I6" i="6" s="1"/>
  <c r="F5" i="6"/>
  <c r="J5" i="6"/>
  <c r="G5" i="6"/>
  <c r="H5" i="6"/>
  <c r="G259" i="4"/>
  <c r="G260" i="4"/>
  <c r="G261" i="4"/>
  <c r="G262" i="4"/>
  <c r="G263" i="4"/>
  <c r="G264" i="4"/>
  <c r="G265" i="4"/>
  <c r="F6" i="6" l="1"/>
  <c r="J6" i="6"/>
  <c r="G6" i="6"/>
  <c r="H6" i="6"/>
  <c r="B7" i="6"/>
  <c r="I7" i="6" s="1"/>
  <c r="M14" i="5"/>
  <c r="M13" i="5"/>
  <c r="M12" i="5"/>
  <c r="M11" i="5"/>
  <c r="M10" i="5"/>
  <c r="M9" i="5"/>
  <c r="M8" i="5"/>
  <c r="M7" i="5"/>
  <c r="M6" i="5"/>
  <c r="M5" i="5"/>
  <c r="M4" i="5"/>
  <c r="M3" i="5"/>
  <c r="F7" i="6" l="1"/>
  <c r="H7" i="6"/>
  <c r="J7" i="6"/>
  <c r="G7" i="6"/>
  <c r="B8" i="6"/>
  <c r="I8" i="6" s="1"/>
  <c r="O2" i="3"/>
  <c r="O3" i="3" s="1"/>
  <c r="F8" i="6" l="1"/>
  <c r="J8" i="6"/>
  <c r="G8" i="6"/>
  <c r="H8" i="6"/>
  <c r="B9" i="6"/>
  <c r="I9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9" i="6" l="1"/>
  <c r="F9" i="6"/>
  <c r="G9" i="6"/>
  <c r="H9" i="6"/>
  <c r="B10" i="6"/>
  <c r="I10" i="6" s="1"/>
  <c r="J8" i="1"/>
  <c r="J4" i="1"/>
  <c r="S8" i="1"/>
  <c r="S4" i="1"/>
  <c r="F10" i="6" l="1"/>
  <c r="J10" i="6"/>
  <c r="H10" i="6"/>
  <c r="G10" i="6"/>
  <c r="B11" i="6"/>
  <c r="I11" i="6" s="1"/>
  <c r="S9" i="1"/>
  <c r="J9" i="1"/>
  <c r="B12" i="6" l="1"/>
  <c r="I12" i="6" s="1"/>
  <c r="F11" i="6"/>
  <c r="G11" i="6"/>
  <c r="J11" i="6"/>
  <c r="H11" i="6"/>
  <c r="S11" i="1"/>
  <c r="A11" i="1"/>
  <c r="B13" i="6" l="1"/>
  <c r="I13" i="6" s="1"/>
  <c r="G12" i="6"/>
  <c r="H12" i="6"/>
  <c r="J12" i="6"/>
  <c r="F12" i="6"/>
  <c r="B1" i="6"/>
  <c r="A5" i="3"/>
  <c r="G13" i="6" l="1"/>
  <c r="F13" i="6"/>
  <c r="J13" i="6"/>
  <c r="H13" i="6"/>
  <c r="B14" i="6"/>
  <c r="I14" i="6" s="1"/>
  <c r="F14" i="6" l="1"/>
  <c r="J14" i="6"/>
  <c r="G14" i="6"/>
  <c r="H14" i="6"/>
  <c r="B15" i="6"/>
  <c r="I15" i="6" s="1"/>
  <c r="B16" i="6" l="1"/>
  <c r="I16" i="6" s="1"/>
  <c r="J15" i="6"/>
  <c r="G15" i="6"/>
  <c r="F15" i="6"/>
  <c r="H15" i="6"/>
  <c r="F16" i="6" l="1"/>
  <c r="G16" i="6"/>
  <c r="H16" i="6"/>
  <c r="J16" i="6"/>
  <c r="B17" i="6"/>
  <c r="I17" i="6" s="1"/>
  <c r="J17" i="6" l="1"/>
  <c r="H17" i="6"/>
  <c r="F17" i="6"/>
  <c r="G17" i="6"/>
  <c r="B18" i="6"/>
  <c r="I18" i="6" s="1"/>
  <c r="B19" i="6" l="1"/>
  <c r="I19" i="6" s="1"/>
  <c r="J18" i="6"/>
  <c r="F18" i="6"/>
  <c r="H18" i="6"/>
  <c r="G18" i="6"/>
  <c r="F19" i="6" l="1"/>
  <c r="G19" i="6"/>
  <c r="H19" i="6"/>
  <c r="J19" i="6"/>
  <c r="B20" i="6"/>
  <c r="I20" i="6" s="1"/>
  <c r="G20" i="6" l="1"/>
  <c r="H20" i="6"/>
  <c r="J20" i="6"/>
  <c r="F20" i="6"/>
  <c r="B21" i="6"/>
  <c r="I21" i="6" s="1"/>
  <c r="F21" i="6" l="1"/>
  <c r="H21" i="6"/>
  <c r="J21" i="6"/>
  <c r="G21" i="6"/>
  <c r="B22" i="6"/>
  <c r="I22" i="6" s="1"/>
  <c r="F22" i="6" l="1"/>
  <c r="J22" i="6"/>
  <c r="G22" i="6"/>
  <c r="H22" i="6"/>
  <c r="B23" i="6"/>
  <c r="I23" i="6" s="1"/>
  <c r="B24" i="6" l="1"/>
  <c r="I24" i="6" s="1"/>
  <c r="F23" i="6"/>
  <c r="H23" i="6"/>
  <c r="J23" i="6"/>
  <c r="G23" i="6"/>
  <c r="F24" i="6" l="1"/>
  <c r="H24" i="6"/>
  <c r="J24" i="6"/>
  <c r="G24" i="6"/>
  <c r="B25" i="6"/>
  <c r="I25" i="6" s="1"/>
  <c r="J25" i="6" l="1"/>
  <c r="H25" i="6"/>
  <c r="F25" i="6"/>
  <c r="G25" i="6"/>
  <c r="B26" i="6"/>
  <c r="I26" i="6" s="1"/>
  <c r="B27" i="6" l="1"/>
  <c r="I27" i="6" s="1"/>
  <c r="F26" i="6"/>
  <c r="G26" i="6"/>
  <c r="H26" i="6"/>
  <c r="J26" i="6"/>
  <c r="B28" i="6" l="1"/>
  <c r="I28" i="6" s="1"/>
  <c r="H27" i="6"/>
  <c r="F27" i="6"/>
  <c r="J27" i="6"/>
  <c r="G27" i="6"/>
  <c r="B29" i="6" l="1"/>
  <c r="I29" i="6" s="1"/>
  <c r="F28" i="6"/>
  <c r="H28" i="6"/>
  <c r="J28" i="6"/>
  <c r="G28" i="6"/>
  <c r="F29" i="6" l="1"/>
  <c r="G29" i="6"/>
  <c r="J29" i="6"/>
  <c r="H29" i="6"/>
  <c r="B30" i="6"/>
  <c r="I30" i="6" s="1"/>
  <c r="F30" i="6" l="1"/>
  <c r="J30" i="6"/>
  <c r="H30" i="6"/>
  <c r="G30" i="6"/>
  <c r="B31" i="6"/>
  <c r="I31" i="6" s="1"/>
  <c r="F31" i="6" l="1"/>
  <c r="H31" i="6"/>
  <c r="G31" i="6"/>
  <c r="J31" i="6"/>
  <c r="B32" i="6"/>
  <c r="I32" i="6" s="1"/>
  <c r="B33" i="6" l="1"/>
  <c r="I33" i="6" s="1"/>
  <c r="G32" i="6"/>
  <c r="F32" i="6"/>
  <c r="H32" i="6"/>
  <c r="J32" i="6"/>
  <c r="J33" i="6" l="1"/>
  <c r="H33" i="6"/>
  <c r="F33" i="6"/>
  <c r="G33" i="6"/>
  <c r="B34" i="6"/>
  <c r="I34" i="6" s="1"/>
  <c r="H34" i="6" l="1"/>
  <c r="J34" i="6"/>
  <c r="F34" i="6"/>
  <c r="G34" i="6"/>
  <c r="B35" i="6"/>
  <c r="I35" i="6" s="1"/>
  <c r="H35" i="6" l="1"/>
  <c r="J35" i="6"/>
  <c r="F35" i="6"/>
  <c r="G35" i="6"/>
  <c r="B36" i="6"/>
  <c r="I36" i="6" s="1"/>
  <c r="H36" i="6" l="1"/>
  <c r="J36" i="6"/>
  <c r="F36" i="6"/>
  <c r="G36" i="6"/>
  <c r="B37" i="6"/>
  <c r="I37" i="6" s="1"/>
  <c r="G37" i="6" l="1"/>
  <c r="F37" i="6"/>
  <c r="H37" i="6"/>
  <c r="J37" i="6"/>
  <c r="B38" i="6"/>
  <c r="I38" i="6" s="1"/>
  <c r="B39" i="6" l="1"/>
  <c r="I39" i="6" s="1"/>
  <c r="J38" i="6"/>
  <c r="G38" i="6"/>
  <c r="F38" i="6"/>
  <c r="H38" i="6"/>
  <c r="B40" i="6" l="1"/>
  <c r="I40" i="6" s="1"/>
  <c r="J39" i="6"/>
  <c r="G39" i="6"/>
  <c r="F39" i="6"/>
  <c r="H39" i="6"/>
  <c r="F40" i="6" l="1"/>
  <c r="H40" i="6"/>
  <c r="J40" i="6"/>
  <c r="G40" i="6"/>
  <c r="B41" i="6"/>
  <c r="I41" i="6" s="1"/>
  <c r="B42" i="6" l="1"/>
  <c r="I42" i="6" s="1"/>
  <c r="F41" i="6"/>
  <c r="G41" i="6"/>
  <c r="J41" i="6"/>
  <c r="H41" i="6"/>
  <c r="G42" i="6" l="1"/>
  <c r="F42" i="6"/>
  <c r="H42" i="6"/>
  <c r="J42" i="6"/>
  <c r="B43" i="6"/>
  <c r="I43" i="6" s="1"/>
  <c r="F43" i="6" l="1"/>
  <c r="J43" i="6"/>
  <c r="G43" i="6"/>
  <c r="H43" i="6"/>
  <c r="B44" i="6"/>
  <c r="I44" i="6" s="1"/>
  <c r="G44" i="6" l="1"/>
  <c r="H44" i="6"/>
  <c r="J44" i="6"/>
  <c r="F44" i="6"/>
  <c r="B45" i="6"/>
  <c r="I45" i="6" s="1"/>
  <c r="B46" i="6" l="1"/>
  <c r="I46" i="6" s="1"/>
  <c r="J45" i="6"/>
  <c r="H45" i="6"/>
  <c r="F45" i="6"/>
  <c r="G45" i="6"/>
  <c r="J46" i="6" l="1"/>
  <c r="G46" i="6"/>
  <c r="F46" i="6"/>
  <c r="H46" i="6"/>
  <c r="B47" i="6"/>
  <c r="I47" i="6" s="1"/>
  <c r="B48" i="6" l="1"/>
  <c r="I48" i="6" s="1"/>
  <c r="G47" i="6"/>
  <c r="J47" i="6"/>
  <c r="F47" i="6"/>
  <c r="H47" i="6"/>
  <c r="F48" i="6" l="1"/>
  <c r="G48" i="6"/>
  <c r="J48" i="6"/>
  <c r="H48" i="6"/>
  <c r="B49" i="6"/>
  <c r="I49" i="6" s="1"/>
  <c r="B50" i="6" l="1"/>
  <c r="I50" i="6" s="1"/>
  <c r="F49" i="6"/>
  <c r="G49" i="6"/>
  <c r="J49" i="6"/>
  <c r="H49" i="6"/>
  <c r="G50" i="6" l="1"/>
  <c r="H50" i="6"/>
  <c r="J50" i="6"/>
  <c r="F50" i="6"/>
  <c r="B51" i="6"/>
  <c r="I51" i="6" s="1"/>
  <c r="B52" i="6" l="1"/>
  <c r="I52" i="6" s="1"/>
  <c r="G51" i="6"/>
  <c r="H51" i="6"/>
  <c r="J51" i="6"/>
  <c r="F51" i="6"/>
  <c r="F52" i="6" l="1"/>
  <c r="G52" i="6"/>
  <c r="H52" i="6"/>
  <c r="J52" i="6"/>
  <c r="B53" i="6"/>
  <c r="I53" i="6" s="1"/>
  <c r="G53" i="6" l="1"/>
  <c r="F53" i="6"/>
  <c r="H53" i="6"/>
  <c r="J53" i="6"/>
  <c r="B54" i="6"/>
  <c r="I54" i="6" s="1"/>
  <c r="B55" i="6" l="1"/>
  <c r="I55" i="6" s="1"/>
  <c r="J54" i="6"/>
  <c r="G54" i="6"/>
  <c r="F54" i="6"/>
  <c r="H54" i="6"/>
  <c r="B56" i="6" l="1"/>
  <c r="I56" i="6" s="1"/>
  <c r="J55" i="6"/>
  <c r="G55" i="6"/>
  <c r="F55" i="6"/>
  <c r="H55" i="6"/>
  <c r="H56" i="6" l="1"/>
  <c r="F56" i="6"/>
  <c r="G56" i="6"/>
  <c r="J56" i="6"/>
  <c r="B57" i="6"/>
  <c r="I57" i="6" s="1"/>
  <c r="B58" i="6" l="1"/>
  <c r="I58" i="6" s="1"/>
  <c r="F57" i="6"/>
  <c r="G57" i="6"/>
  <c r="J57" i="6"/>
  <c r="H57" i="6"/>
  <c r="B59" i="6" l="1"/>
  <c r="I59" i="6" s="1"/>
  <c r="J58" i="6"/>
  <c r="F58" i="6"/>
  <c r="G58" i="6"/>
  <c r="H58" i="6"/>
  <c r="F59" i="6" l="1"/>
  <c r="J59" i="6"/>
  <c r="G59" i="6"/>
  <c r="H59" i="6"/>
  <c r="B60" i="6"/>
  <c r="I60" i="6" s="1"/>
  <c r="H60" i="6" l="1"/>
  <c r="J60" i="6"/>
  <c r="G60" i="6"/>
  <c r="F60" i="6"/>
  <c r="B61" i="6"/>
  <c r="I61" i="6" s="1"/>
  <c r="B62" i="6" l="1"/>
  <c r="I62" i="6" s="1"/>
  <c r="J61" i="6"/>
  <c r="H61" i="6"/>
  <c r="F61" i="6"/>
  <c r="G61" i="6"/>
  <c r="J62" i="6" l="1"/>
  <c r="G62" i="6"/>
  <c r="F62" i="6"/>
  <c r="H62" i="6"/>
  <c r="B63" i="6"/>
  <c r="I63" i="6" s="1"/>
  <c r="G63" i="6" l="1"/>
  <c r="H63" i="6"/>
  <c r="J63" i="6"/>
  <c r="F63" i="6"/>
  <c r="B64" i="6"/>
  <c r="I64" i="6" s="1"/>
  <c r="G64" i="6" l="1"/>
  <c r="F64" i="6"/>
  <c r="H64" i="6"/>
  <c r="J64" i="6"/>
  <c r="B65" i="6"/>
  <c r="I65" i="6" s="1"/>
  <c r="B66" i="6" l="1"/>
  <c r="I66" i="6" s="1"/>
  <c r="J65" i="6"/>
  <c r="F65" i="6"/>
  <c r="H65" i="6"/>
  <c r="G65" i="6"/>
  <c r="B67" i="6" l="1"/>
  <c r="I67" i="6" s="1"/>
  <c r="J66" i="6"/>
  <c r="F66" i="6"/>
  <c r="G66" i="6"/>
  <c r="H66" i="6"/>
  <c r="H67" i="6" l="1"/>
  <c r="G67" i="6"/>
  <c r="F67" i="6"/>
  <c r="J67" i="6"/>
  <c r="B68" i="6"/>
  <c r="I68" i="6" s="1"/>
  <c r="G68" i="6" l="1"/>
  <c r="H68" i="6"/>
  <c r="J68" i="6"/>
  <c r="F68" i="6"/>
  <c r="B69" i="6"/>
  <c r="I69" i="6" s="1"/>
  <c r="B70" i="6" l="1"/>
  <c r="I70" i="6" s="1"/>
  <c r="J69" i="6"/>
  <c r="F69" i="6"/>
  <c r="H69" i="6"/>
  <c r="G69" i="6"/>
  <c r="B71" i="6" l="1"/>
  <c r="I71" i="6" s="1"/>
  <c r="J70" i="6"/>
  <c r="F70" i="6"/>
  <c r="G70" i="6"/>
  <c r="H70" i="6"/>
  <c r="B72" i="6" l="1"/>
  <c r="I72" i="6" s="1"/>
  <c r="J71" i="6"/>
  <c r="F71" i="6"/>
  <c r="G71" i="6"/>
  <c r="H71" i="6"/>
  <c r="J72" i="6" l="1"/>
  <c r="F72" i="6"/>
  <c r="H72" i="6"/>
  <c r="G72" i="6"/>
  <c r="B73" i="6"/>
  <c r="I73" i="6" s="1"/>
  <c r="F73" i="6" l="1"/>
  <c r="J73" i="6"/>
  <c r="H73" i="6"/>
  <c r="G73" i="6"/>
  <c r="B74" i="6"/>
  <c r="I74" i="6" s="1"/>
  <c r="J74" i="6" l="1"/>
  <c r="G74" i="6"/>
  <c r="F74" i="6"/>
  <c r="H74" i="6"/>
  <c r="B75" i="6"/>
  <c r="I75" i="6" s="1"/>
  <c r="B76" i="6" l="1"/>
  <c r="I76" i="6" s="1"/>
  <c r="F75" i="6"/>
  <c r="G75" i="6"/>
  <c r="H75" i="6"/>
  <c r="J75" i="6"/>
  <c r="F76" i="6" l="1"/>
  <c r="G76" i="6"/>
  <c r="H76" i="6"/>
  <c r="J76" i="6"/>
  <c r="B77" i="6"/>
  <c r="I77" i="6" s="1"/>
  <c r="B78" i="6" l="1"/>
  <c r="I78" i="6" s="1"/>
  <c r="J77" i="6"/>
  <c r="F77" i="6"/>
  <c r="G77" i="6"/>
  <c r="H77" i="6"/>
  <c r="F78" i="6" l="1"/>
  <c r="H78" i="6"/>
  <c r="G78" i="6"/>
  <c r="J78" i="6"/>
  <c r="B79" i="6"/>
  <c r="I79" i="6" s="1"/>
  <c r="B80" i="6" l="1"/>
  <c r="I80" i="6" s="1"/>
  <c r="H79" i="6"/>
  <c r="G79" i="6"/>
  <c r="F79" i="6"/>
  <c r="J79" i="6"/>
  <c r="B81" i="6" l="1"/>
  <c r="I81" i="6" s="1"/>
  <c r="J80" i="6"/>
  <c r="H80" i="6"/>
  <c r="F80" i="6"/>
  <c r="G80" i="6"/>
  <c r="J81" i="6" l="1"/>
  <c r="H81" i="6"/>
  <c r="F81" i="6"/>
  <c r="G81" i="6"/>
  <c r="B82" i="6"/>
  <c r="I82" i="6" s="1"/>
  <c r="J82" i="6" l="1"/>
  <c r="F82" i="6"/>
  <c r="H82" i="6"/>
  <c r="G82" i="6"/>
  <c r="B83" i="6"/>
  <c r="I83" i="6" s="1"/>
  <c r="B84" i="6" l="1"/>
  <c r="I84" i="6" s="1"/>
  <c r="F83" i="6"/>
  <c r="J83" i="6"/>
  <c r="G83" i="6"/>
  <c r="H83" i="6"/>
  <c r="B85" i="6" l="1"/>
  <c r="I85" i="6" s="1"/>
  <c r="F84" i="6"/>
  <c r="G84" i="6"/>
  <c r="H84" i="6"/>
  <c r="J84" i="6"/>
  <c r="B86" i="6" l="1"/>
  <c r="I86" i="6" s="1"/>
  <c r="J85" i="6"/>
  <c r="H85" i="6"/>
  <c r="G85" i="6"/>
  <c r="F85" i="6"/>
  <c r="B87" i="6" l="1"/>
  <c r="I87" i="6" s="1"/>
  <c r="H86" i="6"/>
  <c r="J86" i="6"/>
  <c r="F86" i="6"/>
  <c r="G86" i="6"/>
  <c r="G87" i="6" l="1"/>
  <c r="H87" i="6"/>
  <c r="J87" i="6"/>
  <c r="F87" i="6"/>
  <c r="B88" i="6"/>
  <c r="I88" i="6" s="1"/>
  <c r="B89" i="6" l="1"/>
  <c r="I89" i="6" s="1"/>
  <c r="G88" i="6"/>
  <c r="J88" i="6"/>
  <c r="H88" i="6"/>
  <c r="F88" i="6"/>
  <c r="F89" i="6" l="1"/>
  <c r="H89" i="6"/>
  <c r="J89" i="6"/>
  <c r="G89" i="6"/>
  <c r="B90" i="6"/>
  <c r="I90" i="6" s="1"/>
  <c r="H90" i="6" l="1"/>
  <c r="F90" i="6"/>
  <c r="G90" i="6"/>
  <c r="J90" i="6"/>
  <c r="B91" i="6"/>
  <c r="I91" i="6" s="1"/>
  <c r="H91" i="6" l="1"/>
  <c r="G91" i="6"/>
  <c r="F91" i="6"/>
  <c r="J91" i="6"/>
  <c r="B92" i="6"/>
  <c r="I92" i="6" s="1"/>
  <c r="H92" i="6" l="1"/>
  <c r="J92" i="6"/>
  <c r="G92" i="6"/>
  <c r="F92" i="6"/>
  <c r="B93" i="6"/>
  <c r="I93" i="6" s="1"/>
  <c r="J93" i="6" l="1"/>
  <c r="G93" i="6"/>
  <c r="F93" i="6"/>
  <c r="H93" i="6"/>
  <c r="B94" i="6"/>
  <c r="I94" i="6" s="1"/>
  <c r="J94" i="6" l="1"/>
  <c r="F94" i="6"/>
  <c r="H94" i="6"/>
  <c r="G94" i="6"/>
  <c r="B95" i="6"/>
  <c r="I95" i="6" s="1"/>
  <c r="G95" i="6" l="1"/>
  <c r="H95" i="6"/>
  <c r="F95" i="6"/>
  <c r="J95" i="6"/>
  <c r="B96" i="6"/>
  <c r="I96" i="6" s="1"/>
  <c r="B97" i="6" l="1"/>
  <c r="I97" i="6" s="1"/>
  <c r="J96" i="6"/>
  <c r="G96" i="6"/>
  <c r="H96" i="6"/>
  <c r="F96" i="6"/>
  <c r="J97" i="6" l="1"/>
  <c r="F97" i="6"/>
  <c r="H97" i="6"/>
  <c r="G97" i="6"/>
  <c r="B98" i="6"/>
  <c r="I98" i="6" s="1"/>
  <c r="B99" i="6" l="1"/>
  <c r="I99" i="6" s="1"/>
  <c r="J98" i="6"/>
  <c r="G98" i="6"/>
  <c r="H98" i="6"/>
  <c r="F98" i="6"/>
  <c r="B100" i="6" l="1"/>
  <c r="I100" i="6" s="1"/>
  <c r="F99" i="6"/>
  <c r="H99" i="6"/>
  <c r="G99" i="6"/>
  <c r="J99" i="6"/>
  <c r="B101" i="6" l="1"/>
  <c r="I101" i="6" s="1"/>
  <c r="J100" i="6"/>
  <c r="F100" i="6"/>
  <c r="G100" i="6"/>
  <c r="H100" i="6"/>
  <c r="B102" i="6" l="1"/>
  <c r="I102" i="6" s="1"/>
  <c r="J101" i="6"/>
  <c r="H101" i="6"/>
  <c r="G101" i="6"/>
  <c r="F101" i="6"/>
  <c r="G102" i="6" l="1"/>
  <c r="H102" i="6"/>
  <c r="J102" i="6"/>
  <c r="F102" i="6"/>
  <c r="B103" i="6"/>
  <c r="I103" i="6" s="1"/>
  <c r="B104" i="6" l="1"/>
  <c r="I104" i="6" s="1"/>
  <c r="J103" i="6"/>
  <c r="F103" i="6"/>
  <c r="G103" i="6"/>
  <c r="H103" i="6"/>
  <c r="F104" i="6" l="1"/>
  <c r="G104" i="6"/>
  <c r="H104" i="6"/>
  <c r="J104" i="6"/>
  <c r="B105" i="6"/>
  <c r="I105" i="6" s="1"/>
  <c r="F105" i="6" l="1"/>
  <c r="H105" i="6"/>
  <c r="G105" i="6"/>
  <c r="J105" i="6"/>
  <c r="B106" i="6"/>
  <c r="I106" i="6" s="1"/>
  <c r="J106" i="6" l="1"/>
  <c r="H106" i="6"/>
  <c r="F106" i="6"/>
  <c r="G106" i="6"/>
  <c r="B107" i="6"/>
  <c r="I107" i="6" s="1"/>
  <c r="F107" i="6" l="1"/>
  <c r="H107" i="6"/>
  <c r="G107" i="6"/>
  <c r="J107" i="6"/>
  <c r="B108" i="6"/>
  <c r="I108" i="6" s="1"/>
  <c r="F108" i="6" l="1"/>
  <c r="H108" i="6"/>
  <c r="G108" i="6"/>
  <c r="J108" i="6"/>
  <c r="B109" i="6"/>
  <c r="I109" i="6" s="1"/>
  <c r="J109" i="6" l="1"/>
  <c r="F109" i="6"/>
  <c r="G109" i="6"/>
  <c r="H109" i="6"/>
  <c r="B110" i="6"/>
  <c r="I110" i="6" s="1"/>
  <c r="G110" i="6" l="1"/>
  <c r="H110" i="6"/>
  <c r="J110" i="6"/>
  <c r="F110" i="6"/>
  <c r="B111" i="6"/>
  <c r="I111" i="6" s="1"/>
  <c r="B112" i="6" l="1"/>
  <c r="I112" i="6" s="1"/>
  <c r="H111" i="6"/>
  <c r="G111" i="6"/>
  <c r="J111" i="6"/>
  <c r="F111" i="6"/>
  <c r="B113" i="6" l="1"/>
  <c r="I113" i="6" s="1"/>
  <c r="J112" i="6"/>
  <c r="G112" i="6"/>
  <c r="H112" i="6"/>
  <c r="F112" i="6"/>
  <c r="H113" i="6" l="1"/>
  <c r="F113" i="6"/>
  <c r="G113" i="6"/>
  <c r="J113" i="6"/>
  <c r="B114" i="6"/>
  <c r="I114" i="6" s="1"/>
  <c r="F114" i="6" l="1"/>
  <c r="H114" i="6"/>
  <c r="J114" i="6"/>
  <c r="G114" i="6"/>
  <c r="B115" i="6"/>
  <c r="I115" i="6" s="1"/>
  <c r="F115" i="6" l="1"/>
  <c r="G115" i="6"/>
  <c r="J115" i="6"/>
  <c r="H115" i="6"/>
  <c r="B116" i="6"/>
  <c r="I116" i="6" s="1"/>
  <c r="B117" i="6" l="1"/>
  <c r="I117" i="6" s="1"/>
  <c r="H116" i="6"/>
  <c r="J116" i="6"/>
  <c r="F116" i="6"/>
  <c r="G116" i="6"/>
  <c r="B118" i="6" l="1"/>
  <c r="I118" i="6" s="1"/>
  <c r="J117" i="6"/>
  <c r="H117" i="6"/>
  <c r="G117" i="6"/>
  <c r="F117" i="6"/>
  <c r="B120" i="6" l="1"/>
  <c r="I120" i="6" s="1"/>
  <c r="B119" i="6"/>
  <c r="I119" i="6" s="1"/>
  <c r="F118" i="6"/>
  <c r="G118" i="6"/>
  <c r="H118" i="6"/>
  <c r="J118" i="6"/>
  <c r="G119" i="6" l="1"/>
  <c r="H119" i="6"/>
  <c r="J119" i="6"/>
  <c r="F119" i="6"/>
  <c r="J120" i="6"/>
  <c r="F120" i="6"/>
  <c r="G120" i="6"/>
  <c r="H12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<sst xmlns="http://schemas.openxmlformats.org/spreadsheetml/2006/main" count="2533" uniqueCount="925">
  <si>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</si>
  <si>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</si>
  <si>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</si>
  <si>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</si>
  <si>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</si>
  <si>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</si>
  <si>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</si>
  <si>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</si>
  <si>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</si>
  <si>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</si>
  <si>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</si>
  <si>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</si>
  <si>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</si>
  <si>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</si>
  <si>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</si>
  <si>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</si>
  <si>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</si>
  <si>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</si>
  <si>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</si>
  <si>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</si>
  <si>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</si>
  <si>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</si>
  <si>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</si>
  <si>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</si>
  <si>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</si>
  <si>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</si>
  <si>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</si>
  <si>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</si>
  <si>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</si>
  <si>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</si>
  <si>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</si>
  <si>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</si>
  <si>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</si>
  <si>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</si>
  <si>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</si>
  <si>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</si>
  <si>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</si>
  <si>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</si>
  <si>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</si>
  <si>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</si>
  <si>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</si>
  <si>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</si>
  <si>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</si>
  <si>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</si>
  <si>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</si>
  <si>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</si>
  <si>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</si>
  <si>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</si>
  <si>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</si>
  <si>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</si>
  <si>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</si>
  <si>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</si>
  <si>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</si>
  <si>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</si>
  <si>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</si>
  <si>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</si>
  <si>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</si>
  <si>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</si>
  <si>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</si>
  <si>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</si>
  <si>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</si>
  <si>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</si>
  <si>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</si>
  <si>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</si>
  <si>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</si>
  <si>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</si>
  <si>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</si>
  <si>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</si>
  <si>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</si>
  <si>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</si>
  <si>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</si>
  <si>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</si>
  <si>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</si>
  <si>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</si>
  <si>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</si>
  <si>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</si>
  <si>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</si>
  <si>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</si>
  <si>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</si>
  <si>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</si>
  <si>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</si>
  <si>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</si>
  <si>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</si>
  <si>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</si>
  <si>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</si>
  <si>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</si>
  <si>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</si>
  <si>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</si>
  <si>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</si>
  <si>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</si>
  <si>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</si>
  <si>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</si>
  <si>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</si>
  <si>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</si>
  <si>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</si>
  <si>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</si>
  <si>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</si>
  <si>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</si>
  <si>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</si>
  <si>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</si>
  <si>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</si>
  <si>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</si>
  <si>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</si>
  <si>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</si>
  <si>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</si>
  <si>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</si>
  <si>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</si>
  <si>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</si>
  <si>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</si>
  <si>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</si>
  <si>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</si>
  <si>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</si>
  <si>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</si>
  <si>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</si>
  <si>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</si>
  <si>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</si>
  <si>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</si>
  <si>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</si>
  <si>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</si>
  <si>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</si>
  <si>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</si>
  <si>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</si>
  <si>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</si>
  <si>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</si>
  <si>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</si>
  <si>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</si>
  <si>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</si>
  <si>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</si>
  <si>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</si>
  <si>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</si>
  <si>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</si>
  <si>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</si>
  <si>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</si>
  <si>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</si>
  <si>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</si>
  <si>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</si>
  <si>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</si>
  <si>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</si>
  <si>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</si>
  <si>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</si>
  <si>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</si>
  <si>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</si>
  <si>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</si>
  <si>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</si>
  <si>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</si>
  <si>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</si>
  <si>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</si>
  <si>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</si>
  <si>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</si>
  <si>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</si>
  <si>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</si>
  <si>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</si>
  <si>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</si>
  <si>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</si>
  <si>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</si>
  <si>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</si>
  <si>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</si>
  <si>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</si>
  <si>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</si>
  <si>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</si>
  <si>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</si>
  <si>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</si>
  <si>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</si>
  <si>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</si>
  <si>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</si>
  <si>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</si>
  <si>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</si>
  <si>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</si>
  <si>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</si>
  <si>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</si>
  <si>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</si>
  <si>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</si>
  <si>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</si>
  <si>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</si>
  <si>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</si>
  <si>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</si>
  <si>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</si>
  <si>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</si>
  <si>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</si>
  <si>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</si>
  <si>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</si>
  <si>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</si>
  <si>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</si>
  <si>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</si>
  <si>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</si>
  <si>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</si>
  <si>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</si>
  <si>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</si>
  <si>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</si>
  <si>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</si>
  <si>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</si>
  <si>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</si>
  <si>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</si>
  <si>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</si>
  <si>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Human Factors</t>
  </si>
  <si>
    <t>204:150</t>
  </si>
  <si>
    <t>rtdc.l.rtdc.4038:itc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</si>
  <si>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</si>
  <si>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</si>
  <si>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</si>
  <si>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</si>
  <si>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</si>
  <si>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</si>
  <si>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</si>
  <si>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</si>
  <si>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</si>
  <si>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</si>
  <si>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</si>
  <si>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</si>
  <si>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</si>
  <si>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</si>
  <si>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</si>
  <si>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</si>
  <si>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</si>
  <si>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</si>
  <si>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</si>
  <si>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</si>
  <si>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</si>
  <si>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</si>
  <si>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</si>
  <si>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rtdc.l.rtdc.4026:itc</t>
  </si>
  <si>
    <t>204:154</t>
  </si>
  <si>
    <t>204:458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</si>
  <si>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</si>
  <si>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</si>
  <si>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</si>
  <si>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</si>
  <si>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</si>
  <si>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</si>
  <si>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</si>
  <si>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</si>
  <si>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</si>
  <si>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</si>
  <si>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</si>
  <si>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</si>
  <si>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</si>
  <si>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</si>
  <si>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</si>
  <si>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</si>
  <si>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</si>
  <si>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</si>
  <si>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</si>
  <si>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</si>
  <si>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</si>
  <si>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</si>
  <si>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</si>
  <si>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</si>
  <si>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</si>
  <si>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</si>
  <si>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</si>
  <si>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</si>
  <si>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</si>
  <si>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</si>
  <si>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</si>
  <si>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</si>
  <si>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</si>
  <si>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</si>
  <si>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</si>
  <si>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</si>
  <si>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rtdc.l.rtdc.4043:itc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</si>
  <si>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</si>
  <si>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</si>
  <si>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</si>
  <si>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</si>
  <si>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</si>
  <si>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</si>
  <si>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</si>
  <si>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</si>
  <si>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</si>
  <si>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</si>
  <si>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204:453</t>
  </si>
  <si>
    <t>rtdc.l.rtdc.4003:itc</t>
  </si>
  <si>
    <t>rtdc.l.rtdc.4004:itc</t>
  </si>
  <si>
    <t>CHANDLER</t>
  </si>
  <si>
    <t>KELVIN</t>
  </si>
  <si>
    <t>rtdc.l.rtdc.4041:itc</t>
  </si>
  <si>
    <t>rtdc.l.rtdc.4042:itc</t>
  </si>
  <si>
    <t>204:467</t>
  </si>
  <si>
    <t>204:446</t>
  </si>
  <si>
    <t>204:455</t>
  </si>
  <si>
    <t>rtdc.l.rtdc.4051:itc</t>
  </si>
  <si>
    <t>rtdc.l.rtdc.4052:itc</t>
  </si>
  <si>
    <t>241-26</t>
  </si>
  <si>
    <t>242-26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</si>
  <si>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</si>
  <si>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</si>
  <si>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</si>
  <si>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</si>
  <si>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</si>
  <si>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</si>
  <si>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</si>
  <si>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</si>
  <si>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</si>
  <si>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204:233308</t>
  </si>
  <si>
    <t>204:139</t>
  </si>
  <si>
    <t>204:437</t>
  </si>
  <si>
    <t>204:232976</t>
  </si>
  <si>
    <t>rtdc.l.rtdc.4016:itc</t>
  </si>
  <si>
    <t>204:447</t>
  </si>
  <si>
    <t>204:232993</t>
  </si>
  <si>
    <t>204:233291</t>
  </si>
  <si>
    <t>rtdc.l.rtdc.4009:itc</t>
  </si>
  <si>
    <t>204:232977</t>
  </si>
  <si>
    <t>204:233303</t>
  </si>
  <si>
    <t>rtdc.l.rtdc.4055:itc</t>
  </si>
  <si>
    <t>rtdc.l.rtdc.4057:itc</t>
  </si>
  <si>
    <t>311-01</t>
  </si>
  <si>
    <t>313-01</t>
  </si>
  <si>
    <t>315-01</t>
  </si>
  <si>
    <t>204:232978</t>
  </si>
  <si>
    <t>204:232991</t>
  </si>
  <si>
    <t>204:233293</t>
  </si>
  <si>
    <t>rtdc.l.rtdc.4019:itc</t>
  </si>
  <si>
    <t>SOUTH57-02</t>
  </si>
  <si>
    <t>MACDONALD</t>
  </si>
  <si>
    <t>THOMAS</t>
  </si>
  <si>
    <t>SIMMONS</t>
  </si>
  <si>
    <t>SHYHESHA</t>
  </si>
  <si>
    <t>NORTH55-02</t>
  </si>
  <si>
    <t>311-02</t>
  </si>
  <si>
    <t>244-02</t>
  </si>
  <si>
    <t>313-02</t>
  </si>
  <si>
    <t>315-02</t>
  </si>
  <si>
    <t>204:464</t>
  </si>
  <si>
    <t>rtdc.l.rtdc.4031:itc</t>
  </si>
  <si>
    <t>SAFIEF</t>
  </si>
  <si>
    <t>AEIMEN</t>
  </si>
  <si>
    <t>rtdc.l.rtdc.4032:itc</t>
  </si>
  <si>
    <t>rtdc.l.rtdc.4039:itc</t>
  </si>
  <si>
    <t>204:233297</t>
  </si>
  <si>
    <t>204:161</t>
  </si>
  <si>
    <t>204:233295</t>
  </si>
  <si>
    <t>rtdc.l.rtdc.4020:itc</t>
  </si>
  <si>
    <t>MOSES</t>
  </si>
  <si>
    <t>BRADLEY</t>
  </si>
  <si>
    <t>rtdc.l.rtdc.4044:itc</t>
  </si>
  <si>
    <t>204:141</t>
  </si>
  <si>
    <t>204:232987</t>
  </si>
  <si>
    <t>204:233287</t>
  </si>
  <si>
    <t>204:232983</t>
  </si>
  <si>
    <t>Early arrival</t>
  </si>
  <si>
    <t>244-07</t>
  </si>
  <si>
    <t>rtdc.l.rtdc.4002:itc</t>
  </si>
  <si>
    <t>240-07</t>
  </si>
  <si>
    <t>242-07</t>
  </si>
  <si>
    <t>315-07</t>
  </si>
  <si>
    <t>309-07</t>
  </si>
  <si>
    <t>204:232996</t>
  </si>
  <si>
    <t>204:233312</t>
  </si>
  <si>
    <t>204:232980</t>
  </si>
  <si>
    <t>204:427</t>
  </si>
  <si>
    <t>204:440</t>
  </si>
  <si>
    <t>204:232986</t>
  </si>
  <si>
    <t>204:232984</t>
  </si>
  <si>
    <t>SYS :2017/02/07 12:00:56.685:ENFORCEMENT:Predictive Enforcement Action:  Target Number: 00006033  Target Speed:   0.0  Current Speed:  59.9</t>
  </si>
  <si>
    <t>SYS :2017/02/07 13:55:01.354:ENFORCEMENT:Predictive Enforcement Action:  Target Number: 00001004  Target Speed:   0.0  Current Speed:  15.6</t>
  </si>
  <si>
    <t>SYS :2017/02/07 13:55:01.553:ENFORCEMENT:Predictive Enforcement Action:  Target Number: 00001004  Target Speed:   0.0  Current Speed:  15.6</t>
  </si>
  <si>
    <t>SYS :2017/02/07 13:55:51.548:ENFORCEMENT:Predictive Enforcement Action:  Target Number: 00001004  Target Speed:   0.0  Current Speed:   6.7</t>
  </si>
  <si>
    <t>SYS :2017/02/07 13:55:55.355:ENFORCEMENT:Predictive Enforcement Action:  Target Number: 00001004  Target Speed:   0.0  Current Speed:   7.5</t>
  </si>
  <si>
    <t>SYS :2017/02/07 14:47:08.050:ENFORCEMENT:Predictive Enforcement Action:  Target Number: 00017021  Target Speed:  50.0  Current Speed:  55.6</t>
  </si>
  <si>
    <t>SYS :2017/02/07 14:47:11.537:ENFORCEMENT:Predictive Enforcement Action:  Target Number: 00017021  Target Speed:  47.0  Current Speed:  53.8</t>
  </si>
  <si>
    <t>SYS :2017/02/07 15:36:46.745:ENFORCEMENT:Predictive Enforcement Action:  Target Number: 00001007  Target Speed:   0.0  Current Speed:   4.6</t>
  </si>
  <si>
    <t>SYS :2017/02/07 15:36:46.852:ENFORCEMENT:Predictive Enforcement Action:  Target Number: 00001007  Target Speed:   0.0  Current Speed:   4.6</t>
  </si>
  <si>
    <t>SYS :2017/02/07 15:36:46.859:ENFORCEMENT:Predictive Enforcement Action:  Target Number: 00001007  Target Speed:   0.0  Current Speed:   4.6</t>
  </si>
  <si>
    <t>SYS :2017/02/07 16:06:13.604:ENFORCEMENT:Predictive Enforcement Action:  Target Number: 00017048  Target Speed:   0.0  Current Speed:  23.8</t>
  </si>
  <si>
    <t>SYS :2017/02/07 16:06:14.075:ENFORCEMENT:Predictive Enforcement Action:  Target Number: 00017048  Target Speed:   0.0  Current Speed:  22.8</t>
  </si>
  <si>
    <t>SYS :2017/02/07 16:06:15.192:ENFORCEMENT:Predictive Enforcement Action:  Target Number: 00017048  Target Speed:   0.0  Current Speed:  22.1</t>
  </si>
  <si>
    <t>SYS :2017/02/07 16:30:46.483:ENFORCEMENT:Predictive Enforcement Action:  Target Number: 000060CE  Target Speed:   0.0  Current Speed:  64.8</t>
  </si>
  <si>
    <t>SYS :2017/02/07 17:34:23.659:ENFORCEMENT:Predictive Enforcement Action:  Target Number: 0000100D  Target Speed:   0.0  Current Speed:   5.3</t>
  </si>
  <si>
    <t>SYS :2017/02/07 17:45:09.428:ENFORCEMENT:Predictive Enforcement Action:  Target Number: 00006127  Target Speed:   0.0  Current Speed:  73.7</t>
  </si>
  <si>
    <t>SYS :2017/02/07 17:45:10.066:ENFORCEMENT:Predictive Enforcement Action:  Target Number: 0000612A  Target Speed:   0.0  Current Speed:  73.7</t>
  </si>
  <si>
    <t>SYS :2017/02/07 18:34:46.658:ENFORCEMENT:Predictive Enforcement Action:  Target Number: 00001010  Target Speed:   0.0  Current Speed:   8.6</t>
  </si>
  <si>
    <t>SYS :2017/02/07 18:34:47.434:ENFORCEMENT:Predictive Enforcement Action:  Target Number: 00001010  Target Speed:   0.0  Current Speed:   8.6</t>
  </si>
  <si>
    <t>SYS :2017/02/07 18:55:06.290:ENFORCEMENT:Predictive Enforcement Action:  Target Number: 0001706F  Target Speed:   0.0  Current Speed:  18.4</t>
  </si>
  <si>
    <t>SYS :2017/02/07 18:55:06.899:ENFORCEMENT:Reactive Enforcement Action:  Target Number: 0001706F  Target Speed:   0.0  Current Speed:  18.1</t>
  </si>
  <si>
    <t>SYS :2017/02/07 20:05:48.057:ENFORCEMENT:Predictive Enforcement Action:  Target Number: 0000100F  Target Speed:   0.0  Current Speed:   5.6</t>
  </si>
  <si>
    <t>SYS :2017/02/07 20:05:48.181:ENFORCEMENT:Predictive Enforcement Action:  Target Number: 0000100F  Target Speed:   0.0  Current Speed:   5.6</t>
  </si>
  <si>
    <t>SYS :2017/02/07 20:34:23.331:ENFORCEMENT:Predictive Enforcement Action:  Target Number: 00001009  Target Speed:   0.0  Current Speed:   7.0</t>
  </si>
  <si>
    <t>SYS :2017/02/07 20:36:24.264:ENFORCEMENT:Predictive Enforcement Action:  Target Number: 0000100F  Target Speed:   0.0  Current Speed:   5.3</t>
  </si>
  <si>
    <t>SYS :2017/02/07 20:36:24.468:ENFORCEMENT:Predictive Enforcement Action:  Target Number: 0000100F  Target Speed:   0.0  Current Speed:   5.3</t>
  </si>
  <si>
    <t>SYS :2017/02/07 20:36:24.508:ENFORCEMENT:Predictive Enforcement Action:  Target Number: 0000100F  Target Speed:   0.0  Current Speed:   5.3</t>
  </si>
  <si>
    <t>SYS :2017/02/07 22:35:57.811:ENFORCEMENT:Predictive Enforcement Action:  Target Number: 00001004  Target Speed:   0.0  Current Speed:   4.9</t>
  </si>
  <si>
    <t>SYS :2017/02/07 22:35:57.849:ENFORCEMENT:Predictive Enforcement Action:  Target Number: 00001010  Target Speed:   0.0  Current Speed:   4.9</t>
  </si>
  <si>
    <t>SYS :2017/02/07 22:35:57.963:ENFORCEMENT:Predictive Enforcement Action:  Target Number: 00001010  Target Speed:   0.0  Current Speed:   4.9</t>
  </si>
  <si>
    <t>SYS :2017/02/07 23:09:55.846:ENFORCEMENT:Predictive Enforcement Action:  Target Number: 00001019  Target Speed:   0.0  Current Speed:   1.5</t>
  </si>
  <si>
    <t>SYS :2017/02/07 23:09:57.307:ENFORCEMENT:Predictive Enforcement Action:  Target Number: 00001019  Target Speed:   0.0  Current Speed:   1.5</t>
  </si>
  <si>
    <t>SYS :2017/02/07 23:09:58.017:ENFORCEMENT:Predictive Enforcement Action:  Target Number: 00001018  Target Speed:   0.0  Current Speed:   1.7</t>
  </si>
  <si>
    <t>SYS :2017/02/07 23:26:24.807:ENFORCEMENT:Predictive Enforcement Action:  Target Number: 00001007  Target Speed:   0.0  Current Speed:   2.3</t>
  </si>
  <si>
    <t>SYS :2017/02/07 23:26:24.850:ENFORCEMENT:Predictive Enforcement Action:  Target Number: 00001013  Target Speed:   0.0  Current Speed:   2.3</t>
  </si>
  <si>
    <t>SYS :2017/02/07 23:26:24.964:ENFORCEMENT:Predictive Enforcement Action:  Target Number: 00001012  Target Speed:   0.0  Current Speed:   2.3</t>
  </si>
  <si>
    <t>SYS :2017/02/08 00:04:18.849:ENFORCEMENT:Predictive Enforcement Action:  Target Number: 0000101D  Target Speed:   0.0  Current Speed:   7.8</t>
  </si>
  <si>
    <t>SYS :2017/02/08 00:04:19.016:ENFORCEMENT:Predictive Enforcement Action:  Target Number: 0000101C  Target Speed:   0.0  Current Speed:   7.8</t>
  </si>
  <si>
    <t>SYS :2017/02/08 00:04:19.306:ENFORCEMENT:Predictive Enforcement Action:  Target Number: 0000101D  Target Speed:   0.0  Current Speed:   7.8</t>
  </si>
  <si>
    <t>SYS :2017/02/08 00:05:21.847:ENFORCEMENT:Predictive Enforcement Action:  Target Number: 0000101D  Target Speed:   0.0  Current Speed:   0.9</t>
  </si>
  <si>
    <t>SYS :2017/02/08 00:05:22.014:ENFORCEMENT:Predictive Enforcement Action:  Target Number: 0000101C  Target Speed:   0.0  Current Speed:   0.9</t>
  </si>
  <si>
    <t>SYS :2017/02/08 00:05:22.303:ENFORCEMENT:Predictive Enforcement Action:  Target Number: 0000101D  Target Speed:   0.0  Current Speed:   0.9</t>
  </si>
  <si>
    <t>SYS :2017/02/08 00:23:05.855:ENFORCEMENT:Predictive Enforcement Action:  Target Number: 0000610A  Target Speed:   0.0  Current Speed:   6.0</t>
  </si>
  <si>
    <t>SYS :2017/02/08 00:23:05.963:ENFORCEMENT:Predictive Enforcement Action:  Target Number: 000060D3  Target Speed:   0.0  Current Speed:   6.0</t>
  </si>
  <si>
    <t>SYS :2017/02/08 00:23:06.816:ENFORCEMENT:Predictive Enforcement Action:  Target Number: 00006071  Target Speed:   0.0  Current Speed:   6.0</t>
  </si>
  <si>
    <t>SYS :2017/02/08 00:25:34.816:ENFORCEMENT:Predictive Enforcement Action:  Target Number: 0000100E  Target Speed:   0.0  Current Speed:   3.9</t>
  </si>
  <si>
    <t>SYS :2017/02/08 00:25:34.849:ENFORCEMENT:Predictive Enforcement Action:  Target Number: 0000101A  Target Speed:   0.0  Current Speed:   3.9</t>
  </si>
  <si>
    <t>SYS :2017/02/08 00:25:34.957:ENFORCEMENT:Predictive Enforcement Action:  Target Number: 00001019  Target Speed:   0.0  Current Speed:   3.9</t>
  </si>
  <si>
    <t>SYS :2017/02/08 01:15:29.705:ENFORCEMENT:Predictive Enforcement Action:  Target Number: 00006115  Target Speed:   0.0  Current Speed:  78.8</t>
  </si>
  <si>
    <t>SYS :2017/02/08 01:37:02.029:ENFORCEMENT:Predictive Enforcement Action:  Target Number: 00001014  Target Speed:   0.0  Current Speed:   7.0</t>
  </si>
  <si>
    <t>SYS :2017/02/08 02:06:00.018:ENFORCEMENT:Predictive Enforcement Action:  Target Number: 00001023  Target Speed:   0.0  Current Speed:   8.8</t>
  </si>
  <si>
    <t>SYS :2017/02/08 02:06:01.465:ENFORCEMENT:Predictive Enforcement Action:  Target Number: 00001018  Target Speed:   0.0  Current Speed:   3.1</t>
  </si>
  <si>
    <t>SYS :2017/02/08 02:06:01.888:ENFORCEMENT:Predictive Enforcement Action:  Target Number: 00001018  Target Speed:   0.0  Current Speed:   3.1</t>
  </si>
  <si>
    <t>SYS :2017/02/08 02:06:02.284:ENFORCEMENT:Predictive Enforcement Action:  Target Number: 00001018  Target Speed:   0.0  Current Speed:   3.1</t>
  </si>
  <si>
    <t>SYS :2017/02/08 02:06:41.308:ENFORCEMENT:Predictive Enforcement Action:  Target Number: 00001024  Target Speed:   0.0  Current Speed:   1.7</t>
  </si>
  <si>
    <t>SYS :2017/02/08 02:06:41.848:ENFORCEMENT:Predictive Enforcement Action:  Target Number: 00001024  Target Speed:   0.0  Current Speed:   1.4</t>
  </si>
  <si>
    <t>SYS :2017/02/08 02:06:42.018:ENFORCEMENT:Predictive Enforcement Action:  Target Number: 00001023  Target Speed:   0.0  Current Speed:   1.7</t>
  </si>
  <si>
    <t>SYS :2017/02/08 02:41:52.549:ENFORCEMENT:Predictive Enforcement Action:  Target Number: 0001010E  Target Speed:  30.0  Current Speed:  45.9</t>
  </si>
  <si>
    <t>SYS :2017/02/08 02:41:52.827:ENFORCEMENT:Predictive Enforcement Action:  Target Number: 0001010E  Target Speed:  30.0  Current Speed:  45.9</t>
  </si>
  <si>
    <t>SYS :2017/02/08 02:41:53.183:ENFORCEMENT:Predictive Enforcement Action:  Target Number: 0001010E  Target Speed:  30.0  Current Speed:  45.9</t>
  </si>
  <si>
    <t>SYS :2017/02/08 08:41:20.651:ENFORCEMENT:Predictive Enforcement Action:  Target Number: 000101A9  Target Speed:  40.0  Current Speed:  56.1</t>
  </si>
  <si>
    <t>SYS :2017/02/08 08:41:20.659:ENFORCEMENT:Predictive Enforcement Action:  Target Number: 000101A9  Target Speed:  40.0  Current Speed:  56.1</t>
  </si>
  <si>
    <t>rtdc.l.rtdc.4008:itc</t>
  </si>
  <si>
    <t>rtdc.l.rtdc.4018:itc</t>
  </si>
  <si>
    <t>rtdc.l.rtdc.4017:itc</t>
  </si>
  <si>
    <t>rtdc.l.rtdc.4010:itc</t>
  </si>
  <si>
    <t>DELGADO</t>
  </si>
  <si>
    <t>DIANAH</t>
  </si>
  <si>
    <t>204:232961</t>
  </si>
  <si>
    <t>204:475</t>
  </si>
  <si>
    <t>204:233000</t>
  </si>
  <si>
    <t>300:23310</t>
  </si>
  <si>
    <t>300:58628</t>
  </si>
  <si>
    <t>Wi-MAX data drop</t>
  </si>
  <si>
    <t>rtdc.l.rtdc.4012:itc</t>
  </si>
  <si>
    <t>ROBINSON</t>
  </si>
  <si>
    <t>KADDIBA</t>
  </si>
  <si>
    <t>SHOOK</t>
  </si>
  <si>
    <t>JOHN</t>
  </si>
  <si>
    <t>YORK</t>
  </si>
  <si>
    <t>EDGAR</t>
  </si>
  <si>
    <t>KILLION</t>
  </si>
  <si>
    <t>DAVID</t>
  </si>
  <si>
    <t>SMITH</t>
  </si>
  <si>
    <t>CRAYTON</t>
  </si>
  <si>
    <t>QUNTRELL</t>
  </si>
  <si>
    <t>309-09</t>
  </si>
  <si>
    <t>244-09</t>
  </si>
  <si>
    <t>311-09</t>
  </si>
  <si>
    <t>313-09</t>
  </si>
  <si>
    <t>Mostly Cloudy</t>
  </si>
  <si>
    <t>204:755</t>
  </si>
  <si>
    <t>204:136</t>
  </si>
  <si>
    <t>204:156</t>
  </si>
  <si>
    <t>204:233310</t>
  </si>
  <si>
    <t>204:444</t>
  </si>
  <si>
    <t>204:233322</t>
  </si>
  <si>
    <t>204:233289</t>
  </si>
  <si>
    <t>204:466</t>
  </si>
  <si>
    <t>204:232992</t>
  </si>
  <si>
    <t>204:147</t>
  </si>
  <si>
    <t>204:233332</t>
  </si>
  <si>
    <t>300:23346</t>
  </si>
  <si>
    <t>300:23306</t>
  </si>
  <si>
    <t>300:58928</t>
  </si>
  <si>
    <t>300:58611</t>
  </si>
  <si>
    <t>SWANSON</t>
  </si>
  <si>
    <t>BRYCE</t>
  </si>
  <si>
    <t>MAELZER</t>
  </si>
  <si>
    <t>KURT</t>
  </si>
  <si>
    <t>DAVIS</t>
  </si>
  <si>
    <t>WENDY</t>
  </si>
  <si>
    <t>STEWART</t>
  </si>
  <si>
    <t>ROMERO</t>
  </si>
  <si>
    <t>CHAD</t>
  </si>
  <si>
    <t>LEVIN</t>
  </si>
  <si>
    <t>SCOTT</t>
  </si>
  <si>
    <t>HOLCOMB</t>
  </si>
  <si>
    <t>KAMDEN</t>
  </si>
  <si>
    <t>309-12</t>
  </si>
  <si>
    <t>244-12</t>
  </si>
  <si>
    <t>311-12</t>
  </si>
  <si>
    <t>313-12</t>
  </si>
  <si>
    <t>204:477</t>
  </si>
  <si>
    <t>204:233334</t>
  </si>
  <si>
    <t>204:233320</t>
  </si>
  <si>
    <t>204:233002</t>
  </si>
  <si>
    <t>204:232998</t>
  </si>
  <si>
    <t>204:233298</t>
  </si>
  <si>
    <t>204:233006</t>
  </si>
  <si>
    <t>204:233284</t>
  </si>
  <si>
    <t>204:233314</t>
  </si>
  <si>
    <t>204:233259</t>
  </si>
  <si>
    <t>204:233336</t>
  </si>
  <si>
    <t>204:233001</t>
  </si>
  <si>
    <t>204:233007</t>
  </si>
  <si>
    <t>204:233013</t>
  </si>
  <si>
    <t>204:138</t>
  </si>
  <si>
    <t>204:176</t>
  </si>
  <si>
    <t>300:58623</t>
  </si>
  <si>
    <t>300:58937</t>
  </si>
  <si>
    <t>300:58619</t>
  </si>
  <si>
    <t>300:58613</t>
  </si>
  <si>
    <t>300:58924</t>
  </si>
  <si>
    <t>204:233302</t>
  </si>
  <si>
    <t>300:58933</t>
  </si>
  <si>
    <t>204:1014</t>
  </si>
  <si>
    <t>300:58922</t>
  </si>
  <si>
    <t>300:58624</t>
  </si>
  <si>
    <t>300:58941</t>
  </si>
  <si>
    <t>300:58935</t>
  </si>
  <si>
    <t>300:58939</t>
  </si>
  <si>
    <t>204:233351</t>
  </si>
  <si>
    <t>300:58931</t>
  </si>
  <si>
    <t>204:438</t>
  </si>
  <si>
    <t>204:233028</t>
  </si>
  <si>
    <t>204:121</t>
  </si>
  <si>
    <t>204:232981</t>
  </si>
  <si>
    <t>204:233008</t>
  </si>
  <si>
    <t>204:517</t>
  </si>
  <si>
    <t>204:233311</t>
  </si>
  <si>
    <t>204:232982</t>
  </si>
  <si>
    <t>204:170</t>
  </si>
  <si>
    <t>204:233389</t>
  </si>
  <si>
    <t>204:232972</t>
  </si>
  <si>
    <t>204:431</t>
  </si>
  <si>
    <t>204:233378</t>
  </si>
  <si>
    <t>204:134</t>
  </si>
  <si>
    <t>300:23302</t>
  </si>
  <si>
    <t>start /low /b %USERPROFILE%\Documents\GitHub\eaglep3\Utilities\DownloadLogsFromS3.py --loco 4028 --day 2017-02-13</t>
  </si>
  <si>
    <t>901-13</t>
  </si>
  <si>
    <t>801-13</t>
  </si>
  <si>
    <t>125-13</t>
  </si>
  <si>
    <t>127-13</t>
  </si>
  <si>
    <t>805-13</t>
  </si>
  <si>
    <t>118-13</t>
  </si>
  <si>
    <t>120-13</t>
  </si>
  <si>
    <t>806-13</t>
  </si>
  <si>
    <t>122-13</t>
  </si>
  <si>
    <t>809-13</t>
  </si>
  <si>
    <t>810-13</t>
  </si>
  <si>
    <t>135-13</t>
  </si>
  <si>
    <t>814-13</t>
  </si>
  <si>
    <t>154-13</t>
  </si>
  <si>
    <t>165-13</t>
  </si>
  <si>
    <t>167-13</t>
  </si>
  <si>
    <t>179-13</t>
  </si>
  <si>
    <t>824-13</t>
  </si>
  <si>
    <t>180-13</t>
  </si>
  <si>
    <t>186-13</t>
  </si>
  <si>
    <t>190-13</t>
  </si>
  <si>
    <t>72-13</t>
  </si>
  <si>
    <t>204-13</t>
  </si>
  <si>
    <t>rtdc.l.rtdc.4023:itc</t>
  </si>
  <si>
    <t>80-13</t>
  </si>
  <si>
    <t>208-13</t>
  </si>
  <si>
    <t>224-13</t>
  </si>
  <si>
    <t>241-13</t>
  </si>
  <si>
    <t>242-13</t>
  </si>
  <si>
    <t>302-13</t>
  </si>
  <si>
    <t>OUN</t>
  </si>
  <si>
    <t>ZACK</t>
  </si>
  <si>
    <t>101-13</t>
  </si>
  <si>
    <t>304-13</t>
  </si>
  <si>
    <t>103-13</t>
  </si>
  <si>
    <t>306-13</t>
  </si>
  <si>
    <t>STARKS</t>
  </si>
  <si>
    <t>ANGELINA</t>
  </si>
  <si>
    <t>102-13</t>
  </si>
  <si>
    <t>308-13</t>
  </si>
  <si>
    <t>BONDS</t>
  </si>
  <si>
    <t>REYNALDO</t>
  </si>
  <si>
    <t>105-13</t>
  </si>
  <si>
    <t>310-13</t>
  </si>
  <si>
    <t>107-13</t>
  </si>
  <si>
    <t>104-13</t>
  </si>
  <si>
    <t>109-13</t>
  </si>
  <si>
    <t>111-13</t>
  </si>
  <si>
    <t>113-13</t>
  </si>
  <si>
    <t>106-13</t>
  </si>
  <si>
    <t>800-13</t>
  </si>
  <si>
    <t>108-13</t>
  </si>
  <si>
    <t>115-13</t>
  </si>
  <si>
    <t>110-13</t>
  </si>
  <si>
    <t>rtdc.l.rtdc.4040:itc</t>
  </si>
  <si>
    <t>117-13</t>
  </si>
  <si>
    <t>112-13</t>
  </si>
  <si>
    <t>119-13</t>
  </si>
  <si>
    <t>114-13</t>
  </si>
  <si>
    <t>802-13</t>
  </si>
  <si>
    <t>121-13</t>
  </si>
  <si>
    <t>116-13</t>
  </si>
  <si>
    <t>123-13</t>
  </si>
  <si>
    <t>804-13</t>
  </si>
  <si>
    <t>ROCHA</t>
  </si>
  <si>
    <t>YAOTL</t>
  </si>
  <si>
    <t>129-13</t>
  </si>
  <si>
    <t>124-13</t>
  </si>
  <si>
    <t>807-13</t>
  </si>
  <si>
    <t>126-13</t>
  </si>
  <si>
    <t>131-13</t>
  </si>
  <si>
    <t>808-13</t>
  </si>
  <si>
    <t>133-13</t>
  </si>
  <si>
    <t>128-13</t>
  </si>
  <si>
    <t>130-13</t>
  </si>
  <si>
    <t>137-13</t>
  </si>
  <si>
    <t>811-13</t>
  </si>
  <si>
    <t>132-13</t>
  </si>
  <si>
    <t>139-13</t>
  </si>
  <si>
    <t>134-13</t>
  </si>
  <si>
    <t>903-13</t>
  </si>
  <si>
    <t>812-13</t>
  </si>
  <si>
    <t>141-13</t>
  </si>
  <si>
    <t>136-13</t>
  </si>
  <si>
    <t>138-13</t>
  </si>
  <si>
    <t>143-13</t>
  </si>
  <si>
    <t>813-13</t>
  </si>
  <si>
    <t>145-13</t>
  </si>
  <si>
    <t>140-13</t>
  </si>
  <si>
    <t>147-13</t>
  </si>
  <si>
    <t>142-13</t>
  </si>
  <si>
    <t>149-13</t>
  </si>
  <si>
    <t>144-13</t>
  </si>
  <si>
    <t>151-13</t>
  </si>
  <si>
    <t>146-13</t>
  </si>
  <si>
    <t>153-13</t>
  </si>
  <si>
    <t>815-13</t>
  </si>
  <si>
    <t>155-13</t>
  </si>
  <si>
    <t>148-13</t>
  </si>
  <si>
    <t>150-13</t>
  </si>
  <si>
    <t>157-13</t>
  </si>
  <si>
    <t>816-13</t>
  </si>
  <si>
    <t>152-13</t>
  </si>
  <si>
    <t>50-13</t>
  </si>
  <si>
    <t>159-13</t>
  </si>
  <si>
    <t>156-13</t>
  </si>
  <si>
    <t>161-13</t>
  </si>
  <si>
    <t>817-13</t>
  </si>
  <si>
    <t>163-13</t>
  </si>
  <si>
    <t>CLARK</t>
  </si>
  <si>
    <t>KATHLEEN</t>
  </si>
  <si>
    <t>158-13</t>
  </si>
  <si>
    <t>818-13</t>
  </si>
  <si>
    <t>51-13</t>
  </si>
  <si>
    <t>160-13</t>
  </si>
  <si>
    <t>162-13</t>
  </si>
  <si>
    <t>169-13</t>
  </si>
  <si>
    <t>LEVERE</t>
  </si>
  <si>
    <t>CRAIG</t>
  </si>
  <si>
    <t>819-13</t>
  </si>
  <si>
    <t>164-13</t>
  </si>
  <si>
    <t>171-13</t>
  </si>
  <si>
    <t>166-13</t>
  </si>
  <si>
    <t>820-13</t>
  </si>
  <si>
    <t>173-13</t>
  </si>
  <si>
    <t>168-13</t>
  </si>
  <si>
    <t>175-13</t>
  </si>
  <si>
    <t>170-13</t>
  </si>
  <si>
    <t>177-13</t>
  </si>
  <si>
    <t>821-13</t>
  </si>
  <si>
    <t>172-13</t>
  </si>
  <si>
    <t>822-13</t>
  </si>
  <si>
    <t>174-13</t>
  </si>
  <si>
    <t>181-13</t>
  </si>
  <si>
    <t>176-13</t>
  </si>
  <si>
    <t>183-13</t>
  </si>
  <si>
    <t>178-13</t>
  </si>
  <si>
    <t>185-13</t>
  </si>
  <si>
    <t>823-13</t>
  </si>
  <si>
    <t>187-13</t>
  </si>
  <si>
    <t>182-13</t>
  </si>
  <si>
    <t>189-13</t>
  </si>
  <si>
    <t>184-13</t>
  </si>
  <si>
    <t>191-13</t>
  </si>
  <si>
    <t>193-13</t>
  </si>
  <si>
    <t>825-13</t>
  </si>
  <si>
    <t>188-13</t>
  </si>
  <si>
    <t>904-13</t>
  </si>
  <si>
    <t>DAVIDSON</t>
  </si>
  <si>
    <t>195-13</t>
  </si>
  <si>
    <t>827-13</t>
  </si>
  <si>
    <t>826-13</t>
  </si>
  <si>
    <t>197-13</t>
  </si>
  <si>
    <t>199-13</t>
  </si>
  <si>
    <t>192-13</t>
  </si>
  <si>
    <t>194-13</t>
  </si>
  <si>
    <t>201-13</t>
  </si>
  <si>
    <t>828-13</t>
  </si>
  <si>
    <t>829-13</t>
  </si>
  <si>
    <t>196-13</t>
  </si>
  <si>
    <t>203-13</t>
  </si>
  <si>
    <t>198-13</t>
  </si>
  <si>
    <t>830-13</t>
  </si>
  <si>
    <t>205-13</t>
  </si>
  <si>
    <t>831-13</t>
  </si>
  <si>
    <t>200-13</t>
  </si>
  <si>
    <t>207-13</t>
  </si>
  <si>
    <t>202-13</t>
  </si>
  <si>
    <t>832-13</t>
  </si>
  <si>
    <t>209-13</t>
  </si>
  <si>
    <t>833-13</t>
  </si>
  <si>
    <t>75-13</t>
  </si>
  <si>
    <t>211-13</t>
  </si>
  <si>
    <t>73-13</t>
  </si>
  <si>
    <t>206-13</t>
  </si>
  <si>
    <t>835-13</t>
  </si>
  <si>
    <t>834-13</t>
  </si>
  <si>
    <t>213-13</t>
  </si>
  <si>
    <t>215-13</t>
  </si>
  <si>
    <t>78-13</t>
  </si>
  <si>
    <t>YANG</t>
  </si>
  <si>
    <t>JAN</t>
  </si>
  <si>
    <t>210-13</t>
  </si>
  <si>
    <t>836-13</t>
  </si>
  <si>
    <t>217-13</t>
  </si>
  <si>
    <t>837-13</t>
  </si>
  <si>
    <t>212-13</t>
  </si>
  <si>
    <t>219-13</t>
  </si>
  <si>
    <t>839-13</t>
  </si>
  <si>
    <t>214-13</t>
  </si>
  <si>
    <t>303-13</t>
  </si>
  <si>
    <t>838-13</t>
  </si>
  <si>
    <t>216-13</t>
  </si>
  <si>
    <t>221-13</t>
  </si>
  <si>
    <t>305-13</t>
  </si>
  <si>
    <t>218-13</t>
  </si>
  <si>
    <t>906-13</t>
  </si>
  <si>
    <t>841-13</t>
  </si>
  <si>
    <t>220-13</t>
  </si>
  <si>
    <t>223-13</t>
  </si>
  <si>
    <t>PERKINS</t>
  </si>
  <si>
    <t>DARREN</t>
  </si>
  <si>
    <t>840-13</t>
  </si>
  <si>
    <t>307-13</t>
  </si>
  <si>
    <t>222-13</t>
  </si>
  <si>
    <t>225-13</t>
  </si>
  <si>
    <t>843-13</t>
  </si>
  <si>
    <t>227-13</t>
  </si>
  <si>
    <t>MAGEE</t>
  </si>
  <si>
    <t>KENYA</t>
  </si>
  <si>
    <t>842-13</t>
  </si>
  <si>
    <t>226-13</t>
  </si>
  <si>
    <t>229-13</t>
  </si>
  <si>
    <t>845-13</t>
  </si>
  <si>
    <t>231-13</t>
  </si>
  <si>
    <t>228-13</t>
  </si>
  <si>
    <t>844-13</t>
  </si>
  <si>
    <t>233-13</t>
  </si>
  <si>
    <t>230-13</t>
  </si>
  <si>
    <t>847-13</t>
  </si>
  <si>
    <t>232-13</t>
  </si>
  <si>
    <t>235-13</t>
  </si>
  <si>
    <t>908-13</t>
  </si>
  <si>
    <t>234-13</t>
  </si>
  <si>
    <t>237-13</t>
  </si>
  <si>
    <t>236-13</t>
  </si>
  <si>
    <t>239-13</t>
  </si>
  <si>
    <t>238-13</t>
  </si>
  <si>
    <t>243-13</t>
  </si>
  <si>
    <t>240-13</t>
  </si>
  <si>
    <t>315-13</t>
  </si>
  <si>
    <t>309-13</t>
  </si>
  <si>
    <t>244-13</t>
  </si>
  <si>
    <t>311-13</t>
  </si>
  <si>
    <t>313-13</t>
  </si>
  <si>
    <t>204:232685</t>
  </si>
  <si>
    <t>204:757</t>
  </si>
  <si>
    <t>204:232732</t>
  </si>
  <si>
    <t>204:132</t>
  </si>
  <si>
    <t>204:766</t>
  </si>
  <si>
    <t>204:232648</t>
  </si>
  <si>
    <t>204:233300</t>
  </si>
  <si>
    <t>204:163</t>
  </si>
  <si>
    <t>204:730</t>
  </si>
  <si>
    <t>204:233032</t>
  </si>
  <si>
    <t>204:442</t>
  </si>
  <si>
    <t>204:233324</t>
  </si>
  <si>
    <t>204:732</t>
  </si>
  <si>
    <t>204:233025</t>
  </si>
  <si>
    <t>204:232990</t>
  </si>
  <si>
    <t>204:233286</t>
  </si>
  <si>
    <t>204:232969</t>
  </si>
  <si>
    <t>204:233253</t>
  </si>
  <si>
    <t>204:478</t>
  </si>
  <si>
    <t>204:167</t>
  </si>
  <si>
    <t>204:233340</t>
  </si>
  <si>
    <t>204:233027</t>
  </si>
  <si>
    <t>204:232985</t>
  </si>
  <si>
    <t>204:231080</t>
  </si>
  <si>
    <t>204:233327</t>
  </si>
  <si>
    <t>204:233280</t>
  </si>
  <si>
    <t>204:232955</t>
  </si>
  <si>
    <t>204:233278</t>
  </si>
  <si>
    <t>204:232962</t>
  </si>
  <si>
    <t>204:232953</t>
  </si>
  <si>
    <t>204:473</t>
  </si>
  <si>
    <t>204:212</t>
  </si>
  <si>
    <t>204:471</t>
  </si>
  <si>
    <t>204:233081</t>
  </si>
  <si>
    <t>204:233306</t>
  </si>
  <si>
    <t>204:233304</t>
  </si>
  <si>
    <t>204:233268</t>
  </si>
  <si>
    <t>204:232940</t>
  </si>
  <si>
    <t>204:172</t>
  </si>
  <si>
    <t>204:14384</t>
  </si>
  <si>
    <t>204:233321</t>
  </si>
  <si>
    <t>204:233318</t>
  </si>
  <si>
    <t>204:480</t>
  </si>
  <si>
    <t>204:232205</t>
  </si>
  <si>
    <t>204:482</t>
  </si>
  <si>
    <t>204:232968</t>
  </si>
  <si>
    <t>204:178</t>
  </si>
  <si>
    <t>204:233282</t>
  </si>
  <si>
    <t>204:233288</t>
  </si>
  <si>
    <t>204:189</t>
  </si>
  <si>
    <t>204:232971</t>
  </si>
  <si>
    <t>204:174</t>
  </si>
  <si>
    <t>204:233387</t>
  </si>
  <si>
    <t>204:233068</t>
  </si>
  <si>
    <t>204:923</t>
  </si>
  <si>
    <t>204:233074</t>
  </si>
  <si>
    <t>204:125</t>
  </si>
  <si>
    <t>204:509</t>
  </si>
  <si>
    <t>204:233370</t>
  </si>
  <si>
    <t>204:233049</t>
  </si>
  <si>
    <t>204:233263</t>
  </si>
  <si>
    <t>204:232960</t>
  </si>
  <si>
    <t>204:233023</t>
  </si>
  <si>
    <t>204:233010</t>
  </si>
  <si>
    <t>204:233355</t>
  </si>
  <si>
    <t>300:23171</t>
  </si>
  <si>
    <t>204:1231</t>
  </si>
  <si>
    <t>300:19761</t>
  </si>
  <si>
    <t>300:22070</t>
  </si>
  <si>
    <t>300:22862</t>
  </si>
  <si>
    <t>300:23308</t>
  </si>
  <si>
    <t>300:21765</t>
  </si>
  <si>
    <t>204:162</t>
  </si>
  <si>
    <t>300:21858</t>
  </si>
  <si>
    <t>204:625</t>
  </si>
  <si>
    <t>204:325</t>
  </si>
  <si>
    <t>300:22841</t>
  </si>
  <si>
    <t>204:1484</t>
  </si>
  <si>
    <t>300:23316</t>
  </si>
  <si>
    <t>300:21820</t>
  </si>
  <si>
    <t>204:967</t>
  </si>
  <si>
    <t>300:23209</t>
  </si>
  <si>
    <t>204:108</t>
  </si>
  <si>
    <t>300:58690</t>
  </si>
  <si>
    <t>204:675</t>
  </si>
  <si>
    <t>204:953</t>
  </si>
  <si>
    <t>300:58997</t>
  </si>
  <si>
    <t>300:58685</t>
  </si>
  <si>
    <t>204:617</t>
  </si>
  <si>
    <t>300:58704</t>
  </si>
  <si>
    <t>204:692</t>
  </si>
  <si>
    <t>204:906</t>
  </si>
  <si>
    <t>300:59010</t>
  </si>
  <si>
    <t>300:58702</t>
  </si>
  <si>
    <t>204:647</t>
  </si>
  <si>
    <t>204:962</t>
  </si>
  <si>
    <t>300:58963</t>
  </si>
  <si>
    <t>300:58649</t>
  </si>
  <si>
    <t>204:691</t>
  </si>
  <si>
    <t>204:901</t>
  </si>
  <si>
    <t>300:59007</t>
  </si>
  <si>
    <t>300:58692</t>
  </si>
  <si>
    <t>204:678</t>
  </si>
  <si>
    <t>204:972</t>
  </si>
  <si>
    <t>300:58960</t>
  </si>
  <si>
    <t>300:58640</t>
  </si>
  <si>
    <t>204:610</t>
  </si>
  <si>
    <t>204:955</t>
  </si>
  <si>
    <t>300:58961</t>
  </si>
  <si>
    <t>300:58653</t>
  </si>
  <si>
    <t>204:652</t>
  </si>
  <si>
    <t>204:951</t>
  </si>
  <si>
    <t>204:958</t>
  </si>
  <si>
    <t>300:58958</t>
  </si>
  <si>
    <t>204:664</t>
  </si>
  <si>
    <t>204:957</t>
  </si>
  <si>
    <t>204:649</t>
  </si>
  <si>
    <t>204:950</t>
  </si>
  <si>
    <t>300:58926</t>
  </si>
  <si>
    <t>204:670</t>
  </si>
  <si>
    <t>204:722</t>
  </si>
  <si>
    <t>300:58929</t>
  </si>
  <si>
    <t>300:58621</t>
  </si>
  <si>
    <t>204:698</t>
  </si>
  <si>
    <t>204:948</t>
  </si>
  <si>
    <t>204:974</t>
  </si>
  <si>
    <t>204:696</t>
  </si>
  <si>
    <t>204:654</t>
  </si>
  <si>
    <t>204:986</t>
  </si>
  <si>
    <t>300:58606</t>
  </si>
  <si>
    <t>204:680</t>
  </si>
  <si>
    <t>204:934</t>
  </si>
  <si>
    <t>204:659</t>
  </si>
  <si>
    <t>204:645</t>
  </si>
  <si>
    <t>204:941</t>
  </si>
  <si>
    <t>300:58598</t>
  </si>
  <si>
    <t>204:937</t>
  </si>
  <si>
    <t>300:58920</t>
  </si>
  <si>
    <t>204:997</t>
  </si>
  <si>
    <t>300:30135</t>
  </si>
  <si>
    <t>300:59008</t>
  </si>
  <si>
    <t>204:915</t>
  </si>
  <si>
    <t>300:25452</t>
  </si>
  <si>
    <t>300:21943</t>
  </si>
  <si>
    <t>300:28770</t>
  </si>
  <si>
    <t>300:21841</t>
  </si>
  <si>
    <t>start /low /b %USERPROFILE%\Documents\GitHub\eaglep3\Utilities\DownloadLogsFromS3.py --loco 4010 --day 2017-02-13</t>
  </si>
  <si>
    <t>start /low /b %USERPROFILE%\Documents\GitHub\eaglep3\Utilities\DownloadLogsFromS3.py --loco 4044 --day 2017-02-13</t>
  </si>
  <si>
    <t>start /low /b %USERPROFILE%\Documents\GitHub\eaglep3\Utilities\DownloadLogsFromS3.py --loco 4043 --day 2017-02-13</t>
  </si>
  <si>
    <t>start /low /b %USERPROFILE%\Documents\GitHub\eaglep3\Utilities\DownloadLogsFromS3.py --loco 4026 --day 2017-02-13</t>
  </si>
  <si>
    <t>start /low /b %USERPROFILE%\Documents\GitHub\eaglep3\Utilities\DownloadLogsFromS3.py --loco 4009 --day 2017-02-13</t>
  </si>
  <si>
    <t>start /low /b %USERPROFILE%\Documents\GitHub\eaglep3\Utilities\DownloadLogsFromS3.py --loco 4020 --day 2017-02-13</t>
  </si>
  <si>
    <t>start /low /b %USERPROFILE%\Documents\GitHub\eaglep3\Utilities\DownloadLogsFromS3.py --loco 4026 --day 2017-02-14</t>
  </si>
  <si>
    <t>start /low /b %USERPROFILE%\Documents\GitHub\eaglep3\Utilities\DownloadLogsFromS3.py --loco 4039 --day 2017-02-13</t>
  </si>
  <si>
    <t>start /low /b %USERPROFILE%\Documents\GitHub\eaglep3\Utilities\DownloadLogsFromS3.py --loco 4012 --day 2017-02-13</t>
  </si>
  <si>
    <t>start /low /b %USERPROFILE%\Documents\GitHub\eaglep3\Utilities\DownloadLogsFromS3.py --loco 4012 --day 2017-02-14</t>
  </si>
  <si>
    <t>start /low /b %USERPROFILE%\Documents\GitHub\eaglep3\Utilities\DownloadLogsFromS3.py --loco 4010 --day 2017-02-14</t>
  </si>
  <si>
    <t>start /low /b %USERPROFILE%\Documents\GitHub\eaglep3\Utilities\DownloadLogsFromS3.py --loco 4027 --day 2017-02-13</t>
  </si>
  <si>
    <t>start /low /b %USERPROFILE%\Documents\GitHub\eaglep3\Utilities\DownloadLogsFromS3.py --loco 4025 --day 2017-02-14</t>
  </si>
  <si>
    <t>start /low /b %USERPROFILE%\Documents\GitHub\eaglep3\Utilities\DownloadLogsFromS3.py --loco 4030 --day 2017-02-13</t>
  </si>
  <si>
    <t>start /low /b %USERPROFILE%\Documents\GitHub\eaglep3\Utilities\DownloadLogsFromS3.py --loco 4015 --day 2017-02-13</t>
  </si>
  <si>
    <t>start /low /b %USERPROFILE%\Documents\GitHub\eaglep3\Utilities\DownloadLogsFromS3.py --loco 4016 --day 2017-02-13</t>
  </si>
  <si>
    <t>803-13</t>
  </si>
  <si>
    <t>Did not init</t>
  </si>
  <si>
    <t>Wi-MAX data drop (4009 CCU was failed)</t>
  </si>
  <si>
    <t>Wi-MAX data drop created red fence, no enforcement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</si>
</sst>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1"/>
  <sheetViews>
    <sheetView tabSelected="1" zoomScaleNormal="100" workbookViewId="0">
      <selection activeCell="V20" sqref="V20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0" customWidth="1"/>
    <col min="20" max="20" width="3.85546875" customWidth="1"/>
    <col min="21" max="21" width="5" style="167" customWidth="1"/>
    <col min="22" max="22" width="5.7109375" style="189" customWidth="1"/>
    <col min="23" max="23" width="3.85546875" style="182" customWidth="1"/>
    <col min="24" max="24" width="6.5703125" style="182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8"/>
      <c r="V1" s="169"/>
      <c r="W1" s="168"/>
      <c r="X1" s="167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42779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42779</v>
      </c>
      <c r="S2" s="66"/>
      <c r="T2" s="67"/>
      <c r="U2" s="170"/>
      <c r="V2" s="171" t="s">
        <v>8</v>
      </c>
      <c r="W2" s="172"/>
      <c r="X2" s="173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4"/>
      <c r="V3" s="175" t="s">
        <v>11</v>
      </c>
      <c r="W3" s="176" t="s">
        <v>12</v>
      </c>
      <c r="X3" s="177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8"/>
      <c r="V4" s="175" t="s">
        <v>15</v>
      </c>
      <c r="W4" s="176" t="s">
        <v>15</v>
      </c>
      <c r="X4" s="177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COUNTIFS($N$13:$N$9345,"&gt;0",$AG$13:$AG$9345,I1)</f>
        <v>143</v>
      </c>
      <c r="K5" s="40"/>
      <c r="L5" s="40"/>
      <c r="M5" s="41">
        <f>AVERAGEIFS($N$13:$N$9345,$AG$13:$AG$9345,I1)</f>
        <v>37.675058275267446</v>
      </c>
      <c r="N5" s="39">
        <f t="array" ref="N5">MIN(IF($AG$13:$AG$9345=I1,IF(ISNUMBER($N$13:$N$9345),IF($N$13:$N$9345&gt;0,$N$13:$N$9345))))</f>
        <v>34.65000000083819</v>
      </c>
      <c r="O5" s="3">
        <f t="array" ref="O5">MAX(IF($AG$13:$AG$9345=I1,IF(ISNUMBER($N$13:$N$9345),IF($N$13:$N$9345&gt;0,$N$13:$N$9345))))</f>
        <v>41.333333335351199</v>
      </c>
      <c r="P5" s="2"/>
      <c r="R5" s="74" t="s">
        <v>17</v>
      </c>
      <c r="S5" s="50">
        <f>COUNTIFS($N$13:$N$9345,"&gt;0",$AG$13:$AG$9345,R1)</f>
        <v>46</v>
      </c>
      <c r="T5" s="40"/>
      <c r="U5" s="178"/>
      <c r="V5" s="175">
        <f>AVERAGEIFS($N$13:$N$9345,$AG$13:$AG$9345,R1)</f>
        <v>15.209420289307753</v>
      </c>
      <c r="W5" s="176">
        <f t="array" ref="W5">MIN(IF($AG$13:$AG$9345=R1,IF(ISNUMBER($N$13:$N$9345),IF($N$13:$N$9345&gt;0,$N$13:$N$9345))))</f>
        <v>12.533333339961246</v>
      </c>
      <c r="X5" s="177">
        <f t="array" ref="X5">MAX(IF($AG$13:$AG$9345=R1,IF(ISNUMBER($N$13:$N$9345),IF($N$13:$N$9345&gt;0,$N$13:$N$9345))))</f>
        <v>18.816666664788499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COUNT($O$13:$O$110)</f>
        <v>0</v>
      </c>
      <c r="K6" s="40"/>
      <c r="L6" s="40"/>
      <c r="M6" s="41">
        <f>IFERROR(AVERAGE($O$13:$O$110),0)</f>
        <v>0</v>
      </c>
      <c r="N6" s="39">
        <f>MIN($O$13:$O$110)</f>
        <v>0</v>
      </c>
      <c r="O6" s="3">
        <f>MAX($O$13:$O$110)</f>
        <v>0</v>
      </c>
      <c r="P6" s="2"/>
      <c r="R6" s="75" t="s">
        <v>43</v>
      </c>
      <c r="S6" s="50">
        <f>COUNT($O$13:$O$110)</f>
        <v>0</v>
      </c>
      <c r="T6" s="40"/>
      <c r="U6" s="178"/>
      <c r="V6" s="175">
        <f>IFERROR(AVERAGE($O$13:$O$110),0)</f>
        <v>0</v>
      </c>
      <c r="W6" s="176">
        <f>MIN($O$13:$O$110)</f>
        <v>0</v>
      </c>
      <c r="X6" s="177">
        <f>MAX($O$13:$O$110)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COUNTIFS($P$13:$P$9345,"&gt;0",$AG$13:$AG$9345,I1)</f>
        <v>1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COUNTIFS($P$13:$P$9345,"&gt;0",$AG$13:$AG$9345,R1)</f>
        <v>1</v>
      </c>
      <c r="T7" s="40"/>
      <c r="U7" s="178"/>
      <c r="V7" s="175" t="s">
        <v>15</v>
      </c>
      <c r="W7" s="176" t="s">
        <v>15</v>
      </c>
      <c r="X7" s="177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143</v>
      </c>
      <c r="K8" s="40"/>
      <c r="L8" s="40"/>
      <c r="M8" s="41">
        <f>M5</f>
        <v>37.675058275267446</v>
      </c>
      <c r="N8" s="39">
        <f>N5</f>
        <v>34.65000000083819</v>
      </c>
      <c r="O8" s="3">
        <f>O5</f>
        <v>41.333333335351199</v>
      </c>
      <c r="P8" s="2"/>
      <c r="R8" s="74" t="s">
        <v>16</v>
      </c>
      <c r="S8" s="50">
        <f>S5</f>
        <v>46</v>
      </c>
      <c r="T8" s="40"/>
      <c r="U8" s="178"/>
      <c r="V8" s="175">
        <f>V5</f>
        <v>15.209420289307753</v>
      </c>
      <c r="W8" s="176">
        <f>W5</f>
        <v>12.533333339961246</v>
      </c>
      <c r="X8" s="177">
        <f>X5</f>
        <v>18.816666664788499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0.99305555555555558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0.97872340425531912</v>
      </c>
      <c r="T9" s="42"/>
      <c r="U9" s="168"/>
      <c r="V9" s="179"/>
      <c r="W9" s="168"/>
      <c r="X9" s="180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7"/>
      <c r="V10" s="181"/>
      <c r="W10" s="182"/>
      <c r="X10" s="182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- 2017-02-13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AVERAGE(S13:S79)</f>
        <v>1</v>
      </c>
      <c r="V11" s="181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3" t="s">
        <v>65</v>
      </c>
      <c r="V12" s="184" t="s">
        <v>45</v>
      </c>
      <c r="W12" s="185" t="s">
        <v>23</v>
      </c>
      <c r="X12" s="185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212</v>
      </c>
      <c r="AN12" s="47" t="s">
        <v>227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556</v>
      </c>
      <c r="B13" s="7">
        <v>4044</v>
      </c>
      <c r="C13" s="21" t="s">
        <v>193</v>
      </c>
      <c r="D13" s="21" t="s">
        <v>445</v>
      </c>
      <c r="E13" s="13">
        <v>42779.133611111109</v>
      </c>
      <c r="F13" s="13">
        <v>42779.135659722226</v>
      </c>
      <c r="G13" s="7">
        <v>0</v>
      </c>
      <c r="H13" s="21" t="s">
        <v>514</v>
      </c>
      <c r="I13" s="13">
        <v>42779.161724537036</v>
      </c>
      <c r="J13" s="7">
        <v>0</v>
      </c>
      <c r="K13" s="98" t="str">
        <f t="shared" ref="K13:K76" si="0">IF(ISEVEN(B13),(B13-1)&amp;"/"&amp;B13,B13&amp;"/"&amp;(B13+1))</f>
        <v>4043/4044</v>
      </c>
      <c r="L13" s="21" t="str">
        <f>VLOOKUP(A13,'Trips&amp;Operators'!$C$1:$G$99999,5,FALSE)</f>
        <v>OUN ZACK</v>
      </c>
      <c r="M13" s="6">
        <f t="shared" ref="M13:M76" si="1">I13-F13</f>
        <v>2.6064814810524695E-2</v>
      </c>
      <c r="N13" s="7">
        <f t="shared" ref="N13:N44" si="2">24*60*SUM($M13:$M13)</f>
        <v>37.53333332715556</v>
      </c>
      <c r="O13" s="7"/>
      <c r="P13" s="7"/>
      <c r="Q13" s="22"/>
      <c r="R13" s="22"/>
      <c r="S13" s="31">
        <f t="shared" ref="S13:S76" si="3">SUM(U13:U13)/IF(AG13="EC",12,1)</f>
        <v>1</v>
      </c>
      <c r="T13" s="46" t="str">
        <f t="shared" ref="T13:T76" si="4">IF(ISEVEN(LEFT(AD13,4)),"Southbound","NorthBound")</f>
        <v>NorthBound</v>
      </c>
      <c r="U13" s="18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7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-13T02:12:24-0700',mode:absolute,to:'2017-02-13T04:52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188" t="str">
        <f t="shared" ref="W13:W76" si="6">IF(AA13&lt;IF(AG13="EC",23,5.65),"Y","N")</f>
        <v>N</v>
      </c>
      <c r="X13" s="188" t="e">
        <f t="shared" ref="X13:X44" si="7">VALUE(LEFT(AD13,4))-VALUE(LEFT(AD12,4))</f>
        <v>#VALUE!</v>
      </c>
      <c r="Y13" s="62">
        <f t="shared" ref="Y13:Y76" si="8">RIGHT(D13,LEN(D13)-4)/10000</f>
        <v>7.5499999999999998E-2</v>
      </c>
      <c r="Z13" s="62">
        <f t="shared" ref="Z13:Z76" si="9">RIGHT(H13,LEN(H13)-4)/10000</f>
        <v>23.331099999999999</v>
      </c>
      <c r="AA13" s="62">
        <f t="shared" ref="AA13:AA76" si="10">ABS(Z13-Y13)</f>
        <v>23.255599999999998</v>
      </c>
      <c r="AB13" s="59" t="e">
        <f>VLOOKUP(A13,Enforcements!$C$7:$K$14,8,0)</f>
        <v>#N/A</v>
      </c>
      <c r="AC13" s="55" t="e">
        <f>VLOOKUP(A13,Enforcements!$C$7:$E$14,3,0)</f>
        <v>#N/A</v>
      </c>
      <c r="AD13" s="56" t="str">
        <f t="shared" ref="AD13:AD76" si="11">IF(LEN(A13)=6,"0"&amp;A13,A13)</f>
        <v>0101-13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"%USERPROFILE%\AppData\Local\Temp\OnboardLogs"\RTDC4044\2017-02-13 --exclude "*" --recursive --include "*20170213*" &amp; "%USERPROFILE%\Documents\GitHub\mrs-test-scripts\Headless Mode &amp; Sideloading\WalkAndUnGZ.bat" "%USERPROFILE%\AppData\Local\Temp\OnboardLogs"\RTDC4044\2017-02-13 &amp; 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</v>
      </c>
      <c r="AF13" s="82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/stypes="app*4044*20170213*"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101-13 --locoid 4044 --swversion DE.1.0.8.0 --startMP 204:755 --initTime 2017-02-13T03:12:24 --startdatetime 2017-02-13T03:15:21 --delay 0 --endMP 204:233311 --enddatetime 2017-02-13T03:52:53 --enforcementcount 0 &gt;&gt;C:\Users\stu\Documents\GitHub\eaglep3-reporting\EC\2017-02-13-refined-times.txt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{"issue":{"subject":"","project_id":79,"tracker_id":40,"status_id":1,"priority_id":2,"assigned_to_id":23,"start_date":"2017-02-13","description":"","custom_fields":[{"id":1,"name":"Subdivision","value":"EC"},{"id":4,"name":"Milepost","value":"23.3311"},{"id":17,"name":"Train ID","value":"101-13"},{"id":16,"name":"Locomotive ID","value":"4044"},{"id":130,"name":"Impact","value":""},{"id":150,"name":"Time of Event (Mountain Time)","value":"03:52:53"},{"id":151,"name":"Denver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4044 --day 2017-02-13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"%USERPROFILE%\AppData\Local\Temp\OnboardLogs"\RTDC4044\*4044*20170213* | grep -SE "(Enforcement Action)|(\[TIMEOUT)|(CHR.+\|PRM\|1\|D.+(SWITCH|SIGNAL).+UNKNOWN)" - &gt;&gt; 2017-02-13-UncaughtWiMAX.txt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562</v>
      </c>
      <c r="B14" s="7">
        <v>4019</v>
      </c>
      <c r="C14" s="21" t="s">
        <v>193</v>
      </c>
      <c r="D14" s="21" t="s">
        <v>759</v>
      </c>
      <c r="E14" s="13">
        <v>42779.168240740742</v>
      </c>
      <c r="F14" s="13">
        <v>42779.174618055556</v>
      </c>
      <c r="G14" s="7">
        <v>1</v>
      </c>
      <c r="H14" s="21" t="s">
        <v>294</v>
      </c>
      <c r="I14" s="13">
        <v>42779.202974537038</v>
      </c>
      <c r="J14" s="7">
        <v>0</v>
      </c>
      <c r="K14" s="98" t="str">
        <f t="shared" si="0"/>
        <v>4019/4020</v>
      </c>
      <c r="L14" s="21" t="str">
        <f>VLOOKUP(A14,'Trips&amp;Operators'!$C$1:$G$99999,5,FALSE)</f>
        <v>OUN ZACK</v>
      </c>
      <c r="M14" s="6">
        <f t="shared" si="1"/>
        <v>2.8356481481750961E-2</v>
      </c>
      <c r="N14" s="7">
        <f t="shared" si="2"/>
        <v>40.833333333721384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7" t="str">
        <f t="shared" si="5"/>
        <v>https://d0f6bd738d7f1b3e5a7ca70fe4ff75f0.us-east-1.aws.found.io/app/kibana#/discover/Steve-Slow-Train-Analysis-(2080s-and-2083s)?_g=(refreshInterval:(display:Off,pause:!f,section:0,value:0),time:(from:'2017-02-13T03:02:16-0700',mode:absolute,to:'2017-02-13T05:52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" s="188" t="str">
        <f t="shared" si="6"/>
        <v>N</v>
      </c>
      <c r="X14" s="188">
        <f t="shared" si="7"/>
        <v>1</v>
      </c>
      <c r="Y14" s="62">
        <f t="shared" si="8"/>
        <v>23.2685</v>
      </c>
      <c r="Z14" s="62">
        <f t="shared" si="9"/>
        <v>1.3899999999999999E-2</v>
      </c>
      <c r="AA14" s="62">
        <f t="shared" si="10"/>
        <v>23.2546</v>
      </c>
      <c r="AB14" s="59" t="e">
        <f>VLOOKUP(A14,Enforcements!$C$7:$K$14,8,0)</f>
        <v>#N/A</v>
      </c>
      <c r="AC14" s="55" t="e">
        <f>VLOOKUP(A14,Enforcements!$C$7:$E$14,3,0)</f>
        <v>#N/A</v>
      </c>
      <c r="AD14" s="56" t="str">
        <f t="shared" si="11"/>
        <v>0102-13</v>
      </c>
      <c r="AE14" s="85" t="str">
        <f t="shared" si="12"/>
        <v>aws s3 cp s3://rtdc.mdm.uploadarchive.raw/RTDC4019/ "%USERPROFILE%\AppData\Local\Temp\OnboardLogs"\RTDC4019\2017-02-13 --exclude "*" --recursive --include "*20170213*" &amp; "%USERPROFILE%\Documents\GitHub\mrs-test-scripts\Headless Mode &amp; Sideloading\WalkAndUnGZ.bat" "%USERPROFILE%\AppData\Local\Temp\OnboardLogs"\RTDC4019\2017-02-13 &amp; 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</v>
      </c>
      <c r="AF14" s="82" t="str">
        <f t="shared" si="13"/>
        <v>"C:\Program Files (x86)\AstroGrep\AstroGrep.exe" /spath="%USERPROFILE%\AppData\Local\Temp\OnboardLogs" /stypes="app*4019*20170213*"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6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102-13 --locoid 4019 --swversion DE.1.0.8.0 --startMP 204:232685 --initTime 2017-02-13T04:02:16 --startdatetime 2017-02-13T04:11:27 --delay 1 --endMP 204:139 --enddatetime 2017-02-13T04:52:17 --enforcementcount 0 &gt;&gt;C:\Users\stu\Documents\GitHub\eaglep3-reporting\EC\2017-02-13-refined-times.txt</v>
      </c>
      <c r="AI14" s="108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{"issue":{"subject":"","project_id":79,"tracker_id":40,"status_id":1,"priority_id":2,"assigned_to_id":23,"start_date":"2017-02-13","description":"","custom_fields":[{"id":1,"name":"Subdivision","value":"EC"},{"id":4,"name":"Milepost","value":"0.0139"},{"id":17,"name":"Train ID","value":"102-13"},{"id":16,"name":"Locomotive ID","value":"4019"},{"id":130,"name":"Impact","value":""},{"id":150,"name":"Time of Event (Mountain Time)","value":"04:52:17"},{"id":151,"name":"Denver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6" si="20">"start /low /b "&amp;dls3logs&amp;" --loco "&amp;B14&amp;" --day "&amp;TEXT(F14,"YYYY-MM-DD")</f>
        <v>start /low /b %USERPROFILE%\Documents\GitHub\eaglep3\Utilities\DownloadLogsFromS3.py --loco 4019 --day 2017-02-13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"%USERPROFILE%\AppData\Local\Temp\OnboardLogs"\RTDC4019\*4019*20170213* | grep -SE "(Enforcement Action)|(\[TIMEOUT)|(CHR.+\|PRM\|1\|D.+(SWITCH|SIGNAL).+UNKNOWN)" - &gt;&gt; 2017-02-13-UncaughtWiMAX.txt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558</v>
      </c>
      <c r="B15" s="7">
        <v>4011</v>
      </c>
      <c r="C15" s="21" t="s">
        <v>193</v>
      </c>
      <c r="D15" s="21" t="s">
        <v>760</v>
      </c>
      <c r="E15" s="13">
        <v>42779.148032407407</v>
      </c>
      <c r="F15" s="13">
        <v>42779.156574074077</v>
      </c>
      <c r="G15" s="7">
        <v>1</v>
      </c>
      <c r="H15" s="21" t="s">
        <v>506</v>
      </c>
      <c r="I15" s="13">
        <v>42779.183171296296</v>
      </c>
      <c r="J15" s="7">
        <v>0</v>
      </c>
      <c r="K15" s="98" t="str">
        <f t="shared" si="0"/>
        <v>4011/4012</v>
      </c>
      <c r="L15" s="21" t="str">
        <f>VLOOKUP(A15,'Trips&amp;Operators'!$C$1:$G$99999,5,FALSE)</f>
        <v>MAELZER KURT</v>
      </c>
      <c r="M15" s="6">
        <f t="shared" si="1"/>
        <v>2.6597222218697425E-2</v>
      </c>
      <c r="N15" s="7">
        <f t="shared" si="2"/>
        <v>38.299999994924292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7" t="str">
        <f t="shared" si="5"/>
        <v>https://d0f6bd738d7f1b3e5a7ca70fe4ff75f0.us-east-1.aws.found.io/app/kibana#/discover/Steve-Slow-Train-Analysis-(2080s-and-2083s)?_g=(refreshInterval:(display:Off,pause:!f,section:0,value:0),time:(from:'2017-02-13T02:33:10-0700',mode:absolute,to:'2017-02-13T05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" s="188" t="str">
        <f t="shared" si="6"/>
        <v>N</v>
      </c>
      <c r="X15" s="188">
        <f t="shared" si="7"/>
        <v>1</v>
      </c>
      <c r="Y15" s="62">
        <f t="shared" si="8"/>
        <v>7.5700000000000003E-2</v>
      </c>
      <c r="Z15" s="62">
        <f t="shared" si="9"/>
        <v>23.335100000000001</v>
      </c>
      <c r="AA15" s="62">
        <f t="shared" si="10"/>
        <v>23.259399999999999</v>
      </c>
      <c r="AB15" s="59" t="e">
        <f>VLOOKUP(A15,Enforcements!$C$7:$K$14,8,0)</f>
        <v>#N/A</v>
      </c>
      <c r="AC15" s="55" t="e">
        <f>VLOOKUP(A15,Enforcements!$C$7:$E$14,3,0)</f>
        <v>#N/A</v>
      </c>
      <c r="AD15" s="56" t="str">
        <f t="shared" si="11"/>
        <v>0103-13</v>
      </c>
      <c r="AE15" s="85" t="str">
        <f t="shared" si="12"/>
        <v>aws s3 cp s3://rtdc.mdm.uploadarchive.raw/RTDC4011/ "%USERPROFILE%\AppData\Local\Temp\OnboardLogs"\RTDC4011\2017-02-13 --exclude "*" --recursive --include "*20170213*" &amp; "%USERPROFILE%\Documents\GitHub\mrs-test-scripts\Headless Mode &amp; Sideloading\WalkAndUnGZ.bat" "%USERPROFILE%\AppData\Local\Temp\OnboardLogs"\RTDC4011\2017-02-13 &amp; aws s3 cp s3://rtdc.mdm.uploadarchive.raw/RTDC4011/ "%USERPROFILE%\AppData\Local\Temp\OnboardLogs"\RTDC4011\2017-02-14 --exclude "*" --recursive --include "*20170214*" &amp; "%USERPROFILE%\Documents\GitHub\mrs-test-scripts\Headless Mode &amp; Sideloading\WalkAndUnGZ.bat" "%USERPROFILE%\AppData\Local\Temp\OnboardLogs"\RTDC4011\2017-02-14</v>
      </c>
      <c r="AF15" s="82" t="str">
        <f t="shared" si="13"/>
        <v>"C:\Program Files (x86)\AstroGrep\AstroGrep.exe" /spath="%USERPROFILE%\AppData\Local\Temp\OnboardLogs" /stypes="app*4011*20170213*"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6" t="str">
        <f t="shared" si="18"/>
        <v>"%USERPROFILE%\Documents\GitHub\eaglep3\Utilities\RefineRTDCRunTimes.py" --tripid 103-13 --locoid 4011 --swversion DE.1.0.8.0 --startMP 204:757 --initTime 2017-02-13T03:33:10 --startdatetime 2017-02-13T03:45:28 --delay 1 --endMP 204:233351 --enddatetime 2017-02-13T04:23:46 --enforcementcount 0 &gt;&gt;C:\Users\stu\Documents\GitHub\eaglep3-reporting\EC\2017-02-13-refined-times.txt</v>
      </c>
      <c r="AI15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{"issue":{"subject":"","project_id":79,"tracker_id":40,"status_id":1,"priority_id":2,"assigned_to_id":23,"start_date":"2017-02-13","description":"","custom_fields":[{"id":1,"name":"Subdivision","value":"EC"},{"id":4,"name":"Milepost","value":"23.3351"},{"id":17,"name":"Train ID","value":"103-13"},{"id":16,"name":"Locomotive ID","value":"4011"},{"id":130,"name":"Impact","value":""},{"id":150,"name":"Time of Event (Mountain Time)","value":"04:23:46"},{"id":151,"name":"Denver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4011 --day 2017-02-13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"%USERPROFILE%\AppData\Local\Temp\OnboardLogs"\RTDC4011\*4011*20170213* | grep -SE "(Enforcement Action)|(\[TIMEOUT)|(CHR.+\|PRM\|1\|D.+(SWITCH|SIGNAL).+UNKNOWN)" - &gt;&gt; 2017-02-13-UncaughtWiMAX.txt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569</v>
      </c>
      <c r="B16" s="7">
        <v>4039</v>
      </c>
      <c r="C16" s="21" t="s">
        <v>193</v>
      </c>
      <c r="D16" s="21" t="s">
        <v>761</v>
      </c>
      <c r="E16" s="13">
        <v>42779.189826388887</v>
      </c>
      <c r="F16" s="13">
        <v>42779.195451388892</v>
      </c>
      <c r="G16" s="7">
        <v>1</v>
      </c>
      <c r="H16" s="21" t="s">
        <v>762</v>
      </c>
      <c r="I16" s="13">
        <v>42779.222962962966</v>
      </c>
      <c r="J16" s="7">
        <v>0</v>
      </c>
      <c r="K16" s="98" t="str">
        <f t="shared" si="0"/>
        <v>4039/4040</v>
      </c>
      <c r="L16" s="21" t="str">
        <f>VLOOKUP(A16,'Trips&amp;Operators'!$C$1:$G$99999,5,FALSE)</f>
        <v>MAELZER KURT</v>
      </c>
      <c r="M16" s="6">
        <f t="shared" si="1"/>
        <v>2.7511574073287193E-2</v>
      </c>
      <c r="N16" s="7">
        <f t="shared" si="2"/>
        <v>39.616666665533558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7" t="str">
        <f t="shared" si="5"/>
        <v>https://d0f6bd738d7f1b3e5a7ca70fe4ff75f0.us-east-1.aws.found.io/app/kibana#/discover/Steve-Slow-Train-Analysis-(2080s-and-2083s)?_g=(refreshInterval:(display:Off,pause:!f,section:0,value:0),time:(from:'2017-02-13T03:33:21-0700',mode:absolute,to:'2017-02-13T06:21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" s="188" t="str">
        <f t="shared" si="6"/>
        <v>N</v>
      </c>
      <c r="X16" s="188">
        <f t="shared" si="7"/>
        <v>1</v>
      </c>
      <c r="Y16" s="62">
        <f t="shared" si="8"/>
        <v>23.273199999999999</v>
      </c>
      <c r="Z16" s="62">
        <f t="shared" si="9"/>
        <v>1.32E-2</v>
      </c>
      <c r="AA16" s="62">
        <f t="shared" si="10"/>
        <v>23.259999999999998</v>
      </c>
      <c r="AB16" s="59" t="e">
        <f>VLOOKUP(A16,Enforcements!$C$7:$K$14,8,0)</f>
        <v>#N/A</v>
      </c>
      <c r="AC16" s="55" t="e">
        <f>VLOOKUP(A16,Enforcements!$C$7:$E$14,3,0)</f>
        <v>#N/A</v>
      </c>
      <c r="AD16" s="56" t="str">
        <f t="shared" si="11"/>
        <v>0104-13</v>
      </c>
      <c r="AE16" s="85" t="str">
        <f t="shared" si="12"/>
        <v>aws s3 cp s3://rtdc.mdm.uploadarchive.raw/RTDC4039/ "%USERPROFILE%\AppData\Local\Temp\OnboardLogs"\RTDC4039\2017-02-13 --exclude "*" --recursive --include "*20170213*" &amp; "%USERPROFILE%\Documents\GitHub\mrs-test-scripts\Headless Mode &amp; Sideloading\WalkAndUnGZ.bat" "%USERPROFILE%\AppData\Local\Temp\OnboardLogs"\RTDC4039\2017-02-13 &amp; aws s3 cp s3://rtdc.mdm.uploadarchive.raw/RTDC4039/ "%USERPROFILE%\AppData\Local\Temp\OnboardLogs"\RTDC4039\2017-02-14 --exclude "*" --recursive --include "*20170214*" &amp; "%USERPROFILE%\Documents\GitHub\mrs-test-scripts\Headless Mode &amp; Sideloading\WalkAndUnGZ.bat" "%USERPROFILE%\AppData\Local\Temp\OnboardLogs"\RTDC4039\2017-02-14</v>
      </c>
      <c r="AF16" s="82" t="str">
        <f t="shared" si="13"/>
        <v>"C:\Program Files (x86)\AstroGrep\AstroGrep.exe" /spath="%USERPROFILE%\AppData\Local\Temp\OnboardLogs" /stypes="app*4039*20170213*"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6" t="str">
        <f t="shared" si="18"/>
        <v>"%USERPROFILE%\Documents\GitHub\eaglep3\Utilities\RefineRTDCRunTimes.py" --tripid 104-13 --locoid 4039 --swversion DE.1.0.8.0 --startMP 204:232732 --initTime 2017-02-13T04:33:21 --startdatetime 2017-02-13T04:41:27 --delay 1 --endMP 204:132 --enddatetime 2017-02-13T05:21:04 --enforcementcount 0 &gt;&gt;C:\Users\stu\Documents\GitHub\eaglep3-reporting\EC\2017-02-13-refined-times.txt</v>
      </c>
      <c r="AI16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{"issue":{"subject":"","project_id":79,"tracker_id":40,"status_id":1,"priority_id":2,"assigned_to_id":23,"start_date":"2017-02-13","description":"","custom_fields":[{"id":1,"name":"Subdivision","value":"EC"},{"id":4,"name":"Milepost","value":"0.0132"},{"id":17,"name":"Train ID","value":"104-13"},{"id":16,"name":"Locomotive ID","value":"4039"},{"id":130,"name":"Impact","value":""},{"id":150,"name":"Time of Event (Mountain Time)","value":"05:21:04"},{"id":151,"name":"Denver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4039 --day 2017-02-13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"%USERPROFILE%\AppData\Local\Temp\OnboardLogs"\RTDC4039\*4039*20170213* | grep -SE "(Enforcement Action)|(\[TIMEOUT)|(CHR.+\|PRM\|1\|D.+(SWITCH|SIGNAL).+UNKNOWN)" - &gt;&gt; 2017-02-13-UncaughtWiMAX.txt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566</v>
      </c>
      <c r="B17" s="7">
        <v>4025</v>
      </c>
      <c r="C17" s="21" t="s">
        <v>193</v>
      </c>
      <c r="D17" s="21" t="s">
        <v>763</v>
      </c>
      <c r="E17" s="13">
        <v>42779.175543981481</v>
      </c>
      <c r="F17" s="13">
        <v>42779.177256944444</v>
      </c>
      <c r="G17" s="7">
        <v>1</v>
      </c>
      <c r="H17" s="21" t="s">
        <v>329</v>
      </c>
      <c r="I17" s="13">
        <v>42779.202685185184</v>
      </c>
      <c r="J17" s="7">
        <v>0</v>
      </c>
      <c r="K17" s="98" t="str">
        <f t="shared" si="0"/>
        <v>4025/4026</v>
      </c>
      <c r="L17" s="21" t="str">
        <f>VLOOKUP(A17,'Trips&amp;Operators'!$C$1:$G$99999,5,FALSE)</f>
        <v>STARKS ANGELINA</v>
      </c>
      <c r="M17" s="6">
        <f t="shared" si="1"/>
        <v>2.5428240740438923E-2</v>
      </c>
      <c r="N17" s="7">
        <f t="shared" si="2"/>
        <v>36.616666666232049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7" t="str">
        <f t="shared" si="5"/>
        <v>https://d0f6bd738d7f1b3e5a7ca70fe4ff75f0.us-east-1.aws.found.io/app/kibana#/discover/Steve-Slow-Train-Analysis-(2080s-and-2083s)?_g=(refreshInterval:(display:Off,pause:!f,section:0,value:0),time:(from:'2017-02-13T03:12:47-0700',mode:absolute,to:'2017-02-13T05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" s="188" t="str">
        <f t="shared" si="6"/>
        <v>N</v>
      </c>
      <c r="X17" s="188">
        <f t="shared" si="7"/>
        <v>1</v>
      </c>
      <c r="Y17" s="62">
        <f t="shared" si="8"/>
        <v>7.6600000000000001E-2</v>
      </c>
      <c r="Z17" s="62">
        <f t="shared" si="9"/>
        <v>23.329699999999999</v>
      </c>
      <c r="AA17" s="62">
        <f t="shared" si="10"/>
        <v>23.2531</v>
      </c>
      <c r="AB17" s="59" t="e">
        <f>VLOOKUP(A17,Enforcements!$C$7:$K$14,8,0)</f>
        <v>#N/A</v>
      </c>
      <c r="AC17" s="55" t="e">
        <f>VLOOKUP(A17,Enforcements!$C$7:$E$14,3,0)</f>
        <v>#N/A</v>
      </c>
      <c r="AD17" s="56" t="str">
        <f t="shared" si="11"/>
        <v>0105-13</v>
      </c>
      <c r="AE17" s="85" t="str">
        <f t="shared" si="12"/>
        <v>aws s3 cp s3://rtdc.mdm.uploadarchive.raw/RTDC4025/ "%USERPROFILE%\AppData\Local\Temp\OnboardLogs"\RTDC4025\2017-02-13 --exclude "*" --recursive --include "*20170213*" &amp; "%USERPROFILE%\Documents\GitHub\mrs-test-scripts\Headless Mode &amp; Sideloading\WalkAndUnGZ.bat" "%USERPROFILE%\AppData\Local\Temp\OnboardLogs"\RTDC4025\2017-02-13 &amp; aws s3 cp s3://rtdc.mdm.uploadarchive.raw/RTDC4025/ "%USERPROFILE%\AppData\Local\Temp\OnboardLogs"\RTDC4025\2017-02-14 --exclude "*" --recursive --include "*20170214*" &amp; "%USERPROFILE%\Documents\GitHub\mrs-test-scripts\Headless Mode &amp; Sideloading\WalkAndUnGZ.bat" "%USERPROFILE%\AppData\Local\Temp\OnboardLogs"\RTDC4025\2017-02-14</v>
      </c>
      <c r="AF17" s="82" t="str">
        <f t="shared" si="13"/>
        <v>"C:\Program Files (x86)\AstroGrep\AstroGrep.exe" /spath="%USERPROFILE%\AppData\Local\Temp\OnboardLogs" /stypes="app*4025*20170213*"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6" t="str">
        <f t="shared" si="18"/>
        <v>"%USERPROFILE%\Documents\GitHub\eaglep3\Utilities\RefineRTDCRunTimes.py" --tripid 105-13 --locoid 4025 --swversion DE.1.0.8.0 --startMP 204:766 --initTime 2017-02-13T04:12:47 --startdatetime 2017-02-13T04:15:15 --delay 1 --endMP 204:233297 --enddatetime 2017-02-13T04:51:52 --enforcementcount 0 &gt;&gt;C:\Users\stu\Documents\GitHub\eaglep3-reporting\EC\2017-02-13-refined-times.txt</v>
      </c>
      <c r="AI17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{"issue":{"subject":"","project_id":79,"tracker_id":40,"status_id":1,"priority_id":2,"assigned_to_id":23,"start_date":"2017-02-13","description":"","custom_fields":[{"id":1,"name":"Subdivision","value":"EC"},{"id":4,"name":"Milepost","value":"23.3297"},{"id":17,"name":"Train ID","value":"105-13"},{"id":16,"name":"Locomotive ID","value":"4025"},{"id":130,"name":"Impact","value":""},{"id":150,"name":"Time of Event (Mountain Time)","value":"04:51:52"},{"id":151,"name":"Denver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4025 --day 2017-02-13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"%USERPROFILE%\AppData\Local\Temp\OnboardLogs"\RTDC4025\*4025*20170213* | grep -SE "(Enforcement Action)|(\[TIMEOUT)|(CHR.+\|PRM\|1\|D.+(SWITCH|SIGNAL).+UNKNOWN)" - &gt;&gt; 2017-02-13-UncaughtWiMAX.txt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573</v>
      </c>
      <c r="B18" s="7">
        <v>4017</v>
      </c>
      <c r="C18" s="21" t="s">
        <v>193</v>
      </c>
      <c r="D18" s="21" t="s">
        <v>764</v>
      </c>
      <c r="E18" s="13">
        <v>42779.21366898148</v>
      </c>
      <c r="F18" s="13">
        <v>42779.216157407405</v>
      </c>
      <c r="G18" s="7">
        <v>1</v>
      </c>
      <c r="H18" s="21" t="s">
        <v>454</v>
      </c>
      <c r="I18" s="13">
        <v>42779.243807870371</v>
      </c>
      <c r="J18" s="7">
        <v>0</v>
      </c>
      <c r="K18" s="98" t="str">
        <f t="shared" si="0"/>
        <v>4017/4018</v>
      </c>
      <c r="L18" s="21" t="str">
        <f>VLOOKUP(A18,'Trips&amp;Operators'!$C$1:$G$99999,5,FALSE)</f>
        <v>STARKS ANGELINA</v>
      </c>
      <c r="M18" s="6">
        <f t="shared" si="1"/>
        <v>2.7650462965539191E-2</v>
      </c>
      <c r="N18" s="7">
        <f t="shared" si="2"/>
        <v>39.816666670376435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7" t="str">
        <f t="shared" si="5"/>
        <v>https://d0f6bd738d7f1b3e5a7ca70fe4ff75f0.us-east-1.aws.found.io/app/kibana#/discover/Steve-Slow-Train-Analysis-(2080s-and-2083s)?_g=(refreshInterval:(display:Off,pause:!f,section:0,value:0),time:(from:'2017-02-13T04:07:41-0700',mode:absolute,to:'2017-02-13T06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188" t="str">
        <f t="shared" si="6"/>
        <v>N</v>
      </c>
      <c r="X18" s="188">
        <f t="shared" si="7"/>
        <v>1</v>
      </c>
      <c r="Y18" s="62">
        <f t="shared" si="8"/>
        <v>23.264800000000001</v>
      </c>
      <c r="Z18" s="62">
        <f t="shared" si="9"/>
        <v>1.47E-2</v>
      </c>
      <c r="AA18" s="62">
        <f t="shared" si="10"/>
        <v>23.2501</v>
      </c>
      <c r="AB18" s="59" t="e">
        <f>VLOOKUP(A18,Enforcements!$C$7:$K$14,8,0)</f>
        <v>#N/A</v>
      </c>
      <c r="AC18" s="55" t="e">
        <f>VLOOKUP(A18,Enforcements!$C$7:$E$14,3,0)</f>
        <v>#N/A</v>
      </c>
      <c r="AD18" s="56" t="str">
        <f t="shared" si="11"/>
        <v>0106-13</v>
      </c>
      <c r="AE18" s="85" t="str">
        <f t="shared" si="12"/>
        <v>aws s3 cp s3://rtdc.mdm.uploadarchive.raw/RTDC4017/ "%USERPROFILE%\AppData\Local\Temp\OnboardLogs"\RTDC4017\2017-02-13 --exclude "*" --recursive --include "*20170213*" &amp; "%USERPROFILE%\Documents\GitHub\mrs-test-scripts\Headless Mode &amp; Sideloading\WalkAndUnGZ.bat" "%USERPROFILE%\AppData\Local\Temp\OnboardLogs"\RTDC4017\2017-02-13 &amp; aws s3 cp s3://rtdc.mdm.uploadarchive.raw/RTDC4017/ "%USERPROFILE%\AppData\Local\Temp\OnboardLogs"\RTDC4017\2017-02-14 --exclude "*" --recursive --include "*20170214*" &amp; "%USERPROFILE%\Documents\GitHub\mrs-test-scripts\Headless Mode &amp; Sideloading\WalkAndUnGZ.bat" "%USERPROFILE%\AppData\Local\Temp\OnboardLogs"\RTDC4017\2017-02-14</v>
      </c>
      <c r="AF18" s="82" t="str">
        <f t="shared" si="13"/>
        <v>"C:\Program Files (x86)\AstroGrep\AstroGrep.exe" /spath="%USERPROFILE%\AppData\Local\Temp\OnboardLogs" /stypes="app*4017*20170213*"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6" t="str">
        <f t="shared" si="18"/>
        <v>"%USERPROFILE%\Documents\GitHub\eaglep3\Utilities\RefineRTDCRunTimes.py" --tripid 106-13 --locoid 4017 --swversion DE.1.0.8.0 --startMP 204:232648 --initTime 2017-02-13T05:07:41 --startdatetime 2017-02-13T05:11:16 --delay 1 --endMP 204:147 --enddatetime 2017-02-13T05:51:05 --enforcementcount 0 &gt;&gt;C:\Users\stu\Documents\GitHub\eaglep3-reporting\EC\2017-02-13-refined-times.txt</v>
      </c>
      <c r="AI18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{"issue":{"subject":"","project_id":79,"tracker_id":40,"status_id":1,"priority_id":2,"assigned_to_id":23,"start_date":"2017-02-13","description":"","custom_fields":[{"id":1,"name":"Subdivision","value":"EC"},{"id":4,"name":"Milepost","value":"0.0147"},{"id":17,"name":"Train ID","value":"106-13"},{"id":16,"name":"Locomotive ID","value":"4017"},{"id":130,"name":"Impact","value":""},{"id":150,"name":"Time of Event (Mountain Time)","value":"05:51:05"},{"id":151,"name":"Denver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4017 --day 2017-02-13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"%USERPROFILE%\AppData\Local\Temp\OnboardLogs"\RTDC4017\*4017*20170213* | grep -SE "(Enforcement Action)|(\[TIMEOUT)|(CHR.+\|PRM\|1\|D.+(SWITCH|SIGNAL).+UNKNOWN)" - &gt;&gt; 2017-02-13-UncaughtWiMAX.txt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568</v>
      </c>
      <c r="B19" s="7">
        <v>4027</v>
      </c>
      <c r="C19" s="21" t="s">
        <v>193</v>
      </c>
      <c r="D19" s="21" t="s">
        <v>279</v>
      </c>
      <c r="E19" s="13">
        <v>42779.183310185188</v>
      </c>
      <c r="F19" s="13">
        <v>42779.187673611108</v>
      </c>
      <c r="G19" s="7">
        <v>1</v>
      </c>
      <c r="H19" s="21" t="s">
        <v>765</v>
      </c>
      <c r="I19" s="13">
        <v>42779.213391203702</v>
      </c>
      <c r="J19" s="7">
        <v>0</v>
      </c>
      <c r="K19" s="98" t="str">
        <f t="shared" si="0"/>
        <v>4027/4028</v>
      </c>
      <c r="L19" s="21" t="str">
        <f>VLOOKUP(A19,'Trips&amp;Operators'!$C$1:$G$99999,5,FALSE)</f>
        <v>BONDS REYNALDO</v>
      </c>
      <c r="M19" s="6">
        <f t="shared" si="1"/>
        <v>2.5717592594446614E-2</v>
      </c>
      <c r="N19" s="7">
        <f t="shared" si="2"/>
        <v>37.033333336003125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7" t="str">
        <f t="shared" si="5"/>
        <v>https://d0f6bd738d7f1b3e5a7ca70fe4ff75f0.us-east-1.aws.found.io/app/kibana#/discover/Steve-Slow-Train-Analysis-(2080s-and-2083s)?_g=(refreshInterval:(display:Off,pause:!f,section:0,value:0),time:(from:'2017-02-13T03:23:58-0700',mode:absolute,to:'2017-02-13T06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" s="188" t="str">
        <f t="shared" si="6"/>
        <v>N</v>
      </c>
      <c r="X19" s="188">
        <f t="shared" si="7"/>
        <v>1</v>
      </c>
      <c r="Y19" s="62">
        <f t="shared" si="8"/>
        <v>4.5499999999999999E-2</v>
      </c>
      <c r="Z19" s="62">
        <f t="shared" si="9"/>
        <v>23.33</v>
      </c>
      <c r="AA19" s="62">
        <f t="shared" si="10"/>
        <v>23.284499999999998</v>
      </c>
      <c r="AB19" s="59" t="e">
        <f>VLOOKUP(A19,Enforcements!$C$7:$K$14,8,0)</f>
        <v>#N/A</v>
      </c>
      <c r="AC19" s="55" t="e">
        <f>VLOOKUP(A19,Enforcements!$C$7:$E$14,3,0)</f>
        <v>#N/A</v>
      </c>
      <c r="AD19" s="56" t="str">
        <f t="shared" si="11"/>
        <v>0107-13</v>
      </c>
      <c r="AE19" s="85" t="str">
        <f t="shared" si="12"/>
        <v>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 &amp; 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</v>
      </c>
      <c r="AF19" s="82" t="str">
        <f t="shared" si="13"/>
        <v>"C:\Program Files (x86)\AstroGrep\AstroGrep.exe" /spath="%USERPROFILE%\AppData\Local\Temp\OnboardLogs" /stypes="app*4027*20170213*"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6" t="str">
        <f t="shared" si="18"/>
        <v>"%USERPROFILE%\Documents\GitHub\eaglep3\Utilities\RefineRTDCRunTimes.py" --tripid 107-13 --locoid 4027 --swversion DE.1.0.8.0 --startMP 204:455 --initTime 2017-02-13T04:23:58 --startdatetime 2017-02-13T04:30:15 --delay 1 --endMP 204:233300 --enddatetime 2017-02-13T05:07:17 --enforcementcount 0 &gt;&gt;C:\Users\stu\Documents\GitHub\eaglep3-reporting\EC\2017-02-13-refined-times.txt</v>
      </c>
      <c r="AI19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{"issue":{"subject":"","project_id":79,"tracker_id":40,"status_id":1,"priority_id":2,"assigned_to_id":23,"start_date":"2017-02-13","description":"","custom_fields":[{"id":1,"name":"Subdivision","value":"EC"},{"id":4,"name":"Milepost","value":"23.33"},{"id":17,"name":"Train ID","value":"107-13"},{"id":16,"name":"Locomotive ID","value":"4027"},{"id":130,"name":"Impact","value":""},{"id":150,"name":"Time of Event (Mountain Time)","value":"05:07:17"},{"id":151,"name":"Denver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4027 --day 2017-02-13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"%USERPROFILE%\AppData\Local\Temp\OnboardLogs"\RTDC4027\*4027*20170213* | grep -SE "(Enforcement Action)|(\[TIMEOUT)|(CHR.+\|PRM\|1\|D.+(SWITCH|SIGNAL).+UNKNOWN)" - &gt;&gt; 2017-02-13-UncaughtWiMAX.txt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575</v>
      </c>
      <c r="B20" s="7">
        <v>4028</v>
      </c>
      <c r="C20" s="21" t="s">
        <v>193</v>
      </c>
      <c r="D20" s="21" t="s">
        <v>299</v>
      </c>
      <c r="E20" s="13">
        <v>42779.219074074077</v>
      </c>
      <c r="F20" s="13">
        <v>42779.226539351854</v>
      </c>
      <c r="G20" s="7">
        <v>1</v>
      </c>
      <c r="H20" s="21" t="s">
        <v>766</v>
      </c>
      <c r="I20" s="13">
        <v>42779.254421296297</v>
      </c>
      <c r="J20" s="7">
        <v>0</v>
      </c>
      <c r="K20" s="98" t="str">
        <f t="shared" si="0"/>
        <v>4027/4028</v>
      </c>
      <c r="L20" s="21" t="str">
        <f>VLOOKUP(A20,'Trips&amp;Operators'!$C$1:$G$99999,5,FALSE)</f>
        <v>BONDS REYNALDO</v>
      </c>
      <c r="M20" s="6">
        <f t="shared" si="1"/>
        <v>2.7881944442924578E-2</v>
      </c>
      <c r="N20" s="7">
        <f t="shared" si="2"/>
        <v>40.149999997811392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7" t="str">
        <f t="shared" si="5"/>
        <v>https://d0f6bd738d7f1b3e5a7ca70fe4ff75f0.us-east-1.aws.found.io/app/kibana#/discover/Steve-Slow-Train-Analysis-(2080s-and-2083s)?_g=(refreshInterval:(display:Off,pause:!f,section:0,value:0),time:(from:'2017-02-13T04:15:28-0700',mode:absolute,to:'2017-02-13T07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" s="188" t="str">
        <f t="shared" si="6"/>
        <v>N</v>
      </c>
      <c r="X20" s="188">
        <f t="shared" si="7"/>
        <v>1</v>
      </c>
      <c r="Y20" s="62">
        <f t="shared" si="8"/>
        <v>23.299299999999999</v>
      </c>
      <c r="Z20" s="62">
        <f t="shared" si="9"/>
        <v>1.6299999999999999E-2</v>
      </c>
      <c r="AA20" s="62">
        <f t="shared" si="10"/>
        <v>23.282999999999998</v>
      </c>
      <c r="AB20" s="59" t="e">
        <f>VLOOKUP(A20,Enforcements!$C$7:$K$14,8,0)</f>
        <v>#N/A</v>
      </c>
      <c r="AC20" s="55" t="e">
        <f>VLOOKUP(A20,Enforcements!$C$7:$E$14,3,0)</f>
        <v>#N/A</v>
      </c>
      <c r="AD20" s="56" t="str">
        <f t="shared" si="11"/>
        <v>0108-13</v>
      </c>
      <c r="AE20" s="85" t="str">
        <f t="shared" si="12"/>
        <v>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 &amp; aws s3 cp s3://rtdc.mdm.uploadarchive.raw/RTDC4028/ "%USERPROFILE%\AppData\Local\Temp\OnboardLogs"\RTDC4028\2017-02-14 --exclude "*" --recursive --include "*20170214*" &amp; "%USERPROFILE%\Documents\GitHub\mrs-test-scripts\Headless Mode &amp; Sideloading\WalkAndUnGZ.bat" "%USERPROFILE%\AppData\Local\Temp\OnboardLogs"\RTDC4028\2017-02-14</v>
      </c>
      <c r="AF20" s="82" t="str">
        <f t="shared" si="13"/>
        <v>"C:\Program Files (x86)\AstroGrep\AstroGrep.exe" /spath="%USERPROFILE%\AppData\Local\Temp\OnboardLogs" /stypes="app*4028*20170213*"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6" t="str">
        <f t="shared" si="18"/>
        <v>"%USERPROFILE%\Documents\GitHub\eaglep3\Utilities\RefineRTDCRunTimes.py" --tripid 108-13 --locoid 4028 --swversion DE.1.0.8.0 --startMP 204:232993 --initTime 2017-02-13T05:15:28 --startdatetime 2017-02-13T05:26:13 --delay 1 --endMP 204:163 --enddatetime 2017-02-13T06:06:22 --enforcementcount 0 &gt;&gt;C:\Users\stu\Documents\GitHub\eaglep3-reporting\EC\2017-02-13-refined-times.txt</v>
      </c>
      <c r="AI20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{"issue":{"subject":"","project_id":79,"tracker_id":40,"status_id":1,"priority_id":2,"assigned_to_id":23,"start_date":"2017-02-13","description":"","custom_fields":[{"id":1,"name":"Subdivision","value":"EC"},{"id":4,"name":"Milepost","value":"0.0163"},{"id":17,"name":"Train ID","value":"108-13"},{"id":16,"name":"Locomotive ID","value":"4028"},{"id":130,"name":"Impact","value":""},{"id":150,"name":"Time of Event (Mountain Time)","value":"06:06:22"},{"id":151,"name":"Denver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4028 --day 2017-02-13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"%USERPROFILE%\AppData\Local\Temp\OnboardLogs"\RTDC4028\*4028*20170213* | grep -SE "(Enforcement Action)|(\[TIMEOUT)|(CHR.+\|PRM\|1\|D.+(SWITCH|SIGNAL).+UNKNOWN)" - &gt;&gt; 2017-02-13-UncaughtWiMAX.txt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570</v>
      </c>
      <c r="B21" s="7">
        <v>4009</v>
      </c>
      <c r="C21" s="21" t="s">
        <v>193</v>
      </c>
      <c r="D21" s="21" t="s">
        <v>239</v>
      </c>
      <c r="E21" s="13">
        <v>42779.193240740744</v>
      </c>
      <c r="F21" s="13">
        <v>42779.198136574072</v>
      </c>
      <c r="G21" s="7">
        <v>1</v>
      </c>
      <c r="H21" s="21" t="s">
        <v>451</v>
      </c>
      <c r="I21" s="13">
        <v>42779.224050925928</v>
      </c>
      <c r="J21" s="7">
        <v>0</v>
      </c>
      <c r="K21" s="98" t="str">
        <f t="shared" si="0"/>
        <v>4009/4010</v>
      </c>
      <c r="L21" s="21" t="str">
        <f>VLOOKUP(A21,'Trips&amp;Operators'!$C$1:$G$99999,5,FALSE)</f>
        <v>SHOOK JOHN</v>
      </c>
      <c r="M21" s="6">
        <f t="shared" si="1"/>
        <v>2.5914351856044959E-2</v>
      </c>
      <c r="N21" s="7">
        <f t="shared" si="2"/>
        <v>37.316666672704741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7" t="str">
        <f t="shared" si="5"/>
        <v>https://d0f6bd738d7f1b3e5a7ca70fe4ff75f0.us-east-1.aws.found.io/app/kibana#/discover/Steve-Slow-Train-Analysis-(2080s-and-2083s)?_g=(refreshInterval:(display:Off,pause:!f,section:0,value:0),time:(from:'2017-02-13T03:38:16-0700',mode:absolute,to:'2017-02-13T06:22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" s="188" t="str">
        <f t="shared" si="6"/>
        <v>N</v>
      </c>
      <c r="X21" s="188">
        <f t="shared" si="7"/>
        <v>1</v>
      </c>
      <c r="Y21" s="62">
        <f t="shared" si="8"/>
        <v>4.5999999999999999E-2</v>
      </c>
      <c r="Z21" s="62">
        <f t="shared" si="9"/>
        <v>23.328900000000001</v>
      </c>
      <c r="AA21" s="62">
        <f t="shared" si="10"/>
        <v>23.282900000000001</v>
      </c>
      <c r="AB21" s="59" t="e">
        <f>VLOOKUP(A21,Enforcements!$C$7:$K$14,8,0)</f>
        <v>#N/A</v>
      </c>
      <c r="AC21" s="55" t="e">
        <f>VLOOKUP(A21,Enforcements!$C$7:$E$14,3,0)</f>
        <v>#N/A</v>
      </c>
      <c r="AD21" s="56" t="str">
        <f t="shared" si="11"/>
        <v>0109-13</v>
      </c>
      <c r="AE21" s="85" t="str">
        <f t="shared" si="12"/>
        <v>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 &amp; aws s3 cp s3://rtdc.mdm.uploadarchive.raw/RTDC4009/ "%USERPROFILE%\AppData\Local\Temp\OnboardLogs"\RTDC4009\2017-02-14 --exclude "*" --recursive --include "*20170214*" &amp; "%USERPROFILE%\Documents\GitHub\mrs-test-scripts\Headless Mode &amp; Sideloading\WalkAndUnGZ.bat" "%USERPROFILE%\AppData\Local\Temp\OnboardLogs"\RTDC4009\2017-02-14</v>
      </c>
      <c r="AF21" s="82" t="str">
        <f t="shared" si="13"/>
        <v>"C:\Program Files (x86)\AstroGrep\AstroGrep.exe" /spath="%USERPROFILE%\AppData\Local\Temp\OnboardLogs" /stypes="app*4009*20170213*"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6" t="str">
        <f t="shared" si="18"/>
        <v>"%USERPROFILE%\Documents\GitHub\eaglep3\Utilities\RefineRTDCRunTimes.py" --tripid 109-13 --locoid 4009 --swversion DE.1.0.8.0 --startMP 204:460 --initTime 2017-02-13T04:38:16 --startdatetime 2017-02-13T04:45:19 --delay 1 --endMP 204:233289 --enddatetime 2017-02-13T05:22:38 --enforcementcount 0 &gt;&gt;C:\Users\stu\Documents\GitHub\eaglep3-reporting\EC\2017-02-13-refined-times.txt</v>
      </c>
      <c r="AI21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{"issue":{"subject":"","project_id":79,"tracker_id":40,"status_id":1,"priority_id":2,"assigned_to_id":23,"start_date":"2017-02-13","description":"","custom_fields":[{"id":1,"name":"Subdivision","value":"EC"},{"id":4,"name":"Milepost","value":"23.3289"},{"id":17,"name":"Train ID","value":"109-13"},{"id":16,"name":"Locomotive ID","value":"4009"},{"id":130,"name":"Impact","value":""},{"id":150,"name":"Time of Event (Mountain Time)","value":"05:22:38"},{"id":151,"name":"Denver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4009 --day 2017-02-13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"%USERPROFILE%\AppData\Local\Temp\OnboardLogs"\RTDC4009\*4009*20170213* | grep -SE "(Enforcement Action)|(\[TIMEOUT)|(CHR.+\|PRM\|1\|D.+(SWITCH|SIGNAL).+UNKNOWN)" - &gt;&gt; 2017-02-13-UncaughtWiMAX.txt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577</v>
      </c>
      <c r="B22" s="7">
        <v>4010</v>
      </c>
      <c r="C22" s="21" t="s">
        <v>193</v>
      </c>
      <c r="D22" s="21" t="s">
        <v>424</v>
      </c>
      <c r="E22" s="13">
        <v>42779.226168981484</v>
      </c>
      <c r="F22" s="13">
        <v>42779.237013888887</v>
      </c>
      <c r="G22" s="7">
        <v>1</v>
      </c>
      <c r="H22" s="21" t="s">
        <v>447</v>
      </c>
      <c r="I22" s="13">
        <v>42779.265717592592</v>
      </c>
      <c r="J22" s="7">
        <v>0</v>
      </c>
      <c r="K22" s="98" t="str">
        <f t="shared" si="0"/>
        <v>4009/4010</v>
      </c>
      <c r="L22" s="21" t="str">
        <f>VLOOKUP(A22,'Trips&amp;Operators'!$C$1:$G$99999,5,FALSE)</f>
        <v>SHOOK JOHN</v>
      </c>
      <c r="M22" s="6">
        <f t="shared" si="1"/>
        <v>2.8703703705104999E-2</v>
      </c>
      <c r="N22" s="7">
        <f t="shared" si="2"/>
        <v>41.333333335351199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7" t="str">
        <f t="shared" si="5"/>
        <v>https://d0f6bd738d7f1b3e5a7ca70fe4ff75f0.us-east-1.aws.found.io/app/kibana#/discover/Steve-Slow-Train-Analysis-(2080s-and-2083s)?_g=(refreshInterval:(display:Off,pause:!f,section:0,value:0),time:(from:'2017-02-13T04:25:41-0700',mode:absolute,to:'2017-02-13T07:22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" s="188" t="str">
        <f t="shared" si="6"/>
        <v>N</v>
      </c>
      <c r="X22" s="188">
        <f t="shared" si="7"/>
        <v>1</v>
      </c>
      <c r="Y22" s="62">
        <f t="shared" si="8"/>
        <v>23.3</v>
      </c>
      <c r="Z22" s="62">
        <f t="shared" si="9"/>
        <v>1.5599999999999999E-2</v>
      </c>
      <c r="AA22" s="62">
        <f t="shared" si="10"/>
        <v>23.284400000000002</v>
      </c>
      <c r="AB22" s="59" t="e">
        <f>VLOOKUP(A22,Enforcements!$C$7:$K$14,8,0)</f>
        <v>#N/A</v>
      </c>
      <c r="AC22" s="55" t="e">
        <f>VLOOKUP(A22,Enforcements!$C$7:$E$14,3,0)</f>
        <v>#N/A</v>
      </c>
      <c r="AD22" s="56" t="str">
        <f t="shared" si="11"/>
        <v>0110-13</v>
      </c>
      <c r="AE22" s="85" t="str">
        <f t="shared" si="12"/>
        <v>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 &amp; aws s3 cp s3://rtdc.mdm.uploadarchive.raw/RTDC4010/ "%USERPROFILE%\AppData\Local\Temp\OnboardLogs"\RTDC4010\2017-02-14 --exclude "*" --recursive --include "*20170214*" &amp; "%USERPROFILE%\Documents\GitHub\mrs-test-scripts\Headless Mode &amp; Sideloading\WalkAndUnGZ.bat" "%USERPROFILE%\AppData\Local\Temp\OnboardLogs"\RTDC4010\2017-02-14</v>
      </c>
      <c r="AF22" s="82" t="str">
        <f t="shared" si="13"/>
        <v>"C:\Program Files (x86)\AstroGrep\AstroGrep.exe" /spath="%USERPROFILE%\AppData\Local\Temp\OnboardLogs" /stypes="app*4010*20170213*"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6" t="str">
        <f t="shared" si="18"/>
        <v>"%USERPROFILE%\Documents\GitHub\eaglep3\Utilities\RefineRTDCRunTimes.py" --tripid 110-13 --locoid 4010 --swversion DE.1.0.8.0 --startMP 204:233000 --initTime 2017-02-13T05:25:41 --startdatetime 2017-02-13T05:41:18 --delay 1 --endMP 204:156 --enddatetime 2017-02-13T06:22:38 --enforcementcount 0 &gt;&gt;C:\Users\stu\Documents\GitHub\eaglep3-reporting\EC\2017-02-13-refined-times.txt</v>
      </c>
      <c r="AI22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{"issue":{"subject":"","project_id":79,"tracker_id":40,"status_id":1,"priority_id":2,"assigned_to_id":23,"start_date":"2017-02-13","description":"","custom_fields":[{"id":1,"name":"Subdivision","value":"EC"},{"id":4,"name":"Milepost","value":"0.0156"},{"id":17,"name":"Train ID","value":"110-13"},{"id":16,"name":"Locomotive ID","value":"4010"},{"id":130,"name":"Impact","value":""},{"id":150,"name":"Time of Event (Mountain Time)","value":"06:22:38"},{"id":151,"name":"Denver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4010 --day 2017-02-13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"%USERPROFILE%\AppData\Local\Temp\OnboardLogs"\RTDC4010\*4010*20170213* | grep -SE "(Enforcement Action)|(\[TIMEOUT)|(CHR.+\|PRM\|1\|D.+(SWITCH|SIGNAL).+UNKNOWN)" - &gt;&gt; 2017-02-13-UncaughtWiMAX.txt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571</v>
      </c>
      <c r="B23" s="7">
        <v>4044</v>
      </c>
      <c r="C23" s="21" t="s">
        <v>193</v>
      </c>
      <c r="D23" s="21" t="s">
        <v>445</v>
      </c>
      <c r="E23" s="13">
        <v>42779.205613425926</v>
      </c>
      <c r="F23" s="13">
        <v>42779.208645833336</v>
      </c>
      <c r="G23" s="7">
        <v>1</v>
      </c>
      <c r="H23" s="21" t="s">
        <v>311</v>
      </c>
      <c r="I23" s="13">
        <v>42779.234120370369</v>
      </c>
      <c r="J23" s="7">
        <v>0</v>
      </c>
      <c r="K23" s="98" t="str">
        <f t="shared" si="0"/>
        <v>4043/4044</v>
      </c>
      <c r="L23" s="21" t="str">
        <f>VLOOKUP(A23,'Trips&amp;Operators'!$C$1:$G$99999,5,FALSE)</f>
        <v>YORK EDGAR</v>
      </c>
      <c r="M23" s="6">
        <f t="shared" si="1"/>
        <v>2.5474537033005618E-2</v>
      </c>
      <c r="N23" s="7">
        <f t="shared" si="2"/>
        <v>36.683333327528089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7" t="str">
        <f t="shared" si="5"/>
        <v>https://d0f6bd738d7f1b3e5a7ca70fe4ff75f0.us-east-1.aws.found.io/app/kibana#/discover/Steve-Slow-Train-Analysis-(2080s-and-2083s)?_g=(refreshInterval:(display:Off,pause:!f,section:0,value:0),time:(from:'2017-02-13T03:56:05-0700',mode:absolute,to:'2017-02-13T06:37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188" t="str">
        <f t="shared" si="6"/>
        <v>N</v>
      </c>
      <c r="X23" s="188">
        <f t="shared" si="7"/>
        <v>1</v>
      </c>
      <c r="Y23" s="62">
        <f t="shared" si="8"/>
        <v>7.5499999999999998E-2</v>
      </c>
      <c r="Z23" s="62">
        <f t="shared" si="9"/>
        <v>23.3293</v>
      </c>
      <c r="AA23" s="62">
        <f t="shared" si="10"/>
        <v>23.253799999999998</v>
      </c>
      <c r="AB23" s="59" t="e">
        <f>VLOOKUP(A23,Enforcements!$C$7:$K$14,8,0)</f>
        <v>#N/A</v>
      </c>
      <c r="AC23" s="55" t="e">
        <f>VLOOKUP(A23,Enforcements!$C$7:$E$14,3,0)</f>
        <v>#N/A</v>
      </c>
      <c r="AD23" s="56" t="str">
        <f t="shared" si="11"/>
        <v>0111-13</v>
      </c>
      <c r="AE23" s="85" t="str">
        <f t="shared" si="12"/>
        <v>aws s3 cp s3://rtdc.mdm.uploadarchive.raw/RTDC4044/ "%USERPROFILE%\AppData\Local\Temp\OnboardLogs"\RTDC4044\2017-02-13 --exclude "*" --recursive --include "*20170213*" &amp; "%USERPROFILE%\Documents\GitHub\mrs-test-scripts\Headless Mode &amp; Sideloading\WalkAndUnGZ.bat" "%USERPROFILE%\AppData\Local\Temp\OnboardLogs"\RTDC4044\2017-02-13 &amp; 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</v>
      </c>
      <c r="AF23" s="82" t="str">
        <f t="shared" si="13"/>
        <v>"C:\Program Files (x86)\AstroGrep\AstroGrep.exe" /spath="%USERPROFILE%\AppData\Local\Temp\OnboardLogs" /stypes="app*4044*20170213*"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6" t="str">
        <f t="shared" si="18"/>
        <v>"%USERPROFILE%\Documents\GitHub\eaglep3\Utilities\RefineRTDCRunTimes.py" --tripid 111-13 --locoid 4044 --swversion DE.1.0.8.0 --startMP 204:755 --initTime 2017-02-13T04:56:05 --startdatetime 2017-02-13T05:00:27 --delay 1 --endMP 204:233293 --enddatetime 2017-02-13T05:37:08 --enforcementcount 0 &gt;&gt;C:\Users\stu\Documents\GitHub\eaglep3-reporting\EC\2017-02-13-refined-times.txt</v>
      </c>
      <c r="AI23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{"issue":{"subject":"","project_id":79,"tracker_id":40,"status_id":1,"priority_id":2,"assigned_to_id":23,"start_date":"2017-02-13","description":"","custom_fields":[{"id":1,"name":"Subdivision","value":"EC"},{"id":4,"name":"Milepost","value":"23.3293"},{"id":17,"name":"Train ID","value":"111-13"},{"id":16,"name":"Locomotive ID","value":"4044"},{"id":130,"name":"Impact","value":""},{"id":150,"name":"Time of Event (Mountain Time)","value":"05:37:08"},{"id":151,"name":"Denver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4044 --day 2017-02-13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"%USERPROFILE%\AppData\Local\Temp\OnboardLogs"\RTDC4044\*4044*20170213* | grep -SE "(Enforcement Action)|(\[TIMEOUT)|(CHR.+\|PRM\|1\|D.+(SWITCH|SIGNAL).+UNKNOWN)" - &gt;&gt; 2017-02-13-UncaughtWiMAX.txt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580</v>
      </c>
      <c r="B24" s="7">
        <v>4043</v>
      </c>
      <c r="C24" s="21" t="s">
        <v>193</v>
      </c>
      <c r="D24" s="21" t="s">
        <v>302</v>
      </c>
      <c r="E24" s="13">
        <v>42779.235277777778</v>
      </c>
      <c r="F24" s="13">
        <v>42779.247673611113</v>
      </c>
      <c r="G24" s="7">
        <v>0</v>
      </c>
      <c r="H24" s="21" t="s">
        <v>454</v>
      </c>
      <c r="I24" s="13">
        <v>42779.273854166669</v>
      </c>
      <c r="J24" s="7">
        <v>0</v>
      </c>
      <c r="K24" s="98" t="str">
        <f t="shared" si="0"/>
        <v>4043/4044</v>
      </c>
      <c r="L24" s="21" t="str">
        <f>VLOOKUP(A24,'Trips&amp;Operators'!$C$1:$G$99999,5,FALSE)</f>
        <v>YORK EDGAR</v>
      </c>
      <c r="M24" s="6">
        <f t="shared" si="1"/>
        <v>2.6180555556493346E-2</v>
      </c>
      <c r="N24" s="7">
        <f t="shared" si="2"/>
        <v>37.700000001350418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7" t="str">
        <f t="shared" si="5"/>
        <v>https://d0f6bd738d7f1b3e5a7ca70fe4ff75f0.us-east-1.aws.found.io/app/kibana#/discover/Steve-Slow-Train-Analysis-(2080s-and-2083s)?_g=(refreshInterval:(display:Off,pause:!f,section:0,value:0),time:(from:'2017-02-13T04:38:48-0700',mode:absolute,to:'2017-02-13T07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" s="188" t="str">
        <f t="shared" si="6"/>
        <v>N</v>
      </c>
      <c r="X24" s="188">
        <f t="shared" si="7"/>
        <v>1</v>
      </c>
      <c r="Y24" s="62">
        <f t="shared" si="8"/>
        <v>23.297699999999999</v>
      </c>
      <c r="Z24" s="62">
        <f t="shared" si="9"/>
        <v>1.47E-2</v>
      </c>
      <c r="AA24" s="62">
        <f t="shared" si="10"/>
        <v>23.282999999999998</v>
      </c>
      <c r="AB24" s="59" t="e">
        <f>VLOOKUP(A24,Enforcements!$C$7:$K$14,8,0)</f>
        <v>#N/A</v>
      </c>
      <c r="AC24" s="55" t="e">
        <f>VLOOKUP(A24,Enforcements!$C$7:$E$14,3,0)</f>
        <v>#N/A</v>
      </c>
      <c r="AD24" s="56" t="str">
        <f t="shared" si="11"/>
        <v>0112-13</v>
      </c>
      <c r="AE24" s="85" t="str">
        <f t="shared" si="12"/>
        <v>aws s3 cp s3://rtdc.mdm.uploadarchive.raw/RTDC4043/ "%USERPROFILE%\AppData\Local\Temp\OnboardLogs"\RTDC4043\2017-02-13 --exclude "*" --recursive --include "*20170213*" &amp; "%USERPROFILE%\Documents\GitHub\mrs-test-scripts\Headless Mode &amp; Sideloading\WalkAndUnGZ.bat" "%USERPROFILE%\AppData\Local\Temp\OnboardLogs"\RTDC4043\2017-02-13 &amp; aws s3 cp s3://rtdc.mdm.uploadarchive.raw/RTDC4043/ "%USERPROFILE%\AppData\Local\Temp\OnboardLogs"\RTDC4043\2017-02-14 --exclude "*" --recursive --include "*20170214*" &amp; "%USERPROFILE%\Documents\GitHub\mrs-test-scripts\Headless Mode &amp; Sideloading\WalkAndUnGZ.bat" "%USERPROFILE%\AppData\Local\Temp\OnboardLogs"\RTDC4043\2017-02-14</v>
      </c>
      <c r="AF24" s="82" t="str">
        <f t="shared" si="13"/>
        <v>"C:\Program Files (x86)\AstroGrep\AstroGrep.exe" /spath="%USERPROFILE%\AppData\Local\Temp\OnboardLogs" /stypes="app*4043*20170213*"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6" t="str">
        <f t="shared" si="18"/>
        <v>"%USERPROFILE%\Documents\GitHub\eaglep3\Utilities\RefineRTDCRunTimes.py" --tripid 112-13 --locoid 4043 --swversion DE.1.0.8.0 --startMP 204:232977 --initTime 2017-02-13T05:38:48 --startdatetime 2017-02-13T05:56:39 --delay 0 --endMP 204:147 --enddatetime 2017-02-13T06:34:21 --enforcementcount 0 &gt;&gt;C:\Users\stu\Documents\GitHub\eaglep3-reporting\EC\2017-02-13-refined-times.txt</v>
      </c>
      <c r="AI24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{"issue":{"subject":"","project_id":79,"tracker_id":40,"status_id":1,"priority_id":2,"assigned_to_id":23,"start_date":"2017-02-13","description":"","custom_fields":[{"id":1,"name":"Subdivision","value":"EC"},{"id":4,"name":"Milepost","value":"0.0147"},{"id":17,"name":"Train ID","value":"112-13"},{"id":16,"name":"Locomotive ID","value":"4043"},{"id":130,"name":"Impact","value":""},{"id":150,"name":"Time of Event (Mountain Time)","value":"06:34:21"},{"id":151,"name":"Denver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4043 --day 2017-02-13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"%USERPROFILE%\AppData\Local\Temp\OnboardLogs"\RTDC4043\*4043*20170213* | grep -SE "(Enforcement Action)|(\[TIMEOUT)|(CHR.+\|PRM\|1\|D.+(SWITCH|SIGNAL).+UNKNOWN)" - &gt;&gt; 2017-02-13-UncaughtWiMAX.txt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572</v>
      </c>
      <c r="B25" s="7">
        <v>4020</v>
      </c>
      <c r="C25" s="21" t="s">
        <v>193</v>
      </c>
      <c r="D25" s="21" t="s">
        <v>270</v>
      </c>
      <c r="E25" s="13">
        <v>42779.213148148148</v>
      </c>
      <c r="F25" s="13">
        <v>42779.219050925924</v>
      </c>
      <c r="G25" s="7">
        <v>2</v>
      </c>
      <c r="H25" s="21" t="s">
        <v>348</v>
      </c>
      <c r="I25" s="13">
        <v>42779.245370370372</v>
      </c>
      <c r="J25" s="7">
        <v>0</v>
      </c>
      <c r="K25" s="98" t="str">
        <f t="shared" si="0"/>
        <v>4019/4020</v>
      </c>
      <c r="L25" s="21" t="str">
        <f>VLOOKUP(A25,'Trips&amp;Operators'!$C$1:$G$99999,5,FALSE)</f>
        <v>OUN ZACK</v>
      </c>
      <c r="M25" s="6">
        <f t="shared" si="1"/>
        <v>2.6319444448745344E-2</v>
      </c>
      <c r="N25" s="7">
        <f t="shared" si="2"/>
        <v>37.900000006193295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7" t="str">
        <f t="shared" si="5"/>
        <v>https://d0f6bd738d7f1b3e5a7ca70fe4ff75f0.us-east-1.aws.found.io/app/kibana#/discover/Steve-Slow-Train-Analysis-(2080s-and-2083s)?_g=(refreshInterval:(display:Off,pause:!f,section:0,value:0),time:(from:'2017-02-13T04:06:56-0700',mode:absolute,to:'2017-02-13T06:53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" s="188" t="str">
        <f t="shared" si="6"/>
        <v>N</v>
      </c>
      <c r="X25" s="188">
        <f t="shared" si="7"/>
        <v>1</v>
      </c>
      <c r="Y25" s="62">
        <f t="shared" si="8"/>
        <v>4.53E-2</v>
      </c>
      <c r="Z25" s="62">
        <f t="shared" si="9"/>
        <v>23.331199999999999</v>
      </c>
      <c r="AA25" s="62">
        <f t="shared" si="10"/>
        <v>23.285899999999998</v>
      </c>
      <c r="AB25" s="59" t="e">
        <f>VLOOKUP(A25,Enforcements!$C$7:$K$14,8,0)</f>
        <v>#N/A</v>
      </c>
      <c r="AC25" s="55" t="e">
        <f>VLOOKUP(A25,Enforcements!$C$7:$E$14,3,0)</f>
        <v>#N/A</v>
      </c>
      <c r="AD25" s="56" t="str">
        <f t="shared" si="11"/>
        <v>0113-13</v>
      </c>
      <c r="AE25" s="85" t="str">
        <f t="shared" si="12"/>
        <v>aws s3 cp s3://rtdc.mdm.uploadarchive.raw/RTDC4020/ "%USERPROFILE%\AppData\Local\Temp\OnboardLogs"\RTDC4020\2017-02-13 --exclude "*" --recursive --include "*20170213*" &amp; "%USERPROFILE%\Documents\GitHub\mrs-test-scripts\Headless Mode &amp; Sideloading\WalkAndUnGZ.bat" "%USERPROFILE%\AppData\Local\Temp\OnboardLogs"\RTDC4020\2017-02-13 &amp; aws s3 cp s3://rtdc.mdm.uploadarchive.raw/RTDC4020/ "%USERPROFILE%\AppData\Local\Temp\OnboardLogs"\RTDC4020\2017-02-14 --exclude "*" --recursive --include "*20170214*" &amp; "%USERPROFILE%\Documents\GitHub\mrs-test-scripts\Headless Mode &amp; Sideloading\WalkAndUnGZ.bat" "%USERPROFILE%\AppData\Local\Temp\OnboardLogs"\RTDC4020\2017-02-14</v>
      </c>
      <c r="AF25" s="82" t="str">
        <f t="shared" si="13"/>
        <v>"C:\Program Files (x86)\AstroGrep\AstroGrep.exe" /spath="%USERPROFILE%\AppData\Local\Temp\OnboardLogs" /stypes="app*4020*20170213*"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6" t="str">
        <f t="shared" si="18"/>
        <v>"%USERPROFILE%\Documents\GitHub\eaglep3\Utilities\RefineRTDCRunTimes.py" --tripid 113-13 --locoid 4020 --swversion DE.1.0.8.0 --startMP 204:453 --initTime 2017-02-13T05:06:56 --startdatetime 2017-02-13T05:15:26 --delay 2 --endMP 204:233312 --enddatetime 2017-02-13T05:53:20 --enforcementcount 0 &gt;&gt;C:\Users\stu\Documents\GitHub\eaglep3-reporting\EC\2017-02-13-refined-times.txt</v>
      </c>
      <c r="AI25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{"issue":{"subject":"","project_id":79,"tracker_id":40,"status_id":1,"priority_id":2,"assigned_to_id":23,"start_date":"2017-02-13","description":"","custom_fields":[{"id":1,"name":"Subdivision","value":"EC"},{"id":4,"name":"Milepost","value":"23.3312"},{"id":17,"name":"Train ID","value":"113-13"},{"id":16,"name":"Locomotive ID","value":"4020"},{"id":130,"name":"Impact","value":""},{"id":150,"name":"Time of Event (Mountain Time)","value":"05:53:20"},{"id":151,"name":"Denver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4020 --day 2017-02-13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"%USERPROFILE%\AppData\Local\Temp\OnboardLogs"\RTDC4020\*4020*20170213* | grep -SE "(Enforcement Action)|(\[TIMEOUT)|(CHR.+\|PRM\|1\|D.+(SWITCH|SIGNAL).+UNKNOWN)" - &gt;&gt; 2017-02-13-UncaughtWiMAX.txt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582</v>
      </c>
      <c r="B26" s="7">
        <v>4019</v>
      </c>
      <c r="C26" s="21" t="s">
        <v>193</v>
      </c>
      <c r="D26" s="21" t="s">
        <v>489</v>
      </c>
      <c r="E26" s="13">
        <v>42779.25341435185</v>
      </c>
      <c r="F26" s="13">
        <v>42779.257881944446</v>
      </c>
      <c r="G26" s="7">
        <v>1</v>
      </c>
      <c r="H26" s="21" t="s">
        <v>521</v>
      </c>
      <c r="I26" s="13">
        <v>42779.28497685185</v>
      </c>
      <c r="J26" s="7">
        <v>0</v>
      </c>
      <c r="K26" s="98" t="str">
        <f t="shared" si="0"/>
        <v>4019/4020</v>
      </c>
      <c r="L26" s="21" t="str">
        <f>VLOOKUP(A26,'Trips&amp;Operators'!$C$1:$G$99999,5,FALSE)</f>
        <v>OUN ZACK</v>
      </c>
      <c r="M26" s="6">
        <f t="shared" si="1"/>
        <v>2.7094907403807156E-2</v>
      </c>
      <c r="N26" s="7">
        <f t="shared" si="2"/>
        <v>39.016666661482304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7" t="str">
        <f t="shared" si="5"/>
        <v>https://d0f6bd738d7f1b3e5a7ca70fe4ff75f0.us-east-1.aws.found.io/app/kibana#/discover/Steve-Slow-Train-Analysis-(2080s-and-2083s)?_g=(refreshInterval:(display:Off,pause:!f,section:0,value:0),time:(from:'2017-02-13T05:04:55-0700',mode:absolute,to:'2017-02-13T07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6" s="188" t="str">
        <f t="shared" si="6"/>
        <v>N</v>
      </c>
      <c r="X26" s="188">
        <f t="shared" si="7"/>
        <v>1</v>
      </c>
      <c r="Y26" s="62">
        <f t="shared" si="8"/>
        <v>23.300699999999999</v>
      </c>
      <c r="Z26" s="62">
        <f t="shared" si="9"/>
        <v>1.34E-2</v>
      </c>
      <c r="AA26" s="62">
        <f t="shared" si="10"/>
        <v>23.287299999999998</v>
      </c>
      <c r="AB26" s="59" t="e">
        <f>VLOOKUP(A26,Enforcements!$C$7:$K$14,8,0)</f>
        <v>#N/A</v>
      </c>
      <c r="AC26" s="55" t="e">
        <f>VLOOKUP(A26,Enforcements!$C$7:$E$14,3,0)</f>
        <v>#N/A</v>
      </c>
      <c r="AD26" s="56" t="str">
        <f t="shared" si="11"/>
        <v>0114-13</v>
      </c>
      <c r="AE26" s="85" t="str">
        <f t="shared" si="12"/>
        <v>aws s3 cp s3://rtdc.mdm.uploadarchive.raw/RTDC4019/ "%USERPROFILE%\AppData\Local\Temp\OnboardLogs"\RTDC4019\2017-02-13 --exclude "*" --recursive --include "*20170213*" &amp; "%USERPROFILE%\Documents\GitHub\mrs-test-scripts\Headless Mode &amp; Sideloading\WalkAndUnGZ.bat" "%USERPROFILE%\AppData\Local\Temp\OnboardLogs"\RTDC4019\2017-02-13 &amp; 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</v>
      </c>
      <c r="AF26" s="82" t="str">
        <f t="shared" si="13"/>
        <v>"C:\Program Files (x86)\AstroGrep\AstroGrep.exe" /spath="%USERPROFILE%\AppData\Local\Temp\OnboardLogs" /stypes="app*4019*20170213*"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6" t="str">
        <f t="shared" si="18"/>
        <v>"%USERPROFILE%\Documents\GitHub\eaglep3\Utilities\RefineRTDCRunTimes.py" --tripid 114-13 --locoid 4019 --swversion DE.1.0.8.0 --startMP 204:233007 --initTime 2017-02-13T06:04:55 --startdatetime 2017-02-13T06:11:21 --delay 1 --endMP 204:134 --enddatetime 2017-02-13T06:50:22 --enforcementcount 0 &gt;&gt;C:\Users\stu\Documents\GitHub\eaglep3-reporting\EC\2017-02-13-refined-times.txt</v>
      </c>
      <c r="AI26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{"issue":{"subject":"","project_id":79,"tracker_id":40,"status_id":1,"priority_id":2,"assigned_to_id":23,"start_date":"2017-02-13","description":"","custom_fields":[{"id":1,"name":"Subdivision","value":"EC"},{"id":4,"name":"Milepost","value":"0.0134"},{"id":17,"name":"Train ID","value":"114-13"},{"id":16,"name":"Locomotive ID","value":"4019"},{"id":130,"name":"Impact","value":""},{"id":150,"name":"Time of Event (Mountain Time)","value":"06:50:22"},{"id":151,"name":"Denver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4019 --day 2017-02-13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"%USERPROFILE%\AppData\Local\Temp\OnboardLogs"\RTDC4019\*4019*20170213* | grep -SE "(Enforcement Action)|(\[TIMEOUT)|(CHR.+\|PRM\|1\|D.+(SWITCH|SIGNAL).+UNKNOWN)" - &gt;&gt; 2017-02-13-UncaughtWiMAX.txt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576</v>
      </c>
      <c r="B27" s="7">
        <v>4011</v>
      </c>
      <c r="C27" s="21" t="s">
        <v>193</v>
      </c>
      <c r="D27" s="21" t="s">
        <v>767</v>
      </c>
      <c r="E27" s="13">
        <v>42779.225891203707</v>
      </c>
      <c r="F27" s="13">
        <v>42779.22934027778</v>
      </c>
      <c r="G27" s="7">
        <v>1</v>
      </c>
      <c r="H27" s="21" t="s">
        <v>487</v>
      </c>
      <c r="I27" s="13">
        <v>42779.256620370368</v>
      </c>
      <c r="J27" s="7">
        <v>0</v>
      </c>
      <c r="K27" s="98" t="str">
        <f t="shared" si="0"/>
        <v>4011/4012</v>
      </c>
      <c r="L27" s="21" t="str">
        <f>VLOOKUP(A27,'Trips&amp;Operators'!$C$1:$G$99999,5,FALSE)</f>
        <v>ROBINSON KADDIBA</v>
      </c>
      <c r="M27" s="6">
        <f t="shared" si="1"/>
        <v>2.7280092588625848E-2</v>
      </c>
      <c r="N27" s="7">
        <f t="shared" si="2"/>
        <v>39.283333327621222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7" t="str">
        <f t="shared" si="5"/>
        <v>https://d0f6bd738d7f1b3e5a7ca70fe4ff75f0.us-east-1.aws.found.io/app/kibana#/discover/Steve-Slow-Train-Analysis-(2080s-and-2083s)?_g=(refreshInterval:(display:Off,pause:!f,section:0,value:0),time:(from:'2017-02-13T04:25:17-0700',mode:absolute,to:'2017-02-13T07:09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7" s="188" t="str">
        <f t="shared" si="6"/>
        <v>N</v>
      </c>
      <c r="X27" s="188">
        <f t="shared" si="7"/>
        <v>1</v>
      </c>
      <c r="Y27" s="62">
        <f t="shared" si="8"/>
        <v>7.2999999999999995E-2</v>
      </c>
      <c r="Z27" s="62">
        <f t="shared" si="9"/>
        <v>23.333600000000001</v>
      </c>
      <c r="AA27" s="62">
        <f t="shared" si="10"/>
        <v>23.2606</v>
      </c>
      <c r="AB27" s="59" t="e">
        <f>VLOOKUP(A27,Enforcements!$C$7:$K$14,8,0)</f>
        <v>#N/A</v>
      </c>
      <c r="AC27" s="55" t="e">
        <f>VLOOKUP(A27,Enforcements!$C$7:$E$14,3,0)</f>
        <v>#N/A</v>
      </c>
      <c r="AD27" s="56" t="str">
        <f t="shared" si="11"/>
        <v>0115-13</v>
      </c>
      <c r="AE27" s="85" t="str">
        <f t="shared" si="12"/>
        <v>aws s3 cp s3://rtdc.mdm.uploadarchive.raw/RTDC4011/ "%USERPROFILE%\AppData\Local\Temp\OnboardLogs"\RTDC4011\2017-02-13 --exclude "*" --recursive --include "*20170213*" &amp; "%USERPROFILE%\Documents\GitHub\mrs-test-scripts\Headless Mode &amp; Sideloading\WalkAndUnGZ.bat" "%USERPROFILE%\AppData\Local\Temp\OnboardLogs"\RTDC4011\2017-02-13 &amp; aws s3 cp s3://rtdc.mdm.uploadarchive.raw/RTDC4011/ "%USERPROFILE%\AppData\Local\Temp\OnboardLogs"\RTDC4011\2017-02-14 --exclude "*" --recursive --include "*20170214*" &amp; "%USERPROFILE%\Documents\GitHub\mrs-test-scripts\Headless Mode &amp; Sideloading\WalkAndUnGZ.bat" "%USERPROFILE%\AppData\Local\Temp\OnboardLogs"\RTDC4011\2017-02-14</v>
      </c>
      <c r="AF27" s="82" t="str">
        <f t="shared" si="13"/>
        <v>"C:\Program Files (x86)\AstroGrep\AstroGrep.exe" /spath="%USERPROFILE%\AppData\Local\Temp\OnboardLogs" /stypes="app*4011*20170213*"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6" t="str">
        <f t="shared" si="18"/>
        <v>"%USERPROFILE%\Documents\GitHub\eaglep3\Utilities\RefineRTDCRunTimes.py" --tripid 115-13 --locoid 4011 --swversion DE.1.0.8.0 --startMP 204:730 --initTime 2017-02-13T05:25:17 --startdatetime 2017-02-13T05:30:15 --delay 1 --endMP 204:233336 --enddatetime 2017-02-13T06:09:32 --enforcementcount 0 &gt;&gt;C:\Users\stu\Documents\GitHub\eaglep3-reporting\EC\2017-02-13-refined-times.txt</v>
      </c>
      <c r="AI27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{"issue":{"subject":"","project_id":79,"tracker_id":40,"status_id":1,"priority_id":2,"assigned_to_id":23,"start_date":"2017-02-13","description":"","custom_fields":[{"id":1,"name":"Subdivision","value":"EC"},{"id":4,"name":"Milepost","value":"23.3336"},{"id":17,"name":"Train ID","value":"115-13"},{"id":16,"name":"Locomotive ID","value":"4011"},{"id":130,"name":"Impact","value":""},{"id":150,"name":"Time of Event (Mountain Time)","value":"06:09:32"},{"id":151,"name":"Denver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4011 --day 2017-02-13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"%USERPROFILE%\AppData\Local\Temp\OnboardLogs"\RTDC4011\*4011*20170213* | grep -SE "(Enforcement Action)|(\[TIMEOUT)|(CHR.+\|PRM\|1\|D.+(SWITCH|SIGNAL).+UNKNOWN)" - &gt;&gt; 2017-02-13-UncaughtWiMAX.txt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585</v>
      </c>
      <c r="B28" s="7">
        <v>4012</v>
      </c>
      <c r="C28" s="21" t="s">
        <v>193</v>
      </c>
      <c r="D28" s="21" t="s">
        <v>768</v>
      </c>
      <c r="E28" s="13">
        <v>42779.261597222219</v>
      </c>
      <c r="F28" s="13">
        <v>42779.268229166664</v>
      </c>
      <c r="G28" s="7">
        <v>1</v>
      </c>
      <c r="H28" s="21" t="s">
        <v>454</v>
      </c>
      <c r="I28" s="13">
        <v>42779.294999999998</v>
      </c>
      <c r="J28" s="7">
        <v>0</v>
      </c>
      <c r="K28" s="98" t="str">
        <f t="shared" si="0"/>
        <v>4011/4012</v>
      </c>
      <c r="L28" s="21" t="str">
        <f>VLOOKUP(A28,'Trips&amp;Operators'!$C$1:$G$99999,5,FALSE)</f>
        <v>ROBINSON KADDIBA</v>
      </c>
      <c r="M28" s="6">
        <f t="shared" si="1"/>
        <v>2.6770833334012423E-2</v>
      </c>
      <c r="N28" s="7">
        <f t="shared" si="2"/>
        <v>38.550000000977889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7" t="str">
        <f t="shared" si="5"/>
        <v>https://d0f6bd738d7f1b3e5a7ca70fe4ff75f0.us-east-1.aws.found.io/app/kibana#/discover/Steve-Slow-Train-Analysis-(2080s-and-2083s)?_g=(refreshInterval:(display:Off,pause:!f,section:0,value:0),time:(from:'2017-02-13T05:16:42-0700',mode:absolute,to:'2017-02-13T08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8" s="188" t="str">
        <f t="shared" si="6"/>
        <v>N</v>
      </c>
      <c r="X28" s="188">
        <f t="shared" si="7"/>
        <v>1</v>
      </c>
      <c r="Y28" s="62">
        <f t="shared" si="8"/>
        <v>23.3032</v>
      </c>
      <c r="Z28" s="62">
        <f t="shared" si="9"/>
        <v>1.47E-2</v>
      </c>
      <c r="AA28" s="62">
        <f t="shared" si="10"/>
        <v>23.288499999999999</v>
      </c>
      <c r="AB28" s="59" t="e">
        <f>VLOOKUP(A28,Enforcements!$C$7:$K$14,8,0)</f>
        <v>#N/A</v>
      </c>
      <c r="AC28" s="55" t="e">
        <f>VLOOKUP(A28,Enforcements!$C$7:$E$14,3,0)</f>
        <v>#N/A</v>
      </c>
      <c r="AD28" s="56" t="str">
        <f t="shared" si="11"/>
        <v>0116-13</v>
      </c>
      <c r="AE28" s="85" t="str">
        <f t="shared" si="12"/>
        <v>aws s3 cp s3://rtdc.mdm.uploadarchive.raw/RTDC4012/ "%USERPROFILE%\AppData\Local\Temp\OnboardLogs"\RTDC4012\2017-02-13 --exclude "*" --recursive --include "*20170213*" &amp; "%USERPROFILE%\Documents\GitHub\mrs-test-scripts\Headless Mode &amp; Sideloading\WalkAndUnGZ.bat" "%USERPROFILE%\AppData\Local\Temp\OnboardLogs"\RTDC4012\2017-02-13 &amp; 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</v>
      </c>
      <c r="AF28" s="82" t="str">
        <f t="shared" si="13"/>
        <v>"C:\Program Files (x86)\AstroGrep\AstroGrep.exe" /spath="%USERPROFILE%\AppData\Local\Temp\OnboardLogs" /stypes="app*4012*20170213*"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6" t="str">
        <f t="shared" si="18"/>
        <v>"%USERPROFILE%\Documents\GitHub\eaglep3\Utilities\RefineRTDCRunTimes.py" --tripid 116-13 --locoid 4012 --swversion DE.1.0.8.0 --startMP 204:233032 --initTime 2017-02-13T06:16:42 --startdatetime 2017-02-13T06:26:15 --delay 1 --endMP 204:147 --enddatetime 2017-02-13T07:04:48 --enforcementcount 0 &gt;&gt;C:\Users\stu\Documents\GitHub\eaglep3-reporting\EC\2017-02-13-refined-times.txt</v>
      </c>
      <c r="AI28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{"issue":{"subject":"","project_id":79,"tracker_id":40,"status_id":1,"priority_id":2,"assigned_to_id":23,"start_date":"2017-02-13","description":"","custom_fields":[{"id":1,"name":"Subdivision","value":"EC"},{"id":4,"name":"Milepost","value":"0.0147"},{"id":17,"name":"Train ID","value":"116-13"},{"id":16,"name":"Locomotive ID","value":"4012"},{"id":130,"name":"Impact","value":""},{"id":150,"name":"Time of Event (Mountain Time)","value":"07:04:48"},{"id":151,"name":"Denver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4012 --day 2017-02-13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"%USERPROFILE%\AppData\Local\Temp\OnboardLogs"\RTDC4012\*4012*20170213* | grep -SE "(Enforcement Action)|(\[TIMEOUT)|(CHR.+\|PRM\|1\|D.+(SWITCH|SIGNAL).+UNKNOWN)" - &gt;&gt; 2017-02-13-UncaughtWiMAX.txt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579</v>
      </c>
      <c r="B29" s="7">
        <v>4040</v>
      </c>
      <c r="C29" s="21" t="s">
        <v>193</v>
      </c>
      <c r="D29" s="21" t="s">
        <v>769</v>
      </c>
      <c r="E29" s="13">
        <v>42779.229189814818</v>
      </c>
      <c r="F29" s="13">
        <v>42779.239768518521</v>
      </c>
      <c r="G29" s="7">
        <v>1</v>
      </c>
      <c r="H29" s="21" t="s">
        <v>770</v>
      </c>
      <c r="I29" s="13">
        <v>42779.264560185184</v>
      </c>
      <c r="J29" s="7">
        <v>0</v>
      </c>
      <c r="K29" s="98" t="str">
        <f t="shared" si="0"/>
        <v>4039/4040</v>
      </c>
      <c r="L29" s="21" t="str">
        <f>VLOOKUP(A29,'Trips&amp;Operators'!$C$1:$G$99999,5,FALSE)</f>
        <v>MOSES BRADLEY</v>
      </c>
      <c r="M29" s="6">
        <f t="shared" si="1"/>
        <v>2.4791666663077194E-2</v>
      </c>
      <c r="N29" s="7">
        <f t="shared" si="2"/>
        <v>35.69999999483116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7" t="str">
        <f t="shared" si="5"/>
        <v>https://d0f6bd738d7f1b3e5a7ca70fe4ff75f0.us-east-1.aws.found.io/app/kibana#/discover/Steve-Slow-Train-Analysis-(2080s-and-2083s)?_g=(refreshInterval:(display:Off,pause:!f,section:0,value:0),time:(from:'2017-02-13T04:30:02-0700',mode:absolute,to:'2017-02-13T07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9" s="188" t="str">
        <f t="shared" si="6"/>
        <v>N</v>
      </c>
      <c r="X29" s="188">
        <f t="shared" si="7"/>
        <v>1</v>
      </c>
      <c r="Y29" s="62">
        <f t="shared" si="8"/>
        <v>4.4200000000000003E-2</v>
      </c>
      <c r="Z29" s="62">
        <f t="shared" si="9"/>
        <v>23.3324</v>
      </c>
      <c r="AA29" s="62">
        <f t="shared" si="10"/>
        <v>23.2882</v>
      </c>
      <c r="AB29" s="59" t="e">
        <f>VLOOKUP(A29,Enforcements!$C$7:$K$14,8,0)</f>
        <v>#N/A</v>
      </c>
      <c r="AC29" s="55" t="e">
        <f>VLOOKUP(A29,Enforcements!$C$7:$E$14,3,0)</f>
        <v>#N/A</v>
      </c>
      <c r="AD29" s="56" t="str">
        <f t="shared" si="11"/>
        <v>0117-13</v>
      </c>
      <c r="AE29" s="85" t="str">
        <f t="shared" si="12"/>
        <v>aws s3 cp s3://rtdc.mdm.uploadarchive.raw/RTDC4040/ "%USERPROFILE%\AppData\Local\Temp\OnboardLogs"\RTDC4040\2017-02-13 --exclude "*" --recursive --include "*20170213*" &amp; "%USERPROFILE%\Documents\GitHub\mrs-test-scripts\Headless Mode &amp; Sideloading\WalkAndUnGZ.bat" "%USERPROFILE%\AppData\Local\Temp\OnboardLogs"\RTDC4040\2017-02-13 &amp; aws s3 cp s3://rtdc.mdm.uploadarchive.raw/RTDC4040/ "%USERPROFILE%\AppData\Local\Temp\OnboardLogs"\RTDC4040\2017-02-14 --exclude "*" --recursive --include "*20170214*" &amp; "%USERPROFILE%\Documents\GitHub\mrs-test-scripts\Headless Mode &amp; Sideloading\WalkAndUnGZ.bat" "%USERPROFILE%\AppData\Local\Temp\OnboardLogs"\RTDC4040\2017-02-14</v>
      </c>
      <c r="AF29" s="82" t="str">
        <f t="shared" si="13"/>
        <v>"C:\Program Files (x86)\AstroGrep\AstroGrep.exe" /spath="%USERPROFILE%\AppData\Local\Temp\OnboardLogs" /stypes="app*4040*20170213*"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6" t="str">
        <f t="shared" si="18"/>
        <v>"%USERPROFILE%\Documents\GitHub\eaglep3\Utilities\RefineRTDCRunTimes.py" --tripid 117-13 --locoid 4040 --swversion DE.1.0.8.0 --startMP 204:442 --initTime 2017-02-13T05:30:02 --startdatetime 2017-02-13T05:45:16 --delay 1 --endMP 204:233324 --enddatetime 2017-02-13T06:20:58 --enforcementcount 0 &gt;&gt;C:\Users\stu\Documents\GitHub\eaglep3-reporting\EC\2017-02-13-refined-times.txt</v>
      </c>
      <c r="AI29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{"issue":{"subject":"","project_id":79,"tracker_id":40,"status_id":1,"priority_id":2,"assigned_to_id":23,"start_date":"2017-02-13","description":"","custom_fields":[{"id":1,"name":"Subdivision","value":"EC"},{"id":4,"name":"Milepost","value":"23.3324"},{"id":17,"name":"Train ID","value":"117-13"},{"id":16,"name":"Locomotive ID","value":"4040"},{"id":130,"name":"Impact","value":""},{"id":150,"name":"Time of Event (Mountain Time)","value":"06:20:58"},{"id":151,"name":"Denver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4040 --day 2017-02-13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"%USERPROFILE%\AppData\Local\Temp\OnboardLogs"\RTDC4040\*4040*20170213* | grep -SE "(Enforcement Action)|(\[TIMEOUT)|(CHR.+\|PRM\|1\|D.+(SWITCH|SIGNAL).+UNKNOWN)" - &gt;&gt; 2017-02-13-UncaughtWiMAX.txt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529</v>
      </c>
      <c r="B30" s="7">
        <v>4039</v>
      </c>
      <c r="C30" s="21" t="s">
        <v>193</v>
      </c>
      <c r="D30" s="21" t="s">
        <v>453</v>
      </c>
      <c r="E30" s="13">
        <v>42779.275335648148</v>
      </c>
      <c r="F30" s="13">
        <v>42779.278749999998</v>
      </c>
      <c r="G30" s="7">
        <v>2</v>
      </c>
      <c r="H30" s="21" t="s">
        <v>232</v>
      </c>
      <c r="I30" s="13">
        <v>42779.305474537039</v>
      </c>
      <c r="J30" s="7">
        <v>0</v>
      </c>
      <c r="K30" s="98" t="str">
        <f t="shared" si="0"/>
        <v>4039/4040</v>
      </c>
      <c r="L30" s="21" t="str">
        <f>VLOOKUP(A30,'Trips&amp;Operators'!$C$1:$G$99999,5,FALSE)</f>
        <v>MOSES BRADLEY</v>
      </c>
      <c r="M30" s="6">
        <f t="shared" si="1"/>
        <v>2.6724537041445728E-2</v>
      </c>
      <c r="N30" s="7">
        <f t="shared" si="2"/>
        <v>38.483333339681849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7" t="str">
        <f t="shared" si="5"/>
        <v>https://d0f6bd738d7f1b3e5a7ca70fe4ff75f0.us-east-1.aws.found.io/app/kibana#/discover/Steve-Slow-Train-Analysis-(2080s-and-2083s)?_g=(refreshInterval:(display:Off,pause:!f,section:0,value:0),time:(from:'2017-02-13T05:36:29-0700',mode:absolute,to:'2017-02-13T08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0" s="188" t="str">
        <f t="shared" si="6"/>
        <v>N</v>
      </c>
      <c r="X30" s="188">
        <f t="shared" si="7"/>
        <v>1</v>
      </c>
      <c r="Y30" s="62">
        <f t="shared" si="8"/>
        <v>23.299199999999999</v>
      </c>
      <c r="Z30" s="62">
        <f t="shared" si="9"/>
        <v>1.43E-2</v>
      </c>
      <c r="AA30" s="62">
        <f t="shared" si="10"/>
        <v>23.2849</v>
      </c>
      <c r="AB30" s="59" t="e">
        <f>VLOOKUP(A30,Enforcements!$C$7:$K$14,8,0)</f>
        <v>#N/A</v>
      </c>
      <c r="AC30" s="55" t="e">
        <f>VLOOKUP(A30,Enforcements!$C$7:$E$14,3,0)</f>
        <v>#N/A</v>
      </c>
      <c r="AD30" s="56" t="str">
        <f t="shared" si="11"/>
        <v>0118-13</v>
      </c>
      <c r="AE30" s="85" t="str">
        <f t="shared" si="12"/>
        <v>aws s3 cp s3://rtdc.mdm.uploadarchive.raw/RTDC4039/ "%USERPROFILE%\AppData\Local\Temp\OnboardLogs"\RTDC4039\2017-02-13 --exclude "*" --recursive --include "*20170213*" &amp; "%USERPROFILE%\Documents\GitHub\mrs-test-scripts\Headless Mode &amp; Sideloading\WalkAndUnGZ.bat" "%USERPROFILE%\AppData\Local\Temp\OnboardLogs"\RTDC4039\2017-02-13 &amp; aws s3 cp s3://rtdc.mdm.uploadarchive.raw/RTDC4039/ "%USERPROFILE%\AppData\Local\Temp\OnboardLogs"\RTDC4039\2017-02-14 --exclude "*" --recursive --include "*20170214*" &amp; "%USERPROFILE%\Documents\GitHub\mrs-test-scripts\Headless Mode &amp; Sideloading\WalkAndUnGZ.bat" "%USERPROFILE%\AppData\Local\Temp\OnboardLogs"\RTDC4039\2017-02-14</v>
      </c>
      <c r="AF30" s="82" t="str">
        <f t="shared" si="13"/>
        <v>"C:\Program Files (x86)\AstroGrep\AstroGrep.exe" /spath="%USERPROFILE%\AppData\Local\Temp\OnboardLogs" /stypes="app*4039*20170213*"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6" t="str">
        <f t="shared" si="18"/>
        <v>"%USERPROFILE%\Documents\GitHub\eaglep3\Utilities\RefineRTDCRunTimes.py" --tripid 118-13 --locoid 4039 --swversion DE.1.0.8.0 --startMP 204:232992 --initTime 2017-02-13T06:36:29 --startdatetime 2017-02-13T06:41:24 --delay 2 --endMP 204:143 --enddatetime 2017-02-13T07:19:53 --enforcementcount 0 &gt;&gt;C:\Users\stu\Documents\GitHub\eaglep3-reporting\EC\2017-02-13-refined-times.txt</v>
      </c>
      <c r="AI30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{"issue":{"subject":"","project_id":79,"tracker_id":40,"status_id":1,"priority_id":2,"assigned_to_id":23,"start_date":"2017-02-13","description":"","custom_fields":[{"id":1,"name":"Subdivision","value":"EC"},{"id":4,"name":"Milepost","value":"0.0143"},{"id":17,"name":"Train ID","value":"118-13"},{"id":16,"name":"Locomotive ID","value":"4039"},{"id":130,"name":"Impact","value":""},{"id":150,"name":"Time of Event (Mountain Time)","value":"07:19:53"},{"id":151,"name":"Denver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4039 --day 2017-02-13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"%USERPROFILE%\AppData\Local\Temp\OnboardLogs"\RTDC4039\*4039*20170213* | grep -SE "(Enforcement Action)|(\[TIMEOUT)|(CHR.+\|PRM\|1\|D.+(SWITCH|SIGNAL).+UNKNOWN)" - &gt;&gt; 2017-02-13-UncaughtWiMAX.txt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581</v>
      </c>
      <c r="B31" s="7">
        <v>4025</v>
      </c>
      <c r="C31" s="21" t="s">
        <v>193</v>
      </c>
      <c r="D31" s="21" t="s">
        <v>771</v>
      </c>
      <c r="E31" s="13">
        <v>42779.246724537035</v>
      </c>
      <c r="F31" s="13">
        <v>42779.250162037039</v>
      </c>
      <c r="G31" s="7">
        <v>1</v>
      </c>
      <c r="H31" s="21" t="s">
        <v>348</v>
      </c>
      <c r="I31" s="13">
        <v>42779.276284722226</v>
      </c>
      <c r="J31" s="7">
        <v>0</v>
      </c>
      <c r="K31" s="98" t="str">
        <f t="shared" si="0"/>
        <v>4025/4026</v>
      </c>
      <c r="L31" s="21" t="str">
        <f>VLOOKUP(A31,'Trips&amp;Operators'!$C$1:$G$99999,5,FALSE)</f>
        <v>STARKS ANGELINA</v>
      </c>
      <c r="M31" s="6">
        <f t="shared" si="1"/>
        <v>2.6122685187146999E-2</v>
      </c>
      <c r="N31" s="7">
        <f t="shared" si="2"/>
        <v>37.616666669491678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7" t="str">
        <f t="shared" si="5"/>
        <v>https://d0f6bd738d7f1b3e5a7ca70fe4ff75f0.us-east-1.aws.found.io/app/kibana#/discover/Steve-Slow-Train-Analysis-(2080s-and-2083s)?_g=(refreshInterval:(display:Off,pause:!f,section:0,value:0),time:(from:'2017-02-13T04:55:17-0700',mode:absolute,to:'2017-02-13T07:37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1" s="188" t="str">
        <f t="shared" si="6"/>
        <v>N</v>
      </c>
      <c r="X31" s="188">
        <f t="shared" si="7"/>
        <v>1</v>
      </c>
      <c r="Y31" s="62">
        <f t="shared" si="8"/>
        <v>7.3200000000000001E-2</v>
      </c>
      <c r="Z31" s="62">
        <f t="shared" si="9"/>
        <v>23.331199999999999</v>
      </c>
      <c r="AA31" s="62">
        <f t="shared" si="10"/>
        <v>23.257999999999999</v>
      </c>
      <c r="AB31" s="59" t="e">
        <f>VLOOKUP(A31,Enforcements!$C$7:$K$14,8,0)</f>
        <v>#N/A</v>
      </c>
      <c r="AC31" s="55" t="e">
        <f>VLOOKUP(A31,Enforcements!$C$7:$E$14,3,0)</f>
        <v>#N/A</v>
      </c>
      <c r="AD31" s="56" t="str">
        <f t="shared" si="11"/>
        <v>0119-13</v>
      </c>
      <c r="AE31" s="85" t="str">
        <f t="shared" si="12"/>
        <v>aws s3 cp s3://rtdc.mdm.uploadarchive.raw/RTDC4025/ "%USERPROFILE%\AppData\Local\Temp\OnboardLogs"\RTDC4025\2017-02-13 --exclude "*" --recursive --include "*20170213*" &amp; "%USERPROFILE%\Documents\GitHub\mrs-test-scripts\Headless Mode &amp; Sideloading\WalkAndUnGZ.bat" "%USERPROFILE%\AppData\Local\Temp\OnboardLogs"\RTDC4025\2017-02-13 &amp; aws s3 cp s3://rtdc.mdm.uploadarchive.raw/RTDC4025/ "%USERPROFILE%\AppData\Local\Temp\OnboardLogs"\RTDC4025\2017-02-14 --exclude "*" --recursive --include "*20170214*" &amp; "%USERPROFILE%\Documents\GitHub\mrs-test-scripts\Headless Mode &amp; Sideloading\WalkAndUnGZ.bat" "%USERPROFILE%\AppData\Local\Temp\OnboardLogs"\RTDC4025\2017-02-14</v>
      </c>
      <c r="AF31" s="82" t="str">
        <f t="shared" si="13"/>
        <v>"C:\Program Files (x86)\AstroGrep\AstroGrep.exe" /spath="%USERPROFILE%\AppData\Local\Temp\OnboardLogs" /stypes="app*4025*20170213*"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6" t="str">
        <f t="shared" si="18"/>
        <v>"%USERPROFILE%\Documents\GitHub\eaglep3\Utilities\RefineRTDCRunTimes.py" --tripid 119-13 --locoid 4025 --swversion DE.1.0.8.0 --startMP 204:732 --initTime 2017-02-13T05:55:17 --startdatetime 2017-02-13T06:00:14 --delay 1 --endMP 204:233312 --enddatetime 2017-02-13T06:37:51 --enforcementcount 0 &gt;&gt;C:\Users\stu\Documents\GitHub\eaglep3-reporting\EC\2017-02-13-refined-times.txt</v>
      </c>
      <c r="AI31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{"issue":{"subject":"","project_id":79,"tracker_id":40,"status_id":1,"priority_id":2,"assigned_to_id":23,"start_date":"2017-02-13","description":"","custom_fields":[{"id":1,"name":"Subdivision","value":"EC"},{"id":4,"name":"Milepost","value":"23.3312"},{"id":17,"name":"Train ID","value":"119-13"},{"id":16,"name":"Locomotive ID","value":"4025"},{"id":130,"name":"Impact","value":""},{"id":150,"name":"Time of Event (Mountain Time)","value":"06:37:51"},{"id":151,"name":"Denver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4025 --day 2017-02-13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"%USERPROFILE%\AppData\Local\Temp\OnboardLogs"\RTDC4025\*4025*20170213* | grep -SE "(Enforcement Action)|(\[TIMEOUT)|(CHR.+\|PRM\|1\|D.+(SWITCH|SIGNAL).+UNKNOWN)" - &gt;&gt; 2017-02-13-UncaughtWiMAX.txt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530</v>
      </c>
      <c r="B32" s="7">
        <v>4026</v>
      </c>
      <c r="C32" s="21" t="s">
        <v>193</v>
      </c>
      <c r="D32" s="21" t="s">
        <v>299</v>
      </c>
      <c r="E32" s="13">
        <v>42779.278298611112</v>
      </c>
      <c r="F32" s="13">
        <v>42779.289363425924</v>
      </c>
      <c r="G32" s="7">
        <v>1</v>
      </c>
      <c r="H32" s="21" t="s">
        <v>198</v>
      </c>
      <c r="I32" s="13">
        <v>42779.316921296297</v>
      </c>
      <c r="J32" s="7">
        <v>0</v>
      </c>
      <c r="K32" s="98" t="str">
        <f t="shared" si="0"/>
        <v>4025/4026</v>
      </c>
      <c r="L32" s="21" t="str">
        <f>VLOOKUP(A32,'Trips&amp;Operators'!$C$1:$G$99999,5,FALSE)</f>
        <v>STARKS ANGELINA</v>
      </c>
      <c r="M32" s="6">
        <f t="shared" si="1"/>
        <v>2.7557870373129845E-2</v>
      </c>
      <c r="N32" s="7">
        <f t="shared" si="2"/>
        <v>39.683333337306976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7" t="str">
        <f t="shared" si="5"/>
        <v>https://d0f6bd738d7f1b3e5a7ca70fe4ff75f0.us-east-1.aws.found.io/app/kibana#/discover/Steve-Slow-Train-Analysis-(2080s-and-2083s)?_g=(refreshInterval:(display:Off,pause:!f,section:0,value:0),time:(from:'2017-02-13T05:40:45-0700',mode:absolute,to:'2017-02-13T08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2" s="188" t="str">
        <f t="shared" si="6"/>
        <v>N</v>
      </c>
      <c r="X32" s="188">
        <f t="shared" si="7"/>
        <v>1</v>
      </c>
      <c r="Y32" s="62">
        <f t="shared" si="8"/>
        <v>23.299299999999999</v>
      </c>
      <c r="Z32" s="62">
        <f t="shared" si="9"/>
        <v>1.4500000000000001E-2</v>
      </c>
      <c r="AA32" s="62">
        <f t="shared" si="10"/>
        <v>23.284799999999997</v>
      </c>
      <c r="AB32" s="59" t="str">
        <f>VLOOKUP(A32,Enforcements!$C$7:$K$14,8,0)</f>
        <v>Bulletin (2)</v>
      </c>
      <c r="AC32" s="55" t="str">
        <f>VLOOKUP(A32,Enforcements!$C$7:$E$14,3,0)</f>
        <v>GRADE CROSSING</v>
      </c>
      <c r="AD32" s="56" t="str">
        <f t="shared" si="11"/>
        <v>0120-13</v>
      </c>
      <c r="AE32" s="85" t="str">
        <f t="shared" si="12"/>
        <v>aws s3 cp s3://rtdc.mdm.uploadarchive.raw/RTDC4026/ "%USERPROFILE%\AppData\Local\Temp\OnboardLogs"\RTDC4026\2017-02-13 --exclude "*" --recursive --include "*20170213*" &amp; "%USERPROFILE%\Documents\GitHub\mrs-test-scripts\Headless Mode &amp; Sideloading\WalkAndUnGZ.bat" "%USERPROFILE%\AppData\Local\Temp\OnboardLogs"\RTDC4026\2017-02-13 &amp; aws s3 cp s3://rtdc.mdm.uploadarchive.raw/RTDC4026/ "%USERPROFILE%\AppData\Local\Temp\OnboardLogs"\RTDC4026\2017-02-14 --exclude "*" --recursive --include "*20170214*" &amp; "%USERPROFILE%\Documents\GitHub\mrs-test-scripts\Headless Mode &amp; Sideloading\WalkAndUnGZ.bat" "%USERPROFILE%\AppData\Local\Temp\OnboardLogs"\RTDC4026\2017-02-14</v>
      </c>
      <c r="AF32" s="82" t="str">
        <f t="shared" si="13"/>
        <v>"C:\Program Files (x86)\AstroGrep\AstroGrep.exe" /spath="%USERPROFILE%\AppData\Local\Temp\OnboardLogs" /stypes="app*4026*20170213*"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6" t="str">
        <f t="shared" si="18"/>
        <v>"%USERPROFILE%\Documents\GitHub\eaglep3\Utilities\RefineRTDCRunTimes.py" --tripid 120-13 --locoid 4026 --swversion DE.1.0.8.0 --startMP 204:232993 --initTime 2017-02-13T06:40:45 --startdatetime 2017-02-13T06:56:41 --delay 1 --endMP 204:145 --enddatetime 2017-02-13T07:36:22 --enforcementcount 0 &gt;&gt;C:\Users\stu\Documents\GitHub\eaglep3-reporting\EC\2017-02-13-refined-times.txt</v>
      </c>
      <c r="AI32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{"issue":{"subject":"","project_id":79,"tracker_id":40,"status_id":1,"priority_id":2,"assigned_to_id":23,"start_date":"2017-02-13","description":"","custom_fields":[{"id":1,"name":"Subdivision","value":"EC"},{"id":4,"name":"Milepost","value":"0.0145"},{"id":17,"name":"Train ID","value":"120-13"},{"id":16,"name":"Locomotive ID","value":"4026"},{"id":130,"name":"Impact","value":""},{"id":150,"name":"Time of Event (Mountain Time)","value":"07:36:22"},{"id":151,"name":"Denver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4026 --day 2017-02-13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"%USERPROFILE%\AppData\Local\Temp\OnboardLogs"\RTDC4026\*4026*20170213* | grep -SE "(Enforcement Action)|(\[TIMEOUT)|(CHR.+\|PRM\|1\|D.+(SWITCH|SIGNAL).+UNKNOWN)" - &gt;&gt; 2017-02-13-UncaughtWiMAX.txt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584</v>
      </c>
      <c r="B33" s="7">
        <v>4027</v>
      </c>
      <c r="C33" s="21" t="s">
        <v>193</v>
      </c>
      <c r="D33" s="21" t="s">
        <v>270</v>
      </c>
      <c r="E33" s="13">
        <v>42779.256226851852</v>
      </c>
      <c r="F33" s="13">
        <v>42779.260601851849</v>
      </c>
      <c r="G33" s="7">
        <v>1</v>
      </c>
      <c r="H33" s="21" t="s">
        <v>300</v>
      </c>
      <c r="I33" s="13">
        <v>42779.286539351851</v>
      </c>
      <c r="J33" s="7">
        <v>0</v>
      </c>
      <c r="K33" s="98" t="str">
        <f t="shared" si="0"/>
        <v>4027/4028</v>
      </c>
      <c r="L33" s="21" t="str">
        <f>VLOOKUP(A33,'Trips&amp;Operators'!$C$1:$G$99999,5,FALSE)</f>
        <v>BONDS REYNALDO</v>
      </c>
      <c r="M33" s="6">
        <f t="shared" si="1"/>
        <v>2.5937500002328306E-2</v>
      </c>
      <c r="N33" s="7">
        <f t="shared" si="2"/>
        <v>37.350000003352761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7" t="str">
        <f t="shared" si="5"/>
        <v>https://d0f6bd738d7f1b3e5a7ca70fe4ff75f0.us-east-1.aws.found.io/app/kibana#/discover/Steve-Slow-Train-Analysis-(2080s-and-2083s)?_g=(refreshInterval:(display:Off,pause:!f,section:0,value:0),time:(from:'2017-02-13T05:08:58-0700',mode:absolute,to:'2017-02-13T07:52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3" s="188" t="str">
        <f t="shared" si="6"/>
        <v>N</v>
      </c>
      <c r="X33" s="188">
        <f t="shared" si="7"/>
        <v>1</v>
      </c>
      <c r="Y33" s="62">
        <f t="shared" si="8"/>
        <v>4.53E-2</v>
      </c>
      <c r="Z33" s="62">
        <f t="shared" si="9"/>
        <v>23.3291</v>
      </c>
      <c r="AA33" s="62">
        <f t="shared" si="10"/>
        <v>23.283799999999999</v>
      </c>
      <c r="AB33" s="59" t="e">
        <f>VLOOKUP(A33,Enforcements!$C$7:$K$14,8,0)</f>
        <v>#N/A</v>
      </c>
      <c r="AC33" s="55" t="e">
        <f>VLOOKUP(A33,Enforcements!$C$7:$E$14,3,0)</f>
        <v>#N/A</v>
      </c>
      <c r="AD33" s="56" t="str">
        <f t="shared" si="11"/>
        <v>0121-13</v>
      </c>
      <c r="AE33" s="85" t="str">
        <f t="shared" si="12"/>
        <v>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 &amp; 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</v>
      </c>
      <c r="AF33" s="82" t="str">
        <f t="shared" si="13"/>
        <v>"C:\Program Files (x86)\AstroGrep\AstroGrep.exe" /spath="%USERPROFILE%\AppData\Local\Temp\OnboardLogs" /stypes="app*4027*20170213*"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6" t="str">
        <f t="shared" si="18"/>
        <v>"%USERPROFILE%\Documents\GitHub\eaglep3\Utilities\RefineRTDCRunTimes.py" --tripid 121-13 --locoid 4027 --swversion DE.1.0.8.0 --startMP 204:453 --initTime 2017-02-13T06:08:58 --startdatetime 2017-02-13T06:15:16 --delay 1 --endMP 204:233291 --enddatetime 2017-02-13T06:52:37 --enforcementcount 0 &gt;&gt;C:\Users\stu\Documents\GitHub\eaglep3-reporting\EC\2017-02-13-refined-times.txt</v>
      </c>
      <c r="AI33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{"issue":{"subject":"","project_id":79,"tracker_id":40,"status_id":1,"priority_id":2,"assigned_to_id":23,"start_date":"2017-02-13","description":"","custom_fields":[{"id":1,"name":"Subdivision","value":"EC"},{"id":4,"name":"Milepost","value":"23.3291"},{"id":17,"name":"Train ID","value":"121-13"},{"id":16,"name":"Locomotive ID","value":"4027"},{"id":130,"name":"Impact","value":""},{"id":150,"name":"Time of Event (Mountain Time)","value":"06:52:37"},{"id":151,"name":"Denver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4027 --day 2017-02-13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"%USERPROFILE%\AppData\Local\Temp\OnboardLogs"\RTDC4027\*4027*20170213* | grep -SE "(Enforcement Action)|(\[TIMEOUT)|(CHR.+\|PRM\|1\|D.+(SWITCH|SIGNAL).+UNKNOWN)" - &gt;&gt; 2017-02-13-UncaughtWiMAX.txt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532</v>
      </c>
      <c r="B34" s="7">
        <v>4028</v>
      </c>
      <c r="C34" s="21" t="s">
        <v>193</v>
      </c>
      <c r="D34" s="21" t="s">
        <v>302</v>
      </c>
      <c r="E34" s="13">
        <v>42779.296932870369</v>
      </c>
      <c r="F34" s="13">
        <v>42779.29960648148</v>
      </c>
      <c r="G34" s="7">
        <v>1</v>
      </c>
      <c r="H34" s="21" t="s">
        <v>210</v>
      </c>
      <c r="I34" s="13">
        <v>42779.327314814815</v>
      </c>
      <c r="J34" s="7">
        <v>0</v>
      </c>
      <c r="K34" s="98" t="str">
        <f t="shared" si="0"/>
        <v>4027/4028</v>
      </c>
      <c r="L34" s="21" t="str">
        <f>VLOOKUP(A34,'Trips&amp;Operators'!$C$1:$G$99999,5,FALSE)</f>
        <v>BONDS REYNALDO</v>
      </c>
      <c r="M34" s="6">
        <f t="shared" si="1"/>
        <v>2.7708333334885538E-2</v>
      </c>
      <c r="N34" s="7">
        <f t="shared" si="2"/>
        <v>39.900000002235174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7" t="str">
        <f t="shared" si="5"/>
        <v>https://d0f6bd738d7f1b3e5a7ca70fe4ff75f0.us-east-1.aws.found.io/app/kibana#/discover/Steve-Slow-Train-Analysis-(2080s-and-2083s)?_g=(refreshInterval:(display:Off,pause:!f,section:0,value:0),time:(from:'2017-02-13T06:07:35-0700',mode:absolute,to:'2017-02-13T08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4" s="188" t="str">
        <f t="shared" si="6"/>
        <v>N</v>
      </c>
      <c r="X34" s="188">
        <f t="shared" si="7"/>
        <v>1</v>
      </c>
      <c r="Y34" s="62">
        <f t="shared" si="8"/>
        <v>23.297699999999999</v>
      </c>
      <c r="Z34" s="62">
        <f t="shared" si="9"/>
        <v>1.5800000000000002E-2</v>
      </c>
      <c r="AA34" s="62">
        <f t="shared" si="10"/>
        <v>23.2819</v>
      </c>
      <c r="AB34" s="59" t="e">
        <f>VLOOKUP(A34,Enforcements!$C$7:$K$14,8,0)</f>
        <v>#N/A</v>
      </c>
      <c r="AC34" s="55" t="e">
        <f>VLOOKUP(A34,Enforcements!$C$7:$E$14,3,0)</f>
        <v>#N/A</v>
      </c>
      <c r="AD34" s="56" t="str">
        <f t="shared" si="11"/>
        <v>0122-13</v>
      </c>
      <c r="AE34" s="85" t="str">
        <f t="shared" si="12"/>
        <v>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 &amp; aws s3 cp s3://rtdc.mdm.uploadarchive.raw/RTDC4028/ "%USERPROFILE%\AppData\Local\Temp\OnboardLogs"\RTDC4028\2017-02-14 --exclude "*" --recursive --include "*20170214*" &amp; "%USERPROFILE%\Documents\GitHub\mrs-test-scripts\Headless Mode &amp; Sideloading\WalkAndUnGZ.bat" "%USERPROFILE%\AppData\Local\Temp\OnboardLogs"\RTDC4028\2017-02-14</v>
      </c>
      <c r="AF34" s="82" t="str">
        <f t="shared" si="13"/>
        <v>"C:\Program Files (x86)\AstroGrep\AstroGrep.exe" /spath="%USERPROFILE%\AppData\Local\Temp\OnboardLogs" /stypes="app*4028*20170213*"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6" t="str">
        <f t="shared" si="18"/>
        <v>"%USERPROFILE%\Documents\GitHub\eaglep3\Utilities\RefineRTDCRunTimes.py" --tripid 122-13 --locoid 4028 --swversion DE.1.0.8.0 --startMP 204:232977 --initTime 2017-02-13T07:07:35 --startdatetime 2017-02-13T07:11:26 --delay 1 --endMP 204:158 --enddatetime 2017-02-13T07:51:20 --enforcementcount 0 &gt;&gt;C:\Users\stu\Documents\GitHub\eaglep3-reporting\EC\2017-02-13-refined-times.txt</v>
      </c>
      <c r="AI34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{"issue":{"subject":"","project_id":79,"tracker_id":40,"status_id":1,"priority_id":2,"assigned_to_id":23,"start_date":"2017-02-13","description":"","custom_fields":[{"id":1,"name":"Subdivision","value":"EC"},{"id":4,"name":"Milepost","value":"0.0158"},{"id":17,"name":"Train ID","value":"122-13"},{"id":16,"name":"Locomotive ID","value":"4028"},{"id":130,"name":"Impact","value":""},{"id":150,"name":"Time of Event (Mountain Time)","value":"07:51:20"},{"id":151,"name":"Denver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4028 --day 2017-02-13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"%USERPROFILE%\AppData\Local\Temp\OnboardLogs"\RTDC4028\*4028*20170213* | grep -SE "(Enforcement Action)|(\[TIMEOUT)|(CHR.+\|PRM\|1\|D.+(SWITCH|SIGNAL).+UNKNOWN)" - &gt;&gt; 2017-02-13-UncaughtWiMAX.txt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586</v>
      </c>
      <c r="B35" s="7">
        <v>4009</v>
      </c>
      <c r="C35" s="21" t="s">
        <v>193</v>
      </c>
      <c r="D35" s="21" t="s">
        <v>206</v>
      </c>
      <c r="E35" s="13">
        <v>42779.267604166664</v>
      </c>
      <c r="F35" s="13">
        <v>42779.271018518521</v>
      </c>
      <c r="G35" s="7">
        <v>1</v>
      </c>
      <c r="H35" s="21" t="s">
        <v>293</v>
      </c>
      <c r="I35" s="13">
        <v>42779.296701388892</v>
      </c>
      <c r="J35" s="7">
        <v>0</v>
      </c>
      <c r="K35" s="98" t="str">
        <f t="shared" si="0"/>
        <v>4009/4010</v>
      </c>
      <c r="L35" s="21" t="str">
        <f>VLOOKUP(A35,'Trips&amp;Operators'!$C$1:$G$99999,5,FALSE)</f>
        <v>SHOOK JOHN</v>
      </c>
      <c r="M35" s="6">
        <f t="shared" si="1"/>
        <v>2.5682870371383615E-2</v>
      </c>
      <c r="N35" s="7">
        <f t="shared" si="2"/>
        <v>36.983333334792405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7" t="str">
        <f t="shared" si="5"/>
        <v>https://d0f6bd738d7f1b3e5a7ca70fe4ff75f0.us-east-1.aws.found.io/app/kibana#/discover/Steve-Slow-Train-Analysis-(2080s-and-2083s)?_g=(refreshInterval:(display:Off,pause:!f,section:0,value:0),time:(from:'2017-02-13T05:25:21-0700',mode:absolute,to:'2017-02-13T08:07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5" s="188" t="str">
        <f t="shared" si="6"/>
        <v>N</v>
      </c>
      <c r="X35" s="188">
        <f t="shared" si="7"/>
        <v>1</v>
      </c>
      <c r="Y35" s="62">
        <f t="shared" si="8"/>
        <v>4.6199999999999998E-2</v>
      </c>
      <c r="Z35" s="62">
        <f t="shared" si="9"/>
        <v>23.3308</v>
      </c>
      <c r="AA35" s="62">
        <f t="shared" si="10"/>
        <v>23.284600000000001</v>
      </c>
      <c r="AB35" s="59" t="e">
        <f>VLOOKUP(A35,Enforcements!$C$7:$K$14,8,0)</f>
        <v>#N/A</v>
      </c>
      <c r="AC35" s="55" t="e">
        <f>VLOOKUP(A35,Enforcements!$C$7:$E$14,3,0)</f>
        <v>#N/A</v>
      </c>
      <c r="AD35" s="56" t="str">
        <f t="shared" si="11"/>
        <v>0123-13</v>
      </c>
      <c r="AE35" s="85" t="str">
        <f t="shared" si="12"/>
        <v>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 &amp; aws s3 cp s3://rtdc.mdm.uploadarchive.raw/RTDC4009/ "%USERPROFILE%\AppData\Local\Temp\OnboardLogs"\RTDC4009\2017-02-14 --exclude "*" --recursive --include "*20170214*" &amp; "%USERPROFILE%\Documents\GitHub\mrs-test-scripts\Headless Mode &amp; Sideloading\WalkAndUnGZ.bat" "%USERPROFILE%\AppData\Local\Temp\OnboardLogs"\RTDC4009\2017-02-14</v>
      </c>
      <c r="AF35" s="82" t="str">
        <f t="shared" si="13"/>
        <v>"C:\Program Files (x86)\AstroGrep\AstroGrep.exe" /spath="%USERPROFILE%\AppData\Local\Temp\OnboardLogs" /stypes="app*4009*20170213*"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6" t="str">
        <f t="shared" si="18"/>
        <v>"%USERPROFILE%\Documents\GitHub\eaglep3\Utilities\RefineRTDCRunTimes.py" --tripid 123-13 --locoid 4009 --swversion DE.1.0.8.0 --startMP 204:462 --initTime 2017-02-13T06:25:21 --startdatetime 2017-02-13T06:30:16 --delay 1 --endMP 204:233308 --enddatetime 2017-02-13T07:07:15 --enforcementcount 0 &gt;&gt;C:\Users\stu\Documents\GitHub\eaglep3-reporting\EC\2017-02-13-refined-times.txt</v>
      </c>
      <c r="AI35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{"issue":{"subject":"","project_id":79,"tracker_id":40,"status_id":1,"priority_id":2,"assigned_to_id":23,"start_date":"2017-02-13","description":"","custom_fields":[{"id":1,"name":"Subdivision","value":"EC"},{"id":4,"name":"Milepost","value":"23.3308"},{"id":17,"name":"Train ID","value":"123-13"},{"id":16,"name":"Locomotive ID","value":"4009"},{"id":130,"name":"Impact","value":""},{"id":150,"name":"Time of Event (Mountain Time)","value":"07:07:15"},{"id":151,"name":"Denver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4009 --day 2017-02-13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"%USERPROFILE%\AppData\Local\Temp\OnboardLogs"\RTDC4009\*4009*20170213* | grep -SE "(Enforcement Action)|(\[TIMEOUT)|(CHR.+\|PRM\|1\|D.+(SWITCH|SIGNAL).+UNKNOWN)" - &gt;&gt; 2017-02-13-UncaughtWiMAX.txt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591</v>
      </c>
      <c r="B36" s="7">
        <v>4010</v>
      </c>
      <c r="C36" s="21" t="s">
        <v>193</v>
      </c>
      <c r="D36" s="21" t="s">
        <v>481</v>
      </c>
      <c r="E36" s="13">
        <v>42779.298379629632</v>
      </c>
      <c r="F36" s="13">
        <v>42779.309907407405</v>
      </c>
      <c r="G36" s="7">
        <v>0</v>
      </c>
      <c r="H36" s="21" t="s">
        <v>232</v>
      </c>
      <c r="I36" s="13">
        <v>42779.337256944447</v>
      </c>
      <c r="J36" s="7">
        <v>0</v>
      </c>
      <c r="K36" s="98" t="str">
        <f t="shared" si="0"/>
        <v>4009/4010</v>
      </c>
      <c r="L36" s="21" t="str">
        <f>VLOOKUP(A36,'Trips&amp;Operators'!$C$1:$G$99999,5,FALSE)</f>
        <v>SHOOK JOHN</v>
      </c>
      <c r="M36" s="6">
        <f t="shared" si="1"/>
        <v>2.7349537042027805E-2</v>
      </c>
      <c r="N36" s="7">
        <f t="shared" si="2"/>
        <v>39.383333340520039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7" t="str">
        <f t="shared" si="5"/>
        <v>https://d0f6bd738d7f1b3e5a7ca70fe4ff75f0.us-east-1.aws.found.io/app/kibana#/discover/Steve-Slow-Train-Analysis-(2080s-and-2083s)?_g=(refreshInterval:(display:Off,pause:!f,section:0,value:0),time:(from:'2017-02-13T06:09:40-0700',mode:absolute,to:'2017-02-13T09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6" s="188" t="str">
        <f t="shared" si="6"/>
        <v>N</v>
      </c>
      <c r="X36" s="188">
        <f t="shared" si="7"/>
        <v>1</v>
      </c>
      <c r="Y36" s="62">
        <f t="shared" si="8"/>
        <v>23.299800000000001</v>
      </c>
      <c r="Z36" s="62">
        <f t="shared" si="9"/>
        <v>1.43E-2</v>
      </c>
      <c r="AA36" s="62">
        <f t="shared" si="10"/>
        <v>23.285500000000003</v>
      </c>
      <c r="AB36" s="59" t="e">
        <f>VLOOKUP(A36,Enforcements!$C$7:$K$14,8,0)</f>
        <v>#N/A</v>
      </c>
      <c r="AC36" s="55" t="e">
        <f>VLOOKUP(A36,Enforcements!$C$7:$E$14,3,0)</f>
        <v>#N/A</v>
      </c>
      <c r="AD36" s="56" t="str">
        <f t="shared" si="11"/>
        <v>0124-13</v>
      </c>
      <c r="AE36" s="85" t="str">
        <f t="shared" si="12"/>
        <v>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 &amp; aws s3 cp s3://rtdc.mdm.uploadarchive.raw/RTDC4010/ "%USERPROFILE%\AppData\Local\Temp\OnboardLogs"\RTDC4010\2017-02-14 --exclude "*" --recursive --include "*20170214*" &amp; "%USERPROFILE%\Documents\GitHub\mrs-test-scripts\Headless Mode &amp; Sideloading\WalkAndUnGZ.bat" "%USERPROFILE%\AppData\Local\Temp\OnboardLogs"\RTDC4010\2017-02-14</v>
      </c>
      <c r="AF36" s="82" t="str">
        <f t="shared" si="13"/>
        <v>"C:\Program Files (x86)\AstroGrep\AstroGrep.exe" /spath="%USERPROFILE%\AppData\Local\Temp\OnboardLogs" /stypes="app*4010*20170213*"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6" t="str">
        <f t="shared" si="18"/>
        <v>"%USERPROFILE%\Documents\GitHub\eaglep3\Utilities\RefineRTDCRunTimes.py" --tripid 124-13 --locoid 4010 --swversion DE.1.0.8.0 --startMP 204:232998 --initTime 2017-02-13T07:09:40 --startdatetime 2017-02-13T07:26:16 --delay 0 --endMP 204:143 --enddatetime 2017-02-13T08:05:39 --enforcementcount 0 &gt;&gt;C:\Users\stu\Documents\GitHub\eaglep3-reporting\EC\2017-02-13-refined-times.txt</v>
      </c>
      <c r="AI36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{"issue":{"subject":"","project_id":79,"tracker_id":40,"status_id":1,"priority_id":2,"assigned_to_id":23,"start_date":"2017-02-13","description":"","custom_fields":[{"id":1,"name":"Subdivision","value":"EC"},{"id":4,"name":"Milepost","value":"0.0143"},{"id":17,"name":"Train ID","value":"124-13"},{"id":16,"name":"Locomotive ID","value":"4010"},{"id":130,"name":"Impact","value":""},{"id":150,"name":"Time of Event (Mountain Time)","value":"08:05:39"},{"id":151,"name":"Denver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4010 --day 2017-02-13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"%USERPROFILE%\AppData\Local\Temp\OnboardLogs"\RTDC4010\*4010*20170213* | grep -SE "(Enforcement Action)|(\[TIMEOUT)|(CHR.+\|PRM\|1\|D.+(SWITCH|SIGNAL).+UNKNOWN)" - &gt;&gt; 2017-02-13-UncaughtWiMAX.txt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526</v>
      </c>
      <c r="B37" s="7">
        <v>4044</v>
      </c>
      <c r="C37" s="21" t="s">
        <v>193</v>
      </c>
      <c r="D37" s="21" t="s">
        <v>279</v>
      </c>
      <c r="E37" s="13">
        <v>42779.275000000001</v>
      </c>
      <c r="F37" s="13">
        <v>42779.281504629631</v>
      </c>
      <c r="G37" s="7">
        <v>1</v>
      </c>
      <c r="H37" s="21" t="s">
        <v>484</v>
      </c>
      <c r="I37" s="13">
        <v>42779.305717592593</v>
      </c>
      <c r="J37" s="7">
        <v>0</v>
      </c>
      <c r="K37" s="98" t="str">
        <f t="shared" si="0"/>
        <v>4043/4044</v>
      </c>
      <c r="L37" s="21" t="str">
        <f>VLOOKUP(A37,'Trips&amp;Operators'!$C$1:$G$99999,5,FALSE)</f>
        <v>YORK EDGAR</v>
      </c>
      <c r="M37" s="6">
        <f t="shared" si="1"/>
        <v>2.421296296233777E-2</v>
      </c>
      <c r="N37" s="7">
        <f t="shared" si="2"/>
        <v>34.866666665766388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7" t="str">
        <f t="shared" si="5"/>
        <v>https://d0f6bd738d7f1b3e5a7ca70fe4ff75f0.us-east-1.aws.found.io/app/kibana#/discover/Steve-Slow-Train-Analysis-(2080s-and-2083s)?_g=(refreshInterval:(display:Off,pause:!f,section:0,value:0),time:(from:'2017-02-13T05:36:00-0700',mode:absolute,to:'2017-02-13T08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7" s="188" t="str">
        <f t="shared" si="6"/>
        <v>N</v>
      </c>
      <c r="X37" s="188">
        <f t="shared" si="7"/>
        <v>1</v>
      </c>
      <c r="Y37" s="62">
        <f t="shared" si="8"/>
        <v>4.5499999999999999E-2</v>
      </c>
      <c r="Z37" s="62">
        <f t="shared" si="9"/>
        <v>23.328399999999998</v>
      </c>
      <c r="AA37" s="62">
        <f t="shared" si="10"/>
        <v>23.282899999999998</v>
      </c>
      <c r="AB37" s="59" t="str">
        <f>VLOOKUP(A37,Enforcements!$C$7:$K$14,8,0)</f>
        <v>Bulletin (2)</v>
      </c>
      <c r="AC37" s="55" t="str">
        <f>VLOOKUP(A37,Enforcements!$C$7:$E$14,3,0)</f>
        <v>GRADE CROSSING</v>
      </c>
      <c r="AD37" s="56" t="str">
        <f t="shared" si="11"/>
        <v>0125-13</v>
      </c>
      <c r="AE37" s="85" t="str">
        <f t="shared" si="12"/>
        <v>aws s3 cp s3://rtdc.mdm.uploadarchive.raw/RTDC4044/ "%USERPROFILE%\AppData\Local\Temp\OnboardLogs"\RTDC4044\2017-02-13 --exclude "*" --recursive --include "*20170213*" &amp; "%USERPROFILE%\Documents\GitHub\mrs-test-scripts\Headless Mode &amp; Sideloading\WalkAndUnGZ.bat" "%USERPROFILE%\AppData\Local\Temp\OnboardLogs"\RTDC4044\2017-02-13 &amp; 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</v>
      </c>
      <c r="AF37" s="82" t="str">
        <f t="shared" si="13"/>
        <v>"C:\Program Files (x86)\AstroGrep\AstroGrep.exe" /spath="%USERPROFILE%\AppData\Local\Temp\OnboardLogs" /stypes="app*4044*20170213*"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6" t="str">
        <f t="shared" si="18"/>
        <v>"%USERPROFILE%\Documents\GitHub\eaglep3\Utilities\RefineRTDCRunTimes.py" --tripid 125-13 --locoid 4044 --swversion DE.1.0.8.0 --startMP 204:455 --initTime 2017-02-13T06:36:00 --startdatetime 2017-02-13T06:45:22 --delay 1 --endMP 204:233284 --enddatetime 2017-02-13T07:20:14 --enforcementcount 0 &gt;&gt;C:\Users\stu\Documents\GitHub\eaglep3-reporting\EC\2017-02-13-refined-times.txt</v>
      </c>
      <c r="AI37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{"issue":{"subject":"","project_id":79,"tracker_id":40,"status_id":1,"priority_id":2,"assigned_to_id":23,"start_date":"2017-02-13","description":"","custom_fields":[{"id":1,"name":"Subdivision","value":"EC"},{"id":4,"name":"Milepost","value":"23.3284"},{"id":17,"name":"Train ID","value":"125-13"},{"id":16,"name":"Locomotive ID","value":"4044"},{"id":130,"name":"Impact","value":""},{"id":150,"name":"Time of Event (Mountain Time)","value":"07:20:14"},{"id":151,"name":"Denver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4044 --day 2017-02-13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"%USERPROFILE%\AppData\Local\Temp\OnboardLogs"\RTDC4044\*4044*20170213* | grep -SE "(Enforcement Action)|(\[TIMEOUT)|(CHR.+\|PRM\|1\|D.+(SWITCH|SIGNAL).+UNKNOWN)" - &gt;&gt; 2017-02-13-UncaughtWiMAX.txt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593</v>
      </c>
      <c r="B38" s="7">
        <v>4043</v>
      </c>
      <c r="C38" s="21" t="s">
        <v>193</v>
      </c>
      <c r="D38" s="21" t="s">
        <v>422</v>
      </c>
      <c r="E38" s="13">
        <v>42779.307951388888</v>
      </c>
      <c r="F38" s="13">
        <v>42779.320416666669</v>
      </c>
      <c r="G38" s="7">
        <v>1</v>
      </c>
      <c r="H38" s="21" t="s">
        <v>330</v>
      </c>
      <c r="I38" s="13">
        <v>42779.34642361111</v>
      </c>
      <c r="J38" s="7">
        <v>0</v>
      </c>
      <c r="K38" s="98" t="str">
        <f t="shared" si="0"/>
        <v>4043/4044</v>
      </c>
      <c r="L38" s="21" t="str">
        <f>VLOOKUP(A38,'Trips&amp;Operators'!$C$1:$G$99999,5,FALSE)</f>
        <v>YORK EDGAR</v>
      </c>
      <c r="M38" s="6">
        <f t="shared" si="1"/>
        <v>2.6006944441178348E-2</v>
      </c>
      <c r="N38" s="7">
        <f t="shared" si="2"/>
        <v>37.449999995296821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7" t="str">
        <f t="shared" si="5"/>
        <v>https://d0f6bd738d7f1b3e5a7ca70fe4ff75f0.us-east-1.aws.found.io/app/kibana#/discover/Steve-Slow-Train-Analysis-(2080s-and-2083s)?_g=(refreshInterval:(display:Off,pause:!f,section:0,value:0),time:(from:'2017-02-13T06:23:27-0700',mode:absolute,to:'2017-02-13T09:18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8" s="188" t="str">
        <f t="shared" si="6"/>
        <v>N</v>
      </c>
      <c r="X38" s="188">
        <f t="shared" si="7"/>
        <v>1</v>
      </c>
      <c r="Y38" s="62">
        <f t="shared" si="8"/>
        <v>23.296099999999999</v>
      </c>
      <c r="Z38" s="62">
        <f t="shared" si="9"/>
        <v>1.61E-2</v>
      </c>
      <c r="AA38" s="62">
        <f t="shared" si="10"/>
        <v>23.279999999999998</v>
      </c>
      <c r="AB38" s="59" t="e">
        <f>VLOOKUP(A38,Enforcements!$C$7:$K$14,8,0)</f>
        <v>#N/A</v>
      </c>
      <c r="AC38" s="55" t="e">
        <f>VLOOKUP(A38,Enforcements!$C$7:$E$14,3,0)</f>
        <v>#N/A</v>
      </c>
      <c r="AD38" s="56" t="str">
        <f t="shared" si="11"/>
        <v>0126-13</v>
      </c>
      <c r="AE38" s="85" t="str">
        <f t="shared" si="12"/>
        <v>aws s3 cp s3://rtdc.mdm.uploadarchive.raw/RTDC4043/ "%USERPROFILE%\AppData\Local\Temp\OnboardLogs"\RTDC4043\2017-02-13 --exclude "*" --recursive --include "*20170213*" &amp; "%USERPROFILE%\Documents\GitHub\mrs-test-scripts\Headless Mode &amp; Sideloading\WalkAndUnGZ.bat" "%USERPROFILE%\AppData\Local\Temp\OnboardLogs"\RTDC4043\2017-02-13 &amp; aws s3 cp s3://rtdc.mdm.uploadarchive.raw/RTDC4043/ "%USERPROFILE%\AppData\Local\Temp\OnboardLogs"\RTDC4043\2017-02-14 --exclude "*" --recursive --include "*20170214*" &amp; "%USERPROFILE%\Documents\GitHub\mrs-test-scripts\Headless Mode &amp; Sideloading\WalkAndUnGZ.bat" "%USERPROFILE%\AppData\Local\Temp\OnboardLogs"\RTDC4043\2017-02-14</v>
      </c>
      <c r="AF38" s="82" t="str">
        <f t="shared" si="13"/>
        <v>"C:\Program Files (x86)\AstroGrep\AstroGrep.exe" /spath="%USERPROFILE%\AppData\Local\Temp\OnboardLogs" /stypes="app*4043*20170213*"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6" t="str">
        <f t="shared" si="18"/>
        <v>"%USERPROFILE%\Documents\GitHub\eaglep3\Utilities\RefineRTDCRunTimes.py" --tripid 126-13 --locoid 4043 --swversion DE.1.0.8.0 --startMP 204:232961 --initTime 2017-02-13T07:23:27 --startdatetime 2017-02-13T07:41:24 --delay 1 --endMP 204:161 --enddatetime 2017-02-13T08:18:51 --enforcementcount 0 &gt;&gt;C:\Users\stu\Documents\GitHub\eaglep3-reporting\EC\2017-02-13-refined-times.txt</v>
      </c>
      <c r="AI38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{"issue":{"subject":"","project_id":79,"tracker_id":40,"status_id":1,"priority_id":2,"assigned_to_id":23,"start_date":"2017-02-13","description":"","custom_fields":[{"id":1,"name":"Subdivision","value":"EC"},{"id":4,"name":"Milepost","value":"0.0161"},{"id":17,"name":"Train ID","value":"126-13"},{"id":16,"name":"Locomotive ID","value":"4043"},{"id":130,"name":"Impact","value":""},{"id":150,"name":"Time of Event (Mountain Time)","value":"08:18:51"},{"id":151,"name":"Denver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4043 --day 2017-02-13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"%USERPROFILE%\AppData\Local\Temp\OnboardLogs"\RTDC4043\*4043*20170213* | grep -SE "(Enforcement Action)|(\[TIMEOUT)|(CHR.+\|PRM\|1\|D.+(SWITCH|SIGNAL).+UNKNOWN)" - &gt;&gt; 2017-02-13-UncaughtWiMAX.txt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527</v>
      </c>
      <c r="B39" s="7">
        <v>4020</v>
      </c>
      <c r="C39" s="21" t="s">
        <v>193</v>
      </c>
      <c r="D39" s="21" t="s">
        <v>508</v>
      </c>
      <c r="E39" s="13">
        <v>42779.286932870367</v>
      </c>
      <c r="F39" s="13">
        <v>42779.291863425926</v>
      </c>
      <c r="G39" s="7">
        <v>1</v>
      </c>
      <c r="H39" s="21" t="s">
        <v>506</v>
      </c>
      <c r="I39" s="13">
        <v>42779.317395833335</v>
      </c>
      <c r="J39" s="7">
        <v>0</v>
      </c>
      <c r="K39" s="98" t="str">
        <f t="shared" si="0"/>
        <v>4019/4020</v>
      </c>
      <c r="L39" s="21" t="str">
        <f>VLOOKUP(A39,'Trips&amp;Operators'!$C$1:$G$99999,5,FALSE)</f>
        <v>OUN ZACK</v>
      </c>
      <c r="M39" s="6">
        <f t="shared" si="1"/>
        <v>2.5532407409627922E-2</v>
      </c>
      <c r="N39" s="7">
        <f t="shared" si="2"/>
        <v>36.766666669864208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7" t="str">
        <f t="shared" si="5"/>
        <v>https://d0f6bd738d7f1b3e5a7ca70fe4ff75f0.us-east-1.aws.found.io/app/kibana#/discover/Steve-Slow-Train-Analysis-(2080s-and-2083s)?_g=(refreshInterval:(display:Off,pause:!f,section:0,value:0),time:(from:'2017-02-13T05:53:11-0700',mode:absolute,to:'2017-02-13T08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9" s="188" t="str">
        <f t="shared" si="6"/>
        <v>N</v>
      </c>
      <c r="X39" s="188">
        <f t="shared" si="7"/>
        <v>1</v>
      </c>
      <c r="Y39" s="62">
        <f t="shared" si="8"/>
        <v>4.3799999999999999E-2</v>
      </c>
      <c r="Z39" s="62">
        <f t="shared" si="9"/>
        <v>23.335100000000001</v>
      </c>
      <c r="AA39" s="62">
        <f t="shared" si="10"/>
        <v>23.2913</v>
      </c>
      <c r="AB39" s="59" t="str">
        <f>VLOOKUP(A39,Enforcements!$C$7:$K$14,8,0)</f>
        <v>Speed (6)</v>
      </c>
      <c r="AC39" s="55" t="str">
        <f>VLOOKUP(A39,Enforcements!$C$7:$E$14,3,0)</f>
        <v>PERMANENT SPEED RESTRICTION</v>
      </c>
      <c r="AD39" s="56" t="str">
        <f t="shared" si="11"/>
        <v>0127-13</v>
      </c>
      <c r="AE39" s="85" t="str">
        <f t="shared" si="12"/>
        <v>aws s3 cp s3://rtdc.mdm.uploadarchive.raw/RTDC4020/ "%USERPROFILE%\AppData\Local\Temp\OnboardLogs"\RTDC4020\2017-02-13 --exclude "*" --recursive --include "*20170213*" &amp; "%USERPROFILE%\Documents\GitHub\mrs-test-scripts\Headless Mode &amp; Sideloading\WalkAndUnGZ.bat" "%USERPROFILE%\AppData\Local\Temp\OnboardLogs"\RTDC4020\2017-02-13 &amp; aws s3 cp s3://rtdc.mdm.uploadarchive.raw/RTDC4020/ "%USERPROFILE%\AppData\Local\Temp\OnboardLogs"\RTDC4020\2017-02-14 --exclude "*" --recursive --include "*20170214*" &amp; "%USERPROFILE%\Documents\GitHub\mrs-test-scripts\Headless Mode &amp; Sideloading\WalkAndUnGZ.bat" "%USERPROFILE%\AppData\Local\Temp\OnboardLogs"\RTDC4020\2017-02-14</v>
      </c>
      <c r="AF39" s="82" t="str">
        <f t="shared" si="13"/>
        <v>"C:\Program Files (x86)\AstroGrep\AstroGrep.exe" /spath="%USERPROFILE%\AppData\Local\Temp\OnboardLogs" /stypes="app*4020*20170213*"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6" t="str">
        <f t="shared" si="18"/>
        <v>"%USERPROFILE%\Documents\GitHub\eaglep3\Utilities\RefineRTDCRunTimes.py" --tripid 127-13 --locoid 4020 --swversion DE.1.0.8.0 --startMP 204:438 --initTime 2017-02-13T06:53:11 --startdatetime 2017-02-13T07:00:17 --delay 1 --endMP 204:233351 --enddatetime 2017-02-13T07:37:03 --enforcementcount 0 &gt;&gt;C:\Users\stu\Documents\GitHub\eaglep3-reporting\EC\2017-02-13-refined-times.txt</v>
      </c>
      <c r="AI39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{"issue":{"subject":"","project_id":79,"tracker_id":40,"status_id":1,"priority_id":2,"assigned_to_id":23,"start_date":"2017-02-13","description":"","custom_fields":[{"id":1,"name":"Subdivision","value":"EC"},{"id":4,"name":"Milepost","value":"23.3351"},{"id":17,"name":"Train ID","value":"127-13"},{"id":16,"name":"Locomotive ID","value":"4020"},{"id":130,"name":"Impact","value":""},{"id":150,"name":"Time of Event (Mountain Time)","value":"07:37:03"},{"id":151,"name":"Denver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4020 --day 2017-02-13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"%USERPROFILE%\AppData\Local\Temp\OnboardLogs"\RTDC4020\*4020*20170213* | grep -SE "(Enforcement Action)|(\[TIMEOUT)|(CHR.+\|PRM\|1\|D.+(SWITCH|SIGNAL).+UNKNOWN)" - &gt;&gt; 2017-02-13-UncaughtWiMAX.txt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597</v>
      </c>
      <c r="B40" s="7">
        <v>4019</v>
      </c>
      <c r="C40" s="21" t="s">
        <v>193</v>
      </c>
      <c r="D40" s="21" t="s">
        <v>772</v>
      </c>
      <c r="E40" s="13">
        <v>42779.326909722222</v>
      </c>
      <c r="F40" s="13">
        <v>42779.330763888887</v>
      </c>
      <c r="G40" s="7">
        <v>1</v>
      </c>
      <c r="H40" s="21" t="s">
        <v>336</v>
      </c>
      <c r="I40" s="13">
        <v>42779.357488425929</v>
      </c>
      <c r="J40" s="7">
        <v>0</v>
      </c>
      <c r="K40" s="98" t="str">
        <f t="shared" si="0"/>
        <v>4019/4020</v>
      </c>
      <c r="L40" s="21" t="str">
        <f>VLOOKUP(A40,'Trips&amp;Operators'!$C$1:$G$99999,5,FALSE)</f>
        <v>OUN ZACK</v>
      </c>
      <c r="M40" s="6">
        <f t="shared" si="1"/>
        <v>2.6724537041445728E-2</v>
      </c>
      <c r="N40" s="7">
        <f t="shared" si="2"/>
        <v>38.483333339681849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7" t="str">
        <f t="shared" si="5"/>
        <v>https://d0f6bd738d7f1b3e5a7ca70fe4ff75f0.us-east-1.aws.found.io/app/kibana#/discover/Steve-Slow-Train-Analysis-(2080s-and-2083s)?_g=(refreshInterval:(display:Off,pause:!f,section:0,value:0),time:(from:'2017-02-13T06:50:45-0700',mode:absolute,to:'2017-02-13T09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0" s="188" t="str">
        <f t="shared" si="6"/>
        <v>N</v>
      </c>
      <c r="X40" s="188">
        <f t="shared" si="7"/>
        <v>1</v>
      </c>
      <c r="Y40" s="62">
        <f t="shared" si="8"/>
        <v>23.302499999999998</v>
      </c>
      <c r="Z40" s="62">
        <f t="shared" si="9"/>
        <v>1.41E-2</v>
      </c>
      <c r="AA40" s="62">
        <f t="shared" si="10"/>
        <v>23.288399999999999</v>
      </c>
      <c r="AB40" s="59" t="e">
        <f>VLOOKUP(A40,Enforcements!$C$7:$K$14,8,0)</f>
        <v>#N/A</v>
      </c>
      <c r="AC40" s="55" t="e">
        <f>VLOOKUP(A40,Enforcements!$C$7:$E$14,3,0)</f>
        <v>#N/A</v>
      </c>
      <c r="AD40" s="56" t="str">
        <f t="shared" si="11"/>
        <v>0128-13</v>
      </c>
      <c r="AE40" s="85" t="str">
        <f t="shared" si="12"/>
        <v>aws s3 cp s3://rtdc.mdm.uploadarchive.raw/RTDC4019/ "%USERPROFILE%\AppData\Local\Temp\OnboardLogs"\RTDC4019\2017-02-13 --exclude "*" --recursive --include "*20170213*" &amp; "%USERPROFILE%\Documents\GitHub\mrs-test-scripts\Headless Mode &amp; Sideloading\WalkAndUnGZ.bat" "%USERPROFILE%\AppData\Local\Temp\OnboardLogs"\RTDC4019\2017-02-13 &amp; 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</v>
      </c>
      <c r="AF40" s="82" t="str">
        <f t="shared" si="13"/>
        <v>"C:\Program Files (x86)\AstroGrep\AstroGrep.exe" /spath="%USERPROFILE%\AppData\Local\Temp\OnboardLogs" /stypes="app*4019*20170213*"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6" t="str">
        <f t="shared" si="18"/>
        <v>"%USERPROFILE%\Documents\GitHub\eaglep3\Utilities\RefineRTDCRunTimes.py" --tripid 128-13 --locoid 4019 --swversion DE.1.0.8.0 --startMP 204:233025 --initTime 2017-02-13T07:50:45 --startdatetime 2017-02-13T07:56:18 --delay 1 --endMP 204:141 --enddatetime 2017-02-13T08:34:47 --enforcementcount 0 &gt;&gt;C:\Users\stu\Documents\GitHub\eaglep3-reporting\EC\2017-02-13-refined-times.txt</v>
      </c>
      <c r="AI40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{"issue":{"subject":"","project_id":79,"tracker_id":40,"status_id":1,"priority_id":2,"assigned_to_id":23,"start_date":"2017-02-13","description":"","custom_fields":[{"id":1,"name":"Subdivision","value":"EC"},{"id":4,"name":"Milepost","value":"0.0141"},{"id":17,"name":"Train ID","value":"128-13"},{"id":16,"name":"Locomotive ID","value":"4019"},{"id":130,"name":"Impact","value":""},{"id":150,"name":"Time of Event (Mountain Time)","value":"08:34:47"},{"id":151,"name":"Denver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4019 --day 2017-02-13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"%USERPROFILE%\AppData\Local\Temp\OnboardLogs"\RTDC4019\*4019*20170213* | grep -SE "(Enforcement Action)|(\[TIMEOUT)|(CHR.+\|PRM\|1\|D.+(SWITCH|SIGNAL).+UNKNOWN)" - &gt;&gt; 2017-02-13-UncaughtWiMAX.txt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590</v>
      </c>
      <c r="B41" s="7">
        <v>4011</v>
      </c>
      <c r="C41" s="21" t="s">
        <v>193</v>
      </c>
      <c r="D41" s="21" t="s">
        <v>270</v>
      </c>
      <c r="E41" s="13">
        <v>42779.296817129631</v>
      </c>
      <c r="F41" s="13">
        <v>42779.302233796298</v>
      </c>
      <c r="G41" s="7">
        <v>2</v>
      </c>
      <c r="H41" s="21" t="s">
        <v>485</v>
      </c>
      <c r="I41" s="13">
        <v>42779.326736111114</v>
      </c>
      <c r="J41" s="7">
        <v>0</v>
      </c>
      <c r="K41" s="98" t="str">
        <f t="shared" si="0"/>
        <v>4011/4012</v>
      </c>
      <c r="L41" s="21" t="str">
        <f>VLOOKUP(A41,'Trips&amp;Operators'!$C$1:$G$99999,5,FALSE)</f>
        <v>ROBINSON KADDIBA</v>
      </c>
      <c r="M41" s="6">
        <f t="shared" si="1"/>
        <v>2.4502314816345461E-2</v>
      </c>
      <c r="N41" s="7">
        <f t="shared" si="2"/>
        <v>35.283333335537463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7" t="str">
        <f t="shared" si="5"/>
        <v>https://d0f6bd738d7f1b3e5a7ca70fe4ff75f0.us-east-1.aws.found.io/app/kibana#/discover/Steve-Slow-Train-Analysis-(2080s-and-2083s)?_g=(refreshInterval:(display:Off,pause:!f,section:0,value:0),time:(from:'2017-02-13T06:07:25-0700',mode:absolute,to:'2017-02-13T08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1" s="188" t="str">
        <f t="shared" si="6"/>
        <v>N</v>
      </c>
      <c r="X41" s="188">
        <f t="shared" si="7"/>
        <v>1</v>
      </c>
      <c r="Y41" s="62">
        <f t="shared" si="8"/>
        <v>4.53E-2</v>
      </c>
      <c r="Z41" s="62">
        <f t="shared" si="9"/>
        <v>23.331399999999999</v>
      </c>
      <c r="AA41" s="62">
        <f t="shared" si="10"/>
        <v>23.286099999999998</v>
      </c>
      <c r="AB41" s="59" t="e">
        <f>VLOOKUP(A41,Enforcements!$C$7:$K$14,8,0)</f>
        <v>#N/A</v>
      </c>
      <c r="AC41" s="55" t="e">
        <f>VLOOKUP(A41,Enforcements!$C$7:$E$14,3,0)</f>
        <v>#N/A</v>
      </c>
      <c r="AD41" s="56" t="str">
        <f t="shared" si="11"/>
        <v>0129-13</v>
      </c>
      <c r="AE41" s="85" t="str">
        <f t="shared" si="12"/>
        <v>aws s3 cp s3://rtdc.mdm.uploadarchive.raw/RTDC4011/ "%USERPROFILE%\AppData\Local\Temp\OnboardLogs"\RTDC4011\2017-02-13 --exclude "*" --recursive --include "*20170213*" &amp; "%USERPROFILE%\Documents\GitHub\mrs-test-scripts\Headless Mode &amp; Sideloading\WalkAndUnGZ.bat" "%USERPROFILE%\AppData\Local\Temp\OnboardLogs"\RTDC4011\2017-02-13 &amp; aws s3 cp s3://rtdc.mdm.uploadarchive.raw/RTDC4011/ "%USERPROFILE%\AppData\Local\Temp\OnboardLogs"\RTDC4011\2017-02-14 --exclude "*" --recursive --include "*20170214*" &amp; "%USERPROFILE%\Documents\GitHub\mrs-test-scripts\Headless Mode &amp; Sideloading\WalkAndUnGZ.bat" "%USERPROFILE%\AppData\Local\Temp\OnboardLogs"\RTDC4011\2017-02-14</v>
      </c>
      <c r="AF41" s="82" t="str">
        <f t="shared" si="13"/>
        <v>"C:\Program Files (x86)\AstroGrep\AstroGrep.exe" /spath="%USERPROFILE%\AppData\Local\Temp\OnboardLogs" /stypes="app*4011*20170213*"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6" t="str">
        <f t="shared" si="18"/>
        <v>"%USERPROFILE%\Documents\GitHub\eaglep3\Utilities\RefineRTDCRunTimes.py" --tripid 129-13 --locoid 4011 --swversion DE.1.0.8.0 --startMP 204:453 --initTime 2017-02-13T07:07:25 --startdatetime 2017-02-13T07:15:13 --delay 2 --endMP 204:233314 --enddatetime 2017-02-13T07:50:30 --enforcementcount 0 &gt;&gt;C:\Users\stu\Documents\GitHub\eaglep3-reporting\EC\2017-02-13-refined-times.txt</v>
      </c>
      <c r="AI41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{"issue":{"subject":"","project_id":79,"tracker_id":40,"status_id":1,"priority_id":2,"assigned_to_id":23,"start_date":"2017-02-13","description":"","custom_fields":[{"id":1,"name":"Subdivision","value":"EC"},{"id":4,"name":"Milepost","value":"23.3314"},{"id":17,"name":"Train ID","value":"129-13"},{"id":16,"name":"Locomotive ID","value":"4011"},{"id":130,"name":"Impact","value":""},{"id":150,"name":"Time of Event (Mountain Time)","value":"07:50:30"},{"id":151,"name":"Denver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4011 --day 2017-02-13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"%USERPROFILE%\AppData\Local\Temp\OnboardLogs"\RTDC4011\*4011*20170213* | grep -SE "(Enforcement Action)|(\[TIMEOUT)|(CHR.+\|PRM\|1\|D.+(SWITCH|SIGNAL).+UNKNOWN)" - &gt;&gt; 2017-02-13-UncaughtWiMAX.txt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598</v>
      </c>
      <c r="B42" s="7">
        <v>4012</v>
      </c>
      <c r="C42" s="21" t="s">
        <v>193</v>
      </c>
      <c r="D42" s="21" t="s">
        <v>773</v>
      </c>
      <c r="E42" s="13">
        <v>42779.336342592593</v>
      </c>
      <c r="F42" s="13">
        <v>42779.341145833336</v>
      </c>
      <c r="G42" s="7">
        <v>1</v>
      </c>
      <c r="H42" s="21" t="s">
        <v>330</v>
      </c>
      <c r="I42" s="13">
        <v>42779.368506944447</v>
      </c>
      <c r="J42" s="7">
        <v>0</v>
      </c>
      <c r="K42" s="98" t="str">
        <f t="shared" si="0"/>
        <v>4011/4012</v>
      </c>
      <c r="L42" s="21" t="str">
        <f>VLOOKUP(A42,'Trips&amp;Operators'!$C$1:$G$99999,5,FALSE)</f>
        <v>ROBINSON KADDIBA</v>
      </c>
      <c r="M42" s="6">
        <f t="shared" si="1"/>
        <v>2.73611111115315E-2</v>
      </c>
      <c r="N42" s="7">
        <f t="shared" si="2"/>
        <v>39.40000000060536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7" t="str">
        <f t="shared" si="5"/>
        <v>https://d0f6bd738d7f1b3e5a7ca70fe4ff75f0.us-east-1.aws.found.io/app/kibana#/discover/Steve-Slow-Train-Analysis-(2080s-and-2083s)?_g=(refreshInterval:(display:Off,pause:!f,section:0,value:0),time:(from:'2017-02-13T07:04:20-0700',mode:absolute,to:'2017-02-13T09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2" s="188" t="str">
        <f t="shared" si="6"/>
        <v>N</v>
      </c>
      <c r="X42" s="188">
        <f t="shared" si="7"/>
        <v>1</v>
      </c>
      <c r="Y42" s="62">
        <f t="shared" si="8"/>
        <v>23.298999999999999</v>
      </c>
      <c r="Z42" s="62">
        <f t="shared" si="9"/>
        <v>1.61E-2</v>
      </c>
      <c r="AA42" s="62">
        <f t="shared" si="10"/>
        <v>23.282899999999998</v>
      </c>
      <c r="AB42" s="59" t="e">
        <f>VLOOKUP(A42,Enforcements!$C$7:$K$14,8,0)</f>
        <v>#N/A</v>
      </c>
      <c r="AC42" s="55" t="e">
        <f>VLOOKUP(A42,Enforcements!$C$7:$E$14,3,0)</f>
        <v>#N/A</v>
      </c>
      <c r="AD42" s="56" t="str">
        <f t="shared" si="11"/>
        <v>0130-13</v>
      </c>
      <c r="AE42" s="85" t="str">
        <f t="shared" si="12"/>
        <v>aws s3 cp s3://rtdc.mdm.uploadarchive.raw/RTDC4012/ "%USERPROFILE%\AppData\Local\Temp\OnboardLogs"\RTDC4012\2017-02-13 --exclude "*" --recursive --include "*20170213*" &amp; "%USERPROFILE%\Documents\GitHub\mrs-test-scripts\Headless Mode &amp; Sideloading\WalkAndUnGZ.bat" "%USERPROFILE%\AppData\Local\Temp\OnboardLogs"\RTDC4012\2017-02-13 &amp; 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</v>
      </c>
      <c r="AF42" s="82" t="str">
        <f t="shared" si="13"/>
        <v>"C:\Program Files (x86)\AstroGrep\AstroGrep.exe" /spath="%USERPROFILE%\AppData\Local\Temp\OnboardLogs" /stypes="app*4012*20170213*"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6" t="str">
        <f t="shared" si="18"/>
        <v>"%USERPROFILE%\Documents\GitHub\eaglep3\Utilities\RefineRTDCRunTimes.py" --tripid 130-13 --locoid 4012 --swversion DE.1.0.8.0 --startMP 204:232990 --initTime 2017-02-13T08:04:20 --startdatetime 2017-02-13T08:11:15 --delay 1 --endMP 204:161 --enddatetime 2017-02-13T08:50:39 --enforcementcount 0 &gt;&gt;C:\Users\stu\Documents\GitHub\eaglep3-reporting\EC\2017-02-13-refined-times.txt</v>
      </c>
      <c r="AI42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{"issue":{"subject":"","project_id":79,"tracker_id":40,"status_id":1,"priority_id":2,"assigned_to_id":23,"start_date":"2017-02-13","description":"","custom_fields":[{"id":1,"name":"Subdivision","value":"EC"},{"id":4,"name":"Milepost","value":"0.0161"},{"id":17,"name":"Train ID","value":"130-13"},{"id":16,"name":"Locomotive ID","value":"4012"},{"id":130,"name":"Impact","value":""},{"id":150,"name":"Time of Event (Mountain Time)","value":"08:50:39"},{"id":151,"name":"Denver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4012 --day 2017-02-13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"%USERPROFILE%\AppData\Local\Temp\OnboardLogs"\RTDC4012\*4012*20170213* | grep -SE "(Enforcement Action)|(\[TIMEOUT)|(CHR.+\|PRM\|1\|D.+(SWITCH|SIGNAL).+UNKNOWN)" - &gt;&gt; 2017-02-13-UncaughtWiMAX.txt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594</v>
      </c>
      <c r="B43" s="7">
        <v>4040</v>
      </c>
      <c r="C43" s="21" t="s">
        <v>193</v>
      </c>
      <c r="D43" s="21" t="s">
        <v>270</v>
      </c>
      <c r="E43" s="13">
        <v>42779.308923611112</v>
      </c>
      <c r="F43" s="13">
        <v>42779.312974537039</v>
      </c>
      <c r="G43" s="7">
        <v>1</v>
      </c>
      <c r="H43" s="21" t="s">
        <v>455</v>
      </c>
      <c r="I43" s="13">
        <v>42779.33734953704</v>
      </c>
      <c r="J43" s="7">
        <v>0</v>
      </c>
      <c r="K43" s="98" t="str">
        <f t="shared" si="0"/>
        <v>4039/4040</v>
      </c>
      <c r="L43" s="21" t="str">
        <f>VLOOKUP(A43,'Trips&amp;Operators'!$C$1:$G$99999,5,FALSE)</f>
        <v>MAELZER KURT</v>
      </c>
      <c r="M43" s="6">
        <f t="shared" si="1"/>
        <v>2.4375000000873115E-2</v>
      </c>
      <c r="N43" s="7">
        <f t="shared" si="2"/>
        <v>35.100000001257285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7" t="str">
        <f t="shared" si="5"/>
        <v>https://d0f6bd738d7f1b3e5a7ca70fe4ff75f0.us-east-1.aws.found.io/app/kibana#/discover/Steve-Slow-Train-Analysis-(2080s-and-2083s)?_g=(refreshInterval:(display:Off,pause:!f,section:0,value:0),time:(from:'2017-02-13T06:24:51-0700',mode:absolute,to:'2017-02-13T09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3" s="188" t="str">
        <f t="shared" si="6"/>
        <v>N</v>
      </c>
      <c r="X43" s="188">
        <f t="shared" si="7"/>
        <v>1</v>
      </c>
      <c r="Y43" s="62">
        <f t="shared" si="8"/>
        <v>4.53E-2</v>
      </c>
      <c r="Z43" s="62">
        <f t="shared" si="9"/>
        <v>23.333200000000001</v>
      </c>
      <c r="AA43" s="62">
        <f t="shared" si="10"/>
        <v>23.2879</v>
      </c>
      <c r="AB43" s="59" t="e">
        <f>VLOOKUP(A43,Enforcements!$C$7:$K$14,8,0)</f>
        <v>#N/A</v>
      </c>
      <c r="AC43" s="55" t="e">
        <f>VLOOKUP(A43,Enforcements!$C$7:$E$14,3,0)</f>
        <v>#N/A</v>
      </c>
      <c r="AD43" s="56" t="str">
        <f t="shared" si="11"/>
        <v>0131-13</v>
      </c>
      <c r="AE43" s="85" t="str">
        <f t="shared" si="12"/>
        <v>aws s3 cp s3://rtdc.mdm.uploadarchive.raw/RTDC4040/ "%USERPROFILE%\AppData\Local\Temp\OnboardLogs"\RTDC4040\2017-02-13 --exclude "*" --recursive --include "*20170213*" &amp; "%USERPROFILE%\Documents\GitHub\mrs-test-scripts\Headless Mode &amp; Sideloading\WalkAndUnGZ.bat" "%USERPROFILE%\AppData\Local\Temp\OnboardLogs"\RTDC4040\2017-02-13 &amp; aws s3 cp s3://rtdc.mdm.uploadarchive.raw/RTDC4040/ "%USERPROFILE%\AppData\Local\Temp\OnboardLogs"\RTDC4040\2017-02-14 --exclude "*" --recursive --include "*20170214*" &amp; "%USERPROFILE%\Documents\GitHub\mrs-test-scripts\Headless Mode &amp; Sideloading\WalkAndUnGZ.bat" "%USERPROFILE%\AppData\Local\Temp\OnboardLogs"\RTDC4040\2017-02-14</v>
      </c>
      <c r="AF43" s="82" t="str">
        <f t="shared" si="13"/>
        <v>"C:\Program Files (x86)\AstroGrep\AstroGrep.exe" /spath="%USERPROFILE%\AppData\Local\Temp\OnboardLogs" /stypes="app*4040*20170213*"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6" t="str">
        <f t="shared" si="18"/>
        <v>"%USERPROFILE%\Documents\GitHub\eaglep3\Utilities\RefineRTDCRunTimes.py" --tripid 131-13 --locoid 4040 --swversion DE.1.0.8.0 --startMP 204:453 --initTime 2017-02-13T07:24:51 --startdatetime 2017-02-13T07:30:41 --delay 1 --endMP 204:233332 --enddatetime 2017-02-13T08:05:47 --enforcementcount 0 &gt;&gt;C:\Users\stu\Documents\GitHub\eaglep3-reporting\EC\2017-02-13-refined-times.txt</v>
      </c>
      <c r="AI43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{"issue":{"subject":"","project_id":79,"tracker_id":40,"status_id":1,"priority_id":2,"assigned_to_id":23,"start_date":"2017-02-13","description":"","custom_fields":[{"id":1,"name":"Subdivision","value":"EC"},{"id":4,"name":"Milepost","value":"23.3332"},{"id":17,"name":"Train ID","value":"131-13"},{"id":16,"name":"Locomotive ID","value":"4040"},{"id":130,"name":"Impact","value":""},{"id":150,"name":"Time of Event (Mountain Time)","value":"08:05:47"},{"id":151,"name":"Denver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4040 --day 2017-02-13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"%USERPROFILE%\AppData\Local\Temp\OnboardLogs"\RTDC4040\*4040*20170213* | grep -SE "(Enforcement Action)|(\[TIMEOUT)|(CHR.+\|PRM\|1\|D.+(SWITCH|SIGNAL).+UNKNOWN)" - &gt;&gt; 2017-02-13-UncaughtWiMAX.txt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601</v>
      </c>
      <c r="B44" s="7">
        <v>4039</v>
      </c>
      <c r="C44" s="21" t="s">
        <v>193</v>
      </c>
      <c r="D44" s="21" t="s">
        <v>480</v>
      </c>
      <c r="E44" s="13">
        <v>42779.347268518519</v>
      </c>
      <c r="F44" s="13">
        <v>42779.351886574077</v>
      </c>
      <c r="G44" s="7">
        <v>1</v>
      </c>
      <c r="H44" s="21" t="s">
        <v>195</v>
      </c>
      <c r="I44" s="13">
        <v>42779.378344907411</v>
      </c>
      <c r="J44" s="7">
        <v>0</v>
      </c>
      <c r="K44" s="98" t="str">
        <f t="shared" si="0"/>
        <v>4039/4040</v>
      </c>
      <c r="L44" s="21" t="str">
        <f>VLOOKUP(A44,'Trips&amp;Operators'!$C$1:$G$99999,5,FALSE)</f>
        <v>MAELZER KURT</v>
      </c>
      <c r="M44" s="6">
        <f t="shared" si="1"/>
        <v>2.6458333333721384E-2</v>
      </c>
      <c r="N44" s="7">
        <f t="shared" si="2"/>
        <v>38.100000000558794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7" t="str">
        <f t="shared" si="5"/>
        <v>https://d0f6bd738d7f1b3e5a7ca70fe4ff75f0.us-east-1.aws.found.io/app/kibana#/discover/Steve-Slow-Train-Analysis-(2080s-and-2083s)?_g=(refreshInterval:(display:Off,pause:!f,section:0,value:0),time:(from:'2017-02-13T07:20:04-0700',mode:absolute,to:'2017-02-13T10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4" s="188" t="str">
        <f t="shared" si="6"/>
        <v>N</v>
      </c>
      <c r="X44" s="188">
        <f t="shared" si="7"/>
        <v>1</v>
      </c>
      <c r="Y44" s="62">
        <f t="shared" si="8"/>
        <v>23.3002</v>
      </c>
      <c r="Z44" s="62">
        <f t="shared" si="9"/>
        <v>1.4999999999999999E-2</v>
      </c>
      <c r="AA44" s="62">
        <f t="shared" si="10"/>
        <v>23.2852</v>
      </c>
      <c r="AB44" s="59" t="e">
        <f>VLOOKUP(A44,Enforcements!$C$7:$K$14,8,0)</f>
        <v>#N/A</v>
      </c>
      <c r="AC44" s="55" t="e">
        <f>VLOOKUP(A44,Enforcements!$C$7:$E$14,3,0)</f>
        <v>#N/A</v>
      </c>
      <c r="AD44" s="56" t="str">
        <f t="shared" si="11"/>
        <v>0132-13</v>
      </c>
      <c r="AE44" s="85" t="str">
        <f t="shared" si="12"/>
        <v>aws s3 cp s3://rtdc.mdm.uploadarchive.raw/RTDC4039/ "%USERPROFILE%\AppData\Local\Temp\OnboardLogs"\RTDC4039\2017-02-13 --exclude "*" --recursive --include "*20170213*" &amp; "%USERPROFILE%\Documents\GitHub\mrs-test-scripts\Headless Mode &amp; Sideloading\WalkAndUnGZ.bat" "%USERPROFILE%\AppData\Local\Temp\OnboardLogs"\RTDC4039\2017-02-13 &amp; aws s3 cp s3://rtdc.mdm.uploadarchive.raw/RTDC4039/ "%USERPROFILE%\AppData\Local\Temp\OnboardLogs"\RTDC4039\2017-02-14 --exclude "*" --recursive --include "*20170214*" &amp; "%USERPROFILE%\Documents\GitHub\mrs-test-scripts\Headless Mode &amp; Sideloading\WalkAndUnGZ.bat" "%USERPROFILE%\AppData\Local\Temp\OnboardLogs"\RTDC4039\2017-02-14</v>
      </c>
      <c r="AF44" s="82" t="str">
        <f t="shared" si="13"/>
        <v>"C:\Program Files (x86)\AstroGrep\AstroGrep.exe" /spath="%USERPROFILE%\AppData\Local\Temp\OnboardLogs" /stypes="app*4039*20170213*"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6" t="str">
        <f t="shared" si="18"/>
        <v>"%USERPROFILE%\Documents\GitHub\eaglep3\Utilities\RefineRTDCRunTimes.py" --tripid 132-13 --locoid 4039 --swversion DE.1.0.8.0 --startMP 204:233002 --initTime 2017-02-13T08:20:04 --startdatetime 2017-02-13T08:26:43 --delay 1 --endMP 204:150 --enddatetime 2017-02-13T09:04:49 --enforcementcount 0 &gt;&gt;C:\Users\stu\Documents\GitHub\eaglep3-reporting\EC\2017-02-13-refined-times.txt</v>
      </c>
      <c r="AI44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{"issue":{"subject":"","project_id":79,"tracker_id":40,"status_id":1,"priority_id":2,"assigned_to_id":23,"start_date":"2017-02-13","description":"","custom_fields":[{"id":1,"name":"Subdivision","value":"EC"},{"id":4,"name":"Milepost","value":"0.015"},{"id":17,"name":"Train ID","value":"132-13"},{"id":16,"name":"Locomotive ID","value":"4039"},{"id":130,"name":"Impact","value":""},{"id":150,"name":"Time of Event (Mountain Time)","value":"09:04:49"},{"id":151,"name":"Denver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4039 --day 2017-02-13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"%USERPROFILE%\AppData\Local\Temp\OnboardLogs"\RTDC4039\*4039*20170213* | grep -SE "(Enforcement Action)|(\[TIMEOUT)|(CHR.+\|PRM\|1\|D.+(SWITCH|SIGNAL).+UNKNOWN)" - &gt;&gt; 2017-02-13-UncaughtWiMAX.txt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596</v>
      </c>
      <c r="B45" s="7">
        <v>4025</v>
      </c>
      <c r="C45" s="21" t="s">
        <v>193</v>
      </c>
      <c r="D45" s="21" t="s">
        <v>350</v>
      </c>
      <c r="E45" s="13">
        <v>42779.318819444445</v>
      </c>
      <c r="F45" s="13">
        <v>42779.323101851849</v>
      </c>
      <c r="G45" s="7">
        <v>1</v>
      </c>
      <c r="H45" s="21" t="s">
        <v>774</v>
      </c>
      <c r="I45" s="13">
        <v>42779.34814814815</v>
      </c>
      <c r="J45" s="7">
        <v>0</v>
      </c>
      <c r="K45" s="98" t="str">
        <f t="shared" si="0"/>
        <v>4025/4026</v>
      </c>
      <c r="L45" s="21" t="str">
        <f>VLOOKUP(A45,'Trips&amp;Operators'!$C$1:$G$99999,5,FALSE)</f>
        <v>STARKS ANGELINA</v>
      </c>
      <c r="M45" s="6">
        <f t="shared" si="1"/>
        <v>2.5046296301297843E-2</v>
      </c>
      <c r="N45" s="7">
        <f t="shared" ref="N45:N76" si="21">24*60*SUM($M45:$M45)</f>
        <v>36.066666673868895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8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7" t="str">
        <f t="shared" si="5"/>
        <v>https://d0f6bd738d7f1b3e5a7ca70fe4ff75f0.us-east-1.aws.found.io/app/kibana#/discover/Steve-Slow-Train-Analysis-(2080s-and-2083s)?_g=(refreshInterval:(display:Off,pause:!f,section:0,value:0),time:(from:'2017-02-13T06:39:06-0700',mode:absolute,to:'2017-02-13T09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5" s="188" t="str">
        <f t="shared" si="6"/>
        <v>N</v>
      </c>
      <c r="X45" s="188">
        <f t="shared" ref="X45:X61" si="22">VALUE(LEFT(AD45,4))-VALUE(LEFT(AD44,4))</f>
        <v>1</v>
      </c>
      <c r="Y45" s="62">
        <f t="shared" si="8"/>
        <v>4.2700000000000002E-2</v>
      </c>
      <c r="Z45" s="62">
        <f t="shared" si="9"/>
        <v>23.328600000000002</v>
      </c>
      <c r="AA45" s="62">
        <f t="shared" si="10"/>
        <v>23.285900000000002</v>
      </c>
      <c r="AB45" s="59" t="e">
        <f>VLOOKUP(A45,Enforcements!$C$7:$K$14,8,0)</f>
        <v>#N/A</v>
      </c>
      <c r="AC45" s="55" t="e">
        <f>VLOOKUP(A45,Enforcements!$C$7:$E$14,3,0)</f>
        <v>#N/A</v>
      </c>
      <c r="AD45" s="56" t="str">
        <f t="shared" si="11"/>
        <v>0133-13</v>
      </c>
      <c r="AE45" s="85" t="str">
        <f t="shared" si="12"/>
        <v>aws s3 cp s3://rtdc.mdm.uploadarchive.raw/RTDC4025/ "%USERPROFILE%\AppData\Local\Temp\OnboardLogs"\RTDC4025\2017-02-13 --exclude "*" --recursive --include "*20170213*" &amp; "%USERPROFILE%\Documents\GitHub\mrs-test-scripts\Headless Mode &amp; Sideloading\WalkAndUnGZ.bat" "%USERPROFILE%\AppData\Local\Temp\OnboardLogs"\RTDC4025\2017-02-13 &amp; aws s3 cp s3://rtdc.mdm.uploadarchive.raw/RTDC4025/ "%USERPROFILE%\AppData\Local\Temp\OnboardLogs"\RTDC4025\2017-02-14 --exclude "*" --recursive --include "*20170214*" &amp; "%USERPROFILE%\Documents\GitHub\mrs-test-scripts\Headless Mode &amp; Sideloading\WalkAndUnGZ.bat" "%USERPROFILE%\AppData\Local\Temp\OnboardLogs"\RTDC4025\2017-02-14</v>
      </c>
      <c r="AF45" s="82" t="str">
        <f t="shared" si="13"/>
        <v>"C:\Program Files (x86)\AstroGrep\AstroGrep.exe" /spath="%USERPROFILE%\AppData\Local\Temp\OnboardLogs" /stypes="app*4025*20170213*"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6" t="str">
        <f t="shared" si="18"/>
        <v>"%USERPROFILE%\Documents\GitHub\eaglep3\Utilities\RefineRTDCRunTimes.py" --tripid 133-13 --locoid 4025 --swversion DE.1.0.8.0 --startMP 204:427 --initTime 2017-02-13T07:39:06 --startdatetime 2017-02-13T07:45:16 --delay 1 --endMP 204:233286 --enddatetime 2017-02-13T08:21:20 --enforcementcount 0 &gt;&gt;C:\Users\stu\Documents\GitHub\eaglep3-reporting\EC\2017-02-13-refined-times.txt</v>
      </c>
      <c r="AI45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{"issue":{"subject":"","project_id":79,"tracker_id":40,"status_id":1,"priority_id":2,"assigned_to_id":23,"start_date":"2017-02-13","description":"","custom_fields":[{"id":1,"name":"Subdivision","value":"EC"},{"id":4,"name":"Milepost","value":"23.3286"},{"id":17,"name":"Train ID","value":"133-13"},{"id":16,"name":"Locomotive ID","value":"4025"},{"id":130,"name":"Impact","value":""},{"id":150,"name":"Time of Event (Mountain Time)","value":"08:21:20"},{"id":151,"name":"Denver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4025 --day 2017-02-13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"%USERPROFILE%\AppData\Local\Temp\OnboardLogs"\RTDC4025\*4025*20170213* | grep -SE "(Enforcement Action)|(\[TIMEOUT)|(CHR.+\|PRM\|1\|D.+(SWITCH|SIGNAL).+UNKNOWN)" - &gt;&gt; 2017-02-13-UncaughtWiMAX.txt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603</v>
      </c>
      <c r="B46" s="7">
        <v>4026</v>
      </c>
      <c r="C46" s="21" t="s">
        <v>193</v>
      </c>
      <c r="D46" s="21" t="s">
        <v>775</v>
      </c>
      <c r="E46" s="13">
        <v>42779.350671296299</v>
      </c>
      <c r="F46" s="13">
        <v>42779.362060185187</v>
      </c>
      <c r="G46" s="7">
        <v>1</v>
      </c>
      <c r="H46" s="21" t="s">
        <v>336</v>
      </c>
      <c r="I46" s="13">
        <v>42779.388935185183</v>
      </c>
      <c r="J46" s="7">
        <v>0</v>
      </c>
      <c r="K46" s="98" t="str">
        <f t="shared" si="0"/>
        <v>4025/4026</v>
      </c>
      <c r="L46" s="21" t="str">
        <f>VLOOKUP(A46,'Trips&amp;Operators'!$C$1:$G$99999,5,FALSE)</f>
        <v>STARKS ANGELINA</v>
      </c>
      <c r="M46" s="6">
        <f t="shared" si="1"/>
        <v>2.6874999995925464E-2</v>
      </c>
      <c r="N46" s="7">
        <f t="shared" si="21"/>
        <v>38.699999994132668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8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7" t="str">
        <f t="shared" si="5"/>
        <v>https://d0f6bd738d7f1b3e5a7ca70fe4ff75f0.us-east-1.aws.found.io/app/kibana#/discover/Steve-Slow-Train-Analysis-(2080s-and-2083s)?_g=(refreshInterval:(display:Off,pause:!f,section:0,value:0),time:(from:'2017-02-13T07:24:58-0700',mode:absolute,to:'2017-02-13T10:20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6" s="188" t="str">
        <f t="shared" si="6"/>
        <v>N</v>
      </c>
      <c r="X46" s="188">
        <f t="shared" si="22"/>
        <v>1</v>
      </c>
      <c r="Y46" s="62">
        <f t="shared" si="8"/>
        <v>23.296900000000001</v>
      </c>
      <c r="Z46" s="62">
        <f t="shared" si="9"/>
        <v>1.41E-2</v>
      </c>
      <c r="AA46" s="62">
        <f t="shared" si="10"/>
        <v>23.282800000000002</v>
      </c>
      <c r="AB46" s="59" t="e">
        <f>VLOOKUP(A46,Enforcements!$C$7:$K$14,8,0)</f>
        <v>#N/A</v>
      </c>
      <c r="AC46" s="55" t="e">
        <f>VLOOKUP(A46,Enforcements!$C$7:$E$14,3,0)</f>
        <v>#N/A</v>
      </c>
      <c r="AD46" s="56" t="str">
        <f t="shared" si="11"/>
        <v>0134-13</v>
      </c>
      <c r="AE46" s="85" t="str">
        <f t="shared" si="12"/>
        <v>aws s3 cp s3://rtdc.mdm.uploadarchive.raw/RTDC4026/ "%USERPROFILE%\AppData\Local\Temp\OnboardLogs"\RTDC4026\2017-02-13 --exclude "*" --recursive --include "*20170213*" &amp; "%USERPROFILE%\Documents\GitHub\mrs-test-scripts\Headless Mode &amp; Sideloading\WalkAndUnGZ.bat" "%USERPROFILE%\AppData\Local\Temp\OnboardLogs"\RTDC4026\2017-02-13 &amp; aws s3 cp s3://rtdc.mdm.uploadarchive.raw/RTDC4026/ "%USERPROFILE%\AppData\Local\Temp\OnboardLogs"\RTDC4026\2017-02-14 --exclude "*" --recursive --include "*20170214*" &amp; "%USERPROFILE%\Documents\GitHub\mrs-test-scripts\Headless Mode &amp; Sideloading\WalkAndUnGZ.bat" "%USERPROFILE%\AppData\Local\Temp\OnboardLogs"\RTDC4026\2017-02-14</v>
      </c>
      <c r="AF46" s="82" t="str">
        <f t="shared" si="13"/>
        <v>"C:\Program Files (x86)\AstroGrep\AstroGrep.exe" /spath="%USERPROFILE%\AppData\Local\Temp\OnboardLogs" /stypes="app*4026*20170213*"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6" t="str">
        <f t="shared" si="18"/>
        <v>"%USERPROFILE%\Documents\GitHub\eaglep3\Utilities\RefineRTDCRunTimes.py" --tripid 134-13 --locoid 4026 --swversion DE.1.0.8.0 --startMP 204:232969 --initTime 2017-02-13T08:24:58 --startdatetime 2017-02-13T08:41:22 --delay 1 --endMP 204:141 --enddatetime 2017-02-13T09:20:04 --enforcementcount 0 &gt;&gt;C:\Users\stu\Documents\GitHub\eaglep3-reporting\EC\2017-02-13-refined-times.txt</v>
      </c>
      <c r="AI46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{"issue":{"subject":"","project_id":79,"tracker_id":40,"status_id":1,"priority_id":2,"assigned_to_id":23,"start_date":"2017-02-13","description":"","custom_fields":[{"id":1,"name":"Subdivision","value":"EC"},{"id":4,"name":"Milepost","value":"0.0141"},{"id":17,"name":"Train ID","value":"134-13"},{"id":16,"name":"Locomotive ID","value":"4026"},{"id":130,"name":"Impact","value":""},{"id":150,"name":"Time of Event (Mountain Time)","value":"09:20:04"},{"id":151,"name":"Denver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4026 --day 2017-02-13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"%USERPROFILE%\AppData\Local\Temp\OnboardLogs"\RTDC4026\*4026*20170213* | grep -SE "(Enforcement Action)|(\[TIMEOUT)|(CHR.+\|PRM\|1\|D.+(SWITCH|SIGNAL).+UNKNOWN)" - &gt;&gt; 2017-02-13-UncaughtWiMAX.txt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535</v>
      </c>
      <c r="B47" s="7">
        <v>4027</v>
      </c>
      <c r="C47" s="21" t="s">
        <v>193</v>
      </c>
      <c r="D47" s="21" t="s">
        <v>206</v>
      </c>
      <c r="E47" s="13">
        <v>42779.329155092593</v>
      </c>
      <c r="F47" s="13">
        <v>42779.333611111113</v>
      </c>
      <c r="G47" s="7">
        <v>1</v>
      </c>
      <c r="H47" s="21" t="s">
        <v>776</v>
      </c>
      <c r="I47" s="13">
        <v>42779.359293981484</v>
      </c>
      <c r="J47" s="7">
        <v>0</v>
      </c>
      <c r="K47" s="98" t="str">
        <f t="shared" si="0"/>
        <v>4027/4028</v>
      </c>
      <c r="L47" s="21" t="str">
        <f>VLOOKUP(A47,'Trips&amp;Operators'!$C$1:$G$99999,5,FALSE)</f>
        <v>BONDS REYNALDO</v>
      </c>
      <c r="M47" s="6">
        <f t="shared" si="1"/>
        <v>2.5682870371383615E-2</v>
      </c>
      <c r="N47" s="7">
        <f t="shared" si="21"/>
        <v>36.983333334792405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8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7" t="str">
        <f t="shared" si="5"/>
        <v>https://d0f6bd738d7f1b3e5a7ca70fe4ff75f0.us-east-1.aws.found.io/app/kibana#/discover/Steve-Slow-Train-Analysis-(2080s-and-2083s)?_g=(refreshInterval:(display:Off,pause:!f,section:0,value:0),time:(from:'2017-02-13T06:53:59-0700',mode:absolute,to:'2017-02-13T09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7" s="188" t="str">
        <f t="shared" si="6"/>
        <v>N</v>
      </c>
      <c r="X47" s="188">
        <f t="shared" si="22"/>
        <v>1</v>
      </c>
      <c r="Y47" s="62">
        <f t="shared" si="8"/>
        <v>4.6199999999999998E-2</v>
      </c>
      <c r="Z47" s="62">
        <f t="shared" si="9"/>
        <v>23.325299999999999</v>
      </c>
      <c r="AA47" s="62">
        <f t="shared" si="10"/>
        <v>23.2791</v>
      </c>
      <c r="AB47" s="59" t="e">
        <f>VLOOKUP(A47,Enforcements!$C$7:$K$14,8,0)</f>
        <v>#N/A</v>
      </c>
      <c r="AC47" s="55" t="e">
        <f>VLOOKUP(A47,Enforcements!$C$7:$E$14,3,0)</f>
        <v>#N/A</v>
      </c>
      <c r="AD47" s="56" t="str">
        <f t="shared" si="11"/>
        <v>0135-13</v>
      </c>
      <c r="AE47" s="85" t="str">
        <f t="shared" si="12"/>
        <v>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 &amp; 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</v>
      </c>
      <c r="AF47" s="82" t="str">
        <f t="shared" si="13"/>
        <v>"C:\Program Files (x86)\AstroGrep\AstroGrep.exe" /spath="%USERPROFILE%\AppData\Local\Temp\OnboardLogs" /stypes="app*4027*20170213*"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6" t="str">
        <f t="shared" si="18"/>
        <v>"%USERPROFILE%\Documents\GitHub\eaglep3\Utilities\RefineRTDCRunTimes.py" --tripid 135-13 --locoid 4027 --swversion DE.1.0.8.0 --startMP 204:462 --initTime 2017-02-13T07:53:59 --startdatetime 2017-02-13T08:00:24 --delay 1 --endMP 204:233253 --enddatetime 2017-02-13T08:37:23 --enforcementcount 0 &gt;&gt;C:\Users\stu\Documents\GitHub\eaglep3-reporting\EC\2017-02-13-refined-times.txt</v>
      </c>
      <c r="AI47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{"issue":{"subject":"","project_id":79,"tracker_id":40,"status_id":1,"priority_id":2,"assigned_to_id":23,"start_date":"2017-02-13","description":"","custom_fields":[{"id":1,"name":"Subdivision","value":"EC"},{"id":4,"name":"Milepost","value":"23.3253"},{"id":17,"name":"Train ID","value":"135-13"},{"id":16,"name":"Locomotive ID","value":"4027"},{"id":130,"name":"Impact","value":""},{"id":150,"name":"Time of Event (Mountain Time)","value":"08:37:23"},{"id":151,"name":"Denver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4027 --day 2017-02-13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"%USERPROFILE%\AppData\Local\Temp\OnboardLogs"\RTDC4027\*4027*20170213* | grep -SE "(Enforcement Action)|(\[TIMEOUT)|(CHR.+\|PRM\|1\|D.+(SWITCH|SIGNAL).+UNKNOWN)" - &gt;&gt; 2017-02-13-UncaughtWiMAX.txt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607</v>
      </c>
      <c r="B48" s="7">
        <v>4028</v>
      </c>
      <c r="C48" s="21" t="s">
        <v>193</v>
      </c>
      <c r="D48" s="21" t="s">
        <v>772</v>
      </c>
      <c r="E48" s="13">
        <v>42779.366562499999</v>
      </c>
      <c r="F48" s="13">
        <v>42779.372407407405</v>
      </c>
      <c r="G48" s="7">
        <v>1</v>
      </c>
      <c r="H48" s="21" t="s">
        <v>762</v>
      </c>
      <c r="I48" s="13">
        <v>42779.399710648147</v>
      </c>
      <c r="J48" s="7">
        <v>0</v>
      </c>
      <c r="K48" s="98" t="str">
        <f t="shared" si="0"/>
        <v>4027/4028</v>
      </c>
      <c r="L48" s="21" t="str">
        <f>VLOOKUP(A48,'Trips&amp;Operators'!$C$1:$G$99999,5,FALSE)</f>
        <v>BONDS REYNALDO</v>
      </c>
      <c r="M48" s="6">
        <f t="shared" si="1"/>
        <v>2.7303240742185153E-2</v>
      </c>
      <c r="N48" s="7">
        <f t="shared" si="21"/>
        <v>39.31666666874662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8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7" t="str">
        <f t="shared" si="5"/>
        <v>https://d0f6bd738d7f1b3e5a7ca70fe4ff75f0.us-east-1.aws.found.io/app/kibana#/discover/Steve-Slow-Train-Analysis-(2080s-and-2083s)?_g=(refreshInterval:(display:Off,pause:!f,section:0,value:0),time:(from:'2017-02-13T07:47:51-0700',mode:absolute,to:'2017-02-13T10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8" s="188" t="str">
        <f t="shared" si="6"/>
        <v>N</v>
      </c>
      <c r="X48" s="188">
        <f t="shared" si="22"/>
        <v>1</v>
      </c>
      <c r="Y48" s="62">
        <f t="shared" si="8"/>
        <v>23.302499999999998</v>
      </c>
      <c r="Z48" s="62">
        <f t="shared" si="9"/>
        <v>1.32E-2</v>
      </c>
      <c r="AA48" s="62">
        <f t="shared" si="10"/>
        <v>23.289299999999997</v>
      </c>
      <c r="AB48" s="59" t="e">
        <f>VLOOKUP(A48,Enforcements!$C$7:$K$14,8,0)</f>
        <v>#N/A</v>
      </c>
      <c r="AC48" s="55" t="e">
        <f>VLOOKUP(A48,Enforcements!$C$7:$E$14,3,0)</f>
        <v>#N/A</v>
      </c>
      <c r="AD48" s="56" t="str">
        <f t="shared" si="11"/>
        <v>0136-13</v>
      </c>
      <c r="AE48" s="85" t="str">
        <f t="shared" si="12"/>
        <v>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 &amp; aws s3 cp s3://rtdc.mdm.uploadarchive.raw/RTDC4028/ "%USERPROFILE%\AppData\Local\Temp\OnboardLogs"\RTDC4028\2017-02-14 --exclude "*" --recursive --include "*20170214*" &amp; "%USERPROFILE%\Documents\GitHub\mrs-test-scripts\Headless Mode &amp; Sideloading\WalkAndUnGZ.bat" "%USERPROFILE%\AppData\Local\Temp\OnboardLogs"\RTDC4028\2017-02-14</v>
      </c>
      <c r="AF48" s="82" t="str">
        <f t="shared" si="13"/>
        <v>"C:\Program Files (x86)\AstroGrep\AstroGrep.exe" /spath="%USERPROFILE%\AppData\Local\Temp\OnboardLogs" /stypes="app*4028*20170213*"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6" t="str">
        <f t="shared" si="18"/>
        <v>"%USERPROFILE%\Documents\GitHub\eaglep3\Utilities\RefineRTDCRunTimes.py" --tripid 136-13 --locoid 4028 --swversion DE.1.0.8.0 --startMP 204:233025 --initTime 2017-02-13T08:47:51 --startdatetime 2017-02-13T08:56:16 --delay 1 --endMP 204:132 --enddatetime 2017-02-13T09:35:35 --enforcementcount 0 &gt;&gt;C:\Users\stu\Documents\GitHub\eaglep3-reporting\EC\2017-02-13-refined-times.txt</v>
      </c>
      <c r="AI48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{"issue":{"subject":"","project_id":79,"tracker_id":40,"status_id":1,"priority_id":2,"assigned_to_id":23,"start_date":"2017-02-13","description":"","custom_fields":[{"id":1,"name":"Subdivision","value":"EC"},{"id":4,"name":"Milepost","value":"0.0132"},{"id":17,"name":"Train ID","value":"136-13"},{"id":16,"name":"Locomotive ID","value":"4028"},{"id":130,"name":"Impact","value":""},{"id":150,"name":"Time of Event (Mountain Time)","value":"09:35:35"},{"id":151,"name":"Denver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4028 --day 2017-02-13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"%USERPROFILE%\AppData\Local\Temp\OnboardLogs"\RTDC4028\*4028*20170213* | grep -SE "(Enforcement Action)|(\[TIMEOUT)|(CHR.+\|PRM\|1\|D.+(SWITCH|SIGNAL).+UNKNOWN)" - &gt;&gt; 2017-02-13-UncaughtWiMAX.txt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599</v>
      </c>
      <c r="B49" s="7">
        <v>4009</v>
      </c>
      <c r="C49" s="21" t="s">
        <v>193</v>
      </c>
      <c r="D49" s="21" t="s">
        <v>206</v>
      </c>
      <c r="E49" s="13">
        <v>42779.33965277778</v>
      </c>
      <c r="F49" s="13">
        <v>42779.343946759262</v>
      </c>
      <c r="G49" s="7">
        <v>1</v>
      </c>
      <c r="H49" s="21" t="s">
        <v>450</v>
      </c>
      <c r="I49" s="13">
        <v>42779.36928240741</v>
      </c>
      <c r="J49" s="7">
        <v>0</v>
      </c>
      <c r="K49" s="98" t="str">
        <f t="shared" si="0"/>
        <v>4009/4010</v>
      </c>
      <c r="L49" s="21" t="str">
        <f>VLOOKUP(A49,'Trips&amp;Operators'!$C$1:$G$99999,5,FALSE)</f>
        <v>SHOOK JOHN</v>
      </c>
      <c r="M49" s="6">
        <f t="shared" si="1"/>
        <v>2.5335648148029577E-2</v>
      </c>
      <c r="N49" s="7">
        <f t="shared" si="21"/>
        <v>36.483333333162591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8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7" t="str">
        <f t="shared" si="5"/>
        <v>https://d0f6bd738d7f1b3e5a7ca70fe4ff75f0.us-east-1.aws.found.io/app/kibana#/discover/Steve-Slow-Train-Analysis-(2080s-and-2083s)?_g=(refreshInterval:(display:Off,pause:!f,section:0,value:0),time:(from:'2017-02-13T07:09:06-0700',mode:absolute,to:'2017-02-13T09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9" s="188" t="str">
        <f t="shared" si="6"/>
        <v>N</v>
      </c>
      <c r="X49" s="188">
        <f t="shared" si="22"/>
        <v>1</v>
      </c>
      <c r="Y49" s="62">
        <f t="shared" si="8"/>
        <v>4.6199999999999998E-2</v>
      </c>
      <c r="Z49" s="62">
        <f t="shared" si="9"/>
        <v>23.3322</v>
      </c>
      <c r="AA49" s="62">
        <f t="shared" si="10"/>
        <v>23.286000000000001</v>
      </c>
      <c r="AB49" s="59" t="e">
        <f>VLOOKUP(A49,Enforcements!$C$7:$K$14,8,0)</f>
        <v>#N/A</v>
      </c>
      <c r="AC49" s="55" t="e">
        <f>VLOOKUP(A49,Enforcements!$C$7:$E$14,3,0)</f>
        <v>#N/A</v>
      </c>
      <c r="AD49" s="56" t="str">
        <f t="shared" si="11"/>
        <v>0137-13</v>
      </c>
      <c r="AE49" s="85" t="str">
        <f t="shared" si="12"/>
        <v>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 &amp; aws s3 cp s3://rtdc.mdm.uploadarchive.raw/RTDC4009/ "%USERPROFILE%\AppData\Local\Temp\OnboardLogs"\RTDC4009\2017-02-14 --exclude "*" --recursive --include "*20170214*" &amp; "%USERPROFILE%\Documents\GitHub\mrs-test-scripts\Headless Mode &amp; Sideloading\WalkAndUnGZ.bat" "%USERPROFILE%\AppData\Local\Temp\OnboardLogs"\RTDC4009\2017-02-14</v>
      </c>
      <c r="AF49" s="82" t="str">
        <f t="shared" si="13"/>
        <v>"C:\Program Files (x86)\AstroGrep\AstroGrep.exe" /spath="%USERPROFILE%\AppData\Local\Temp\OnboardLogs" /stypes="app*4009*20170213*"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6" t="str">
        <f t="shared" si="18"/>
        <v>"%USERPROFILE%\Documents\GitHub\eaglep3\Utilities\RefineRTDCRunTimes.py" --tripid 137-13 --locoid 4009 --swversion DE.1.0.8.0 --startMP 204:462 --initTime 2017-02-13T08:09:06 --startdatetime 2017-02-13T08:15:17 --delay 1 --endMP 204:233322 --enddatetime 2017-02-13T08:51:46 --enforcementcount 0 &gt;&gt;C:\Users\stu\Documents\GitHub\eaglep3-reporting\EC\2017-02-13-refined-times.txt</v>
      </c>
      <c r="AI49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{"issue":{"subject":"","project_id":79,"tracker_id":40,"status_id":1,"priority_id":2,"assigned_to_id":23,"start_date":"2017-02-13","description":"","custom_fields":[{"id":1,"name":"Subdivision","value":"EC"},{"id":4,"name":"Milepost","value":"23.3322"},{"id":17,"name":"Train ID","value":"137-13"},{"id":16,"name":"Locomotive ID","value":"4009"},{"id":130,"name":"Impact","value":""},{"id":150,"name":"Time of Event (Mountain Time)","value":"08:51:46"},{"id":151,"name":"Denver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4009 --day 2017-02-13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"%USERPROFILE%\AppData\Local\Temp\OnboardLogs"\RTDC4009\*4009*20170213* | grep -SE "(Enforcement Action)|(\[TIMEOUT)|(CHR.+\|PRM\|1\|D.+(SWITCH|SIGNAL).+UNKNOWN)" - &gt;&gt; 2017-02-13-UncaughtWiMAX.txt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608</v>
      </c>
      <c r="B50" s="7">
        <v>4010</v>
      </c>
      <c r="C50" s="21" t="s">
        <v>193</v>
      </c>
      <c r="D50" s="21" t="s">
        <v>353</v>
      </c>
      <c r="E50" s="13">
        <v>42779.370659722219</v>
      </c>
      <c r="F50" s="13">
        <v>42779.382835648146</v>
      </c>
      <c r="G50" s="7">
        <v>1</v>
      </c>
      <c r="H50" s="21" t="s">
        <v>198</v>
      </c>
      <c r="I50" s="13">
        <v>42779.410104166665</v>
      </c>
      <c r="J50" s="7">
        <v>0</v>
      </c>
      <c r="K50" s="98" t="str">
        <f t="shared" si="0"/>
        <v>4009/4010</v>
      </c>
      <c r="L50" s="21" t="str">
        <f>VLOOKUP(A50,'Trips&amp;Operators'!$C$1:$G$99999,5,FALSE)</f>
        <v>SHOOK JOHN</v>
      </c>
      <c r="M50" s="6">
        <f t="shared" si="1"/>
        <v>2.7268518519122154E-2</v>
      </c>
      <c r="N50" s="7">
        <f t="shared" si="21"/>
        <v>39.266666667535901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8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7" t="str">
        <f t="shared" si="5"/>
        <v>https://d0f6bd738d7f1b3e5a7ca70fe4ff75f0.us-east-1.aws.found.io/app/kibana#/discover/Steve-Slow-Train-Analysis-(2080s-and-2083s)?_g=(refreshInterval:(display:Off,pause:!f,section:0,value:0),time:(from:'2017-02-13T07:53:45-0700',mode:absolute,to:'2017-02-13T10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0" s="188" t="str">
        <f t="shared" si="6"/>
        <v>N</v>
      </c>
      <c r="X50" s="188">
        <f t="shared" si="22"/>
        <v>1</v>
      </c>
      <c r="Y50" s="62">
        <f t="shared" si="8"/>
        <v>23.298400000000001</v>
      </c>
      <c r="Z50" s="62">
        <f t="shared" si="9"/>
        <v>1.4500000000000001E-2</v>
      </c>
      <c r="AA50" s="62">
        <f t="shared" si="10"/>
        <v>23.283899999999999</v>
      </c>
      <c r="AB50" s="59" t="e">
        <f>VLOOKUP(A50,Enforcements!$C$7:$K$14,8,0)</f>
        <v>#N/A</v>
      </c>
      <c r="AC50" s="55" t="e">
        <f>VLOOKUP(A50,Enforcements!$C$7:$E$14,3,0)</f>
        <v>#N/A</v>
      </c>
      <c r="AD50" s="56" t="str">
        <f t="shared" si="11"/>
        <v>0138-13</v>
      </c>
      <c r="AE50" s="85" t="str">
        <f t="shared" si="12"/>
        <v>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 &amp; aws s3 cp s3://rtdc.mdm.uploadarchive.raw/RTDC4010/ "%USERPROFILE%\AppData\Local\Temp\OnboardLogs"\RTDC4010\2017-02-14 --exclude "*" --recursive --include "*20170214*" &amp; "%USERPROFILE%\Documents\GitHub\mrs-test-scripts\Headless Mode &amp; Sideloading\WalkAndUnGZ.bat" "%USERPROFILE%\AppData\Local\Temp\OnboardLogs"\RTDC4010\2017-02-14</v>
      </c>
      <c r="AF50" s="82" t="str">
        <f t="shared" si="13"/>
        <v>"C:\Program Files (x86)\AstroGrep\AstroGrep.exe" /spath="%USERPROFILE%\AppData\Local\Temp\OnboardLogs" /stypes="app*4010*20170213*"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6" t="str">
        <f t="shared" si="18"/>
        <v>"%USERPROFILE%\Documents\GitHub\eaglep3\Utilities\RefineRTDCRunTimes.py" --tripid 138-13 --locoid 4010 --swversion DE.1.0.8.0 --startMP 204:232984 --initTime 2017-02-13T08:53:45 --startdatetime 2017-02-13T09:11:17 --delay 1 --endMP 204:145 --enddatetime 2017-02-13T09:50:33 --enforcementcount 0 &gt;&gt;C:\Users\stu\Documents\GitHub\eaglep3-reporting\EC\2017-02-13-refined-times.txt</v>
      </c>
      <c r="AI50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{"issue":{"subject":"","project_id":79,"tracker_id":40,"status_id":1,"priority_id":2,"assigned_to_id":23,"start_date":"2017-02-13","description":"","custom_fields":[{"id":1,"name":"Subdivision","value":"EC"},{"id":4,"name":"Milepost","value":"0.0145"},{"id":17,"name":"Train ID","value":"138-13"},{"id":16,"name":"Locomotive ID","value":"4010"},{"id":130,"name":"Impact","value":""},{"id":150,"name":"Time of Event (Mountain Time)","value":"09:50:33"},{"id":151,"name":"Denver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4010 --day 2017-02-13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"%USERPROFILE%\AppData\Local\Temp\OnboardLogs"\RTDC4010\*4010*20170213* | grep -SE "(Enforcement Action)|(\[TIMEOUT)|(CHR.+\|PRM\|1\|D.+(SWITCH|SIGNAL).+UNKNOWN)" - &gt;&gt; 2017-02-13-UncaughtWiMAX.txt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602</v>
      </c>
      <c r="B51" s="7">
        <v>4044</v>
      </c>
      <c r="C51" s="21" t="s">
        <v>193</v>
      </c>
      <c r="D51" s="21" t="s">
        <v>777</v>
      </c>
      <c r="E51" s="13">
        <v>42779.347905092596</v>
      </c>
      <c r="F51" s="13">
        <v>42779.354548611111</v>
      </c>
      <c r="G51" s="7">
        <v>1</v>
      </c>
      <c r="H51" s="21" t="s">
        <v>311</v>
      </c>
      <c r="I51" s="13">
        <v>42779.379259259258</v>
      </c>
      <c r="J51" s="7">
        <v>0</v>
      </c>
      <c r="K51" s="98" t="str">
        <f t="shared" si="0"/>
        <v>4043/4044</v>
      </c>
      <c r="L51" s="21" t="str">
        <f>VLOOKUP(A51,'Trips&amp;Operators'!$C$1:$G$99999,5,FALSE)</f>
        <v>YORK EDGAR</v>
      </c>
      <c r="M51" s="6">
        <f t="shared" si="1"/>
        <v>2.47106481474475E-2</v>
      </c>
      <c r="N51" s="7">
        <f t="shared" si="21"/>
        <v>35.583333332324401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8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7" t="str">
        <f t="shared" si="5"/>
        <v>https://d0f6bd738d7f1b3e5a7ca70fe4ff75f0.us-east-1.aws.found.io/app/kibana#/discover/Steve-Slow-Train-Analysis-(2080s-and-2083s)?_g=(refreshInterval:(display:Off,pause:!f,section:0,value:0),time:(from:'2017-02-13T07:20:59-0700',mode:absolute,to:'2017-02-13T10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1" s="188" t="str">
        <f t="shared" si="6"/>
        <v>N</v>
      </c>
      <c r="X51" s="188">
        <f t="shared" si="22"/>
        <v>1</v>
      </c>
      <c r="Y51" s="62">
        <f t="shared" si="8"/>
        <v>4.7800000000000002E-2</v>
      </c>
      <c r="Z51" s="62">
        <f t="shared" si="9"/>
        <v>23.3293</v>
      </c>
      <c r="AA51" s="62">
        <f t="shared" si="10"/>
        <v>23.281500000000001</v>
      </c>
      <c r="AB51" s="59" t="e">
        <f>VLOOKUP(A51,Enforcements!$C$7:$K$14,8,0)</f>
        <v>#N/A</v>
      </c>
      <c r="AC51" s="55" t="e">
        <f>VLOOKUP(A51,Enforcements!$C$7:$E$14,3,0)</f>
        <v>#N/A</v>
      </c>
      <c r="AD51" s="56" t="str">
        <f t="shared" si="11"/>
        <v>0139-13</v>
      </c>
      <c r="AE51" s="85" t="str">
        <f t="shared" si="12"/>
        <v>aws s3 cp s3://rtdc.mdm.uploadarchive.raw/RTDC4044/ "%USERPROFILE%\AppData\Local\Temp\OnboardLogs"\RTDC4044\2017-02-13 --exclude "*" --recursive --include "*20170213*" &amp; "%USERPROFILE%\Documents\GitHub\mrs-test-scripts\Headless Mode &amp; Sideloading\WalkAndUnGZ.bat" "%USERPROFILE%\AppData\Local\Temp\OnboardLogs"\RTDC4044\2017-02-13 &amp; 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</v>
      </c>
      <c r="AF51" s="82" t="str">
        <f t="shared" si="13"/>
        <v>"C:\Program Files (x86)\AstroGrep\AstroGrep.exe" /spath="%USERPROFILE%\AppData\Local\Temp\OnboardLogs" /stypes="app*4044*20170213*"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6" t="str">
        <f t="shared" si="18"/>
        <v>"%USERPROFILE%\Documents\GitHub\eaglep3\Utilities\RefineRTDCRunTimes.py" --tripid 139-13 --locoid 4044 --swversion DE.1.0.8.0 --startMP 204:478 --initTime 2017-02-13T08:20:59 --startdatetime 2017-02-13T08:30:33 --delay 1 --endMP 204:233293 --enddatetime 2017-02-13T09:06:08 --enforcementcount 0 &gt;&gt;C:\Users\stu\Documents\GitHub\eaglep3-reporting\EC\2017-02-13-refined-times.txt</v>
      </c>
      <c r="AI51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{"issue":{"subject":"","project_id":79,"tracker_id":40,"status_id":1,"priority_id":2,"assigned_to_id":23,"start_date":"2017-02-13","description":"","custom_fields":[{"id":1,"name":"Subdivision","value":"EC"},{"id":4,"name":"Milepost","value":"23.3293"},{"id":17,"name":"Train ID","value":"139-13"},{"id":16,"name":"Locomotive ID","value":"4044"},{"id":130,"name":"Impact","value":""},{"id":150,"name":"Time of Event (Mountain Time)","value":"09:06:08"},{"id":151,"name":"Denver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4044 --day 2017-02-13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"%USERPROFILE%\AppData\Local\Temp\OnboardLogs"\RTDC4044\*4044*20170213* | grep -SE "(Enforcement Action)|(\[TIMEOUT)|(CHR.+\|PRM\|1\|D.+(SWITCH|SIGNAL).+UNKNOWN)" - &gt;&gt; 2017-02-13-UncaughtWiMAX.txt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612</v>
      </c>
      <c r="B52" s="7">
        <v>4043</v>
      </c>
      <c r="C52" s="21" t="s">
        <v>193</v>
      </c>
      <c r="D52" s="21" t="s">
        <v>511</v>
      </c>
      <c r="E52" s="13">
        <v>42779.380381944444</v>
      </c>
      <c r="F52" s="13">
        <v>42779.393865740742</v>
      </c>
      <c r="G52" s="7">
        <v>1</v>
      </c>
      <c r="H52" s="21" t="s">
        <v>778</v>
      </c>
      <c r="I52" s="13">
        <v>42779.420034722221</v>
      </c>
      <c r="J52" s="7">
        <v>0</v>
      </c>
      <c r="K52" s="98" t="str">
        <f t="shared" si="0"/>
        <v>4043/4044</v>
      </c>
      <c r="L52" s="21" t="str">
        <f>VLOOKUP(A52,'Trips&amp;Operators'!$C$1:$G$99999,5,FALSE)</f>
        <v>YORK EDGAR</v>
      </c>
      <c r="M52" s="6">
        <f t="shared" si="1"/>
        <v>2.6168981479713693E-2</v>
      </c>
      <c r="N52" s="7">
        <f t="shared" si="21"/>
        <v>37.683333330787718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8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7" t="str">
        <f t="shared" si="5"/>
        <v>https://d0f6bd738d7f1b3e5a7ca70fe4ff75f0.us-east-1.aws.found.io/app/kibana#/discover/Steve-Slow-Train-Analysis-(2080s-and-2083s)?_g=(refreshInterval:(display:Off,pause:!f,section:0,value:0),time:(from:'2017-02-13T08:07:45-0700',mode:absolute,to:'2017-02-13T11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2" s="188" t="str">
        <f t="shared" si="6"/>
        <v>N</v>
      </c>
      <c r="X52" s="188">
        <f t="shared" si="22"/>
        <v>1</v>
      </c>
      <c r="Y52" s="62">
        <f t="shared" si="8"/>
        <v>23.298100000000002</v>
      </c>
      <c r="Z52" s="62">
        <f t="shared" si="9"/>
        <v>1.67E-2</v>
      </c>
      <c r="AA52" s="62">
        <f t="shared" si="10"/>
        <v>23.281400000000001</v>
      </c>
      <c r="AB52" s="59" t="e">
        <f>VLOOKUP(A52,Enforcements!$C$7:$K$14,8,0)</f>
        <v>#N/A</v>
      </c>
      <c r="AC52" s="55" t="e">
        <f>VLOOKUP(A52,Enforcements!$C$7:$E$14,3,0)</f>
        <v>#N/A</v>
      </c>
      <c r="AD52" s="56" t="str">
        <f t="shared" si="11"/>
        <v>0140-13</v>
      </c>
      <c r="AE52" s="85" t="str">
        <f t="shared" si="12"/>
        <v>aws s3 cp s3://rtdc.mdm.uploadarchive.raw/RTDC4043/ "%USERPROFILE%\AppData\Local\Temp\OnboardLogs"\RTDC4043\2017-02-13 --exclude "*" --recursive --include "*20170213*" &amp; "%USERPROFILE%\Documents\GitHub\mrs-test-scripts\Headless Mode &amp; Sideloading\WalkAndUnGZ.bat" "%USERPROFILE%\AppData\Local\Temp\OnboardLogs"\RTDC4043\2017-02-13 &amp; aws s3 cp s3://rtdc.mdm.uploadarchive.raw/RTDC4043/ "%USERPROFILE%\AppData\Local\Temp\OnboardLogs"\RTDC4043\2017-02-14 --exclude "*" --recursive --include "*20170214*" &amp; "%USERPROFILE%\Documents\GitHub\mrs-test-scripts\Headless Mode &amp; Sideloading\WalkAndUnGZ.bat" "%USERPROFILE%\AppData\Local\Temp\OnboardLogs"\RTDC4043\2017-02-14</v>
      </c>
      <c r="AF52" s="82" t="str">
        <f t="shared" si="13"/>
        <v>"C:\Program Files (x86)\AstroGrep\AstroGrep.exe" /spath="%USERPROFILE%\AppData\Local\Temp\OnboardLogs" /stypes="app*4043*20170213*"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6" t="str">
        <f t="shared" si="18"/>
        <v>"%USERPROFILE%\Documents\GitHub\eaglep3\Utilities\RefineRTDCRunTimes.py" --tripid 140-13 --locoid 4043 --swversion DE.1.0.8.0 --startMP 204:232981 --initTime 2017-02-13T09:07:45 --startdatetime 2017-02-13T09:27:10 --delay 1 --endMP 204:167 --enddatetime 2017-02-13T10:04:51 --enforcementcount 0 &gt;&gt;C:\Users\stu\Documents\GitHub\eaglep3-reporting\EC\2017-02-13-refined-times.txt</v>
      </c>
      <c r="AI52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{"issue":{"subject":"","project_id":79,"tracker_id":40,"status_id":1,"priority_id":2,"assigned_to_id":23,"start_date":"2017-02-13","description":"","custom_fields":[{"id":1,"name":"Subdivision","value":"EC"},{"id":4,"name":"Milepost","value":"0.0167"},{"id":17,"name":"Train ID","value":"140-13"},{"id":16,"name":"Locomotive ID","value":"4043"},{"id":130,"name":"Impact","value":""},{"id":150,"name":"Time of Event (Mountain Time)","value":"10:04:51"},{"id":151,"name":"Denver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4043 --day 2017-02-13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"%USERPROFILE%\AppData\Local\Temp\OnboardLogs"\RTDC4043\*4043*20170213* | grep -SE "(Enforcement Action)|(\[TIMEOUT)|(CHR.+\|PRM\|1\|D.+(SWITCH|SIGNAL).+UNKNOWN)" - &gt;&gt; 2017-02-13-UncaughtWiMAX.txt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606</v>
      </c>
      <c r="B53" s="7">
        <v>4020</v>
      </c>
      <c r="C53" s="21" t="s">
        <v>193</v>
      </c>
      <c r="D53" s="21" t="s">
        <v>508</v>
      </c>
      <c r="E53" s="13">
        <v>42779.359618055554</v>
      </c>
      <c r="F53" s="13">
        <v>42779.364884259259</v>
      </c>
      <c r="G53" s="7">
        <v>1</v>
      </c>
      <c r="H53" s="21" t="s">
        <v>450</v>
      </c>
      <c r="I53" s="13">
        <v>42779.389548611114</v>
      </c>
      <c r="J53" s="7">
        <v>0</v>
      </c>
      <c r="K53" s="98" t="str">
        <f t="shared" si="0"/>
        <v>4019/4020</v>
      </c>
      <c r="L53" s="21" t="str">
        <f>VLOOKUP(A53,'Trips&amp;Operators'!$C$1:$G$99999,5,FALSE)</f>
        <v>OUN ZACK</v>
      </c>
      <c r="M53" s="6">
        <f t="shared" si="1"/>
        <v>2.4664351854880806E-2</v>
      </c>
      <c r="N53" s="7">
        <f t="shared" si="21"/>
        <v>35.516666671028361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8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7" t="str">
        <f t="shared" si="5"/>
        <v>https://d0f6bd738d7f1b3e5a7ca70fe4ff75f0.us-east-1.aws.found.io/app/kibana#/discover/Steve-Slow-Train-Analysis-(2080s-and-2083s)?_g=(refreshInterval:(display:Off,pause:!f,section:0,value:0),time:(from:'2017-02-13T07:37:51-0700',mode:absolute,to:'2017-02-13T10:20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3" s="188" t="str">
        <f t="shared" si="6"/>
        <v>N</v>
      </c>
      <c r="X53" s="188">
        <f t="shared" si="22"/>
        <v>1</v>
      </c>
      <c r="Y53" s="62">
        <f t="shared" si="8"/>
        <v>4.3799999999999999E-2</v>
      </c>
      <c r="Z53" s="62">
        <f t="shared" si="9"/>
        <v>23.3322</v>
      </c>
      <c r="AA53" s="62">
        <f t="shared" si="10"/>
        <v>23.288399999999999</v>
      </c>
      <c r="AB53" s="59" t="e">
        <f>VLOOKUP(A53,Enforcements!$C$7:$K$14,8,0)</f>
        <v>#N/A</v>
      </c>
      <c r="AC53" s="55" t="e">
        <f>VLOOKUP(A53,Enforcements!$C$7:$E$14,3,0)</f>
        <v>#N/A</v>
      </c>
      <c r="AD53" s="56" t="str">
        <f t="shared" si="11"/>
        <v>0141-13</v>
      </c>
      <c r="AE53" s="85" t="str">
        <f t="shared" si="12"/>
        <v>aws s3 cp s3://rtdc.mdm.uploadarchive.raw/RTDC4020/ "%USERPROFILE%\AppData\Local\Temp\OnboardLogs"\RTDC4020\2017-02-13 --exclude "*" --recursive --include "*20170213*" &amp; "%USERPROFILE%\Documents\GitHub\mrs-test-scripts\Headless Mode &amp; Sideloading\WalkAndUnGZ.bat" "%USERPROFILE%\AppData\Local\Temp\OnboardLogs"\RTDC4020\2017-02-13 &amp; aws s3 cp s3://rtdc.mdm.uploadarchive.raw/RTDC4020/ "%USERPROFILE%\AppData\Local\Temp\OnboardLogs"\RTDC4020\2017-02-14 --exclude "*" --recursive --include "*20170214*" &amp; "%USERPROFILE%\Documents\GitHub\mrs-test-scripts\Headless Mode &amp; Sideloading\WalkAndUnGZ.bat" "%USERPROFILE%\AppData\Local\Temp\OnboardLogs"\RTDC4020\2017-02-14</v>
      </c>
      <c r="AF53" s="82" t="str">
        <f t="shared" si="13"/>
        <v>"C:\Program Files (x86)\AstroGrep\AstroGrep.exe" /spath="%USERPROFILE%\AppData\Local\Temp\OnboardLogs" /stypes="app*4020*20170213*"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6" t="str">
        <f t="shared" si="18"/>
        <v>"%USERPROFILE%\Documents\GitHub\eaglep3\Utilities\RefineRTDCRunTimes.py" --tripid 141-13 --locoid 4020 --swversion DE.1.0.8.0 --startMP 204:438 --initTime 2017-02-13T08:37:51 --startdatetime 2017-02-13T08:45:26 --delay 1 --endMP 204:233322 --enddatetime 2017-02-13T09:20:57 --enforcementcount 0 &gt;&gt;C:\Users\stu\Documents\GitHub\eaglep3-reporting\EC\2017-02-13-refined-times.txt</v>
      </c>
      <c r="AI53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{"issue":{"subject":"","project_id":79,"tracker_id":40,"status_id":1,"priority_id":2,"assigned_to_id":23,"start_date":"2017-02-13","description":"","custom_fields":[{"id":1,"name":"Subdivision","value":"EC"},{"id":4,"name":"Milepost","value":"23.3322"},{"id":17,"name":"Train ID","value":"141-13"},{"id":16,"name":"Locomotive ID","value":"4020"},{"id":130,"name":"Impact","value":""},{"id":150,"name":"Time of Event (Mountain Time)","value":"09:20:57"},{"id":151,"name":"Denver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4020 --day 2017-02-13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"%USERPROFILE%\AppData\Local\Temp\OnboardLogs"\RTDC4020\*4020*20170213* | grep -SE "(Enforcement Action)|(\[TIMEOUT)|(CHR.+\|PRM\|1\|D.+(SWITCH|SIGNAL).+UNKNOWN)" - &gt;&gt; 2017-02-13-UncaughtWiMAX.txt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614</v>
      </c>
      <c r="B54" s="7">
        <v>4019</v>
      </c>
      <c r="C54" s="21" t="s">
        <v>193</v>
      </c>
      <c r="D54" s="21" t="s">
        <v>490</v>
      </c>
      <c r="E54" s="13">
        <v>42779.399571759262</v>
      </c>
      <c r="F54" s="13">
        <v>42779.403703703705</v>
      </c>
      <c r="G54" s="7">
        <v>1</v>
      </c>
      <c r="H54" s="21" t="s">
        <v>521</v>
      </c>
      <c r="I54" s="13">
        <v>42779.430335648147</v>
      </c>
      <c r="J54" s="7">
        <v>0</v>
      </c>
      <c r="K54" s="98" t="str">
        <f t="shared" si="0"/>
        <v>4019/4020</v>
      </c>
      <c r="L54" s="21" t="str">
        <f>VLOOKUP(A54,'Trips&amp;Operators'!$C$1:$G$99999,5,FALSE)</f>
        <v>OUN ZACK</v>
      </c>
      <c r="M54" s="6">
        <f t="shared" si="1"/>
        <v>2.6631944441760425E-2</v>
      </c>
      <c r="N54" s="7">
        <f t="shared" si="21"/>
        <v>38.349999996135011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8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7" t="str">
        <f t="shared" si="5"/>
        <v>https://d0f6bd738d7f1b3e5a7ca70fe4ff75f0.us-east-1.aws.found.io/app/kibana#/discover/Steve-Slow-Train-Analysis-(2080s-and-2083s)?_g=(refreshInterval:(display:Off,pause:!f,section:0,value:0),time:(from:'2017-02-13T08:35:23-0700',mode:absolute,to:'2017-02-13T11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4" s="188" t="str">
        <f t="shared" si="6"/>
        <v>N</v>
      </c>
      <c r="X54" s="188">
        <f t="shared" si="22"/>
        <v>1</v>
      </c>
      <c r="Y54" s="62">
        <f t="shared" si="8"/>
        <v>23.301300000000001</v>
      </c>
      <c r="Z54" s="62">
        <f t="shared" si="9"/>
        <v>1.34E-2</v>
      </c>
      <c r="AA54" s="62">
        <f t="shared" si="10"/>
        <v>23.2879</v>
      </c>
      <c r="AB54" s="59" t="e">
        <f>VLOOKUP(A54,Enforcements!$C$7:$K$14,8,0)</f>
        <v>#N/A</v>
      </c>
      <c r="AC54" s="55" t="e">
        <f>VLOOKUP(A54,Enforcements!$C$7:$E$14,3,0)</f>
        <v>#N/A</v>
      </c>
      <c r="AD54" s="56" t="str">
        <f t="shared" si="11"/>
        <v>0142-13</v>
      </c>
      <c r="AE54" s="85" t="str">
        <f t="shared" si="12"/>
        <v>aws s3 cp s3://rtdc.mdm.uploadarchive.raw/RTDC4019/ "%USERPROFILE%\AppData\Local\Temp\OnboardLogs"\RTDC4019\2017-02-13 --exclude "*" --recursive --include "*20170213*" &amp; "%USERPROFILE%\Documents\GitHub\mrs-test-scripts\Headless Mode &amp; Sideloading\WalkAndUnGZ.bat" "%USERPROFILE%\AppData\Local\Temp\OnboardLogs"\RTDC4019\2017-02-13 &amp; 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</v>
      </c>
      <c r="AF54" s="82" t="str">
        <f t="shared" si="13"/>
        <v>"C:\Program Files (x86)\AstroGrep\AstroGrep.exe" /spath="%USERPROFILE%\AppData\Local\Temp\OnboardLogs" /stypes="app*4019*20170213*"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6" t="str">
        <f t="shared" si="18"/>
        <v>"%USERPROFILE%\Documents\GitHub\eaglep3\Utilities\RefineRTDCRunTimes.py" --tripid 142-13 --locoid 4019 --swversion DE.1.0.8.0 --startMP 204:233013 --initTime 2017-02-13T09:35:23 --startdatetime 2017-02-13T09:41:20 --delay 1 --endMP 204:134 --enddatetime 2017-02-13T10:19:41 --enforcementcount 0 &gt;&gt;C:\Users\stu\Documents\GitHub\eaglep3-reporting\EC\2017-02-13-refined-times.txt</v>
      </c>
      <c r="AI54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{"issue":{"subject":"","project_id":79,"tracker_id":40,"status_id":1,"priority_id":2,"assigned_to_id":23,"start_date":"2017-02-13","description":"","custom_fields":[{"id":1,"name":"Subdivision","value":"EC"},{"id":4,"name":"Milepost","value":"0.0134"},{"id":17,"name":"Train ID","value":"142-13"},{"id":16,"name":"Locomotive ID","value":"4019"},{"id":130,"name":"Impact","value":""},{"id":150,"name":"Time of Event (Mountain Time)","value":"10:19:41"},{"id":151,"name":"Denver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4019 --day 2017-02-13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"%USERPROFILE%\AppData\Local\Temp\OnboardLogs"\RTDC4019\*4019*20170213* | grep -SE "(Enforcement Action)|(\[TIMEOUT)|(CHR.+\|PRM\|1\|D.+(SWITCH|SIGNAL).+UNKNOWN)" - &gt;&gt; 2017-02-13-UncaughtWiMAX.txt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609</v>
      </c>
      <c r="B55" s="7">
        <v>4011</v>
      </c>
      <c r="C55" s="21" t="s">
        <v>193</v>
      </c>
      <c r="D55" s="21" t="s">
        <v>219</v>
      </c>
      <c r="E55" s="13">
        <v>42779.371006944442</v>
      </c>
      <c r="F55" s="13">
        <v>42779.375150462962</v>
      </c>
      <c r="G55" s="7">
        <v>1</v>
      </c>
      <c r="H55" s="21" t="s">
        <v>779</v>
      </c>
      <c r="I55" s="13">
        <v>42779.400405092594</v>
      </c>
      <c r="J55" s="7">
        <v>0</v>
      </c>
      <c r="K55" s="98" t="str">
        <f t="shared" si="0"/>
        <v>4011/4012</v>
      </c>
      <c r="L55" s="21" t="str">
        <f>VLOOKUP(A55,'Trips&amp;Operators'!$C$1:$G$99999,5,FALSE)</f>
        <v>ROBINSON KADDIBA</v>
      </c>
      <c r="M55" s="6">
        <f t="shared" si="1"/>
        <v>2.5254629632399883E-2</v>
      </c>
      <c r="N55" s="7">
        <f t="shared" si="21"/>
        <v>36.366666670655832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8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7" t="str">
        <f t="shared" si="5"/>
        <v>https://d0f6bd738d7f1b3e5a7ca70fe4ff75f0.us-east-1.aws.found.io/app/kibana#/discover/Steve-Slow-Train-Analysis-(2080s-and-2083s)?_g=(refreshInterval:(display:Off,pause:!f,section:0,value:0),time:(from:'2017-02-13T07:54:15-0700',mode:absolute,to:'2017-02-13T10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5" s="188" t="str">
        <f t="shared" si="6"/>
        <v>N</v>
      </c>
      <c r="X55" s="188">
        <f t="shared" si="22"/>
        <v>1</v>
      </c>
      <c r="Y55" s="62">
        <f t="shared" si="8"/>
        <v>4.6899999999999997E-2</v>
      </c>
      <c r="Z55" s="62">
        <f t="shared" si="9"/>
        <v>23.334</v>
      </c>
      <c r="AA55" s="62">
        <f t="shared" si="10"/>
        <v>23.287099999999999</v>
      </c>
      <c r="AB55" s="59" t="e">
        <f>VLOOKUP(A55,Enforcements!$C$7:$K$14,8,0)</f>
        <v>#N/A</v>
      </c>
      <c r="AC55" s="55" t="e">
        <f>VLOOKUP(A55,Enforcements!$C$7:$E$14,3,0)</f>
        <v>#N/A</v>
      </c>
      <c r="AD55" s="56" t="str">
        <f t="shared" si="11"/>
        <v>0143-13</v>
      </c>
      <c r="AE55" s="85" t="str">
        <f t="shared" si="12"/>
        <v>aws s3 cp s3://rtdc.mdm.uploadarchive.raw/RTDC4011/ "%USERPROFILE%\AppData\Local\Temp\OnboardLogs"\RTDC4011\2017-02-13 --exclude "*" --recursive --include "*20170213*" &amp; "%USERPROFILE%\Documents\GitHub\mrs-test-scripts\Headless Mode &amp; Sideloading\WalkAndUnGZ.bat" "%USERPROFILE%\AppData\Local\Temp\OnboardLogs"\RTDC4011\2017-02-13 &amp; aws s3 cp s3://rtdc.mdm.uploadarchive.raw/RTDC4011/ "%USERPROFILE%\AppData\Local\Temp\OnboardLogs"\RTDC4011\2017-02-14 --exclude "*" --recursive --include "*20170214*" &amp; "%USERPROFILE%\Documents\GitHub\mrs-test-scripts\Headless Mode &amp; Sideloading\WalkAndUnGZ.bat" "%USERPROFILE%\AppData\Local\Temp\OnboardLogs"\RTDC4011\2017-02-14</v>
      </c>
      <c r="AF55" s="82" t="str">
        <f t="shared" si="13"/>
        <v>"C:\Program Files (x86)\AstroGrep\AstroGrep.exe" /spath="%USERPROFILE%\AppData\Local\Temp\OnboardLogs" /stypes="app*4011*20170213*"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6" t="str">
        <f t="shared" si="18"/>
        <v>"%USERPROFILE%\Documents\GitHub\eaglep3\Utilities\RefineRTDCRunTimes.py" --tripid 143-13 --locoid 4011 --swversion DE.1.0.8.0 --startMP 204:469 --initTime 2017-02-13T08:54:15 --startdatetime 2017-02-13T09:00:13 --delay 1 --endMP 204:233340 --enddatetime 2017-02-13T09:36:35 --enforcementcount 0 &gt;&gt;C:\Users\stu\Documents\GitHub\eaglep3-reporting\EC\2017-02-13-refined-times.txt</v>
      </c>
      <c r="AI55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{"issue":{"subject":"","project_id":79,"tracker_id":40,"status_id":1,"priority_id":2,"assigned_to_id":23,"start_date":"2017-02-13","description":"","custom_fields":[{"id":1,"name":"Subdivision","value":"EC"},{"id":4,"name":"Milepost","value":"23.334"},{"id":17,"name":"Train ID","value":"143-13"},{"id":16,"name":"Locomotive ID","value":"4011"},{"id":130,"name":"Impact","value":""},{"id":150,"name":"Time of Event (Mountain Time)","value":"09:36:35"},{"id":151,"name":"Denver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4011 --day 2017-02-13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"%USERPROFILE%\AppData\Local\Temp\OnboardLogs"\RTDC4011\*4011*20170213* | grep -SE "(Enforcement Action)|(\[TIMEOUT)|(CHR.+\|PRM\|1\|D.+(SWITCH|SIGNAL).+UNKNOWN)" - &gt;&gt; 2017-02-13-UncaughtWiMAX.txt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616</v>
      </c>
      <c r="B56" s="7">
        <v>4012</v>
      </c>
      <c r="C56" s="21" t="s">
        <v>193</v>
      </c>
      <c r="D56" s="21" t="s">
        <v>780</v>
      </c>
      <c r="E56" s="13">
        <v>42779.410254629627</v>
      </c>
      <c r="F56" s="13">
        <v>42779.414120370369</v>
      </c>
      <c r="G56" s="7">
        <v>1</v>
      </c>
      <c r="H56" s="21" t="s">
        <v>195</v>
      </c>
      <c r="I56" s="13">
        <v>42779.439895833333</v>
      </c>
      <c r="J56" s="7">
        <v>0</v>
      </c>
      <c r="K56" s="98" t="str">
        <f t="shared" si="0"/>
        <v>4011/4012</v>
      </c>
      <c r="L56" s="21" t="str">
        <f>VLOOKUP(A56,'Trips&amp;Operators'!$C$1:$G$99999,5,FALSE)</f>
        <v>ROBINSON KADDIBA</v>
      </c>
      <c r="M56" s="6">
        <f t="shared" si="1"/>
        <v>2.5775462963792961E-2</v>
      </c>
      <c r="N56" s="7">
        <f t="shared" si="21"/>
        <v>37.116666667861864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8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7" t="str">
        <f t="shared" si="5"/>
        <v>https://d0f6bd738d7f1b3e5a7ca70fe4ff75f0.us-east-1.aws.found.io/app/kibana#/discover/Steve-Slow-Train-Analysis-(2080s-and-2083s)?_g=(refreshInterval:(display:Off,pause:!f,section:0,value:0),time:(from:'2017-02-13T08:50:46-0700',mode:absolute,to:'2017-02-13T11:33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6" s="188" t="str">
        <f t="shared" si="6"/>
        <v>N</v>
      </c>
      <c r="X56" s="188">
        <f t="shared" si="22"/>
        <v>1</v>
      </c>
      <c r="Y56" s="62">
        <f t="shared" si="8"/>
        <v>23.302700000000002</v>
      </c>
      <c r="Z56" s="62">
        <f t="shared" si="9"/>
        <v>1.4999999999999999E-2</v>
      </c>
      <c r="AA56" s="62">
        <f t="shared" si="10"/>
        <v>23.287700000000001</v>
      </c>
      <c r="AB56" s="59" t="e">
        <f>VLOOKUP(A56,Enforcements!$C$7:$K$14,8,0)</f>
        <v>#N/A</v>
      </c>
      <c r="AC56" s="55" t="e">
        <f>VLOOKUP(A56,Enforcements!$C$7:$E$14,3,0)</f>
        <v>#N/A</v>
      </c>
      <c r="AD56" s="56" t="str">
        <f t="shared" si="11"/>
        <v>0144-13</v>
      </c>
      <c r="AE56" s="85" t="str">
        <f t="shared" si="12"/>
        <v>aws s3 cp s3://rtdc.mdm.uploadarchive.raw/RTDC4012/ "%USERPROFILE%\AppData\Local\Temp\OnboardLogs"\RTDC4012\2017-02-13 --exclude "*" --recursive --include "*20170213*" &amp; "%USERPROFILE%\Documents\GitHub\mrs-test-scripts\Headless Mode &amp; Sideloading\WalkAndUnGZ.bat" "%USERPROFILE%\AppData\Local\Temp\OnboardLogs"\RTDC4012\2017-02-13 &amp; 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</v>
      </c>
      <c r="AF56" s="82" t="str">
        <f t="shared" si="13"/>
        <v>"C:\Program Files (x86)\AstroGrep\AstroGrep.exe" /spath="%USERPROFILE%\AppData\Local\Temp\OnboardLogs" /stypes="app*4012*20170213*"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6" t="str">
        <f t="shared" si="18"/>
        <v>"%USERPROFILE%\Documents\GitHub\eaglep3\Utilities\RefineRTDCRunTimes.py" --tripid 144-13 --locoid 4012 --swversion DE.1.0.8.0 --startMP 204:233027 --initTime 2017-02-13T09:50:46 --startdatetime 2017-02-13T09:56:20 --delay 1 --endMP 204:150 --enddatetime 2017-02-13T10:33:27 --enforcementcount 0 &gt;&gt;C:\Users\stu\Documents\GitHub\eaglep3-reporting\EC\2017-02-13-refined-times.txt</v>
      </c>
      <c r="AI56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{"issue":{"subject":"","project_id":79,"tracker_id":40,"status_id":1,"priority_id":2,"assigned_to_id":23,"start_date":"2017-02-13","description":"","custom_fields":[{"id":1,"name":"Subdivision","value":"EC"},{"id":4,"name":"Milepost","value":"0.015"},{"id":17,"name":"Train ID","value":"144-13"},{"id":16,"name":"Locomotive ID","value":"4012"},{"id":130,"name":"Impact","value":""},{"id":150,"name":"Time of Event (Mountain Time)","value":"10:33:27"},{"id":151,"name":"Denver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4012 --day 2017-02-13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"%USERPROFILE%\AppData\Local\Temp\OnboardLogs"\RTDC4012\*4012*20170213* | grep -SE "(Enforcement Action)|(\[TIMEOUT)|(CHR.+\|PRM\|1\|D.+(SWITCH|SIGNAL).+UNKNOWN)" - &gt;&gt; 2017-02-13-UncaughtWiMAX.txt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611</v>
      </c>
      <c r="B57" s="7">
        <v>4040</v>
      </c>
      <c r="C57" s="21" t="s">
        <v>193</v>
      </c>
      <c r="D57" s="21" t="s">
        <v>208</v>
      </c>
      <c r="E57" s="13">
        <v>42779.38008101852</v>
      </c>
      <c r="F57" s="13">
        <v>42779.385671296295</v>
      </c>
      <c r="G57" s="7">
        <v>1</v>
      </c>
      <c r="H57" s="21" t="s">
        <v>479</v>
      </c>
      <c r="I57" s="13">
        <v>42779.410243055558</v>
      </c>
      <c r="J57" s="7">
        <v>0</v>
      </c>
      <c r="K57" s="98" t="str">
        <f t="shared" si="0"/>
        <v>4039/4040</v>
      </c>
      <c r="L57" s="21" t="str">
        <f>VLOOKUP(A57,'Trips&amp;Operators'!$C$1:$G$99999,5,FALSE)</f>
        <v>MAELZER KURT</v>
      </c>
      <c r="M57" s="6">
        <f t="shared" si="1"/>
        <v>2.457175926247146E-2</v>
      </c>
      <c r="N57" s="7">
        <f t="shared" si="21"/>
        <v>35.383333337958902</v>
      </c>
      <c r="O57" s="7"/>
      <c r="P57" s="7"/>
      <c r="Q57" s="22"/>
      <c r="R57" s="22"/>
      <c r="S57" s="31">
        <f t="shared" si="3"/>
        <v>1</v>
      </c>
      <c r="T57" s="46" t="str">
        <f t="shared" si="4"/>
        <v>NorthBound</v>
      </c>
      <c r="U57" s="18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7" t="str">
        <f t="shared" si="5"/>
        <v>https://d0f6bd738d7f1b3e5a7ca70fe4ff75f0.us-east-1.aws.found.io/app/kibana#/discover/Steve-Slow-Train-Analysis-(2080s-and-2083s)?_g=(refreshInterval:(display:Off,pause:!f,section:0,value:0),time:(from:'2017-02-13T08:07:19-0700',mode:absolute,to:'2017-02-13T10:50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7" s="188" t="str">
        <f t="shared" si="6"/>
        <v>N</v>
      </c>
      <c r="X57" s="188">
        <f t="shared" si="22"/>
        <v>1</v>
      </c>
      <c r="Y57" s="62">
        <f t="shared" si="8"/>
        <v>4.4900000000000002E-2</v>
      </c>
      <c r="Z57" s="62">
        <f t="shared" si="9"/>
        <v>23.332000000000001</v>
      </c>
      <c r="AA57" s="62">
        <f t="shared" si="10"/>
        <v>23.287100000000002</v>
      </c>
      <c r="AB57" s="59" t="e">
        <f>VLOOKUP(A57,Enforcements!$C$7:$K$14,8,0)</f>
        <v>#N/A</v>
      </c>
      <c r="AC57" s="55" t="e">
        <f>VLOOKUP(A57,Enforcements!$C$7:$E$14,3,0)</f>
        <v>#N/A</v>
      </c>
      <c r="AD57" s="56" t="str">
        <f t="shared" si="11"/>
        <v>0145-13</v>
      </c>
      <c r="AE57" s="85" t="str">
        <f t="shared" si="12"/>
        <v>aws s3 cp s3://rtdc.mdm.uploadarchive.raw/RTDC4040/ "%USERPROFILE%\AppData\Local\Temp\OnboardLogs"\RTDC4040\2017-02-13 --exclude "*" --recursive --include "*20170213*" &amp; "%USERPROFILE%\Documents\GitHub\mrs-test-scripts\Headless Mode &amp; Sideloading\WalkAndUnGZ.bat" "%USERPROFILE%\AppData\Local\Temp\OnboardLogs"\RTDC4040\2017-02-13 &amp; aws s3 cp s3://rtdc.mdm.uploadarchive.raw/RTDC4040/ "%USERPROFILE%\AppData\Local\Temp\OnboardLogs"\RTDC4040\2017-02-14 --exclude "*" --recursive --include "*20170214*" &amp; "%USERPROFILE%\Documents\GitHub\mrs-test-scripts\Headless Mode &amp; Sideloading\WalkAndUnGZ.bat" "%USERPROFILE%\AppData\Local\Temp\OnboardLogs"\RTDC4040\2017-02-14</v>
      </c>
      <c r="AF57" s="82" t="str">
        <f t="shared" si="13"/>
        <v>"C:\Program Files (x86)\AstroGrep\AstroGrep.exe" /spath="%USERPROFILE%\AppData\Local\Temp\OnboardLogs" /stypes="app*4040*20170213*"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6" t="str">
        <f t="shared" si="18"/>
        <v>"%USERPROFILE%\Documents\GitHub\eaglep3\Utilities\RefineRTDCRunTimes.py" --tripid 145-13 --locoid 4040 --swversion DE.1.0.8.0 --startMP 204:449 --initTime 2017-02-13T09:07:19 --startdatetime 2017-02-13T09:15:22 --delay 1 --endMP 204:233320 --enddatetime 2017-02-13T09:50:45 --enforcementcount 0 &gt;&gt;C:\Users\stu\Documents\GitHub\eaglep3-reporting\EC\2017-02-13-refined-times.txt</v>
      </c>
      <c r="AI57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{"issue":{"subject":"","project_id":79,"tracker_id":40,"status_id":1,"priority_id":2,"assigned_to_id":23,"start_date":"2017-02-13","description":"","custom_fields":[{"id":1,"name":"Subdivision","value":"EC"},{"id":4,"name":"Milepost","value":"23.332"},{"id":17,"name":"Train ID","value":"145-13"},{"id":16,"name":"Locomotive ID","value":"4040"},{"id":130,"name":"Impact","value":""},{"id":150,"name":"Time of Event (Mountain Time)","value":"09:50:45"},{"id":151,"name":"Denver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4040 --day 2017-02-13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"%USERPROFILE%\AppData\Local\Temp\OnboardLogs"\RTDC4040\*4040*20170213* | grep -SE "(Enforcement Action)|(\[TIMEOUT)|(CHR.+\|PRM\|1\|D.+(SWITCH|SIGNAL).+UNKNOWN)" - &gt;&gt; 2017-02-13-UncaughtWiMAX.txt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618</v>
      </c>
      <c r="B58" s="7">
        <v>4039</v>
      </c>
      <c r="C58" s="21" t="s">
        <v>193</v>
      </c>
      <c r="D58" s="21" t="s">
        <v>515</v>
      </c>
      <c r="E58" s="13">
        <v>42779.418888888889</v>
      </c>
      <c r="F58" s="13">
        <v>42779.424583333333</v>
      </c>
      <c r="G58" s="7">
        <v>1</v>
      </c>
      <c r="H58" s="21" t="s">
        <v>454</v>
      </c>
      <c r="I58" s="13">
        <v>42779.451377314814</v>
      </c>
      <c r="J58" s="7">
        <v>0</v>
      </c>
      <c r="K58" s="98" t="str">
        <f t="shared" si="0"/>
        <v>4039/4040</v>
      </c>
      <c r="L58" s="21" t="str">
        <f>VLOOKUP(A58,'Trips&amp;Operators'!$C$1:$G$99999,5,FALSE)</f>
        <v>MAELZER KURT</v>
      </c>
      <c r="M58" s="6">
        <f t="shared" si="1"/>
        <v>2.679398148029577E-2</v>
      </c>
      <c r="N58" s="7">
        <f t="shared" si="21"/>
        <v>38.583333331625909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8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7" t="str">
        <f t="shared" si="5"/>
        <v>https://d0f6bd738d7f1b3e5a7ca70fe4ff75f0.us-east-1.aws.found.io/app/kibana#/discover/Steve-Slow-Train-Analysis-(2080s-and-2083s)?_g=(refreshInterval:(display:Off,pause:!f,section:0,value:0),time:(from:'2017-02-13T09:03:12-0700',mode:absolute,to:'2017-02-13T11:49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8" s="188" t="str">
        <f t="shared" si="6"/>
        <v>N</v>
      </c>
      <c r="X58" s="188">
        <f t="shared" si="22"/>
        <v>1</v>
      </c>
      <c r="Y58" s="62">
        <f t="shared" si="8"/>
        <v>23.298200000000001</v>
      </c>
      <c r="Z58" s="62">
        <f t="shared" si="9"/>
        <v>1.47E-2</v>
      </c>
      <c r="AA58" s="62">
        <f t="shared" si="10"/>
        <v>23.2835</v>
      </c>
      <c r="AB58" s="59" t="e">
        <f>VLOOKUP(A58,Enforcements!$C$7:$K$14,8,0)</f>
        <v>#N/A</v>
      </c>
      <c r="AC58" s="55" t="e">
        <f>VLOOKUP(A58,Enforcements!$C$7:$E$14,3,0)</f>
        <v>#N/A</v>
      </c>
      <c r="AD58" s="56" t="str">
        <f t="shared" si="11"/>
        <v>0146-13</v>
      </c>
      <c r="AE58" s="85" t="str">
        <f t="shared" si="12"/>
        <v>aws s3 cp s3://rtdc.mdm.uploadarchive.raw/RTDC4039/ "%USERPROFILE%\AppData\Local\Temp\OnboardLogs"\RTDC4039\2017-02-13 --exclude "*" --recursive --include "*20170213*" &amp; "%USERPROFILE%\Documents\GitHub\mrs-test-scripts\Headless Mode &amp; Sideloading\WalkAndUnGZ.bat" "%USERPROFILE%\AppData\Local\Temp\OnboardLogs"\RTDC4039\2017-02-13 &amp; aws s3 cp s3://rtdc.mdm.uploadarchive.raw/RTDC4039/ "%USERPROFILE%\AppData\Local\Temp\OnboardLogs"\RTDC4039\2017-02-14 --exclude "*" --recursive --include "*20170214*" &amp; "%USERPROFILE%\Documents\GitHub\mrs-test-scripts\Headless Mode &amp; Sideloading\WalkAndUnGZ.bat" "%USERPROFILE%\AppData\Local\Temp\OnboardLogs"\RTDC4039\2017-02-14</v>
      </c>
      <c r="AF58" s="82" t="str">
        <f t="shared" si="13"/>
        <v>"C:\Program Files (x86)\AstroGrep\AstroGrep.exe" /spath="%USERPROFILE%\AppData\Local\Temp\OnboardLogs" /stypes="app*4039*20170213*"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6" t="str">
        <f t="shared" si="18"/>
        <v>"%USERPROFILE%\Documents\GitHub\eaglep3\Utilities\RefineRTDCRunTimes.py" --tripid 146-13 --locoid 4039 --swversion DE.1.0.8.0 --startMP 204:232982 --initTime 2017-02-13T10:03:12 --startdatetime 2017-02-13T10:11:24 --delay 1 --endMP 204:147 --enddatetime 2017-02-13T10:49:59 --enforcementcount 0 &gt;&gt;C:\Users\stu\Documents\GitHub\eaglep3-reporting\EC\2017-02-13-refined-times.txt</v>
      </c>
      <c r="AI58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{"issue":{"subject":"","project_id":79,"tracker_id":40,"status_id":1,"priority_id":2,"assigned_to_id":23,"start_date":"2017-02-13","description":"","custom_fields":[{"id":1,"name":"Subdivision","value":"EC"},{"id":4,"name":"Milepost","value":"0.0147"},{"id":17,"name":"Train ID","value":"146-13"},{"id":16,"name":"Locomotive ID","value":"4039"},{"id":130,"name":"Impact","value":""},{"id":150,"name":"Time of Event (Mountain Time)","value":"10:49:59"},{"id":151,"name":"Denver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4039 --day 2017-02-13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"%USERPROFILE%\AppData\Local\Temp\OnboardLogs"\RTDC4039\*4039*20170213* | grep -SE "(Enforcement Action)|(\[TIMEOUT)|(CHR.+\|PRM\|1\|D.+(SWITCH|SIGNAL).+UNKNOWN)" - &gt;&gt; 2017-02-13-UncaughtWiMAX.txt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613</v>
      </c>
      <c r="B59" s="7">
        <v>4025</v>
      </c>
      <c r="C59" s="21" t="s">
        <v>193</v>
      </c>
      <c r="D59" s="21" t="s">
        <v>235</v>
      </c>
      <c r="E59" s="13">
        <v>42779.391828703701</v>
      </c>
      <c r="F59" s="13">
        <v>42779.396053240744</v>
      </c>
      <c r="G59" s="7">
        <v>1</v>
      </c>
      <c r="H59" s="21" t="s">
        <v>482</v>
      </c>
      <c r="I59" s="13">
        <v>42779.4218287037</v>
      </c>
      <c r="J59" s="7">
        <v>0</v>
      </c>
      <c r="K59" s="98" t="str">
        <f t="shared" si="0"/>
        <v>4025/4026</v>
      </c>
      <c r="L59" s="21" t="str">
        <f>VLOOKUP(A59,'Trips&amp;Operators'!$C$1:$G$99999,5,FALSE)</f>
        <v>STARKS ANGELINA</v>
      </c>
      <c r="M59" s="6">
        <f t="shared" si="1"/>
        <v>2.5775462956517003E-2</v>
      </c>
      <c r="N59" s="7">
        <f t="shared" si="21"/>
        <v>37.116666657384485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8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7" t="str">
        <f t="shared" si="5"/>
        <v>https://d0f6bd738d7f1b3e5a7ca70fe4ff75f0.us-east-1.aws.found.io/app/kibana#/discover/Steve-Slow-Train-Analysis-(2080s-and-2083s)?_g=(refreshInterval:(display:Off,pause:!f,section:0,value:0),time:(from:'2017-02-13T08:24:14-0700',mode:absolute,to:'2017-02-13T11:07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9" s="188" t="str">
        <f t="shared" si="6"/>
        <v>N</v>
      </c>
      <c r="X59" s="188">
        <f t="shared" si="22"/>
        <v>1</v>
      </c>
      <c r="Y59" s="62">
        <f t="shared" si="8"/>
        <v>4.5100000000000001E-2</v>
      </c>
      <c r="Z59" s="62">
        <f t="shared" si="9"/>
        <v>23.329799999999999</v>
      </c>
      <c r="AA59" s="62">
        <f t="shared" si="10"/>
        <v>23.284699999999997</v>
      </c>
      <c r="AB59" s="59" t="e">
        <f>VLOOKUP(A59,Enforcements!$C$7:$K$14,8,0)</f>
        <v>#N/A</v>
      </c>
      <c r="AC59" s="55" t="e">
        <f>VLOOKUP(A59,Enforcements!$C$7:$E$14,3,0)</f>
        <v>#N/A</v>
      </c>
      <c r="AD59" s="56" t="str">
        <f t="shared" si="11"/>
        <v>0147-13</v>
      </c>
      <c r="AE59" s="85" t="str">
        <f t="shared" si="12"/>
        <v>aws s3 cp s3://rtdc.mdm.uploadarchive.raw/RTDC4025/ "%USERPROFILE%\AppData\Local\Temp\OnboardLogs"\RTDC4025\2017-02-13 --exclude "*" --recursive --include "*20170213*" &amp; "%USERPROFILE%\Documents\GitHub\mrs-test-scripts\Headless Mode &amp; Sideloading\WalkAndUnGZ.bat" "%USERPROFILE%\AppData\Local\Temp\OnboardLogs"\RTDC4025\2017-02-13 &amp; aws s3 cp s3://rtdc.mdm.uploadarchive.raw/RTDC4025/ "%USERPROFILE%\AppData\Local\Temp\OnboardLogs"\RTDC4025\2017-02-14 --exclude "*" --recursive --include "*20170214*" &amp; "%USERPROFILE%\Documents\GitHub\mrs-test-scripts\Headless Mode &amp; Sideloading\WalkAndUnGZ.bat" "%USERPROFILE%\AppData\Local\Temp\OnboardLogs"\RTDC4025\2017-02-14</v>
      </c>
      <c r="AF59" s="82" t="str">
        <f t="shared" si="13"/>
        <v>"C:\Program Files (x86)\AstroGrep\AstroGrep.exe" /spath="%USERPROFILE%\AppData\Local\Temp\OnboardLogs" /stypes="app*4025*20170213*"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6" t="str">
        <f t="shared" si="18"/>
        <v>"%USERPROFILE%\Documents\GitHub\eaglep3\Utilities\RefineRTDCRunTimes.py" --tripid 147-13 --locoid 4025 --swversion DE.1.0.8.0 --startMP 204:451 --initTime 2017-02-13T09:24:14 --startdatetime 2017-02-13T09:30:19 --delay 1 --endMP 204:233298 --enddatetime 2017-02-13T10:07:26 --enforcementcount 0 &gt;&gt;C:\Users\stu\Documents\GitHub\eaglep3-reporting\EC\2017-02-13-refined-times.txt</v>
      </c>
      <c r="AI59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{"issue":{"subject":"","project_id":79,"tracker_id":40,"status_id":1,"priority_id":2,"assigned_to_id":23,"start_date":"2017-02-13","description":"","custom_fields":[{"id":1,"name":"Subdivision","value":"EC"},{"id":4,"name":"Milepost","value":"23.3298"},{"id":17,"name":"Train ID","value":"147-13"},{"id":16,"name":"Locomotive ID","value":"4025"},{"id":130,"name":"Impact","value":""},{"id":150,"name":"Time of Event (Mountain Time)","value":"10:07:26"},{"id":151,"name":"Denver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4025 --day 2017-02-13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"%USERPROFILE%\AppData\Local\Temp\OnboardLogs"\RTDC4025\*4025*20170213* | grep -SE "(Enforcement Action)|(\[TIMEOUT)|(CHR.+\|PRM\|1\|D.+(SWITCH|SIGNAL).+UNKNOWN)" - &gt;&gt; 2017-02-13-UncaughtWiMAX.txt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622</v>
      </c>
      <c r="B60" s="7">
        <v>4026</v>
      </c>
      <c r="C60" s="21" t="s">
        <v>193</v>
      </c>
      <c r="D60" s="21" t="s">
        <v>781</v>
      </c>
      <c r="E60" s="13">
        <v>42779.432858796295</v>
      </c>
      <c r="F60" s="13">
        <v>42779.434884259259</v>
      </c>
      <c r="G60" s="7">
        <v>1</v>
      </c>
      <c r="H60" s="21" t="s">
        <v>454</v>
      </c>
      <c r="I60" s="13">
        <v>42779.462719907409</v>
      </c>
      <c r="J60" s="7">
        <v>0</v>
      </c>
      <c r="K60" s="98" t="str">
        <f t="shared" si="0"/>
        <v>4025/4026</v>
      </c>
      <c r="L60" s="21" t="str">
        <f>VLOOKUP(A60,'Trips&amp;Operators'!$C$1:$G$99999,5,FALSE)</f>
        <v>STARKS ANGELINA</v>
      </c>
      <c r="M60" s="6">
        <f t="shared" si="1"/>
        <v>2.7835648150357883E-2</v>
      </c>
      <c r="N60" s="7">
        <f t="shared" si="21"/>
        <v>40.083333336515352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8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7" t="str">
        <f t="shared" si="5"/>
        <v>https://d0f6bd738d7f1b3e5a7ca70fe4ff75f0.us-east-1.aws.found.io/app/kibana#/discover/Steve-Slow-Train-Analysis-(2080s-and-2083s)?_g=(refreshInterval:(display:Off,pause:!f,section:0,value:0),time:(from:'2017-02-13T09:23:19-0700',mode:absolute,to:'2017-02-13T12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0" s="188" t="str">
        <f t="shared" si="6"/>
        <v>N</v>
      </c>
      <c r="X60" s="188">
        <f t="shared" si="22"/>
        <v>1</v>
      </c>
      <c r="Y60" s="62">
        <f t="shared" si="8"/>
        <v>23.298500000000001</v>
      </c>
      <c r="Z60" s="62">
        <f t="shared" si="9"/>
        <v>1.47E-2</v>
      </c>
      <c r="AA60" s="62">
        <f t="shared" si="10"/>
        <v>23.283799999999999</v>
      </c>
      <c r="AB60" s="59" t="e">
        <f>VLOOKUP(A60,Enforcements!$C$7:$K$14,8,0)</f>
        <v>#N/A</v>
      </c>
      <c r="AC60" s="55" t="e">
        <f>VLOOKUP(A60,Enforcements!$C$7:$E$14,3,0)</f>
        <v>#N/A</v>
      </c>
      <c r="AD60" s="56" t="str">
        <f t="shared" si="11"/>
        <v>0148-13</v>
      </c>
      <c r="AE60" s="85" t="str">
        <f t="shared" si="12"/>
        <v>aws s3 cp s3://rtdc.mdm.uploadarchive.raw/RTDC4026/ "%USERPROFILE%\AppData\Local\Temp\OnboardLogs"\RTDC4026\2017-02-13 --exclude "*" --recursive --include "*20170213*" &amp; "%USERPROFILE%\Documents\GitHub\mrs-test-scripts\Headless Mode &amp; Sideloading\WalkAndUnGZ.bat" "%USERPROFILE%\AppData\Local\Temp\OnboardLogs"\RTDC4026\2017-02-13 &amp; aws s3 cp s3://rtdc.mdm.uploadarchive.raw/RTDC4026/ "%USERPROFILE%\AppData\Local\Temp\OnboardLogs"\RTDC4026\2017-02-14 --exclude "*" --recursive --include "*20170214*" &amp; "%USERPROFILE%\Documents\GitHub\mrs-test-scripts\Headless Mode &amp; Sideloading\WalkAndUnGZ.bat" "%USERPROFILE%\AppData\Local\Temp\OnboardLogs"\RTDC4026\2017-02-14</v>
      </c>
      <c r="AF60" s="82" t="str">
        <f t="shared" si="13"/>
        <v>"C:\Program Files (x86)\AstroGrep\AstroGrep.exe" /spath="%USERPROFILE%\AppData\Local\Temp\OnboardLogs" /stypes="app*4026*20170213*"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6" t="str">
        <f t="shared" si="18"/>
        <v>"%USERPROFILE%\Documents\GitHub\eaglep3\Utilities\RefineRTDCRunTimes.py" --tripid 148-13 --locoid 4026 --swversion DE.1.0.8.0 --startMP 204:232985 --initTime 2017-02-13T10:23:19 --startdatetime 2017-02-13T10:26:14 --delay 1 --endMP 204:147 --enddatetime 2017-02-13T11:06:19 --enforcementcount 0 &gt;&gt;C:\Users\stu\Documents\GitHub\eaglep3-reporting\EC\2017-02-13-refined-times.txt</v>
      </c>
      <c r="AI60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{"issue":{"subject":"","project_id":79,"tracker_id":40,"status_id":1,"priority_id":2,"assigned_to_id":23,"start_date":"2017-02-13","description":"","custom_fields":[{"id":1,"name":"Subdivision","value":"EC"},{"id":4,"name":"Milepost","value":"0.0147"},{"id":17,"name":"Train ID","value":"148-13"},{"id":16,"name":"Locomotive ID","value":"4026"},{"id":130,"name":"Impact","value":""},{"id":150,"name":"Time of Event (Mountain Time)","value":"11:06:19"},{"id":151,"name":"Denver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4026 --day 2017-02-13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"%USERPROFILE%\AppData\Local\Temp\OnboardLogs"\RTDC4026\*4026*20170213* | grep -SE "(Enforcement Action)|(\[TIMEOUT)|(CHR.+\|PRM\|1\|D.+(SWITCH|SIGNAL).+UNKNOWN)" - &gt;&gt; 2017-02-13-UncaughtWiMAX.txt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615</v>
      </c>
      <c r="B61" s="7">
        <v>4027</v>
      </c>
      <c r="C61" s="21" t="s">
        <v>193</v>
      </c>
      <c r="D61" s="21" t="s">
        <v>508</v>
      </c>
      <c r="E61" s="13">
        <v>42779.402175925927</v>
      </c>
      <c r="F61" s="13">
        <v>42779.406435185185</v>
      </c>
      <c r="G61" s="7">
        <v>1</v>
      </c>
      <c r="H61" s="21" t="s">
        <v>485</v>
      </c>
      <c r="I61" s="13">
        <v>42779.431921296295</v>
      </c>
      <c r="J61" s="7">
        <v>0</v>
      </c>
      <c r="K61" s="98" t="str">
        <f t="shared" si="0"/>
        <v>4027/4028</v>
      </c>
      <c r="L61" s="21" t="str">
        <f>VLOOKUP(A61,'Trips&amp;Operators'!$C$1:$G$99999,5,FALSE)</f>
        <v>BONDS REYNALDO</v>
      </c>
      <c r="M61" s="6">
        <f t="shared" si="1"/>
        <v>2.548611110978527E-2</v>
      </c>
      <c r="N61" s="7">
        <f t="shared" si="21"/>
        <v>36.699999998090789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8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7" t="str">
        <f t="shared" si="5"/>
        <v>https://d0f6bd738d7f1b3e5a7ca70fe4ff75f0.us-east-1.aws.found.io/app/kibana#/discover/Steve-Slow-Train-Analysis-(2080s-and-2083s)?_g=(refreshInterval:(display:Off,pause:!f,section:0,value:0),time:(from:'2017-02-13T08:39:08-0700',mode:absolute,to:'2017-02-13T11:21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1" s="188" t="str">
        <f t="shared" si="6"/>
        <v>N</v>
      </c>
      <c r="X61" s="188">
        <f t="shared" si="22"/>
        <v>1</v>
      </c>
      <c r="Y61" s="62">
        <f t="shared" si="8"/>
        <v>4.3799999999999999E-2</v>
      </c>
      <c r="Z61" s="62">
        <f t="shared" si="9"/>
        <v>23.331399999999999</v>
      </c>
      <c r="AA61" s="62">
        <f t="shared" si="10"/>
        <v>23.287599999999998</v>
      </c>
      <c r="AB61" s="59" t="e">
        <f>VLOOKUP(A61,Enforcements!$C$7:$K$14,8,0)</f>
        <v>#N/A</v>
      </c>
      <c r="AC61" s="55" t="e">
        <f>VLOOKUP(A61,Enforcements!$C$7:$E$14,3,0)</f>
        <v>#N/A</v>
      </c>
      <c r="AD61" s="56" t="str">
        <f t="shared" si="11"/>
        <v>0149-13</v>
      </c>
      <c r="AE61" s="85" t="str">
        <f t="shared" si="12"/>
        <v>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 &amp; 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</v>
      </c>
      <c r="AF61" s="82" t="str">
        <f t="shared" si="13"/>
        <v>"C:\Program Files (x86)\AstroGrep\AstroGrep.exe" /spath="%USERPROFILE%\AppData\Local\Temp\OnboardLogs" /stypes="app*4027*20170213*"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6" t="str">
        <f t="shared" si="18"/>
        <v>"%USERPROFILE%\Documents\GitHub\eaglep3\Utilities\RefineRTDCRunTimes.py" --tripid 149-13 --locoid 4027 --swversion DE.1.0.8.0 --startMP 204:438 --initTime 2017-02-13T09:39:08 --startdatetime 2017-02-13T09:45:16 --delay 1 --endMP 204:233314 --enddatetime 2017-02-13T10:21:58 --enforcementcount 0 &gt;&gt;C:\Users\stu\Documents\GitHub\eaglep3-reporting\EC\2017-02-13-refined-times.txt</v>
      </c>
      <c r="AI61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{"issue":{"subject":"","project_id":79,"tracker_id":40,"status_id":1,"priority_id":2,"assigned_to_id":23,"start_date":"2017-02-13","description":"","custom_fields":[{"id":1,"name":"Subdivision","value":"EC"},{"id":4,"name":"Milepost","value":"23.3314"},{"id":17,"name":"Train ID","value":"149-13"},{"id":16,"name":"Locomotive ID","value":"4027"},{"id":130,"name":"Impact","value":""},{"id":150,"name":"Time of Event (Mountain Time)","value":"10:21:58"},{"id":151,"name":"Denver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4027 --day 2017-02-13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"%USERPROFILE%\AppData\Local\Temp\OnboardLogs"\RTDC4027\*4027*20170213* | grep -SE "(Enforcement Action)|(\[TIMEOUT)|(CHR.+\|PRM\|1\|D.+(SWITCH|SIGNAL).+UNKNOWN)" - &gt;&gt; 2017-02-13-UncaughtWiMAX.txt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623</v>
      </c>
      <c r="B62" s="7">
        <v>4028</v>
      </c>
      <c r="C62" s="21" t="s">
        <v>193</v>
      </c>
      <c r="D62" s="21" t="s">
        <v>782</v>
      </c>
      <c r="E62" s="13">
        <v>42779.441562499997</v>
      </c>
      <c r="F62" s="13">
        <v>42779.445416666669</v>
      </c>
      <c r="G62" s="7">
        <v>6</v>
      </c>
      <c r="H62" s="21" t="s">
        <v>198</v>
      </c>
      <c r="I62" s="13">
        <v>42779.472604166665</v>
      </c>
      <c r="J62" s="7">
        <v>0</v>
      </c>
      <c r="K62" s="98" t="str">
        <f t="shared" si="0"/>
        <v>4027/4028</v>
      </c>
      <c r="L62" s="21" t="str">
        <f>VLOOKUP(A62,'Trips&amp;Operators'!$C$1:$G$99999,5,FALSE)</f>
        <v>BONDS REYNALDO</v>
      </c>
      <c r="M62" s="6">
        <f t="shared" si="1"/>
        <v>2.7187499996216502E-2</v>
      </c>
      <c r="N62" s="7">
        <f t="shared" si="21"/>
        <v>39.149999994551763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8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7" t="str">
        <f t="shared" si="5"/>
        <v>https://d0f6bd738d7f1b3e5a7ca70fe4ff75f0.us-east-1.aws.found.io/app/kibana#/discover/Steve-Slow-Train-Analysis-(2080s-and-2083s)?_g=(refreshInterval:(display:Off,pause:!f,section:0,value:0),time:(from:'2017-02-13T09:35:51-0700',mode:absolute,to:'2017-02-13T12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2" s="188" t="str">
        <f t="shared" si="6"/>
        <v>N</v>
      </c>
      <c r="X62" s="188">
        <f t="shared" ref="X62:X65" si="23">VALUE(LEFT(AD62,4))-VALUE(LEFT(AD61,4))</f>
        <v>1</v>
      </c>
      <c r="Y62" s="62">
        <f t="shared" si="8"/>
        <v>23.108000000000001</v>
      </c>
      <c r="Z62" s="62">
        <f t="shared" si="9"/>
        <v>1.4500000000000001E-2</v>
      </c>
      <c r="AA62" s="62">
        <f t="shared" si="10"/>
        <v>23.093499999999999</v>
      </c>
      <c r="AB62" s="59" t="e">
        <f>VLOOKUP(A62,Enforcements!$C$7:$K$14,8,0)</f>
        <v>#N/A</v>
      </c>
      <c r="AC62" s="55" t="e">
        <f>VLOOKUP(A62,Enforcements!$C$7:$E$14,3,0)</f>
        <v>#N/A</v>
      </c>
      <c r="AD62" s="56" t="str">
        <f t="shared" si="11"/>
        <v>0150-13</v>
      </c>
      <c r="AE62" s="85" t="str">
        <f t="shared" si="12"/>
        <v>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 &amp; aws s3 cp s3://rtdc.mdm.uploadarchive.raw/RTDC4028/ "%USERPROFILE%\AppData\Local\Temp\OnboardLogs"\RTDC4028\2017-02-14 --exclude "*" --recursive --include "*20170214*" &amp; "%USERPROFILE%\Documents\GitHub\mrs-test-scripts\Headless Mode &amp; Sideloading\WalkAndUnGZ.bat" "%USERPROFILE%\AppData\Local\Temp\OnboardLogs"\RTDC4028\2017-02-14</v>
      </c>
      <c r="AF62" s="82" t="str">
        <f t="shared" si="13"/>
        <v>"C:\Program Files (x86)\AstroGrep\AstroGrep.exe" /spath="%USERPROFILE%\AppData\Local\Temp\OnboardLogs" /stypes="app*4028*20170213*"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6" t="str">
        <f t="shared" si="18"/>
        <v>"%USERPROFILE%\Documents\GitHub\eaglep3\Utilities\RefineRTDCRunTimes.py" --tripid 150-13 --locoid 4028 --swversion DE.1.0.8.0 --startMP 204:231080 --initTime 2017-02-13T10:35:51 --startdatetime 2017-02-13T10:41:24 --delay 6 --endMP 204:145 --enddatetime 2017-02-13T11:20:33 --enforcementcount 0 &gt;&gt;C:\Users\stu\Documents\GitHub\eaglep3-reporting\EC\2017-02-13-refined-times.txt</v>
      </c>
      <c r="AI62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{"issue":{"subject":"","project_id":79,"tracker_id":40,"status_id":1,"priority_id":2,"assigned_to_id":23,"start_date":"2017-02-13","description":"","custom_fields":[{"id":1,"name":"Subdivision","value":"EC"},{"id":4,"name":"Milepost","value":"0.0145"},{"id":17,"name":"Train ID","value":"150-13"},{"id":16,"name":"Locomotive ID","value":"4028"},{"id":130,"name":"Impact","value":""},{"id":150,"name":"Time of Event (Mountain Time)","value":"11:20:33"},{"id":151,"name":"Denver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4028 --day 2017-02-13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"%USERPROFILE%\AppData\Local\Temp\OnboardLogs"\RTDC4028\*4028*20170213* | grep -SE "(Enforcement Action)|(\[TIMEOUT)|(CHR.+\|PRM\|1\|D.+(SWITCH|SIGNAL).+UNKNOWN)" - &gt;&gt; 2017-02-13-UncaughtWiMAX.txt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617</v>
      </c>
      <c r="B63" s="7">
        <v>4009</v>
      </c>
      <c r="C63" s="21" t="s">
        <v>193</v>
      </c>
      <c r="D63" s="21" t="s">
        <v>206</v>
      </c>
      <c r="E63" s="13">
        <v>42779.412129629629</v>
      </c>
      <c r="F63" s="13">
        <v>42779.416863425926</v>
      </c>
      <c r="G63" s="7">
        <v>1</v>
      </c>
      <c r="H63" s="21" t="s">
        <v>783</v>
      </c>
      <c r="I63" s="13">
        <v>42779.442824074074</v>
      </c>
      <c r="J63" s="7">
        <v>0</v>
      </c>
      <c r="K63" s="98" t="str">
        <f t="shared" si="0"/>
        <v>4009/4010</v>
      </c>
      <c r="L63" s="21" t="str">
        <f>VLOOKUP(A63,'Trips&amp;Operators'!$C$1:$G$99999,5,FALSE)</f>
        <v>SHOOK JOHN</v>
      </c>
      <c r="M63" s="6">
        <f t="shared" si="1"/>
        <v>2.5960648148611654E-2</v>
      </c>
      <c r="N63" s="7">
        <f t="shared" si="21"/>
        <v>37.383333334000781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8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7" t="str">
        <f t="shared" si="5"/>
        <v>https://d0f6bd738d7f1b3e5a7ca70fe4ff75f0.us-east-1.aws.found.io/app/kibana#/discover/Steve-Slow-Train-Analysis-(2080s-and-2083s)?_g=(refreshInterval:(display:Off,pause:!f,section:0,value:0),time:(from:'2017-02-13T08:53:28-0700',mode:absolute,to:'2017-02-13T11:37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3" s="188" t="str">
        <f t="shared" si="6"/>
        <v>N</v>
      </c>
      <c r="X63" s="188">
        <f t="shared" si="23"/>
        <v>1</v>
      </c>
      <c r="Y63" s="62">
        <f t="shared" si="8"/>
        <v>4.6199999999999998E-2</v>
      </c>
      <c r="Z63" s="62">
        <f t="shared" si="9"/>
        <v>23.332699999999999</v>
      </c>
      <c r="AA63" s="62">
        <f t="shared" si="10"/>
        <v>23.2865</v>
      </c>
      <c r="AB63" s="59" t="e">
        <f>VLOOKUP(A63,Enforcements!$C$7:$K$14,8,0)</f>
        <v>#N/A</v>
      </c>
      <c r="AC63" s="55" t="e">
        <f>VLOOKUP(A63,Enforcements!$C$7:$E$14,3,0)</f>
        <v>#N/A</v>
      </c>
      <c r="AD63" s="56" t="str">
        <f t="shared" si="11"/>
        <v>0151-13</v>
      </c>
      <c r="AE63" s="85" t="str">
        <f t="shared" si="12"/>
        <v>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 &amp; aws s3 cp s3://rtdc.mdm.uploadarchive.raw/RTDC4009/ "%USERPROFILE%\AppData\Local\Temp\OnboardLogs"\RTDC4009\2017-02-14 --exclude "*" --recursive --include "*20170214*" &amp; "%USERPROFILE%\Documents\GitHub\mrs-test-scripts\Headless Mode &amp; Sideloading\WalkAndUnGZ.bat" "%USERPROFILE%\AppData\Local\Temp\OnboardLogs"\RTDC4009\2017-02-14</v>
      </c>
      <c r="AF63" s="82" t="str">
        <f t="shared" si="13"/>
        <v>"C:\Program Files (x86)\AstroGrep\AstroGrep.exe" /spath="%USERPROFILE%\AppData\Local\Temp\OnboardLogs" /stypes="app*4009*20170213*"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6" t="str">
        <f t="shared" si="18"/>
        <v>"%USERPROFILE%\Documents\GitHub\eaglep3\Utilities\RefineRTDCRunTimes.py" --tripid 151-13 --locoid 4009 --swversion DE.1.0.8.0 --startMP 204:462 --initTime 2017-02-13T09:53:28 --startdatetime 2017-02-13T10:00:17 --delay 1 --endMP 204:233327 --enddatetime 2017-02-13T10:37:40 --enforcementcount 0 &gt;&gt;C:\Users\stu\Documents\GitHub\eaglep3-reporting\EC\2017-02-13-refined-times.txt</v>
      </c>
      <c r="AI63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{"issue":{"subject":"","project_id":79,"tracker_id":40,"status_id":1,"priority_id":2,"assigned_to_id":23,"start_date":"2017-02-13","description":"","custom_fields":[{"id":1,"name":"Subdivision","value":"EC"},{"id":4,"name":"Milepost","value":"23.3327"},{"id":17,"name":"Train ID","value":"151-13"},{"id":16,"name":"Locomotive ID","value":"4009"},{"id":130,"name":"Impact","value":""},{"id":150,"name":"Time of Event (Mountain Time)","value":"10:37:40"},{"id":151,"name":"Denver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4009 --day 2017-02-13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"%USERPROFILE%\AppData\Local\Temp\OnboardLogs"\RTDC4009\*4009*20170213* | grep -SE "(Enforcement Action)|(\[TIMEOUT)|(CHR.+\|PRM\|1\|D.+(SWITCH|SIGNAL).+UNKNOWN)" - &gt;&gt; 2017-02-13-UncaughtWiMAX.txt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626</v>
      </c>
      <c r="B64" s="7">
        <v>4010</v>
      </c>
      <c r="C64" s="21" t="s">
        <v>193</v>
      </c>
      <c r="D64" s="21" t="s">
        <v>483</v>
      </c>
      <c r="E64" s="13">
        <v>42779.445625</v>
      </c>
      <c r="F64" s="13">
        <v>42779.455729166664</v>
      </c>
      <c r="G64" s="7">
        <v>1</v>
      </c>
      <c r="H64" s="21" t="s">
        <v>198</v>
      </c>
      <c r="I64" s="13">
        <v>42779.482974537037</v>
      </c>
      <c r="J64" s="7">
        <v>0</v>
      </c>
      <c r="K64" s="98" t="str">
        <f t="shared" si="0"/>
        <v>4009/4010</v>
      </c>
      <c r="L64" s="21" t="str">
        <f>VLOOKUP(A64,'Trips&amp;Operators'!$C$1:$G$99999,5,FALSE)</f>
        <v>SHOOK JOHN</v>
      </c>
      <c r="M64" s="6">
        <f t="shared" si="1"/>
        <v>2.7245370372838806E-2</v>
      </c>
      <c r="N64" s="7">
        <f t="shared" si="21"/>
        <v>39.233333336887881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8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7" t="str">
        <f t="shared" si="5"/>
        <v>https://d0f6bd738d7f1b3e5a7ca70fe4ff75f0.us-east-1.aws.found.io/app/kibana#/discover/Steve-Slow-Train-Analysis-(2080s-and-2083s)?_g=(refreshInterval:(display:Off,pause:!f,section:0,value:0),time:(from:'2017-02-13T09:41:42-0700',mode:absolute,to:'2017-02-13T12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4" s="188" t="str">
        <f t="shared" si="6"/>
        <v>N</v>
      </c>
      <c r="X64" s="188">
        <f t="shared" si="23"/>
        <v>1</v>
      </c>
      <c r="Y64" s="62">
        <f t="shared" si="8"/>
        <v>23.300599999999999</v>
      </c>
      <c r="Z64" s="62">
        <f t="shared" si="9"/>
        <v>1.4500000000000001E-2</v>
      </c>
      <c r="AA64" s="62">
        <f t="shared" si="10"/>
        <v>23.286099999999998</v>
      </c>
      <c r="AB64" s="59" t="e">
        <f>VLOOKUP(A64,Enforcements!$C$7:$K$14,8,0)</f>
        <v>#N/A</v>
      </c>
      <c r="AC64" s="55" t="e">
        <f>VLOOKUP(A64,Enforcements!$C$7:$E$14,3,0)</f>
        <v>#N/A</v>
      </c>
      <c r="AD64" s="56" t="str">
        <f t="shared" si="11"/>
        <v>0152-13</v>
      </c>
      <c r="AE64" s="85" t="str">
        <f t="shared" si="12"/>
        <v>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 &amp; aws s3 cp s3://rtdc.mdm.uploadarchive.raw/RTDC4010/ "%USERPROFILE%\AppData\Local\Temp\OnboardLogs"\RTDC4010\2017-02-14 --exclude "*" --recursive --include "*20170214*" &amp; "%USERPROFILE%\Documents\GitHub\mrs-test-scripts\Headless Mode &amp; Sideloading\WalkAndUnGZ.bat" "%USERPROFILE%\AppData\Local\Temp\OnboardLogs"\RTDC4010\2017-02-14</v>
      </c>
      <c r="AF64" s="82" t="str">
        <f t="shared" si="13"/>
        <v>"C:\Program Files (x86)\AstroGrep\AstroGrep.exe" /spath="%USERPROFILE%\AppData\Local\Temp\OnboardLogs" /stypes="app*4010*20170213*"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6" t="str">
        <f t="shared" si="18"/>
        <v>"%USERPROFILE%\Documents\GitHub\eaglep3\Utilities\RefineRTDCRunTimes.py" --tripid 152-13 --locoid 4010 --swversion DE.1.0.8.0 --startMP 204:233006 --initTime 2017-02-13T10:41:42 --startdatetime 2017-02-13T10:56:15 --delay 1 --endMP 204:145 --enddatetime 2017-02-13T11:35:29 --enforcementcount 0 &gt;&gt;C:\Users\stu\Documents\GitHub\eaglep3-reporting\EC\2017-02-13-refined-times.txt</v>
      </c>
      <c r="AI64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{"issue":{"subject":"","project_id":79,"tracker_id":40,"status_id":1,"priority_id":2,"assigned_to_id":23,"start_date":"2017-02-13","description":"","custom_fields":[{"id":1,"name":"Subdivision","value":"EC"},{"id":4,"name":"Milepost","value":"0.0145"},{"id":17,"name":"Train ID","value":"152-13"},{"id":16,"name":"Locomotive ID","value":"4010"},{"id":130,"name":"Impact","value":""},{"id":150,"name":"Time of Event (Mountain Time)","value":"11:35:29"},{"id":151,"name":"Denver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4010 --day 2017-02-13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"%USERPROFILE%\AppData\Local\Temp\OnboardLogs"\RTDC4010\*4010*20170213* | grep -SE "(Enforcement Action)|(\[TIMEOUT)|(CHR.+\|PRM\|1\|D.+(SWITCH|SIGNAL).+UNKNOWN)" - &gt;&gt; 2017-02-13-UncaughtWiMAX.txt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619</v>
      </c>
      <c r="B65" s="7">
        <v>4044</v>
      </c>
      <c r="C65" s="21" t="s">
        <v>193</v>
      </c>
      <c r="D65" s="21" t="s">
        <v>239</v>
      </c>
      <c r="E65" s="13">
        <v>42779.42359953704</v>
      </c>
      <c r="F65" s="13">
        <v>42779.42728009259</v>
      </c>
      <c r="G65" s="7">
        <v>1</v>
      </c>
      <c r="H65" s="21" t="s">
        <v>784</v>
      </c>
      <c r="I65" s="13">
        <v>42779.451550925929</v>
      </c>
      <c r="J65" s="7">
        <v>0</v>
      </c>
      <c r="K65" s="98" t="str">
        <f t="shared" si="0"/>
        <v>4043/4044</v>
      </c>
      <c r="L65" s="21" t="str">
        <f>VLOOKUP(A65,'Trips&amp;Operators'!$C$1:$G$99999,5,FALSE)</f>
        <v>YORK EDGAR</v>
      </c>
      <c r="M65" s="6">
        <f t="shared" si="1"/>
        <v>2.4270833338960074E-2</v>
      </c>
      <c r="N65" s="7">
        <f t="shared" si="21"/>
        <v>34.950000008102506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8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7" t="str">
        <f t="shared" si="5"/>
        <v>https://d0f6bd738d7f1b3e5a7ca70fe4ff75f0.us-east-1.aws.found.io/app/kibana#/discover/Steve-Slow-Train-Analysis-(2080s-and-2083s)?_g=(refreshInterval:(display:Off,pause:!f,section:0,value:0),time:(from:'2017-02-13T09:09:59-0700',mode:absolute,to:'2017-02-13T11:50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5" s="188" t="str">
        <f t="shared" si="6"/>
        <v>N</v>
      </c>
      <c r="X65" s="188">
        <f t="shared" si="23"/>
        <v>1</v>
      </c>
      <c r="Y65" s="62">
        <f t="shared" si="8"/>
        <v>4.5999999999999999E-2</v>
      </c>
      <c r="Z65" s="62">
        <f t="shared" si="9"/>
        <v>23.327999999999999</v>
      </c>
      <c r="AA65" s="62">
        <f t="shared" si="10"/>
        <v>23.282</v>
      </c>
      <c r="AB65" s="59" t="e">
        <f>VLOOKUP(A65,Enforcements!$C$7:$K$14,8,0)</f>
        <v>#N/A</v>
      </c>
      <c r="AC65" s="55" t="e">
        <f>VLOOKUP(A65,Enforcements!$C$7:$E$14,3,0)</f>
        <v>#N/A</v>
      </c>
      <c r="AD65" s="56" t="str">
        <f t="shared" si="11"/>
        <v>0153-13</v>
      </c>
      <c r="AE65" s="85" t="str">
        <f t="shared" si="12"/>
        <v>aws s3 cp s3://rtdc.mdm.uploadarchive.raw/RTDC4044/ "%USERPROFILE%\AppData\Local\Temp\OnboardLogs"\RTDC4044\2017-02-13 --exclude "*" --recursive --include "*20170213*" &amp; "%USERPROFILE%\Documents\GitHub\mrs-test-scripts\Headless Mode &amp; Sideloading\WalkAndUnGZ.bat" "%USERPROFILE%\AppData\Local\Temp\OnboardLogs"\RTDC4044\2017-02-13 &amp; 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</v>
      </c>
      <c r="AF65" s="82" t="str">
        <f t="shared" si="13"/>
        <v>"C:\Program Files (x86)\AstroGrep\AstroGrep.exe" /spath="%USERPROFILE%\AppData\Local\Temp\OnboardLogs" /stypes="app*4044*20170213*"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6" t="str">
        <f t="shared" si="18"/>
        <v>"%USERPROFILE%\Documents\GitHub\eaglep3\Utilities\RefineRTDCRunTimes.py" --tripid 153-13 --locoid 4044 --swversion DE.1.0.8.0 --startMP 204:460 --initTime 2017-02-13T10:09:59 --startdatetime 2017-02-13T10:15:17 --delay 1 --endMP 204:233280 --enddatetime 2017-02-13T10:50:14 --enforcementcount 0 &gt;&gt;C:\Users\stu\Documents\GitHub\eaglep3-reporting\EC\2017-02-13-refined-times.txt</v>
      </c>
      <c r="AI65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{"issue":{"subject":"","project_id":79,"tracker_id":40,"status_id":1,"priority_id":2,"assigned_to_id":23,"start_date":"2017-02-13","description":"","custom_fields":[{"id":1,"name":"Subdivision","value":"EC"},{"id":4,"name":"Milepost","value":"23.328"},{"id":17,"name":"Train ID","value":"153-13"},{"id":16,"name":"Locomotive ID","value":"4044"},{"id":130,"name":"Impact","value":""},{"id":150,"name":"Time of Event (Mountain Time)","value":"10:50:14"},{"id":151,"name":"Denver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4044 --day 2017-02-13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"%USERPROFILE%\AppData\Local\Temp\OnboardLogs"\RTDC4044\*4044*20170213* | grep -SE "(Enforcement Action)|(\[TIMEOUT)|(CHR.+\|PRM\|1\|D.+(SWITCH|SIGNAL).+UNKNOWN)" - &gt;&gt; 2017-02-13-UncaughtWiMAX.txt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537</v>
      </c>
      <c r="B66" s="7">
        <v>4043</v>
      </c>
      <c r="C66" s="21" t="s">
        <v>193</v>
      </c>
      <c r="D66" s="21" t="s">
        <v>785</v>
      </c>
      <c r="E66" s="13">
        <v>42779.452627314815</v>
      </c>
      <c r="F66" s="13">
        <v>42779.466203703705</v>
      </c>
      <c r="G66" s="7">
        <v>1</v>
      </c>
      <c r="H66" s="21" t="s">
        <v>209</v>
      </c>
      <c r="I66" s="13">
        <v>42779.492129629631</v>
      </c>
      <c r="J66" s="7">
        <v>0</v>
      </c>
      <c r="K66" s="98" t="str">
        <f t="shared" si="0"/>
        <v>4043/4044</v>
      </c>
      <c r="L66" s="21" t="str">
        <f>VLOOKUP(A66,'Trips&amp;Operators'!$C$1:$G$99999,5,FALSE)</f>
        <v>YORK EDGAR</v>
      </c>
      <c r="M66" s="6">
        <f t="shared" si="1"/>
        <v>2.5925925925548654E-2</v>
      </c>
      <c r="N66" s="7">
        <f t="shared" si="21"/>
        <v>37.333333332790062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8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7" t="str">
        <f t="shared" si="5"/>
        <v>https://d0f6bd738d7f1b3e5a7ca70fe4ff75f0.us-east-1.aws.found.io/app/kibana#/discover/Steve-Slow-Train-Analysis-(2080s-and-2083s)?_g=(refreshInterval:(display:Off,pause:!f,section:0,value:0),time:(from:'2017-02-13T09:51:47-0700',mode:absolute,to:'2017-02-13T12:48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6" s="188" t="str">
        <f t="shared" si="6"/>
        <v>N</v>
      </c>
      <c r="X66" s="188">
        <f t="shared" ref="X66:X97" si="24">VALUE(LEFT(AD66,4))-VALUE(LEFT(AD65,4))</f>
        <v>1</v>
      </c>
      <c r="Y66" s="62">
        <f t="shared" si="8"/>
        <v>23.295500000000001</v>
      </c>
      <c r="Z66" s="62">
        <f t="shared" si="9"/>
        <v>1.52E-2</v>
      </c>
      <c r="AA66" s="62">
        <f t="shared" si="10"/>
        <v>23.2803</v>
      </c>
      <c r="AB66" s="59" t="str">
        <f>VLOOKUP(A66,Enforcements!$C$7:$K$14,8,0)</f>
        <v>Bulletin (2)</v>
      </c>
      <c r="AC66" s="55" t="str">
        <f>VLOOKUP(A66,Enforcements!$C$7:$E$14,3,0)</f>
        <v>GRADE CROSSING</v>
      </c>
      <c r="AD66" s="56" t="str">
        <f t="shared" si="11"/>
        <v>0154-13</v>
      </c>
      <c r="AE66" s="85" t="str">
        <f t="shared" si="12"/>
        <v>aws s3 cp s3://rtdc.mdm.uploadarchive.raw/RTDC4043/ "%USERPROFILE%\AppData\Local\Temp\OnboardLogs"\RTDC4043\2017-02-13 --exclude "*" --recursive --include "*20170213*" &amp; "%USERPROFILE%\Documents\GitHub\mrs-test-scripts\Headless Mode &amp; Sideloading\WalkAndUnGZ.bat" "%USERPROFILE%\AppData\Local\Temp\OnboardLogs"\RTDC4043\2017-02-13 &amp; aws s3 cp s3://rtdc.mdm.uploadarchive.raw/RTDC4043/ "%USERPROFILE%\AppData\Local\Temp\OnboardLogs"\RTDC4043\2017-02-14 --exclude "*" --recursive --include "*20170214*" &amp; "%USERPROFILE%\Documents\GitHub\mrs-test-scripts\Headless Mode &amp; Sideloading\WalkAndUnGZ.bat" "%USERPROFILE%\AppData\Local\Temp\OnboardLogs"\RTDC4043\2017-02-14</v>
      </c>
      <c r="AF66" s="82" t="str">
        <f t="shared" si="13"/>
        <v>"C:\Program Files (x86)\AstroGrep\AstroGrep.exe" /spath="%USERPROFILE%\AppData\Local\Temp\OnboardLogs" /stypes="app*4043*20170213*"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6" t="str">
        <f t="shared" si="18"/>
        <v>"%USERPROFILE%\Documents\GitHub\eaglep3\Utilities\RefineRTDCRunTimes.py" --tripid 154-13 --locoid 4043 --swversion DE.1.0.8.0 --startMP 204:232955 --initTime 2017-02-13T10:51:47 --startdatetime 2017-02-13T11:11:20 --delay 1 --endMP 204:152 --enddatetime 2017-02-13T11:48:40 --enforcementcount 0 &gt;&gt;C:\Users\stu\Documents\GitHub\eaglep3-reporting\EC\2017-02-13-refined-times.txt</v>
      </c>
      <c r="AI66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{"issue":{"subject":"","project_id":79,"tracker_id":40,"status_id":1,"priority_id":2,"assigned_to_id":23,"start_date":"2017-02-13","description":"","custom_fields":[{"id":1,"name":"Subdivision","value":"EC"},{"id":4,"name":"Milepost","value":"0.0152"},{"id":17,"name":"Train ID","value":"154-13"},{"id":16,"name":"Locomotive ID","value":"4043"},{"id":130,"name":"Impact","value":""},{"id":150,"name":"Time of Event (Mountain Time)","value":"11:48:40"},{"id":151,"name":"Denver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4043 --day 2017-02-13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"%USERPROFILE%\AppData\Local\Temp\OnboardLogs"\RTDC4043\*4043*20170213* | grep -SE "(Enforcement Action)|(\[TIMEOUT)|(CHR.+\|PRM\|1\|D.+(SWITCH|SIGNAL).+UNKNOWN)" - &gt;&gt; 2017-02-13-UncaughtWiMAX.txt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621</v>
      </c>
      <c r="B67" s="7">
        <v>4020</v>
      </c>
      <c r="C67" s="21" t="s">
        <v>193</v>
      </c>
      <c r="D67" s="21" t="s">
        <v>769</v>
      </c>
      <c r="E67" s="13">
        <v>42779.432789351849</v>
      </c>
      <c r="F67" s="13">
        <v>42779.437789351854</v>
      </c>
      <c r="G67" s="7">
        <v>1</v>
      </c>
      <c r="H67" s="21" t="s">
        <v>786</v>
      </c>
      <c r="I67" s="13">
        <v>42779.46266203704</v>
      </c>
      <c r="J67" s="7">
        <v>0</v>
      </c>
      <c r="K67" s="98" t="str">
        <f t="shared" si="0"/>
        <v>4019/4020</v>
      </c>
      <c r="L67" s="21" t="str">
        <f>VLOOKUP(A67,'Trips&amp;Operators'!$C$1:$G$99999,5,FALSE)</f>
        <v>SWANSON BRYCE</v>
      </c>
      <c r="M67" s="6">
        <f t="shared" si="1"/>
        <v>2.4872685185982846E-2</v>
      </c>
      <c r="N67" s="7">
        <f t="shared" si="21"/>
        <v>35.816666667815298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8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7" t="str">
        <f t="shared" si="5"/>
        <v>https://d0f6bd738d7f1b3e5a7ca70fe4ff75f0.us-east-1.aws.found.io/app/kibana#/discover/Steve-Slow-Train-Analysis-(2080s-and-2083s)?_g=(refreshInterval:(display:Off,pause:!f,section:0,value:0),time:(from:'2017-02-13T09:23:13-0700',mode:absolute,to:'2017-02-13T12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7" s="188" t="str">
        <f t="shared" si="6"/>
        <v>N</v>
      </c>
      <c r="X67" s="188">
        <f t="shared" si="24"/>
        <v>1</v>
      </c>
      <c r="Y67" s="62">
        <f t="shared" si="8"/>
        <v>4.4200000000000003E-2</v>
      </c>
      <c r="Z67" s="62">
        <f t="shared" si="9"/>
        <v>23.3278</v>
      </c>
      <c r="AA67" s="62">
        <f t="shared" si="10"/>
        <v>23.2836</v>
      </c>
      <c r="AB67" s="59" t="e">
        <f>VLOOKUP(A67,Enforcements!$C$7:$K$14,8,0)</f>
        <v>#N/A</v>
      </c>
      <c r="AC67" s="55" t="e">
        <f>VLOOKUP(A67,Enforcements!$C$7:$E$14,3,0)</f>
        <v>#N/A</v>
      </c>
      <c r="AD67" s="56" t="str">
        <f t="shared" si="11"/>
        <v>0155-13</v>
      </c>
      <c r="AE67" s="85" t="str">
        <f t="shared" si="12"/>
        <v>aws s3 cp s3://rtdc.mdm.uploadarchive.raw/RTDC4020/ "%USERPROFILE%\AppData\Local\Temp\OnboardLogs"\RTDC4020\2017-02-13 --exclude "*" --recursive --include "*20170213*" &amp; "%USERPROFILE%\Documents\GitHub\mrs-test-scripts\Headless Mode &amp; Sideloading\WalkAndUnGZ.bat" "%USERPROFILE%\AppData\Local\Temp\OnboardLogs"\RTDC4020\2017-02-13 &amp; aws s3 cp s3://rtdc.mdm.uploadarchive.raw/RTDC4020/ "%USERPROFILE%\AppData\Local\Temp\OnboardLogs"\RTDC4020\2017-02-14 --exclude "*" --recursive --include "*20170214*" &amp; "%USERPROFILE%\Documents\GitHub\mrs-test-scripts\Headless Mode &amp; Sideloading\WalkAndUnGZ.bat" "%USERPROFILE%\AppData\Local\Temp\OnboardLogs"\RTDC4020\2017-02-14</v>
      </c>
      <c r="AF67" s="82" t="str">
        <f t="shared" si="13"/>
        <v>"C:\Program Files (x86)\AstroGrep\AstroGrep.exe" /spath="%USERPROFILE%\AppData\Local\Temp\OnboardLogs" /stypes="app*4020*20170213*"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6" t="str">
        <f t="shared" si="18"/>
        <v>"%USERPROFILE%\Documents\GitHub\eaglep3\Utilities\RefineRTDCRunTimes.py" --tripid 155-13 --locoid 4020 --swversion DE.1.0.8.0 --startMP 204:442 --initTime 2017-02-13T10:23:13 --startdatetime 2017-02-13T10:30:25 --delay 1 --endMP 204:233278 --enddatetime 2017-02-13T11:06:14 --enforcementcount 0 &gt;&gt;C:\Users\stu\Documents\GitHub\eaglep3-reporting\EC\2017-02-13-refined-times.txt</v>
      </c>
      <c r="AI67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{"issue":{"subject":"","project_id":79,"tracker_id":40,"status_id":1,"priority_id":2,"assigned_to_id":23,"start_date":"2017-02-13","description":"","custom_fields":[{"id":1,"name":"Subdivision","value":"EC"},{"id":4,"name":"Milepost","value":"23.3278"},{"id":17,"name":"Train ID","value":"155-13"},{"id":16,"name":"Locomotive ID","value":"4020"},{"id":130,"name":"Impact","value":""},{"id":150,"name":"Time of Event (Mountain Time)","value":"11:06:14"},{"id":151,"name":"Denver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4020 --day 2017-02-13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"%USERPROFILE%\AppData\Local\Temp\OnboardLogs"\RTDC4020\*4020*20170213* | grep -SE "(Enforcement Action)|(\[TIMEOUT)|(CHR.+\|PRM\|1\|D.+(SWITCH|SIGNAL).+UNKNOWN)" - &gt;&gt; 2017-02-13-UncaughtWiMAX.txt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629</v>
      </c>
      <c r="B68" s="7">
        <v>4019</v>
      </c>
      <c r="C68" s="21" t="s">
        <v>193</v>
      </c>
      <c r="D68" s="21" t="s">
        <v>787</v>
      </c>
      <c r="E68" s="13">
        <v>42779.465104166666</v>
      </c>
      <c r="F68" s="13">
        <v>42779.476597222223</v>
      </c>
      <c r="G68" s="7">
        <v>1</v>
      </c>
      <c r="H68" s="21" t="s">
        <v>210</v>
      </c>
      <c r="I68" s="13">
        <v>42779.504212962966</v>
      </c>
      <c r="J68" s="7">
        <v>0</v>
      </c>
      <c r="K68" s="98" t="str">
        <f t="shared" si="0"/>
        <v>4019/4020</v>
      </c>
      <c r="L68" s="21" t="str">
        <f>VLOOKUP(A68,'Trips&amp;Operators'!$C$1:$G$99999,5,FALSE)</f>
        <v>SWANSON BRYCE</v>
      </c>
      <c r="M68" s="6">
        <f t="shared" si="1"/>
        <v>2.7615740742476191E-2</v>
      </c>
      <c r="N68" s="7">
        <f t="shared" si="21"/>
        <v>39.766666669165716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8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7" t="str">
        <f t="shared" si="5"/>
        <v>https://d0f6bd738d7f1b3e5a7ca70fe4ff75f0.us-east-1.aws.found.io/app/kibana#/discover/Steve-Slow-Train-Analysis-(2080s-and-2083s)?_g=(refreshInterval:(display:Off,pause:!f,section:0,value:0),time:(from:'2017-02-13T10:09:45-0700',mode:absolute,to:'2017-02-13T13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8" s="188" t="str">
        <f t="shared" si="6"/>
        <v>N</v>
      </c>
      <c r="X68" s="188">
        <f t="shared" si="24"/>
        <v>1</v>
      </c>
      <c r="Y68" s="62">
        <f t="shared" si="8"/>
        <v>23.296199999999999</v>
      </c>
      <c r="Z68" s="62">
        <f t="shared" si="9"/>
        <v>1.5800000000000002E-2</v>
      </c>
      <c r="AA68" s="62">
        <f t="shared" si="10"/>
        <v>23.2804</v>
      </c>
      <c r="AB68" s="59" t="e">
        <f>VLOOKUP(A68,Enforcements!$C$7:$K$14,8,0)</f>
        <v>#N/A</v>
      </c>
      <c r="AC68" s="55" t="e">
        <f>VLOOKUP(A68,Enforcements!$C$7:$E$14,3,0)</f>
        <v>#N/A</v>
      </c>
      <c r="AD68" s="56" t="str">
        <f t="shared" si="11"/>
        <v>0156-13</v>
      </c>
      <c r="AE68" s="85" t="str">
        <f t="shared" si="12"/>
        <v>aws s3 cp s3://rtdc.mdm.uploadarchive.raw/RTDC4019/ "%USERPROFILE%\AppData\Local\Temp\OnboardLogs"\RTDC4019\2017-02-13 --exclude "*" --recursive --include "*20170213*" &amp; "%USERPROFILE%\Documents\GitHub\mrs-test-scripts\Headless Mode &amp; Sideloading\WalkAndUnGZ.bat" "%USERPROFILE%\AppData\Local\Temp\OnboardLogs"\RTDC4019\2017-02-13 &amp; 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</v>
      </c>
      <c r="AF68" s="82" t="str">
        <f t="shared" si="13"/>
        <v>"C:\Program Files (x86)\AstroGrep\AstroGrep.exe" /spath="%USERPROFILE%\AppData\Local\Temp\OnboardLogs" /stypes="app*4019*20170213*"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6" t="str">
        <f t="shared" si="18"/>
        <v>"%USERPROFILE%\Documents\GitHub\eaglep3\Utilities\RefineRTDCRunTimes.py" --tripid 156-13 --locoid 4019 --swversion DE.1.0.8.0 --startMP 204:232962 --initTime 2017-02-13T11:09:45 --startdatetime 2017-02-13T11:26:18 --delay 1 --endMP 204:158 --enddatetime 2017-02-13T12:06:04 --enforcementcount 0 &gt;&gt;C:\Users\stu\Documents\GitHub\eaglep3-reporting\EC\2017-02-13-refined-times.txt</v>
      </c>
      <c r="AI68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{"issue":{"subject":"","project_id":79,"tracker_id":40,"status_id":1,"priority_id":2,"assigned_to_id":23,"start_date":"2017-02-13","description":"","custom_fields":[{"id":1,"name":"Subdivision","value":"EC"},{"id":4,"name":"Milepost","value":"0.0158"},{"id":17,"name":"Train ID","value":"156-13"},{"id":16,"name":"Locomotive ID","value":"4019"},{"id":130,"name":"Impact","value":""},{"id":150,"name":"Time of Event (Mountain Time)","value":"12:06:04"},{"id":151,"name":"Denver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4019 --day 2017-02-13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"%USERPROFILE%\AppData\Local\Temp\OnboardLogs"\RTDC4019\*4019*20170213* | grep -SE "(Enforcement Action)|(\[TIMEOUT)|(CHR.+\|PRM\|1\|D.+(SWITCH|SIGNAL).+UNKNOWN)" - &gt;&gt; 2017-02-13-UncaughtWiMAX.txt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624</v>
      </c>
      <c r="B69" s="7">
        <v>4011</v>
      </c>
      <c r="C69" s="21" t="s">
        <v>193</v>
      </c>
      <c r="D69" s="21" t="s">
        <v>236</v>
      </c>
      <c r="E69" s="13">
        <v>42779.44195601852</v>
      </c>
      <c r="F69" s="13">
        <v>42779.448067129626</v>
      </c>
      <c r="G69" s="7">
        <v>1</v>
      </c>
      <c r="H69" s="21" t="s">
        <v>486</v>
      </c>
      <c r="I69" s="13">
        <v>42779.473020833335</v>
      </c>
      <c r="J69" s="7">
        <v>0</v>
      </c>
      <c r="K69" s="98" t="str">
        <f t="shared" si="0"/>
        <v>4011/4012</v>
      </c>
      <c r="L69" s="21" t="str">
        <f>VLOOKUP(A69,'Trips&amp;Operators'!$C$1:$G$99999,5,FALSE)</f>
        <v>ROBINSON KADDIBA</v>
      </c>
      <c r="M69" s="6">
        <f t="shared" si="1"/>
        <v>2.4953703708888497E-2</v>
      </c>
      <c r="N69" s="7">
        <f t="shared" si="21"/>
        <v>35.933333340799436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8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7" t="str">
        <f t="shared" si="5"/>
        <v>https://d0f6bd738d7f1b3e5a7ca70fe4ff75f0.us-east-1.aws.found.io/app/kibana#/discover/Steve-Slow-Train-Analysis-(2080s-and-2083s)?_g=(refreshInterval:(display:Off,pause:!f,section:0,value:0),time:(from:'2017-02-13T09:36:25-0700',mode:absolute,to:'2017-02-13T12:21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9" s="188" t="str">
        <f t="shared" si="6"/>
        <v>N</v>
      </c>
      <c r="X69" s="188">
        <f t="shared" si="24"/>
        <v>1</v>
      </c>
      <c r="Y69" s="62">
        <f t="shared" si="8"/>
        <v>4.5699999999999998E-2</v>
      </c>
      <c r="Z69" s="62">
        <f t="shared" si="9"/>
        <v>23.325900000000001</v>
      </c>
      <c r="AA69" s="62">
        <f t="shared" si="10"/>
        <v>23.280200000000001</v>
      </c>
      <c r="AB69" s="59" t="e">
        <f>VLOOKUP(A69,Enforcements!$C$7:$K$14,8,0)</f>
        <v>#N/A</v>
      </c>
      <c r="AC69" s="55" t="e">
        <f>VLOOKUP(A69,Enforcements!$C$7:$E$14,3,0)</f>
        <v>#N/A</v>
      </c>
      <c r="AD69" s="56" t="str">
        <f t="shared" si="11"/>
        <v>0157-13</v>
      </c>
      <c r="AE69" s="85" t="str">
        <f t="shared" si="12"/>
        <v>aws s3 cp s3://rtdc.mdm.uploadarchive.raw/RTDC4011/ "%USERPROFILE%\AppData\Local\Temp\OnboardLogs"\RTDC4011\2017-02-13 --exclude "*" --recursive --include "*20170213*" &amp; "%USERPROFILE%\Documents\GitHub\mrs-test-scripts\Headless Mode &amp; Sideloading\WalkAndUnGZ.bat" "%USERPROFILE%\AppData\Local\Temp\OnboardLogs"\RTDC4011\2017-02-13 &amp; aws s3 cp s3://rtdc.mdm.uploadarchive.raw/RTDC4011/ "%USERPROFILE%\AppData\Local\Temp\OnboardLogs"\RTDC4011\2017-02-14 --exclude "*" --recursive --include "*20170214*" &amp; "%USERPROFILE%\Documents\GitHub\mrs-test-scripts\Headless Mode &amp; Sideloading\WalkAndUnGZ.bat" "%USERPROFILE%\AppData\Local\Temp\OnboardLogs"\RTDC4011\2017-02-14</v>
      </c>
      <c r="AF69" s="82" t="str">
        <f t="shared" si="13"/>
        <v>"C:\Program Files (x86)\AstroGrep\AstroGrep.exe" /spath="%USERPROFILE%\AppData\Local\Temp\OnboardLogs" /stypes="app*4011*20170213*"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6" t="str">
        <f t="shared" si="18"/>
        <v>"%USERPROFILE%\Documents\GitHub\eaglep3\Utilities\RefineRTDCRunTimes.py" --tripid 157-13 --locoid 4011 --swversion DE.1.0.8.0 --startMP 204:457 --initTime 2017-02-13T10:36:25 --startdatetime 2017-02-13T10:45:13 --delay 1 --endMP 204:233259 --enddatetime 2017-02-13T11:21:09 --enforcementcount 0 &gt;&gt;C:\Users\stu\Documents\GitHub\eaglep3-reporting\EC\2017-02-13-refined-times.txt</v>
      </c>
      <c r="AI69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{"issue":{"subject":"","project_id":79,"tracker_id":40,"status_id":1,"priority_id":2,"assigned_to_id":23,"start_date":"2017-02-13","description":"","custom_fields":[{"id":1,"name":"Subdivision","value":"EC"},{"id":4,"name":"Milepost","value":"23.3259"},{"id":17,"name":"Train ID","value":"157-13"},{"id":16,"name":"Locomotive ID","value":"4011"},{"id":130,"name":"Impact","value":""},{"id":150,"name":"Time of Event (Mountain Time)","value":"11:21:09"},{"id":151,"name":"Denver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4011 --day 2017-02-13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"%USERPROFILE%\AppData\Local\Temp\OnboardLogs"\RTDC4011\*4011*20170213* | grep -SE "(Enforcement Action)|(\[TIMEOUT)|(CHR.+\|PRM\|1\|D.+(SWITCH|SIGNAL).+UNKNOWN)" - &gt;&gt; 2017-02-13-UncaughtWiMAX.txt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635</v>
      </c>
      <c r="B70" s="7">
        <v>4012</v>
      </c>
      <c r="C70" s="21" t="s">
        <v>193</v>
      </c>
      <c r="D70" s="21" t="s">
        <v>788</v>
      </c>
      <c r="E70" s="13">
        <v>42779.481226851851</v>
      </c>
      <c r="F70" s="13">
        <v>42779.487037037034</v>
      </c>
      <c r="G70" s="7">
        <v>1</v>
      </c>
      <c r="H70" s="21" t="s">
        <v>221</v>
      </c>
      <c r="I70" s="13">
        <v>42779.514513888891</v>
      </c>
      <c r="J70" s="7">
        <v>0</v>
      </c>
      <c r="K70" s="98" t="str">
        <f t="shared" si="0"/>
        <v>4011/4012</v>
      </c>
      <c r="L70" s="21" t="str">
        <f>VLOOKUP(A70,'Trips&amp;Operators'!$C$1:$G$99999,5,FALSE)</f>
        <v>ROBINSON KADDIBA</v>
      </c>
      <c r="M70" s="6">
        <f t="shared" si="1"/>
        <v>2.7476851857500151E-2</v>
      </c>
      <c r="N70" s="7">
        <f t="shared" si="21"/>
        <v>39.566666674800217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8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7" t="str">
        <f t="shared" si="5"/>
        <v>https://d0f6bd738d7f1b3e5a7ca70fe4ff75f0.us-east-1.aws.found.io/app/kibana#/discover/Steve-Slow-Train-Analysis-(2080s-and-2083s)?_g=(refreshInterval:(display:Off,pause:!f,section:0,value:0),time:(from:'2017-02-13T10:32:58-0700',mode:absolute,to:'2017-02-13T13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0" s="188" t="str">
        <f t="shared" si="6"/>
        <v>N</v>
      </c>
      <c r="X70" s="188">
        <f t="shared" si="24"/>
        <v>1</v>
      </c>
      <c r="Y70" s="62">
        <f t="shared" si="8"/>
        <v>23.295300000000001</v>
      </c>
      <c r="Z70" s="62">
        <f t="shared" si="9"/>
        <v>1.54E-2</v>
      </c>
      <c r="AA70" s="62">
        <f t="shared" si="10"/>
        <v>23.279900000000001</v>
      </c>
      <c r="AB70" s="59" t="e">
        <f>VLOOKUP(A70,Enforcements!$C$7:$K$14,8,0)</f>
        <v>#N/A</v>
      </c>
      <c r="AC70" s="55" t="e">
        <f>VLOOKUP(A70,Enforcements!$C$7:$E$14,3,0)</f>
        <v>#N/A</v>
      </c>
      <c r="AD70" s="56" t="str">
        <f t="shared" si="11"/>
        <v>0158-13</v>
      </c>
      <c r="AE70" s="85" t="str">
        <f t="shared" si="12"/>
        <v>aws s3 cp s3://rtdc.mdm.uploadarchive.raw/RTDC4012/ "%USERPROFILE%\AppData\Local\Temp\OnboardLogs"\RTDC4012\2017-02-13 --exclude "*" --recursive --include "*20170213*" &amp; "%USERPROFILE%\Documents\GitHub\mrs-test-scripts\Headless Mode &amp; Sideloading\WalkAndUnGZ.bat" "%USERPROFILE%\AppData\Local\Temp\OnboardLogs"\RTDC4012\2017-02-13 &amp; 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</v>
      </c>
      <c r="AF70" s="82" t="str">
        <f t="shared" si="13"/>
        <v>"C:\Program Files (x86)\AstroGrep\AstroGrep.exe" /spath="%USERPROFILE%\AppData\Local\Temp\OnboardLogs" /stypes="app*4012*20170213*"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6" t="str">
        <f t="shared" si="18"/>
        <v>"%USERPROFILE%\Documents\GitHub\eaglep3\Utilities\RefineRTDCRunTimes.py" --tripid 158-13 --locoid 4012 --swversion DE.1.0.8.0 --startMP 204:232953 --initTime 2017-02-13T11:32:58 --startdatetime 2017-02-13T11:41:20 --delay 1 --endMP 204:154 --enddatetime 2017-02-13T12:20:54 --enforcementcount 0 &gt;&gt;C:\Users\stu\Documents\GitHub\eaglep3-reporting\EC\2017-02-13-refined-times.txt</v>
      </c>
      <c r="AI70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{"issue":{"subject":"","project_id":79,"tracker_id":40,"status_id":1,"priority_id":2,"assigned_to_id":23,"start_date":"2017-02-13","description":"","custom_fields":[{"id":1,"name":"Subdivision","value":"EC"},{"id":4,"name":"Milepost","value":"0.0154"},{"id":17,"name":"Train ID","value":"158-13"},{"id":16,"name":"Locomotive ID","value":"4012"},{"id":130,"name":"Impact","value":""},{"id":150,"name":"Time of Event (Mountain Time)","value":"12:20:54"},{"id":151,"name":"Denver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4012 --day 2017-02-13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"%USERPROFILE%\AppData\Local\Temp\OnboardLogs"\RTDC4012\*4012*20170213* | grep -SE "(Enforcement Action)|(\[TIMEOUT)|(CHR.+\|PRM\|1\|D.+(SWITCH|SIGNAL).+UNKNOWN)" - &gt;&gt; 2017-02-13-UncaughtWiMAX.txt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628</v>
      </c>
      <c r="B71" s="7">
        <v>4040</v>
      </c>
      <c r="C71" s="21" t="s">
        <v>193</v>
      </c>
      <c r="D71" s="21" t="s">
        <v>298</v>
      </c>
      <c r="E71" s="13">
        <v>42779.453113425923</v>
      </c>
      <c r="F71" s="13">
        <v>42779.458553240744</v>
      </c>
      <c r="G71" s="7">
        <v>1</v>
      </c>
      <c r="H71" s="21" t="s">
        <v>482</v>
      </c>
      <c r="I71" s="13">
        <v>42779.483877314815</v>
      </c>
      <c r="J71" s="7">
        <v>0</v>
      </c>
      <c r="K71" s="98" t="str">
        <f t="shared" si="0"/>
        <v>4039/4040</v>
      </c>
      <c r="L71" s="21" t="str">
        <f>VLOOKUP(A71,'Trips&amp;Operators'!$C$1:$G$99999,5,FALSE)</f>
        <v>STEWART MICHAEL</v>
      </c>
      <c r="M71" s="6">
        <f t="shared" si="1"/>
        <v>2.5324074071249925E-2</v>
      </c>
      <c r="N71" s="7">
        <f t="shared" si="21"/>
        <v>36.466666662599891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8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7" t="str">
        <f t="shared" si="5"/>
        <v>https://d0f6bd738d7f1b3e5a7ca70fe4ff75f0.us-east-1.aws.found.io/app/kibana#/discover/Steve-Slow-Train-Analysis-(2080s-and-2083s)?_g=(refreshInterval:(display:Off,pause:!f,section:0,value:0),time:(from:'2017-02-13T09:52:29-0700',mode:absolute,to:'2017-02-13T12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1" s="188" t="str">
        <f t="shared" si="6"/>
        <v>N</v>
      </c>
      <c r="X71" s="188">
        <f t="shared" si="24"/>
        <v>1</v>
      </c>
      <c r="Y71" s="62">
        <f t="shared" si="8"/>
        <v>4.4699999999999997E-2</v>
      </c>
      <c r="Z71" s="62">
        <f t="shared" si="9"/>
        <v>23.329799999999999</v>
      </c>
      <c r="AA71" s="62">
        <f t="shared" si="10"/>
        <v>23.2851</v>
      </c>
      <c r="AB71" s="59" t="e">
        <f>VLOOKUP(A71,Enforcements!$C$7:$K$14,8,0)</f>
        <v>#N/A</v>
      </c>
      <c r="AC71" s="55" t="e">
        <f>VLOOKUP(A71,Enforcements!$C$7:$E$14,3,0)</f>
        <v>#N/A</v>
      </c>
      <c r="AD71" s="56" t="str">
        <f t="shared" si="11"/>
        <v>0159-13</v>
      </c>
      <c r="AE71" s="85" t="str">
        <f t="shared" si="12"/>
        <v>aws s3 cp s3://rtdc.mdm.uploadarchive.raw/RTDC4040/ "%USERPROFILE%\AppData\Local\Temp\OnboardLogs"\RTDC4040\2017-02-13 --exclude "*" --recursive --include "*20170213*" &amp; "%USERPROFILE%\Documents\GitHub\mrs-test-scripts\Headless Mode &amp; Sideloading\WalkAndUnGZ.bat" "%USERPROFILE%\AppData\Local\Temp\OnboardLogs"\RTDC4040\2017-02-13 &amp; aws s3 cp s3://rtdc.mdm.uploadarchive.raw/RTDC4040/ "%USERPROFILE%\AppData\Local\Temp\OnboardLogs"\RTDC4040\2017-02-14 --exclude "*" --recursive --include "*20170214*" &amp; "%USERPROFILE%\Documents\GitHub\mrs-test-scripts\Headless Mode &amp; Sideloading\WalkAndUnGZ.bat" "%USERPROFILE%\AppData\Local\Temp\OnboardLogs"\RTDC4040\2017-02-14</v>
      </c>
      <c r="AF71" s="82" t="str">
        <f t="shared" si="13"/>
        <v>"C:\Program Files (x86)\AstroGrep\AstroGrep.exe" /spath="%USERPROFILE%\AppData\Local\Temp\OnboardLogs" /stypes="app*4040*20170213*"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6" t="str">
        <f t="shared" si="18"/>
        <v>"%USERPROFILE%\Documents\GitHub\eaglep3\Utilities\RefineRTDCRunTimes.py" --tripid 159-13 --locoid 4040 --swversion DE.1.0.8.0 --startMP 204:447 --initTime 2017-02-13T10:52:29 --startdatetime 2017-02-13T11:00:19 --delay 1 --endMP 204:233298 --enddatetime 2017-02-13T11:36:47 --enforcementcount 0 &gt;&gt;C:\Users\stu\Documents\GitHub\eaglep3-reporting\EC\2017-02-13-refined-times.txt</v>
      </c>
      <c r="AI71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{"issue":{"subject":"","project_id":79,"tracker_id":40,"status_id":1,"priority_id":2,"assigned_to_id":23,"start_date":"2017-02-13","description":"","custom_fields":[{"id":1,"name":"Subdivision","value":"EC"},{"id":4,"name":"Milepost","value":"23.3298"},{"id":17,"name":"Train ID","value":"159-13"},{"id":16,"name":"Locomotive ID","value":"4040"},{"id":130,"name":"Impact","value":""},{"id":150,"name":"Time of Event (Mountain Time)","value":"11:36:47"},{"id":151,"name":"Denver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4040 --day 2017-02-13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"%USERPROFILE%\AppData\Local\Temp\OnboardLogs"\RTDC4040\*4040*20170213* | grep -SE "(Enforcement Action)|(\[TIMEOUT)|(CHR.+\|PRM\|1\|D.+(SWITCH|SIGNAL).+UNKNOWN)" - &gt;&gt; 2017-02-13-UncaughtWiMAX.txt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20" customFormat="1" x14ac:dyDescent="0.25">
      <c r="A72" s="33" t="s">
        <v>638</v>
      </c>
      <c r="B72" s="7">
        <v>4039</v>
      </c>
      <c r="C72" s="21" t="s">
        <v>193</v>
      </c>
      <c r="D72" s="21" t="s">
        <v>518</v>
      </c>
      <c r="E72" s="13">
        <v>42779.494097222225</v>
      </c>
      <c r="F72" s="13">
        <v>42779.531446759262</v>
      </c>
      <c r="G72" s="7">
        <v>1</v>
      </c>
      <c r="H72" s="21" t="s">
        <v>447</v>
      </c>
      <c r="I72" s="13">
        <v>42779.555844907409</v>
      </c>
      <c r="J72" s="7">
        <v>0</v>
      </c>
      <c r="K72" s="98" t="str">
        <f t="shared" si="0"/>
        <v>4039/4040</v>
      </c>
      <c r="L72" s="21" t="str">
        <f>VLOOKUP(A72,'Trips&amp;Operators'!$C$1:$G$99999,5,FALSE)</f>
        <v>STEWART MICHAEL</v>
      </c>
      <c r="M72" s="6">
        <f t="shared" si="1"/>
        <v>2.4398148147156462E-2</v>
      </c>
      <c r="N72" s="7">
        <f t="shared" si="21"/>
        <v>35.133333331905305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8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7" t="str">
        <f t="shared" si="5"/>
        <v>https://d0f6bd738d7f1b3e5a7ca70fe4ff75f0.us-east-1.aws.found.io/app/kibana#/discover/Steve-Slow-Train-Analysis-(2080s-and-2083s)?_g=(refreshInterval:(display:Off,pause:!f,section:0,value:0),time:(from:'2017-02-13T10:51:30-0700',mode:absolute,to:'2017-02-13T14:20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2" s="188" t="str">
        <f t="shared" si="6"/>
        <v>N</v>
      </c>
      <c r="X72" s="188">
        <f t="shared" si="24"/>
        <v>1</v>
      </c>
      <c r="Y72" s="62">
        <f t="shared" si="8"/>
        <v>23.2972</v>
      </c>
      <c r="Z72" s="62">
        <f t="shared" si="9"/>
        <v>1.5599999999999999E-2</v>
      </c>
      <c r="AA72" s="62">
        <f t="shared" si="10"/>
        <v>23.281600000000001</v>
      </c>
      <c r="AB72" s="59" t="e">
        <f>VLOOKUP(A72,Enforcements!$C$7:$K$14,8,0)</f>
        <v>#N/A</v>
      </c>
      <c r="AC72" s="55" t="e">
        <f>VLOOKUP(A72,Enforcements!$C$7:$E$14,3,0)</f>
        <v>#N/A</v>
      </c>
      <c r="AD72" s="56" t="str">
        <f t="shared" si="11"/>
        <v>0160-13</v>
      </c>
      <c r="AE72" s="85" t="str">
        <f t="shared" si="12"/>
        <v>aws s3 cp s3://rtdc.mdm.uploadarchive.raw/RTDC4039/ "%USERPROFILE%\AppData\Local\Temp\OnboardLogs"\RTDC4039\2017-02-13 --exclude "*" --recursive --include "*20170213*" &amp; "%USERPROFILE%\Documents\GitHub\mrs-test-scripts\Headless Mode &amp; Sideloading\WalkAndUnGZ.bat" "%USERPROFILE%\AppData\Local\Temp\OnboardLogs"\RTDC4039\2017-02-13 &amp; aws s3 cp s3://rtdc.mdm.uploadarchive.raw/RTDC4039/ "%USERPROFILE%\AppData\Local\Temp\OnboardLogs"\RTDC4039\2017-02-14 --exclude "*" --recursive --include "*20170214*" &amp; "%USERPROFILE%\Documents\GitHub\mrs-test-scripts\Headless Mode &amp; Sideloading\WalkAndUnGZ.bat" "%USERPROFILE%\AppData\Local\Temp\OnboardLogs"\RTDC4039\2017-02-14</v>
      </c>
      <c r="AF72" s="82" t="str">
        <f t="shared" si="13"/>
        <v>"C:\Program Files (x86)\AstroGrep\AstroGrep.exe" /spath="%USERPROFILE%\AppData\Local\Temp\OnboardLogs" /stypes="app*4039*20170213*" /stext=" 20:.+((SYSTEM_STATE.+slice.+state.+changed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6" t="str">
        <f t="shared" si="18"/>
        <v>"%USERPROFILE%\Documents\GitHub\eaglep3\Utilities\RefineRTDCRunTimes.py" --tripid 160-13 --locoid 4039 --swversion DE.1.0.8.0 --startMP 204:232972 --initTime 2017-02-13T11:51:30 --startdatetime 2017-02-13T12:45:17 --delay 1 --endMP 204:156 --enddatetime 2017-02-13T13:20:25 --enforcementcount 0 &gt;&gt;C:\Users\stu\Documents\GitHub\eaglep3-reporting\EC\2017-02-13-refined-times.txt</v>
      </c>
      <c r="AI72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{"issue":{"subject":"","project_id":79,"tracker_id":40,"status_id":1,"priority_id":2,"assigned_to_id":23,"start_date":"2017-02-13","description":"","custom_fields":[{"id":1,"name":"Subdivision","value":"EC"},{"id":4,"name":"Milepost","value":"0.0156"},{"id":17,"name":"Train ID","value":"160-13"},{"id":16,"name":"Locomotive ID","value":"4039"},{"id":130,"name":"Impact","value":""},{"id":150,"name":"Time of Event (Mountain Time)","value":"13:20:25"},{"id":151,"name":"Denver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4039 --day 2017-02-13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"%USERPROFILE%\AppData\Local\Temp\OnboardLogs"\RTDC4039\*4039*20170213* | grep -SE "(Enforcement Action)|(\[TIMEOUT)|(CHR.+\|PRM\|1\|D.+(SWITCH|SIGNAL).+UNKNOWN)" - &gt;&gt; 2017-02-13-UncaughtWiMAX.txt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20" customFormat="1" x14ac:dyDescent="0.25">
      <c r="A73" s="33" t="s">
        <v>630</v>
      </c>
      <c r="B73" s="7">
        <v>4025</v>
      </c>
      <c r="C73" s="21" t="s">
        <v>193</v>
      </c>
      <c r="D73" s="21" t="s">
        <v>789</v>
      </c>
      <c r="E73" s="13">
        <v>42779.465671296297</v>
      </c>
      <c r="F73" s="13">
        <v>42779.469074074077</v>
      </c>
      <c r="G73" s="7">
        <v>2</v>
      </c>
      <c r="H73" s="21" t="s">
        <v>485</v>
      </c>
      <c r="I73" s="13">
        <v>42779.495069444441</v>
      </c>
      <c r="J73" s="7">
        <v>0</v>
      </c>
      <c r="K73" s="98" t="str">
        <f t="shared" si="0"/>
        <v>4025/4026</v>
      </c>
      <c r="L73" s="21" t="str">
        <f>VLOOKUP(A73,'Trips&amp;Operators'!$C$1:$G$99999,5,FALSE)</f>
        <v>DAVIS MICHAEL</v>
      </c>
      <c r="M73" s="6">
        <f t="shared" si="1"/>
        <v>2.5995370364398696E-2</v>
      </c>
      <c r="N73" s="7">
        <f t="shared" si="21"/>
        <v>37.433333324734122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8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7" t="str">
        <f t="shared" si="5"/>
        <v>https://d0f6bd738d7f1b3e5a7ca70fe4ff75f0.us-east-1.aws.found.io/app/kibana#/discover/Steve-Slow-Train-Analysis-(2080s-and-2083s)?_g=(refreshInterval:(display:Off,pause:!f,section:0,value:0),time:(from:'2017-02-13T10:10:34-0700',mode:absolute,to:'2017-02-13T12:52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3" s="188" t="str">
        <f t="shared" si="6"/>
        <v>N</v>
      </c>
      <c r="X73" s="188">
        <f t="shared" si="24"/>
        <v>1</v>
      </c>
      <c r="Y73" s="62">
        <f t="shared" si="8"/>
        <v>4.7300000000000002E-2</v>
      </c>
      <c r="Z73" s="62">
        <f t="shared" si="9"/>
        <v>23.331399999999999</v>
      </c>
      <c r="AA73" s="62">
        <f t="shared" si="10"/>
        <v>23.284099999999999</v>
      </c>
      <c r="AB73" s="59" t="e">
        <f>VLOOKUP(A73,Enforcements!$C$7:$K$14,8,0)</f>
        <v>#N/A</v>
      </c>
      <c r="AC73" s="55" t="e">
        <f>VLOOKUP(A73,Enforcements!$C$7:$E$14,3,0)</f>
        <v>#N/A</v>
      </c>
      <c r="AD73" s="56" t="str">
        <f t="shared" si="11"/>
        <v>0161-13</v>
      </c>
      <c r="AE73" s="85" t="str">
        <f t="shared" si="12"/>
        <v>aws s3 cp s3://rtdc.mdm.uploadarchive.raw/RTDC4025/ "%USERPROFILE%\AppData\Local\Temp\OnboardLogs"\RTDC4025\2017-02-13 --exclude "*" --recursive --include "*20170213*" &amp; "%USERPROFILE%\Documents\GitHub\mrs-test-scripts\Headless Mode &amp; Sideloading\WalkAndUnGZ.bat" "%USERPROFILE%\AppData\Local\Temp\OnboardLogs"\RTDC4025\2017-02-13 &amp; aws s3 cp s3://rtdc.mdm.uploadarchive.raw/RTDC4025/ "%USERPROFILE%\AppData\Local\Temp\OnboardLogs"\RTDC4025\2017-02-14 --exclude "*" --recursive --include "*20170214*" &amp; "%USERPROFILE%\Documents\GitHub\mrs-test-scripts\Headless Mode &amp; Sideloading\WalkAndUnGZ.bat" "%USERPROFILE%\AppData\Local\Temp\OnboardLogs"\RTDC4025\2017-02-14</v>
      </c>
      <c r="AF73" s="82" t="str">
        <f t="shared" si="13"/>
        <v>"C:\Program Files (x86)\AstroGrep\AstroGrep.exe" /spath="%USERPROFILE%\AppData\Local\Temp\OnboardLogs" /stypes="app*4025*20170213*"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6" t="str">
        <f t="shared" si="18"/>
        <v>"%USERPROFILE%\Documents\GitHub\eaglep3\Utilities\RefineRTDCRunTimes.py" --tripid 161-13 --locoid 4025 --swversion DE.1.0.8.0 --startMP 204:473 --initTime 2017-02-13T11:10:34 --startdatetime 2017-02-13T11:15:28 --delay 2 --endMP 204:233314 --enddatetime 2017-02-13T11:52:54 --enforcementcount 0 &gt;&gt;C:\Users\stu\Documents\GitHub\eaglep3-reporting\EC\2017-02-13-refined-times.txt</v>
      </c>
      <c r="AI73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{"issue":{"subject":"","project_id":79,"tracker_id":40,"status_id":1,"priority_id":2,"assigned_to_id":23,"start_date":"2017-02-13","description":"","custom_fields":[{"id":1,"name":"Subdivision","value":"EC"},{"id":4,"name":"Milepost","value":"23.3314"},{"id":17,"name":"Train ID","value":"161-13"},{"id":16,"name":"Locomotive ID","value":"4025"},{"id":130,"name":"Impact","value":""},{"id":150,"name":"Time of Event (Mountain Time)","value":"11:52:54"},{"id":151,"name":"Denver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4025 --day 2017-02-13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"%USERPROFILE%\AppData\Local\Temp\OnboardLogs"\RTDC4025\*4025*20170213* | grep -SE "(Enforcement Action)|(\[TIMEOUT)|(CHR.+\|PRM\|1\|D.+(SWITCH|SIGNAL).+UNKNOWN)" - &gt;&gt; 2017-02-13-UncaughtWiMAX.txt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639</v>
      </c>
      <c r="B74" s="7">
        <v>4026</v>
      </c>
      <c r="C74" s="21" t="s">
        <v>193</v>
      </c>
      <c r="D74" s="21" t="s">
        <v>353</v>
      </c>
      <c r="E74" s="13">
        <v>42779.505902777775</v>
      </c>
      <c r="F74" s="13">
        <v>42779.507986111108</v>
      </c>
      <c r="G74" s="7">
        <v>2</v>
      </c>
      <c r="H74" s="21" t="s">
        <v>184</v>
      </c>
      <c r="I74" s="13">
        <v>42779.535717592589</v>
      </c>
      <c r="J74" s="7">
        <v>0</v>
      </c>
      <c r="K74" s="98" t="str">
        <f t="shared" si="0"/>
        <v>4025/4026</v>
      </c>
      <c r="L74" s="21" t="str">
        <f>VLOOKUP(A74,'Trips&amp;Operators'!$C$1:$G$99999,5,FALSE)</f>
        <v>DAVIS MICHAEL</v>
      </c>
      <c r="M74" s="6">
        <f t="shared" si="1"/>
        <v>2.7731481481168885E-2</v>
      </c>
      <c r="N74" s="7">
        <f t="shared" si="21"/>
        <v>39.933333332883194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8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7" t="str">
        <f t="shared" si="5"/>
        <v>https://d0f6bd738d7f1b3e5a7ca70fe4ff75f0.us-east-1.aws.found.io/app/kibana#/discover/Steve-Slow-Train-Analysis-(2080s-and-2083s)?_g=(refreshInterval:(display:Off,pause:!f,section:0,value:0),time:(from:'2017-02-13T11:08:30-0700',mode:absolute,to:'2017-02-13T13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4" s="188" t="str">
        <f t="shared" si="6"/>
        <v>N</v>
      </c>
      <c r="X74" s="188">
        <f t="shared" si="24"/>
        <v>1</v>
      </c>
      <c r="Y74" s="62">
        <f t="shared" si="8"/>
        <v>23.298400000000001</v>
      </c>
      <c r="Z74" s="62">
        <f t="shared" si="9"/>
        <v>1.49E-2</v>
      </c>
      <c r="AA74" s="62">
        <f t="shared" si="10"/>
        <v>23.2835</v>
      </c>
      <c r="AB74" s="59" t="e">
        <f>VLOOKUP(A74,Enforcements!$C$7:$K$14,8,0)</f>
        <v>#N/A</v>
      </c>
      <c r="AC74" s="55" t="e">
        <f>VLOOKUP(A74,Enforcements!$C$7:$E$14,3,0)</f>
        <v>#N/A</v>
      </c>
      <c r="AD74" s="56" t="str">
        <f t="shared" si="11"/>
        <v>0162-13</v>
      </c>
      <c r="AE74" s="85" t="str">
        <f t="shared" si="12"/>
        <v>aws s3 cp s3://rtdc.mdm.uploadarchive.raw/RTDC4026/ "%USERPROFILE%\AppData\Local\Temp\OnboardLogs"\RTDC4026\2017-02-13 --exclude "*" --recursive --include "*20170213*" &amp; "%USERPROFILE%\Documents\GitHub\mrs-test-scripts\Headless Mode &amp; Sideloading\WalkAndUnGZ.bat" "%USERPROFILE%\AppData\Local\Temp\OnboardLogs"\RTDC4026\2017-02-13 &amp; aws s3 cp s3://rtdc.mdm.uploadarchive.raw/RTDC4026/ "%USERPROFILE%\AppData\Local\Temp\OnboardLogs"\RTDC4026\2017-02-14 --exclude "*" --recursive --include "*20170214*" &amp; "%USERPROFILE%\Documents\GitHub\mrs-test-scripts\Headless Mode &amp; Sideloading\WalkAndUnGZ.bat" "%USERPROFILE%\AppData\Local\Temp\OnboardLogs"\RTDC4026\2017-02-14</v>
      </c>
      <c r="AF74" s="82" t="str">
        <f t="shared" si="13"/>
        <v>"C:\Program Files (x86)\AstroGrep\AstroGrep.exe" /spath="%USERPROFILE%\AppData\Local\Temp\OnboardLogs" /stypes="app*4026*20170213*"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6" t="str">
        <f t="shared" si="18"/>
        <v>"%USERPROFILE%\Documents\GitHub\eaglep3\Utilities\RefineRTDCRunTimes.py" --tripid 162-13 --locoid 4026 --swversion DE.1.0.8.0 --startMP 204:232984 --initTime 2017-02-13T12:08:30 --startdatetime 2017-02-13T12:11:30 --delay 2 --endMP 204:149 --enddatetime 2017-02-13T12:51:26 --enforcementcount 0 &gt;&gt;C:\Users\stu\Documents\GitHub\eaglep3-reporting\EC\2017-02-13-refined-times.txt</v>
      </c>
      <c r="AI74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{"issue":{"subject":"","project_id":79,"tracker_id":40,"status_id":1,"priority_id":2,"assigned_to_id":23,"start_date":"2017-02-13","description":"","custom_fields":[{"id":1,"name":"Subdivision","value":"EC"},{"id":4,"name":"Milepost","value":"0.0149"},{"id":17,"name":"Train ID","value":"162-13"},{"id":16,"name":"Locomotive ID","value":"4026"},{"id":130,"name":"Impact","value":""},{"id":150,"name":"Time of Event (Mountain Time)","value":"12:51:26"},{"id":151,"name":"Denver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4026 --day 2017-02-13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"%USERPROFILE%\AppData\Local\Temp\OnboardLogs"\RTDC4026\*4026*20170213* | grep -SE "(Enforcement Action)|(\[TIMEOUT)|(CHR.+\|PRM\|1\|D.+(SWITCH|SIGNAL).+UNKNOWN)" - &gt;&gt; 2017-02-13-UncaughtWiMAX.txt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632</v>
      </c>
      <c r="B75" s="7">
        <v>4027</v>
      </c>
      <c r="C75" s="21" t="s">
        <v>193</v>
      </c>
      <c r="D75" s="21" t="s">
        <v>206</v>
      </c>
      <c r="E75" s="13">
        <v>42779.475069444445</v>
      </c>
      <c r="F75" s="13">
        <v>42779.479409722226</v>
      </c>
      <c r="G75" s="7">
        <v>1</v>
      </c>
      <c r="H75" s="21" t="s">
        <v>293</v>
      </c>
      <c r="I75" s="13">
        <v>42779.506157407406</v>
      </c>
      <c r="J75" s="7">
        <v>0</v>
      </c>
      <c r="K75" s="98" t="str">
        <f t="shared" si="0"/>
        <v>4027/4028</v>
      </c>
      <c r="L75" s="21" t="str">
        <f>VLOOKUP(A75,'Trips&amp;Operators'!$C$1:$G$99999,5,FALSE)</f>
        <v>CLARK KATHLEEN</v>
      </c>
      <c r="M75" s="6">
        <f t="shared" si="1"/>
        <v>2.6747685180453118E-2</v>
      </c>
      <c r="N75" s="7">
        <f t="shared" si="21"/>
        <v>38.51666665985249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8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7" t="str">
        <f t="shared" si="5"/>
        <v>https://d0f6bd738d7f1b3e5a7ca70fe4ff75f0.us-east-1.aws.found.io/app/kibana#/discover/Steve-Slow-Train-Analysis-(2080s-and-2083s)?_g=(refreshInterval:(display:Off,pause:!f,section:0,value:0),time:(from:'2017-02-13T10:24:06-0700',mode:absolute,to:'2017-02-13T13:08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5" s="188" t="str">
        <f t="shared" si="6"/>
        <v>N</v>
      </c>
      <c r="X75" s="188">
        <f t="shared" si="24"/>
        <v>1</v>
      </c>
      <c r="Y75" s="62">
        <f t="shared" si="8"/>
        <v>4.6199999999999998E-2</v>
      </c>
      <c r="Z75" s="62">
        <f t="shared" si="9"/>
        <v>23.3308</v>
      </c>
      <c r="AA75" s="62">
        <f t="shared" si="10"/>
        <v>23.284600000000001</v>
      </c>
      <c r="AB75" s="59" t="e">
        <f>VLOOKUP(A75,Enforcements!$C$7:$K$14,8,0)</f>
        <v>#N/A</v>
      </c>
      <c r="AC75" s="55" t="e">
        <f>VLOOKUP(A75,Enforcements!$C$7:$E$14,3,0)</f>
        <v>#N/A</v>
      </c>
      <c r="AD75" s="56" t="str">
        <f t="shared" si="11"/>
        <v>0163-13</v>
      </c>
      <c r="AE75" s="85" t="str">
        <f t="shared" si="12"/>
        <v>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 &amp; 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</v>
      </c>
      <c r="AF75" s="82" t="str">
        <f t="shared" si="13"/>
        <v>"C:\Program Files (x86)\AstroGrep\AstroGrep.exe" /spath="%USERPROFILE%\AppData\Local\Temp\OnboardLogs" /stypes="app*4027*20170213*"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6" t="str">
        <f t="shared" si="18"/>
        <v>"%USERPROFILE%\Documents\GitHub\eaglep3\Utilities\RefineRTDCRunTimes.py" --tripid 163-13 --locoid 4027 --swversion DE.1.0.8.0 --startMP 204:462 --initTime 2017-02-13T11:24:06 --startdatetime 2017-02-13T11:30:21 --delay 1 --endMP 204:233308 --enddatetime 2017-02-13T12:08:52 --enforcementcount 0 &gt;&gt;C:\Users\stu\Documents\GitHub\eaglep3-reporting\EC\2017-02-13-refined-times.txt</v>
      </c>
      <c r="AI75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{"issue":{"subject":"","project_id":79,"tracker_id":40,"status_id":1,"priority_id":2,"assigned_to_id":23,"start_date":"2017-02-13","description":"","custom_fields":[{"id":1,"name":"Subdivision","value":"EC"},{"id":4,"name":"Milepost","value":"23.3308"},{"id":17,"name":"Train ID","value":"163-13"},{"id":16,"name":"Locomotive ID","value":"4027"},{"id":130,"name":"Impact","value":""},{"id":150,"name":"Time of Event (Mountain Time)","value":"12:08:52"},{"id":151,"name":"Denver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4027 --day 2017-02-13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"%USERPROFILE%\AppData\Local\Temp\OnboardLogs"\RTDC4027\*4027*20170213* | grep -SE "(Enforcement Action)|(\[TIMEOUT)|(CHR.+\|PRM\|1\|D.+(SWITCH|SIGNAL).+UNKNOWN)" - &gt;&gt; 2017-02-13-UncaughtWiMAX.txt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x14ac:dyDescent="0.25">
      <c r="A76" s="33" t="s">
        <v>644</v>
      </c>
      <c r="B76" s="7">
        <v>4028</v>
      </c>
      <c r="C76" s="21" t="s">
        <v>193</v>
      </c>
      <c r="D76" s="21" t="s">
        <v>781</v>
      </c>
      <c r="E76" s="13">
        <v>42779.51489583333</v>
      </c>
      <c r="F76" s="13">
        <v>42779.518240740741</v>
      </c>
      <c r="G76" s="7">
        <v>1</v>
      </c>
      <c r="H76" s="21" t="s">
        <v>790</v>
      </c>
      <c r="I76" s="13">
        <v>42779.546712962961</v>
      </c>
      <c r="J76" s="7">
        <v>0</v>
      </c>
      <c r="K76" s="98" t="str">
        <f t="shared" si="0"/>
        <v>4027/4028</v>
      </c>
      <c r="L76" s="21" t="str">
        <f>VLOOKUP(A76,'Trips&amp;Operators'!$C$1:$G$99999,5,FALSE)</f>
        <v>CLARK KATHLEEN</v>
      </c>
      <c r="M76" s="6">
        <f t="shared" si="1"/>
        <v>2.8472222220443655E-2</v>
      </c>
      <c r="N76" s="7">
        <f t="shared" si="21"/>
        <v>40.999999997438863</v>
      </c>
      <c r="O76" s="7"/>
      <c r="P76" s="7"/>
      <c r="Q76" s="22"/>
      <c r="R76" s="22"/>
      <c r="S76" s="31">
        <f t="shared" si="3"/>
        <v>1</v>
      </c>
      <c r="T76" s="46" t="str">
        <f t="shared" si="4"/>
        <v>Southbound</v>
      </c>
      <c r="U76" s="18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7" t="str">
        <f t="shared" si="5"/>
        <v>https://d0f6bd738d7f1b3e5a7ca70fe4ff75f0.us-east-1.aws.found.io/app/kibana#/discover/Steve-Slow-Train-Analysis-(2080s-and-2083s)?_g=(refreshInterval:(display:Off,pause:!f,section:0,value:0),time:(from:'2017-02-13T11:21:27-0700',mode:absolute,to:'2017-02-13T14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6" s="188" t="str">
        <f t="shared" si="6"/>
        <v>N</v>
      </c>
      <c r="X76" s="188">
        <f t="shared" si="24"/>
        <v>1</v>
      </c>
      <c r="Y76" s="62">
        <f t="shared" si="8"/>
        <v>23.298500000000001</v>
      </c>
      <c r="Z76" s="62">
        <f t="shared" si="9"/>
        <v>2.12E-2</v>
      </c>
      <c r="AA76" s="62">
        <f t="shared" si="10"/>
        <v>23.2773</v>
      </c>
      <c r="AB76" s="59" t="e">
        <f>VLOOKUP(A76,Enforcements!$C$7:$K$14,8,0)</f>
        <v>#N/A</v>
      </c>
      <c r="AC76" s="55" t="e">
        <f>VLOOKUP(A76,Enforcements!$C$7:$E$14,3,0)</f>
        <v>#N/A</v>
      </c>
      <c r="AD76" s="56" t="str">
        <f t="shared" si="11"/>
        <v>0164-13</v>
      </c>
      <c r="AE76" s="85" t="str">
        <f t="shared" si="12"/>
        <v>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 &amp; aws s3 cp s3://rtdc.mdm.uploadarchive.raw/RTDC4028/ "%USERPROFILE%\AppData\Local\Temp\OnboardLogs"\RTDC4028\2017-02-14 --exclude "*" --recursive --include "*20170214*" &amp; "%USERPROFILE%\Documents\GitHub\mrs-test-scripts\Headless Mode &amp; Sideloading\WalkAndUnGZ.bat" "%USERPROFILE%\AppData\Local\Temp\OnboardLogs"\RTDC4028\2017-02-14</v>
      </c>
      <c r="AF76" s="82" t="str">
        <f t="shared" si="13"/>
        <v>"C:\Program Files (x86)\AstroGrep\AstroGrep.exe" /spath="%USERPROFILE%\AppData\Local\Temp\OnboardLogs" /stypes="app*4028*20170213*"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6" t="str">
        <f t="shared" si="18"/>
        <v>"%USERPROFILE%\Documents\GitHub\eaglep3\Utilities\RefineRTDCRunTimes.py" --tripid 164-13 --locoid 4028 --swversion DE.1.0.8.0 --startMP 204:232985 --initTime 2017-02-13T12:21:27 --startdatetime 2017-02-13T12:26:16 --delay 1 --endMP 204:212 --enddatetime 2017-02-13T13:07:16 --enforcementcount 0 &gt;&gt;C:\Users\stu\Documents\GitHub\eaglep3-reporting\EC\2017-02-13-refined-times.txt</v>
      </c>
      <c r="AI76" s="108" t="str">
        <f t="shared" si="19"/>
        <v>echo {"issue":{"subject":"","project_id":79,"tracker_id":40,"status_id":1,"priority_id":2,"assigned_to_id":23,"start_date":"2017-02-13","description":"","custom_fields":[{"id":1,"name":"Subdivision","value":"EC"},{"id":4,"name":"Milepost","value":"0.0212"},{"id":17,"name":"Train ID","value":"164-13"},{"id":16,"name":"Locomotive ID","value":"4028"},{"id":130,"name":"Impact","value":""},{"id":150,"name":"Time of Event (Mountain Time)","value":"13:07:16"},{"id":151,"name":"Denver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4028 --day 2017-02-13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"%USERPROFILE%\AppData\Local\Temp\OnboardLogs"\RTDC4028\*4028*20170213* | grep -SE "(Enforcement Action)|(\[TIMEOUT)|(CHR.+\|PRM\|1\|D.+(SWITCH|SIGNAL).+UNKNOWN)" - &gt;&gt; 2017-02-13-UncaughtWiMAX.txt</v>
      </c>
    </row>
    <row r="77" spans="1:91" x14ac:dyDescent="0.25">
      <c r="A77" s="33" t="s">
        <v>538</v>
      </c>
      <c r="B77" s="7">
        <v>4009</v>
      </c>
      <c r="C77" s="21" t="s">
        <v>193</v>
      </c>
      <c r="D77" s="21" t="s">
        <v>791</v>
      </c>
      <c r="E77" s="13">
        <v>42779.484861111108</v>
      </c>
      <c r="F77" s="13">
        <v>42779.489803240744</v>
      </c>
      <c r="G77" s="7">
        <v>1</v>
      </c>
      <c r="H77" s="21" t="s">
        <v>331</v>
      </c>
      <c r="I77" s="13">
        <v>42779.514918981484</v>
      </c>
      <c r="J77" s="7">
        <v>0</v>
      </c>
      <c r="K77" s="98" t="str">
        <f t="shared" ref="K77:K140" si="25">IF(ISEVEN(B77),(B77-1)&amp;"/"&amp;B77,B77&amp;"/"&amp;(B77+1))</f>
        <v>4009/4010</v>
      </c>
      <c r="L77" s="21" t="str">
        <f>VLOOKUP(A77,'Trips&amp;Operators'!$C$1:$G$99999,5,FALSE)</f>
        <v>ROMERO CHAD</v>
      </c>
      <c r="M77" s="6">
        <f t="shared" ref="M77:M140" si="26">I77-F77</f>
        <v>2.5115740740147885E-2</v>
      </c>
      <c r="N77" s="7">
        <f t="shared" ref="N77:N91" si="27">24*60*SUM($M77:$M77)</f>
        <v>36.166666665812954</v>
      </c>
      <c r="O77" s="7"/>
      <c r="P77" s="7"/>
      <c r="Q77" s="22"/>
      <c r="R77" s="22"/>
      <c r="S77" s="31">
        <f t="shared" ref="S77:S140" si="28">SUM(U77:U77)/IF(AG77="EC",12,1)</f>
        <v>1</v>
      </c>
      <c r="T77" s="46" t="str">
        <f t="shared" ref="T77:T140" si="29">IF(ISEVEN(LEFT(AD77,4)),"Southbound","NorthBound")</f>
        <v>NorthBound</v>
      </c>
      <c r="U77" s="18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7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-13T10:38:12-0700',mode:absolute,to:'2017-02-13T13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7" s="188" t="str">
        <f t="shared" ref="W77:W140" si="31">IF(AA77&lt;IF(AG77="EC",23,5.65),"Y","N")</f>
        <v>N</v>
      </c>
      <c r="X77" s="188">
        <f t="shared" si="24"/>
        <v>1</v>
      </c>
      <c r="Y77" s="62">
        <f t="shared" ref="Y77:Y140" si="32">RIGHT(D77,LEN(D77)-4)/10000</f>
        <v>4.7100000000000003E-2</v>
      </c>
      <c r="Z77" s="62">
        <f t="shared" ref="Z77:Z140" si="33">RIGHT(H77,LEN(H77)-4)/10000</f>
        <v>23.329499999999999</v>
      </c>
      <c r="AA77" s="62">
        <f t="shared" ref="AA77:AA140" si="34">ABS(Z77-Y77)</f>
        <v>23.282399999999999</v>
      </c>
      <c r="AB77" s="59" t="str">
        <f>VLOOKUP(A77,Enforcements!$C$7:$K$14,8,0)</f>
        <v>Bulletin (2)</v>
      </c>
      <c r="AC77" s="55" t="str">
        <f>VLOOKUP(A77,Enforcements!$C$7:$E$14,3,0)</f>
        <v>GRADE CROSSING</v>
      </c>
      <c r="AD77" s="56" t="str">
        <f t="shared" ref="AD77:AD140" si="35">IF(LEN(A77)=6,"0"&amp;A77,A77)</f>
        <v>0165-13</v>
      </c>
      <c r="AE77" s="85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 &amp; aws s3 cp s3://rtdc.mdm.uploadarchive.raw/RTDC4009/ "%USERPROFILE%\AppData\Local\Temp\OnboardLogs"\RTDC4009\2017-02-14 --exclude "*" --recursive --include "*20170214*" &amp; "%USERPROFILE%\Documents\GitHub\mrs-test-scripts\Headless Mode &amp; Sideloading\WalkAndUnGZ.bat" "%USERPROFILE%\AppData\Local\Temp\OnboardLogs"\RTDC4009\2017-02-14</v>
      </c>
      <c r="AF77" s="82" t="str">
        <f t="shared" ref="AF77:AF140" si="37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/stypes="app*4009*20170213*" /stext=" 19:.+((SYSTEM_STATE.+slice.+state.+changed )|(ment ac)|(multiple cpu faults)|(system.+state.+changed )|(\[timeout)|(PRM\|1\|D)|(kpr)|(kdp)|(\|lc)|(penalty))" /e /r /s</v>
      </c>
      <c r="AG77" s="1" t="str">
        <f t="shared" ref="AG77:AG140" si="38">IFERROR(IF(VALUE(LEFT(AD77,2))&lt;=2,"EC",IF(OR(VALUE(LEFT(AD77,2))=8,VALUE(LEFT(AD77,2))=18),"NW","Other")),"Other")</f>
        <v>EC</v>
      </c>
      <c r="AH77" s="86" t="str">
        <f t="shared" ref="AH77:AH140" si="3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165-13 --locoid 4009 --swversion DE.1.0.8.0 --startMP 204:471 --initTime 2017-02-13T11:38:12 --startdatetime 2017-02-13T11:45:19 --delay 1 --endMP 204:233295 --enddatetime 2017-02-13T12:21:29 --enforcementcount 0 &gt;&gt;C:\Users\stu\Documents\GitHub\eaglep3-reporting\EC\2017-02-13-refined-times.txt</v>
      </c>
      <c r="AI77" s="108" t="str">
        <f t="shared" ref="AI77:AI140" si="4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{"issue":{"subject":"","project_id":79,"tracker_id":40,"status_id":1,"priority_id":2,"assigned_to_id":23,"start_date":"2017-02-13","description":"","custom_fields":[{"id":1,"name":"Subdivision","value":"EC"},{"id":4,"name":"Milepost","value":"23.3295"},{"id":17,"name":"Train ID","value":"165-13"},{"id":16,"name":"Locomotive ID","value":"4009"},{"id":130,"name":"Impact","value":""},{"id":150,"name":"Time of Event (Mountain Time)","value":"12:21:29"},{"id":151,"name":"Denver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ref="AM77:AM140" si="41">"start /low /b "&amp;dls3logs&amp;" --loco "&amp;B77&amp;" --day "&amp;TEXT(F77,"YYYY-MM-DD")</f>
        <v>start /low /b %USERPROFILE%\Documents\GitHub\eaglep3\Utilities\DownloadLogsFromS3.py --loco 4009 --day 2017-02-13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"%USERPROFILE%\AppData\Local\Temp\OnboardLogs"\RTDC4009\*4009*20170213* | grep -SE "(Enforcement Action)|(\[TIMEOUT)|(CHR.+\|PRM\|1\|D.+(SWITCH|SIGNAL).+UNKNOWN)" - &gt;&gt; 2017-02-13-UncaughtWiMAX.txt</v>
      </c>
    </row>
    <row r="78" spans="1:91" s="20" customFormat="1" x14ac:dyDescent="0.25">
      <c r="A78" s="33" t="s">
        <v>646</v>
      </c>
      <c r="B78" s="7">
        <v>4010</v>
      </c>
      <c r="C78" s="21" t="s">
        <v>193</v>
      </c>
      <c r="D78" s="21" t="s">
        <v>453</v>
      </c>
      <c r="E78" s="13">
        <v>42779.524467592593</v>
      </c>
      <c r="F78" s="13">
        <v>42779.528773148151</v>
      </c>
      <c r="G78" s="7">
        <v>2</v>
      </c>
      <c r="H78" s="21" t="s">
        <v>521</v>
      </c>
      <c r="I78" s="13">
        <v>42779.555162037039</v>
      </c>
      <c r="J78" s="7">
        <v>0</v>
      </c>
      <c r="K78" s="98" t="str">
        <f t="shared" si="25"/>
        <v>4009/4010</v>
      </c>
      <c r="L78" s="21" t="str">
        <f>VLOOKUP(A78,'Trips&amp;Operators'!$C$1:$G$99999,5,FALSE)</f>
        <v>ROMERO CHAD</v>
      </c>
      <c r="M78" s="6">
        <f t="shared" si="26"/>
        <v>2.6388888887595385E-2</v>
      </c>
      <c r="N78" s="7">
        <f t="shared" si="27"/>
        <v>37.999999998137355</v>
      </c>
      <c r="O78" s="7"/>
      <c r="P78" s="7"/>
      <c r="Q78" s="22"/>
      <c r="R78" s="22"/>
      <c r="S78" s="31">
        <f t="shared" si="28"/>
        <v>1</v>
      </c>
      <c r="T78" s="46" t="str">
        <f t="shared" si="29"/>
        <v>Southbound</v>
      </c>
      <c r="U78" s="18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7" t="str">
        <f t="shared" si="30"/>
        <v>https://d0f6bd738d7f1b3e5a7ca70fe4ff75f0.us-east-1.aws.found.io/app/kibana#/discover/Steve-Slow-Train-Analysis-(2080s-and-2083s)?_g=(refreshInterval:(display:Off,pause:!f,section:0,value:0),time:(from:'2017-02-13T11:35:14-0700',mode:absolute,to:'2017-02-13T14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8" s="188" t="str">
        <f t="shared" si="31"/>
        <v>N</v>
      </c>
      <c r="X78" s="188">
        <f t="shared" si="24"/>
        <v>1</v>
      </c>
      <c r="Y78" s="62">
        <f t="shared" si="32"/>
        <v>23.299199999999999</v>
      </c>
      <c r="Z78" s="62">
        <f t="shared" si="33"/>
        <v>1.34E-2</v>
      </c>
      <c r="AA78" s="62">
        <f t="shared" si="34"/>
        <v>23.285799999999998</v>
      </c>
      <c r="AB78" s="59" t="e">
        <f>VLOOKUP(A78,Enforcements!$C$7:$K$14,8,0)</f>
        <v>#N/A</v>
      </c>
      <c r="AC78" s="55" t="e">
        <f>VLOOKUP(A78,Enforcements!$C$7:$E$14,3,0)</f>
        <v>#N/A</v>
      </c>
      <c r="AD78" s="56" t="str">
        <f t="shared" si="35"/>
        <v>0166-13</v>
      </c>
      <c r="AE78" s="85" t="str">
        <f t="shared" si="36"/>
        <v>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 &amp; aws s3 cp s3://rtdc.mdm.uploadarchive.raw/RTDC4010/ "%USERPROFILE%\AppData\Local\Temp\OnboardLogs"\RTDC4010\2017-02-14 --exclude "*" --recursive --include "*20170214*" &amp; "%USERPROFILE%\Documents\GitHub\mrs-test-scripts\Headless Mode &amp; Sideloading\WalkAndUnGZ.bat" "%USERPROFILE%\AppData\Local\Temp\OnboardLogs"\RTDC4010\2017-02-14</v>
      </c>
      <c r="AF78" s="82" t="str">
        <f t="shared" si="37"/>
        <v>"C:\Program Files (x86)\AstroGrep\AstroGrep.exe" /spath="%USERPROFILE%\AppData\Local\Temp\OnboardLogs" /stypes="app*4010*20170213*" /stext=" 20:.+((SYSTEM_STATE.+slice.+state.+changed )|(ment ac)|(multiple cpu faults)|(system.+state.+changed )|(\[timeout)|(PRM\|1\|D)|(kpr)|(kdp)|(\|lc)|(penalty))" /e /r /s</v>
      </c>
      <c r="AG78" s="1" t="str">
        <f t="shared" si="38"/>
        <v>EC</v>
      </c>
      <c r="AH78" s="86" t="str">
        <f t="shared" si="39"/>
        <v>"%USERPROFILE%\Documents\GitHub\eaglep3\Utilities\RefineRTDCRunTimes.py" --tripid 166-13 --locoid 4010 --swversion DE.1.0.8.0 --startMP 204:232992 --initTime 2017-02-13T12:35:14 --startdatetime 2017-02-13T12:41:26 --delay 2 --endMP 204:134 --enddatetime 2017-02-13T13:19:26 --enforcementcount 0 &gt;&gt;C:\Users\stu\Documents\GitHub\eaglep3-reporting\EC\2017-02-13-refined-times.txt</v>
      </c>
      <c r="AI78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{"issue":{"subject":"","project_id":79,"tracker_id":40,"status_id":1,"priority_id":2,"assigned_to_id":23,"start_date":"2017-02-13","description":"","custom_fields":[{"id":1,"name":"Subdivision","value":"EC"},{"id":4,"name":"Milepost","value":"0.0134"},{"id":17,"name":"Train ID","value":"166-13"},{"id":16,"name":"Locomotive ID","value":"4010"},{"id":130,"name":"Impact","value":""},{"id":150,"name":"Time of Event (Mountain Time)","value":"13:19:26"},{"id":151,"name":"Denver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41"/>
        <v>start /low /b %USERPROFILE%\Documents\GitHub\eaglep3\Utilities\DownloadLogsFromS3.py --loco 4010 --day 2017-02-13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"%USERPROFILE%\AppData\Local\Temp\OnboardLogs"\RTDC4010\*4010*20170213* | grep -SE "(Enforcement Action)|(\[TIMEOUT)|(CHR.+\|PRM\|1\|D.+(SWITCH|SIGNAL).+UNKNOWN)" - &gt;&gt; 2017-02-13-UncaughtWiMAX.txt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539</v>
      </c>
      <c r="B79" s="7">
        <v>4044</v>
      </c>
      <c r="C79" s="21" t="s">
        <v>193</v>
      </c>
      <c r="D79" s="21" t="s">
        <v>236</v>
      </c>
      <c r="E79" s="13">
        <v>42779.493935185186</v>
      </c>
      <c r="F79" s="13">
        <v>42779.500173611108</v>
      </c>
      <c r="G79" s="7">
        <v>1</v>
      </c>
      <c r="H79" s="21" t="s">
        <v>792</v>
      </c>
      <c r="I79" s="13">
        <v>42779.524861111109</v>
      </c>
      <c r="J79" s="7">
        <v>0</v>
      </c>
      <c r="K79" s="98" t="str">
        <f t="shared" si="25"/>
        <v>4043/4044</v>
      </c>
      <c r="L79" s="21" t="str">
        <f>VLOOKUP(A79,'Trips&amp;Operators'!$C$1:$G$99999,5,FALSE)</f>
        <v>CRAYTON QUNTRELL</v>
      </c>
      <c r="M79" s="6">
        <f t="shared" si="26"/>
        <v>2.4687500001164153E-2</v>
      </c>
      <c r="N79" s="7">
        <f t="shared" si="27"/>
        <v>35.550000001676381</v>
      </c>
      <c r="O79" s="7"/>
      <c r="P79" s="7"/>
      <c r="Q79" s="22"/>
      <c r="R79" s="22"/>
      <c r="S79" s="31">
        <f t="shared" si="28"/>
        <v>1</v>
      </c>
      <c r="T79" s="46" t="str">
        <f t="shared" si="29"/>
        <v>NorthBound</v>
      </c>
      <c r="U79" s="18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7" t="str">
        <f t="shared" si="30"/>
        <v>https://d0f6bd738d7f1b3e5a7ca70fe4ff75f0.us-east-1.aws.found.io/app/kibana#/discover/Steve-Slow-Train-Analysis-(2080s-and-2083s)?_g=(refreshInterval:(display:Off,pause:!f,section:0,value:0),time:(from:'2017-02-13T10:51:16-0700',mode:absolute,to:'2017-02-13T13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9" s="188" t="str">
        <f t="shared" si="31"/>
        <v>N</v>
      </c>
      <c r="X79" s="188">
        <f t="shared" si="24"/>
        <v>1</v>
      </c>
      <c r="Y79" s="62">
        <f t="shared" si="32"/>
        <v>4.5699999999999998E-2</v>
      </c>
      <c r="Z79" s="62">
        <f t="shared" si="33"/>
        <v>23.3081</v>
      </c>
      <c r="AA79" s="62">
        <f t="shared" si="34"/>
        <v>23.2624</v>
      </c>
      <c r="AB79" s="59" t="e">
        <f>VLOOKUP(A79,Enforcements!$C$7:$K$14,8,0)</f>
        <v>#N/A</v>
      </c>
      <c r="AC79" s="55" t="e">
        <f>VLOOKUP(A79,Enforcements!$C$7:$E$14,3,0)</f>
        <v>#N/A</v>
      </c>
      <c r="AD79" s="56" t="str">
        <f t="shared" si="35"/>
        <v>0167-13</v>
      </c>
      <c r="AE79" s="85" t="str">
        <f t="shared" si="36"/>
        <v>aws s3 cp s3://rtdc.mdm.uploadarchive.raw/RTDC4044/ "%USERPROFILE%\AppData\Local\Temp\OnboardLogs"\RTDC4044\2017-02-13 --exclude "*" --recursive --include "*20170213*" &amp; "%USERPROFILE%\Documents\GitHub\mrs-test-scripts\Headless Mode &amp; Sideloading\WalkAndUnGZ.bat" "%USERPROFILE%\AppData\Local\Temp\OnboardLogs"\RTDC4044\2017-02-13 &amp; 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</v>
      </c>
      <c r="AF79" s="82" t="str">
        <f t="shared" si="37"/>
        <v>"C:\Program Files (x86)\AstroGrep\AstroGrep.exe" /spath="%USERPROFILE%\AppData\Local\Temp\OnboardLogs" /stypes="app*4044*20170213*" /stext=" 19:.+((SYSTEM_STATE.+slice.+state.+changed )|(ment ac)|(multiple cpu faults)|(system.+state.+changed )|(\[timeout)|(PRM\|1\|D)|(kpr)|(kdp)|(\|lc)|(penalty))" /e /r /s</v>
      </c>
      <c r="AG79" s="1" t="str">
        <f t="shared" si="38"/>
        <v>EC</v>
      </c>
      <c r="AH79" s="86" t="str">
        <f t="shared" si="39"/>
        <v>"%USERPROFILE%\Documents\GitHub\eaglep3\Utilities\RefineRTDCRunTimes.py" --tripid 167-13 --locoid 4044 --swversion DE.1.0.8.0 --startMP 204:457 --initTime 2017-02-13T11:51:16 --startdatetime 2017-02-13T12:00:15 --delay 1 --endMP 204:233081 --enddatetime 2017-02-13T12:35:48 --enforcementcount 0 &gt;&gt;C:\Users\stu\Documents\GitHub\eaglep3-reporting\EC\2017-02-13-refined-times.txt</v>
      </c>
      <c r="AI79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{"issue":{"subject":"","project_id":79,"tracker_id":40,"status_id":1,"priority_id":2,"assigned_to_id":23,"start_date":"2017-02-13","description":"","custom_fields":[{"id":1,"name":"Subdivision","value":"EC"},{"id":4,"name":"Milepost","value":"23.3081"},{"id":17,"name":"Train ID","value":"167-13"},{"id":16,"name":"Locomotive ID","value":"4044"},{"id":130,"name":"Impact","value":""},{"id":150,"name":"Time of Event (Mountain Time)","value":"12:35:48"},{"id":151,"name":"Denver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1"/>
        <v>start /low /b %USERPROFILE%\Documents\GitHub\eaglep3\Utilities\DownloadLogsFromS3.py --loco 4044 --day 2017-02-13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"%USERPROFILE%\AppData\Local\Temp\OnboardLogs"\RTDC4044\*4044*20170213* | grep -SE "(Enforcement Action)|(\[TIMEOUT)|(CHR.+\|PRM\|1\|D.+(SWITCH|SIGNAL).+UNKNOWN)" - &gt;&gt; 2017-02-13-UncaughtWiMAX.txt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649</v>
      </c>
      <c r="B80" s="7">
        <v>4043</v>
      </c>
      <c r="C80" s="21" t="s">
        <v>193</v>
      </c>
      <c r="D80" s="21" t="s">
        <v>483</v>
      </c>
      <c r="E80" s="13">
        <v>42779.533587962964</v>
      </c>
      <c r="F80" s="13">
        <v>42779.539120370369</v>
      </c>
      <c r="G80" s="7">
        <v>1</v>
      </c>
      <c r="H80" s="21" t="s">
        <v>198</v>
      </c>
      <c r="I80" s="13">
        <v>42779.565497685187</v>
      </c>
      <c r="J80" s="7">
        <v>0</v>
      </c>
      <c r="K80" s="98" t="str">
        <f t="shared" si="25"/>
        <v>4043/4044</v>
      </c>
      <c r="L80" s="21" t="str">
        <f>VLOOKUP(A80,'Trips&amp;Operators'!$C$1:$G$99999,5,FALSE)</f>
        <v>CRAYTON QUNTRELL</v>
      </c>
      <c r="M80" s="6">
        <f t="shared" si="26"/>
        <v>2.6377314818091691E-2</v>
      </c>
      <c r="N80" s="7">
        <f t="shared" si="27"/>
        <v>37.983333338052034</v>
      </c>
      <c r="O80" s="7"/>
      <c r="P80" s="7"/>
      <c r="Q80" s="22"/>
      <c r="R80" s="22"/>
      <c r="S80" s="31">
        <f t="shared" si="28"/>
        <v>1</v>
      </c>
      <c r="T80" s="46" t="str">
        <f t="shared" si="29"/>
        <v>Southbound</v>
      </c>
      <c r="U80" s="18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7" t="str">
        <f t="shared" si="30"/>
        <v>https://d0f6bd738d7f1b3e5a7ca70fe4ff75f0.us-east-1.aws.found.io/app/kibana#/discover/Steve-Slow-Train-Analysis-(2080s-and-2083s)?_g=(refreshInterval:(display:Off,pause:!f,section:0,value:0),time:(from:'2017-02-13T11:48:22-0700',mode:absolute,to:'2017-02-13T14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0" s="188" t="str">
        <f t="shared" si="31"/>
        <v>N</v>
      </c>
      <c r="X80" s="188">
        <f t="shared" si="24"/>
        <v>1</v>
      </c>
      <c r="Y80" s="62">
        <f t="shared" si="32"/>
        <v>23.300599999999999</v>
      </c>
      <c r="Z80" s="62">
        <f t="shared" si="33"/>
        <v>1.4500000000000001E-2</v>
      </c>
      <c r="AA80" s="62">
        <f t="shared" si="34"/>
        <v>23.286099999999998</v>
      </c>
      <c r="AB80" s="59" t="e">
        <f>VLOOKUP(A80,Enforcements!$C$7:$K$14,8,0)</f>
        <v>#N/A</v>
      </c>
      <c r="AC80" s="55" t="e">
        <f>VLOOKUP(A80,Enforcements!$C$7:$E$14,3,0)</f>
        <v>#N/A</v>
      </c>
      <c r="AD80" s="56" t="str">
        <f t="shared" si="35"/>
        <v>0168-13</v>
      </c>
      <c r="AE80" s="85" t="str">
        <f t="shared" si="36"/>
        <v>aws s3 cp s3://rtdc.mdm.uploadarchive.raw/RTDC4043/ "%USERPROFILE%\AppData\Local\Temp\OnboardLogs"\RTDC4043\2017-02-13 --exclude "*" --recursive --include "*20170213*" &amp; "%USERPROFILE%\Documents\GitHub\mrs-test-scripts\Headless Mode &amp; Sideloading\WalkAndUnGZ.bat" "%USERPROFILE%\AppData\Local\Temp\OnboardLogs"\RTDC4043\2017-02-13 &amp; aws s3 cp s3://rtdc.mdm.uploadarchive.raw/RTDC4043/ "%USERPROFILE%\AppData\Local\Temp\OnboardLogs"\RTDC4043\2017-02-14 --exclude "*" --recursive --include "*20170214*" &amp; "%USERPROFILE%\Documents\GitHub\mrs-test-scripts\Headless Mode &amp; Sideloading\WalkAndUnGZ.bat" "%USERPROFILE%\AppData\Local\Temp\OnboardLogs"\RTDC4043\2017-02-14</v>
      </c>
      <c r="AF80" s="82" t="str">
        <f t="shared" si="37"/>
        <v>"C:\Program Files (x86)\AstroGrep\AstroGrep.exe" /spath="%USERPROFILE%\AppData\Local\Temp\OnboardLogs" /stypes="app*4043*20170213*" /stext=" 20:.+((SYSTEM_STATE.+slice.+state.+changed )|(ment ac)|(multiple cpu faults)|(system.+state.+changed )|(\[timeout)|(PRM\|1\|D)|(kpr)|(kdp)|(\|lc)|(penalty))" /e /r /s</v>
      </c>
      <c r="AG80" s="1" t="str">
        <f t="shared" si="38"/>
        <v>EC</v>
      </c>
      <c r="AH80" s="86" t="str">
        <f t="shared" si="39"/>
        <v>"%USERPROFILE%\Documents\GitHub\eaglep3\Utilities\RefineRTDCRunTimes.py" --tripid 168-13 --locoid 4043 --swversion DE.1.0.8.0 --startMP 204:233006 --initTime 2017-02-13T12:48:22 --startdatetime 2017-02-13T12:56:20 --delay 1 --endMP 204:145 --enddatetime 2017-02-13T13:34:19 --enforcementcount 0 &gt;&gt;C:\Users\stu\Documents\GitHub\eaglep3-reporting\EC\2017-02-13-refined-times.txt</v>
      </c>
      <c r="AI80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{"issue":{"subject":"","project_id":79,"tracker_id":40,"status_id":1,"priority_id":2,"assigned_to_id":23,"start_date":"2017-02-13","description":"","custom_fields":[{"id":1,"name":"Subdivision","value":"EC"},{"id":4,"name":"Milepost","value":"0.0145"},{"id":17,"name":"Train ID","value":"168-13"},{"id":16,"name":"Locomotive ID","value":"4043"},{"id":130,"name":"Impact","value":""},{"id":150,"name":"Time of Event (Mountain Time)","value":"13:34:19"},{"id":151,"name":"Denver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1"/>
        <v>start /low /b %USERPROFILE%\Documents\GitHub\eaglep3\Utilities\DownloadLogsFromS3.py --loco 4043 --day 2017-02-13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"%USERPROFILE%\AppData\Local\Temp\OnboardLogs"\RTDC4043\*4043*20170213* | grep -SE "(Enforcement Action)|(\[TIMEOUT)|(CHR.+\|PRM\|1\|D.+(SWITCH|SIGNAL).+UNKNOWN)" - &gt;&gt; 2017-02-13-UncaughtWiMAX.txt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640</v>
      </c>
      <c r="B81" s="7">
        <v>4020</v>
      </c>
      <c r="C81" s="21" t="s">
        <v>193</v>
      </c>
      <c r="D81" s="21" t="s">
        <v>295</v>
      </c>
      <c r="E81" s="13">
        <v>42779.506655092591</v>
      </c>
      <c r="F81" s="13">
        <v>42779.511192129627</v>
      </c>
      <c r="G81" s="7">
        <v>3</v>
      </c>
      <c r="H81" s="21" t="s">
        <v>514</v>
      </c>
      <c r="I81" s="13">
        <v>42779.537164351852</v>
      </c>
      <c r="J81" s="7">
        <v>0</v>
      </c>
      <c r="K81" s="98" t="str">
        <f t="shared" si="25"/>
        <v>4019/4020</v>
      </c>
      <c r="L81" s="21" t="str">
        <f>VLOOKUP(A81,'Trips&amp;Operators'!$C$1:$G$99999,5,FALSE)</f>
        <v>LEVERE CRAIG</v>
      </c>
      <c r="M81" s="6">
        <f t="shared" si="26"/>
        <v>2.5972222225391306E-2</v>
      </c>
      <c r="N81" s="7">
        <f t="shared" si="27"/>
        <v>37.400000004563481</v>
      </c>
      <c r="O81" s="7"/>
      <c r="P81" s="7"/>
      <c r="Q81" s="22"/>
      <c r="R81" s="22" t="s">
        <v>924</v>
      </c>
      <c r="S81" s="31">
        <f t="shared" si="28"/>
        <v>1</v>
      </c>
      <c r="T81" s="46" t="str">
        <f t="shared" si="29"/>
        <v>NorthBound</v>
      </c>
      <c r="U81" s="18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7" t="str">
        <f t="shared" si="30"/>
        <v>https://d0f6bd738d7f1b3e5a7ca70fe4ff75f0.us-east-1.aws.found.io/app/kibana#/discover/Steve-Slow-Train-Analysis-(2080s-and-2083s)?_g=(refreshInterval:(display:Off,pause:!f,section:0,value:0),time:(from:'2017-02-13T11:09:35-0700',mode:absolute,to:'2017-02-13T13:53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1" s="188" t="str">
        <f t="shared" si="31"/>
        <v>N</v>
      </c>
      <c r="X81" s="188">
        <f t="shared" si="24"/>
        <v>1</v>
      </c>
      <c r="Y81" s="62">
        <f t="shared" si="32"/>
        <v>4.3700000000000003E-2</v>
      </c>
      <c r="Z81" s="62">
        <f t="shared" si="33"/>
        <v>23.331099999999999</v>
      </c>
      <c r="AA81" s="62">
        <f t="shared" si="34"/>
        <v>23.287399999999998</v>
      </c>
      <c r="AB81" s="59" t="e">
        <f>VLOOKUP(A81,Enforcements!$C$7:$K$14,8,0)</f>
        <v>#N/A</v>
      </c>
      <c r="AC81" s="55" t="e">
        <f>VLOOKUP(A81,Enforcements!$C$7:$E$14,3,0)</f>
        <v>#N/A</v>
      </c>
      <c r="AD81" s="56" t="str">
        <f t="shared" si="35"/>
        <v>0169-13</v>
      </c>
      <c r="AE81" s="85" t="str">
        <f t="shared" si="36"/>
        <v>aws s3 cp s3://rtdc.mdm.uploadarchive.raw/RTDC4020/ "%USERPROFILE%\AppData\Local\Temp\OnboardLogs"\RTDC4020\2017-02-13 --exclude "*" --recursive --include "*20170213*" &amp; "%USERPROFILE%\Documents\GitHub\mrs-test-scripts\Headless Mode &amp; Sideloading\WalkAndUnGZ.bat" "%USERPROFILE%\AppData\Local\Temp\OnboardLogs"\RTDC4020\2017-02-13 &amp; aws s3 cp s3://rtdc.mdm.uploadarchive.raw/RTDC4020/ "%USERPROFILE%\AppData\Local\Temp\OnboardLogs"\RTDC4020\2017-02-14 --exclude "*" --recursive --include "*20170214*" &amp; "%USERPROFILE%\Documents\GitHub\mrs-test-scripts\Headless Mode &amp; Sideloading\WalkAndUnGZ.bat" "%USERPROFILE%\AppData\Local\Temp\OnboardLogs"\RTDC4020\2017-02-14</v>
      </c>
      <c r="AF81" s="82" t="str">
        <f t="shared" si="37"/>
        <v>"C:\Program Files (x86)\AstroGrep\AstroGrep.exe" /spath="%USERPROFILE%\AppData\Local\Temp\OnboardLogs" /stypes="app*4020*20170213*" /stext=" 19:.+((SYSTEM_STATE.+slice.+state.+changed )|(ment ac)|(multiple cpu faults)|(system.+state.+changed )|(\[timeout)|(PRM\|1\|D)|(kpr)|(kdp)|(\|lc)|(penalty))" /e /r /s</v>
      </c>
      <c r="AG81" s="1" t="str">
        <f t="shared" si="38"/>
        <v>EC</v>
      </c>
      <c r="AH81" s="86" t="str">
        <f t="shared" si="39"/>
        <v>"%USERPROFILE%\Documents\GitHub\eaglep3\Utilities\RefineRTDCRunTimes.py" --tripid 169-13 --locoid 4020 --swversion DE.1.0.8.0 --startMP 204:437 --initTime 2017-02-13T12:09:35 --startdatetime 2017-02-13T12:16:07 --delay 3 --endMP 204:233311 --enddatetime 2017-02-13T12:53:31 --enforcementcount 0 &gt;&gt;C:\Users\stu\Documents\GitHub\eaglep3-reporting\EC\2017-02-13-refined-times.txt</v>
      </c>
      <c r="AI81" s="108" t="str">
        <f t="shared" si="40"/>
        <v>echo {"issue":{"subject":"Wi-MAX data drop created red fence, no enforcement","project_id":79,"tracker_id":40,"status_id":1,"priority_id":2,"assigned_to_id":23,"start_date":"2017-02-13","description":"","custom_fields":[{"id":1,"name":"Subdivision","value":"EC"},{"id":4,"name":"Milepost","value":"23.3311"},{"id":17,"name":"Train ID","value":"169-13"},{"id":16,"name":"Locomotive ID","value":"4020"},{"id":130,"name":"Impact","value":""},{"id":150,"name":"Time of Event (Mountain Time)","value":"12:53:31"},{"id":151,"name":"Denver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1"/>
        <v>start /low /b %USERPROFILE%\Documents\GitHub\eaglep3\Utilities\DownloadLogsFromS3.py --loco 4020 --day 2017-02-13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"%USERPROFILE%\AppData\Local\Temp\OnboardLogs"\RTDC4020\*4020*20170213* | grep -SE "(Enforcement Action)|(\[TIMEOUT)|(CHR.+\|PRM\|1\|D.+(SWITCH|SIGNAL).+UNKNOWN)" - &gt;&gt; 2017-02-13-UncaughtWiMAX.txt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651</v>
      </c>
      <c r="B82" s="7">
        <v>4019</v>
      </c>
      <c r="C82" s="21" t="s">
        <v>193</v>
      </c>
      <c r="D82" s="21" t="s">
        <v>353</v>
      </c>
      <c r="E82" s="13">
        <v>42779.543703703705</v>
      </c>
      <c r="F82" s="13">
        <v>42779.549942129626</v>
      </c>
      <c r="G82" s="7">
        <v>1</v>
      </c>
      <c r="H82" s="21" t="s">
        <v>209</v>
      </c>
      <c r="I82" s="13">
        <v>42779.577175925922</v>
      </c>
      <c r="J82" s="7">
        <v>0</v>
      </c>
      <c r="K82" s="98" t="str">
        <f t="shared" si="25"/>
        <v>4019/4020</v>
      </c>
      <c r="L82" s="21" t="str">
        <f>VLOOKUP(A82,'Trips&amp;Operators'!$C$1:$G$99999,5,FALSE)</f>
        <v>LEVERE CRAIG</v>
      </c>
      <c r="M82" s="6">
        <f t="shared" si="26"/>
        <v>2.7233796296059154E-2</v>
      </c>
      <c r="N82" s="7">
        <f t="shared" si="27"/>
        <v>39.216666666325182</v>
      </c>
      <c r="O82" s="7"/>
      <c r="P82" s="7"/>
      <c r="Q82" s="22"/>
      <c r="R82" s="22"/>
      <c r="S82" s="31">
        <f t="shared" si="28"/>
        <v>1</v>
      </c>
      <c r="T82" s="46" t="str">
        <f t="shared" si="29"/>
        <v>Southbound</v>
      </c>
      <c r="U82" s="18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7" t="str">
        <f t="shared" si="30"/>
        <v>https://d0f6bd738d7f1b3e5a7ca70fe4ff75f0.us-east-1.aws.found.io/app/kibana#/discover/Steve-Slow-Train-Analysis-(2080s-and-2083s)?_g=(refreshInterval:(display:Off,pause:!f,section:0,value:0),time:(from:'2017-02-13T12:02:56-0700',mode:absolute,to:'2017-02-13T14:51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2" s="188" t="str">
        <f t="shared" si="31"/>
        <v>N</v>
      </c>
      <c r="X82" s="188">
        <f t="shared" si="24"/>
        <v>1</v>
      </c>
      <c r="Y82" s="62">
        <f t="shared" si="32"/>
        <v>23.298400000000001</v>
      </c>
      <c r="Z82" s="62">
        <f t="shared" si="33"/>
        <v>1.52E-2</v>
      </c>
      <c r="AA82" s="62">
        <f t="shared" si="34"/>
        <v>23.283200000000001</v>
      </c>
      <c r="AB82" s="59" t="e">
        <f>VLOOKUP(A82,Enforcements!$C$7:$K$14,8,0)</f>
        <v>#N/A</v>
      </c>
      <c r="AC82" s="55" t="e">
        <f>VLOOKUP(A82,Enforcements!$C$7:$E$14,3,0)</f>
        <v>#N/A</v>
      </c>
      <c r="AD82" s="56" t="str">
        <f t="shared" si="35"/>
        <v>0170-13</v>
      </c>
      <c r="AE82" s="85" t="str">
        <f t="shared" si="36"/>
        <v>aws s3 cp s3://rtdc.mdm.uploadarchive.raw/RTDC4019/ "%USERPROFILE%\AppData\Local\Temp\OnboardLogs"\RTDC4019\2017-02-13 --exclude "*" --recursive --include "*20170213*" &amp; "%USERPROFILE%\Documents\GitHub\mrs-test-scripts\Headless Mode &amp; Sideloading\WalkAndUnGZ.bat" "%USERPROFILE%\AppData\Local\Temp\OnboardLogs"\RTDC4019\2017-02-13 &amp; 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</v>
      </c>
      <c r="AF82" s="82" t="str">
        <f t="shared" si="37"/>
        <v>"C:\Program Files (x86)\AstroGrep\AstroGrep.exe" /spath="%USERPROFILE%\AppData\Local\Temp\OnboardLogs" /stypes="app*4019*20170213*" /stext=" 20:.+((SYSTEM_STATE.+slice.+state.+changed )|(ment ac)|(multiple cpu faults)|(system.+state.+changed )|(\[timeout)|(PRM\|1\|D)|(kpr)|(kdp)|(\|lc)|(penalty))" /e /r /s</v>
      </c>
      <c r="AG82" s="1" t="str">
        <f t="shared" si="38"/>
        <v>EC</v>
      </c>
      <c r="AH82" s="86" t="str">
        <f t="shared" si="39"/>
        <v>"%USERPROFILE%\Documents\GitHub\eaglep3\Utilities\RefineRTDCRunTimes.py" --tripid 170-13 --locoid 4019 --swversion DE.1.0.8.0 --startMP 204:232984 --initTime 2017-02-13T13:02:56 --startdatetime 2017-02-13T13:11:55 --delay 1 --endMP 204:152 --enddatetime 2017-02-13T13:51:08 --enforcementcount 0 &gt;&gt;C:\Users\stu\Documents\GitHub\eaglep3-reporting\EC\2017-02-13-refined-times.txt</v>
      </c>
      <c r="AI82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{"issue":{"subject":"","project_id":79,"tracker_id":40,"status_id":1,"priority_id":2,"assigned_to_id":23,"start_date":"2017-02-13","description":"","custom_fields":[{"id":1,"name":"Subdivision","value":"EC"},{"id":4,"name":"Milepost","value":"0.0152"},{"id":17,"name":"Train ID","value":"170-13"},{"id":16,"name":"Locomotive ID","value":"4019"},{"id":130,"name":"Impact","value":""},{"id":150,"name":"Time of Event (Mountain Time)","value":"13:51:08"},{"id":151,"name":"Denver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1"/>
        <v>start /low /b %USERPROFILE%\Documents\GitHub\eaglep3\Utilities\DownloadLogsFromS3.py --loco 4019 --day 2017-02-13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"%USERPROFILE%\AppData\Local\Temp\OnboardLogs"\RTDC4019\*4019*20170213* | grep -SE "(Enforcement Action)|(\[TIMEOUT)|(CHR.+\|PRM\|1\|D.+(SWITCH|SIGNAL).+UNKNOWN)" - &gt;&gt; 2017-02-13-UncaughtWiMAX.txt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x14ac:dyDescent="0.25">
      <c r="A83" s="33" t="s">
        <v>645</v>
      </c>
      <c r="B83" s="7">
        <v>4011</v>
      </c>
      <c r="C83" s="21" t="s">
        <v>193</v>
      </c>
      <c r="D83" s="21" t="s">
        <v>236</v>
      </c>
      <c r="E83" s="13">
        <v>42779.516319444447</v>
      </c>
      <c r="F83" s="13">
        <v>42779.52107638889</v>
      </c>
      <c r="G83" s="7">
        <v>4</v>
      </c>
      <c r="H83" s="21" t="s">
        <v>793</v>
      </c>
      <c r="I83" s="13">
        <v>42779.546493055554</v>
      </c>
      <c r="J83" s="7">
        <v>0</v>
      </c>
      <c r="K83" s="98" t="str">
        <f t="shared" si="25"/>
        <v>4011/4012</v>
      </c>
      <c r="L83" s="21" t="str">
        <f>VLOOKUP(A83,'Trips&amp;Operators'!$C$1:$G$99999,5,FALSE)</f>
        <v>KILLION DAVID</v>
      </c>
      <c r="M83" s="6">
        <f t="shared" si="26"/>
        <v>2.5416666663659271E-2</v>
      </c>
      <c r="N83" s="7">
        <f t="shared" si="27"/>
        <v>36.59999999566935</v>
      </c>
      <c r="O83" s="7"/>
      <c r="P83" s="7"/>
      <c r="Q83" s="22"/>
      <c r="R83" s="22"/>
      <c r="S83" s="31">
        <f t="shared" si="28"/>
        <v>1</v>
      </c>
      <c r="T83" s="46" t="str">
        <f t="shared" si="29"/>
        <v>NorthBound</v>
      </c>
      <c r="U83" s="18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7" t="str">
        <f t="shared" si="30"/>
        <v>https://d0f6bd738d7f1b3e5a7ca70fe4ff75f0.us-east-1.aws.found.io/app/kibana#/discover/Steve-Slow-Train-Analysis-(2080s-and-2083s)?_g=(refreshInterval:(display:Off,pause:!f,section:0,value:0),time:(from:'2017-02-13T11:23:30-0700',mode:absolute,to:'2017-02-13T14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3" s="188" t="str">
        <f t="shared" si="31"/>
        <v>N</v>
      </c>
      <c r="X83" s="188">
        <f t="shared" si="24"/>
        <v>1</v>
      </c>
      <c r="Y83" s="62">
        <f t="shared" si="32"/>
        <v>4.5699999999999998E-2</v>
      </c>
      <c r="Z83" s="62">
        <f t="shared" si="33"/>
        <v>23.3306</v>
      </c>
      <c r="AA83" s="62">
        <f t="shared" si="34"/>
        <v>23.2849</v>
      </c>
      <c r="AB83" s="59" t="e">
        <f>VLOOKUP(A83,Enforcements!$C$7:$K$14,8,0)</f>
        <v>#N/A</v>
      </c>
      <c r="AC83" s="55" t="e">
        <f>VLOOKUP(A83,Enforcements!$C$7:$E$14,3,0)</f>
        <v>#N/A</v>
      </c>
      <c r="AD83" s="56" t="str">
        <f t="shared" si="35"/>
        <v>0171-13</v>
      </c>
      <c r="AE83" s="85" t="str">
        <f t="shared" si="36"/>
        <v>aws s3 cp s3://rtdc.mdm.uploadarchive.raw/RTDC4011/ "%USERPROFILE%\AppData\Local\Temp\OnboardLogs"\RTDC4011\2017-02-13 --exclude "*" --recursive --include "*20170213*" &amp; "%USERPROFILE%\Documents\GitHub\mrs-test-scripts\Headless Mode &amp; Sideloading\WalkAndUnGZ.bat" "%USERPROFILE%\AppData\Local\Temp\OnboardLogs"\RTDC4011\2017-02-13 &amp; aws s3 cp s3://rtdc.mdm.uploadarchive.raw/RTDC4011/ "%USERPROFILE%\AppData\Local\Temp\OnboardLogs"\RTDC4011\2017-02-14 --exclude "*" --recursive --include "*20170214*" &amp; "%USERPROFILE%\Documents\GitHub\mrs-test-scripts\Headless Mode &amp; Sideloading\WalkAndUnGZ.bat" "%USERPROFILE%\AppData\Local\Temp\OnboardLogs"\RTDC4011\2017-02-14</v>
      </c>
      <c r="AF83" s="82" t="str">
        <f t="shared" si="37"/>
        <v>"C:\Program Files (x86)\AstroGrep\AstroGrep.exe" /spath="%USERPROFILE%\AppData\Local\Temp\OnboardLogs" /stypes="app*4011*20170213*" /stext=" 20:.+((SYSTEM_STATE.+slice.+state.+changed )|(ment ac)|(multiple cpu faults)|(system.+state.+changed )|(\[timeout)|(PRM\|1\|D)|(kpr)|(kdp)|(\|lc)|(penalty))" /e /r /s</v>
      </c>
      <c r="AG83" s="1" t="str">
        <f t="shared" si="38"/>
        <v>EC</v>
      </c>
      <c r="AH83" s="86" t="str">
        <f t="shared" si="39"/>
        <v>"%USERPROFILE%\Documents\GitHub\eaglep3\Utilities\RefineRTDCRunTimes.py" --tripid 171-13 --locoid 4011 --swversion DE.1.0.8.0 --startMP 204:457 --initTime 2017-02-13T12:23:30 --startdatetime 2017-02-13T12:30:21 --delay 4 --endMP 204:233306 --enddatetime 2017-02-13T13:06:57 --enforcementcount 0 &gt;&gt;C:\Users\stu\Documents\GitHub\eaglep3-reporting\EC\2017-02-13-refined-times.txt</v>
      </c>
      <c r="AI83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{"issue":{"subject":"","project_id":79,"tracker_id":40,"status_id":1,"priority_id":2,"assigned_to_id":23,"start_date":"2017-02-13","description":"","custom_fields":[{"id":1,"name":"Subdivision","value":"EC"},{"id":4,"name":"Milepost","value":"23.3306"},{"id":17,"name":"Train ID","value":"171-13"},{"id":16,"name":"Locomotive ID","value":"4011"},{"id":130,"name":"Impact","value":""},{"id":150,"name":"Time of Event (Mountain Time)","value":"13:06:57"},{"id":151,"name":"Denver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1"/>
        <v>start /low /b %USERPROFILE%\Documents\GitHub\eaglep3\Utilities\DownloadLogsFromS3.py --loco 4011 --day 2017-02-13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"%USERPROFILE%\AppData\Local\Temp\OnboardLogs"\RTDC4011\*4011*20170213* | grep -SE "(Enforcement Action)|(\[TIMEOUT)|(CHR.+\|PRM\|1\|D.+(SWITCH|SIGNAL).+UNKNOWN)" - &gt;&gt; 2017-02-13-UncaughtWiMAX.txt</v>
      </c>
    </row>
    <row r="84" spans="1:91" s="20" customFormat="1" x14ac:dyDescent="0.25">
      <c r="A84" s="33" t="s">
        <v>654</v>
      </c>
      <c r="B84" s="7">
        <v>4012</v>
      </c>
      <c r="C84" s="21" t="s">
        <v>193</v>
      </c>
      <c r="D84" s="21" t="s">
        <v>299</v>
      </c>
      <c r="E84" s="13">
        <v>42779.553564814814</v>
      </c>
      <c r="F84" s="13">
        <v>42779.559895833336</v>
      </c>
      <c r="G84" s="7">
        <v>1</v>
      </c>
      <c r="H84" s="21" t="s">
        <v>205</v>
      </c>
      <c r="I84" s="13">
        <v>42779.58798611111</v>
      </c>
      <c r="J84" s="7">
        <v>0</v>
      </c>
      <c r="K84" s="98" t="str">
        <f t="shared" si="25"/>
        <v>4011/4012</v>
      </c>
      <c r="L84" s="21" t="str">
        <f>VLOOKUP(A84,'Trips&amp;Operators'!$C$1:$G$99999,5,FALSE)</f>
        <v>KILLION DAVID</v>
      </c>
      <c r="M84" s="6">
        <f t="shared" si="26"/>
        <v>2.8090277774026617E-2</v>
      </c>
      <c r="N84" s="7">
        <f t="shared" si="27"/>
        <v>40.449999994598329</v>
      </c>
      <c r="O84" s="7"/>
      <c r="P84" s="7"/>
      <c r="Q84" s="22"/>
      <c r="R84" s="22"/>
      <c r="S84" s="31">
        <f t="shared" si="28"/>
        <v>1</v>
      </c>
      <c r="T84" s="46" t="str">
        <f t="shared" si="29"/>
        <v>Southbound</v>
      </c>
      <c r="U84" s="18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7" t="str">
        <f t="shared" si="30"/>
        <v>https://d0f6bd738d7f1b3e5a7ca70fe4ff75f0.us-east-1.aws.found.io/app/kibana#/discover/Steve-Slow-Train-Analysis-(2080s-and-2083s)?_g=(refreshInterval:(display:Off,pause:!f,section:0,value:0),time:(from:'2017-02-13T12:17:08-0700',mode:absolute,to:'2017-02-13T15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4" s="188" t="str">
        <f t="shared" si="31"/>
        <v>N</v>
      </c>
      <c r="X84" s="188">
        <f t="shared" si="24"/>
        <v>1</v>
      </c>
      <c r="Y84" s="62">
        <f t="shared" si="32"/>
        <v>23.299299999999999</v>
      </c>
      <c r="Z84" s="62">
        <f t="shared" si="33"/>
        <v>1.6E-2</v>
      </c>
      <c r="AA84" s="62">
        <f t="shared" si="34"/>
        <v>23.283300000000001</v>
      </c>
      <c r="AB84" s="59" t="e">
        <f>VLOOKUP(A84,Enforcements!$C$7:$K$14,8,0)</f>
        <v>#N/A</v>
      </c>
      <c r="AC84" s="55" t="e">
        <f>VLOOKUP(A84,Enforcements!$C$7:$E$14,3,0)</f>
        <v>#N/A</v>
      </c>
      <c r="AD84" s="56" t="str">
        <f t="shared" si="35"/>
        <v>0172-13</v>
      </c>
      <c r="AE84" s="85" t="str">
        <f t="shared" si="36"/>
        <v>aws s3 cp s3://rtdc.mdm.uploadarchive.raw/RTDC4012/ "%USERPROFILE%\AppData\Local\Temp\OnboardLogs"\RTDC4012\2017-02-13 --exclude "*" --recursive --include "*20170213*" &amp; "%USERPROFILE%\Documents\GitHub\mrs-test-scripts\Headless Mode &amp; Sideloading\WalkAndUnGZ.bat" "%USERPROFILE%\AppData\Local\Temp\OnboardLogs"\RTDC4012\2017-02-13 &amp; 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</v>
      </c>
      <c r="AF84" s="82" t="str">
        <f t="shared" si="37"/>
        <v>"C:\Program Files (x86)\AstroGrep\AstroGrep.exe" /spath="%USERPROFILE%\AppData\Local\Temp\OnboardLogs" /stypes="app*4012*20170213*" /stext=" 21:.+((SYSTEM_STATE.+slice.+state.+changed )|(ment ac)|(multiple cpu faults)|(system.+state.+changed )|(\[timeout)|(PRM\|1\|D)|(kpr)|(kdp)|(\|lc)|(penalty))" /e /r /s</v>
      </c>
      <c r="AG84" s="1" t="str">
        <f t="shared" si="38"/>
        <v>EC</v>
      </c>
      <c r="AH84" s="86" t="str">
        <f t="shared" si="39"/>
        <v>"%USERPROFILE%\Documents\GitHub\eaglep3\Utilities\RefineRTDCRunTimes.py" --tripid 172-13 --locoid 4012 --swversion DE.1.0.8.0 --startMP 204:232993 --initTime 2017-02-13T13:17:08 --startdatetime 2017-02-13T13:26:15 --delay 1 --endMP 204:160 --enddatetime 2017-02-13T14:06:42 --enforcementcount 0 &gt;&gt;C:\Users\stu\Documents\GitHub\eaglep3-reporting\EC\2017-02-13-refined-times.txt</v>
      </c>
      <c r="AI84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{"issue":{"subject":"","project_id":79,"tracker_id":40,"status_id":1,"priority_id":2,"assigned_to_id":23,"start_date":"2017-02-13","description":"","custom_fields":[{"id":1,"name":"Subdivision","value":"EC"},{"id":4,"name":"Milepost","value":"0.016"},{"id":17,"name":"Train ID","value":"172-13"},{"id":16,"name":"Locomotive ID","value":"4012"},{"id":130,"name":"Impact","value":""},{"id":150,"name":"Time of Event (Mountain Time)","value":"14:06:42"},{"id":151,"name":"Denver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1"/>
        <v>start /low /b %USERPROFILE%\Documents\GitHub\eaglep3\Utilities\DownloadLogsFromS3.py --loco 4012 --day 2017-02-13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"%USERPROFILE%\AppData\Local\Temp\OnboardLogs"\RTDC4012\*4012*20170213* | grep -SE "(Enforcement Action)|(\[TIMEOUT)|(CHR.+\|PRM\|1\|D.+(SWITCH|SIGNAL).+UNKNOWN)" - &gt;&gt; 2017-02-13-UncaughtWiMAX.txt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648</v>
      </c>
      <c r="B85" s="7">
        <v>4040</v>
      </c>
      <c r="C85" s="21" t="s">
        <v>193</v>
      </c>
      <c r="D85" s="21" t="s">
        <v>222</v>
      </c>
      <c r="E85" s="13">
        <v>42779.527245370373</v>
      </c>
      <c r="F85" s="13">
        <v>42779.531446759262</v>
      </c>
      <c r="G85" s="7">
        <v>1</v>
      </c>
      <c r="H85" s="21" t="s">
        <v>303</v>
      </c>
      <c r="I85" s="13">
        <v>42779.555844907409</v>
      </c>
      <c r="J85" s="7">
        <v>0</v>
      </c>
      <c r="K85" s="98" t="str">
        <f t="shared" si="25"/>
        <v>4039/4040</v>
      </c>
      <c r="L85" s="21" t="str">
        <f>VLOOKUP(A85,'Trips&amp;Operators'!$C$1:$G$99999,5,FALSE)</f>
        <v>STEWART MICHAEL</v>
      </c>
      <c r="M85" s="6">
        <f t="shared" si="26"/>
        <v>2.4398148147156462E-2</v>
      </c>
      <c r="N85" s="7">
        <f t="shared" si="27"/>
        <v>35.133333331905305</v>
      </c>
      <c r="O85" s="7"/>
      <c r="P85" s="7"/>
      <c r="Q85" s="22"/>
      <c r="R85" s="22"/>
      <c r="S85" s="31">
        <f t="shared" si="28"/>
        <v>1</v>
      </c>
      <c r="T85" s="46" t="str">
        <f t="shared" si="29"/>
        <v>NorthBound</v>
      </c>
      <c r="U85" s="18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7" t="str">
        <f t="shared" si="30"/>
        <v>https://d0f6bd738d7f1b3e5a7ca70fe4ff75f0.us-east-1.aws.found.io/app/kibana#/discover/Steve-Slow-Train-Analysis-(2080s-and-2083s)?_g=(refreshInterval:(display:Off,pause:!f,section:0,value:0),time:(from:'2017-02-13T11:39:14-0700',mode:absolute,to:'2017-02-13T14:20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5" s="188" t="str">
        <f t="shared" si="31"/>
        <v>N</v>
      </c>
      <c r="X85" s="188">
        <f t="shared" si="24"/>
        <v>1</v>
      </c>
      <c r="Y85" s="62">
        <f t="shared" si="32"/>
        <v>4.58E-2</v>
      </c>
      <c r="Z85" s="62">
        <f t="shared" si="33"/>
        <v>23.330300000000001</v>
      </c>
      <c r="AA85" s="62">
        <f t="shared" si="34"/>
        <v>23.284500000000001</v>
      </c>
      <c r="AB85" s="59" t="e">
        <f>VLOOKUP(A85,Enforcements!$C$7:$K$14,8,0)</f>
        <v>#N/A</v>
      </c>
      <c r="AC85" s="55" t="e">
        <f>VLOOKUP(A85,Enforcements!$C$7:$E$14,3,0)</f>
        <v>#N/A</v>
      </c>
      <c r="AD85" s="56" t="str">
        <f t="shared" si="35"/>
        <v>0173-13</v>
      </c>
      <c r="AE85" s="85" t="str">
        <f t="shared" si="36"/>
        <v>aws s3 cp s3://rtdc.mdm.uploadarchive.raw/RTDC4040/ "%USERPROFILE%\AppData\Local\Temp\OnboardLogs"\RTDC4040\2017-02-13 --exclude "*" --recursive --include "*20170213*" &amp; "%USERPROFILE%\Documents\GitHub\mrs-test-scripts\Headless Mode &amp; Sideloading\WalkAndUnGZ.bat" "%USERPROFILE%\AppData\Local\Temp\OnboardLogs"\RTDC4040\2017-02-13 &amp; aws s3 cp s3://rtdc.mdm.uploadarchive.raw/RTDC4040/ "%USERPROFILE%\AppData\Local\Temp\OnboardLogs"\RTDC4040\2017-02-14 --exclude "*" --recursive --include "*20170214*" &amp; "%USERPROFILE%\Documents\GitHub\mrs-test-scripts\Headless Mode &amp; Sideloading\WalkAndUnGZ.bat" "%USERPROFILE%\AppData\Local\Temp\OnboardLogs"\RTDC4040\2017-02-14</v>
      </c>
      <c r="AF85" s="82" t="str">
        <f t="shared" si="37"/>
        <v>"C:\Program Files (x86)\AstroGrep\AstroGrep.exe" /spath="%USERPROFILE%\AppData\Local\Temp\OnboardLogs" /stypes="app*4040*20170213*" /stext=" 20:.+((SYSTEM_STATE.+slice.+state.+changed )|(ment ac)|(multiple cpu faults)|(system.+state.+changed )|(\[timeout)|(PRM\|1\|D)|(kpr)|(kdp)|(\|lc)|(penalty))" /e /r /s</v>
      </c>
      <c r="AG85" s="1" t="str">
        <f t="shared" si="38"/>
        <v>EC</v>
      </c>
      <c r="AH85" s="86" t="str">
        <f t="shared" si="39"/>
        <v>"%USERPROFILE%\Documents\GitHub\eaglep3\Utilities\RefineRTDCRunTimes.py" --tripid 173-13 --locoid 4040 --swversion DE.1.0.8.0 --startMP 204:458 --initTime 2017-02-13T12:39:14 --startdatetime 2017-02-13T12:45:17 --delay 1 --endMP 204:233303 --enddatetime 2017-02-13T13:20:25 --enforcementcount 0 &gt;&gt;C:\Users\stu\Documents\GitHub\eaglep3-reporting\EC\2017-02-13-refined-times.txt</v>
      </c>
      <c r="AI85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{"issue":{"subject":"","project_id":79,"tracker_id":40,"status_id":1,"priority_id":2,"assigned_to_id":23,"start_date":"2017-02-13","description":"","custom_fields":[{"id":1,"name":"Subdivision","value":"EC"},{"id":4,"name":"Milepost","value":"23.3303"},{"id":17,"name":"Train ID","value":"173-13"},{"id":16,"name":"Locomotive ID","value":"4040"},{"id":130,"name":"Impact","value":""},{"id":150,"name":"Time of Event (Mountain Time)","value":"13:20:25"},{"id":151,"name":"Denver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1"/>
        <v>start /low /b %USERPROFILE%\Documents\GitHub\eaglep3\Utilities\DownloadLogsFromS3.py --loco 4040 --day 2017-02-13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"%USERPROFILE%\AppData\Local\Temp\OnboardLogs"\RTDC4040\*4040*20170213* | grep -SE "(Enforcement Action)|(\[TIMEOUT)|(CHR.+\|PRM\|1\|D.+(SWITCH|SIGNAL).+UNKNOWN)" - &gt;&gt; 2017-02-13-UncaughtWiMAX.txt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656</v>
      </c>
      <c r="B86" s="7">
        <v>4039</v>
      </c>
      <c r="C86" s="21" t="s">
        <v>193</v>
      </c>
      <c r="D86" s="21" t="s">
        <v>349</v>
      </c>
      <c r="E86" s="13">
        <v>42779.566562499997</v>
      </c>
      <c r="F86" s="13">
        <v>42779.570393518516</v>
      </c>
      <c r="G86" s="7">
        <v>1</v>
      </c>
      <c r="H86" s="21" t="s">
        <v>210</v>
      </c>
      <c r="I86" s="13">
        <v>42779.597442129627</v>
      </c>
      <c r="J86" s="7">
        <v>0</v>
      </c>
      <c r="K86" s="98" t="str">
        <f t="shared" si="25"/>
        <v>4039/4040</v>
      </c>
      <c r="L86" s="21" t="str">
        <f>VLOOKUP(A86,'Trips&amp;Operators'!$C$1:$G$99999,5,FALSE)</f>
        <v>STEWART MICHAEL</v>
      </c>
      <c r="M86" s="6">
        <f t="shared" si="26"/>
        <v>2.7048611111240461E-2</v>
      </c>
      <c r="N86" s="7">
        <f t="shared" si="27"/>
        <v>38.950000000186265</v>
      </c>
      <c r="O86" s="7"/>
      <c r="P86" s="7"/>
      <c r="Q86" s="22"/>
      <c r="R86" s="22"/>
      <c r="S86" s="31">
        <f t="shared" si="28"/>
        <v>1</v>
      </c>
      <c r="T86" s="46" t="str">
        <f t="shared" si="29"/>
        <v>Southbound</v>
      </c>
      <c r="U86" s="18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7" t="str">
        <f t="shared" si="30"/>
        <v>https://d0f6bd738d7f1b3e5a7ca70fe4ff75f0.us-east-1.aws.found.io/app/kibana#/discover/Steve-Slow-Train-Analysis-(2080s-and-2083s)?_g=(refreshInterval:(display:Off,pause:!f,section:0,value:0),time:(from:'2017-02-13T12:35:51-0700',mode:absolute,to:'2017-02-13T15:20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6" s="188" t="str">
        <f t="shared" si="31"/>
        <v>N</v>
      </c>
      <c r="X86" s="188">
        <f t="shared" si="24"/>
        <v>1</v>
      </c>
      <c r="Y86" s="62">
        <f t="shared" si="32"/>
        <v>23.297999999999998</v>
      </c>
      <c r="Z86" s="62">
        <f t="shared" si="33"/>
        <v>1.5800000000000002E-2</v>
      </c>
      <c r="AA86" s="62">
        <f t="shared" si="34"/>
        <v>23.2822</v>
      </c>
      <c r="AB86" s="59" t="e">
        <f>VLOOKUP(A86,Enforcements!$C$7:$K$14,8,0)</f>
        <v>#N/A</v>
      </c>
      <c r="AC86" s="55" t="e">
        <f>VLOOKUP(A86,Enforcements!$C$7:$E$14,3,0)</f>
        <v>#N/A</v>
      </c>
      <c r="AD86" s="56" t="str">
        <f t="shared" si="35"/>
        <v>0174-13</v>
      </c>
      <c r="AE86" s="85" t="str">
        <f t="shared" si="36"/>
        <v>aws s3 cp s3://rtdc.mdm.uploadarchive.raw/RTDC4039/ "%USERPROFILE%\AppData\Local\Temp\OnboardLogs"\RTDC4039\2017-02-13 --exclude "*" --recursive --include "*20170213*" &amp; "%USERPROFILE%\Documents\GitHub\mrs-test-scripts\Headless Mode &amp; Sideloading\WalkAndUnGZ.bat" "%USERPROFILE%\AppData\Local\Temp\OnboardLogs"\RTDC4039\2017-02-13 &amp; aws s3 cp s3://rtdc.mdm.uploadarchive.raw/RTDC4039/ "%USERPROFILE%\AppData\Local\Temp\OnboardLogs"\RTDC4039\2017-02-14 --exclude "*" --recursive --include "*20170214*" &amp; "%USERPROFILE%\Documents\GitHub\mrs-test-scripts\Headless Mode &amp; Sideloading\WalkAndUnGZ.bat" "%USERPROFILE%\AppData\Local\Temp\OnboardLogs"\RTDC4039\2017-02-14</v>
      </c>
      <c r="AF86" s="82" t="str">
        <f t="shared" si="37"/>
        <v>"C:\Program Files (x86)\AstroGrep\AstroGrep.exe" /spath="%USERPROFILE%\AppData\Local\Temp\OnboardLogs" /stypes="app*4039*20170213*" /stext=" 21:.+((SYSTEM_STATE.+slice.+state.+changed )|(ment ac)|(multiple cpu faults)|(system.+state.+changed )|(\[timeout)|(PRM\|1\|D)|(kpr)|(kdp)|(\|lc)|(penalty))" /e /r /s</v>
      </c>
      <c r="AG86" s="1" t="str">
        <f t="shared" si="38"/>
        <v>EC</v>
      </c>
      <c r="AH86" s="86" t="str">
        <f t="shared" si="39"/>
        <v>"%USERPROFILE%\Documents\GitHub\eaglep3\Utilities\RefineRTDCRunTimes.py" --tripid 174-13 --locoid 4039 --swversion DE.1.0.8.0 --startMP 204:232980 --initTime 2017-02-13T13:35:51 --startdatetime 2017-02-13T13:41:22 --delay 1 --endMP 204:158 --enddatetime 2017-02-13T14:20:19 --enforcementcount 0 &gt;&gt;C:\Users\stu\Documents\GitHub\eaglep3-reporting\EC\2017-02-13-refined-times.txt</v>
      </c>
      <c r="AI86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{"issue":{"subject":"","project_id":79,"tracker_id":40,"status_id":1,"priority_id":2,"assigned_to_id":23,"start_date":"2017-02-13","description":"","custom_fields":[{"id":1,"name":"Subdivision","value":"EC"},{"id":4,"name":"Milepost","value":"0.0158"},{"id":17,"name":"Train ID","value":"174-13"},{"id":16,"name":"Locomotive ID","value":"4039"},{"id":130,"name":"Impact","value":""},{"id":150,"name":"Time of Event (Mountain Time)","value":"14:20:19"},{"id":151,"name":"Denver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1"/>
        <v>start /low /b %USERPROFILE%\Documents\GitHub\eaglep3\Utilities\DownloadLogsFromS3.py --loco 4039 --day 2017-02-13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"%USERPROFILE%\AppData\Local\Temp\OnboardLogs"\RTDC4039\*4039*20170213* | grep -SE "(Enforcement Action)|(\[TIMEOUT)|(CHR.+\|PRM\|1\|D.+(SWITCH|SIGNAL).+UNKNOWN)" - &gt;&gt; 2017-02-13-UncaughtWiMAX.txt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650</v>
      </c>
      <c r="B87" s="7">
        <v>4025</v>
      </c>
      <c r="C87" s="21" t="s">
        <v>193</v>
      </c>
      <c r="D87" s="21" t="s">
        <v>449</v>
      </c>
      <c r="E87" s="13">
        <v>42779.538460648146</v>
      </c>
      <c r="F87" s="13">
        <v>42779.542280092595</v>
      </c>
      <c r="G87" s="7">
        <v>1</v>
      </c>
      <c r="H87" s="21" t="s">
        <v>794</v>
      </c>
      <c r="I87" s="13">
        <v>42779.569513888891</v>
      </c>
      <c r="J87" s="7">
        <v>0</v>
      </c>
      <c r="K87" s="98" t="str">
        <f t="shared" si="25"/>
        <v>4025/4026</v>
      </c>
      <c r="L87" s="21" t="str">
        <f>VLOOKUP(A87,'Trips&amp;Operators'!$C$1:$G$99999,5,FALSE)</f>
        <v>DAVIS MICHAEL</v>
      </c>
      <c r="M87" s="6">
        <f t="shared" si="26"/>
        <v>2.7233796296059154E-2</v>
      </c>
      <c r="N87" s="7">
        <f t="shared" si="27"/>
        <v>39.216666666325182</v>
      </c>
      <c r="O87" s="7"/>
      <c r="P87" s="7"/>
      <c r="Q87" s="22"/>
      <c r="R87" s="22"/>
      <c r="S87" s="31">
        <f t="shared" si="28"/>
        <v>1</v>
      </c>
      <c r="T87" s="46" t="str">
        <f t="shared" si="29"/>
        <v>NorthBound</v>
      </c>
      <c r="U87" s="18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7" t="str">
        <f t="shared" si="30"/>
        <v>https://d0f6bd738d7f1b3e5a7ca70fe4ff75f0.us-east-1.aws.found.io/app/kibana#/discover/Steve-Slow-Train-Analysis-(2080s-and-2083s)?_g=(refreshInterval:(display:Off,pause:!f,section:0,value:0),time:(from:'2017-02-13T11:55:23-0700',mode:absolute,to:'2017-02-13T14:40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7" s="188" t="str">
        <f t="shared" si="31"/>
        <v>N</v>
      </c>
      <c r="X87" s="188">
        <f t="shared" si="24"/>
        <v>1</v>
      </c>
      <c r="Y87" s="62">
        <f t="shared" si="32"/>
        <v>4.4400000000000002E-2</v>
      </c>
      <c r="Z87" s="62">
        <f t="shared" si="33"/>
        <v>23.330400000000001</v>
      </c>
      <c r="AA87" s="62">
        <f t="shared" si="34"/>
        <v>23.286000000000001</v>
      </c>
      <c r="AB87" s="59" t="e">
        <f>VLOOKUP(A87,Enforcements!$C$7:$K$14,8,0)</f>
        <v>#N/A</v>
      </c>
      <c r="AC87" s="55" t="e">
        <f>VLOOKUP(A87,Enforcements!$C$7:$E$14,3,0)</f>
        <v>#N/A</v>
      </c>
      <c r="AD87" s="56" t="str">
        <f t="shared" si="35"/>
        <v>0175-13</v>
      </c>
      <c r="AE87" s="85" t="str">
        <f t="shared" si="36"/>
        <v>aws s3 cp s3://rtdc.mdm.uploadarchive.raw/RTDC4025/ "%USERPROFILE%\AppData\Local\Temp\OnboardLogs"\RTDC4025\2017-02-13 --exclude "*" --recursive --include "*20170213*" &amp; "%USERPROFILE%\Documents\GitHub\mrs-test-scripts\Headless Mode &amp; Sideloading\WalkAndUnGZ.bat" "%USERPROFILE%\AppData\Local\Temp\OnboardLogs"\RTDC4025\2017-02-13 &amp; aws s3 cp s3://rtdc.mdm.uploadarchive.raw/RTDC4025/ "%USERPROFILE%\AppData\Local\Temp\OnboardLogs"\RTDC4025\2017-02-14 --exclude "*" --recursive --include "*20170214*" &amp; "%USERPROFILE%\Documents\GitHub\mrs-test-scripts\Headless Mode &amp; Sideloading\WalkAndUnGZ.bat" "%USERPROFILE%\AppData\Local\Temp\OnboardLogs"\RTDC4025\2017-02-14</v>
      </c>
      <c r="AF87" s="82" t="str">
        <f t="shared" si="37"/>
        <v>"C:\Program Files (x86)\AstroGrep\AstroGrep.exe" /spath="%USERPROFILE%\AppData\Local\Temp\OnboardLogs" /stypes="app*4025*20170213*" /stext=" 20:.+((SYSTEM_STATE.+slice.+state.+changed )|(ment ac)|(multiple cpu faults)|(system.+state.+changed )|(\[timeout)|(PRM\|1\|D)|(kpr)|(kdp)|(\|lc)|(penalty))" /e /r /s</v>
      </c>
      <c r="AG87" s="1" t="str">
        <f t="shared" si="38"/>
        <v>EC</v>
      </c>
      <c r="AH87" s="86" t="str">
        <f t="shared" si="39"/>
        <v>"%USERPROFILE%\Documents\GitHub\eaglep3\Utilities\RefineRTDCRunTimes.py" --tripid 175-13 --locoid 4025 --swversion DE.1.0.8.0 --startMP 204:444 --initTime 2017-02-13T12:55:23 --startdatetime 2017-02-13T13:00:53 --delay 1 --endMP 204:233304 --enddatetime 2017-02-13T13:40:06 --enforcementcount 0 &gt;&gt;C:\Users\stu\Documents\GitHub\eaglep3-reporting\EC\2017-02-13-refined-times.txt</v>
      </c>
      <c r="AI87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{"issue":{"subject":"","project_id":79,"tracker_id":40,"status_id":1,"priority_id":2,"assigned_to_id":23,"start_date":"2017-02-13","description":"","custom_fields":[{"id":1,"name":"Subdivision","value":"EC"},{"id":4,"name":"Milepost","value":"23.3304"},{"id":17,"name":"Train ID","value":"175-13"},{"id":16,"name":"Locomotive ID","value":"4025"},{"id":130,"name":"Impact","value":""},{"id":150,"name":"Time of Event (Mountain Time)","value":"13:40:06"},{"id":151,"name":"Denver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1"/>
        <v>start /low /b %USERPROFILE%\Documents\GitHub\eaglep3\Utilities\DownloadLogsFromS3.py --loco 4025 --day 2017-02-13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"%USERPROFILE%\AppData\Local\Temp\OnboardLogs"\RTDC4025\*4025*20170213* | grep -SE "(Enforcement Action)|(\[TIMEOUT)|(CHR.+\|PRM\|1\|D.+(SWITCH|SIGNAL).+UNKNOWN)" - &gt;&gt; 2017-02-13-UncaughtWiMAX.txt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658</v>
      </c>
      <c r="B88" s="7">
        <v>4026</v>
      </c>
      <c r="C88" s="21" t="s">
        <v>193</v>
      </c>
      <c r="D88" s="21" t="s">
        <v>310</v>
      </c>
      <c r="E88" s="13">
        <v>42779.577962962961</v>
      </c>
      <c r="F88" s="13">
        <v>42779.580925925926</v>
      </c>
      <c r="G88" s="7">
        <v>1</v>
      </c>
      <c r="H88" s="21" t="s">
        <v>447</v>
      </c>
      <c r="I88" s="13">
        <v>42779.608877314815</v>
      </c>
      <c r="J88" s="7">
        <v>0</v>
      </c>
      <c r="K88" s="98" t="str">
        <f t="shared" si="25"/>
        <v>4025/4026</v>
      </c>
      <c r="L88" s="21" t="str">
        <f>VLOOKUP(A88,'Trips&amp;Operators'!$C$1:$G$99999,5,FALSE)</f>
        <v>DAVIS MICHAEL</v>
      </c>
      <c r="M88" s="6">
        <f t="shared" si="26"/>
        <v>2.7951388889050577E-2</v>
      </c>
      <c r="N88" s="7">
        <f t="shared" si="27"/>
        <v>40.250000000232831</v>
      </c>
      <c r="O88" s="7"/>
      <c r="P88" s="7"/>
      <c r="Q88" s="22"/>
      <c r="R88" s="22"/>
      <c r="S88" s="31">
        <f t="shared" si="28"/>
        <v>1</v>
      </c>
      <c r="T88" s="46" t="str">
        <f t="shared" si="29"/>
        <v>Southbound</v>
      </c>
      <c r="U88" s="18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7" t="str">
        <f t="shared" si="30"/>
        <v>https://d0f6bd738d7f1b3e5a7ca70fe4ff75f0.us-east-1.aws.found.io/app/kibana#/discover/Steve-Slow-Train-Analysis-(2080s-and-2083s)?_g=(refreshInterval:(display:Off,pause:!f,section:0,value:0),time:(from:'2017-02-13T12:52:16-0700',mode:absolute,to:'2017-02-13T15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8" s="188" t="str">
        <f t="shared" si="31"/>
        <v>N</v>
      </c>
      <c r="X88" s="188">
        <f t="shared" si="24"/>
        <v>1</v>
      </c>
      <c r="Y88" s="62">
        <f t="shared" si="32"/>
        <v>23.299099999999999</v>
      </c>
      <c r="Z88" s="62">
        <f t="shared" si="33"/>
        <v>1.5599999999999999E-2</v>
      </c>
      <c r="AA88" s="62">
        <f t="shared" si="34"/>
        <v>23.2835</v>
      </c>
      <c r="AB88" s="59" t="e">
        <f>VLOOKUP(A88,Enforcements!$C$7:$K$14,8,0)</f>
        <v>#N/A</v>
      </c>
      <c r="AC88" s="55" t="e">
        <f>VLOOKUP(A88,Enforcements!$C$7:$E$14,3,0)</f>
        <v>#N/A</v>
      </c>
      <c r="AD88" s="56" t="str">
        <f t="shared" si="35"/>
        <v>0176-13</v>
      </c>
      <c r="AE88" s="85" t="str">
        <f t="shared" si="36"/>
        <v>aws s3 cp s3://rtdc.mdm.uploadarchive.raw/RTDC4026/ "%USERPROFILE%\AppData\Local\Temp\OnboardLogs"\RTDC4026\2017-02-13 --exclude "*" --recursive --include "*20170213*" &amp; "%USERPROFILE%\Documents\GitHub\mrs-test-scripts\Headless Mode &amp; Sideloading\WalkAndUnGZ.bat" "%USERPROFILE%\AppData\Local\Temp\OnboardLogs"\RTDC4026\2017-02-13 &amp; aws s3 cp s3://rtdc.mdm.uploadarchive.raw/RTDC4026/ "%USERPROFILE%\AppData\Local\Temp\OnboardLogs"\RTDC4026\2017-02-14 --exclude "*" --recursive --include "*20170214*" &amp; "%USERPROFILE%\Documents\GitHub\mrs-test-scripts\Headless Mode &amp; Sideloading\WalkAndUnGZ.bat" "%USERPROFILE%\AppData\Local\Temp\OnboardLogs"\RTDC4026\2017-02-14</v>
      </c>
      <c r="AF88" s="82" t="str">
        <f t="shared" si="37"/>
        <v>"C:\Program Files (x86)\AstroGrep\AstroGrep.exe" /spath="%USERPROFILE%\AppData\Local\Temp\OnboardLogs" /stypes="app*4026*20170213*" /stext=" 21:.+((SYSTEM_STATE.+slice.+state.+changed )|(ment ac)|(multiple cpu faults)|(system.+state.+changed )|(\[timeout)|(PRM\|1\|D)|(kpr)|(kdp)|(\|lc)|(penalty))" /e /r /s</v>
      </c>
      <c r="AG88" s="1" t="str">
        <f t="shared" si="38"/>
        <v>EC</v>
      </c>
      <c r="AH88" s="86" t="str">
        <f t="shared" si="39"/>
        <v>"%USERPROFILE%\Documents\GitHub\eaglep3\Utilities\RefineRTDCRunTimes.py" --tripid 176-13 --locoid 4026 --swversion DE.1.0.8.0 --startMP 204:232991 --initTime 2017-02-13T13:52:16 --startdatetime 2017-02-13T13:56:32 --delay 1 --endMP 204:156 --enddatetime 2017-02-13T14:36:47 --enforcementcount 0 &gt;&gt;C:\Users\stu\Documents\GitHub\eaglep3-reporting\EC\2017-02-13-refined-times.txt</v>
      </c>
      <c r="AI88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{"issue":{"subject":"","project_id":79,"tracker_id":40,"status_id":1,"priority_id":2,"assigned_to_id":23,"start_date":"2017-02-13","description":"","custom_fields":[{"id":1,"name":"Subdivision","value":"EC"},{"id":4,"name":"Milepost","value":"0.0156"},{"id":17,"name":"Train ID","value":"176-13"},{"id":16,"name":"Locomotive ID","value":"4026"},{"id":130,"name":"Impact","value":""},{"id":150,"name":"Time of Event (Mountain Time)","value":"14:36:47"},{"id":151,"name":"Denver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1"/>
        <v>start /low /b %USERPROFILE%\Documents\GitHub\eaglep3\Utilities\DownloadLogsFromS3.py --loco 4026 --day 2017-02-13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"%USERPROFILE%\AppData\Local\Temp\OnboardLogs"\RTDC4026\*4026*20170213* | grep -SE "(Enforcement Action)|(\[TIMEOUT)|(CHR.+\|PRM\|1\|D.+(SWITCH|SIGNAL).+UNKNOWN)" - &gt;&gt; 2017-02-13-UncaughtWiMAX.txt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652</v>
      </c>
      <c r="B89" s="7">
        <v>4027</v>
      </c>
      <c r="C89" s="21" t="s">
        <v>193</v>
      </c>
      <c r="D89" s="21" t="s">
        <v>513</v>
      </c>
      <c r="E89" s="13">
        <v>42779.548310185186</v>
      </c>
      <c r="F89" s="13">
        <v>42779.552268518521</v>
      </c>
      <c r="G89" s="7">
        <v>0</v>
      </c>
      <c r="H89" s="21" t="s">
        <v>795</v>
      </c>
      <c r="I89" s="13">
        <v>42779.578263888892</v>
      </c>
      <c r="J89" s="7">
        <v>0</v>
      </c>
      <c r="K89" s="98" t="str">
        <f t="shared" si="25"/>
        <v>4027/4028</v>
      </c>
      <c r="L89" s="21" t="str">
        <f>VLOOKUP(A89,'Trips&amp;Operators'!$C$1:$G$99999,5,FALSE)</f>
        <v>CLARK KATHLEEN</v>
      </c>
      <c r="M89" s="6">
        <f t="shared" si="26"/>
        <v>2.5995370371674653E-2</v>
      </c>
      <c r="N89" s="7">
        <f t="shared" si="27"/>
        <v>37.433333335211501</v>
      </c>
      <c r="O89" s="7"/>
      <c r="P89" s="7"/>
      <c r="Q89" s="22"/>
      <c r="R89" s="22"/>
      <c r="S89" s="31">
        <f t="shared" si="28"/>
        <v>1</v>
      </c>
      <c r="T89" s="46" t="str">
        <f t="shared" si="29"/>
        <v>NorthBound</v>
      </c>
      <c r="U89" s="18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7" t="str">
        <f t="shared" si="30"/>
        <v>https://d0f6bd738d7f1b3e5a7ca70fe4ff75f0.us-east-1.aws.found.io/app/kibana#/discover/Steve-Slow-Train-Analysis-(2080s-and-2083s)?_g=(refreshInterval:(display:Off,pause:!f,section:0,value:0),time:(from:'2017-02-13T12:09:34-0700',mode:absolute,to:'2017-02-13T14:52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9" s="188" t="str">
        <f t="shared" si="31"/>
        <v>N</v>
      </c>
      <c r="X89" s="188">
        <f t="shared" si="24"/>
        <v>1</v>
      </c>
      <c r="Y89" s="62">
        <f t="shared" si="32"/>
        <v>5.1700000000000003E-2</v>
      </c>
      <c r="Z89" s="62">
        <f t="shared" si="33"/>
        <v>23.326799999999999</v>
      </c>
      <c r="AA89" s="62">
        <f t="shared" si="34"/>
        <v>23.275099999999998</v>
      </c>
      <c r="AB89" s="59" t="e">
        <f>VLOOKUP(A89,Enforcements!$C$7:$K$14,8,0)</f>
        <v>#N/A</v>
      </c>
      <c r="AC89" s="55" t="e">
        <f>VLOOKUP(A89,Enforcements!$C$7:$E$14,3,0)</f>
        <v>#N/A</v>
      </c>
      <c r="AD89" s="56" t="str">
        <f t="shared" si="35"/>
        <v>0177-13</v>
      </c>
      <c r="AE89" s="85" t="str">
        <f t="shared" si="36"/>
        <v>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 &amp; 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</v>
      </c>
      <c r="AF89" s="82" t="str">
        <f t="shared" si="37"/>
        <v>"C:\Program Files (x86)\AstroGrep\AstroGrep.exe" /spath="%USERPROFILE%\AppData\Local\Temp\OnboardLogs" /stypes="app*4027*20170213*" /stext=" 20:.+((SYSTEM_STATE.+slice.+state.+changed )|(ment ac)|(multiple cpu faults)|(system.+state.+changed )|(\[timeout)|(PRM\|1\|D)|(kpr)|(kdp)|(\|lc)|(penalty))" /e /r /s</v>
      </c>
      <c r="AG89" s="1" t="str">
        <f t="shared" si="38"/>
        <v>EC</v>
      </c>
      <c r="AH89" s="86" t="str">
        <f t="shared" si="39"/>
        <v>"%USERPROFILE%\Documents\GitHub\eaglep3\Utilities\RefineRTDCRunTimes.py" --tripid 177-13 --locoid 4027 --swversion DE.1.0.8.0 --startMP 204:517 --initTime 2017-02-13T13:09:34 --startdatetime 2017-02-13T13:15:16 --delay 0 --endMP 204:233268 --enddatetime 2017-02-13T13:52:42 --enforcementcount 0 &gt;&gt;C:\Users\stu\Documents\GitHub\eaglep3-reporting\EC\2017-02-13-refined-times.txt</v>
      </c>
      <c r="AI89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{"issue":{"subject":"","project_id":79,"tracker_id":40,"status_id":1,"priority_id":2,"assigned_to_id":23,"start_date":"2017-02-13","description":"","custom_fields":[{"id":1,"name":"Subdivision","value":"EC"},{"id":4,"name":"Milepost","value":"23.3268"},{"id":17,"name":"Train ID","value":"177-13"},{"id":16,"name":"Locomotive ID","value":"4027"},{"id":130,"name":"Impact","value":""},{"id":150,"name":"Time of Event (Mountain Time)","value":"13:52:42"},{"id":151,"name":"Denver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1"/>
        <v>start /low /b %USERPROFILE%\Documents\GitHub\eaglep3\Utilities\DownloadLogsFromS3.py --loco 4027 --day 2017-02-13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"%USERPROFILE%\AppData\Local\Temp\OnboardLogs"\RTDC4027\*4027*20170213* | grep -SE "(Enforcement Action)|(\[TIMEOUT)|(CHR.+\|PRM\|1\|D.+(SWITCH|SIGNAL).+UNKNOWN)" - &gt;&gt; 2017-02-13-UncaughtWiMAX.txt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660</v>
      </c>
      <c r="B90" s="7">
        <v>4028</v>
      </c>
      <c r="C90" s="21" t="s">
        <v>193</v>
      </c>
      <c r="D90" s="21" t="s">
        <v>796</v>
      </c>
      <c r="E90" s="13">
        <v>42779.587731481479</v>
      </c>
      <c r="F90" s="13">
        <v>42779.591400462959</v>
      </c>
      <c r="G90" s="7">
        <v>1</v>
      </c>
      <c r="H90" s="21" t="s">
        <v>797</v>
      </c>
      <c r="I90" s="13">
        <v>42779.618877314817</v>
      </c>
      <c r="J90" s="7">
        <v>0</v>
      </c>
      <c r="K90" s="98" t="str">
        <f t="shared" si="25"/>
        <v>4027/4028</v>
      </c>
      <c r="L90" s="21" t="str">
        <f>VLOOKUP(A90,'Trips&amp;Operators'!$C$1:$G$99999,5,FALSE)</f>
        <v>CLARK KATHLEEN</v>
      </c>
      <c r="M90" s="6">
        <f t="shared" si="26"/>
        <v>2.7476851857500151E-2</v>
      </c>
      <c r="N90" s="7">
        <f t="shared" si="27"/>
        <v>39.566666674800217</v>
      </c>
      <c r="O90" s="7"/>
      <c r="P90" s="7"/>
      <c r="Q90" s="22"/>
      <c r="R90" s="22"/>
      <c r="S90" s="31">
        <f t="shared" si="28"/>
        <v>1</v>
      </c>
      <c r="T90" s="46" t="str">
        <f t="shared" si="29"/>
        <v>Southbound</v>
      </c>
      <c r="U90" s="18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7" t="str">
        <f t="shared" si="30"/>
        <v>https://d0f6bd738d7f1b3e5a7ca70fe4ff75f0.us-east-1.aws.found.io/app/kibana#/discover/Steve-Slow-Train-Analysis-(2080s-and-2083s)?_g=(refreshInterval:(display:Off,pause:!f,section:0,value:0),time:(from:'2017-02-13T13:06:20-0700',mode:absolute,to:'2017-02-13T15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0" s="188" t="str">
        <f t="shared" si="31"/>
        <v>N</v>
      </c>
      <c r="X90" s="188">
        <f t="shared" si="24"/>
        <v>1</v>
      </c>
      <c r="Y90" s="62">
        <f t="shared" si="32"/>
        <v>23.294</v>
      </c>
      <c r="Z90" s="62">
        <f t="shared" si="33"/>
        <v>1.72E-2</v>
      </c>
      <c r="AA90" s="62">
        <f t="shared" si="34"/>
        <v>23.276800000000001</v>
      </c>
      <c r="AB90" s="59" t="e">
        <f>VLOOKUP(A90,Enforcements!$C$7:$K$14,8,0)</f>
        <v>#N/A</v>
      </c>
      <c r="AC90" s="55" t="e">
        <f>VLOOKUP(A90,Enforcements!$C$7:$E$14,3,0)</f>
        <v>#N/A</v>
      </c>
      <c r="AD90" s="56" t="str">
        <f t="shared" si="35"/>
        <v>0178-13</v>
      </c>
      <c r="AE90" s="85" t="str">
        <f t="shared" si="36"/>
        <v>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 &amp; aws s3 cp s3://rtdc.mdm.uploadarchive.raw/RTDC4028/ "%USERPROFILE%\AppData\Local\Temp\OnboardLogs"\RTDC4028\2017-02-14 --exclude "*" --recursive --include "*20170214*" &amp; "%USERPROFILE%\Documents\GitHub\mrs-test-scripts\Headless Mode &amp; Sideloading\WalkAndUnGZ.bat" "%USERPROFILE%\AppData\Local\Temp\OnboardLogs"\RTDC4028\2017-02-14</v>
      </c>
      <c r="AF90" s="82" t="str">
        <f t="shared" si="37"/>
        <v>"C:\Program Files (x86)\AstroGrep\AstroGrep.exe" /spath="%USERPROFILE%\AppData\Local\Temp\OnboardLogs" /stypes="app*4028*20170213*" /stext=" 21:.+((SYSTEM_STATE.+slice.+state.+changed )|(ment ac)|(multiple cpu faults)|(system.+state.+changed )|(\[timeout)|(PRM\|1\|D)|(kpr)|(kdp)|(\|lc)|(penalty))" /e /r /s</v>
      </c>
      <c r="AG90" s="1" t="str">
        <f t="shared" si="38"/>
        <v>EC</v>
      </c>
      <c r="AH90" s="86" t="str">
        <f t="shared" si="39"/>
        <v>"%USERPROFILE%\Documents\GitHub\eaglep3\Utilities\RefineRTDCRunTimes.py" --tripid 178-13 --locoid 4028 --swversion DE.1.0.8.0 --startMP 204:232940 --initTime 2017-02-13T14:06:20 --startdatetime 2017-02-13T14:11:37 --delay 1 --endMP 204:172 --enddatetime 2017-02-13T14:51:11 --enforcementcount 0 &gt;&gt;C:\Users\stu\Documents\GitHub\eaglep3-reporting\EC\2017-02-13-refined-times.txt</v>
      </c>
      <c r="AI90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{"issue":{"subject":"","project_id":79,"tracker_id":40,"status_id":1,"priority_id":2,"assigned_to_id":23,"start_date":"2017-02-13","description":"","custom_fields":[{"id":1,"name":"Subdivision","value":"EC"},{"id":4,"name":"Milepost","value":"0.0172"},{"id":17,"name":"Train ID","value":"178-13"},{"id":16,"name":"Locomotive ID","value":"4028"},{"id":130,"name":"Impact","value":""},{"id":150,"name":"Time of Event (Mountain Time)","value":"14:51:11"},{"id":151,"name":"Denver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1"/>
        <v>start /low /b %USERPROFILE%\Documents\GitHub\eaglep3\Utilities\DownloadLogsFromS3.py --loco 4028 --day 2017-02-13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"%USERPROFILE%\AppData\Local\Temp\OnboardLogs"\RTDC4028\*4028*20170213* | grep -SE "(Enforcement Action)|(\[TIMEOUT)|(CHR.+\|PRM\|1\|D.+(SWITCH|SIGNAL).+UNKNOWN)" - &gt;&gt; 2017-02-13-UncaughtWiMAX.txt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540</v>
      </c>
      <c r="B91" s="7">
        <v>4009</v>
      </c>
      <c r="C91" s="21" t="s">
        <v>193</v>
      </c>
      <c r="D91" s="21" t="s">
        <v>769</v>
      </c>
      <c r="E91" s="13">
        <v>42779.558530092596</v>
      </c>
      <c r="F91" s="13">
        <v>42779.562997685185</v>
      </c>
      <c r="G91" s="7">
        <v>1</v>
      </c>
      <c r="H91" s="21" t="s">
        <v>783</v>
      </c>
      <c r="I91" s="13">
        <v>42779.588819444441</v>
      </c>
      <c r="J91" s="7">
        <v>0</v>
      </c>
      <c r="K91" s="98" t="str">
        <f t="shared" si="25"/>
        <v>4009/4010</v>
      </c>
      <c r="L91" s="21" t="str">
        <f>VLOOKUP(A91,'Trips&amp;Operators'!$C$1:$G$99999,5,FALSE)</f>
        <v>ROMERO CHAD</v>
      </c>
      <c r="M91" s="6">
        <f t="shared" si="26"/>
        <v>2.5821759256359655E-2</v>
      </c>
      <c r="N91" s="7">
        <f t="shared" si="27"/>
        <v>37.183333329157904</v>
      </c>
      <c r="O91" s="7"/>
      <c r="P91" s="7"/>
      <c r="Q91" s="22"/>
      <c r="R91" s="22"/>
      <c r="S91" s="31">
        <f t="shared" si="28"/>
        <v>1</v>
      </c>
      <c r="T91" s="46" t="str">
        <f t="shared" si="29"/>
        <v>NorthBound</v>
      </c>
      <c r="U91" s="18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7" t="str">
        <f t="shared" si="30"/>
        <v>https://d0f6bd738d7f1b3e5a7ca70fe4ff75f0.us-east-1.aws.found.io/app/kibana#/discover/Steve-Slow-Train-Analysis-(2080s-and-2083s)?_g=(refreshInterval:(display:Off,pause:!f,section:0,value:0),time:(from:'2017-02-13T12:24:17-0700',mode:absolute,to:'2017-02-13T15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1" s="188" t="str">
        <f t="shared" si="31"/>
        <v>N</v>
      </c>
      <c r="X91" s="188">
        <f t="shared" si="24"/>
        <v>1</v>
      </c>
      <c r="Y91" s="62">
        <f t="shared" si="32"/>
        <v>4.4200000000000003E-2</v>
      </c>
      <c r="Z91" s="62">
        <f t="shared" si="33"/>
        <v>23.332699999999999</v>
      </c>
      <c r="AA91" s="62">
        <f t="shared" si="34"/>
        <v>23.288499999999999</v>
      </c>
      <c r="AB91" s="59" t="e">
        <f>VLOOKUP(A91,Enforcements!$C$7:$K$14,8,0)</f>
        <v>#N/A</v>
      </c>
      <c r="AC91" s="55" t="e">
        <f>VLOOKUP(A91,Enforcements!$C$7:$E$14,3,0)</f>
        <v>#N/A</v>
      </c>
      <c r="AD91" s="56" t="str">
        <f t="shared" si="35"/>
        <v>0179-13</v>
      </c>
      <c r="AE91" s="85" t="str">
        <f t="shared" si="36"/>
        <v>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 &amp; aws s3 cp s3://rtdc.mdm.uploadarchive.raw/RTDC4009/ "%USERPROFILE%\AppData\Local\Temp\OnboardLogs"\RTDC4009\2017-02-14 --exclude "*" --recursive --include "*20170214*" &amp; "%USERPROFILE%\Documents\GitHub\mrs-test-scripts\Headless Mode &amp; Sideloading\WalkAndUnGZ.bat" "%USERPROFILE%\AppData\Local\Temp\OnboardLogs"\RTDC4009\2017-02-14</v>
      </c>
      <c r="AF91" s="82" t="str">
        <f t="shared" si="37"/>
        <v>"C:\Program Files (x86)\AstroGrep\AstroGrep.exe" /spath="%USERPROFILE%\AppData\Local\Temp\OnboardLogs" /stypes="app*4009*20170213*" /stext=" 21:.+((SYSTEM_STATE.+slice.+state.+changed )|(ment ac)|(multiple cpu faults)|(system.+state.+changed )|(\[timeout)|(PRM\|1\|D)|(kpr)|(kdp)|(\|lc)|(penalty))" /e /r /s</v>
      </c>
      <c r="AG91" s="1" t="str">
        <f t="shared" si="38"/>
        <v>EC</v>
      </c>
      <c r="AH91" s="86" t="str">
        <f t="shared" si="39"/>
        <v>"%USERPROFILE%\Documents\GitHub\eaglep3\Utilities\RefineRTDCRunTimes.py" --tripid 179-13 --locoid 4009 --swversion DE.1.0.8.0 --startMP 204:442 --initTime 2017-02-13T13:24:17 --startdatetime 2017-02-13T13:30:43 --delay 1 --endMP 204:233327 --enddatetime 2017-02-13T14:07:54 --enforcementcount 0 &gt;&gt;C:\Users\stu\Documents\GitHub\eaglep3-reporting\EC\2017-02-13-refined-times.txt</v>
      </c>
      <c r="AI91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{"issue":{"subject":"","project_id":79,"tracker_id":40,"status_id":1,"priority_id":2,"assigned_to_id":23,"start_date":"2017-02-13","description":"","custom_fields":[{"id":1,"name":"Subdivision","value":"EC"},{"id":4,"name":"Milepost","value":"23.3327"},{"id":17,"name":"Train ID","value":"179-13"},{"id":16,"name":"Locomotive ID","value":"4009"},{"id":130,"name":"Impact","value":""},{"id":150,"name":"Time of Event (Mountain Time)","value":"14:07:54"},{"id":151,"name":"Denver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1"/>
        <v>start /low /b %USERPROFILE%\Documents\GitHub\eaglep3\Utilities\DownloadLogsFromS3.py --loco 4009 --day 2017-02-13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"%USERPROFILE%\AppData\Local\Temp\OnboardLogs"\RTDC4009\*4009*20170213* | grep -SE "(Enforcement Action)|(\[TIMEOUT)|(CHR.+\|PRM\|1\|D.+(SWITCH|SIGNAL).+UNKNOWN)" - &gt;&gt; 2017-02-13-UncaughtWiMAX.txt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3" t="s">
        <v>542</v>
      </c>
      <c r="B92" s="7">
        <v>4010</v>
      </c>
      <c r="C92" s="21" t="s">
        <v>193</v>
      </c>
      <c r="D92" s="21" t="s">
        <v>512</v>
      </c>
      <c r="E92" s="13">
        <v>42779.592268518521</v>
      </c>
      <c r="F92" s="13">
        <v>42779.601666666669</v>
      </c>
      <c r="G92" s="7">
        <v>1</v>
      </c>
      <c r="H92" s="21" t="s">
        <v>798</v>
      </c>
      <c r="I92" s="13">
        <v>42779.624421296299</v>
      </c>
      <c r="J92" s="7">
        <v>0</v>
      </c>
      <c r="K92" s="98" t="str">
        <f t="shared" si="25"/>
        <v>4009/4010</v>
      </c>
      <c r="L92" s="21" t="str">
        <f>VLOOKUP(A92,'Trips&amp;Operators'!$C$1:$G$99999,5,FALSE)</f>
        <v>ROMERO CHAD</v>
      </c>
      <c r="M92" s="6">
        <f t="shared" si="26"/>
        <v>2.2754629630071577E-2</v>
      </c>
      <c r="N92" s="7"/>
      <c r="O92" s="7"/>
      <c r="P92" s="7">
        <f>24*60*SUM($M92:$M92)</f>
        <v>32.76666666730307</v>
      </c>
      <c r="Q92" s="22"/>
      <c r="R92" s="22" t="s">
        <v>427</v>
      </c>
      <c r="S92" s="31">
        <f t="shared" si="28"/>
        <v>1</v>
      </c>
      <c r="T92" s="46" t="str">
        <f t="shared" si="29"/>
        <v>Southbound</v>
      </c>
      <c r="U92" s="18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7" t="str">
        <f t="shared" si="30"/>
        <v>https://d0f6bd738d7f1b3e5a7ca70fe4ff75f0.us-east-1.aws.found.io/app/kibana#/discover/Steve-Slow-Train-Analysis-(2080s-and-2083s)?_g=(refreshInterval:(display:Off,pause:!f,section:0,value:0),time:(from:'2017-02-13T13:12:52-0700',mode:absolute,to:'2017-02-13T15:59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2" s="188" t="str">
        <f t="shared" si="31"/>
        <v>Y</v>
      </c>
      <c r="X92" s="188">
        <f t="shared" si="24"/>
        <v>1</v>
      </c>
      <c r="Y92" s="62">
        <f t="shared" si="32"/>
        <v>23.300799999999999</v>
      </c>
      <c r="Z92" s="62">
        <f t="shared" si="33"/>
        <v>1.4383999999999999</v>
      </c>
      <c r="AA92" s="62">
        <f t="shared" si="34"/>
        <v>21.862399999999997</v>
      </c>
      <c r="AB92" s="59" t="str">
        <f>VLOOKUP(A92,Enforcements!$C$7:$K$14,8,0)</f>
        <v>Speed (6)</v>
      </c>
      <c r="AC92" s="55" t="str">
        <f>VLOOKUP(A92,Enforcements!$C$7:$E$14,3,0)</f>
        <v>PERMANENT SPEED RESTRICTION</v>
      </c>
      <c r="AD92" s="56" t="str">
        <f t="shared" si="35"/>
        <v>0180-13</v>
      </c>
      <c r="AE92" s="85" t="str">
        <f t="shared" si="36"/>
        <v>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 &amp; aws s3 cp s3://rtdc.mdm.uploadarchive.raw/RTDC4010/ "%USERPROFILE%\AppData\Local\Temp\OnboardLogs"\RTDC4010\2017-02-14 --exclude "*" --recursive --include "*20170214*" &amp; "%USERPROFILE%\Documents\GitHub\mrs-test-scripts\Headless Mode &amp; Sideloading\WalkAndUnGZ.bat" "%USERPROFILE%\AppData\Local\Temp\OnboardLogs"\RTDC4010\2017-02-14</v>
      </c>
      <c r="AF92" s="82" t="str">
        <f t="shared" si="37"/>
        <v>"C:\Program Files (x86)\AstroGrep\AstroGrep.exe" /spath="%USERPROFILE%\AppData\Local\Temp\OnboardLogs" /stypes="app*4010*20170213*" /stext=" 21:.+((SYSTEM_STATE.+slice.+state.+changed )|(ment ac)|(multiple cpu faults)|(system.+state.+changed )|(\[timeout)|(PRM\|1\|D)|(kpr)|(kdp)|(\|lc)|(penalty))" /e /r /s</v>
      </c>
      <c r="AG92" s="1" t="str">
        <f t="shared" si="38"/>
        <v>EC</v>
      </c>
      <c r="AH92" s="86" t="str">
        <f t="shared" si="39"/>
        <v>"%USERPROFILE%\Documents\GitHub\eaglep3\Utilities\RefineRTDCRunTimes.py" --tripid 180-13 --locoid 4010 --swversion DE.1.0.8.0 --startMP 204:233008 --initTime 2017-02-13T14:12:52 --startdatetime 2017-02-13T14:26:24 --delay 1 --endMP 204:14384 --enddatetime 2017-02-13T14:59:10 --enforcementcount 0 &gt;&gt;C:\Users\stu\Documents\GitHub\eaglep3-reporting\EC\2017-02-13-refined-times.txt</v>
      </c>
      <c r="AI92" s="108" t="str">
        <f t="shared" si="40"/>
        <v>echo {"issue":{"subject":"Wi-MAX data drop","project_id":79,"tracker_id":40,"status_id":1,"priority_id":2,"assigned_to_id":23,"start_date":"2017-02-13","description":"","custom_fields":[{"id":1,"name":"Subdivision","value":"EC"},{"id":4,"name":"Milepost","value":"1.4384"},{"id":17,"name":"Train ID","value":"180-13"},{"id":16,"name":"Locomotive ID","value":"4010"},{"id":130,"name":"Impact","value":""},{"id":150,"name":"Time of Event (Mountain Time)","value":"14:59:10"},{"id":151,"name":"Denver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1"/>
        <v>start /low /b %USERPROFILE%\Documents\GitHub\eaglep3\Utilities\DownloadLogsFromS3.py --loco 4010 --day 2017-02-13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"%USERPROFILE%\AppData\Local\Temp\OnboardLogs"\RTDC4010\*4010*20170213* | grep -SE "(Enforcement Action)|(\[TIMEOUT)|(CHR.+\|PRM\|1\|D.+(SWITCH|SIGNAL).+UNKNOWN)" - &gt;&gt; 2017-02-13-UncaughtWiMAX.txt</v>
      </c>
    </row>
    <row r="93" spans="1:91" s="20" customFormat="1" x14ac:dyDescent="0.25">
      <c r="A93" s="33" t="s">
        <v>657</v>
      </c>
      <c r="B93" s="7">
        <v>4044</v>
      </c>
      <c r="C93" s="21" t="s">
        <v>193</v>
      </c>
      <c r="D93" s="21" t="s">
        <v>298</v>
      </c>
      <c r="E93" s="13">
        <v>42779.567303240743</v>
      </c>
      <c r="F93" s="13">
        <v>42779.573148148149</v>
      </c>
      <c r="G93" s="7">
        <v>1</v>
      </c>
      <c r="H93" s="21" t="s">
        <v>303</v>
      </c>
      <c r="I93" s="13">
        <v>42779.598391203705</v>
      </c>
      <c r="J93" s="7">
        <v>0</v>
      </c>
      <c r="K93" s="98" t="str">
        <f t="shared" si="25"/>
        <v>4043/4044</v>
      </c>
      <c r="L93" s="21" t="str">
        <f>VLOOKUP(A93,'Trips&amp;Operators'!$C$1:$G$99999,5,FALSE)</f>
        <v>CRAYTON QUNTRELL</v>
      </c>
      <c r="M93" s="6">
        <f t="shared" si="26"/>
        <v>2.5243055555620231E-2</v>
      </c>
      <c r="N93" s="7">
        <f t="shared" ref="N93:N124" si="42">24*60*SUM($M93:$M93)</f>
        <v>36.350000000093132</v>
      </c>
      <c r="O93" s="7"/>
      <c r="P93" s="7"/>
      <c r="Q93" s="22"/>
      <c r="R93" s="22"/>
      <c r="S93" s="31">
        <f t="shared" si="28"/>
        <v>1</v>
      </c>
      <c r="T93" s="46" t="str">
        <f t="shared" si="29"/>
        <v>NorthBound</v>
      </c>
      <c r="U93" s="18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7" t="str">
        <f t="shared" si="30"/>
        <v>https://d0f6bd738d7f1b3e5a7ca70fe4ff75f0.us-east-1.aws.found.io/app/kibana#/discover/Steve-Slow-Train-Analysis-(2080s-and-2083s)?_g=(refreshInterval:(display:Off,pause:!f,section:0,value:0),time:(from:'2017-02-13T12:36:55-0700',mode:absolute,to:'2017-02-13T15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3" s="188" t="str">
        <f t="shared" si="31"/>
        <v>N</v>
      </c>
      <c r="X93" s="188">
        <f t="shared" si="24"/>
        <v>1</v>
      </c>
      <c r="Y93" s="62">
        <f t="shared" si="32"/>
        <v>4.4699999999999997E-2</v>
      </c>
      <c r="Z93" s="62">
        <f t="shared" si="33"/>
        <v>23.330300000000001</v>
      </c>
      <c r="AA93" s="62">
        <f t="shared" si="34"/>
        <v>23.285600000000002</v>
      </c>
      <c r="AB93" s="59" t="e">
        <f>VLOOKUP(A93,Enforcements!$C$7:$K$14,8,0)</f>
        <v>#N/A</v>
      </c>
      <c r="AC93" s="55" t="e">
        <f>VLOOKUP(A93,Enforcements!$C$7:$E$14,3,0)</f>
        <v>#N/A</v>
      </c>
      <c r="AD93" s="56" t="str">
        <f t="shared" si="35"/>
        <v>0181-13</v>
      </c>
      <c r="AE93" s="85" t="str">
        <f t="shared" si="36"/>
        <v>aws s3 cp s3://rtdc.mdm.uploadarchive.raw/RTDC4044/ "%USERPROFILE%\AppData\Local\Temp\OnboardLogs"\RTDC4044\2017-02-13 --exclude "*" --recursive --include "*20170213*" &amp; "%USERPROFILE%\Documents\GitHub\mrs-test-scripts\Headless Mode &amp; Sideloading\WalkAndUnGZ.bat" "%USERPROFILE%\AppData\Local\Temp\OnboardLogs"\RTDC4044\2017-02-13 &amp; 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</v>
      </c>
      <c r="AF93" s="82" t="str">
        <f t="shared" si="37"/>
        <v>"C:\Program Files (x86)\AstroGrep\AstroGrep.exe" /spath="%USERPROFILE%\AppData\Local\Temp\OnboardLogs" /stypes="app*4044*20170213*" /stext=" 21:.+((SYSTEM_STATE.+slice.+state.+changed )|(ment ac)|(multiple cpu faults)|(system.+state.+changed )|(\[timeout)|(PRM\|1\|D)|(kpr)|(kdp)|(\|lc)|(penalty))" /e /r /s</v>
      </c>
      <c r="AG93" s="1" t="str">
        <f t="shared" si="38"/>
        <v>EC</v>
      </c>
      <c r="AH93" s="86" t="str">
        <f t="shared" si="39"/>
        <v>"%USERPROFILE%\Documents\GitHub\eaglep3\Utilities\RefineRTDCRunTimes.py" --tripid 181-13 --locoid 4044 --swversion DE.1.0.8.0 --startMP 204:447 --initTime 2017-02-13T13:36:55 --startdatetime 2017-02-13T13:45:20 --delay 1 --endMP 204:233303 --enddatetime 2017-02-13T14:21:41 --enforcementcount 0 &gt;&gt;C:\Users\stu\Documents\GitHub\eaglep3-reporting\EC\2017-02-13-refined-times.txt</v>
      </c>
      <c r="AI93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{"issue":{"subject":"","project_id":79,"tracker_id":40,"status_id":1,"priority_id":2,"assigned_to_id":23,"start_date":"2017-02-13","description":"","custom_fields":[{"id":1,"name":"Subdivision","value":"EC"},{"id":4,"name":"Milepost","value":"23.3303"},{"id":17,"name":"Train ID","value":"181-13"},{"id":16,"name":"Locomotive ID","value":"4044"},{"id":130,"name":"Impact","value":""},{"id":150,"name":"Time of Event (Mountain Time)","value":"14:21:41"},{"id":151,"name":"Denver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1"/>
        <v>start /low /b %USERPROFILE%\Documents\GitHub\eaglep3\Utilities\DownloadLogsFromS3.py --loco 4044 --day 2017-02-13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"%USERPROFILE%\AppData\Local\Temp\OnboardLogs"\RTDC4044\*4044*20170213* | grep -SE "(Enforcement Action)|(\[TIMEOUT)|(CHR.+\|PRM\|1\|D.+(SWITCH|SIGNAL).+UNKNOWN)" - &gt;&gt; 2017-02-13-UncaughtWiMAX.txt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664</v>
      </c>
      <c r="B94" s="7">
        <v>4043</v>
      </c>
      <c r="C94" s="21" t="s">
        <v>193</v>
      </c>
      <c r="D94" s="21" t="s">
        <v>488</v>
      </c>
      <c r="E94" s="13">
        <v>42779.603807870371</v>
      </c>
      <c r="F94" s="13">
        <v>42779.612280092595</v>
      </c>
      <c r="G94" s="7">
        <v>1</v>
      </c>
      <c r="H94" s="21" t="s">
        <v>778</v>
      </c>
      <c r="I94" s="13">
        <v>42779.638831018521</v>
      </c>
      <c r="J94" s="7">
        <v>0</v>
      </c>
      <c r="K94" s="98" t="str">
        <f t="shared" si="25"/>
        <v>4043/4044</v>
      </c>
      <c r="L94" s="21" t="str">
        <f>VLOOKUP(A94,'Trips&amp;Operators'!$C$1:$G$99999,5,FALSE)</f>
        <v>CRAYTON QUNTRELL</v>
      </c>
      <c r="M94" s="6">
        <f t="shared" si="26"/>
        <v>2.6550925926130731E-2</v>
      </c>
      <c r="N94" s="7">
        <f t="shared" si="42"/>
        <v>38.233333333628252</v>
      </c>
      <c r="O94" s="7"/>
      <c r="P94" s="7"/>
      <c r="Q94" s="22"/>
      <c r="R94" s="22"/>
      <c r="S94" s="31">
        <f t="shared" si="28"/>
        <v>1</v>
      </c>
      <c r="T94" s="46" t="str">
        <f t="shared" si="29"/>
        <v>Southbound</v>
      </c>
      <c r="U94" s="18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7" t="str">
        <f t="shared" si="30"/>
        <v>https://d0f6bd738d7f1b3e5a7ca70fe4ff75f0.us-east-1.aws.found.io/app/kibana#/discover/Steve-Slow-Train-Analysis-(2080s-and-2083s)?_g=(refreshInterval:(display:Off,pause:!f,section:0,value:0),time:(from:'2017-02-13T13:29:29-0700',mode:absolute,to:'2017-02-13T16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4" s="188" t="str">
        <f t="shared" si="31"/>
        <v>N</v>
      </c>
      <c r="X94" s="188">
        <f t="shared" si="24"/>
        <v>1</v>
      </c>
      <c r="Y94" s="62">
        <f t="shared" si="32"/>
        <v>23.3001</v>
      </c>
      <c r="Z94" s="62">
        <f t="shared" si="33"/>
        <v>1.67E-2</v>
      </c>
      <c r="AA94" s="62">
        <f t="shared" si="34"/>
        <v>23.2834</v>
      </c>
      <c r="AB94" s="59" t="e">
        <f>VLOOKUP(A94,Enforcements!$C$7:$K$14,8,0)</f>
        <v>#N/A</v>
      </c>
      <c r="AC94" s="55" t="e">
        <f>VLOOKUP(A94,Enforcements!$C$7:$E$14,3,0)</f>
        <v>#N/A</v>
      </c>
      <c r="AD94" s="56" t="str">
        <f t="shared" si="35"/>
        <v>0182-13</v>
      </c>
      <c r="AE94" s="85" t="str">
        <f t="shared" si="36"/>
        <v>aws s3 cp s3://rtdc.mdm.uploadarchive.raw/RTDC4043/ "%USERPROFILE%\AppData\Local\Temp\OnboardLogs"\RTDC4043\2017-02-13 --exclude "*" --recursive --include "*20170213*" &amp; "%USERPROFILE%\Documents\GitHub\mrs-test-scripts\Headless Mode &amp; Sideloading\WalkAndUnGZ.bat" "%USERPROFILE%\AppData\Local\Temp\OnboardLogs"\RTDC4043\2017-02-13 &amp; aws s3 cp s3://rtdc.mdm.uploadarchive.raw/RTDC4043/ "%USERPROFILE%\AppData\Local\Temp\OnboardLogs"\RTDC4043\2017-02-14 --exclude "*" --recursive --include "*20170214*" &amp; "%USERPROFILE%\Documents\GitHub\mrs-test-scripts\Headless Mode &amp; Sideloading\WalkAndUnGZ.bat" "%USERPROFILE%\AppData\Local\Temp\OnboardLogs"\RTDC4043\2017-02-14</v>
      </c>
      <c r="AF94" s="82" t="str">
        <f t="shared" si="37"/>
        <v>"C:\Program Files (x86)\AstroGrep\AstroGrep.exe" /spath="%USERPROFILE%\AppData\Local\Temp\OnboardLogs" /stypes="app*4043*20170213*" /stext=" 22:.+((SYSTEM_STATE.+slice.+state.+changed )|(ment ac)|(multiple cpu faults)|(system.+state.+changed )|(\[timeout)|(PRM\|1\|D)|(kpr)|(kdp)|(\|lc)|(penalty))" /e /r /s</v>
      </c>
      <c r="AG94" s="1" t="str">
        <f t="shared" si="38"/>
        <v>EC</v>
      </c>
      <c r="AH94" s="86" t="str">
        <f t="shared" si="39"/>
        <v>"%USERPROFILE%\Documents\GitHub\eaglep3\Utilities\RefineRTDCRunTimes.py" --tripid 182-13 --locoid 4043 --swversion DE.1.0.8.0 --startMP 204:233001 --initTime 2017-02-13T14:29:29 --startdatetime 2017-02-13T14:41:41 --delay 1 --endMP 204:167 --enddatetime 2017-02-13T15:19:55 --enforcementcount 0 &gt;&gt;C:\Users\stu\Documents\GitHub\eaglep3-reporting\EC\2017-02-13-refined-times.txt</v>
      </c>
      <c r="AI94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{"issue":{"subject":"","project_id":79,"tracker_id":40,"status_id":1,"priority_id":2,"assigned_to_id":23,"start_date":"2017-02-13","description":"","custom_fields":[{"id":1,"name":"Subdivision","value":"EC"},{"id":4,"name":"Milepost","value":"0.0167"},{"id":17,"name":"Train ID","value":"182-13"},{"id":16,"name":"Locomotive ID","value":"4043"},{"id":130,"name":"Impact","value":""},{"id":150,"name":"Time of Event (Mountain Time)","value":"15:19:55"},{"id":151,"name":"Denver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1"/>
        <v>start /low /b %USERPROFILE%\Documents\GitHub\eaglep3\Utilities\DownloadLogsFromS3.py --loco 4043 --day 2017-02-13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"%USERPROFILE%\AppData\Local\Temp\OnboardLogs"\RTDC4043\*4043*20170213* | grep -SE "(Enforcement Action)|(\[TIMEOUT)|(CHR.+\|PRM\|1\|D.+(SWITCH|SIGNAL).+UNKNOWN)" - &gt;&gt; 2017-02-13-UncaughtWiMAX.txt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659</v>
      </c>
      <c r="B95" s="7">
        <v>4020</v>
      </c>
      <c r="C95" s="21" t="s">
        <v>193</v>
      </c>
      <c r="D95" s="21" t="s">
        <v>239</v>
      </c>
      <c r="E95" s="13">
        <v>42779.579016203701</v>
      </c>
      <c r="F95" s="13">
        <v>42779.583622685182</v>
      </c>
      <c r="G95" s="7">
        <v>1</v>
      </c>
      <c r="H95" s="21" t="s">
        <v>799</v>
      </c>
      <c r="I95" s="13">
        <v>42779.609814814816</v>
      </c>
      <c r="J95" s="7">
        <v>0</v>
      </c>
      <c r="K95" s="98" t="str">
        <f t="shared" si="25"/>
        <v>4019/4020</v>
      </c>
      <c r="L95" s="21" t="str">
        <f>VLOOKUP(A95,'Trips&amp;Operators'!$C$1:$G$99999,5,FALSE)</f>
        <v>LEVERE CRAIG</v>
      </c>
      <c r="M95" s="6">
        <f t="shared" si="26"/>
        <v>2.6192129633272998E-2</v>
      </c>
      <c r="N95" s="7">
        <f t="shared" si="42"/>
        <v>37.716666671913117</v>
      </c>
      <c r="O95" s="7"/>
      <c r="P95" s="7"/>
      <c r="Q95" s="22"/>
      <c r="R95" s="22"/>
      <c r="S95" s="31">
        <f t="shared" si="28"/>
        <v>1</v>
      </c>
      <c r="T95" s="46" t="str">
        <f t="shared" si="29"/>
        <v>NorthBound</v>
      </c>
      <c r="U95" s="18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7" t="str">
        <f t="shared" si="30"/>
        <v>https://d0f6bd738d7f1b3e5a7ca70fe4ff75f0.us-east-1.aws.found.io/app/kibana#/discover/Steve-Slow-Train-Analysis-(2080s-and-2083s)?_g=(refreshInterval:(display:Off,pause:!f,section:0,value:0),time:(from:'2017-02-13T12:53:47-0700',mode:absolute,to:'2017-02-13T15:38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5" s="188" t="str">
        <f t="shared" si="31"/>
        <v>N</v>
      </c>
      <c r="X95" s="188">
        <f t="shared" si="24"/>
        <v>1</v>
      </c>
      <c r="Y95" s="62">
        <f t="shared" si="32"/>
        <v>4.5999999999999999E-2</v>
      </c>
      <c r="Z95" s="62">
        <f t="shared" si="33"/>
        <v>23.332100000000001</v>
      </c>
      <c r="AA95" s="62">
        <f t="shared" si="34"/>
        <v>23.286100000000001</v>
      </c>
      <c r="AB95" s="59" t="e">
        <f>VLOOKUP(A95,Enforcements!$C$7:$K$14,8,0)</f>
        <v>#N/A</v>
      </c>
      <c r="AC95" s="55" t="e">
        <f>VLOOKUP(A95,Enforcements!$C$7:$E$14,3,0)</f>
        <v>#N/A</v>
      </c>
      <c r="AD95" s="56" t="str">
        <f t="shared" si="35"/>
        <v>0183-13</v>
      </c>
      <c r="AE95" s="85" t="str">
        <f t="shared" si="36"/>
        <v>aws s3 cp s3://rtdc.mdm.uploadarchive.raw/RTDC4020/ "%USERPROFILE%\AppData\Local\Temp\OnboardLogs"\RTDC4020\2017-02-13 --exclude "*" --recursive --include "*20170213*" &amp; "%USERPROFILE%\Documents\GitHub\mrs-test-scripts\Headless Mode &amp; Sideloading\WalkAndUnGZ.bat" "%USERPROFILE%\AppData\Local\Temp\OnboardLogs"\RTDC4020\2017-02-13 &amp; aws s3 cp s3://rtdc.mdm.uploadarchive.raw/RTDC4020/ "%USERPROFILE%\AppData\Local\Temp\OnboardLogs"\RTDC4020\2017-02-14 --exclude "*" --recursive --include "*20170214*" &amp; "%USERPROFILE%\Documents\GitHub\mrs-test-scripts\Headless Mode &amp; Sideloading\WalkAndUnGZ.bat" "%USERPROFILE%\AppData\Local\Temp\OnboardLogs"\RTDC4020\2017-02-14</v>
      </c>
      <c r="AF95" s="82" t="str">
        <f t="shared" si="37"/>
        <v>"C:\Program Files (x86)\AstroGrep\AstroGrep.exe" /spath="%USERPROFILE%\AppData\Local\Temp\OnboardLogs" /stypes="app*4020*20170213*" /stext=" 21:.+((SYSTEM_STATE.+slice.+state.+changed )|(ment ac)|(multiple cpu faults)|(system.+state.+changed )|(\[timeout)|(PRM\|1\|D)|(kpr)|(kdp)|(\|lc)|(penalty))" /e /r /s</v>
      </c>
      <c r="AG95" s="1" t="str">
        <f t="shared" si="38"/>
        <v>EC</v>
      </c>
      <c r="AH95" s="86" t="str">
        <f t="shared" si="39"/>
        <v>"%USERPROFILE%\Documents\GitHub\eaglep3\Utilities\RefineRTDCRunTimes.py" --tripid 183-13 --locoid 4020 --swversion DE.1.0.8.0 --startMP 204:460 --initTime 2017-02-13T13:53:47 --startdatetime 2017-02-13T14:00:25 --delay 1 --endMP 204:233321 --enddatetime 2017-02-13T14:38:08 --enforcementcount 0 &gt;&gt;C:\Users\stu\Documents\GitHub\eaglep3-reporting\EC\2017-02-13-refined-times.txt</v>
      </c>
      <c r="AI95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{"issue":{"subject":"","project_id":79,"tracker_id":40,"status_id":1,"priority_id":2,"assigned_to_id":23,"start_date":"2017-02-13","description":"","custom_fields":[{"id":1,"name":"Subdivision","value":"EC"},{"id":4,"name":"Milepost","value":"23.3321"},{"id":17,"name":"Train ID","value":"183-13"},{"id":16,"name":"Locomotive ID","value":"4020"},{"id":130,"name":"Impact","value":""},{"id":150,"name":"Time of Event (Mountain Time)","value":"14:38:08"},{"id":151,"name":"Denver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1"/>
        <v>start /low /b %USERPROFILE%\Documents\GitHub\eaglep3\Utilities\DownloadLogsFromS3.py --loco 4020 --day 2017-02-13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"%USERPROFILE%\AppData\Local\Temp\OnboardLogs"\RTDC4020\*4020*20170213* | grep -SE "(Enforcement Action)|(\[TIMEOUT)|(CHR.+\|PRM\|1\|D.+(SWITCH|SIGNAL).+UNKNOWN)" - &gt;&gt; 2017-02-13-UncaughtWiMAX.txt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666</v>
      </c>
      <c r="B96" s="7">
        <v>4019</v>
      </c>
      <c r="C96" s="21" t="s">
        <v>193</v>
      </c>
      <c r="D96" s="21" t="s">
        <v>483</v>
      </c>
      <c r="E96" s="13">
        <v>42779.617766203701</v>
      </c>
      <c r="F96" s="13">
        <v>42779.622546296298</v>
      </c>
      <c r="G96" s="7">
        <v>1</v>
      </c>
      <c r="H96" s="21" t="s">
        <v>184</v>
      </c>
      <c r="I96" s="13">
        <v>42779.649884259263</v>
      </c>
      <c r="J96" s="7">
        <v>0</v>
      </c>
      <c r="K96" s="98" t="str">
        <f t="shared" si="25"/>
        <v>4019/4020</v>
      </c>
      <c r="L96" s="21" t="str">
        <f>VLOOKUP(A96,'Trips&amp;Operators'!$C$1:$G$99999,5,FALSE)</f>
        <v>LEVERE CRAIG</v>
      </c>
      <c r="M96" s="6">
        <f t="shared" si="26"/>
        <v>2.7337962965248153E-2</v>
      </c>
      <c r="N96" s="7">
        <f t="shared" si="42"/>
        <v>39.36666666995734</v>
      </c>
      <c r="O96" s="7"/>
      <c r="P96" s="7"/>
      <c r="Q96" s="22"/>
      <c r="R96" s="22"/>
      <c r="S96" s="31">
        <f t="shared" si="28"/>
        <v>1</v>
      </c>
      <c r="T96" s="46" t="str">
        <f t="shared" si="29"/>
        <v>Southbound</v>
      </c>
      <c r="U96" s="18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7" t="str">
        <f t="shared" si="30"/>
        <v>https://d0f6bd738d7f1b3e5a7ca70fe4ff75f0.us-east-1.aws.found.io/app/kibana#/discover/Steve-Slow-Train-Analysis-(2080s-and-2083s)?_g=(refreshInterval:(display:Off,pause:!f,section:0,value:0),time:(from:'2017-02-13T13:49:35-0700',mode:absolute,to:'2017-02-13T16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6" s="188" t="str">
        <f t="shared" si="31"/>
        <v>N</v>
      </c>
      <c r="X96" s="188">
        <f t="shared" si="24"/>
        <v>1</v>
      </c>
      <c r="Y96" s="62">
        <f t="shared" si="32"/>
        <v>23.300599999999999</v>
      </c>
      <c r="Z96" s="62">
        <f t="shared" si="33"/>
        <v>1.49E-2</v>
      </c>
      <c r="AA96" s="62">
        <f t="shared" si="34"/>
        <v>23.285699999999999</v>
      </c>
      <c r="AB96" s="59" t="e">
        <f>VLOOKUP(A96,Enforcements!$C$7:$K$14,8,0)</f>
        <v>#N/A</v>
      </c>
      <c r="AC96" s="55" t="e">
        <f>VLOOKUP(A96,Enforcements!$C$7:$E$14,3,0)</f>
        <v>#N/A</v>
      </c>
      <c r="AD96" s="56" t="str">
        <f t="shared" si="35"/>
        <v>0184-13</v>
      </c>
      <c r="AE96" s="85" t="str">
        <f t="shared" si="36"/>
        <v>aws s3 cp s3://rtdc.mdm.uploadarchive.raw/RTDC4019/ "%USERPROFILE%\AppData\Local\Temp\OnboardLogs"\RTDC4019\2017-02-13 --exclude "*" --recursive --include "*20170213*" &amp; "%USERPROFILE%\Documents\GitHub\mrs-test-scripts\Headless Mode &amp; Sideloading\WalkAndUnGZ.bat" "%USERPROFILE%\AppData\Local\Temp\OnboardLogs"\RTDC4019\2017-02-13 &amp; 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</v>
      </c>
      <c r="AF96" s="82" t="str">
        <f t="shared" si="37"/>
        <v>"C:\Program Files (x86)\AstroGrep\AstroGrep.exe" /spath="%USERPROFILE%\AppData\Local\Temp\OnboardLogs" /stypes="app*4019*20170213*" /stext=" 22:.+((SYSTEM_STATE.+slice.+state.+changed )|(ment ac)|(multiple cpu faults)|(system.+state.+changed )|(\[timeout)|(PRM\|1\|D)|(kpr)|(kdp)|(\|lc)|(penalty))" /e /r /s</v>
      </c>
      <c r="AG96" s="1" t="str">
        <f t="shared" si="38"/>
        <v>EC</v>
      </c>
      <c r="AH96" s="86" t="str">
        <f t="shared" si="39"/>
        <v>"%USERPROFILE%\Documents\GitHub\eaglep3\Utilities\RefineRTDCRunTimes.py" --tripid 184-13 --locoid 4019 --swversion DE.1.0.8.0 --startMP 204:233006 --initTime 2017-02-13T14:49:35 --startdatetime 2017-02-13T14:56:28 --delay 1 --endMP 204:149 --enddatetime 2017-02-13T15:35:50 --enforcementcount 0 &gt;&gt;C:\Users\stu\Documents\GitHub\eaglep3-reporting\EC\2017-02-13-refined-times.txt</v>
      </c>
      <c r="AI96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{"issue":{"subject":"","project_id":79,"tracker_id":40,"status_id":1,"priority_id":2,"assigned_to_id":23,"start_date":"2017-02-13","description":"","custom_fields":[{"id":1,"name":"Subdivision","value":"EC"},{"id":4,"name":"Milepost","value":"0.0149"},{"id":17,"name":"Train ID","value":"184-13"},{"id":16,"name":"Locomotive ID","value":"4019"},{"id":130,"name":"Impact","value":""},{"id":150,"name":"Time of Event (Mountain Time)","value":"15:35:50"},{"id":151,"name":"Denver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1"/>
        <v>start /low /b %USERPROFILE%\Documents\GitHub\eaglep3\Utilities\DownloadLogsFromS3.py --loco 4019 --day 2017-02-13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"%USERPROFILE%\AppData\Local\Temp\OnboardLogs"\RTDC4019\*4019*20170213* | grep -SE "(Enforcement Action)|(\[TIMEOUT)|(CHR.+\|PRM\|1\|D.+(SWITCH|SIGNAL).+UNKNOWN)" - &gt;&gt; 2017-02-13-UncaughtWiMAX.txt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661</v>
      </c>
      <c r="B97" s="7">
        <v>4011</v>
      </c>
      <c r="C97" s="21" t="s">
        <v>193</v>
      </c>
      <c r="D97" s="21" t="s">
        <v>452</v>
      </c>
      <c r="E97" s="13">
        <v>42779.589594907404</v>
      </c>
      <c r="F97" s="13">
        <v>42779.594155092593</v>
      </c>
      <c r="G97" s="7">
        <v>1</v>
      </c>
      <c r="H97" s="21" t="s">
        <v>800</v>
      </c>
      <c r="I97" s="13">
        <v>42779.619733796295</v>
      </c>
      <c r="J97" s="7">
        <v>0</v>
      </c>
      <c r="K97" s="98" t="str">
        <f t="shared" si="25"/>
        <v>4011/4012</v>
      </c>
      <c r="L97" s="21" t="str">
        <f>VLOOKUP(A97,'Trips&amp;Operators'!$C$1:$G$99999,5,FALSE)</f>
        <v>KILLION DAVID</v>
      </c>
      <c r="M97" s="6">
        <f t="shared" si="26"/>
        <v>2.5578703702194616E-2</v>
      </c>
      <c r="N97" s="7">
        <f t="shared" si="42"/>
        <v>36.833333331160247</v>
      </c>
      <c r="O97" s="7"/>
      <c r="P97" s="7"/>
      <c r="Q97" s="22"/>
      <c r="R97" s="22"/>
      <c r="S97" s="31">
        <f t="shared" si="28"/>
        <v>1</v>
      </c>
      <c r="T97" s="46" t="str">
        <f t="shared" si="29"/>
        <v>NorthBound</v>
      </c>
      <c r="U97" s="18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7" t="str">
        <f t="shared" si="30"/>
        <v>https://d0f6bd738d7f1b3e5a7ca70fe4ff75f0.us-east-1.aws.found.io/app/kibana#/discover/Steve-Slow-Train-Analysis-(2080s-and-2083s)?_g=(refreshInterval:(display:Off,pause:!f,section:0,value:0),time:(from:'2017-02-13T13:09:01-0700',mode:absolute,to:'2017-02-13T15:52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7" s="188" t="str">
        <f t="shared" si="31"/>
        <v>N</v>
      </c>
      <c r="X97" s="188">
        <f t="shared" si="24"/>
        <v>1</v>
      </c>
      <c r="Y97" s="62">
        <f t="shared" si="32"/>
        <v>4.6600000000000003E-2</v>
      </c>
      <c r="Z97" s="62">
        <f t="shared" si="33"/>
        <v>23.331800000000001</v>
      </c>
      <c r="AA97" s="62">
        <f t="shared" si="34"/>
        <v>23.2852</v>
      </c>
      <c r="AB97" s="59" t="e">
        <f>VLOOKUP(A97,Enforcements!$C$7:$K$14,8,0)</f>
        <v>#N/A</v>
      </c>
      <c r="AC97" s="55" t="e">
        <f>VLOOKUP(A97,Enforcements!$C$7:$E$14,3,0)</f>
        <v>#N/A</v>
      </c>
      <c r="AD97" s="56" t="str">
        <f t="shared" si="35"/>
        <v>0185-13</v>
      </c>
      <c r="AE97" s="85" t="str">
        <f t="shared" si="36"/>
        <v>aws s3 cp s3://rtdc.mdm.uploadarchive.raw/RTDC4011/ "%USERPROFILE%\AppData\Local\Temp\OnboardLogs"\RTDC4011\2017-02-13 --exclude "*" --recursive --include "*20170213*" &amp; "%USERPROFILE%\Documents\GitHub\mrs-test-scripts\Headless Mode &amp; Sideloading\WalkAndUnGZ.bat" "%USERPROFILE%\AppData\Local\Temp\OnboardLogs"\RTDC4011\2017-02-13 &amp; aws s3 cp s3://rtdc.mdm.uploadarchive.raw/RTDC4011/ "%USERPROFILE%\AppData\Local\Temp\OnboardLogs"\RTDC4011\2017-02-14 --exclude "*" --recursive --include "*20170214*" &amp; "%USERPROFILE%\Documents\GitHub\mrs-test-scripts\Headless Mode &amp; Sideloading\WalkAndUnGZ.bat" "%USERPROFILE%\AppData\Local\Temp\OnboardLogs"\RTDC4011\2017-02-14</v>
      </c>
      <c r="AF97" s="82" t="str">
        <f t="shared" si="37"/>
        <v>"C:\Program Files (x86)\AstroGrep\AstroGrep.exe" /spath="%USERPROFILE%\AppData\Local\Temp\OnboardLogs" /stypes="app*4011*20170213*" /stext=" 21:.+((SYSTEM_STATE.+slice.+state.+changed )|(ment ac)|(multiple cpu faults)|(system.+state.+changed )|(\[timeout)|(PRM\|1\|D)|(kpr)|(kdp)|(\|lc)|(penalty))" /e /r /s</v>
      </c>
      <c r="AG97" s="1" t="str">
        <f t="shared" si="38"/>
        <v>EC</v>
      </c>
      <c r="AH97" s="86" t="str">
        <f t="shared" si="39"/>
        <v>"%USERPROFILE%\Documents\GitHub\eaglep3\Utilities\RefineRTDCRunTimes.py" --tripid 185-13 --locoid 4011 --swversion DE.1.0.8.0 --startMP 204:466 --initTime 2017-02-13T14:09:01 --startdatetime 2017-02-13T14:15:35 --delay 1 --endMP 204:233318 --enddatetime 2017-02-13T14:52:25 --enforcementcount 0 &gt;&gt;C:\Users\stu\Documents\GitHub\eaglep3-reporting\EC\2017-02-13-refined-times.txt</v>
      </c>
      <c r="AI97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{"issue":{"subject":"","project_id":79,"tracker_id":40,"status_id":1,"priority_id":2,"assigned_to_id":23,"start_date":"2017-02-13","description":"","custom_fields":[{"id":1,"name":"Subdivision","value":"EC"},{"id":4,"name":"Milepost","value":"23.3318"},{"id":17,"name":"Train ID","value":"185-13"},{"id":16,"name":"Locomotive ID","value":"4011"},{"id":130,"name":"Impact","value":""},{"id":150,"name":"Time of Event (Mountain Time)","value":"14:52:25"},{"id":151,"name":"Denver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1"/>
        <v>start /low /b %USERPROFILE%\Documents\GitHub\eaglep3\Utilities\DownloadLogsFromS3.py --loco 4011 --day 2017-02-13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"%USERPROFILE%\AppData\Local\Temp\OnboardLogs"\RTDC4011\*4011*20170213* | grep -SE "(Enforcement Action)|(\[TIMEOUT)|(CHR.+\|PRM\|1\|D.+(SWITCH|SIGNAL).+UNKNOWN)" - &gt;&gt; 2017-02-13-UncaughtWiMAX.txt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543</v>
      </c>
      <c r="B98" s="7">
        <v>4012</v>
      </c>
      <c r="C98" s="21" t="s">
        <v>193</v>
      </c>
      <c r="D98" s="21" t="s">
        <v>349</v>
      </c>
      <c r="E98" s="13">
        <v>42779.62572916667</v>
      </c>
      <c r="F98" s="13">
        <v>42779.632986111108</v>
      </c>
      <c r="G98" s="7">
        <v>1</v>
      </c>
      <c r="H98" s="21" t="s">
        <v>209</v>
      </c>
      <c r="I98" s="13">
        <v>42779.659236111111</v>
      </c>
      <c r="J98" s="7">
        <v>0</v>
      </c>
      <c r="K98" s="98" t="str">
        <f t="shared" si="25"/>
        <v>4011/4012</v>
      </c>
      <c r="L98" s="21" t="str">
        <f>VLOOKUP(A98,'Trips&amp;Operators'!$C$1:$G$99999,5,FALSE)</f>
        <v>KILLION DAVID</v>
      </c>
      <c r="M98" s="6">
        <f t="shared" si="26"/>
        <v>2.6250000002619345E-2</v>
      </c>
      <c r="N98" s="7">
        <f t="shared" si="42"/>
        <v>37.800000003771856</v>
      </c>
      <c r="O98" s="7"/>
      <c r="P98" s="7"/>
      <c r="Q98" s="22"/>
      <c r="R98" s="22"/>
      <c r="S98" s="31">
        <f t="shared" si="28"/>
        <v>1</v>
      </c>
      <c r="T98" s="46" t="str">
        <f t="shared" si="29"/>
        <v>Southbound</v>
      </c>
      <c r="U98" s="18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7" t="str">
        <f t="shared" si="30"/>
        <v>https://d0f6bd738d7f1b3e5a7ca70fe4ff75f0.us-east-1.aws.found.io/app/kibana#/discover/Steve-Slow-Train-Analysis-(2080s-and-2083s)?_g=(refreshInterval:(display:Off,pause:!f,section:0,value:0),time:(from:'2017-02-13T14:01:03-0700',mode:absolute,to:'2017-02-13T16:49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8" s="188" t="str">
        <f t="shared" si="31"/>
        <v>N</v>
      </c>
      <c r="X98" s="188">
        <f t="shared" ref="X98:X129" si="43">VALUE(LEFT(AD98,4))-VALUE(LEFT(AD97,4))</f>
        <v>1</v>
      </c>
      <c r="Y98" s="62">
        <f t="shared" si="32"/>
        <v>23.297999999999998</v>
      </c>
      <c r="Z98" s="62">
        <f t="shared" si="33"/>
        <v>1.52E-2</v>
      </c>
      <c r="AA98" s="62">
        <f t="shared" si="34"/>
        <v>23.282799999999998</v>
      </c>
      <c r="AB98" s="59" t="e">
        <f>VLOOKUP(A98,Enforcements!$C$7:$K$14,8,0)</f>
        <v>#N/A</v>
      </c>
      <c r="AC98" s="55" t="e">
        <f>VLOOKUP(A98,Enforcements!$C$7:$E$14,3,0)</f>
        <v>#N/A</v>
      </c>
      <c r="AD98" s="56" t="str">
        <f t="shared" si="35"/>
        <v>0186-13</v>
      </c>
      <c r="AE98" s="85" t="str">
        <f t="shared" si="36"/>
        <v>aws s3 cp s3://rtdc.mdm.uploadarchive.raw/RTDC4012/ "%USERPROFILE%\AppData\Local\Temp\OnboardLogs"\RTDC4012\2017-02-13 --exclude "*" --recursive --include "*20170213*" &amp; "%USERPROFILE%\Documents\GitHub\mrs-test-scripts\Headless Mode &amp; Sideloading\WalkAndUnGZ.bat" "%USERPROFILE%\AppData\Local\Temp\OnboardLogs"\RTDC4012\2017-02-13 &amp; 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</v>
      </c>
      <c r="AF98" s="82" t="str">
        <f t="shared" si="37"/>
        <v>"C:\Program Files (x86)\AstroGrep\AstroGrep.exe" /spath="%USERPROFILE%\AppData\Local\Temp\OnboardLogs" /stypes="app*4012*20170213*" /stext=" 22:.+((SYSTEM_STATE.+slice.+state.+changed )|(ment ac)|(multiple cpu faults)|(system.+state.+changed )|(\[timeout)|(PRM\|1\|D)|(kpr)|(kdp)|(\|lc)|(penalty))" /e /r /s</v>
      </c>
      <c r="AG98" s="1" t="str">
        <f t="shared" si="38"/>
        <v>EC</v>
      </c>
      <c r="AH98" s="86" t="str">
        <f t="shared" si="39"/>
        <v>"%USERPROFILE%\Documents\GitHub\eaglep3\Utilities\RefineRTDCRunTimes.py" --tripid 186-13 --locoid 4012 --swversion DE.1.0.8.0 --startMP 204:232980 --initTime 2017-02-13T15:01:03 --startdatetime 2017-02-13T15:11:30 --delay 1 --endMP 204:152 --enddatetime 2017-02-13T15:49:18 --enforcementcount 0 &gt;&gt;C:\Users\stu\Documents\GitHub\eaglep3-reporting\EC\2017-02-13-refined-times.txt</v>
      </c>
      <c r="AI98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{"issue":{"subject":"","project_id":79,"tracker_id":40,"status_id":1,"priority_id":2,"assigned_to_id":23,"start_date":"2017-02-13","description":"","custom_fields":[{"id":1,"name":"Subdivision","value":"EC"},{"id":4,"name":"Milepost","value":"0.0152"},{"id":17,"name":"Train ID","value":"186-13"},{"id":16,"name":"Locomotive ID","value":"4012"},{"id":130,"name":"Impact","value":""},{"id":150,"name":"Time of Event (Mountain Time)","value":"15:49:18"},{"id":151,"name":"Denver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1"/>
        <v>start /low /b %USERPROFILE%\Documents\GitHub\eaglep3\Utilities\DownloadLogsFromS3.py --loco 4012 --day 2017-02-13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"%USERPROFILE%\AppData\Local\Temp\OnboardLogs"\RTDC4012\*4012*20170213* | grep -SE "(Enforcement Action)|(\[TIMEOUT)|(CHR.+\|PRM\|1\|D.+(SWITCH|SIGNAL).+UNKNOWN)" - &gt;&gt; 2017-02-13-UncaughtWiMAX.txt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663</v>
      </c>
      <c r="B99" s="7">
        <v>4040</v>
      </c>
      <c r="C99" s="21" t="s">
        <v>193</v>
      </c>
      <c r="D99" s="21" t="s">
        <v>801</v>
      </c>
      <c r="E99" s="13">
        <v>42779.59946759259</v>
      </c>
      <c r="F99" s="13">
        <v>42779.604375000003</v>
      </c>
      <c r="G99" s="7">
        <v>2</v>
      </c>
      <c r="H99" s="21" t="s">
        <v>802</v>
      </c>
      <c r="I99" s="13">
        <v>42779.629537037035</v>
      </c>
      <c r="J99" s="7">
        <v>0</v>
      </c>
      <c r="K99" s="98" t="str">
        <f t="shared" si="25"/>
        <v>4039/4040</v>
      </c>
      <c r="L99" s="21" t="str">
        <f>VLOOKUP(A99,'Trips&amp;Operators'!$C$1:$G$99999,5,FALSE)</f>
        <v>STEWART MICHAEL</v>
      </c>
      <c r="M99" s="6">
        <f t="shared" si="26"/>
        <v>2.5162037032714579E-2</v>
      </c>
      <c r="N99" s="7">
        <f t="shared" si="42"/>
        <v>36.233333327108994</v>
      </c>
      <c r="O99" s="7"/>
      <c r="P99" s="7"/>
      <c r="Q99" s="22"/>
      <c r="R99" s="22"/>
      <c r="S99" s="31">
        <f t="shared" si="28"/>
        <v>1</v>
      </c>
      <c r="T99" s="46" t="str">
        <f t="shared" si="29"/>
        <v>NorthBound</v>
      </c>
      <c r="U99" s="18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7" t="str">
        <f t="shared" si="30"/>
        <v>https://d0f6bd738d7f1b3e5a7ca70fe4ff75f0.us-east-1.aws.found.io/app/kibana#/discover/Steve-Slow-Train-Analysis-(2080s-and-2083s)?_g=(refreshInterval:(display:Off,pause:!f,section:0,value:0),time:(from:'2017-02-13T13:23:14-0700',mode:absolute,to:'2017-02-13T16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9" s="188" t="str">
        <f t="shared" si="31"/>
        <v>N</v>
      </c>
      <c r="X99" s="188">
        <f t="shared" si="43"/>
        <v>1</v>
      </c>
      <c r="Y99" s="62">
        <f t="shared" si="32"/>
        <v>4.8000000000000001E-2</v>
      </c>
      <c r="Z99" s="62">
        <f t="shared" si="33"/>
        <v>23.220500000000001</v>
      </c>
      <c r="AA99" s="62">
        <f t="shared" si="34"/>
        <v>23.172500000000003</v>
      </c>
      <c r="AB99" s="59" t="e">
        <f>VLOOKUP(A99,Enforcements!$C$7:$K$14,8,0)</f>
        <v>#N/A</v>
      </c>
      <c r="AC99" s="55" t="e">
        <f>VLOOKUP(A99,Enforcements!$C$7:$E$14,3,0)</f>
        <v>#N/A</v>
      </c>
      <c r="AD99" s="56" t="str">
        <f t="shared" si="35"/>
        <v>0187-13</v>
      </c>
      <c r="AE99" s="85" t="str">
        <f t="shared" si="36"/>
        <v>aws s3 cp s3://rtdc.mdm.uploadarchive.raw/RTDC4040/ "%USERPROFILE%\AppData\Local\Temp\OnboardLogs"\RTDC4040\2017-02-13 --exclude "*" --recursive --include "*20170213*" &amp; "%USERPROFILE%\Documents\GitHub\mrs-test-scripts\Headless Mode &amp; Sideloading\WalkAndUnGZ.bat" "%USERPROFILE%\AppData\Local\Temp\OnboardLogs"\RTDC4040\2017-02-13 &amp; aws s3 cp s3://rtdc.mdm.uploadarchive.raw/RTDC4040/ "%USERPROFILE%\AppData\Local\Temp\OnboardLogs"\RTDC4040\2017-02-14 --exclude "*" --recursive --include "*20170214*" &amp; "%USERPROFILE%\Documents\GitHub\mrs-test-scripts\Headless Mode &amp; Sideloading\WalkAndUnGZ.bat" "%USERPROFILE%\AppData\Local\Temp\OnboardLogs"\RTDC4040\2017-02-14</v>
      </c>
      <c r="AF99" s="82" t="str">
        <f t="shared" si="37"/>
        <v>"C:\Program Files (x86)\AstroGrep\AstroGrep.exe" /spath="%USERPROFILE%\AppData\Local\Temp\OnboardLogs" /stypes="app*4040*20170213*" /stext=" 22:.+((SYSTEM_STATE.+slice.+state.+changed )|(ment ac)|(multiple cpu faults)|(system.+state.+changed )|(\[timeout)|(PRM\|1\|D)|(kpr)|(kdp)|(\|lc)|(penalty))" /e /r /s</v>
      </c>
      <c r="AG99" s="1" t="str">
        <f t="shared" si="38"/>
        <v>EC</v>
      </c>
      <c r="AH99" s="86" t="str">
        <f t="shared" si="39"/>
        <v>"%USERPROFILE%\Documents\GitHub\eaglep3\Utilities\RefineRTDCRunTimes.py" --tripid 187-13 --locoid 4040 --swversion DE.1.0.8.0 --startMP 204:480 --initTime 2017-02-13T14:23:14 --startdatetime 2017-02-13T14:30:18 --delay 2 --endMP 204:232205 --enddatetime 2017-02-13T15:06:32 --enforcementcount 0 &gt;&gt;C:\Users\stu\Documents\GitHub\eaglep3-reporting\EC\2017-02-13-refined-times.txt</v>
      </c>
      <c r="AI99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{"issue":{"subject":"","project_id":79,"tracker_id":40,"status_id":1,"priority_id":2,"assigned_to_id":23,"start_date":"2017-02-13","description":"","custom_fields":[{"id":1,"name":"Subdivision","value":"EC"},{"id":4,"name":"Milepost","value":"23.2205"},{"id":17,"name":"Train ID","value":"187-13"},{"id":16,"name":"Locomotive ID","value":"4040"},{"id":130,"name":"Impact","value":""},{"id":150,"name":"Time of Event (Mountain Time)","value":"15:06:32"},{"id":151,"name":"Denver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1"/>
        <v>start /low /b %USERPROFILE%\Documents\GitHub\eaglep3\Utilities\DownloadLogsFromS3.py --loco 4040 --day 2017-02-13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"%USERPROFILE%\AppData\Local\Temp\OnboardLogs"\RTDC4040\*4040*20170213* | grep -SE "(Enforcement Action)|(\[TIMEOUT)|(CHR.+\|PRM\|1\|D.+(SWITCH|SIGNAL).+UNKNOWN)" - &gt;&gt; 2017-02-13-UncaughtWiMAX.txt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670</v>
      </c>
      <c r="B100" s="7">
        <v>4039</v>
      </c>
      <c r="C100" s="21" t="s">
        <v>193</v>
      </c>
      <c r="D100" s="21" t="s">
        <v>296</v>
      </c>
      <c r="E100" s="13">
        <v>42779.639641203707</v>
      </c>
      <c r="F100" s="13">
        <v>42779.643321759257</v>
      </c>
      <c r="G100" s="7">
        <v>1</v>
      </c>
      <c r="H100" s="21" t="s">
        <v>205</v>
      </c>
      <c r="I100" s="13">
        <v>42779.670138888891</v>
      </c>
      <c r="J100" s="7">
        <v>0</v>
      </c>
      <c r="K100" s="98" t="str">
        <f t="shared" si="25"/>
        <v>4039/4040</v>
      </c>
      <c r="L100" s="21" t="str">
        <f>VLOOKUP(A100,'Trips&amp;Operators'!$C$1:$G$99999,5,FALSE)</f>
        <v>STEWART MICHAEL</v>
      </c>
      <c r="M100" s="6">
        <f t="shared" si="26"/>
        <v>2.6817129633855075E-2</v>
      </c>
      <c r="N100" s="7">
        <f t="shared" si="42"/>
        <v>38.616666672751307</v>
      </c>
      <c r="O100" s="7"/>
      <c r="P100" s="7"/>
      <c r="Q100" s="22"/>
      <c r="R100" s="22"/>
      <c r="S100" s="31">
        <f t="shared" si="28"/>
        <v>1</v>
      </c>
      <c r="T100" s="46" t="str">
        <f t="shared" si="29"/>
        <v>Southbound</v>
      </c>
      <c r="U100" s="18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7" t="str">
        <f t="shared" si="30"/>
        <v>https://d0f6bd738d7f1b3e5a7ca70fe4ff75f0.us-east-1.aws.found.io/app/kibana#/discover/Steve-Slow-Train-Analysis-(2080s-and-2083s)?_g=(refreshInterval:(display:Off,pause:!f,section:0,value:0),time:(from:'2017-02-13T14:21:05-0700',mode:absolute,to:'2017-02-13T17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0" s="188" t="str">
        <f t="shared" si="31"/>
        <v>N</v>
      </c>
      <c r="X100" s="188">
        <f t="shared" si="43"/>
        <v>1</v>
      </c>
      <c r="Y100" s="62">
        <f t="shared" si="32"/>
        <v>23.297599999999999</v>
      </c>
      <c r="Z100" s="62">
        <f t="shared" si="33"/>
        <v>1.6E-2</v>
      </c>
      <c r="AA100" s="62">
        <f t="shared" si="34"/>
        <v>23.281600000000001</v>
      </c>
      <c r="AB100" s="59" t="e">
        <f>VLOOKUP(A100,Enforcements!$C$7:$K$14,8,0)</f>
        <v>#N/A</v>
      </c>
      <c r="AC100" s="55" t="e">
        <f>VLOOKUP(A100,Enforcements!$C$7:$E$14,3,0)</f>
        <v>#N/A</v>
      </c>
      <c r="AD100" s="56" t="str">
        <f t="shared" si="35"/>
        <v>0188-13</v>
      </c>
      <c r="AE100" s="85" t="str">
        <f t="shared" si="36"/>
        <v>aws s3 cp s3://rtdc.mdm.uploadarchive.raw/RTDC4039/ "%USERPROFILE%\AppData\Local\Temp\OnboardLogs"\RTDC4039\2017-02-13 --exclude "*" --recursive --include "*20170213*" &amp; "%USERPROFILE%\Documents\GitHub\mrs-test-scripts\Headless Mode &amp; Sideloading\WalkAndUnGZ.bat" "%USERPROFILE%\AppData\Local\Temp\OnboardLogs"\RTDC4039\2017-02-13 &amp; aws s3 cp s3://rtdc.mdm.uploadarchive.raw/RTDC4039/ "%USERPROFILE%\AppData\Local\Temp\OnboardLogs"\RTDC4039\2017-02-14 --exclude "*" --recursive --include "*20170214*" &amp; "%USERPROFILE%\Documents\GitHub\mrs-test-scripts\Headless Mode &amp; Sideloading\WalkAndUnGZ.bat" "%USERPROFILE%\AppData\Local\Temp\OnboardLogs"\RTDC4039\2017-02-14</v>
      </c>
      <c r="AF100" s="82" t="str">
        <f t="shared" si="37"/>
        <v>"C:\Program Files (x86)\AstroGrep\AstroGrep.exe" /spath="%USERPROFILE%\AppData\Local\Temp\OnboardLogs" /stypes="app*4039*20170213*" /stext=" 23:.+((SYSTEM_STATE.+slice.+state.+changed )|(ment ac)|(multiple cpu faults)|(system.+state.+changed )|(\[timeout)|(PRM\|1\|D)|(kpr)|(kdp)|(\|lc)|(penalty))" /e /r /s</v>
      </c>
      <c r="AG100" s="1" t="str">
        <f t="shared" si="38"/>
        <v>EC</v>
      </c>
      <c r="AH100" s="86" t="str">
        <f t="shared" si="39"/>
        <v>"%USERPROFILE%\Documents\GitHub\eaglep3\Utilities\RefineRTDCRunTimes.py" --tripid 188-13 --locoid 4039 --swversion DE.1.0.8.0 --startMP 204:232976 --initTime 2017-02-13T15:21:05 --startdatetime 2017-02-13T15:26:23 --delay 1 --endMP 204:160 --enddatetime 2017-02-13T16:05:00 --enforcementcount 0 &gt;&gt;C:\Users\stu\Documents\GitHub\eaglep3-reporting\EC\2017-02-13-refined-times.txt</v>
      </c>
      <c r="AI100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{"issue":{"subject":"","project_id":79,"tracker_id":40,"status_id":1,"priority_id":2,"assigned_to_id":23,"start_date":"2017-02-13","description":"","custom_fields":[{"id":1,"name":"Subdivision","value":"EC"},{"id":4,"name":"Milepost","value":"0.016"},{"id":17,"name":"Train ID","value":"188-13"},{"id":16,"name":"Locomotive ID","value":"4039"},{"id":130,"name":"Impact","value":""},{"id":150,"name":"Time of Event (Mountain Time)","value":"16:05:00"},{"id":151,"name":"Denver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1"/>
        <v>start /low /b %USERPROFILE%\Documents\GitHub\eaglep3\Utilities\DownloadLogsFromS3.py --loco 4039 --day 2017-02-13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"%USERPROFILE%\AppData\Local\Temp\OnboardLogs"\RTDC4039\*4039*20170213* | grep -SE "(Enforcement Action)|(\[TIMEOUT)|(CHR.+\|PRM\|1\|D.+(SWITCH|SIGNAL).+UNKNOWN)" - &gt;&gt; 2017-02-13-UncaughtWiMAX.txt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665</v>
      </c>
      <c r="B101" s="7">
        <v>4025</v>
      </c>
      <c r="C101" s="21" t="s">
        <v>193</v>
      </c>
      <c r="D101" s="21" t="s">
        <v>477</v>
      </c>
      <c r="E101" s="13">
        <v>42779.610243055555</v>
      </c>
      <c r="F101" s="13">
        <v>42779.614872685182</v>
      </c>
      <c r="G101" s="7">
        <v>2</v>
      </c>
      <c r="H101" s="21" t="s">
        <v>329</v>
      </c>
      <c r="I101" s="13">
        <v>42779.639826388891</v>
      </c>
      <c r="J101" s="7">
        <v>0</v>
      </c>
      <c r="K101" s="98" t="str">
        <f t="shared" si="25"/>
        <v>4025/4026</v>
      </c>
      <c r="L101" s="21" t="str">
        <f>VLOOKUP(A101,'Trips&amp;Operators'!$C$1:$G$99999,5,FALSE)</f>
        <v>HOLCOMB KAMDEN</v>
      </c>
      <c r="M101" s="6">
        <f t="shared" si="26"/>
        <v>2.4953703708888497E-2</v>
      </c>
      <c r="N101" s="7">
        <f t="shared" si="42"/>
        <v>35.933333340799436</v>
      </c>
      <c r="O101" s="7"/>
      <c r="P101" s="7"/>
      <c r="Q101" s="22"/>
      <c r="R101" s="22"/>
      <c r="S101" s="31">
        <f t="shared" si="28"/>
        <v>1</v>
      </c>
      <c r="T101" s="46" t="str">
        <f t="shared" si="29"/>
        <v>NorthBound</v>
      </c>
      <c r="U101" s="18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7" t="str">
        <f t="shared" si="30"/>
        <v>https://d0f6bd738d7f1b3e5a7ca70fe4ff75f0.us-east-1.aws.found.io/app/kibana#/discover/Steve-Slow-Train-Analysis-(2080s-and-2083s)?_g=(refreshInterval:(display:Off,pause:!f,section:0,value:0),time:(from:'2017-02-13T13:38:45-0700',mode:absolute,to:'2017-02-13T16:21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1" s="188" t="str">
        <f t="shared" si="31"/>
        <v>N</v>
      </c>
      <c r="X101" s="188">
        <f t="shared" si="43"/>
        <v>1</v>
      </c>
      <c r="Y101" s="62">
        <f t="shared" si="32"/>
        <v>4.7699999999999999E-2</v>
      </c>
      <c r="Z101" s="62">
        <f t="shared" si="33"/>
        <v>23.329699999999999</v>
      </c>
      <c r="AA101" s="62">
        <f t="shared" si="34"/>
        <v>23.282</v>
      </c>
      <c r="AB101" s="59" t="e">
        <f>VLOOKUP(A101,Enforcements!$C$7:$K$14,8,0)</f>
        <v>#N/A</v>
      </c>
      <c r="AC101" s="55" t="e">
        <f>VLOOKUP(A101,Enforcements!$C$7:$E$14,3,0)</f>
        <v>#N/A</v>
      </c>
      <c r="AD101" s="56" t="str">
        <f t="shared" si="35"/>
        <v>0189-13</v>
      </c>
      <c r="AE101" s="85" t="str">
        <f t="shared" si="36"/>
        <v>aws s3 cp s3://rtdc.mdm.uploadarchive.raw/RTDC4025/ "%USERPROFILE%\AppData\Local\Temp\OnboardLogs"\RTDC4025\2017-02-13 --exclude "*" --recursive --include "*20170213*" &amp; "%USERPROFILE%\Documents\GitHub\mrs-test-scripts\Headless Mode &amp; Sideloading\WalkAndUnGZ.bat" "%USERPROFILE%\AppData\Local\Temp\OnboardLogs"\RTDC4025\2017-02-13 &amp; aws s3 cp s3://rtdc.mdm.uploadarchive.raw/RTDC4025/ "%USERPROFILE%\AppData\Local\Temp\OnboardLogs"\RTDC4025\2017-02-14 --exclude "*" --recursive --include "*20170214*" &amp; "%USERPROFILE%\Documents\GitHub\mrs-test-scripts\Headless Mode &amp; Sideloading\WalkAndUnGZ.bat" "%USERPROFILE%\AppData\Local\Temp\OnboardLogs"\RTDC4025\2017-02-14</v>
      </c>
      <c r="AF101" s="82" t="str">
        <f t="shared" si="37"/>
        <v>"C:\Program Files (x86)\AstroGrep\AstroGrep.exe" /spath="%USERPROFILE%\AppData\Local\Temp\OnboardLogs" /stypes="app*4025*20170213*" /stext=" 22:.+((SYSTEM_STATE.+slice.+state.+changed )|(ment ac)|(multiple cpu faults)|(system.+state.+changed )|(\[timeout)|(PRM\|1\|D)|(kpr)|(kdp)|(\|lc)|(penalty))" /e /r /s</v>
      </c>
      <c r="AG101" s="1" t="str">
        <f t="shared" si="38"/>
        <v>EC</v>
      </c>
      <c r="AH101" s="86" t="str">
        <f t="shared" si="39"/>
        <v>"%USERPROFILE%\Documents\GitHub\eaglep3\Utilities\RefineRTDCRunTimes.py" --tripid 189-13 --locoid 4025 --swversion DE.1.0.8.0 --startMP 204:477 --initTime 2017-02-13T14:38:45 --startdatetime 2017-02-13T14:45:25 --delay 2 --endMP 204:233297 --enddatetime 2017-02-13T15:21:21 --enforcementcount 0 &gt;&gt;C:\Users\stu\Documents\GitHub\eaglep3-reporting\EC\2017-02-13-refined-times.txt</v>
      </c>
      <c r="AI101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{"issue":{"subject":"","project_id":79,"tracker_id":40,"status_id":1,"priority_id":2,"assigned_to_id":23,"start_date":"2017-02-13","description":"","custom_fields":[{"id":1,"name":"Subdivision","value":"EC"},{"id":4,"name":"Milepost","value":"23.3297"},{"id":17,"name":"Train ID","value":"189-13"},{"id":16,"name":"Locomotive ID","value":"4025"},{"id":130,"name":"Impact","value":""},{"id":150,"name":"Time of Event (Mountain Time)","value":"15:21:21"},{"id":151,"name":"Denver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1"/>
        <v>start /low /b %USERPROFILE%\Documents\GitHub\eaglep3\Utilities\DownloadLogsFromS3.py --loco 4025 --day 2017-02-13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"%USERPROFILE%\AppData\Local\Temp\OnboardLogs"\RTDC4025\*4025*20170213* | grep -SE "(Enforcement Action)|(\[TIMEOUT)|(CHR.+\|PRM\|1\|D.+(SWITCH|SIGNAL).+UNKNOWN)" - &gt;&gt; 2017-02-13-UncaughtWiMAX.txt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544</v>
      </c>
      <c r="B102" s="7">
        <v>4026</v>
      </c>
      <c r="C102" s="21" t="s">
        <v>193</v>
      </c>
      <c r="D102" s="21" t="s">
        <v>302</v>
      </c>
      <c r="E102" s="13">
        <v>42779.651678240742</v>
      </c>
      <c r="F102" s="13">
        <v>42779.653946759259</v>
      </c>
      <c r="G102" s="7">
        <v>1</v>
      </c>
      <c r="H102" s="21" t="s">
        <v>521</v>
      </c>
      <c r="I102" s="13">
        <v>42779.680798611109</v>
      </c>
      <c r="J102" s="7">
        <v>0</v>
      </c>
      <c r="K102" s="98" t="str">
        <f t="shared" si="25"/>
        <v>4025/4026</v>
      </c>
      <c r="L102" s="21" t="str">
        <f>VLOOKUP(A102,'Trips&amp;Operators'!$C$1:$G$99999,5,FALSE)</f>
        <v>HOLCOMB KAMDEN</v>
      </c>
      <c r="M102" s="6">
        <f t="shared" si="26"/>
        <v>2.6851851849642117E-2</v>
      </c>
      <c r="N102" s="7">
        <f t="shared" si="42"/>
        <v>38.666666663484648</v>
      </c>
      <c r="O102" s="7"/>
      <c r="P102" s="7"/>
      <c r="Q102" s="22"/>
      <c r="R102" s="22"/>
      <c r="S102" s="31">
        <f t="shared" si="28"/>
        <v>1</v>
      </c>
      <c r="T102" s="46" t="str">
        <f t="shared" si="29"/>
        <v>Southbound</v>
      </c>
      <c r="U102" s="18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7" t="str">
        <f t="shared" si="30"/>
        <v>https://d0f6bd738d7f1b3e5a7ca70fe4ff75f0.us-east-1.aws.found.io/app/kibana#/discover/Steve-Slow-Train-Analysis-(2080s-and-2083s)?_g=(refreshInterval:(display:Off,pause:!f,section:0,value:0),time:(from:'2017-02-13T14:38:25-0700',mode:absolute,to:'2017-02-13T17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2" s="188" t="str">
        <f t="shared" si="31"/>
        <v>N</v>
      </c>
      <c r="X102" s="188">
        <f t="shared" si="43"/>
        <v>1</v>
      </c>
      <c r="Y102" s="62">
        <f t="shared" si="32"/>
        <v>23.297699999999999</v>
      </c>
      <c r="Z102" s="62">
        <f t="shared" si="33"/>
        <v>1.34E-2</v>
      </c>
      <c r="AA102" s="62">
        <f t="shared" si="34"/>
        <v>23.284299999999998</v>
      </c>
      <c r="AB102" s="59" t="e">
        <f>VLOOKUP(A102,Enforcements!$C$7:$K$14,8,0)</f>
        <v>#N/A</v>
      </c>
      <c r="AC102" s="55" t="e">
        <f>VLOOKUP(A102,Enforcements!$C$7:$E$14,3,0)</f>
        <v>#N/A</v>
      </c>
      <c r="AD102" s="56" t="str">
        <f t="shared" si="35"/>
        <v>0190-13</v>
      </c>
      <c r="AE102" s="85" t="str">
        <f t="shared" si="36"/>
        <v>aws s3 cp s3://rtdc.mdm.uploadarchive.raw/RTDC4026/ "%USERPROFILE%\AppData\Local\Temp\OnboardLogs"\RTDC4026\2017-02-13 --exclude "*" --recursive --include "*20170213*" &amp; "%USERPROFILE%\Documents\GitHub\mrs-test-scripts\Headless Mode &amp; Sideloading\WalkAndUnGZ.bat" "%USERPROFILE%\AppData\Local\Temp\OnboardLogs"\RTDC4026\2017-02-13 &amp; aws s3 cp s3://rtdc.mdm.uploadarchive.raw/RTDC4026/ "%USERPROFILE%\AppData\Local\Temp\OnboardLogs"\RTDC4026\2017-02-14 --exclude "*" --recursive --include "*20170214*" &amp; "%USERPROFILE%\Documents\GitHub\mrs-test-scripts\Headless Mode &amp; Sideloading\WalkAndUnGZ.bat" "%USERPROFILE%\AppData\Local\Temp\OnboardLogs"\RTDC4026\2017-02-14</v>
      </c>
      <c r="AF102" s="82" t="str">
        <f t="shared" si="37"/>
        <v>"C:\Program Files (x86)\AstroGrep\AstroGrep.exe" /spath="%USERPROFILE%\AppData\Local\Temp\OnboardLogs" /stypes="app*4026*20170213*" /stext=" 23:.+((SYSTEM_STATE.+slice.+state.+changed )|(ment ac)|(multiple cpu faults)|(system.+state.+changed )|(\[timeout)|(PRM\|1\|D)|(kpr)|(kdp)|(\|lc)|(penalty))" /e /r /s</v>
      </c>
      <c r="AG102" s="1" t="str">
        <f t="shared" si="38"/>
        <v>EC</v>
      </c>
      <c r="AH102" s="86" t="str">
        <f t="shared" si="39"/>
        <v>"%USERPROFILE%\Documents\GitHub\eaglep3\Utilities\RefineRTDCRunTimes.py" --tripid 190-13 --locoid 4026 --swversion DE.1.0.8.0 --startMP 204:232977 --initTime 2017-02-13T15:38:25 --startdatetime 2017-02-13T15:41:41 --delay 1 --endMP 204:134 --enddatetime 2017-02-13T16:20:21 --enforcementcount 0 &gt;&gt;C:\Users\stu\Documents\GitHub\eaglep3-reporting\EC\2017-02-13-refined-times.txt</v>
      </c>
      <c r="AI102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{"issue":{"subject":"","project_id":79,"tracker_id":40,"status_id":1,"priority_id":2,"assigned_to_id":23,"start_date":"2017-02-13","description":"","custom_fields":[{"id":1,"name":"Subdivision","value":"EC"},{"id":4,"name":"Milepost","value":"0.0134"},{"id":17,"name":"Train ID","value":"190-13"},{"id":16,"name":"Locomotive ID","value":"4026"},{"id":130,"name":"Impact","value":""},{"id":150,"name":"Time of Event (Mountain Time)","value":"16:20:21"},{"id":151,"name":"Denver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1"/>
        <v>start /low /b %USERPROFILE%\Documents\GitHub\eaglep3\Utilities\DownloadLogsFromS3.py --loco 4026 --day 2017-02-13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"%USERPROFILE%\AppData\Local\Temp\OnboardLogs"\RTDC4026\*4026*20170213* | grep -SE "(Enforcement Action)|(\[TIMEOUT)|(CHR.+\|PRM\|1\|D.+(SWITCH|SIGNAL).+UNKNOWN)" - &gt;&gt; 2017-02-13-UncaughtWiMAX.txt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667</v>
      </c>
      <c r="B103" s="7">
        <v>4027</v>
      </c>
      <c r="C103" s="21" t="s">
        <v>193</v>
      </c>
      <c r="D103" s="21" t="s">
        <v>803</v>
      </c>
      <c r="E103" s="13">
        <v>42779.621168981481</v>
      </c>
      <c r="F103" s="13">
        <v>42779.625173611108</v>
      </c>
      <c r="G103" s="7">
        <v>1</v>
      </c>
      <c r="H103" s="21" t="s">
        <v>338</v>
      </c>
      <c r="I103" s="13">
        <v>42779.651516203703</v>
      </c>
      <c r="J103" s="7">
        <v>0</v>
      </c>
      <c r="K103" s="98" t="str">
        <f t="shared" si="25"/>
        <v>4027/4028</v>
      </c>
      <c r="L103" s="21" t="str">
        <f>VLOOKUP(A103,'Trips&amp;Operators'!$C$1:$G$99999,5,FALSE)</f>
        <v>CLARK KATHLEEN</v>
      </c>
      <c r="M103" s="6">
        <f t="shared" si="26"/>
        <v>2.6342592595028691E-2</v>
      </c>
      <c r="N103" s="7">
        <f t="shared" si="42"/>
        <v>37.933333336841315</v>
      </c>
      <c r="O103" s="7"/>
      <c r="P103" s="7"/>
      <c r="Q103" s="22"/>
      <c r="R103" s="22"/>
      <c r="S103" s="31">
        <f t="shared" si="28"/>
        <v>1</v>
      </c>
      <c r="T103" s="46" t="str">
        <f t="shared" si="29"/>
        <v>NorthBound</v>
      </c>
      <c r="U103" s="18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7" t="str">
        <f t="shared" si="30"/>
        <v>https://d0f6bd738d7f1b3e5a7ca70fe4ff75f0.us-east-1.aws.found.io/app/kibana#/discover/Steve-Slow-Train-Analysis-(2080s-and-2083s)?_g=(refreshInterval:(display:Off,pause:!f,section:0,value:0),time:(from:'2017-02-13T13:54:29-0700',mode:absolute,to:'2017-02-13T16:38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3" s="188" t="str">
        <f t="shared" si="31"/>
        <v>N</v>
      </c>
      <c r="X103" s="188">
        <f t="shared" si="43"/>
        <v>1</v>
      </c>
      <c r="Y103" s="62">
        <f t="shared" si="32"/>
        <v>4.82E-2</v>
      </c>
      <c r="Z103" s="62">
        <f t="shared" si="33"/>
        <v>23.328700000000001</v>
      </c>
      <c r="AA103" s="62">
        <f t="shared" si="34"/>
        <v>23.2805</v>
      </c>
      <c r="AB103" s="59" t="e">
        <f>VLOOKUP(A103,Enforcements!$C$7:$K$14,8,0)</f>
        <v>#N/A</v>
      </c>
      <c r="AC103" s="55" t="e">
        <f>VLOOKUP(A103,Enforcements!$C$7:$E$14,3,0)</f>
        <v>#N/A</v>
      </c>
      <c r="AD103" s="56" t="str">
        <f t="shared" si="35"/>
        <v>0191-13</v>
      </c>
      <c r="AE103" s="85" t="str">
        <f t="shared" si="36"/>
        <v>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 &amp; 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</v>
      </c>
      <c r="AF103" s="82" t="str">
        <f t="shared" si="37"/>
        <v>"C:\Program Files (x86)\AstroGrep\AstroGrep.exe" /spath="%USERPROFILE%\AppData\Local\Temp\OnboardLogs" /stypes="app*4027*20170213*" /stext=" 22:.+((SYSTEM_STATE.+slice.+state.+changed )|(ment ac)|(multiple cpu faults)|(system.+state.+changed )|(\[timeout)|(PRM\|1\|D)|(kpr)|(kdp)|(\|lc)|(penalty))" /e /r /s</v>
      </c>
      <c r="AG103" s="1" t="str">
        <f t="shared" si="38"/>
        <v>EC</v>
      </c>
      <c r="AH103" s="86" t="str">
        <f t="shared" si="39"/>
        <v>"%USERPROFILE%\Documents\GitHub\eaglep3\Utilities\RefineRTDCRunTimes.py" --tripid 191-13 --locoid 4027 --swversion DE.1.0.8.0 --startMP 204:482 --initTime 2017-02-13T14:54:29 --startdatetime 2017-02-13T15:00:15 --delay 1 --endMP 204:233287 --enddatetime 2017-02-13T15:38:11 --enforcementcount 0 &gt;&gt;C:\Users\stu\Documents\GitHub\eaglep3-reporting\EC\2017-02-13-refined-times.txt</v>
      </c>
      <c r="AI103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{"issue":{"subject":"","project_id":79,"tracker_id":40,"status_id":1,"priority_id":2,"assigned_to_id":23,"start_date":"2017-02-13","description":"","custom_fields":[{"id":1,"name":"Subdivision","value":"EC"},{"id":4,"name":"Milepost","value":"23.3287"},{"id":17,"name":"Train ID","value":"191-13"},{"id":16,"name":"Locomotive ID","value":"4027"},{"id":130,"name":"Impact","value":""},{"id":150,"name":"Time of Event (Mountain Time)","value":"15:38:11"},{"id":151,"name":"Denver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1"/>
        <v>start /low /b %USERPROFILE%\Documents\GitHub\eaglep3\Utilities\DownloadLogsFromS3.py --loco 4027 --day 2017-02-13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"%USERPROFILE%\AppData\Local\Temp\OnboardLogs"\RTDC4027\*4027*20170213* | grep -SE "(Enforcement Action)|(\[TIMEOUT)|(CHR.+\|PRM\|1\|D.+(SWITCH|SIGNAL).+UNKNOWN)" - &gt;&gt; 2017-02-13-UncaughtWiMAX.txt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678</v>
      </c>
      <c r="B104" s="7">
        <v>4028</v>
      </c>
      <c r="C104" s="21" t="s">
        <v>193</v>
      </c>
      <c r="D104" s="21" t="s">
        <v>804</v>
      </c>
      <c r="E104" s="13">
        <v>42779.660856481481</v>
      </c>
      <c r="F104" s="13">
        <v>42779.664074074077</v>
      </c>
      <c r="G104" s="7">
        <v>0</v>
      </c>
      <c r="H104" s="21" t="s">
        <v>805</v>
      </c>
      <c r="I104" s="13">
        <v>42779.691516203704</v>
      </c>
      <c r="J104" s="7">
        <v>0</v>
      </c>
      <c r="K104" s="98" t="str">
        <f t="shared" si="25"/>
        <v>4027/4028</v>
      </c>
      <c r="L104" s="21" t="str">
        <f>VLOOKUP(A104,'Trips&amp;Operators'!$C$1:$G$99999,5,FALSE)</f>
        <v>CLARK KATHLEEN</v>
      </c>
      <c r="M104" s="6">
        <f t="shared" si="26"/>
        <v>2.7442129627161194E-2</v>
      </c>
      <c r="N104" s="7">
        <f t="shared" si="42"/>
        <v>39.516666663112119</v>
      </c>
      <c r="O104" s="7"/>
      <c r="P104" s="7"/>
      <c r="Q104" s="22"/>
      <c r="R104" s="22"/>
      <c r="S104" s="31">
        <f t="shared" si="28"/>
        <v>1</v>
      </c>
      <c r="T104" s="46" t="str">
        <f t="shared" si="29"/>
        <v>Southbound</v>
      </c>
      <c r="U104" s="18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7" t="str">
        <f t="shared" si="30"/>
        <v>https://d0f6bd738d7f1b3e5a7ca70fe4ff75f0.us-east-1.aws.found.io/app/kibana#/discover/Steve-Slow-Train-Analysis-(2080s-and-2083s)?_g=(refreshInterval:(display:Off,pause:!f,section:0,value:0),time:(from:'2017-02-13T14:51:38-0700',mode:absolute,to:'2017-02-13T17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4" s="188" t="str">
        <f t="shared" si="31"/>
        <v>N</v>
      </c>
      <c r="X104" s="188">
        <f t="shared" si="43"/>
        <v>1</v>
      </c>
      <c r="Y104" s="62">
        <f t="shared" si="32"/>
        <v>23.296800000000001</v>
      </c>
      <c r="Z104" s="62">
        <f t="shared" si="33"/>
        <v>1.78E-2</v>
      </c>
      <c r="AA104" s="62">
        <f t="shared" si="34"/>
        <v>23.279</v>
      </c>
      <c r="AB104" s="59" t="e">
        <f>VLOOKUP(A104,Enforcements!$C$7:$K$14,8,0)</f>
        <v>#N/A</v>
      </c>
      <c r="AC104" s="55" t="e">
        <f>VLOOKUP(A104,Enforcements!$C$7:$E$14,3,0)</f>
        <v>#N/A</v>
      </c>
      <c r="AD104" s="56" t="str">
        <f t="shared" si="35"/>
        <v>0192-13</v>
      </c>
      <c r="AE104" s="85" t="str">
        <f t="shared" si="36"/>
        <v>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 &amp; aws s3 cp s3://rtdc.mdm.uploadarchive.raw/RTDC4028/ "%USERPROFILE%\AppData\Local\Temp\OnboardLogs"\RTDC4028\2017-02-14 --exclude "*" --recursive --include "*20170214*" &amp; "%USERPROFILE%\Documents\GitHub\mrs-test-scripts\Headless Mode &amp; Sideloading\WalkAndUnGZ.bat" "%USERPROFILE%\AppData\Local\Temp\OnboardLogs"\RTDC4028\2017-02-14</v>
      </c>
      <c r="AF104" s="82" t="str">
        <f t="shared" si="37"/>
        <v>"C:\Program Files (x86)\AstroGrep\AstroGrep.exe" /spath="%USERPROFILE%\AppData\Local\Temp\OnboardLogs" /stypes="app*4028*20170213*" /stext=" 23:.+((SYSTEM_STATE.+slice.+state.+changed )|(ment ac)|(multiple cpu faults)|(system.+state.+changed )|(\[timeout)|(PRM\|1\|D)|(kpr)|(kdp)|(\|lc)|(penalty))" /e /r /s</v>
      </c>
      <c r="AG104" s="1" t="str">
        <f t="shared" si="38"/>
        <v>EC</v>
      </c>
      <c r="AH104" s="86" t="str">
        <f t="shared" si="39"/>
        <v>"%USERPROFILE%\Documents\GitHub\eaglep3\Utilities\RefineRTDCRunTimes.py" --tripid 192-13 --locoid 4028 --swversion DE.1.0.8.0 --startMP 204:232968 --initTime 2017-02-13T15:51:38 --startdatetime 2017-02-13T15:56:16 --delay 0 --endMP 204:178 --enddatetime 2017-02-13T16:35:47 --enforcementcount 0 &gt;&gt;C:\Users\stu\Documents\GitHub\eaglep3-reporting\EC\2017-02-13-refined-times.txt</v>
      </c>
      <c r="AI104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{"issue":{"subject":"","project_id":79,"tracker_id":40,"status_id":1,"priority_id":2,"assigned_to_id":23,"start_date":"2017-02-13","description":"","custom_fields":[{"id":1,"name":"Subdivision","value":"EC"},{"id":4,"name":"Milepost","value":"0.0178"},{"id":17,"name":"Train ID","value":"192-13"},{"id":16,"name":"Locomotive ID","value":"4028"},{"id":130,"name":"Impact","value":""},{"id":150,"name":"Time of Event (Mountain Time)","value":"16:35:47"},{"id":151,"name":"Denver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1"/>
        <v>start /low /b %USERPROFILE%\Documents\GitHub\eaglep3\Utilities\DownloadLogsFromS3.py --loco 4028 --day 2017-02-13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"%USERPROFILE%\AppData\Local\Temp\OnboardLogs"\RTDC4028\*4028*20170213* | grep -SE "(Enforcement Action)|(\[TIMEOUT)|(CHR.+\|PRM\|1\|D.+(SWITCH|SIGNAL).+UNKNOWN)" - &gt;&gt; 2017-02-13-UncaughtWiMAX.txt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668</v>
      </c>
      <c r="B105" s="7">
        <v>4009</v>
      </c>
      <c r="C105" s="21" t="s">
        <v>193</v>
      </c>
      <c r="D105" s="21" t="s">
        <v>236</v>
      </c>
      <c r="E105" s="13">
        <v>42779.630983796298</v>
      </c>
      <c r="F105" s="13">
        <v>42779.635636574072</v>
      </c>
      <c r="G105" s="7">
        <v>1</v>
      </c>
      <c r="H105" s="21" t="s">
        <v>455</v>
      </c>
      <c r="I105" s="13">
        <v>42779.660532407404</v>
      </c>
      <c r="J105" s="7">
        <v>0</v>
      </c>
      <c r="K105" s="98" t="str">
        <f t="shared" si="25"/>
        <v>4009/4010</v>
      </c>
      <c r="L105" s="21" t="str">
        <f>VLOOKUP(A105,'Trips&amp;Operators'!$C$1:$G$99999,5,FALSE)</f>
        <v>ROMERO CHAD</v>
      </c>
      <c r="M105" s="6">
        <f t="shared" si="26"/>
        <v>2.4895833332266193E-2</v>
      </c>
      <c r="N105" s="7">
        <f t="shared" si="42"/>
        <v>35.849999998463318</v>
      </c>
      <c r="O105" s="7"/>
      <c r="P105" s="7"/>
      <c r="Q105" s="22"/>
      <c r="R105" s="22"/>
      <c r="S105" s="31">
        <f t="shared" si="28"/>
        <v>1</v>
      </c>
      <c r="T105" s="46" t="str">
        <f t="shared" si="29"/>
        <v>NorthBound</v>
      </c>
      <c r="U105" s="18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7" t="str">
        <f t="shared" si="30"/>
        <v>https://d0f6bd738d7f1b3e5a7ca70fe4ff75f0.us-east-1.aws.found.io/app/kibana#/discover/Steve-Slow-Train-Analysis-(2080s-and-2083s)?_g=(refreshInterval:(display:Off,pause:!f,section:0,value:0),time:(from:'2017-02-13T14:08:37-0700',mode:absolute,to:'2017-02-13T16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5" s="188" t="str">
        <f t="shared" si="31"/>
        <v>N</v>
      </c>
      <c r="X105" s="188">
        <f t="shared" si="43"/>
        <v>1</v>
      </c>
      <c r="Y105" s="62">
        <f t="shared" si="32"/>
        <v>4.5699999999999998E-2</v>
      </c>
      <c r="Z105" s="62">
        <f t="shared" si="33"/>
        <v>23.333200000000001</v>
      </c>
      <c r="AA105" s="62">
        <f t="shared" si="34"/>
        <v>23.287500000000001</v>
      </c>
      <c r="AB105" s="59" t="e">
        <f>VLOOKUP(A105,Enforcements!$C$7:$K$14,8,0)</f>
        <v>#N/A</v>
      </c>
      <c r="AC105" s="55" t="e">
        <f>VLOOKUP(A105,Enforcements!$C$7:$E$14,3,0)</f>
        <v>#N/A</v>
      </c>
      <c r="AD105" s="56" t="str">
        <f t="shared" si="35"/>
        <v>0193-13</v>
      </c>
      <c r="AE105" s="85" t="str">
        <f t="shared" si="36"/>
        <v>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 &amp; aws s3 cp s3://rtdc.mdm.uploadarchive.raw/RTDC4009/ "%USERPROFILE%\AppData\Local\Temp\OnboardLogs"\RTDC4009\2017-02-14 --exclude "*" --recursive --include "*20170214*" &amp; "%USERPROFILE%\Documents\GitHub\mrs-test-scripts\Headless Mode &amp; Sideloading\WalkAndUnGZ.bat" "%USERPROFILE%\AppData\Local\Temp\OnboardLogs"\RTDC4009\2017-02-14</v>
      </c>
      <c r="AF105" s="82" t="str">
        <f t="shared" si="37"/>
        <v>"C:\Program Files (x86)\AstroGrep\AstroGrep.exe" /spath="%USERPROFILE%\AppData\Local\Temp\OnboardLogs" /stypes="app*4009*20170213*" /stext=" 22:.+((SYSTEM_STATE.+slice.+state.+changed )|(ment ac)|(multiple cpu faults)|(system.+state.+changed )|(\[timeout)|(PRM\|1\|D)|(kpr)|(kdp)|(\|lc)|(penalty))" /e /r /s</v>
      </c>
      <c r="AG105" s="1" t="str">
        <f t="shared" si="38"/>
        <v>EC</v>
      </c>
      <c r="AH105" s="86" t="str">
        <f t="shared" si="39"/>
        <v>"%USERPROFILE%\Documents\GitHub\eaglep3\Utilities\RefineRTDCRunTimes.py" --tripid 193-13 --locoid 4009 --swversion DE.1.0.8.0 --startMP 204:457 --initTime 2017-02-13T15:08:37 --startdatetime 2017-02-13T15:15:19 --delay 1 --endMP 204:233332 --enddatetime 2017-02-13T15:51:10 --enforcementcount 0 &gt;&gt;C:\Users\stu\Documents\GitHub\eaglep3-reporting\EC\2017-02-13-refined-times.txt</v>
      </c>
      <c r="AI105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{"issue":{"subject":"","project_id":79,"tracker_id":40,"status_id":1,"priority_id":2,"assigned_to_id":23,"start_date":"2017-02-13","description":"","custom_fields":[{"id":1,"name":"Subdivision","value":"EC"},{"id":4,"name":"Milepost","value":"23.3332"},{"id":17,"name":"Train ID","value":"193-13"},{"id":16,"name":"Locomotive ID","value":"4009"},{"id":130,"name":"Impact","value":""},{"id":150,"name":"Time of Event (Mountain Time)","value":"15:51:10"},{"id":151,"name":"Denver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1"/>
        <v>start /low /b %USERPROFILE%\Documents\GitHub\eaglep3\Utilities\DownloadLogsFromS3.py --loco 4009 --day 2017-02-13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"%USERPROFILE%\AppData\Local\Temp\OnboardLogs"\RTDC4009\*4009*20170213* | grep -SE "(Enforcement Action)|(\[TIMEOUT)|(CHR.+\|PRM\|1\|D.+(SWITCH|SIGNAL).+UNKNOWN)" - &gt;&gt; 2017-02-13-UncaughtWiMAX.txt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679</v>
      </c>
      <c r="B106" s="7">
        <v>4010</v>
      </c>
      <c r="C106" s="21" t="s">
        <v>193</v>
      </c>
      <c r="D106" s="21" t="s">
        <v>490</v>
      </c>
      <c r="E106" s="13">
        <v>42779.666608796295</v>
      </c>
      <c r="F106" s="13">
        <v>42779.674456018518</v>
      </c>
      <c r="G106" s="7">
        <v>1</v>
      </c>
      <c r="H106" s="21" t="s">
        <v>210</v>
      </c>
      <c r="I106" s="13">
        <v>42779.700023148151</v>
      </c>
      <c r="J106" s="7">
        <v>0</v>
      </c>
      <c r="K106" s="98" t="str">
        <f t="shared" si="25"/>
        <v>4009/4010</v>
      </c>
      <c r="L106" s="21" t="str">
        <f>VLOOKUP(A106,'Trips&amp;Operators'!$C$1:$G$99999,5,FALSE)</f>
        <v>ROMERO CHAD</v>
      </c>
      <c r="M106" s="6">
        <f t="shared" si="26"/>
        <v>2.5567129632690921E-2</v>
      </c>
      <c r="N106" s="7">
        <f t="shared" si="42"/>
        <v>36.816666671074927</v>
      </c>
      <c r="O106" s="7"/>
      <c r="P106" s="7"/>
      <c r="Q106" s="22"/>
      <c r="R106" s="22"/>
      <c r="S106" s="31">
        <f t="shared" si="28"/>
        <v>1</v>
      </c>
      <c r="T106" s="46" t="str">
        <f t="shared" si="29"/>
        <v>Southbound</v>
      </c>
      <c r="U106" s="18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7" t="str">
        <f t="shared" si="30"/>
        <v>https://d0f6bd738d7f1b3e5a7ca70fe4ff75f0.us-east-1.aws.found.io/app/kibana#/discover/Steve-Slow-Train-Analysis-(2080s-and-2083s)?_g=(refreshInterval:(display:Off,pause:!f,section:0,value:0),time:(from:'2017-02-13T14:59:55-0700',mode:absolute,to:'2017-02-13T17:48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6" s="188" t="str">
        <f t="shared" si="31"/>
        <v>N</v>
      </c>
      <c r="X106" s="188">
        <f t="shared" si="43"/>
        <v>1</v>
      </c>
      <c r="Y106" s="62">
        <f t="shared" si="32"/>
        <v>23.301300000000001</v>
      </c>
      <c r="Z106" s="62">
        <f t="shared" si="33"/>
        <v>1.5800000000000002E-2</v>
      </c>
      <c r="AA106" s="62">
        <f t="shared" si="34"/>
        <v>23.285500000000003</v>
      </c>
      <c r="AB106" s="59" t="e">
        <f>VLOOKUP(A106,Enforcements!$C$7:$K$14,8,0)</f>
        <v>#N/A</v>
      </c>
      <c r="AC106" s="55" t="e">
        <f>VLOOKUP(A106,Enforcements!$C$7:$E$14,3,0)</f>
        <v>#N/A</v>
      </c>
      <c r="AD106" s="56" t="str">
        <f t="shared" si="35"/>
        <v>0194-13</v>
      </c>
      <c r="AE106" s="85" t="str">
        <f t="shared" si="36"/>
        <v>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 &amp; aws s3 cp s3://rtdc.mdm.uploadarchive.raw/RTDC4010/ "%USERPROFILE%\AppData\Local\Temp\OnboardLogs"\RTDC4010\2017-02-14 --exclude "*" --recursive --include "*20170214*" &amp; "%USERPROFILE%\Documents\GitHub\mrs-test-scripts\Headless Mode &amp; Sideloading\WalkAndUnGZ.bat" "%USERPROFILE%\AppData\Local\Temp\OnboardLogs"\RTDC4010\2017-02-14</v>
      </c>
      <c r="AF106" s="82" t="str">
        <f t="shared" si="37"/>
        <v>"C:\Program Files (x86)\AstroGrep\AstroGrep.exe" /spath="%USERPROFILE%\AppData\Local\Temp\OnboardLogs" /stypes="app*4010*20170213*" /stext=" 23:.+((SYSTEM_STATE.+slice.+state.+changed )|(ment ac)|(multiple cpu faults)|(system.+state.+changed )|(\[timeout)|(PRM\|1\|D)|(kpr)|(kdp)|(\|lc)|(penalty))" /e /r /s</v>
      </c>
      <c r="AG106" s="1" t="str">
        <f t="shared" si="38"/>
        <v>EC</v>
      </c>
      <c r="AH106" s="86" t="str">
        <f t="shared" si="39"/>
        <v>"%USERPROFILE%\Documents\GitHub\eaglep3\Utilities\RefineRTDCRunTimes.py" --tripid 194-13 --locoid 4010 --swversion DE.1.0.8.0 --startMP 204:233013 --initTime 2017-02-13T15:59:55 --startdatetime 2017-02-13T16:11:13 --delay 1 --endMP 204:158 --enddatetime 2017-02-13T16:48:02 --enforcementcount 0 &gt;&gt;C:\Users\stu\Documents\GitHub\eaglep3-reporting\EC\2017-02-13-refined-times.txt</v>
      </c>
      <c r="AI106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{"issue":{"subject":"","project_id":79,"tracker_id":40,"status_id":1,"priority_id":2,"assigned_to_id":23,"start_date":"2017-02-13","description":"","custom_fields":[{"id":1,"name":"Subdivision","value":"EC"},{"id":4,"name":"Milepost","value":"0.0158"},{"id":17,"name":"Train ID","value":"194-13"},{"id":16,"name":"Locomotive ID","value":"4010"},{"id":130,"name":"Impact","value":""},{"id":150,"name":"Time of Event (Mountain Time)","value":"16:48:02"},{"id":151,"name":"Denver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1"/>
        <v>start /low /b %USERPROFILE%\Documents\GitHub\eaglep3\Utilities\DownloadLogsFromS3.py --loco 4010 --day 2017-02-13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"%USERPROFILE%\AppData\Local\Temp\OnboardLogs"\RTDC4010\*4010*20170213* | grep -SE "(Enforcement Action)|(\[TIMEOUT)|(CHR.+\|PRM\|1\|D.+(SWITCH|SIGNAL).+UNKNOWN)" - &gt;&gt; 2017-02-13-UncaughtWiMAX.txt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3" t="s">
        <v>673</v>
      </c>
      <c r="B107" s="7">
        <v>4044</v>
      </c>
      <c r="C107" s="21" t="s">
        <v>193</v>
      </c>
      <c r="D107" s="21" t="s">
        <v>452</v>
      </c>
      <c r="E107" s="13">
        <v>42779.640740740739</v>
      </c>
      <c r="F107" s="13">
        <v>42779.64607638889</v>
      </c>
      <c r="G107" s="7">
        <v>1</v>
      </c>
      <c r="H107" s="21" t="s">
        <v>498</v>
      </c>
      <c r="I107" s="13">
        <v>42779.670891203707</v>
      </c>
      <c r="J107" s="7">
        <v>0</v>
      </c>
      <c r="K107" s="98" t="str">
        <f t="shared" si="25"/>
        <v>4043/4044</v>
      </c>
      <c r="L107" s="21" t="str">
        <f>VLOOKUP(A107,'Trips&amp;Operators'!$C$1:$G$99999,5,FALSE)</f>
        <v>CRAYTON QUNTRELL</v>
      </c>
      <c r="M107" s="6">
        <f t="shared" si="26"/>
        <v>2.4814814816636499E-2</v>
      </c>
      <c r="N107" s="7">
        <f t="shared" si="42"/>
        <v>35.733333335956559</v>
      </c>
      <c r="O107" s="7"/>
      <c r="P107" s="7"/>
      <c r="Q107" s="22"/>
      <c r="R107" s="22"/>
      <c r="S107" s="31">
        <f t="shared" si="28"/>
        <v>1</v>
      </c>
      <c r="T107" s="46" t="str">
        <f t="shared" si="29"/>
        <v>NorthBound</v>
      </c>
      <c r="U107" s="18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7" t="str">
        <f t="shared" si="30"/>
        <v>https://d0f6bd738d7f1b3e5a7ca70fe4ff75f0.us-east-1.aws.found.io/app/kibana#/discover/Steve-Slow-Train-Analysis-(2080s-and-2083s)?_g=(refreshInterval:(display:Off,pause:!f,section:0,value:0),time:(from:'2017-02-13T14:22:40-0700',mode:absolute,to:'2017-02-13T17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7" s="188" t="str">
        <f t="shared" si="31"/>
        <v>N</v>
      </c>
      <c r="X107" s="188">
        <f t="shared" si="43"/>
        <v>1</v>
      </c>
      <c r="Y107" s="62">
        <f t="shared" si="32"/>
        <v>4.6600000000000003E-2</v>
      </c>
      <c r="Z107" s="62">
        <f t="shared" si="33"/>
        <v>23.330200000000001</v>
      </c>
      <c r="AA107" s="62">
        <f t="shared" si="34"/>
        <v>23.2836</v>
      </c>
      <c r="AB107" s="59" t="e">
        <f>VLOOKUP(A107,Enforcements!$C$7:$K$14,8,0)</f>
        <v>#N/A</v>
      </c>
      <c r="AC107" s="55" t="e">
        <f>VLOOKUP(A107,Enforcements!$C$7:$E$14,3,0)</f>
        <v>#N/A</v>
      </c>
      <c r="AD107" s="56" t="str">
        <f t="shared" si="35"/>
        <v>0195-13</v>
      </c>
      <c r="AE107" s="85" t="str">
        <f t="shared" si="36"/>
        <v>aws s3 cp s3://rtdc.mdm.uploadarchive.raw/RTDC4044/ "%USERPROFILE%\AppData\Local\Temp\OnboardLogs"\RTDC4044\2017-02-13 --exclude "*" --recursive --include "*20170213*" &amp; "%USERPROFILE%\Documents\GitHub\mrs-test-scripts\Headless Mode &amp; Sideloading\WalkAndUnGZ.bat" "%USERPROFILE%\AppData\Local\Temp\OnboardLogs"\RTDC4044\2017-02-13 &amp; 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</v>
      </c>
      <c r="AF107" s="82" t="str">
        <f t="shared" si="37"/>
        <v>"C:\Program Files (x86)\AstroGrep\AstroGrep.exe" /spath="%USERPROFILE%\AppData\Local\Temp\OnboardLogs" /stypes="app*4044*20170213*" /stext=" 23:.+((SYSTEM_STATE.+slice.+state.+changed )|(ment ac)|(multiple cpu faults)|(system.+state.+changed )|(\[timeout)|(PRM\|1\|D)|(kpr)|(kdp)|(\|lc)|(penalty))" /e /r /s</v>
      </c>
      <c r="AG107" s="1" t="str">
        <f t="shared" si="38"/>
        <v>EC</v>
      </c>
      <c r="AH107" s="86" t="str">
        <f t="shared" si="39"/>
        <v>"%USERPROFILE%\Documents\GitHub\eaglep3\Utilities\RefineRTDCRunTimes.py" --tripid 195-13 --locoid 4044 --swversion DE.1.0.8.0 --startMP 204:466 --initTime 2017-02-13T15:22:40 --startdatetime 2017-02-13T15:30:21 --delay 1 --endMP 204:233302 --enddatetime 2017-02-13T16:06:05 --enforcementcount 0 &gt;&gt;C:\Users\stu\Documents\GitHub\eaglep3-reporting\EC\2017-02-13-refined-times.txt</v>
      </c>
      <c r="AI107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{"issue":{"subject":"","project_id":79,"tracker_id":40,"status_id":1,"priority_id":2,"assigned_to_id":23,"start_date":"2017-02-13","description":"","custom_fields":[{"id":1,"name":"Subdivision","value":"EC"},{"id":4,"name":"Milepost","value":"23.3302"},{"id":17,"name":"Train ID","value":"195-13"},{"id":16,"name":"Locomotive ID","value":"4044"},{"id":130,"name":"Impact","value":""},{"id":150,"name":"Time of Event (Mountain Time)","value":"16:06:05"},{"id":151,"name":"Denver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1"/>
        <v>start /low /b %USERPROFILE%\Documents\GitHub\eaglep3\Utilities\DownloadLogsFromS3.py --loco 4044 --day 2017-02-13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"%USERPROFILE%\AppData\Local\Temp\OnboardLogs"\RTDC4044\*4044*20170213* | grep -SE "(Enforcement Action)|(\[TIMEOUT)|(CHR.+\|PRM\|1\|D.+(SWITCH|SIGNAL).+UNKNOWN)" - &gt;&gt; 2017-02-13-UncaughtWiMAX.txt</v>
      </c>
    </row>
    <row r="108" spans="1:91" s="20" customFormat="1" x14ac:dyDescent="0.25">
      <c r="A108" s="33" t="s">
        <v>683</v>
      </c>
      <c r="B108" s="7">
        <v>4043</v>
      </c>
      <c r="C108" s="21" t="s">
        <v>193</v>
      </c>
      <c r="D108" s="21" t="s">
        <v>480</v>
      </c>
      <c r="E108" s="13">
        <v>42779.6796875</v>
      </c>
      <c r="F108" s="13">
        <v>42779.685034722221</v>
      </c>
      <c r="G108" s="7">
        <v>1</v>
      </c>
      <c r="H108" s="21" t="s">
        <v>447</v>
      </c>
      <c r="I108" s="13">
        <v>42779.71166666667</v>
      </c>
      <c r="J108" s="7">
        <v>0</v>
      </c>
      <c r="K108" s="98" t="str">
        <f t="shared" si="25"/>
        <v>4043/4044</v>
      </c>
      <c r="L108" s="21" t="str">
        <f>VLOOKUP(A108,'Trips&amp;Operators'!$C$1:$G$99999,5,FALSE)</f>
        <v>CRAYTON QUNTRELL</v>
      </c>
      <c r="M108" s="6">
        <f t="shared" si="26"/>
        <v>2.6631944449036382E-2</v>
      </c>
      <c r="N108" s="7">
        <f t="shared" si="42"/>
        <v>38.35000000661239</v>
      </c>
      <c r="O108" s="7"/>
      <c r="P108" s="7"/>
      <c r="Q108" s="22"/>
      <c r="R108" s="22"/>
      <c r="S108" s="31">
        <f t="shared" si="28"/>
        <v>1</v>
      </c>
      <c r="T108" s="46" t="str">
        <f t="shared" si="29"/>
        <v>Southbound</v>
      </c>
      <c r="U108" s="18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7" t="str">
        <f t="shared" si="30"/>
        <v>https://d0f6bd738d7f1b3e5a7ca70fe4ff75f0.us-east-1.aws.found.io/app/kibana#/discover/Steve-Slow-Train-Analysis-(2080s-and-2083s)?_g=(refreshInterval:(display:Off,pause:!f,section:0,value:0),time:(from:'2017-02-13T15:18:45-0700',mode:absolute,to:'2017-02-13T18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8" s="188" t="str">
        <f t="shared" si="31"/>
        <v>N</v>
      </c>
      <c r="X108" s="188">
        <f t="shared" si="43"/>
        <v>1</v>
      </c>
      <c r="Y108" s="62">
        <f t="shared" si="32"/>
        <v>23.3002</v>
      </c>
      <c r="Z108" s="62">
        <f t="shared" si="33"/>
        <v>1.5599999999999999E-2</v>
      </c>
      <c r="AA108" s="62">
        <f t="shared" si="34"/>
        <v>23.284600000000001</v>
      </c>
      <c r="AB108" s="59" t="e">
        <f>VLOOKUP(A108,Enforcements!$C$7:$K$14,8,0)</f>
        <v>#N/A</v>
      </c>
      <c r="AC108" s="55" t="e">
        <f>VLOOKUP(A108,Enforcements!$C$7:$E$14,3,0)</f>
        <v>#N/A</v>
      </c>
      <c r="AD108" s="56" t="str">
        <f t="shared" si="35"/>
        <v>0196-13</v>
      </c>
      <c r="AE108" s="85" t="str">
        <f t="shared" si="36"/>
        <v>aws s3 cp s3://rtdc.mdm.uploadarchive.raw/RTDC4043/ "%USERPROFILE%\AppData\Local\Temp\OnboardLogs"\RTDC4043\2017-02-13 --exclude "*" --recursive --include "*20170213*" &amp; "%USERPROFILE%\Documents\GitHub\mrs-test-scripts\Headless Mode &amp; Sideloading\WalkAndUnGZ.bat" "%USERPROFILE%\AppData\Local\Temp\OnboardLogs"\RTDC4043\2017-02-13 &amp; aws s3 cp s3://rtdc.mdm.uploadarchive.raw/RTDC4043/ "%USERPROFILE%\AppData\Local\Temp\OnboardLogs"\RTDC4043\2017-02-14 --exclude "*" --recursive --include "*20170214*" &amp; "%USERPROFILE%\Documents\GitHub\mrs-test-scripts\Headless Mode &amp; Sideloading\WalkAndUnGZ.bat" "%USERPROFILE%\AppData\Local\Temp\OnboardLogs"\RTDC4043\2017-02-14</v>
      </c>
      <c r="AF108" s="82" t="str">
        <f t="shared" si="37"/>
        <v>"C:\Program Files (x86)\AstroGrep\AstroGrep.exe" /spath="%USERPROFILE%\AppData\Local\Temp\OnboardLogs" /stypes="app*4043*20170214*" /stext=" 00:.+((SYSTEM_STATE.+slice.+state.+changed )|(ment ac)|(multiple cpu faults)|(system.+state.+changed )|(\[timeout)|(PRM\|1\|D)|(kpr)|(kdp)|(\|lc)|(penalty))" /e /r /s</v>
      </c>
      <c r="AG108" s="1" t="str">
        <f t="shared" si="38"/>
        <v>EC</v>
      </c>
      <c r="AH108" s="86" t="str">
        <f t="shared" si="39"/>
        <v>"%USERPROFILE%\Documents\GitHub\eaglep3\Utilities\RefineRTDCRunTimes.py" --tripid 196-13 --locoid 4043 --swversion DE.1.0.8.0 --startMP 204:233002 --initTime 2017-02-13T16:18:45 --startdatetime 2017-02-13T16:26:27 --delay 1 --endMP 204:156 --enddatetime 2017-02-13T17:04:48 --enforcementcount 0 &gt;&gt;C:\Users\stu\Documents\GitHub\eaglep3-reporting\EC\2017-02-13-refined-times.txt</v>
      </c>
      <c r="AI108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{"issue":{"subject":"","project_id":79,"tracker_id":40,"status_id":1,"priority_id":2,"assigned_to_id":23,"start_date":"2017-02-13","description":"","custom_fields":[{"id":1,"name":"Subdivision","value":"EC"},{"id":4,"name":"Milepost","value":"0.0156"},{"id":17,"name":"Train ID","value":"196-13"},{"id":16,"name":"Locomotive ID","value":"4043"},{"id":130,"name":"Impact","value":""},{"id":150,"name":"Time of Event (Mountain Time)","value":"17:04:48"},{"id":151,"name":"Denver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1"/>
        <v>start /low /b %USERPROFILE%\Documents\GitHub\eaglep3\Utilities\DownloadLogsFromS3.py --loco 4043 --day 2017-02-13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"%USERPROFILE%\AppData\Local\Temp\OnboardLogs"\RTDC4043\*4043*20170213* | grep -SE "(Enforcement Action)|(\[TIMEOUT)|(CHR.+\|PRM\|1\|D.+(SWITCH|SIGNAL).+UNKNOWN)" - &gt;&gt; 2017-02-13-UncaughtWiMAX.txt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3" t="s">
        <v>676</v>
      </c>
      <c r="B109" s="7">
        <v>4020</v>
      </c>
      <c r="C109" s="21" t="s">
        <v>193</v>
      </c>
      <c r="D109" s="21" t="s">
        <v>298</v>
      </c>
      <c r="E109" s="13">
        <v>42779.65216435185</v>
      </c>
      <c r="F109" s="13">
        <v>42779.656597222223</v>
      </c>
      <c r="G109" s="7">
        <v>1</v>
      </c>
      <c r="H109" s="21" t="s">
        <v>806</v>
      </c>
      <c r="I109" s="13">
        <v>42779.682615740741</v>
      </c>
      <c r="J109" s="7">
        <v>0</v>
      </c>
      <c r="K109" s="98" t="str">
        <f t="shared" si="25"/>
        <v>4019/4020</v>
      </c>
      <c r="L109" s="21" t="str">
        <f>VLOOKUP(A109,'Trips&amp;Operators'!$C$1:$G$99999,5,FALSE)</f>
        <v>LEVERE CRAIG</v>
      </c>
      <c r="M109" s="6">
        <f t="shared" si="26"/>
        <v>2.6018518517958E-2</v>
      </c>
      <c r="N109" s="7">
        <f t="shared" si="42"/>
        <v>37.46666666585952</v>
      </c>
      <c r="O109" s="7"/>
      <c r="P109" s="7"/>
      <c r="Q109" s="22"/>
      <c r="R109" s="22"/>
      <c r="S109" s="31">
        <f t="shared" si="28"/>
        <v>1</v>
      </c>
      <c r="T109" s="46" t="str">
        <f t="shared" si="29"/>
        <v>NorthBound</v>
      </c>
      <c r="U109" s="18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7" t="str">
        <f t="shared" si="30"/>
        <v>https://d0f6bd738d7f1b3e5a7ca70fe4ff75f0.us-east-1.aws.found.io/app/kibana#/discover/Steve-Slow-Train-Analysis-(2080s-and-2083s)?_g=(refreshInterval:(display:Off,pause:!f,section:0,value:0),time:(from:'2017-02-13T14:39:07-0700',mode:absolute,to:'2017-02-13T17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9" s="188" t="str">
        <f t="shared" si="31"/>
        <v>N</v>
      </c>
      <c r="X109" s="188">
        <f t="shared" si="43"/>
        <v>1</v>
      </c>
      <c r="Y109" s="62">
        <f t="shared" si="32"/>
        <v>4.4699999999999997E-2</v>
      </c>
      <c r="Z109" s="62">
        <f t="shared" si="33"/>
        <v>23.328199999999999</v>
      </c>
      <c r="AA109" s="62">
        <f t="shared" si="34"/>
        <v>23.2835</v>
      </c>
      <c r="AB109" s="59" t="e">
        <f>VLOOKUP(A109,Enforcements!$C$7:$K$14,8,0)</f>
        <v>#N/A</v>
      </c>
      <c r="AC109" s="55" t="e">
        <f>VLOOKUP(A109,Enforcements!$C$7:$E$14,3,0)</f>
        <v>#N/A</v>
      </c>
      <c r="AD109" s="56" t="str">
        <f t="shared" si="35"/>
        <v>0197-13</v>
      </c>
      <c r="AE109" s="85" t="str">
        <f t="shared" si="36"/>
        <v>aws s3 cp s3://rtdc.mdm.uploadarchive.raw/RTDC4020/ "%USERPROFILE%\AppData\Local\Temp\OnboardLogs"\RTDC4020\2017-02-13 --exclude "*" --recursive --include "*20170213*" &amp; "%USERPROFILE%\Documents\GitHub\mrs-test-scripts\Headless Mode &amp; Sideloading\WalkAndUnGZ.bat" "%USERPROFILE%\AppData\Local\Temp\OnboardLogs"\RTDC4020\2017-02-13 &amp; aws s3 cp s3://rtdc.mdm.uploadarchive.raw/RTDC4020/ "%USERPROFILE%\AppData\Local\Temp\OnboardLogs"\RTDC4020\2017-02-14 --exclude "*" --recursive --include "*20170214*" &amp; "%USERPROFILE%\Documents\GitHub\mrs-test-scripts\Headless Mode &amp; Sideloading\WalkAndUnGZ.bat" "%USERPROFILE%\AppData\Local\Temp\OnboardLogs"\RTDC4020\2017-02-14</v>
      </c>
      <c r="AF109" s="82" t="str">
        <f t="shared" si="37"/>
        <v>"C:\Program Files (x86)\AstroGrep\AstroGrep.exe" /spath="%USERPROFILE%\AppData\Local\Temp\OnboardLogs" /stypes="app*4020*20170213*" /stext=" 23:.+((SYSTEM_STATE.+slice.+state.+changed )|(ment ac)|(multiple cpu faults)|(system.+state.+changed )|(\[timeout)|(PRM\|1\|D)|(kpr)|(kdp)|(\|lc)|(penalty))" /e /r /s</v>
      </c>
      <c r="AG109" s="1" t="str">
        <f t="shared" si="38"/>
        <v>EC</v>
      </c>
      <c r="AH109" s="86" t="str">
        <f t="shared" si="39"/>
        <v>"%USERPROFILE%\Documents\GitHub\eaglep3\Utilities\RefineRTDCRunTimes.py" --tripid 197-13 --locoid 4020 --swversion DE.1.0.8.0 --startMP 204:447 --initTime 2017-02-13T15:39:07 --startdatetime 2017-02-13T15:45:30 --delay 1 --endMP 204:233282 --enddatetime 2017-02-13T16:22:58 --enforcementcount 0 &gt;&gt;C:\Users\stu\Documents\GitHub\eaglep3-reporting\EC\2017-02-13-refined-times.txt</v>
      </c>
      <c r="AI109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{"issue":{"subject":"","project_id":79,"tracker_id":40,"status_id":1,"priority_id":2,"assigned_to_id":23,"start_date":"2017-02-13","description":"","custom_fields":[{"id":1,"name":"Subdivision","value":"EC"},{"id":4,"name":"Milepost","value":"23.3282"},{"id":17,"name":"Train ID","value":"197-13"},{"id":16,"name":"Locomotive ID","value":"4020"},{"id":130,"name":"Impact","value":""},{"id":150,"name":"Time of Event (Mountain Time)","value":"16:22:58"},{"id":151,"name":"Denver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1"/>
        <v>start /low /b %USERPROFILE%\Documents\GitHub\eaglep3\Utilities\DownloadLogsFromS3.py --loco 4020 --day 2017-02-13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"%USERPROFILE%\AppData\Local\Temp\OnboardLogs"\RTDC4020\*4020*20170213* | grep -SE "(Enforcement Action)|(\[TIMEOUT)|(CHR.+\|PRM\|1\|D.+(SWITCH|SIGNAL).+UNKNOWN)" - &gt;&gt; 2017-02-13-UncaughtWiMAX.txt</v>
      </c>
    </row>
    <row r="110" spans="1:91" s="20" customFormat="1" x14ac:dyDescent="0.25">
      <c r="A110" s="33" t="s">
        <v>685</v>
      </c>
      <c r="B110" s="7">
        <v>4019</v>
      </c>
      <c r="C110" s="21" t="s">
        <v>193</v>
      </c>
      <c r="D110" s="21" t="s">
        <v>352</v>
      </c>
      <c r="E110" s="13">
        <v>42779.687638888892</v>
      </c>
      <c r="F110" s="13">
        <v>42779.695393518516</v>
      </c>
      <c r="G110" s="7">
        <v>1</v>
      </c>
      <c r="H110" s="21" t="s">
        <v>209</v>
      </c>
      <c r="I110" s="13">
        <v>42779.722870370373</v>
      </c>
      <c r="J110" s="7">
        <v>0</v>
      </c>
      <c r="K110" s="98" t="str">
        <f t="shared" si="25"/>
        <v>4019/4020</v>
      </c>
      <c r="L110" s="21" t="str">
        <f>VLOOKUP(A110,'Trips&amp;Operators'!$C$1:$G$99999,5,FALSE)</f>
        <v>LEVERE CRAIG</v>
      </c>
      <c r="M110" s="6">
        <f t="shared" si="26"/>
        <v>2.7476851857500151E-2</v>
      </c>
      <c r="N110" s="7">
        <f t="shared" si="42"/>
        <v>39.566666674800217</v>
      </c>
      <c r="O110" s="7"/>
      <c r="P110" s="7"/>
      <c r="Q110" s="22"/>
      <c r="R110" s="22"/>
      <c r="S110" s="31">
        <f t="shared" si="28"/>
        <v>1</v>
      </c>
      <c r="T110" s="46" t="str">
        <f t="shared" si="29"/>
        <v>Southbound</v>
      </c>
      <c r="U110" s="18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7" t="str">
        <f t="shared" si="30"/>
        <v>https://d0f6bd738d7f1b3e5a7ca70fe4ff75f0.us-east-1.aws.found.io/app/kibana#/discover/Steve-Slow-Train-Analysis-(2080s-and-2083s)?_g=(refreshInterval:(display:Off,pause:!f,section:0,value:0),time:(from:'2017-02-13T15:30:12-0700',mode:absolute,to:'2017-02-13T18:20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0" s="188" t="str">
        <f t="shared" si="31"/>
        <v>N</v>
      </c>
      <c r="X110" s="188">
        <f t="shared" si="43"/>
        <v>1</v>
      </c>
      <c r="Y110" s="62">
        <f t="shared" si="32"/>
        <v>23.2986</v>
      </c>
      <c r="Z110" s="62">
        <f t="shared" si="33"/>
        <v>1.52E-2</v>
      </c>
      <c r="AA110" s="62">
        <f t="shared" si="34"/>
        <v>23.2834</v>
      </c>
      <c r="AB110" s="59" t="e">
        <f>VLOOKUP(A110,Enforcements!$C$7:$K$14,8,0)</f>
        <v>#N/A</v>
      </c>
      <c r="AC110" s="55" t="e">
        <f>VLOOKUP(A110,Enforcements!$C$7:$E$14,3,0)</f>
        <v>#N/A</v>
      </c>
      <c r="AD110" s="56" t="str">
        <f t="shared" si="35"/>
        <v>0198-13</v>
      </c>
      <c r="AE110" s="85" t="str">
        <f t="shared" si="36"/>
        <v>aws s3 cp s3://rtdc.mdm.uploadarchive.raw/RTDC4019/ "%USERPROFILE%\AppData\Local\Temp\OnboardLogs"\RTDC4019\2017-02-13 --exclude "*" --recursive --include "*20170213*" &amp; "%USERPROFILE%\Documents\GitHub\mrs-test-scripts\Headless Mode &amp; Sideloading\WalkAndUnGZ.bat" "%USERPROFILE%\AppData\Local\Temp\OnboardLogs"\RTDC4019\2017-02-13 &amp; 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</v>
      </c>
      <c r="AF110" s="82" t="str">
        <f t="shared" si="37"/>
        <v>"C:\Program Files (x86)\AstroGrep\AstroGrep.exe" /spath="%USERPROFILE%\AppData\Local\Temp\OnboardLogs" /stypes="app*4019*20170214*" /stext=" 00:.+((SYSTEM_STATE.+slice.+state.+changed )|(ment ac)|(multiple cpu faults)|(system.+state.+changed )|(\[timeout)|(PRM\|1\|D)|(kpr)|(kdp)|(\|lc)|(penalty))" /e /r /s</v>
      </c>
      <c r="AG110" s="1" t="str">
        <f t="shared" si="38"/>
        <v>EC</v>
      </c>
      <c r="AH110" s="86" t="str">
        <f t="shared" si="39"/>
        <v>"%USERPROFILE%\Documents\GitHub\eaglep3\Utilities\RefineRTDCRunTimes.py" --tripid 198-13 --locoid 4019 --swversion DE.1.0.8.0 --startMP 204:232986 --initTime 2017-02-13T16:30:12 --startdatetime 2017-02-13T16:41:22 --delay 1 --endMP 204:152 --enddatetime 2017-02-13T17:20:56 --enforcementcount 0 &gt;&gt;C:\Users\stu\Documents\GitHub\eaglep3-reporting\EC\2017-02-13-refined-times.txt</v>
      </c>
      <c r="AI110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{"issue":{"subject":"","project_id":79,"tracker_id":40,"status_id":1,"priority_id":2,"assigned_to_id":23,"start_date":"2017-02-13","description":"","custom_fields":[{"id":1,"name":"Subdivision","value":"EC"},{"id":4,"name":"Milepost","value":"0.0152"},{"id":17,"name":"Train ID","value":"198-13"},{"id":16,"name":"Locomotive ID","value":"4019"},{"id":130,"name":"Impact","value":""},{"id":150,"name":"Time of Event (Mountain Time)","value":"17:20:56"},{"id":151,"name":"Denver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1"/>
        <v>start /low /b %USERPROFILE%\Documents\GitHub\eaglep3\Utilities\DownloadLogsFromS3.py --loco 4019 --day 2017-02-13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"%USERPROFILE%\AppData\Local\Temp\OnboardLogs"\RTDC4019\*4019*20170214* | grep -SE "(Enforcement Action)|(\[TIMEOUT)|(CHR.+\|PRM\|1\|D.+(SWITCH|SIGNAL).+UNKNOWN)" - &gt;&gt; 2017-02-13-UncaughtWiMAX.txt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677</v>
      </c>
      <c r="B111" s="7">
        <v>4011</v>
      </c>
      <c r="C111" s="21" t="s">
        <v>193</v>
      </c>
      <c r="D111" s="21" t="s">
        <v>278</v>
      </c>
      <c r="E111" s="13">
        <v>42779.660543981481</v>
      </c>
      <c r="F111" s="13">
        <v>42779.666875000003</v>
      </c>
      <c r="G111" s="7">
        <v>1</v>
      </c>
      <c r="H111" s="21" t="s">
        <v>311</v>
      </c>
      <c r="I111" s="13">
        <v>42779.692071759258</v>
      </c>
      <c r="J111" s="7">
        <v>0</v>
      </c>
      <c r="K111" s="98" t="str">
        <f t="shared" si="25"/>
        <v>4011/4012</v>
      </c>
      <c r="L111" s="21" t="str">
        <f>VLOOKUP(A111,'Trips&amp;Operators'!$C$1:$G$99999,5,FALSE)</f>
        <v>KILLION DAVID</v>
      </c>
      <c r="M111" s="6">
        <f t="shared" si="26"/>
        <v>2.5196759255777579E-2</v>
      </c>
      <c r="N111" s="7">
        <f t="shared" si="42"/>
        <v>36.283333328319713</v>
      </c>
      <c r="O111" s="7"/>
      <c r="P111" s="7"/>
      <c r="Q111" s="22"/>
      <c r="R111" s="22"/>
      <c r="S111" s="31">
        <f t="shared" si="28"/>
        <v>1</v>
      </c>
      <c r="T111" s="46" t="str">
        <f t="shared" si="29"/>
        <v>NorthBound</v>
      </c>
      <c r="U111" s="18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7" t="str">
        <f t="shared" si="30"/>
        <v>https://d0f6bd738d7f1b3e5a7ca70fe4ff75f0.us-east-1.aws.found.io/app/kibana#/discover/Steve-Slow-Train-Analysis-(2080s-and-2083s)?_g=(refreshInterval:(display:Off,pause:!f,section:0,value:0),time:(from:'2017-02-13T14:51:11-0700',mode:absolute,to:'2017-02-13T17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1" s="188" t="str">
        <f t="shared" si="31"/>
        <v>N</v>
      </c>
      <c r="X111" s="188">
        <f t="shared" si="43"/>
        <v>1</v>
      </c>
      <c r="Y111" s="62">
        <f t="shared" si="32"/>
        <v>4.4600000000000001E-2</v>
      </c>
      <c r="Z111" s="62">
        <f t="shared" si="33"/>
        <v>23.3293</v>
      </c>
      <c r="AA111" s="62">
        <f t="shared" si="34"/>
        <v>23.284700000000001</v>
      </c>
      <c r="AB111" s="59" t="e">
        <f>VLOOKUP(A111,Enforcements!$C$7:$K$14,8,0)</f>
        <v>#N/A</v>
      </c>
      <c r="AC111" s="55" t="e">
        <f>VLOOKUP(A111,Enforcements!$C$7:$E$14,3,0)</f>
        <v>#N/A</v>
      </c>
      <c r="AD111" s="56" t="str">
        <f t="shared" si="35"/>
        <v>0199-13</v>
      </c>
      <c r="AE111" s="85" t="str">
        <f t="shared" si="36"/>
        <v>aws s3 cp s3://rtdc.mdm.uploadarchive.raw/RTDC4011/ "%USERPROFILE%\AppData\Local\Temp\OnboardLogs"\RTDC4011\2017-02-13 --exclude "*" --recursive --include "*20170213*" &amp; "%USERPROFILE%\Documents\GitHub\mrs-test-scripts\Headless Mode &amp; Sideloading\WalkAndUnGZ.bat" "%USERPROFILE%\AppData\Local\Temp\OnboardLogs"\RTDC4011\2017-02-13 &amp; aws s3 cp s3://rtdc.mdm.uploadarchive.raw/RTDC4011/ "%USERPROFILE%\AppData\Local\Temp\OnboardLogs"\RTDC4011\2017-02-14 --exclude "*" --recursive --include "*20170214*" &amp; "%USERPROFILE%\Documents\GitHub\mrs-test-scripts\Headless Mode &amp; Sideloading\WalkAndUnGZ.bat" "%USERPROFILE%\AppData\Local\Temp\OnboardLogs"\RTDC4011\2017-02-14</v>
      </c>
      <c r="AF111" s="82" t="str">
        <f t="shared" si="37"/>
        <v>"C:\Program Files (x86)\AstroGrep\AstroGrep.exe" /spath="%USERPROFILE%\AppData\Local\Temp\OnboardLogs" /stypes="app*4011*20170213*" /stext=" 23:.+((SYSTEM_STATE.+slice.+state.+changed )|(ment ac)|(multiple cpu faults)|(system.+state.+changed )|(\[timeout)|(PRM\|1\|D)|(kpr)|(kdp)|(\|lc)|(penalty))" /e /r /s</v>
      </c>
      <c r="AG111" s="1" t="str">
        <f t="shared" si="38"/>
        <v>EC</v>
      </c>
      <c r="AH111" s="86" t="str">
        <f t="shared" si="39"/>
        <v>"%USERPROFILE%\Documents\GitHub\eaglep3\Utilities\RefineRTDCRunTimes.py" --tripid 199-13 --locoid 4011 --swversion DE.1.0.8.0 --startMP 204:446 --initTime 2017-02-13T15:51:11 --startdatetime 2017-02-13T16:00:18 --delay 1 --endMP 204:233293 --enddatetime 2017-02-13T16:36:35 --enforcementcount 0 &gt;&gt;C:\Users\stu\Documents\GitHub\eaglep3-reporting\EC\2017-02-13-refined-times.txt</v>
      </c>
      <c r="AI111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{"issue":{"subject":"","project_id":79,"tracker_id":40,"status_id":1,"priority_id":2,"assigned_to_id":23,"start_date":"2017-02-13","description":"","custom_fields":[{"id":1,"name":"Subdivision","value":"EC"},{"id":4,"name":"Milepost","value":"23.3293"},{"id":17,"name":"Train ID","value":"199-13"},{"id":16,"name":"Locomotive ID","value":"4011"},{"id":130,"name":"Impact","value":""},{"id":150,"name":"Time of Event (Mountain Time)","value":"16:36:35"},{"id":151,"name":"Denver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1"/>
        <v>start /low /b %USERPROFILE%\Documents\GitHub\eaglep3\Utilities\DownloadLogsFromS3.py --loco 4011 --day 2017-02-13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"%USERPROFILE%\AppData\Local\Temp\OnboardLogs"\RTDC4011\*4011*20170213* | grep -SE "(Enforcement Action)|(\[TIMEOUT)|(CHR.+\|PRM\|1\|D.+(SWITCH|SIGNAL).+UNKNOWN)" - &gt;&gt; 2017-02-13-UncaughtWiMAX.txt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689</v>
      </c>
      <c r="B112" s="7">
        <v>4012</v>
      </c>
      <c r="C112" s="21" t="s">
        <v>193</v>
      </c>
      <c r="D112" s="21" t="s">
        <v>337</v>
      </c>
      <c r="E112" s="13">
        <v>42779.701481481483</v>
      </c>
      <c r="F112" s="13">
        <v>42779.705740740741</v>
      </c>
      <c r="G112" s="7">
        <v>1</v>
      </c>
      <c r="H112" s="21" t="s">
        <v>294</v>
      </c>
      <c r="I112" s="13">
        <v>42779.73337962963</v>
      </c>
      <c r="J112" s="7">
        <v>0</v>
      </c>
      <c r="K112" s="98" t="str">
        <f t="shared" si="25"/>
        <v>4011/4012</v>
      </c>
      <c r="L112" s="21" t="str">
        <f>VLOOKUP(A112,'Trips&amp;Operators'!$C$1:$G$99999,5,FALSE)</f>
        <v>KILLION DAVID</v>
      </c>
      <c r="M112" s="6">
        <f t="shared" si="26"/>
        <v>2.7638888888759539E-2</v>
      </c>
      <c r="N112" s="7">
        <f t="shared" si="42"/>
        <v>39.799999999813735</v>
      </c>
      <c r="O112" s="7"/>
      <c r="P112" s="7"/>
      <c r="Q112" s="22"/>
      <c r="R112" s="22"/>
      <c r="S112" s="31">
        <f t="shared" si="28"/>
        <v>1</v>
      </c>
      <c r="T112" s="46" t="str">
        <f t="shared" si="29"/>
        <v>Southbound</v>
      </c>
      <c r="U112" s="18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7" t="str">
        <f t="shared" si="30"/>
        <v>https://d0f6bd738d7f1b3e5a7ca70fe4ff75f0.us-east-1.aws.found.io/app/kibana#/discover/Steve-Slow-Train-Analysis-(2080s-and-2083s)?_g=(refreshInterval:(display:Off,pause:!f,section:0,value:0),time:(from:'2017-02-13T15:50:08-0700',mode:absolute,to:'2017-02-13T18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2" s="188" t="str">
        <f t="shared" si="31"/>
        <v>N</v>
      </c>
      <c r="X112" s="188">
        <f t="shared" si="43"/>
        <v>1</v>
      </c>
      <c r="Y112" s="62">
        <f t="shared" si="32"/>
        <v>23.2987</v>
      </c>
      <c r="Z112" s="62">
        <f t="shared" si="33"/>
        <v>1.3899999999999999E-2</v>
      </c>
      <c r="AA112" s="62">
        <f t="shared" si="34"/>
        <v>23.284800000000001</v>
      </c>
      <c r="AB112" s="59" t="e">
        <f>VLOOKUP(A112,Enforcements!$C$7:$K$14,8,0)</f>
        <v>#N/A</v>
      </c>
      <c r="AC112" s="55" t="e">
        <f>VLOOKUP(A112,Enforcements!$C$7:$E$14,3,0)</f>
        <v>#N/A</v>
      </c>
      <c r="AD112" s="56" t="str">
        <f t="shared" si="35"/>
        <v>0200-13</v>
      </c>
      <c r="AE112" s="85" t="str">
        <f t="shared" si="36"/>
        <v>aws s3 cp s3://rtdc.mdm.uploadarchive.raw/RTDC4012/ "%USERPROFILE%\AppData\Local\Temp\OnboardLogs"\RTDC4012\2017-02-13 --exclude "*" --recursive --include "*20170213*" &amp; "%USERPROFILE%\Documents\GitHub\mrs-test-scripts\Headless Mode &amp; Sideloading\WalkAndUnGZ.bat" "%USERPROFILE%\AppData\Local\Temp\OnboardLogs"\RTDC4012\2017-02-13 &amp; 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</v>
      </c>
      <c r="AF112" s="82" t="str">
        <f t="shared" si="37"/>
        <v>"C:\Program Files (x86)\AstroGrep\AstroGrep.exe" /spath="%USERPROFILE%\AppData\Local\Temp\OnboardLogs" /stypes="app*4012*20170214*" /stext=" 00:.+((SYSTEM_STATE.+slice.+state.+changed )|(ment ac)|(multiple cpu faults)|(system.+state.+changed )|(\[timeout)|(PRM\|1\|D)|(kpr)|(kdp)|(\|lc)|(penalty))" /e /r /s</v>
      </c>
      <c r="AG112" s="1" t="str">
        <f t="shared" si="38"/>
        <v>EC</v>
      </c>
      <c r="AH112" s="86" t="str">
        <f t="shared" si="39"/>
        <v>"%USERPROFILE%\Documents\GitHub\eaglep3\Utilities\RefineRTDCRunTimes.py" --tripid 200-13 --locoid 4012 --swversion DE.1.0.8.0 --startMP 204:232987 --initTime 2017-02-13T16:50:08 --startdatetime 2017-02-13T16:56:16 --delay 1 --endMP 204:139 --enddatetime 2017-02-13T17:36:04 --enforcementcount 0 &gt;&gt;C:\Users\stu\Documents\GitHub\eaglep3-reporting\EC\2017-02-13-refined-times.txt</v>
      </c>
      <c r="AI112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{"issue":{"subject":"","project_id":79,"tracker_id":40,"status_id":1,"priority_id":2,"assigned_to_id":23,"start_date":"2017-02-13","description":"","custom_fields":[{"id":1,"name":"Subdivision","value":"EC"},{"id":4,"name":"Milepost","value":"0.0139"},{"id":17,"name":"Train ID","value":"200-13"},{"id":16,"name":"Locomotive ID","value":"4012"},{"id":130,"name":"Impact","value":""},{"id":150,"name":"Time of Event (Mountain Time)","value":"17:36:04"},{"id":151,"name":"Denver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1"/>
        <v>start /low /b %USERPROFILE%\Documents\GitHub\eaglep3\Utilities\DownloadLogsFromS3.py --loco 4012 --day 2017-02-13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"%USERPROFILE%\AppData\Local\Temp\OnboardLogs"\RTDC4012\*4012*20170214* | grep -SE "(Enforcement Action)|(\[TIMEOUT)|(CHR.+\|PRM\|1\|D.+(SWITCH|SIGNAL).+UNKNOWN)" - &gt;&gt; 2017-02-13-UncaughtWiMAX.txt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680</v>
      </c>
      <c r="B113" s="7">
        <v>4040</v>
      </c>
      <c r="C113" s="21" t="s">
        <v>193</v>
      </c>
      <c r="D113" s="21" t="s">
        <v>219</v>
      </c>
      <c r="E113" s="13">
        <v>42779.672199074077</v>
      </c>
      <c r="F113" s="13">
        <v>42779.677384259259</v>
      </c>
      <c r="G113" s="7">
        <v>1</v>
      </c>
      <c r="H113" s="21" t="s">
        <v>807</v>
      </c>
      <c r="I113" s="13">
        <v>42779.702476851853</v>
      </c>
      <c r="J113" s="7">
        <v>0</v>
      </c>
      <c r="K113" s="98" t="str">
        <f t="shared" si="25"/>
        <v>4039/4040</v>
      </c>
      <c r="L113" s="21" t="str">
        <f>VLOOKUP(A113,'Trips&amp;Operators'!$C$1:$G$99999,5,FALSE)</f>
        <v>STEWART MICHAEL</v>
      </c>
      <c r="M113" s="6">
        <f t="shared" si="26"/>
        <v>2.5092592593864538E-2</v>
      </c>
      <c r="N113" s="7">
        <f t="shared" si="42"/>
        <v>36.133333335164934</v>
      </c>
      <c r="O113" s="7"/>
      <c r="P113" s="7"/>
      <c r="Q113" s="22"/>
      <c r="R113" s="22"/>
      <c r="S113" s="31">
        <f t="shared" si="28"/>
        <v>1</v>
      </c>
      <c r="T113" s="46" t="str">
        <f t="shared" si="29"/>
        <v>NorthBound</v>
      </c>
      <c r="U113" s="18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7" t="str">
        <f t="shared" si="30"/>
        <v>https://d0f6bd738d7f1b3e5a7ca70fe4ff75f0.us-east-1.aws.found.io/app/kibana#/discover/Steve-Slow-Train-Analysis-(2080s-and-2083s)?_g=(refreshInterval:(display:Off,pause:!f,section:0,value:0),time:(from:'2017-02-13T15:07:58-0700',mode:absolute,to:'2017-02-13T17:51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3" s="188" t="str">
        <f t="shared" si="31"/>
        <v>N</v>
      </c>
      <c r="X113" s="188">
        <f t="shared" si="43"/>
        <v>1</v>
      </c>
      <c r="Y113" s="62">
        <f t="shared" si="32"/>
        <v>4.6899999999999997E-2</v>
      </c>
      <c r="Z113" s="62">
        <f t="shared" si="33"/>
        <v>23.328800000000001</v>
      </c>
      <c r="AA113" s="62">
        <f t="shared" si="34"/>
        <v>23.2819</v>
      </c>
      <c r="AB113" s="59" t="e">
        <f>VLOOKUP(A113,Enforcements!$C$7:$K$14,8,0)</f>
        <v>#N/A</v>
      </c>
      <c r="AC113" s="55" t="e">
        <f>VLOOKUP(A113,Enforcements!$C$7:$E$14,3,0)</f>
        <v>#N/A</v>
      </c>
      <c r="AD113" s="56" t="str">
        <f t="shared" si="35"/>
        <v>0201-13</v>
      </c>
      <c r="AE113" s="85" t="str">
        <f t="shared" si="36"/>
        <v>aws s3 cp s3://rtdc.mdm.uploadarchive.raw/RTDC4040/ "%USERPROFILE%\AppData\Local\Temp\OnboardLogs"\RTDC4040\2017-02-13 --exclude "*" --recursive --include "*20170213*" &amp; "%USERPROFILE%\Documents\GitHub\mrs-test-scripts\Headless Mode &amp; Sideloading\WalkAndUnGZ.bat" "%USERPROFILE%\AppData\Local\Temp\OnboardLogs"\RTDC4040\2017-02-13 &amp; aws s3 cp s3://rtdc.mdm.uploadarchive.raw/RTDC4040/ "%USERPROFILE%\AppData\Local\Temp\OnboardLogs"\RTDC4040\2017-02-14 --exclude "*" --recursive --include "*20170214*" &amp; "%USERPROFILE%\Documents\GitHub\mrs-test-scripts\Headless Mode &amp; Sideloading\WalkAndUnGZ.bat" "%USERPROFILE%\AppData\Local\Temp\OnboardLogs"\RTDC4040\2017-02-14</v>
      </c>
      <c r="AF113" s="82" t="str">
        <f t="shared" si="37"/>
        <v>"C:\Program Files (x86)\AstroGrep\AstroGrep.exe" /spath="%USERPROFILE%\AppData\Local\Temp\OnboardLogs" /stypes="app*4040*20170213*" /stext=" 23:.+((SYSTEM_STATE.+slice.+state.+changed )|(ment ac)|(multiple cpu faults)|(system.+state.+changed )|(\[timeout)|(PRM\|1\|D)|(kpr)|(kdp)|(\|lc)|(penalty))" /e /r /s</v>
      </c>
      <c r="AG113" s="1" t="str">
        <f t="shared" si="38"/>
        <v>EC</v>
      </c>
      <c r="AH113" s="86" t="str">
        <f t="shared" si="39"/>
        <v>"%USERPROFILE%\Documents\GitHub\eaglep3\Utilities\RefineRTDCRunTimes.py" --tripid 201-13 --locoid 4040 --swversion DE.1.0.8.0 --startMP 204:469 --initTime 2017-02-13T16:07:58 --startdatetime 2017-02-13T16:15:26 --delay 1 --endMP 204:233288 --enddatetime 2017-02-13T16:51:34 --enforcementcount 0 &gt;&gt;C:\Users\stu\Documents\GitHub\eaglep3-reporting\EC\2017-02-13-refined-times.txt</v>
      </c>
      <c r="AI113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{"issue":{"subject":"","project_id":79,"tracker_id":40,"status_id":1,"priority_id":2,"assigned_to_id":23,"start_date":"2017-02-13","description":"","custom_fields":[{"id":1,"name":"Subdivision","value":"EC"},{"id":4,"name":"Milepost","value":"23.3288"},{"id":17,"name":"Train ID","value":"201-13"},{"id":16,"name":"Locomotive ID","value":"4040"},{"id":130,"name":"Impact","value":""},{"id":150,"name":"Time of Event (Mountain Time)","value":"16:51:34"},{"id":151,"name":"Denver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1"/>
        <v>start /low /b %USERPROFILE%\Documents\GitHub\eaglep3\Utilities\DownloadLogsFromS3.py --loco 4040 --day 2017-02-13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"%USERPROFILE%\AppData\Local\Temp\OnboardLogs"\RTDC4040\*4040*20170213* | grep -SE "(Enforcement Action)|(\[TIMEOUT)|(CHR.+\|PRM\|1\|D.+(SWITCH|SIGNAL).+UNKNOWN)" - &gt;&gt; 2017-02-13-UncaughtWiMAX.txt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691</v>
      </c>
      <c r="B114" s="7">
        <v>4039</v>
      </c>
      <c r="C114" s="21" t="s">
        <v>193</v>
      </c>
      <c r="D114" s="21" t="s">
        <v>349</v>
      </c>
      <c r="E114" s="13">
        <v>42779.711562500001</v>
      </c>
      <c r="F114" s="13">
        <v>42779.716273148151</v>
      </c>
      <c r="G114" s="7">
        <v>1</v>
      </c>
      <c r="H114" s="21" t="s">
        <v>447</v>
      </c>
      <c r="I114" s="13">
        <v>42779.743101851855</v>
      </c>
      <c r="J114" s="7">
        <v>0</v>
      </c>
      <c r="K114" s="98" t="str">
        <f t="shared" si="25"/>
        <v>4039/4040</v>
      </c>
      <c r="L114" s="21" t="str">
        <f>VLOOKUP(A114,'Trips&amp;Operators'!$C$1:$G$99999,5,FALSE)</f>
        <v>STEWART MICHAEL</v>
      </c>
      <c r="M114" s="6">
        <f t="shared" si="26"/>
        <v>2.6828703703358769E-2</v>
      </c>
      <c r="N114" s="7">
        <f t="shared" si="42"/>
        <v>38.633333332836628</v>
      </c>
      <c r="O114" s="7"/>
      <c r="P114" s="7"/>
      <c r="Q114" s="22"/>
      <c r="R114" s="22"/>
      <c r="S114" s="31">
        <f t="shared" si="28"/>
        <v>1</v>
      </c>
      <c r="T114" s="46" t="str">
        <f t="shared" si="29"/>
        <v>Southbound</v>
      </c>
      <c r="U114" s="18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7" t="str">
        <f t="shared" si="30"/>
        <v>https://d0f6bd738d7f1b3e5a7ca70fe4ff75f0.us-east-1.aws.found.io/app/kibana#/discover/Steve-Slow-Train-Analysis-(2080s-and-2083s)?_g=(refreshInterval:(display:Off,pause:!f,section:0,value:0),time:(from:'2017-02-13T16:04:39-0700',mode:absolute,to:'2017-02-13T18:50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4" s="188" t="str">
        <f t="shared" si="31"/>
        <v>N</v>
      </c>
      <c r="X114" s="188">
        <f t="shared" si="43"/>
        <v>1</v>
      </c>
      <c r="Y114" s="62">
        <f t="shared" si="32"/>
        <v>23.297999999999998</v>
      </c>
      <c r="Z114" s="62">
        <f t="shared" si="33"/>
        <v>1.5599999999999999E-2</v>
      </c>
      <c r="AA114" s="62">
        <f t="shared" si="34"/>
        <v>23.282399999999999</v>
      </c>
      <c r="AB114" s="59" t="e">
        <f>VLOOKUP(A114,Enforcements!$C$7:$K$14,8,0)</f>
        <v>#N/A</v>
      </c>
      <c r="AC114" s="55" t="e">
        <f>VLOOKUP(A114,Enforcements!$C$7:$E$14,3,0)</f>
        <v>#N/A</v>
      </c>
      <c r="AD114" s="56" t="str">
        <f t="shared" si="35"/>
        <v>0202-13</v>
      </c>
      <c r="AE114" s="85" t="str">
        <f t="shared" si="36"/>
        <v>aws s3 cp s3://rtdc.mdm.uploadarchive.raw/RTDC4039/ "%USERPROFILE%\AppData\Local\Temp\OnboardLogs"\RTDC4039\2017-02-13 --exclude "*" --recursive --include "*20170213*" &amp; "%USERPROFILE%\Documents\GitHub\mrs-test-scripts\Headless Mode &amp; Sideloading\WalkAndUnGZ.bat" "%USERPROFILE%\AppData\Local\Temp\OnboardLogs"\RTDC4039\2017-02-13 &amp; aws s3 cp s3://rtdc.mdm.uploadarchive.raw/RTDC4039/ "%USERPROFILE%\AppData\Local\Temp\OnboardLogs"\RTDC4039\2017-02-14 --exclude "*" --recursive --include "*20170214*" &amp; "%USERPROFILE%\Documents\GitHub\mrs-test-scripts\Headless Mode &amp; Sideloading\WalkAndUnGZ.bat" "%USERPROFILE%\AppData\Local\Temp\OnboardLogs"\RTDC4039\2017-02-14</v>
      </c>
      <c r="AF114" s="82" t="str">
        <f t="shared" si="37"/>
        <v>"C:\Program Files (x86)\AstroGrep\AstroGrep.exe" /spath="%USERPROFILE%\AppData\Local\Temp\OnboardLogs" /stypes="app*4039*20170214*" /stext=" 00:.+((SYSTEM_STATE.+slice.+state.+changed )|(ment ac)|(multiple cpu faults)|(system.+state.+changed )|(\[timeout)|(PRM\|1\|D)|(kpr)|(kdp)|(\|lc)|(penalty))" /e /r /s</v>
      </c>
      <c r="AG114" s="1" t="str">
        <f t="shared" si="38"/>
        <v>EC</v>
      </c>
      <c r="AH114" s="86" t="str">
        <f t="shared" si="39"/>
        <v>"%USERPROFILE%\Documents\GitHub\eaglep3\Utilities\RefineRTDCRunTimes.py" --tripid 202-13 --locoid 4039 --swversion DE.1.0.8.0 --startMP 204:232980 --initTime 2017-02-13T17:04:39 --startdatetime 2017-02-13T17:11:26 --delay 1 --endMP 204:156 --enddatetime 2017-02-13T17:50:04 --enforcementcount 0 &gt;&gt;C:\Users\stu\Documents\GitHub\eaglep3-reporting\EC\2017-02-13-refined-times.txt</v>
      </c>
      <c r="AI114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{"issue":{"subject":"","project_id":79,"tracker_id":40,"status_id":1,"priority_id":2,"assigned_to_id":23,"start_date":"2017-02-13","description":"","custom_fields":[{"id":1,"name":"Subdivision","value":"EC"},{"id":4,"name":"Milepost","value":"0.0156"},{"id":17,"name":"Train ID","value":"202-13"},{"id":16,"name":"Locomotive ID","value":"4039"},{"id":130,"name":"Impact","value":""},{"id":150,"name":"Time of Event (Mountain Time)","value":"17:50:04"},{"id":151,"name":"Denver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1"/>
        <v>start /low /b %USERPROFILE%\Documents\GitHub\eaglep3\Utilities\DownloadLogsFromS3.py --loco 4039 --day 2017-02-13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"%USERPROFILE%\AppData\Local\Temp\OnboardLogs"\RTDC4039\*4039*20170214* | grep -SE "(Enforcement Action)|(\[TIMEOUT)|(CHR.+\|PRM\|1\|D.+(SWITCH|SIGNAL).+UNKNOWN)" - &gt;&gt; 2017-02-13-UncaughtWiMAX.txt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684</v>
      </c>
      <c r="B115" s="7">
        <v>4025</v>
      </c>
      <c r="C115" s="21" t="s">
        <v>193</v>
      </c>
      <c r="D115" s="21" t="s">
        <v>769</v>
      </c>
      <c r="E115" s="13">
        <v>42779.683321759258</v>
      </c>
      <c r="F115" s="13">
        <v>42779.687824074077</v>
      </c>
      <c r="G115" s="7">
        <v>2</v>
      </c>
      <c r="H115" s="21" t="s">
        <v>448</v>
      </c>
      <c r="I115" s="13">
        <v>42779.714363425926</v>
      </c>
      <c r="J115" s="7">
        <v>0</v>
      </c>
      <c r="K115" s="98" t="str">
        <f t="shared" si="25"/>
        <v>4025/4026</v>
      </c>
      <c r="L115" s="21" t="str">
        <f>VLOOKUP(A115,'Trips&amp;Operators'!$C$1:$G$99999,5,FALSE)</f>
        <v>DAVIS MICHAEL</v>
      </c>
      <c r="M115" s="6">
        <f t="shared" si="26"/>
        <v>2.6539351849351078E-2</v>
      </c>
      <c r="N115" s="7">
        <f t="shared" si="42"/>
        <v>38.216666663065553</v>
      </c>
      <c r="O115" s="7"/>
      <c r="P115" s="7"/>
      <c r="Q115" s="22"/>
      <c r="R115" s="22"/>
      <c r="S115" s="31">
        <f t="shared" si="28"/>
        <v>1</v>
      </c>
      <c r="T115" s="46" t="str">
        <f t="shared" si="29"/>
        <v>NorthBound</v>
      </c>
      <c r="U115" s="18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7" t="str">
        <f t="shared" si="30"/>
        <v>https://d0f6bd738d7f1b3e5a7ca70fe4ff75f0.us-east-1.aws.found.io/app/kibana#/discover/Steve-Slow-Train-Analysis-(2080s-and-2083s)?_g=(refreshInterval:(display:Off,pause:!f,section:0,value:0),time:(from:'2017-02-13T15:23:59-0700',mode:absolute,to:'2017-02-13T18:08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5" s="188" t="str">
        <f t="shared" si="31"/>
        <v>N</v>
      </c>
      <c r="X115" s="188">
        <f t="shared" si="43"/>
        <v>1</v>
      </c>
      <c r="Y115" s="62">
        <f t="shared" si="32"/>
        <v>4.4200000000000003E-2</v>
      </c>
      <c r="Z115" s="62">
        <f t="shared" si="33"/>
        <v>23.331</v>
      </c>
      <c r="AA115" s="62">
        <f t="shared" si="34"/>
        <v>23.286799999999999</v>
      </c>
      <c r="AB115" s="59" t="e">
        <f>VLOOKUP(A115,Enforcements!$C$7:$K$14,8,0)</f>
        <v>#N/A</v>
      </c>
      <c r="AC115" s="55" t="e">
        <f>VLOOKUP(A115,Enforcements!$C$7:$E$14,3,0)</f>
        <v>#N/A</v>
      </c>
      <c r="AD115" s="56" t="str">
        <f t="shared" si="35"/>
        <v>0203-13</v>
      </c>
      <c r="AE115" s="85" t="str">
        <f t="shared" si="36"/>
        <v>aws s3 cp s3://rtdc.mdm.uploadarchive.raw/RTDC4025/ "%USERPROFILE%\AppData\Local\Temp\OnboardLogs"\RTDC4025\2017-02-13 --exclude "*" --recursive --include "*20170213*" &amp; "%USERPROFILE%\Documents\GitHub\mrs-test-scripts\Headless Mode &amp; Sideloading\WalkAndUnGZ.bat" "%USERPROFILE%\AppData\Local\Temp\OnboardLogs"\RTDC4025\2017-02-13 &amp; aws s3 cp s3://rtdc.mdm.uploadarchive.raw/RTDC4025/ "%USERPROFILE%\AppData\Local\Temp\OnboardLogs"\RTDC4025\2017-02-14 --exclude "*" --recursive --include "*20170214*" &amp; "%USERPROFILE%\Documents\GitHub\mrs-test-scripts\Headless Mode &amp; Sideloading\WalkAndUnGZ.bat" "%USERPROFILE%\AppData\Local\Temp\OnboardLogs"\RTDC4025\2017-02-14</v>
      </c>
      <c r="AF115" s="82" t="str">
        <f t="shared" si="37"/>
        <v>"C:\Program Files (x86)\AstroGrep\AstroGrep.exe" /spath="%USERPROFILE%\AppData\Local\Temp\OnboardLogs" /stypes="app*4025*20170214*" /stext=" 00:.+((SYSTEM_STATE.+slice.+state.+changed )|(ment ac)|(multiple cpu faults)|(system.+state.+changed )|(\[timeout)|(PRM\|1\|D)|(kpr)|(kdp)|(\|lc)|(penalty))" /e /r /s</v>
      </c>
      <c r="AG115" s="1" t="str">
        <f t="shared" si="38"/>
        <v>EC</v>
      </c>
      <c r="AH115" s="86" t="str">
        <f t="shared" si="39"/>
        <v>"%USERPROFILE%\Documents\GitHub\eaglep3\Utilities\RefineRTDCRunTimes.py" --tripid 203-13 --locoid 4025 --swversion DE.1.0.8.0 --startMP 204:442 --initTime 2017-02-13T16:23:59 --startdatetime 2017-02-13T16:30:28 --delay 2 --endMP 204:233310 --enddatetime 2017-02-13T17:08:41 --enforcementcount 0 &gt;&gt;C:\Users\stu\Documents\GitHub\eaglep3-reporting\EC\2017-02-13-refined-times.txt</v>
      </c>
      <c r="AI115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{"issue":{"subject":"","project_id":79,"tracker_id":40,"status_id":1,"priority_id":2,"assigned_to_id":23,"start_date":"2017-02-13","description":"","custom_fields":[{"id":1,"name":"Subdivision","value":"EC"},{"id":4,"name":"Milepost","value":"23.331"},{"id":17,"name":"Train ID","value":"203-13"},{"id":16,"name":"Locomotive ID","value":"4025"},{"id":130,"name":"Impact","value":""},{"id":150,"name":"Time of Event (Mountain Time)","value":"17:08:41"},{"id":151,"name":"Denver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1"/>
        <v>start /low /b %USERPROFILE%\Documents\GitHub\eaglep3\Utilities\DownloadLogsFromS3.py --loco 4025 --day 2017-02-13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"%USERPROFILE%\AppData\Local\Temp\OnboardLogs"\RTDC4025\*4025*20170213* | grep -SE "(Enforcement Action)|(\[TIMEOUT)|(CHR.+\|PRM\|1\|D.+(SWITCH|SIGNAL).+UNKNOWN)" - &gt;&gt; 2017-02-13-UncaughtWiMAX.txt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546</v>
      </c>
      <c r="B116" s="7">
        <v>4026</v>
      </c>
      <c r="C116" s="21" t="s">
        <v>193</v>
      </c>
      <c r="D116" s="21" t="s">
        <v>347</v>
      </c>
      <c r="E116" s="13">
        <v>42779.724166666667</v>
      </c>
      <c r="F116" s="13">
        <v>42779.7268287037</v>
      </c>
      <c r="G116" s="7">
        <v>1</v>
      </c>
      <c r="H116" s="21" t="s">
        <v>808</v>
      </c>
      <c r="I116" s="13">
        <v>42779.754432870373</v>
      </c>
      <c r="J116" s="7">
        <v>0</v>
      </c>
      <c r="K116" s="98" t="str">
        <f t="shared" si="25"/>
        <v>4025/4026</v>
      </c>
      <c r="L116" s="21" t="str">
        <f>VLOOKUP(A116,'Trips&amp;Operators'!$C$1:$G$99999,5,FALSE)</f>
        <v>DAVIS MICHAEL</v>
      </c>
      <c r="M116" s="6">
        <f t="shared" si="26"/>
        <v>2.7604166672972497E-2</v>
      </c>
      <c r="N116" s="7">
        <f t="shared" si="42"/>
        <v>39.750000009080395</v>
      </c>
      <c r="O116" s="7"/>
      <c r="P116" s="7"/>
      <c r="Q116" s="22"/>
      <c r="R116" s="22"/>
      <c r="S116" s="31">
        <f t="shared" si="28"/>
        <v>1</v>
      </c>
      <c r="T116" s="46" t="str">
        <f t="shared" si="29"/>
        <v>Southbound</v>
      </c>
      <c r="U116" s="18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7" t="str">
        <f t="shared" si="30"/>
        <v>https://d0f6bd738d7f1b3e5a7ca70fe4ff75f0.us-east-1.aws.found.io/app/kibana#/discover/Steve-Slow-Train-Analysis-(2080s-and-2083s)?_g=(refreshInterval:(display:Off,pause:!f,section:0,value:0),time:(from:'2017-02-13T16:22:48-0700',mode:absolute,to:'2017-02-13T19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6" s="188" t="str">
        <f t="shared" si="31"/>
        <v>N</v>
      </c>
      <c r="X116" s="188">
        <f t="shared" si="43"/>
        <v>1</v>
      </c>
      <c r="Y116" s="62">
        <f t="shared" si="32"/>
        <v>23.299600000000002</v>
      </c>
      <c r="Z116" s="62">
        <f t="shared" si="33"/>
        <v>1.89E-2</v>
      </c>
      <c r="AA116" s="62">
        <f t="shared" si="34"/>
        <v>23.280700000000003</v>
      </c>
      <c r="AB116" s="59" t="e">
        <f>VLOOKUP(A116,Enforcements!$C$7:$K$14,8,0)</f>
        <v>#N/A</v>
      </c>
      <c r="AC116" s="55" t="e">
        <f>VLOOKUP(A116,Enforcements!$C$7:$E$14,3,0)</f>
        <v>#N/A</v>
      </c>
      <c r="AD116" s="56" t="str">
        <f t="shared" si="35"/>
        <v>0204-13</v>
      </c>
      <c r="AE116" s="85" t="str">
        <f t="shared" si="36"/>
        <v>aws s3 cp s3://rtdc.mdm.uploadarchive.raw/RTDC4026/ "%USERPROFILE%\AppData\Local\Temp\OnboardLogs"\RTDC4026\2017-02-13 --exclude "*" --recursive --include "*20170213*" &amp; "%USERPROFILE%\Documents\GitHub\mrs-test-scripts\Headless Mode &amp; Sideloading\WalkAndUnGZ.bat" "%USERPROFILE%\AppData\Local\Temp\OnboardLogs"\RTDC4026\2017-02-13 &amp; aws s3 cp s3://rtdc.mdm.uploadarchive.raw/RTDC4026/ "%USERPROFILE%\AppData\Local\Temp\OnboardLogs"\RTDC4026\2017-02-14 --exclude "*" --recursive --include "*20170214*" &amp; "%USERPROFILE%\Documents\GitHub\mrs-test-scripts\Headless Mode &amp; Sideloading\WalkAndUnGZ.bat" "%USERPROFILE%\AppData\Local\Temp\OnboardLogs"\RTDC4026\2017-02-14</v>
      </c>
      <c r="AF116" s="82" t="str">
        <f t="shared" si="37"/>
        <v>"C:\Program Files (x86)\AstroGrep\AstroGrep.exe" /spath="%USERPROFILE%\AppData\Local\Temp\OnboardLogs" /stypes="app*4026*20170214*" /stext=" 01:.+((SYSTEM_STATE.+slice.+state.+changed )|(ment ac)|(multiple cpu faults)|(system.+state.+changed )|(\[timeout)|(PRM\|1\|D)|(kpr)|(kdp)|(\|lc)|(penalty))" /e /r /s</v>
      </c>
      <c r="AG116" s="1" t="str">
        <f t="shared" si="38"/>
        <v>EC</v>
      </c>
      <c r="AH116" s="86" t="str">
        <f t="shared" si="39"/>
        <v>"%USERPROFILE%\Documents\GitHub\eaglep3\Utilities\RefineRTDCRunTimes.py" --tripid 204-13 --locoid 4026 --swversion DE.1.0.8.0 --startMP 204:232996 --initTime 2017-02-13T17:22:48 --startdatetime 2017-02-13T17:26:38 --delay 1 --endMP 204:189 --enddatetime 2017-02-13T18:06:23 --enforcementcount 0 &gt;&gt;C:\Users\stu\Documents\GitHub\eaglep3-reporting\EC\2017-02-13-refined-times.txt</v>
      </c>
      <c r="AI116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{"issue":{"subject":"","project_id":79,"tracker_id":40,"status_id":1,"priority_id":2,"assigned_to_id":23,"start_date":"2017-02-13","description":"","custom_fields":[{"id":1,"name":"Subdivision","value":"EC"},{"id":4,"name":"Milepost","value":"0.0189"},{"id":17,"name":"Train ID","value":"204-13"},{"id":16,"name":"Locomotive ID","value":"4026"},{"id":130,"name":"Impact","value":""},{"id":150,"name":"Time of Event (Mountain Time)","value":"18:06:23"},{"id":151,"name":"Denver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1"/>
        <v>start /low /b %USERPROFILE%\Documents\GitHub\eaglep3\Utilities\DownloadLogsFromS3.py --loco 4026 --day 2017-02-13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"%USERPROFILE%\AppData\Local\Temp\OnboardLogs"\RTDC4026\*4026*20170214* | grep -SE "(Enforcement Action)|(\[TIMEOUT)|(CHR.+\|PRM\|1\|D.+(SWITCH|SIGNAL).+UNKNOWN)" - &gt;&gt; 2017-02-13-UncaughtWiMAX.txt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687</v>
      </c>
      <c r="B117" s="7">
        <v>4027</v>
      </c>
      <c r="C117" s="21" t="s">
        <v>193</v>
      </c>
      <c r="D117" s="21" t="s">
        <v>222</v>
      </c>
      <c r="E117" s="13">
        <v>42779.692650462966</v>
      </c>
      <c r="F117" s="13">
        <v>42779.69804398148</v>
      </c>
      <c r="G117" s="7">
        <v>1</v>
      </c>
      <c r="H117" s="21" t="s">
        <v>786</v>
      </c>
      <c r="I117" s="13">
        <v>42779.724398148152</v>
      </c>
      <c r="J117" s="7">
        <v>0</v>
      </c>
      <c r="K117" s="98" t="str">
        <f t="shared" si="25"/>
        <v>4027/4028</v>
      </c>
      <c r="L117" s="21" t="str">
        <f>VLOOKUP(A117,'Trips&amp;Operators'!$C$1:$G$99999,5,FALSE)</f>
        <v>CLARK KATHLEEN</v>
      </c>
      <c r="M117" s="6">
        <f t="shared" si="26"/>
        <v>2.6354166671808343E-2</v>
      </c>
      <c r="N117" s="7">
        <f t="shared" si="42"/>
        <v>37.950000007404014</v>
      </c>
      <c r="O117" s="7"/>
      <c r="P117" s="7"/>
      <c r="Q117" s="22"/>
      <c r="R117" s="22"/>
      <c r="S117" s="31">
        <f t="shared" si="28"/>
        <v>1</v>
      </c>
      <c r="T117" s="46" t="str">
        <f t="shared" si="29"/>
        <v>NorthBound</v>
      </c>
      <c r="U117" s="18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7" t="str">
        <f t="shared" si="30"/>
        <v>https://d0f6bd738d7f1b3e5a7ca70fe4ff75f0.us-east-1.aws.found.io/app/kibana#/discover/Steve-Slow-Train-Analysis-(2080s-and-2083s)?_g=(refreshInterval:(display:Off,pause:!f,section:0,value:0),time:(from:'2017-02-13T15:37:25-0700',mode:absolute,to:'2017-02-13T18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7" s="188" t="str">
        <f t="shared" si="31"/>
        <v>N</v>
      </c>
      <c r="X117" s="188">
        <f t="shared" si="43"/>
        <v>1</v>
      </c>
      <c r="Y117" s="62">
        <f t="shared" si="32"/>
        <v>4.58E-2</v>
      </c>
      <c r="Z117" s="62">
        <f t="shared" si="33"/>
        <v>23.3278</v>
      </c>
      <c r="AA117" s="62">
        <f t="shared" si="34"/>
        <v>23.282</v>
      </c>
      <c r="AB117" s="59" t="e">
        <f>VLOOKUP(A117,Enforcements!$C$7:$K$14,8,0)</f>
        <v>#N/A</v>
      </c>
      <c r="AC117" s="55" t="e">
        <f>VLOOKUP(A117,Enforcements!$C$7:$E$14,3,0)</f>
        <v>#N/A</v>
      </c>
      <c r="AD117" s="56" t="str">
        <f t="shared" si="35"/>
        <v>0205-13</v>
      </c>
      <c r="AE117" s="85" t="str">
        <f t="shared" si="36"/>
        <v>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 &amp; 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</v>
      </c>
      <c r="AF117" s="82" t="str">
        <f t="shared" si="37"/>
        <v>"C:\Program Files (x86)\AstroGrep\AstroGrep.exe" /spath="%USERPROFILE%\AppData\Local\Temp\OnboardLogs" /stypes="app*4027*20170214*" /stext=" 00:.+((SYSTEM_STATE.+slice.+state.+changed )|(ment ac)|(multiple cpu faults)|(system.+state.+changed )|(\[timeout)|(PRM\|1\|D)|(kpr)|(kdp)|(\|lc)|(penalty))" /e /r /s</v>
      </c>
      <c r="AG117" s="1" t="str">
        <f t="shared" si="38"/>
        <v>EC</v>
      </c>
      <c r="AH117" s="86" t="str">
        <f t="shared" si="39"/>
        <v>"%USERPROFILE%\Documents\GitHub\eaglep3\Utilities\RefineRTDCRunTimes.py" --tripid 205-13 --locoid 4027 --swversion DE.1.0.8.0 --startMP 204:458 --initTime 2017-02-13T16:37:25 --startdatetime 2017-02-13T16:45:11 --delay 1 --endMP 204:233278 --enddatetime 2017-02-13T17:23:08 --enforcementcount 0 &gt;&gt;C:\Users\stu\Documents\GitHub\eaglep3-reporting\EC\2017-02-13-refined-times.txt</v>
      </c>
      <c r="AI117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{"issue":{"subject":"","project_id":79,"tracker_id":40,"status_id":1,"priority_id":2,"assigned_to_id":23,"start_date":"2017-02-13","description":"","custom_fields":[{"id":1,"name":"Subdivision","value":"EC"},{"id":4,"name":"Milepost","value":"23.3278"},{"id":17,"name":"Train ID","value":"205-13"},{"id":16,"name":"Locomotive ID","value":"4027"},{"id":130,"name":"Impact","value":""},{"id":150,"name":"Time of Event (Mountain Time)","value":"17:23:08"},{"id":151,"name":"Denver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1"/>
        <v>start /low /b %USERPROFILE%\Documents\GitHub\eaglep3\Utilities\DownloadLogsFromS3.py --loco 4027 --day 2017-02-13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"%USERPROFILE%\AppData\Local\Temp\OnboardLogs"\RTDC4027\*4027*20170214* | grep -SE "(Enforcement Action)|(\[TIMEOUT)|(CHR.+\|PRM\|1\|D.+(SWITCH|SIGNAL).+UNKNOWN)" - &gt;&gt; 2017-02-13-UncaughtWiMAX.txt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698</v>
      </c>
      <c r="B118" s="7">
        <v>4028</v>
      </c>
      <c r="C118" s="21" t="s">
        <v>193</v>
      </c>
      <c r="D118" s="21" t="s">
        <v>809</v>
      </c>
      <c r="E118" s="13">
        <v>42779.731122685182</v>
      </c>
      <c r="F118" s="13">
        <v>42779.736967592595</v>
      </c>
      <c r="G118" s="7">
        <v>0</v>
      </c>
      <c r="H118" s="21" t="s">
        <v>810</v>
      </c>
      <c r="I118" s="13">
        <v>42779.764409722222</v>
      </c>
      <c r="J118" s="7">
        <v>0</v>
      </c>
      <c r="K118" s="98" t="str">
        <f t="shared" si="25"/>
        <v>4027/4028</v>
      </c>
      <c r="L118" s="21" t="str">
        <f>VLOOKUP(A118,'Trips&amp;Operators'!$C$1:$G$99999,5,FALSE)</f>
        <v>CLARK KATHLEEN</v>
      </c>
      <c r="M118" s="6">
        <f t="shared" si="26"/>
        <v>2.7442129627161194E-2</v>
      </c>
      <c r="N118" s="7">
        <f t="shared" si="42"/>
        <v>39.516666663112119</v>
      </c>
      <c r="O118" s="7"/>
      <c r="P118" s="7"/>
      <c r="Q118" s="22"/>
      <c r="R118" s="22"/>
      <c r="S118" s="31">
        <f t="shared" si="28"/>
        <v>1</v>
      </c>
      <c r="T118" s="46" t="str">
        <f t="shared" si="29"/>
        <v>Southbound</v>
      </c>
      <c r="U118" s="18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7" t="str">
        <f t="shared" si="30"/>
        <v>https://d0f6bd738d7f1b3e5a7ca70fe4ff75f0.us-east-1.aws.found.io/app/kibana#/discover/Steve-Slow-Train-Analysis-(2080s-and-2083s)?_g=(refreshInterval:(display:Off,pause:!f,section:0,value:0),time:(from:'2017-02-13T16:32:49-0700',mode:absolute,to:'2017-02-13T19:20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8" s="188" t="str">
        <f t="shared" si="31"/>
        <v>N</v>
      </c>
      <c r="X118" s="188">
        <f t="shared" si="43"/>
        <v>1</v>
      </c>
      <c r="Y118" s="62">
        <f t="shared" si="32"/>
        <v>23.2971</v>
      </c>
      <c r="Z118" s="62">
        <f t="shared" si="33"/>
        <v>1.7399999999999999E-2</v>
      </c>
      <c r="AA118" s="62">
        <f t="shared" si="34"/>
        <v>23.279700000000002</v>
      </c>
      <c r="AB118" s="59" t="e">
        <f>VLOOKUP(A118,Enforcements!$C$7:$K$14,8,0)</f>
        <v>#N/A</v>
      </c>
      <c r="AC118" s="55" t="e">
        <f>VLOOKUP(A118,Enforcements!$C$7:$E$14,3,0)</f>
        <v>#N/A</v>
      </c>
      <c r="AD118" s="56" t="str">
        <f t="shared" si="35"/>
        <v>0206-13</v>
      </c>
      <c r="AE118" s="85" t="str">
        <f t="shared" si="36"/>
        <v>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 &amp; aws s3 cp s3://rtdc.mdm.uploadarchive.raw/RTDC4028/ "%USERPROFILE%\AppData\Local\Temp\OnboardLogs"\RTDC4028\2017-02-14 --exclude "*" --recursive --include "*20170214*" &amp; "%USERPROFILE%\Documents\GitHub\mrs-test-scripts\Headless Mode &amp; Sideloading\WalkAndUnGZ.bat" "%USERPROFILE%\AppData\Local\Temp\OnboardLogs"\RTDC4028\2017-02-14</v>
      </c>
      <c r="AF118" s="82" t="str">
        <f t="shared" si="37"/>
        <v>"C:\Program Files (x86)\AstroGrep\AstroGrep.exe" /spath="%USERPROFILE%\AppData\Local\Temp\OnboardLogs" /stypes="app*4028*20170214*" /stext=" 01:.+((SYSTEM_STATE.+slice.+state.+changed )|(ment ac)|(multiple cpu faults)|(system.+state.+changed )|(\[timeout)|(PRM\|1\|D)|(kpr)|(kdp)|(\|lc)|(penalty))" /e /r /s</v>
      </c>
      <c r="AG118" s="1" t="str">
        <f t="shared" si="38"/>
        <v>EC</v>
      </c>
      <c r="AH118" s="86" t="str">
        <f t="shared" si="39"/>
        <v>"%USERPROFILE%\Documents\GitHub\eaglep3\Utilities\RefineRTDCRunTimes.py" --tripid 206-13 --locoid 4028 --swversion DE.1.0.8.0 --startMP 204:232971 --initTime 2017-02-13T17:32:49 --startdatetime 2017-02-13T17:41:14 --delay 0 --endMP 204:174 --enddatetime 2017-02-13T18:20:45 --enforcementcount 0 &gt;&gt;C:\Users\stu\Documents\GitHub\eaglep3-reporting\EC\2017-02-13-refined-times.txt</v>
      </c>
      <c r="AI118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{"issue":{"subject":"","project_id":79,"tracker_id":40,"status_id":1,"priority_id":2,"assigned_to_id":23,"start_date":"2017-02-13","description":"","custom_fields":[{"id":1,"name":"Subdivision","value":"EC"},{"id":4,"name":"Milepost","value":"0.0174"},{"id":17,"name":"Train ID","value":"206-13"},{"id":16,"name":"Locomotive ID","value":"4028"},{"id":130,"name":"Impact","value":""},{"id":150,"name":"Time of Event (Mountain Time)","value":"18:20:45"},{"id":151,"name":"Denver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1"/>
        <v>start /low /b %USERPROFILE%\Documents\GitHub\eaglep3\Utilities\DownloadLogsFromS3.py --loco 4028 --day 2017-02-13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"%USERPROFILE%\AppData\Local\Temp\OnboardLogs"\RTDC4028\*4028*20170214* | grep -SE "(Enforcement Action)|(\[TIMEOUT)|(CHR.+\|PRM\|1\|D.+(SWITCH|SIGNAL).+UNKNOWN)" - &gt;&gt; 2017-02-13-UncaughtWiMAX.txt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690</v>
      </c>
      <c r="B119" s="7">
        <v>4009</v>
      </c>
      <c r="C119" s="21" t="s">
        <v>193</v>
      </c>
      <c r="D119" s="21" t="s">
        <v>477</v>
      </c>
      <c r="E119" s="13">
        <v>42779.702777777777</v>
      </c>
      <c r="F119" s="13">
        <v>42779.708495370367</v>
      </c>
      <c r="G119" s="7">
        <v>1</v>
      </c>
      <c r="H119" s="21" t="s">
        <v>811</v>
      </c>
      <c r="I119" s="13">
        <v>42779.733090277776</v>
      </c>
      <c r="J119" s="7">
        <v>0</v>
      </c>
      <c r="K119" s="98" t="str">
        <f t="shared" si="25"/>
        <v>4009/4010</v>
      </c>
      <c r="L119" s="21" t="str">
        <f>VLOOKUP(A119,'Trips&amp;Operators'!$C$1:$G$99999,5,FALSE)</f>
        <v>ROMERO CHAD</v>
      </c>
      <c r="M119" s="6">
        <f t="shared" si="26"/>
        <v>2.4594907408754807E-2</v>
      </c>
      <c r="N119" s="7">
        <f t="shared" si="42"/>
        <v>35.416666668606922</v>
      </c>
      <c r="O119" s="7"/>
      <c r="P119" s="7"/>
      <c r="Q119" s="22"/>
      <c r="R119" s="22"/>
      <c r="S119" s="31">
        <f t="shared" si="28"/>
        <v>1</v>
      </c>
      <c r="T119" s="46" t="str">
        <f t="shared" si="29"/>
        <v>NorthBound</v>
      </c>
      <c r="U119" s="18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7" t="str">
        <f t="shared" si="30"/>
        <v>https://d0f6bd738d7f1b3e5a7ca70fe4ff75f0.us-east-1.aws.found.io/app/kibana#/discover/Steve-Slow-Train-Analysis-(2080s-and-2083s)?_g=(refreshInterval:(display:Off,pause:!f,section:0,value:0),time:(from:'2017-02-13T15:52:00-0700',mode:absolute,to:'2017-02-13T18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9" s="188" t="str">
        <f t="shared" si="31"/>
        <v>N</v>
      </c>
      <c r="X119" s="188">
        <f t="shared" si="43"/>
        <v>1</v>
      </c>
      <c r="Y119" s="62">
        <f t="shared" si="32"/>
        <v>4.7699999999999999E-2</v>
      </c>
      <c r="Z119" s="62">
        <f t="shared" si="33"/>
        <v>23.338699999999999</v>
      </c>
      <c r="AA119" s="62">
        <f t="shared" si="34"/>
        <v>23.291</v>
      </c>
      <c r="AB119" s="59" t="e">
        <f>VLOOKUP(A119,Enforcements!$C$7:$K$14,8,0)</f>
        <v>#N/A</v>
      </c>
      <c r="AC119" s="55" t="e">
        <f>VLOOKUP(A119,Enforcements!$C$7:$E$14,3,0)</f>
        <v>#N/A</v>
      </c>
      <c r="AD119" s="56" t="str">
        <f t="shared" si="35"/>
        <v>0207-13</v>
      </c>
      <c r="AE119" s="85" t="str">
        <f t="shared" si="36"/>
        <v>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 &amp; aws s3 cp s3://rtdc.mdm.uploadarchive.raw/RTDC4009/ "%USERPROFILE%\AppData\Local\Temp\OnboardLogs"\RTDC4009\2017-02-14 --exclude "*" --recursive --include "*20170214*" &amp; "%USERPROFILE%\Documents\GitHub\mrs-test-scripts\Headless Mode &amp; Sideloading\WalkAndUnGZ.bat" "%USERPROFILE%\AppData\Local\Temp\OnboardLogs"\RTDC4009\2017-02-14</v>
      </c>
      <c r="AF119" s="82" t="str">
        <f t="shared" si="37"/>
        <v>"C:\Program Files (x86)\AstroGrep\AstroGrep.exe" /spath="%USERPROFILE%\AppData\Local\Temp\OnboardLogs" /stypes="app*4009*20170214*" /stext=" 00:.+((SYSTEM_STATE.+slice.+state.+changed )|(ment ac)|(multiple cpu faults)|(system.+state.+changed )|(\[timeout)|(PRM\|1\|D)|(kpr)|(kdp)|(\|lc)|(penalty))" /e /r /s</v>
      </c>
      <c r="AG119" s="1" t="str">
        <f t="shared" si="38"/>
        <v>EC</v>
      </c>
      <c r="AH119" s="86" t="str">
        <f t="shared" si="39"/>
        <v>"%USERPROFILE%\Documents\GitHub\eaglep3\Utilities\RefineRTDCRunTimes.py" --tripid 207-13 --locoid 4009 --swversion DE.1.0.8.0 --startMP 204:477 --initTime 2017-02-13T16:52:00 --startdatetime 2017-02-13T17:00:14 --delay 1 --endMP 204:233387 --enddatetime 2017-02-13T17:35:39 --enforcementcount 0 &gt;&gt;C:\Users\stu\Documents\GitHub\eaglep3-reporting\EC\2017-02-13-refined-times.txt</v>
      </c>
      <c r="AI119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{"issue":{"subject":"","project_id":79,"tracker_id":40,"status_id":1,"priority_id":2,"assigned_to_id":23,"start_date":"2017-02-13","description":"","custom_fields":[{"id":1,"name":"Subdivision","value":"EC"},{"id":4,"name":"Milepost","value":"23.3387"},{"id":17,"name":"Train ID","value":"207-13"},{"id":16,"name":"Locomotive ID","value":"4009"},{"id":130,"name":"Impact","value":""},{"id":150,"name":"Time of Event (Mountain Time)","value":"17:35:39"},{"id":151,"name":"Denver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1"/>
        <v>start /low /b %USERPROFILE%\Documents\GitHub\eaglep3\Utilities\DownloadLogsFromS3.py --loco 4009 --day 2017-02-13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"%USERPROFILE%\AppData\Local\Temp\OnboardLogs"\RTDC4009\*4009*20170214* | grep -SE "(Enforcement Action)|(\[TIMEOUT)|(CHR.+\|PRM\|1\|D.+(SWITCH|SIGNAL).+UNKNOWN)" - &gt;&gt; 2017-02-13-UncaughtWiMAX.txt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549</v>
      </c>
      <c r="B120" s="7">
        <v>4010</v>
      </c>
      <c r="C120" s="21" t="s">
        <v>193</v>
      </c>
      <c r="D120" s="21" t="s">
        <v>812</v>
      </c>
      <c r="E120" s="13">
        <v>42779.734629629631</v>
      </c>
      <c r="F120" s="13">
        <v>42779.747395833336</v>
      </c>
      <c r="G120" s="7">
        <v>1</v>
      </c>
      <c r="H120" s="21" t="s">
        <v>813</v>
      </c>
      <c r="I120" s="13">
        <v>42779.772615740738</v>
      </c>
      <c r="J120" s="7">
        <v>0</v>
      </c>
      <c r="K120" s="98" t="str">
        <f t="shared" si="25"/>
        <v>4009/4010</v>
      </c>
      <c r="L120" s="21" t="str">
        <f>VLOOKUP(A120,'Trips&amp;Operators'!$C$1:$G$99999,5,FALSE)</f>
        <v>ROMERO CHAD</v>
      </c>
      <c r="M120" s="6">
        <f t="shared" si="26"/>
        <v>2.5219907402060926E-2</v>
      </c>
      <c r="N120" s="7">
        <f t="shared" si="42"/>
        <v>36.316666658967733</v>
      </c>
      <c r="O120" s="7"/>
      <c r="P120" s="7"/>
      <c r="Q120" s="22"/>
      <c r="R120" s="22"/>
      <c r="S120" s="31">
        <f t="shared" si="28"/>
        <v>1</v>
      </c>
      <c r="T120" s="46" t="str">
        <f t="shared" si="29"/>
        <v>Southbound</v>
      </c>
      <c r="U120" s="18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7" t="str">
        <f t="shared" si="30"/>
        <v>https://d0f6bd738d7f1b3e5a7ca70fe4ff75f0.us-east-1.aws.found.io/app/kibana#/discover/Steve-Slow-Train-Analysis-(2080s-and-2083s)?_g=(refreshInterval:(display:Off,pause:!f,section:0,value:0),time:(from:'2017-02-13T16:37:52-0700',mode:absolute,to:'2017-02-13T19:32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0" s="188" t="str">
        <f t="shared" si="31"/>
        <v>N</v>
      </c>
      <c r="X120" s="188">
        <f t="shared" si="43"/>
        <v>1</v>
      </c>
      <c r="Y120" s="62">
        <f t="shared" si="32"/>
        <v>23.306799999999999</v>
      </c>
      <c r="Z120" s="62">
        <f t="shared" si="33"/>
        <v>9.2299999999999993E-2</v>
      </c>
      <c r="AA120" s="62">
        <f t="shared" si="34"/>
        <v>23.214499999999997</v>
      </c>
      <c r="AB120" s="59" t="e">
        <f>VLOOKUP(A120,Enforcements!$C$7:$K$14,8,0)</f>
        <v>#N/A</v>
      </c>
      <c r="AC120" s="55" t="e">
        <f>VLOOKUP(A120,Enforcements!$C$7:$E$14,3,0)</f>
        <v>#N/A</v>
      </c>
      <c r="AD120" s="56" t="str">
        <f t="shared" si="35"/>
        <v>0208-13</v>
      </c>
      <c r="AE120" s="85" t="str">
        <f t="shared" si="36"/>
        <v>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 &amp; aws s3 cp s3://rtdc.mdm.uploadarchive.raw/RTDC4010/ "%USERPROFILE%\AppData\Local\Temp\OnboardLogs"\RTDC4010\2017-02-14 --exclude "*" --recursive --include "*20170214*" &amp; "%USERPROFILE%\Documents\GitHub\mrs-test-scripts\Headless Mode &amp; Sideloading\WalkAndUnGZ.bat" "%USERPROFILE%\AppData\Local\Temp\OnboardLogs"\RTDC4010\2017-02-14</v>
      </c>
      <c r="AF120" s="82" t="str">
        <f t="shared" si="37"/>
        <v>"C:\Program Files (x86)\AstroGrep\AstroGrep.exe" /spath="%USERPROFILE%\AppData\Local\Temp\OnboardLogs" /stypes="app*4010*20170214*" /stext=" 01:.+((SYSTEM_STATE.+slice.+state.+changed )|(ment ac)|(multiple cpu faults)|(system.+state.+changed )|(\[timeout)|(PRM\|1\|D)|(kpr)|(kdp)|(\|lc)|(penalty))" /e /r /s</v>
      </c>
      <c r="AG120" s="1" t="str">
        <f t="shared" si="38"/>
        <v>EC</v>
      </c>
      <c r="AH120" s="86" t="str">
        <f t="shared" si="39"/>
        <v>"%USERPROFILE%\Documents\GitHub\eaglep3\Utilities\RefineRTDCRunTimes.py" --tripid 208-13 --locoid 4010 --swversion DE.1.0.8.0 --startMP 204:233068 --initTime 2017-02-13T17:37:52 --startdatetime 2017-02-13T17:56:15 --delay 1 --endMP 204:923 --enddatetime 2017-02-13T18:32:34 --enforcementcount 0 &gt;&gt;C:\Users\stu\Documents\GitHub\eaglep3-reporting\EC\2017-02-13-refined-times.txt</v>
      </c>
      <c r="AI120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{"issue":{"subject":"","project_id":79,"tracker_id":40,"status_id":1,"priority_id":2,"assigned_to_id":23,"start_date":"2017-02-13","description":"","custom_fields":[{"id":1,"name":"Subdivision","value":"EC"},{"id":4,"name":"Milepost","value":"0.0923"},{"id":17,"name":"Train ID","value":"208-13"},{"id":16,"name":"Locomotive ID","value":"4010"},{"id":130,"name":"Impact","value":""},{"id":150,"name":"Time of Event (Mountain Time)","value":"18:32:34"},{"id":151,"name":"Denver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1"/>
        <v>start /low /b %USERPROFILE%\Documents\GitHub\eaglep3\Utilities\DownloadLogsFromS3.py --loco 4010 --day 2017-02-13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"%USERPROFILE%\AppData\Local\Temp\OnboardLogs"\RTDC4010\*4010*20170214* | grep -SE "(Enforcement Action)|(\[TIMEOUT)|(CHR.+\|PRM\|1\|D.+(SWITCH|SIGNAL).+UNKNOWN)" - &gt;&gt; 2017-02-13-UncaughtWiMAX.txt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693</v>
      </c>
      <c r="B121" s="7">
        <v>4044</v>
      </c>
      <c r="C121" s="21" t="s">
        <v>193</v>
      </c>
      <c r="D121" s="21" t="s">
        <v>222</v>
      </c>
      <c r="E121" s="13">
        <v>42779.715810185182</v>
      </c>
      <c r="F121" s="13">
        <v>42779.718993055554</v>
      </c>
      <c r="G121" s="7">
        <v>3</v>
      </c>
      <c r="H121" s="21" t="s">
        <v>300</v>
      </c>
      <c r="I121" s="13">
        <v>42779.74423611111</v>
      </c>
      <c r="J121" s="7">
        <v>0</v>
      </c>
      <c r="K121" s="98" t="str">
        <f t="shared" si="25"/>
        <v>4043/4044</v>
      </c>
      <c r="L121" s="21" t="str">
        <f>VLOOKUP(A121,'Trips&amp;Operators'!$C$1:$G$99999,5,FALSE)</f>
        <v>CHANDLER KELVIN</v>
      </c>
      <c r="M121" s="6">
        <f t="shared" si="26"/>
        <v>2.5243055555620231E-2</v>
      </c>
      <c r="N121" s="7">
        <f t="shared" si="42"/>
        <v>36.350000000093132</v>
      </c>
      <c r="O121" s="7"/>
      <c r="P121" s="7"/>
      <c r="Q121" s="22"/>
      <c r="R121" s="22"/>
      <c r="S121" s="31">
        <f t="shared" si="28"/>
        <v>1</v>
      </c>
      <c r="T121" s="46" t="str">
        <f t="shared" si="29"/>
        <v>NorthBound</v>
      </c>
      <c r="U121" s="18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7" t="str">
        <f t="shared" si="30"/>
        <v>https://d0f6bd738d7f1b3e5a7ca70fe4ff75f0.us-east-1.aws.found.io/app/kibana#/discover/Steve-Slow-Train-Analysis-(2080s-and-2083s)?_g=(refreshInterval:(display:Off,pause:!f,section:0,value:0),time:(from:'2017-02-13T16:10:46-0700',mode:absolute,to:'2017-02-13T18:51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1" s="188" t="str">
        <f t="shared" si="31"/>
        <v>N</v>
      </c>
      <c r="X121" s="188">
        <f t="shared" si="43"/>
        <v>1</v>
      </c>
      <c r="Y121" s="62">
        <f t="shared" si="32"/>
        <v>4.58E-2</v>
      </c>
      <c r="Z121" s="62">
        <f t="shared" si="33"/>
        <v>23.3291</v>
      </c>
      <c r="AA121" s="62">
        <f t="shared" si="34"/>
        <v>23.283300000000001</v>
      </c>
      <c r="AB121" s="59" t="e">
        <f>VLOOKUP(A121,Enforcements!$C$7:$K$14,8,0)</f>
        <v>#N/A</v>
      </c>
      <c r="AC121" s="55" t="e">
        <f>VLOOKUP(A121,Enforcements!$C$7:$E$14,3,0)</f>
        <v>#N/A</v>
      </c>
      <c r="AD121" s="56" t="str">
        <f t="shared" si="35"/>
        <v>0209-13</v>
      </c>
      <c r="AE121" s="85" t="str">
        <f t="shared" si="36"/>
        <v>aws s3 cp s3://rtdc.mdm.uploadarchive.raw/RTDC4044/ "%USERPROFILE%\AppData\Local\Temp\OnboardLogs"\RTDC4044\2017-02-13 --exclude "*" --recursive --include "*20170213*" &amp; "%USERPROFILE%\Documents\GitHub\mrs-test-scripts\Headless Mode &amp; Sideloading\WalkAndUnGZ.bat" "%USERPROFILE%\AppData\Local\Temp\OnboardLogs"\RTDC4044\2017-02-13 &amp; 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</v>
      </c>
      <c r="AF121" s="82" t="str">
        <f t="shared" si="37"/>
        <v>"C:\Program Files (x86)\AstroGrep\AstroGrep.exe" /spath="%USERPROFILE%\AppData\Local\Temp\OnboardLogs" /stypes="app*4044*20170214*" /stext=" 00:.+((SYSTEM_STATE.+slice.+state.+changed )|(ment ac)|(multiple cpu faults)|(system.+state.+changed )|(\[timeout)|(PRM\|1\|D)|(kpr)|(kdp)|(\|lc)|(penalty))" /e /r /s</v>
      </c>
      <c r="AG121" s="1" t="str">
        <f t="shared" si="38"/>
        <v>EC</v>
      </c>
      <c r="AH121" s="86" t="str">
        <f t="shared" si="39"/>
        <v>"%USERPROFILE%\Documents\GitHub\eaglep3\Utilities\RefineRTDCRunTimes.py" --tripid 209-13 --locoid 4044 --swversion DE.1.0.8.0 --startMP 204:458 --initTime 2017-02-13T17:10:46 --startdatetime 2017-02-13T17:15:21 --delay 3 --endMP 204:233291 --enddatetime 2017-02-13T17:51:42 --enforcementcount 0 &gt;&gt;C:\Users\stu\Documents\GitHub\eaglep3-reporting\EC\2017-02-13-refined-times.txt</v>
      </c>
      <c r="AI121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{"issue":{"subject":"","project_id":79,"tracker_id":40,"status_id":1,"priority_id":2,"assigned_to_id":23,"start_date":"2017-02-13","description":"","custom_fields":[{"id":1,"name":"Subdivision","value":"EC"},{"id":4,"name":"Milepost","value":"23.3291"},{"id":17,"name":"Train ID","value":"209-13"},{"id":16,"name":"Locomotive ID","value":"4044"},{"id":130,"name":"Impact","value":""},{"id":150,"name":"Time of Event (Mountain Time)","value":"17:51:42"},{"id":151,"name":"Denver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1"/>
        <v>start /low /b %USERPROFILE%\Documents\GitHub\eaglep3\Utilities\DownloadLogsFromS3.py --loco 4044 --day 2017-02-13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"%USERPROFILE%\AppData\Local\Temp\OnboardLogs"\RTDC4044\*4044*20170214* | grep -SE "(Enforcement Action)|(\[TIMEOUT)|(CHR.+\|PRM\|1\|D.+(SWITCH|SIGNAL).+UNKNOWN)" - &gt;&gt; 2017-02-13-UncaughtWiMAX.txt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706</v>
      </c>
      <c r="B122" s="7">
        <v>4043</v>
      </c>
      <c r="C122" s="21" t="s">
        <v>193</v>
      </c>
      <c r="D122" s="21" t="s">
        <v>309</v>
      </c>
      <c r="E122" s="13">
        <v>42779.754305555558</v>
      </c>
      <c r="F122" s="13">
        <v>42779.757974537039</v>
      </c>
      <c r="G122" s="7">
        <v>1</v>
      </c>
      <c r="H122" s="21" t="s">
        <v>447</v>
      </c>
      <c r="I122" s="13">
        <v>42779.785196759258</v>
      </c>
      <c r="J122" s="7">
        <v>0</v>
      </c>
      <c r="K122" s="98" t="str">
        <f t="shared" si="25"/>
        <v>4043/4044</v>
      </c>
      <c r="L122" s="21" t="str">
        <f>VLOOKUP(A122,'Trips&amp;Operators'!$C$1:$G$99999,5,FALSE)</f>
        <v>CHANDLER KELVIN</v>
      </c>
      <c r="M122" s="6">
        <f t="shared" si="26"/>
        <v>2.7222222219279502E-2</v>
      </c>
      <c r="N122" s="7">
        <f t="shared" si="42"/>
        <v>39.199999995762482</v>
      </c>
      <c r="O122" s="7"/>
      <c r="P122" s="7"/>
      <c r="Q122" s="22"/>
      <c r="R122" s="22"/>
      <c r="S122" s="31">
        <f t="shared" si="28"/>
        <v>1</v>
      </c>
      <c r="T122" s="46" t="str">
        <f t="shared" si="29"/>
        <v>Southbound</v>
      </c>
      <c r="U122" s="18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7" t="str">
        <f t="shared" si="30"/>
        <v>https://d0f6bd738d7f1b3e5a7ca70fe4ff75f0.us-east-1.aws.found.io/app/kibana#/discover/Steve-Slow-Train-Analysis-(2080s-and-2083s)?_g=(refreshInterval:(display:Off,pause:!f,section:0,value:0),time:(from:'2017-02-13T17:06:12-0700',mode:absolute,to:'2017-02-13T19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2" s="188" t="str">
        <f t="shared" si="31"/>
        <v>N</v>
      </c>
      <c r="X122" s="188">
        <f t="shared" si="43"/>
        <v>1</v>
      </c>
      <c r="Y122" s="62">
        <f t="shared" si="32"/>
        <v>23.297799999999999</v>
      </c>
      <c r="Z122" s="62">
        <f t="shared" si="33"/>
        <v>1.5599999999999999E-2</v>
      </c>
      <c r="AA122" s="62">
        <f t="shared" si="34"/>
        <v>23.2822</v>
      </c>
      <c r="AB122" s="59" t="e">
        <f>VLOOKUP(A122,Enforcements!$C$7:$K$14,8,0)</f>
        <v>#N/A</v>
      </c>
      <c r="AC122" s="55" t="e">
        <f>VLOOKUP(A122,Enforcements!$C$7:$E$14,3,0)</f>
        <v>#N/A</v>
      </c>
      <c r="AD122" s="56" t="str">
        <f t="shared" si="35"/>
        <v>0210-13</v>
      </c>
      <c r="AE122" s="85" t="str">
        <f t="shared" si="36"/>
        <v>aws s3 cp s3://rtdc.mdm.uploadarchive.raw/RTDC4043/ "%USERPROFILE%\AppData\Local\Temp\OnboardLogs"\RTDC4043\2017-02-13 --exclude "*" --recursive --include "*20170213*" &amp; "%USERPROFILE%\Documents\GitHub\mrs-test-scripts\Headless Mode &amp; Sideloading\WalkAndUnGZ.bat" "%USERPROFILE%\AppData\Local\Temp\OnboardLogs"\RTDC4043\2017-02-13 &amp; aws s3 cp s3://rtdc.mdm.uploadarchive.raw/RTDC4043/ "%USERPROFILE%\AppData\Local\Temp\OnboardLogs"\RTDC4043\2017-02-14 --exclude "*" --recursive --include "*20170214*" &amp; "%USERPROFILE%\Documents\GitHub\mrs-test-scripts\Headless Mode &amp; Sideloading\WalkAndUnGZ.bat" "%USERPROFILE%\AppData\Local\Temp\OnboardLogs"\RTDC4043\2017-02-14</v>
      </c>
      <c r="AF122" s="82" t="str">
        <f t="shared" si="37"/>
        <v>"C:\Program Files (x86)\AstroGrep\AstroGrep.exe" /spath="%USERPROFILE%\AppData\Local\Temp\OnboardLogs" /stypes="app*4043*20170214*" /stext=" 01:.+((SYSTEM_STATE.+slice.+state.+changed )|(ment ac)|(multiple cpu faults)|(system.+state.+changed )|(\[timeout)|(PRM\|1\|D)|(kpr)|(kdp)|(\|lc)|(penalty))" /e /r /s</v>
      </c>
      <c r="AG122" s="1" t="str">
        <f t="shared" si="38"/>
        <v>EC</v>
      </c>
      <c r="AH122" s="86" t="str">
        <f t="shared" si="39"/>
        <v>"%USERPROFILE%\Documents\GitHub\eaglep3\Utilities\RefineRTDCRunTimes.py" --tripid 210-13 --locoid 4043 --swversion DE.1.0.8.0 --startMP 204:232978 --initTime 2017-02-13T18:06:12 --startdatetime 2017-02-13T18:11:29 --delay 1 --endMP 204:156 --enddatetime 2017-02-13T18:50:41 --enforcementcount 0 &gt;&gt;C:\Users\stu\Documents\GitHub\eaglep3-reporting\EC\2017-02-13-refined-times.txt</v>
      </c>
      <c r="AI122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{"issue":{"subject":"","project_id":79,"tracker_id":40,"status_id":1,"priority_id":2,"assigned_to_id":23,"start_date":"2017-02-13","description":"","custom_fields":[{"id":1,"name":"Subdivision","value":"EC"},{"id":4,"name":"Milepost","value":"0.0156"},{"id":17,"name":"Train ID","value":"210-13"},{"id":16,"name":"Locomotive ID","value":"4043"},{"id":130,"name":"Impact","value":""},{"id":150,"name":"Time of Event (Mountain Time)","value":"18:50:41"},{"id":151,"name":"Denver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1"/>
        <v>start /low /b %USERPROFILE%\Documents\GitHub\eaglep3\Utilities\DownloadLogsFromS3.py --loco 4043 --day 2017-02-13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"%USERPROFILE%\AppData\Local\Temp\OnboardLogs"\RTDC4043\*4043*20170214* | grep -SE "(Enforcement Action)|(\[TIMEOUT)|(CHR.+\|PRM\|1\|D.+(SWITCH|SIGNAL).+UNKNOWN)" - &gt;&gt; 2017-02-13-UncaughtWiMAX.txt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696</v>
      </c>
      <c r="B123" s="7">
        <v>4020</v>
      </c>
      <c r="C123" s="21" t="s">
        <v>193</v>
      </c>
      <c r="D123" s="21" t="s">
        <v>208</v>
      </c>
      <c r="E123" s="13">
        <v>42779.724340277775</v>
      </c>
      <c r="F123" s="13">
        <v>42779.729618055557</v>
      </c>
      <c r="G123" s="7">
        <v>1</v>
      </c>
      <c r="H123" s="21" t="s">
        <v>311</v>
      </c>
      <c r="I123" s="13">
        <v>42779.754895833335</v>
      </c>
      <c r="J123" s="7">
        <v>0</v>
      </c>
      <c r="K123" s="98" t="str">
        <f t="shared" si="25"/>
        <v>4019/4020</v>
      </c>
      <c r="L123" s="21" t="str">
        <f>VLOOKUP(A123,'Trips&amp;Operators'!$C$1:$G$99999,5,FALSE)</f>
        <v>CRAYTON QUNTRELL</v>
      </c>
      <c r="M123" s="6">
        <f t="shared" si="26"/>
        <v>2.527777777868323E-2</v>
      </c>
      <c r="N123" s="7">
        <f t="shared" si="42"/>
        <v>36.400000001303852</v>
      </c>
      <c r="O123" s="7"/>
      <c r="P123" s="7"/>
      <c r="Q123" s="22"/>
      <c r="R123" s="22"/>
      <c r="S123" s="31">
        <f t="shared" si="28"/>
        <v>1</v>
      </c>
      <c r="T123" s="46" t="str">
        <f t="shared" si="29"/>
        <v>NorthBound</v>
      </c>
      <c r="U123" s="18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7" t="str">
        <f t="shared" si="30"/>
        <v>https://d0f6bd738d7f1b3e5a7ca70fe4ff75f0.us-east-1.aws.found.io/app/kibana#/discover/Steve-Slow-Train-Analysis-(2080s-and-2083s)?_g=(refreshInterval:(display:Off,pause:!f,section:0,value:0),time:(from:'2017-02-13T16:23:03-0700',mode:absolute,to:'2017-02-13T19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3" s="188" t="str">
        <f t="shared" si="31"/>
        <v>N</v>
      </c>
      <c r="X123" s="188">
        <f t="shared" si="43"/>
        <v>1</v>
      </c>
      <c r="Y123" s="62">
        <f t="shared" si="32"/>
        <v>4.4900000000000002E-2</v>
      </c>
      <c r="Z123" s="62">
        <f t="shared" si="33"/>
        <v>23.3293</v>
      </c>
      <c r="AA123" s="62">
        <f t="shared" si="34"/>
        <v>23.284400000000002</v>
      </c>
      <c r="AB123" s="59" t="e">
        <f>VLOOKUP(A123,Enforcements!$C$7:$K$14,8,0)</f>
        <v>#N/A</v>
      </c>
      <c r="AC123" s="55" t="e">
        <f>VLOOKUP(A123,Enforcements!$C$7:$E$14,3,0)</f>
        <v>#N/A</v>
      </c>
      <c r="AD123" s="56" t="str">
        <f t="shared" si="35"/>
        <v>0211-13</v>
      </c>
      <c r="AE123" s="85" t="str">
        <f t="shared" si="36"/>
        <v>aws s3 cp s3://rtdc.mdm.uploadarchive.raw/RTDC4020/ "%USERPROFILE%\AppData\Local\Temp\OnboardLogs"\RTDC4020\2017-02-13 --exclude "*" --recursive --include "*20170213*" &amp; "%USERPROFILE%\Documents\GitHub\mrs-test-scripts\Headless Mode &amp; Sideloading\WalkAndUnGZ.bat" "%USERPROFILE%\AppData\Local\Temp\OnboardLogs"\RTDC4020\2017-02-13 &amp; aws s3 cp s3://rtdc.mdm.uploadarchive.raw/RTDC4020/ "%USERPROFILE%\AppData\Local\Temp\OnboardLogs"\RTDC4020\2017-02-14 --exclude "*" --recursive --include "*20170214*" &amp; "%USERPROFILE%\Documents\GitHub\mrs-test-scripts\Headless Mode &amp; Sideloading\WalkAndUnGZ.bat" "%USERPROFILE%\AppData\Local\Temp\OnboardLogs"\RTDC4020\2017-02-14</v>
      </c>
      <c r="AF123" s="82" t="str">
        <f t="shared" si="37"/>
        <v>"C:\Program Files (x86)\AstroGrep\AstroGrep.exe" /spath="%USERPROFILE%\AppData\Local\Temp\OnboardLogs" /stypes="app*4020*20170214*" /stext=" 01:.+((SYSTEM_STATE.+slice.+state.+changed )|(ment ac)|(multiple cpu faults)|(system.+state.+changed )|(\[timeout)|(PRM\|1\|D)|(kpr)|(kdp)|(\|lc)|(penalty))" /e /r /s</v>
      </c>
      <c r="AG123" s="1" t="str">
        <f t="shared" si="38"/>
        <v>EC</v>
      </c>
      <c r="AH123" s="86" t="str">
        <f t="shared" si="39"/>
        <v>"%USERPROFILE%\Documents\GitHub\eaglep3\Utilities\RefineRTDCRunTimes.py" --tripid 211-13 --locoid 4020 --swversion DE.1.0.8.0 --startMP 204:449 --initTime 2017-02-13T17:23:03 --startdatetime 2017-02-13T17:30:39 --delay 1 --endMP 204:233293 --enddatetime 2017-02-13T18:07:03 --enforcementcount 0 &gt;&gt;C:\Users\stu\Documents\GitHub\eaglep3-reporting\EC\2017-02-13-refined-times.txt</v>
      </c>
      <c r="AI123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{"issue":{"subject":"","project_id":79,"tracker_id":40,"status_id":1,"priority_id":2,"assigned_to_id":23,"start_date":"2017-02-13","description":"","custom_fields":[{"id":1,"name":"Subdivision","value":"EC"},{"id":4,"name":"Milepost","value":"23.3293"},{"id":17,"name":"Train ID","value":"211-13"},{"id":16,"name":"Locomotive ID","value":"4020"},{"id":130,"name":"Impact","value":""},{"id":150,"name":"Time of Event (Mountain Time)","value":"18:07:03"},{"id":151,"name":"Denver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1"/>
        <v>start /low /b %USERPROFILE%\Documents\GitHub\eaglep3\Utilities\DownloadLogsFromS3.py --loco 4020 --day 2017-02-13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"%USERPROFILE%\AppData\Local\Temp\OnboardLogs"\RTDC4020\*4020*20170214* | grep -SE "(Enforcement Action)|(\[TIMEOUT)|(CHR.+\|PRM\|1\|D.+(SWITCH|SIGNAL).+UNKNOWN)" - &gt;&gt; 2017-02-13-UncaughtWiMAX.txt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710</v>
      </c>
      <c r="B124" s="7">
        <v>4019</v>
      </c>
      <c r="C124" s="21" t="s">
        <v>193</v>
      </c>
      <c r="D124" s="21" t="s">
        <v>302</v>
      </c>
      <c r="E124" s="13">
        <v>42779.761342592596</v>
      </c>
      <c r="F124" s="13">
        <v>42779.768321759257</v>
      </c>
      <c r="G124" s="7">
        <v>1</v>
      </c>
      <c r="H124" s="21" t="s">
        <v>766</v>
      </c>
      <c r="I124" s="13">
        <v>42779.795243055552</v>
      </c>
      <c r="J124" s="7">
        <v>0</v>
      </c>
      <c r="K124" s="98" t="str">
        <f t="shared" si="25"/>
        <v>4019/4020</v>
      </c>
      <c r="L124" s="21" t="str">
        <f>VLOOKUP(A124,'Trips&amp;Operators'!$C$1:$G$99999,5,FALSE)</f>
        <v>CRAYTON QUNTRELL</v>
      </c>
      <c r="M124" s="6">
        <f t="shared" si="26"/>
        <v>2.6921296295768116E-2</v>
      </c>
      <c r="N124" s="7">
        <f t="shared" si="42"/>
        <v>38.766666665906087</v>
      </c>
      <c r="O124" s="7"/>
      <c r="P124" s="7"/>
      <c r="Q124" s="22"/>
      <c r="R124" s="22"/>
      <c r="S124" s="31">
        <f t="shared" si="28"/>
        <v>1</v>
      </c>
      <c r="T124" s="46" t="str">
        <f t="shared" si="29"/>
        <v>Southbound</v>
      </c>
      <c r="U124" s="18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7" t="str">
        <f t="shared" si="30"/>
        <v>https://d0f6bd738d7f1b3e5a7ca70fe4ff75f0.us-east-1.aws.found.io/app/kibana#/discover/Steve-Slow-Train-Analysis-(2080s-and-2083s)?_g=(refreshInterval:(display:Off,pause:!f,section:0,value:0),time:(from:'2017-02-13T17:16:20-0700',mode:absolute,to:'2017-02-13T20:05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4" s="188" t="str">
        <f t="shared" si="31"/>
        <v>N</v>
      </c>
      <c r="X124" s="188">
        <f t="shared" si="43"/>
        <v>1</v>
      </c>
      <c r="Y124" s="62">
        <f t="shared" si="32"/>
        <v>23.297699999999999</v>
      </c>
      <c r="Z124" s="62">
        <f t="shared" si="33"/>
        <v>1.6299999999999999E-2</v>
      </c>
      <c r="AA124" s="62">
        <f t="shared" si="34"/>
        <v>23.281399999999998</v>
      </c>
      <c r="AB124" s="59" t="e">
        <f>VLOOKUP(A124,Enforcements!$C$7:$K$14,8,0)</f>
        <v>#N/A</v>
      </c>
      <c r="AC124" s="55" t="e">
        <f>VLOOKUP(A124,Enforcements!$C$7:$E$14,3,0)</f>
        <v>#N/A</v>
      </c>
      <c r="AD124" s="56" t="str">
        <f t="shared" si="35"/>
        <v>0212-13</v>
      </c>
      <c r="AE124" s="85" t="str">
        <f t="shared" si="36"/>
        <v>aws s3 cp s3://rtdc.mdm.uploadarchive.raw/RTDC4019/ "%USERPROFILE%\AppData\Local\Temp\OnboardLogs"\RTDC4019\2017-02-13 --exclude "*" --recursive --include "*20170213*" &amp; "%USERPROFILE%\Documents\GitHub\mrs-test-scripts\Headless Mode &amp; Sideloading\WalkAndUnGZ.bat" "%USERPROFILE%\AppData\Local\Temp\OnboardLogs"\RTDC4019\2017-02-13 &amp; 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</v>
      </c>
      <c r="AF124" s="82" t="str">
        <f t="shared" si="37"/>
        <v>"C:\Program Files (x86)\AstroGrep\AstroGrep.exe" /spath="%USERPROFILE%\AppData\Local\Temp\OnboardLogs" /stypes="app*4019*20170214*" /stext=" 02:.+((SYSTEM_STATE.+slice.+state.+changed )|(ment ac)|(multiple cpu faults)|(system.+state.+changed )|(\[timeout)|(PRM\|1\|D)|(kpr)|(kdp)|(\|lc)|(penalty))" /e /r /s</v>
      </c>
      <c r="AG124" s="1" t="str">
        <f t="shared" si="38"/>
        <v>EC</v>
      </c>
      <c r="AH124" s="86" t="str">
        <f t="shared" si="39"/>
        <v>"%USERPROFILE%\Documents\GitHub\eaglep3\Utilities\RefineRTDCRunTimes.py" --tripid 212-13 --locoid 4019 --swversion DE.1.0.8.0 --startMP 204:232977 --initTime 2017-02-13T18:16:20 --startdatetime 2017-02-13T18:26:23 --delay 1 --endMP 204:163 --enddatetime 2017-02-13T19:05:09 --enforcementcount 0 &gt;&gt;C:\Users\stu\Documents\GitHub\eaglep3-reporting\EC\2017-02-13-refined-times.txt</v>
      </c>
      <c r="AI124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{"issue":{"subject":"","project_id":79,"tracker_id":40,"status_id":1,"priority_id":2,"assigned_to_id":23,"start_date":"2017-02-13","description":"","custom_fields":[{"id":1,"name":"Subdivision","value":"EC"},{"id":4,"name":"Milepost","value":"0.0163"},{"id":17,"name":"Train ID","value":"212-13"},{"id":16,"name":"Locomotive ID","value":"4019"},{"id":130,"name":"Impact","value":""},{"id":150,"name":"Time of Event (Mountain Time)","value":"19:05:09"},{"id":151,"name":"Denver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1"/>
        <v>start /low /b %USERPROFILE%\Documents\GitHub\eaglep3\Utilities\DownloadLogsFromS3.py --loco 4019 --day 2017-02-13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"%USERPROFILE%\AppData\Local\Temp\OnboardLogs"\RTDC4019\*4019*20170214* | grep -SE "(Enforcement Action)|(\[TIMEOUT)|(CHR.+\|PRM\|1\|D.+(SWITCH|SIGNAL).+UNKNOWN)" - &gt;&gt; 2017-02-13-UncaughtWiMAX.txt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701</v>
      </c>
      <c r="B125" s="7">
        <v>4011</v>
      </c>
      <c r="C125" s="21" t="s">
        <v>193</v>
      </c>
      <c r="D125" s="21" t="s">
        <v>298</v>
      </c>
      <c r="E125" s="13">
        <v>42779.736342592594</v>
      </c>
      <c r="F125" s="13">
        <v>42779.739953703705</v>
      </c>
      <c r="G125" s="7">
        <v>1</v>
      </c>
      <c r="H125" s="21" t="s">
        <v>770</v>
      </c>
      <c r="I125" s="13">
        <v>42779.765451388892</v>
      </c>
      <c r="J125" s="7">
        <v>0</v>
      </c>
      <c r="K125" s="98" t="str">
        <f t="shared" si="25"/>
        <v>4011/4012</v>
      </c>
      <c r="L125" s="21" t="str">
        <f>VLOOKUP(A125,'Trips&amp;Operators'!$C$1:$G$99999,5,FALSE)</f>
        <v>SMITH MICHAEL</v>
      </c>
      <c r="M125" s="6">
        <f t="shared" si="26"/>
        <v>2.5497685186564922E-2</v>
      </c>
      <c r="N125" s="7">
        <f t="shared" ref="N125:N159" si="44">24*60*SUM($M125:$M125)</f>
        <v>36.716666668653488</v>
      </c>
      <c r="O125" s="7"/>
      <c r="P125" s="7"/>
      <c r="Q125" s="22"/>
      <c r="R125" s="22"/>
      <c r="S125" s="31">
        <f t="shared" si="28"/>
        <v>1</v>
      </c>
      <c r="T125" s="46" t="str">
        <f t="shared" si="29"/>
        <v>NorthBound</v>
      </c>
      <c r="U125" s="18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7" t="str">
        <f t="shared" si="30"/>
        <v>https://d0f6bd738d7f1b3e5a7ca70fe4ff75f0.us-east-1.aws.found.io/app/kibana#/discover/Steve-Slow-Train-Analysis-(2080s-and-2083s)?_g=(refreshInterval:(display:Off,pause:!f,section:0,value:0),time:(from:'2017-02-13T16:40:20-0700',mode:absolute,to:'2017-02-13T19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5" s="188" t="str">
        <f t="shared" si="31"/>
        <v>N</v>
      </c>
      <c r="X125" s="188">
        <f t="shared" si="43"/>
        <v>1</v>
      </c>
      <c r="Y125" s="62">
        <f t="shared" si="32"/>
        <v>4.4699999999999997E-2</v>
      </c>
      <c r="Z125" s="62">
        <f t="shared" si="33"/>
        <v>23.3324</v>
      </c>
      <c r="AA125" s="62">
        <f t="shared" si="34"/>
        <v>23.287700000000001</v>
      </c>
      <c r="AB125" s="59" t="e">
        <f>VLOOKUP(A125,Enforcements!$C$7:$K$14,8,0)</f>
        <v>#N/A</v>
      </c>
      <c r="AC125" s="55" t="e">
        <f>VLOOKUP(A125,Enforcements!$C$7:$E$14,3,0)</f>
        <v>#N/A</v>
      </c>
      <c r="AD125" s="56" t="str">
        <f t="shared" si="35"/>
        <v>0213-13</v>
      </c>
      <c r="AE125" s="85" t="str">
        <f t="shared" si="36"/>
        <v>aws s3 cp s3://rtdc.mdm.uploadarchive.raw/RTDC4011/ "%USERPROFILE%\AppData\Local\Temp\OnboardLogs"\RTDC4011\2017-02-13 --exclude "*" --recursive --include "*20170213*" &amp; "%USERPROFILE%\Documents\GitHub\mrs-test-scripts\Headless Mode &amp; Sideloading\WalkAndUnGZ.bat" "%USERPROFILE%\AppData\Local\Temp\OnboardLogs"\RTDC4011\2017-02-13 &amp; aws s3 cp s3://rtdc.mdm.uploadarchive.raw/RTDC4011/ "%USERPROFILE%\AppData\Local\Temp\OnboardLogs"\RTDC4011\2017-02-14 --exclude "*" --recursive --include "*20170214*" &amp; "%USERPROFILE%\Documents\GitHub\mrs-test-scripts\Headless Mode &amp; Sideloading\WalkAndUnGZ.bat" "%USERPROFILE%\AppData\Local\Temp\OnboardLogs"\RTDC4011\2017-02-14</v>
      </c>
      <c r="AF125" s="82" t="str">
        <f t="shared" si="37"/>
        <v>"C:\Program Files (x86)\AstroGrep\AstroGrep.exe" /spath="%USERPROFILE%\AppData\Local\Temp\OnboardLogs" /stypes="app*4011*20170214*" /stext=" 01:.+((SYSTEM_STATE.+slice.+state.+changed )|(ment ac)|(multiple cpu faults)|(system.+state.+changed )|(\[timeout)|(PRM\|1\|D)|(kpr)|(kdp)|(\|lc)|(penalty))" /e /r /s</v>
      </c>
      <c r="AG125" s="1" t="str">
        <f t="shared" si="38"/>
        <v>EC</v>
      </c>
      <c r="AH125" s="86" t="str">
        <f t="shared" si="39"/>
        <v>"%USERPROFILE%\Documents\GitHub\eaglep3\Utilities\RefineRTDCRunTimes.py" --tripid 213-13 --locoid 4011 --swversion DE.1.0.8.0 --startMP 204:447 --initTime 2017-02-13T17:40:20 --startdatetime 2017-02-13T17:45:32 --delay 1 --endMP 204:233324 --enddatetime 2017-02-13T18:22:15 --enforcementcount 0 &gt;&gt;C:\Users\stu\Documents\GitHub\eaglep3-reporting\EC\2017-02-13-refined-times.txt</v>
      </c>
      <c r="AI125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{"issue":{"subject":"","project_id":79,"tracker_id":40,"status_id":1,"priority_id":2,"assigned_to_id":23,"start_date":"2017-02-13","description":"","custom_fields":[{"id":1,"name":"Subdivision","value":"EC"},{"id":4,"name":"Milepost","value":"23.3324"},{"id":17,"name":"Train ID","value":"213-13"},{"id":16,"name":"Locomotive ID","value":"4011"},{"id":130,"name":"Impact","value":""},{"id":150,"name":"Time of Event (Mountain Time)","value":"18:22:15"},{"id":151,"name":"Denver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1"/>
        <v>start /low /b %USERPROFILE%\Documents\GitHub\eaglep3\Utilities\DownloadLogsFromS3.py --loco 4011 --day 2017-02-13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"%USERPROFILE%\AppData\Local\Temp\OnboardLogs"\RTDC4011\*4011*20170214* | grep -SE "(Enforcement Action)|(\[TIMEOUT)|(CHR.+\|PRM\|1\|D.+(SWITCH|SIGNAL).+UNKNOWN)" - &gt;&gt; 2017-02-13-UncaughtWiMAX.txt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713</v>
      </c>
      <c r="B126" s="7">
        <v>4012</v>
      </c>
      <c r="C126" s="21" t="s">
        <v>193</v>
      </c>
      <c r="D126" s="21" t="s">
        <v>809</v>
      </c>
      <c r="E126" s="13">
        <v>42779.771516203706</v>
      </c>
      <c r="F126" s="13">
        <v>42779.778773148151</v>
      </c>
      <c r="G126" s="7">
        <v>1</v>
      </c>
      <c r="H126" s="21" t="s">
        <v>205</v>
      </c>
      <c r="I126" s="13">
        <v>42779.805312500001</v>
      </c>
      <c r="J126" s="7">
        <v>0</v>
      </c>
      <c r="K126" s="98" t="str">
        <f t="shared" si="25"/>
        <v>4011/4012</v>
      </c>
      <c r="L126" s="21" t="str">
        <f>VLOOKUP(A126,'Trips&amp;Operators'!$C$1:$G$99999,5,FALSE)</f>
        <v>SMITH MICHAEL</v>
      </c>
      <c r="M126" s="6">
        <f t="shared" si="26"/>
        <v>2.6539351849351078E-2</v>
      </c>
      <c r="N126" s="7">
        <f t="shared" si="44"/>
        <v>38.216666663065553</v>
      </c>
      <c r="O126" s="7"/>
      <c r="P126" s="7"/>
      <c r="Q126" s="22"/>
      <c r="R126" s="22"/>
      <c r="S126" s="31">
        <f t="shared" si="28"/>
        <v>1</v>
      </c>
      <c r="T126" s="46" t="str">
        <f t="shared" si="29"/>
        <v>Southbound</v>
      </c>
      <c r="U126" s="18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7" t="str">
        <f t="shared" si="30"/>
        <v>https://d0f6bd738d7f1b3e5a7ca70fe4ff75f0.us-east-1.aws.found.io/app/kibana#/discover/Steve-Slow-Train-Analysis-(2080s-and-2083s)?_g=(refreshInterval:(display:Off,pause:!f,section:0,value:0),time:(from:'2017-02-13T17:30:59-0700',mode:absolute,to:'2017-02-13T20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6" s="188" t="str">
        <f t="shared" si="31"/>
        <v>N</v>
      </c>
      <c r="X126" s="188">
        <f t="shared" si="43"/>
        <v>1</v>
      </c>
      <c r="Y126" s="62">
        <f t="shared" si="32"/>
        <v>23.2971</v>
      </c>
      <c r="Z126" s="62">
        <f t="shared" si="33"/>
        <v>1.6E-2</v>
      </c>
      <c r="AA126" s="62">
        <f t="shared" si="34"/>
        <v>23.281100000000002</v>
      </c>
      <c r="AB126" s="59" t="e">
        <f>VLOOKUP(A126,Enforcements!$C$7:$K$14,8,0)</f>
        <v>#N/A</v>
      </c>
      <c r="AC126" s="55" t="e">
        <f>VLOOKUP(A126,Enforcements!$C$7:$E$14,3,0)</f>
        <v>#N/A</v>
      </c>
      <c r="AD126" s="56" t="str">
        <f t="shared" si="35"/>
        <v>0214-13</v>
      </c>
      <c r="AE126" s="85" t="str">
        <f t="shared" si="36"/>
        <v>aws s3 cp s3://rtdc.mdm.uploadarchive.raw/RTDC4012/ "%USERPROFILE%\AppData\Local\Temp\OnboardLogs"\RTDC4012\2017-02-13 --exclude "*" --recursive --include "*20170213*" &amp; "%USERPROFILE%\Documents\GitHub\mrs-test-scripts\Headless Mode &amp; Sideloading\WalkAndUnGZ.bat" "%USERPROFILE%\AppData\Local\Temp\OnboardLogs"\RTDC4012\2017-02-13 &amp; 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</v>
      </c>
      <c r="AF126" s="82" t="str">
        <f t="shared" si="37"/>
        <v>"C:\Program Files (x86)\AstroGrep\AstroGrep.exe" /spath="%USERPROFILE%\AppData\Local\Temp\OnboardLogs" /stypes="app*4012*20170214*" /stext=" 02:.+((SYSTEM_STATE.+slice.+state.+changed )|(ment ac)|(multiple cpu faults)|(system.+state.+changed )|(\[timeout)|(PRM\|1\|D)|(kpr)|(kdp)|(\|lc)|(penalty))" /e /r /s</v>
      </c>
      <c r="AG126" s="1" t="str">
        <f t="shared" si="38"/>
        <v>EC</v>
      </c>
      <c r="AH126" s="86" t="str">
        <f t="shared" si="39"/>
        <v>"%USERPROFILE%\Documents\GitHub\eaglep3\Utilities\RefineRTDCRunTimes.py" --tripid 214-13 --locoid 4012 --swversion DE.1.0.8.0 --startMP 204:232971 --initTime 2017-02-13T18:30:59 --startdatetime 2017-02-13T18:41:26 --delay 1 --endMP 204:160 --enddatetime 2017-02-13T19:19:39 --enforcementcount 0 &gt;&gt;C:\Users\stu\Documents\GitHub\eaglep3-reporting\EC\2017-02-13-refined-times.txt</v>
      </c>
      <c r="AI126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{"issue":{"subject":"","project_id":79,"tracker_id":40,"status_id":1,"priority_id":2,"assigned_to_id":23,"start_date":"2017-02-13","description":"","custom_fields":[{"id":1,"name":"Subdivision","value":"EC"},{"id":4,"name":"Milepost","value":"0.016"},{"id":17,"name":"Train ID","value":"214-13"},{"id":16,"name":"Locomotive ID","value":"4012"},{"id":130,"name":"Impact","value":""},{"id":150,"name":"Time of Event (Mountain Time)","value":"19:19:39"},{"id":151,"name":"Denver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1"/>
        <v>start /low /b %USERPROFILE%\Documents\GitHub\eaglep3\Utilities\DownloadLogsFromS3.py --loco 4012 --day 2017-02-13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"%USERPROFILE%\AppData\Local\Temp\OnboardLogs"\RTDC4012\*4012*20170214* | grep -SE "(Enforcement Action)|(\[TIMEOUT)|(CHR.+\|PRM\|1\|D.+(SWITCH|SIGNAL).+UNKNOWN)" - &gt;&gt; 2017-02-13-UncaughtWiMAX.txt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702</v>
      </c>
      <c r="B127" s="7">
        <v>4040</v>
      </c>
      <c r="C127" s="21" t="s">
        <v>193</v>
      </c>
      <c r="D127" s="21" t="s">
        <v>235</v>
      </c>
      <c r="E127" s="13">
        <v>42779.745162037034</v>
      </c>
      <c r="F127" s="13">
        <v>42779.750173611108</v>
      </c>
      <c r="G127" s="7">
        <v>1</v>
      </c>
      <c r="H127" s="21" t="s">
        <v>311</v>
      </c>
      <c r="I127" s="13">
        <v>42779.775856481479</v>
      </c>
      <c r="J127" s="7">
        <v>0</v>
      </c>
      <c r="K127" s="98" t="str">
        <f t="shared" si="25"/>
        <v>4039/4040</v>
      </c>
      <c r="L127" s="21" t="str">
        <f>VLOOKUP(A127,'Trips&amp;Operators'!$C$1:$G$99999,5,FALSE)</f>
        <v>KILLION DAVID</v>
      </c>
      <c r="M127" s="6">
        <f t="shared" si="26"/>
        <v>2.5682870371383615E-2</v>
      </c>
      <c r="N127" s="7">
        <f t="shared" si="44"/>
        <v>36.983333334792405</v>
      </c>
      <c r="O127" s="7"/>
      <c r="P127" s="7"/>
      <c r="Q127" s="22"/>
      <c r="R127" s="22"/>
      <c r="S127" s="31">
        <f t="shared" si="28"/>
        <v>1</v>
      </c>
      <c r="T127" s="46" t="str">
        <f t="shared" si="29"/>
        <v>NorthBound</v>
      </c>
      <c r="U127" s="18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7" t="str">
        <f t="shared" si="30"/>
        <v>https://d0f6bd738d7f1b3e5a7ca70fe4ff75f0.us-east-1.aws.found.io/app/kibana#/discover/Steve-Slow-Train-Analysis-(2080s-and-2083s)?_g=(refreshInterval:(display:Off,pause:!f,section:0,value:0),time:(from:'2017-02-13T16:53:02-0700',mode:absolute,to:'2017-02-13T19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7" s="188" t="str">
        <f t="shared" si="31"/>
        <v>N</v>
      </c>
      <c r="X127" s="188">
        <f t="shared" si="43"/>
        <v>1</v>
      </c>
      <c r="Y127" s="62">
        <f t="shared" si="32"/>
        <v>4.5100000000000001E-2</v>
      </c>
      <c r="Z127" s="62">
        <f t="shared" si="33"/>
        <v>23.3293</v>
      </c>
      <c r="AA127" s="62">
        <f t="shared" si="34"/>
        <v>23.284199999999998</v>
      </c>
      <c r="AB127" s="59" t="e">
        <f>VLOOKUP(A127,Enforcements!$C$7:$K$14,8,0)</f>
        <v>#N/A</v>
      </c>
      <c r="AC127" s="55" t="e">
        <f>VLOOKUP(A127,Enforcements!$C$7:$E$14,3,0)</f>
        <v>#N/A</v>
      </c>
      <c r="AD127" s="56" t="str">
        <f t="shared" si="35"/>
        <v>0215-13</v>
      </c>
      <c r="AE127" s="85" t="str">
        <f t="shared" si="36"/>
        <v>aws s3 cp s3://rtdc.mdm.uploadarchive.raw/RTDC4040/ "%USERPROFILE%\AppData\Local\Temp\OnboardLogs"\RTDC4040\2017-02-13 --exclude "*" --recursive --include "*20170213*" &amp; "%USERPROFILE%\Documents\GitHub\mrs-test-scripts\Headless Mode &amp; Sideloading\WalkAndUnGZ.bat" "%USERPROFILE%\AppData\Local\Temp\OnboardLogs"\RTDC4040\2017-02-13 &amp; aws s3 cp s3://rtdc.mdm.uploadarchive.raw/RTDC4040/ "%USERPROFILE%\AppData\Local\Temp\OnboardLogs"\RTDC4040\2017-02-14 --exclude "*" --recursive --include "*20170214*" &amp; "%USERPROFILE%\Documents\GitHub\mrs-test-scripts\Headless Mode &amp; Sideloading\WalkAndUnGZ.bat" "%USERPROFILE%\AppData\Local\Temp\OnboardLogs"\RTDC4040\2017-02-14</v>
      </c>
      <c r="AF127" s="82" t="str">
        <f t="shared" si="37"/>
        <v>"C:\Program Files (x86)\AstroGrep\AstroGrep.exe" /spath="%USERPROFILE%\AppData\Local\Temp\OnboardLogs" /stypes="app*4040*20170214*" /stext=" 01:.+((SYSTEM_STATE.+slice.+state.+changed )|(ment ac)|(multiple cpu faults)|(system.+state.+changed )|(\[timeout)|(PRM\|1\|D)|(kpr)|(kdp)|(\|lc)|(penalty))" /e /r /s</v>
      </c>
      <c r="AG127" s="1" t="str">
        <f t="shared" si="38"/>
        <v>EC</v>
      </c>
      <c r="AH127" s="86" t="str">
        <f t="shared" si="39"/>
        <v>"%USERPROFILE%\Documents\GitHub\eaglep3\Utilities\RefineRTDCRunTimes.py" --tripid 215-13 --locoid 4040 --swversion DE.1.0.8.0 --startMP 204:451 --initTime 2017-02-13T17:53:02 --startdatetime 2017-02-13T18:00:15 --delay 1 --endMP 204:233293 --enddatetime 2017-02-13T18:37:14 --enforcementcount 0 &gt;&gt;C:\Users\stu\Documents\GitHub\eaglep3-reporting\EC\2017-02-13-refined-times.txt</v>
      </c>
      <c r="AI127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{"issue":{"subject":"","project_id":79,"tracker_id":40,"status_id":1,"priority_id":2,"assigned_to_id":23,"start_date":"2017-02-13","description":"","custom_fields":[{"id":1,"name":"Subdivision","value":"EC"},{"id":4,"name":"Milepost","value":"23.3293"},{"id":17,"name":"Train ID","value":"215-13"},{"id":16,"name":"Locomotive ID","value":"4040"},{"id":130,"name":"Impact","value":""},{"id":150,"name":"Time of Event (Mountain Time)","value":"18:37:14"},{"id":151,"name":"Denver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1"/>
        <v>start /low /b %USERPROFILE%\Documents\GitHub\eaglep3\Utilities\DownloadLogsFromS3.py --loco 4040 --day 2017-02-13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"%USERPROFILE%\AppData\Local\Temp\OnboardLogs"\RTDC4040\*4040*20170214* | grep -SE "(Enforcement Action)|(\[TIMEOUT)|(CHR.+\|PRM\|1\|D.+(SWITCH|SIGNAL).+UNKNOWN)" - &gt;&gt; 2017-02-13-UncaughtWiMAX.txt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716</v>
      </c>
      <c r="B128" s="7">
        <v>4039</v>
      </c>
      <c r="C128" s="21" t="s">
        <v>193</v>
      </c>
      <c r="D128" s="21" t="s">
        <v>339</v>
      </c>
      <c r="E128" s="13">
        <v>42779.782673611109</v>
      </c>
      <c r="F128" s="13">
        <v>42779.789502314816</v>
      </c>
      <c r="G128" s="7">
        <v>1</v>
      </c>
      <c r="H128" s="21" t="s">
        <v>516</v>
      </c>
      <c r="I128" s="13">
        <v>42779.815162037034</v>
      </c>
      <c r="J128" s="7">
        <v>0</v>
      </c>
      <c r="K128" s="98" t="str">
        <f t="shared" si="25"/>
        <v>4039/4040</v>
      </c>
      <c r="L128" s="21" t="str">
        <f>VLOOKUP(A128,'Trips&amp;Operators'!$C$1:$G$99999,5,FALSE)</f>
        <v>KILLION DAVID</v>
      </c>
      <c r="M128" s="6">
        <f t="shared" si="26"/>
        <v>2.565972221782431E-2</v>
      </c>
      <c r="N128" s="7">
        <f t="shared" si="44"/>
        <v>36.949999993667006</v>
      </c>
      <c r="O128" s="7"/>
      <c r="P128" s="7"/>
      <c r="Q128" s="22"/>
      <c r="R128" s="22"/>
      <c r="S128" s="31">
        <f t="shared" si="28"/>
        <v>1</v>
      </c>
      <c r="T128" s="46" t="str">
        <f t="shared" si="29"/>
        <v>Southbound</v>
      </c>
      <c r="U128" s="18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7" t="str">
        <f t="shared" si="30"/>
        <v>https://d0f6bd738d7f1b3e5a7ca70fe4ff75f0.us-east-1.aws.found.io/app/kibana#/discover/Steve-Slow-Train-Analysis-(2080s-and-2083s)?_g=(refreshInterval:(display:Off,pause:!f,section:0,value:0),time:(from:'2017-02-13T17:47:03-0700',mode:absolute,to:'2017-02-13T20:33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8" s="188" t="str">
        <f t="shared" si="31"/>
        <v>N</v>
      </c>
      <c r="X128" s="188">
        <f t="shared" si="43"/>
        <v>1</v>
      </c>
      <c r="Y128" s="62">
        <f t="shared" si="32"/>
        <v>23.298300000000001</v>
      </c>
      <c r="Z128" s="62">
        <f t="shared" si="33"/>
        <v>1.7000000000000001E-2</v>
      </c>
      <c r="AA128" s="62">
        <f t="shared" si="34"/>
        <v>23.281300000000002</v>
      </c>
      <c r="AB128" s="59" t="e">
        <f>VLOOKUP(A128,Enforcements!$C$7:$K$14,8,0)</f>
        <v>#N/A</v>
      </c>
      <c r="AC128" s="55" t="e">
        <f>VLOOKUP(A128,Enforcements!$C$7:$E$14,3,0)</f>
        <v>#N/A</v>
      </c>
      <c r="AD128" s="56" t="str">
        <f t="shared" si="35"/>
        <v>0216-13</v>
      </c>
      <c r="AE128" s="85" t="str">
        <f t="shared" si="36"/>
        <v>aws s3 cp s3://rtdc.mdm.uploadarchive.raw/RTDC4039/ "%USERPROFILE%\AppData\Local\Temp\OnboardLogs"\RTDC4039\2017-02-13 --exclude "*" --recursive --include "*20170213*" &amp; "%USERPROFILE%\Documents\GitHub\mrs-test-scripts\Headless Mode &amp; Sideloading\WalkAndUnGZ.bat" "%USERPROFILE%\AppData\Local\Temp\OnboardLogs"\RTDC4039\2017-02-13 &amp; aws s3 cp s3://rtdc.mdm.uploadarchive.raw/RTDC4039/ "%USERPROFILE%\AppData\Local\Temp\OnboardLogs"\RTDC4039\2017-02-14 --exclude "*" --recursive --include "*20170214*" &amp; "%USERPROFILE%\Documents\GitHub\mrs-test-scripts\Headless Mode &amp; Sideloading\WalkAndUnGZ.bat" "%USERPROFILE%\AppData\Local\Temp\OnboardLogs"\RTDC4039\2017-02-14</v>
      </c>
      <c r="AF128" s="82" t="str">
        <f t="shared" si="37"/>
        <v>"C:\Program Files (x86)\AstroGrep\AstroGrep.exe" /spath="%USERPROFILE%\AppData\Local\Temp\OnboardLogs" /stypes="app*4039*20170214*" /stext=" 02:.+((SYSTEM_STATE.+slice.+state.+changed )|(ment ac)|(multiple cpu faults)|(system.+state.+changed )|(\[timeout)|(PRM\|1\|D)|(kpr)|(kdp)|(\|lc)|(penalty))" /e /r /s</v>
      </c>
      <c r="AG128" s="1" t="str">
        <f t="shared" si="38"/>
        <v>EC</v>
      </c>
      <c r="AH128" s="86" t="str">
        <f t="shared" si="39"/>
        <v>"%USERPROFILE%\Documents\GitHub\eaglep3\Utilities\RefineRTDCRunTimes.py" --tripid 216-13 --locoid 4039 --swversion DE.1.0.8.0 --startMP 204:232983 --initTime 2017-02-13T18:47:03 --startdatetime 2017-02-13T18:56:53 --delay 1 --endMP 204:170 --enddatetime 2017-02-13T19:33:50 --enforcementcount 0 &gt;&gt;C:\Users\stu\Documents\GitHub\eaglep3-reporting\EC\2017-02-13-refined-times.txt</v>
      </c>
      <c r="AI128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{"issue":{"subject":"","project_id":79,"tracker_id":40,"status_id":1,"priority_id":2,"assigned_to_id":23,"start_date":"2017-02-13","description":"","custom_fields":[{"id":1,"name":"Subdivision","value":"EC"},{"id":4,"name":"Milepost","value":"0.017"},{"id":17,"name":"Train ID","value":"216-13"},{"id":16,"name":"Locomotive ID","value":"4039"},{"id":130,"name":"Impact","value":""},{"id":150,"name":"Time of Event (Mountain Time)","value":"19:33:50"},{"id":151,"name":"Denver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1"/>
        <v>start /low /b %USERPROFILE%\Documents\GitHub\eaglep3\Utilities\DownloadLogsFromS3.py --loco 4039 --day 2017-02-13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"%USERPROFILE%\AppData\Local\Temp\OnboardLogs"\RTDC4039\*4039*20170214* | grep -SE "(Enforcement Action)|(\[TIMEOUT)|(CHR.+\|PRM\|1\|D.+(SWITCH|SIGNAL).+UNKNOWN)" - &gt;&gt; 2017-02-13-UncaughtWiMAX.txt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708</v>
      </c>
      <c r="B129" s="7">
        <v>4025</v>
      </c>
      <c r="C129" s="21" t="s">
        <v>193</v>
      </c>
      <c r="D129" s="21" t="s">
        <v>801</v>
      </c>
      <c r="E129" s="13">
        <v>42779.757870370369</v>
      </c>
      <c r="F129" s="13">
        <v>42779.760787037034</v>
      </c>
      <c r="G129" s="7">
        <v>2</v>
      </c>
      <c r="H129" s="21" t="s">
        <v>517</v>
      </c>
      <c r="I129" s="13">
        <v>42779.785949074074</v>
      </c>
      <c r="J129" s="7">
        <v>0</v>
      </c>
      <c r="K129" s="98" t="str">
        <f t="shared" si="25"/>
        <v>4025/4026</v>
      </c>
      <c r="L129" s="21" t="str">
        <f>VLOOKUP(A129,'Trips&amp;Operators'!$C$1:$G$99999,5,FALSE)</f>
        <v>STAMBAUGH JAMES</v>
      </c>
      <c r="M129" s="6">
        <f t="shared" si="26"/>
        <v>2.5162037039990537E-2</v>
      </c>
      <c r="N129" s="7">
        <f t="shared" si="44"/>
        <v>36.233333337586373</v>
      </c>
      <c r="O129" s="7"/>
      <c r="P129" s="7"/>
      <c r="Q129" s="22"/>
      <c r="R129" s="22"/>
      <c r="S129" s="31">
        <f t="shared" si="28"/>
        <v>1</v>
      </c>
      <c r="T129" s="46" t="str">
        <f t="shared" si="29"/>
        <v>NorthBound</v>
      </c>
      <c r="U129" s="18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7" t="str">
        <f t="shared" si="30"/>
        <v>https://d0f6bd738d7f1b3e5a7ca70fe4ff75f0.us-east-1.aws.found.io/app/kibana#/discover/Steve-Slow-Train-Analysis-(2080s-and-2083s)?_g=(refreshInterval:(display:Off,pause:!f,section:0,value:0),time:(from:'2017-02-13T17:11:20-0700',mode:absolute,to:'2017-02-13T19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9" s="188" t="str">
        <f t="shared" si="31"/>
        <v>N</v>
      </c>
      <c r="X129" s="188">
        <f t="shared" si="43"/>
        <v>1</v>
      </c>
      <c r="Y129" s="62">
        <f t="shared" si="32"/>
        <v>4.8000000000000001E-2</v>
      </c>
      <c r="Z129" s="62">
        <f t="shared" si="33"/>
        <v>23.338899999999999</v>
      </c>
      <c r="AA129" s="62">
        <f t="shared" si="34"/>
        <v>23.290900000000001</v>
      </c>
      <c r="AB129" s="59" t="e">
        <f>VLOOKUP(A129,Enforcements!$C$7:$K$14,8,0)</f>
        <v>#N/A</v>
      </c>
      <c r="AC129" s="55" t="e">
        <f>VLOOKUP(A129,Enforcements!$C$7:$E$14,3,0)</f>
        <v>#N/A</v>
      </c>
      <c r="AD129" s="56" t="str">
        <f t="shared" si="35"/>
        <v>0217-13</v>
      </c>
      <c r="AE129" s="85" t="str">
        <f t="shared" si="36"/>
        <v>aws s3 cp s3://rtdc.mdm.uploadarchive.raw/RTDC4025/ "%USERPROFILE%\AppData\Local\Temp\OnboardLogs"\RTDC4025\2017-02-13 --exclude "*" --recursive --include "*20170213*" &amp; "%USERPROFILE%\Documents\GitHub\mrs-test-scripts\Headless Mode &amp; Sideloading\WalkAndUnGZ.bat" "%USERPROFILE%\AppData\Local\Temp\OnboardLogs"\RTDC4025\2017-02-13 &amp; aws s3 cp s3://rtdc.mdm.uploadarchive.raw/RTDC4025/ "%USERPROFILE%\AppData\Local\Temp\OnboardLogs"\RTDC4025\2017-02-14 --exclude "*" --recursive --include "*20170214*" &amp; "%USERPROFILE%\Documents\GitHub\mrs-test-scripts\Headless Mode &amp; Sideloading\WalkAndUnGZ.bat" "%USERPROFILE%\AppData\Local\Temp\OnboardLogs"\RTDC4025\2017-02-14</v>
      </c>
      <c r="AF129" s="82" t="str">
        <f t="shared" si="37"/>
        <v>"C:\Program Files (x86)\AstroGrep\AstroGrep.exe" /spath="%USERPROFILE%\AppData\Local\Temp\OnboardLogs" /stypes="app*4025*20170214*" /stext=" 01:.+((SYSTEM_STATE.+slice.+state.+changed )|(ment ac)|(multiple cpu faults)|(system.+state.+changed )|(\[timeout)|(PRM\|1\|D)|(kpr)|(kdp)|(\|lc)|(penalty))" /e /r /s</v>
      </c>
      <c r="AG129" s="1" t="str">
        <f t="shared" si="38"/>
        <v>EC</v>
      </c>
      <c r="AH129" s="86" t="str">
        <f t="shared" si="39"/>
        <v>"%USERPROFILE%\Documents\GitHub\eaglep3\Utilities\RefineRTDCRunTimes.py" --tripid 217-13 --locoid 4025 --swversion DE.1.0.8.0 --startMP 204:480 --initTime 2017-02-13T18:11:20 --startdatetime 2017-02-13T18:15:32 --delay 2 --endMP 204:233389 --enddatetime 2017-02-13T18:51:46 --enforcementcount 0 &gt;&gt;C:\Users\stu\Documents\GitHub\eaglep3-reporting\EC\2017-02-13-refined-times.txt</v>
      </c>
      <c r="AI129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{"issue":{"subject":"","project_id":79,"tracker_id":40,"status_id":1,"priority_id":2,"assigned_to_id":23,"start_date":"2017-02-13","description":"","custom_fields":[{"id":1,"name":"Subdivision","value":"EC"},{"id":4,"name":"Milepost","value":"23.3389"},{"id":17,"name":"Train ID","value":"217-13"},{"id":16,"name":"Locomotive ID","value":"4025"},{"id":130,"name":"Impact","value":""},{"id":150,"name":"Time of Event (Mountain Time)","value":"18:51:46"},{"id":151,"name":"Denver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1"/>
        <v>start /low /b %USERPROFILE%\Documents\GitHub\eaglep3\Utilities\DownloadLogsFromS3.py --loco 4025 --day 2017-02-13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"%USERPROFILE%\AppData\Local\Temp\OnboardLogs"\RTDC4025\*4025*20170214* | grep -SE "(Enforcement Action)|(\[TIMEOUT)|(CHR.+\|PRM\|1\|D.+(SWITCH|SIGNAL).+UNKNOWN)" - &gt;&gt; 2017-02-13-UncaughtWiMAX.txt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719</v>
      </c>
      <c r="B130" s="7">
        <v>4026</v>
      </c>
      <c r="C130" s="21" t="s">
        <v>193</v>
      </c>
      <c r="D130" s="21" t="s">
        <v>814</v>
      </c>
      <c r="E130" s="13">
        <v>42779.797025462962</v>
      </c>
      <c r="F130" s="13">
        <v>42779.800416666665</v>
      </c>
      <c r="G130" s="7">
        <v>1</v>
      </c>
      <c r="H130" s="21" t="s">
        <v>815</v>
      </c>
      <c r="I130" s="13">
        <v>42779.825752314813</v>
      </c>
      <c r="J130" s="7">
        <v>0</v>
      </c>
      <c r="K130" s="98" t="str">
        <f t="shared" si="25"/>
        <v>4025/4026</v>
      </c>
      <c r="L130" s="21" t="str">
        <f>VLOOKUP(A130,'Trips&amp;Operators'!$C$1:$G$99999,5,FALSE)</f>
        <v>STAMBAUGH JAMES</v>
      </c>
      <c r="M130" s="6">
        <f t="shared" si="26"/>
        <v>2.5335648148029577E-2</v>
      </c>
      <c r="N130" s="7">
        <f t="shared" si="44"/>
        <v>36.483333333162591</v>
      </c>
      <c r="O130" s="7"/>
      <c r="P130" s="7"/>
      <c r="Q130" s="22"/>
      <c r="R130" s="22"/>
      <c r="S130" s="31">
        <f t="shared" si="28"/>
        <v>1</v>
      </c>
      <c r="T130" s="46" t="str">
        <f t="shared" si="29"/>
        <v>Southbound</v>
      </c>
      <c r="U130" s="18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7" t="str">
        <f t="shared" si="30"/>
        <v>https://d0f6bd738d7f1b3e5a7ca70fe4ff75f0.us-east-1.aws.found.io/app/kibana#/discover/Steve-Slow-Train-Analysis-(2080s-and-2083s)?_g=(refreshInterval:(display:Off,pause:!f,section:0,value:0),time:(from:'2017-02-13T18:07:43-0700',mode:absolute,to:'2017-02-13T20:49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0" s="188" t="str">
        <f t="shared" si="31"/>
        <v>N</v>
      </c>
      <c r="X130" s="188">
        <f t="shared" ref="X130:X161" si="45">VALUE(LEFT(AD130,4))-VALUE(LEFT(AD129,4))</f>
        <v>1</v>
      </c>
      <c r="Y130" s="62">
        <f t="shared" si="32"/>
        <v>23.307400000000001</v>
      </c>
      <c r="Z130" s="62">
        <f t="shared" si="33"/>
        <v>1.2500000000000001E-2</v>
      </c>
      <c r="AA130" s="62">
        <f t="shared" si="34"/>
        <v>23.294900000000002</v>
      </c>
      <c r="AB130" s="59" t="e">
        <f>VLOOKUP(A130,Enforcements!$C$7:$K$14,8,0)</f>
        <v>#N/A</v>
      </c>
      <c r="AC130" s="55" t="e">
        <f>VLOOKUP(A130,Enforcements!$C$7:$E$14,3,0)</f>
        <v>#N/A</v>
      </c>
      <c r="AD130" s="56" t="str">
        <f t="shared" si="35"/>
        <v>0218-13</v>
      </c>
      <c r="AE130" s="85" t="str">
        <f t="shared" si="36"/>
        <v>aws s3 cp s3://rtdc.mdm.uploadarchive.raw/RTDC4026/ "%USERPROFILE%\AppData\Local\Temp\OnboardLogs"\RTDC4026\2017-02-13 --exclude "*" --recursive --include "*20170213*" &amp; "%USERPROFILE%\Documents\GitHub\mrs-test-scripts\Headless Mode &amp; Sideloading\WalkAndUnGZ.bat" "%USERPROFILE%\AppData\Local\Temp\OnboardLogs"\RTDC4026\2017-02-13 &amp; aws s3 cp s3://rtdc.mdm.uploadarchive.raw/RTDC4026/ "%USERPROFILE%\AppData\Local\Temp\OnboardLogs"\RTDC4026\2017-02-14 --exclude "*" --recursive --include "*20170214*" &amp; "%USERPROFILE%\Documents\GitHub\mrs-test-scripts\Headless Mode &amp; Sideloading\WalkAndUnGZ.bat" "%USERPROFILE%\AppData\Local\Temp\OnboardLogs"\RTDC4026\2017-02-14</v>
      </c>
      <c r="AF130" s="82" t="str">
        <f t="shared" si="37"/>
        <v>"C:\Program Files (x86)\AstroGrep\AstroGrep.exe" /spath="%USERPROFILE%\AppData\Local\Temp\OnboardLogs" /stypes="app*4026*20170214*" /stext=" 02:.+((SYSTEM_STATE.+slice.+state.+changed )|(ment ac)|(multiple cpu faults)|(system.+state.+changed )|(\[timeout)|(PRM\|1\|D)|(kpr)|(kdp)|(\|lc)|(penalty))" /e /r /s</v>
      </c>
      <c r="AG130" s="1" t="str">
        <f t="shared" si="38"/>
        <v>EC</v>
      </c>
      <c r="AH130" s="86" t="str">
        <f t="shared" si="39"/>
        <v>"%USERPROFILE%\Documents\GitHub\eaglep3\Utilities\RefineRTDCRunTimes.py" --tripid 218-13 --locoid 4026 --swversion DE.1.0.8.0 --startMP 204:233074 --initTime 2017-02-13T19:07:43 --startdatetime 2017-02-13T19:12:36 --delay 1 --endMP 204:125 --enddatetime 2017-02-13T19:49:05 --enforcementcount 0 &gt;&gt;C:\Users\stu\Documents\GitHub\eaglep3-reporting\EC\2017-02-13-refined-times.txt</v>
      </c>
      <c r="AI130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{"issue":{"subject":"","project_id":79,"tracker_id":40,"status_id":1,"priority_id":2,"assigned_to_id":23,"start_date":"2017-02-13","description":"","custom_fields":[{"id":1,"name":"Subdivision","value":"EC"},{"id":4,"name":"Milepost","value":"0.0125"},{"id":17,"name":"Train ID","value":"218-13"},{"id":16,"name":"Locomotive ID","value":"4026"},{"id":130,"name":"Impact","value":""},{"id":150,"name":"Time of Event (Mountain Time)","value":"19:49:05"},{"id":151,"name":"Denver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1"/>
        <v>start /low /b %USERPROFILE%\Documents\GitHub\eaglep3\Utilities\DownloadLogsFromS3.py --loco 4026 --day 2017-02-13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"%USERPROFILE%\AppData\Local\Temp\OnboardLogs"\RTDC4026\*4026*20170214* | grep -SE "(Enforcement Action)|(\[TIMEOUT)|(CHR.+\|PRM\|1\|D.+(SWITCH|SIGNAL).+UNKNOWN)" - &gt;&gt; 2017-02-13-UncaughtWiMAX.txt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711</v>
      </c>
      <c r="B131" s="7">
        <v>4027</v>
      </c>
      <c r="C131" s="21" t="s">
        <v>193</v>
      </c>
      <c r="D131" s="21" t="s">
        <v>816</v>
      </c>
      <c r="E131" s="13">
        <v>42779.768703703703</v>
      </c>
      <c r="F131" s="13">
        <v>42779.771145833336</v>
      </c>
      <c r="G131" s="7">
        <v>2</v>
      </c>
      <c r="H131" s="21" t="s">
        <v>783</v>
      </c>
      <c r="I131" s="13">
        <v>42779.795995370368</v>
      </c>
      <c r="J131" s="7">
        <v>0</v>
      </c>
      <c r="K131" s="98" t="str">
        <f t="shared" si="25"/>
        <v>4027/4028</v>
      </c>
      <c r="L131" s="21" t="str">
        <f>VLOOKUP(A131,'Trips&amp;Operators'!$C$1:$G$99999,5,FALSE)</f>
        <v>STORY SAMANTHA</v>
      </c>
      <c r="M131" s="6">
        <f t="shared" si="26"/>
        <v>2.4849537032423541E-2</v>
      </c>
      <c r="N131" s="7">
        <f t="shared" si="44"/>
        <v>35.783333326689899</v>
      </c>
      <c r="O131" s="7"/>
      <c r="P131" s="7"/>
      <c r="Q131" s="22"/>
      <c r="R131" s="22"/>
      <c r="S131" s="31">
        <f t="shared" si="28"/>
        <v>1</v>
      </c>
      <c r="T131" s="46" t="str">
        <f t="shared" si="29"/>
        <v>NorthBound</v>
      </c>
      <c r="U131" s="18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7" t="str">
        <f t="shared" si="30"/>
        <v>https://d0f6bd738d7f1b3e5a7ca70fe4ff75f0.us-east-1.aws.found.io/app/kibana#/discover/Steve-Slow-Train-Analysis-(2080s-and-2083s)?_g=(refreshInterval:(display:Off,pause:!f,section:0,value:0),time:(from:'2017-02-13T17:26:56-0700',mode:absolute,to:'2017-02-13T20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1" s="188" t="str">
        <f t="shared" si="31"/>
        <v>N</v>
      </c>
      <c r="X131" s="188">
        <f t="shared" si="45"/>
        <v>1</v>
      </c>
      <c r="Y131" s="62">
        <f t="shared" si="32"/>
        <v>5.0900000000000001E-2</v>
      </c>
      <c r="Z131" s="62">
        <f t="shared" si="33"/>
        <v>23.332699999999999</v>
      </c>
      <c r="AA131" s="62">
        <f t="shared" si="34"/>
        <v>23.2818</v>
      </c>
      <c r="AB131" s="59" t="e">
        <f>VLOOKUP(A131,Enforcements!$C$7:$K$14,8,0)</f>
        <v>#N/A</v>
      </c>
      <c r="AC131" s="55" t="e">
        <f>VLOOKUP(A131,Enforcements!$C$7:$E$14,3,0)</f>
        <v>#N/A</v>
      </c>
      <c r="AD131" s="56" t="str">
        <f t="shared" si="35"/>
        <v>0219-13</v>
      </c>
      <c r="AE131" s="85" t="str">
        <f t="shared" si="36"/>
        <v>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 &amp; 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</v>
      </c>
      <c r="AF131" s="82" t="str">
        <f t="shared" si="37"/>
        <v>"C:\Program Files (x86)\AstroGrep\AstroGrep.exe" /spath="%USERPROFILE%\AppData\Local\Temp\OnboardLogs" /stypes="app*4027*20170214*" /stext=" 02:.+((SYSTEM_STATE.+slice.+state.+changed )|(ment ac)|(multiple cpu faults)|(system.+state.+changed )|(\[timeout)|(PRM\|1\|D)|(kpr)|(kdp)|(\|lc)|(penalty))" /e /r /s</v>
      </c>
      <c r="AG131" s="1" t="str">
        <f t="shared" si="38"/>
        <v>EC</v>
      </c>
      <c r="AH131" s="86" t="str">
        <f t="shared" si="39"/>
        <v>"%USERPROFILE%\Documents\GitHub\eaglep3\Utilities\RefineRTDCRunTimes.py" --tripid 219-13 --locoid 4027 --swversion DE.1.0.8.0 --startMP 204:509 --initTime 2017-02-13T18:26:56 --startdatetime 2017-02-13T18:30:27 --delay 2 --endMP 204:233327 --enddatetime 2017-02-13T19:06:14 --enforcementcount 0 &gt;&gt;C:\Users\stu\Documents\GitHub\eaglep3-reporting\EC\2017-02-13-refined-times.txt</v>
      </c>
      <c r="AI131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{"issue":{"subject":"","project_id":79,"tracker_id":40,"status_id":1,"priority_id":2,"assigned_to_id":23,"start_date":"2017-02-13","description":"","custom_fields":[{"id":1,"name":"Subdivision","value":"EC"},{"id":4,"name":"Milepost","value":"23.3327"},{"id":17,"name":"Train ID","value":"219-13"},{"id":16,"name":"Locomotive ID","value":"4027"},{"id":130,"name":"Impact","value":""},{"id":150,"name":"Time of Event (Mountain Time)","value":"19:06:14"},{"id":151,"name":"Denver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1"/>
        <v>start /low /b %USERPROFILE%\Documents\GitHub\eaglep3\Utilities\DownloadLogsFromS3.py --loco 4027 --day 2017-02-13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"%USERPROFILE%\AppData\Local\Temp\OnboardLogs"\RTDC4027\*4027*20170214* | grep -SE "(Enforcement Action)|(\[TIMEOUT)|(CHR.+\|PRM\|1\|D.+(SWITCH|SIGNAL).+UNKNOWN)" - &gt;&gt; 2017-02-13-UncaughtWiMAX.txt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722</v>
      </c>
      <c r="B132" s="7">
        <v>4028</v>
      </c>
      <c r="C132" s="21" t="s">
        <v>193</v>
      </c>
      <c r="D132" s="21" t="s">
        <v>780</v>
      </c>
      <c r="E132" s="13">
        <v>42779.806284722225</v>
      </c>
      <c r="F132" s="13">
        <v>42779.810254629629</v>
      </c>
      <c r="G132" s="7">
        <v>2</v>
      </c>
      <c r="H132" s="21" t="s">
        <v>184</v>
      </c>
      <c r="I132" s="13">
        <v>42779.836365740739</v>
      </c>
      <c r="J132" s="7">
        <v>0</v>
      </c>
      <c r="K132" s="98" t="str">
        <f t="shared" si="25"/>
        <v>4027/4028</v>
      </c>
      <c r="L132" s="21" t="str">
        <f>VLOOKUP(A132,'Trips&amp;Operators'!$C$1:$G$99999,5,FALSE)</f>
        <v>STORY SAMANTHA</v>
      </c>
      <c r="M132" s="6">
        <f t="shared" si="26"/>
        <v>2.6111111110367347E-2</v>
      </c>
      <c r="N132" s="7">
        <f t="shared" si="44"/>
        <v>37.599999998928979</v>
      </c>
      <c r="O132" s="7"/>
      <c r="P132" s="7"/>
      <c r="Q132" s="22"/>
      <c r="R132" s="22"/>
      <c r="S132" s="31">
        <f t="shared" si="28"/>
        <v>1</v>
      </c>
      <c r="T132" s="46" t="str">
        <f t="shared" si="29"/>
        <v>Southbound</v>
      </c>
      <c r="U132" s="18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7" t="str">
        <f t="shared" si="30"/>
        <v>https://d0f6bd738d7f1b3e5a7ca70fe4ff75f0.us-east-1.aws.found.io/app/kibana#/discover/Steve-Slow-Train-Analysis-(2080s-and-2083s)?_g=(refreshInterval:(display:Off,pause:!f,section:0,value:0),time:(from:'2017-02-13T18:21:03-0700',mode:absolute,to:'2017-02-13T21:04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2" s="188" t="str">
        <f t="shared" si="31"/>
        <v>N</v>
      </c>
      <c r="X132" s="188">
        <f t="shared" si="45"/>
        <v>1</v>
      </c>
      <c r="Y132" s="62">
        <f t="shared" si="32"/>
        <v>23.302700000000002</v>
      </c>
      <c r="Z132" s="62">
        <f t="shared" si="33"/>
        <v>1.49E-2</v>
      </c>
      <c r="AA132" s="62">
        <f t="shared" si="34"/>
        <v>23.287800000000001</v>
      </c>
      <c r="AB132" s="59" t="e">
        <f>VLOOKUP(A132,Enforcements!$C$7:$K$14,8,0)</f>
        <v>#N/A</v>
      </c>
      <c r="AC132" s="55" t="e">
        <f>VLOOKUP(A132,Enforcements!$C$7:$E$14,3,0)</f>
        <v>#N/A</v>
      </c>
      <c r="AD132" s="56" t="str">
        <f t="shared" si="35"/>
        <v>0220-13</v>
      </c>
      <c r="AE132" s="85" t="str">
        <f t="shared" si="36"/>
        <v>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 &amp; aws s3 cp s3://rtdc.mdm.uploadarchive.raw/RTDC4028/ "%USERPROFILE%\AppData\Local\Temp\OnboardLogs"\RTDC4028\2017-02-14 --exclude "*" --recursive --include "*20170214*" &amp; "%USERPROFILE%\Documents\GitHub\mrs-test-scripts\Headless Mode &amp; Sideloading\WalkAndUnGZ.bat" "%USERPROFILE%\AppData\Local\Temp\OnboardLogs"\RTDC4028\2017-02-14</v>
      </c>
      <c r="AF132" s="82" t="str">
        <f t="shared" si="37"/>
        <v>"C:\Program Files (x86)\AstroGrep\AstroGrep.exe" /spath="%USERPROFILE%\AppData\Local\Temp\OnboardLogs" /stypes="app*4028*20170214*" /stext=" 03:.+((SYSTEM_STATE.+slice.+state.+changed )|(ment ac)|(multiple cpu faults)|(system.+state.+changed )|(\[timeout)|(PRM\|1\|D)|(kpr)|(kdp)|(\|lc)|(penalty))" /e /r /s</v>
      </c>
      <c r="AG132" s="1" t="str">
        <f t="shared" si="38"/>
        <v>EC</v>
      </c>
      <c r="AH132" s="86" t="str">
        <f t="shared" si="39"/>
        <v>"%USERPROFILE%\Documents\GitHub\eaglep3\Utilities\RefineRTDCRunTimes.py" --tripid 220-13 --locoid 4028 --swversion DE.1.0.8.0 --startMP 204:233027 --initTime 2017-02-13T19:21:03 --startdatetime 2017-02-13T19:26:46 --delay 2 --endMP 204:149 --enddatetime 2017-02-13T20:04:22 --enforcementcount 0 &gt;&gt;C:\Users\stu\Documents\GitHub\eaglep3-reporting\EC\2017-02-13-refined-times.txt</v>
      </c>
      <c r="AI132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{"issue":{"subject":"","project_id":79,"tracker_id":40,"status_id":1,"priority_id":2,"assigned_to_id":23,"start_date":"2017-02-13","description":"","custom_fields":[{"id":1,"name":"Subdivision","value":"EC"},{"id":4,"name":"Milepost","value":"0.0149"},{"id":17,"name":"Train ID","value":"220-13"},{"id":16,"name":"Locomotive ID","value":"4028"},{"id":130,"name":"Impact","value":""},{"id":150,"name":"Time of Event (Mountain Time)","value":"20:04:22"},{"id":151,"name":"Denver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1"/>
        <v>start /low /b %USERPROFILE%\Documents\GitHub\eaglep3\Utilities\DownloadLogsFromS3.py --loco 4028 --day 2017-02-13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"%USERPROFILE%\AppData\Local\Temp\OnboardLogs"\RTDC4028\*4028*20170214* | grep -SE "(Enforcement Action)|(\[TIMEOUT)|(CHR.+\|PRM\|1\|D.+(SWITCH|SIGNAL).+UNKNOWN)" - &gt;&gt; 2017-02-13-UncaughtWiMAX.txt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717</v>
      </c>
      <c r="B133" s="7">
        <v>4044</v>
      </c>
      <c r="C133" s="21" t="s">
        <v>193</v>
      </c>
      <c r="D133" s="21" t="s">
        <v>351</v>
      </c>
      <c r="E133" s="13">
        <v>42779.789039351854</v>
      </c>
      <c r="F133" s="13">
        <v>42779.792210648149</v>
      </c>
      <c r="G133" s="7">
        <v>1</v>
      </c>
      <c r="H133" s="21" t="s">
        <v>348</v>
      </c>
      <c r="I133" s="13">
        <v>42779.817199074074</v>
      </c>
      <c r="J133" s="7">
        <v>0</v>
      </c>
      <c r="K133" s="98" t="str">
        <f t="shared" si="25"/>
        <v>4043/4044</v>
      </c>
      <c r="L133" s="21" t="str">
        <f>VLOOKUP(A133,'Trips&amp;Operators'!$C$1:$G$99999,5,FALSE)</f>
        <v>SAFIEF AEIMEN</v>
      </c>
      <c r="M133" s="6">
        <f t="shared" si="26"/>
        <v>2.4988425924675539E-2</v>
      </c>
      <c r="N133" s="7">
        <f t="shared" si="44"/>
        <v>35.983333331532776</v>
      </c>
      <c r="O133" s="7"/>
      <c r="P133" s="7"/>
      <c r="Q133" s="22"/>
      <c r="R133" s="22"/>
      <c r="S133" s="31">
        <f t="shared" si="28"/>
        <v>1</v>
      </c>
      <c r="T133" s="46" t="str">
        <f t="shared" si="29"/>
        <v>NorthBound</v>
      </c>
      <c r="U133" s="18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7" t="str">
        <f t="shared" si="30"/>
        <v>https://d0f6bd738d7f1b3e5a7ca70fe4ff75f0.us-east-1.aws.found.io/app/kibana#/discover/Steve-Slow-Train-Analysis-(2080s-and-2083s)?_g=(refreshInterval:(display:Off,pause:!f,section:0,value:0),time:(from:'2017-02-13T17:56:13-0700',mode:absolute,to:'2017-02-13T20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3" s="188" t="str">
        <f t="shared" si="31"/>
        <v>N</v>
      </c>
      <c r="X133" s="188">
        <f t="shared" si="45"/>
        <v>1</v>
      </c>
      <c r="Y133" s="62">
        <f t="shared" si="32"/>
        <v>4.3999999999999997E-2</v>
      </c>
      <c r="Z133" s="62">
        <f t="shared" si="33"/>
        <v>23.331199999999999</v>
      </c>
      <c r="AA133" s="62">
        <f t="shared" si="34"/>
        <v>23.287199999999999</v>
      </c>
      <c r="AB133" s="59" t="e">
        <f>VLOOKUP(A133,Enforcements!$C$7:$K$14,8,0)</f>
        <v>#N/A</v>
      </c>
      <c r="AC133" s="55" t="e">
        <f>VLOOKUP(A133,Enforcements!$C$7:$E$14,3,0)</f>
        <v>#N/A</v>
      </c>
      <c r="AD133" s="56" t="str">
        <f t="shared" si="35"/>
        <v>0221-13</v>
      </c>
      <c r="AE133" s="85" t="str">
        <f t="shared" si="36"/>
        <v>aws s3 cp s3://rtdc.mdm.uploadarchive.raw/RTDC4044/ "%USERPROFILE%\AppData\Local\Temp\OnboardLogs"\RTDC4044\2017-02-13 --exclude "*" --recursive --include "*20170213*" &amp; "%USERPROFILE%\Documents\GitHub\mrs-test-scripts\Headless Mode &amp; Sideloading\WalkAndUnGZ.bat" "%USERPROFILE%\AppData\Local\Temp\OnboardLogs"\RTDC4044\2017-02-13 &amp; 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</v>
      </c>
      <c r="AF133" s="82" t="str">
        <f t="shared" si="37"/>
        <v>"C:\Program Files (x86)\AstroGrep\AstroGrep.exe" /spath="%USERPROFILE%\AppData\Local\Temp\OnboardLogs" /stypes="app*4044*20170214*" /stext=" 02:.+((SYSTEM_STATE.+slice.+state.+changed )|(ment ac)|(multiple cpu faults)|(system.+state.+changed )|(\[timeout)|(PRM\|1\|D)|(kpr)|(kdp)|(\|lc)|(penalty))" /e /r /s</v>
      </c>
      <c r="AG133" s="1" t="str">
        <f t="shared" si="38"/>
        <v>EC</v>
      </c>
      <c r="AH133" s="86" t="str">
        <f t="shared" si="39"/>
        <v>"%USERPROFILE%\Documents\GitHub\eaglep3\Utilities\RefineRTDCRunTimes.py" --tripid 221-13 --locoid 4044 --swversion DE.1.0.8.0 --startMP 204:440 --initTime 2017-02-13T18:56:13 --startdatetime 2017-02-13T19:00:47 --delay 1 --endMP 204:233312 --enddatetime 2017-02-13T19:36:46 --enforcementcount 0 &gt;&gt;C:\Users\stu\Documents\GitHub\eaglep3-reporting\EC\2017-02-13-refined-times.txt</v>
      </c>
      <c r="AI133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{"issue":{"subject":"","project_id":79,"tracker_id":40,"status_id":1,"priority_id":2,"assigned_to_id":23,"start_date":"2017-02-13","description":"","custom_fields":[{"id":1,"name":"Subdivision","value":"EC"},{"id":4,"name":"Milepost","value":"23.3312"},{"id":17,"name":"Train ID","value":"221-13"},{"id":16,"name":"Locomotive ID","value":"4044"},{"id":130,"name":"Impact","value":""},{"id":150,"name":"Time of Event (Mountain Time)","value":"19:36:46"},{"id":151,"name":"Denver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1"/>
        <v>start /low /b %USERPROFILE%\Documents\GitHub\eaglep3\Utilities\DownloadLogsFromS3.py --loco 4044 --day 2017-02-13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"%USERPROFILE%\AppData\Local\Temp\OnboardLogs"\RTDC4044\*4044*20170214* | grep -SE "(Enforcement Action)|(\[TIMEOUT)|(CHR.+\|PRM\|1\|D.+(SWITCH|SIGNAL).+UNKNOWN)" - &gt;&gt; 2017-02-13-UncaughtWiMAX.txt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728</v>
      </c>
      <c r="B134" s="7">
        <v>4043</v>
      </c>
      <c r="C134" s="21" t="s">
        <v>193</v>
      </c>
      <c r="D134" s="21" t="s">
        <v>299</v>
      </c>
      <c r="E134" s="13">
        <v>42779.819386574076</v>
      </c>
      <c r="F134" s="13">
        <v>42779.83085648148</v>
      </c>
      <c r="G134" s="7">
        <v>1</v>
      </c>
      <c r="H134" s="21" t="s">
        <v>195</v>
      </c>
      <c r="I134" s="13">
        <v>42779.858101851853</v>
      </c>
      <c r="J134" s="7">
        <v>0</v>
      </c>
      <c r="K134" s="98" t="str">
        <f t="shared" si="25"/>
        <v>4043/4044</v>
      </c>
      <c r="L134" s="21" t="str">
        <f>VLOOKUP(A134,'Trips&amp;Operators'!$C$1:$G$99999,5,FALSE)</f>
        <v>SAFIEF AEIMEN</v>
      </c>
      <c r="M134" s="6">
        <f t="shared" si="26"/>
        <v>2.7245370372838806E-2</v>
      </c>
      <c r="N134" s="7">
        <f t="shared" si="44"/>
        <v>39.233333336887881</v>
      </c>
      <c r="O134" s="7"/>
      <c r="P134" s="7"/>
      <c r="Q134" s="22"/>
      <c r="R134" s="22"/>
      <c r="S134" s="31">
        <f t="shared" si="28"/>
        <v>1</v>
      </c>
      <c r="T134" s="46" t="str">
        <f t="shared" si="29"/>
        <v>Southbound</v>
      </c>
      <c r="U134" s="18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7" t="str">
        <f t="shared" si="30"/>
        <v>https://d0f6bd738d7f1b3e5a7ca70fe4ff75f0.us-east-1.aws.found.io/app/kibana#/discover/Steve-Slow-Train-Analysis-(2080s-and-2083s)?_g=(refreshInterval:(display:Off,pause:!f,section:0,value:0),time:(from:'2017-02-13T18:39:55-0700',mode:absolute,to:'2017-02-13T21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4" s="188" t="str">
        <f t="shared" si="31"/>
        <v>N</v>
      </c>
      <c r="X134" s="188">
        <f t="shared" si="45"/>
        <v>1</v>
      </c>
      <c r="Y134" s="62">
        <f t="shared" si="32"/>
        <v>23.299299999999999</v>
      </c>
      <c r="Z134" s="62">
        <f t="shared" si="33"/>
        <v>1.4999999999999999E-2</v>
      </c>
      <c r="AA134" s="62">
        <f t="shared" si="34"/>
        <v>23.284299999999998</v>
      </c>
      <c r="AB134" s="59" t="e">
        <f>VLOOKUP(A134,Enforcements!$C$7:$K$14,8,0)</f>
        <v>#N/A</v>
      </c>
      <c r="AC134" s="55" t="e">
        <f>VLOOKUP(A134,Enforcements!$C$7:$E$14,3,0)</f>
        <v>#N/A</v>
      </c>
      <c r="AD134" s="56" t="str">
        <f t="shared" si="35"/>
        <v>0222-13</v>
      </c>
      <c r="AE134" s="85" t="str">
        <f t="shared" si="36"/>
        <v>aws s3 cp s3://rtdc.mdm.uploadarchive.raw/RTDC4043/ "%USERPROFILE%\AppData\Local\Temp\OnboardLogs"\RTDC4043\2017-02-13 --exclude "*" --recursive --include "*20170213*" &amp; "%USERPROFILE%\Documents\GitHub\mrs-test-scripts\Headless Mode &amp; Sideloading\WalkAndUnGZ.bat" "%USERPROFILE%\AppData\Local\Temp\OnboardLogs"\RTDC4043\2017-02-13 &amp; aws s3 cp s3://rtdc.mdm.uploadarchive.raw/RTDC4043/ "%USERPROFILE%\AppData\Local\Temp\OnboardLogs"\RTDC4043\2017-02-14 --exclude "*" --recursive --include "*20170214*" &amp; "%USERPROFILE%\Documents\GitHub\mrs-test-scripts\Headless Mode &amp; Sideloading\WalkAndUnGZ.bat" "%USERPROFILE%\AppData\Local\Temp\OnboardLogs"\RTDC4043\2017-02-14</v>
      </c>
      <c r="AF134" s="82" t="str">
        <f t="shared" si="37"/>
        <v>"C:\Program Files (x86)\AstroGrep\AstroGrep.exe" /spath="%USERPROFILE%\AppData\Local\Temp\OnboardLogs" /stypes="app*4043*20170214*" /stext=" 03:.+((SYSTEM_STATE.+slice.+state.+changed )|(ment ac)|(multiple cpu faults)|(system.+state.+changed )|(\[timeout)|(PRM\|1\|D)|(kpr)|(kdp)|(\|lc)|(penalty))" /e /r /s</v>
      </c>
      <c r="AG134" s="1" t="str">
        <f t="shared" si="38"/>
        <v>EC</v>
      </c>
      <c r="AH134" s="86" t="str">
        <f t="shared" si="39"/>
        <v>"%USERPROFILE%\Documents\GitHub\eaglep3\Utilities\RefineRTDCRunTimes.py" --tripid 222-13 --locoid 4043 --swversion DE.1.0.8.0 --startMP 204:232993 --initTime 2017-02-13T19:39:55 --startdatetime 2017-02-13T19:56:26 --delay 1 --endMP 204:150 --enddatetime 2017-02-13T20:35:40 --enforcementcount 0 &gt;&gt;C:\Users\stu\Documents\GitHub\eaglep3-reporting\EC\2017-02-13-refined-times.txt</v>
      </c>
      <c r="AI134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{"issue":{"subject":"","project_id":79,"tracker_id":40,"status_id":1,"priority_id":2,"assigned_to_id":23,"start_date":"2017-02-13","description":"","custom_fields":[{"id":1,"name":"Subdivision","value":"EC"},{"id":4,"name":"Milepost","value":"0.015"},{"id":17,"name":"Train ID","value":"222-13"},{"id":16,"name":"Locomotive ID","value":"4043"},{"id":130,"name":"Impact","value":""},{"id":150,"name":"Time of Event (Mountain Time)","value":"20:35:40"},{"id":151,"name":"Denver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1"/>
        <v>start /low /b %USERPROFILE%\Documents\GitHub\eaglep3\Utilities\DownloadLogsFromS3.py --loco 4043 --day 2017-02-13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"%USERPROFILE%\AppData\Local\Temp\OnboardLogs"\RTDC4043\*4043*20170214* | grep -SE "(Enforcement Action)|(\[TIMEOUT)|(CHR.+\|PRM\|1\|D.+(SWITCH|SIGNAL).+UNKNOWN)" - &gt;&gt; 2017-02-13-UncaughtWiMAX.txt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723</v>
      </c>
      <c r="B135" s="7">
        <v>4011</v>
      </c>
      <c r="C135" s="21" t="s">
        <v>193</v>
      </c>
      <c r="D135" s="21" t="s">
        <v>803</v>
      </c>
      <c r="E135" s="13">
        <v>42779.808263888888</v>
      </c>
      <c r="F135" s="13">
        <v>42779.813020833331</v>
      </c>
      <c r="G135" s="7">
        <v>1</v>
      </c>
      <c r="H135" s="21" t="s">
        <v>794</v>
      </c>
      <c r="I135" s="13">
        <v>42779.838391203702</v>
      </c>
      <c r="J135" s="7">
        <v>0</v>
      </c>
      <c r="K135" s="98" t="str">
        <f t="shared" si="25"/>
        <v>4011/4012</v>
      </c>
      <c r="L135" s="21" t="str">
        <f>VLOOKUP(A135,'Trips&amp;Operators'!$C$1:$G$99999,5,FALSE)</f>
        <v>PERKINS DARREN</v>
      </c>
      <c r="M135" s="6">
        <f t="shared" si="26"/>
        <v>2.5370370371092577E-2</v>
      </c>
      <c r="N135" s="7">
        <f t="shared" si="44"/>
        <v>36.53333333437331</v>
      </c>
      <c r="O135" s="7"/>
      <c r="P135" s="7"/>
      <c r="Q135" s="22"/>
      <c r="R135" s="22"/>
      <c r="S135" s="31">
        <f t="shared" si="28"/>
        <v>1</v>
      </c>
      <c r="T135" s="46" t="str">
        <f t="shared" si="29"/>
        <v>NorthBound</v>
      </c>
      <c r="U135" s="18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7" t="str">
        <f t="shared" si="30"/>
        <v>https://d0f6bd738d7f1b3e5a7ca70fe4ff75f0.us-east-1.aws.found.io/app/kibana#/discover/Steve-Slow-Train-Analysis-(2080s-and-2083s)?_g=(refreshInterval:(display:Off,pause:!f,section:0,value:0),time:(from:'2017-02-13T18:23:54-0700',mode:absolute,to:'2017-02-13T21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5" s="188" t="str">
        <f t="shared" si="31"/>
        <v>N</v>
      </c>
      <c r="X135" s="188">
        <f t="shared" si="45"/>
        <v>1</v>
      </c>
      <c r="Y135" s="62">
        <f t="shared" si="32"/>
        <v>4.82E-2</v>
      </c>
      <c r="Z135" s="62">
        <f t="shared" si="33"/>
        <v>23.330400000000001</v>
      </c>
      <c r="AA135" s="62">
        <f t="shared" si="34"/>
        <v>23.2822</v>
      </c>
      <c r="AB135" s="59" t="e">
        <f>VLOOKUP(A135,Enforcements!$C$7:$K$14,8,0)</f>
        <v>#N/A</v>
      </c>
      <c r="AC135" s="55" t="e">
        <f>VLOOKUP(A135,Enforcements!$C$7:$E$14,3,0)</f>
        <v>#N/A</v>
      </c>
      <c r="AD135" s="56" t="str">
        <f t="shared" si="35"/>
        <v>0223-13</v>
      </c>
      <c r="AE135" s="85" t="str">
        <f t="shared" si="36"/>
        <v>aws s3 cp s3://rtdc.mdm.uploadarchive.raw/RTDC4011/ "%USERPROFILE%\AppData\Local\Temp\OnboardLogs"\RTDC4011\2017-02-13 --exclude "*" --recursive --include "*20170213*" &amp; "%USERPROFILE%\Documents\GitHub\mrs-test-scripts\Headless Mode &amp; Sideloading\WalkAndUnGZ.bat" "%USERPROFILE%\AppData\Local\Temp\OnboardLogs"\RTDC4011\2017-02-13 &amp; aws s3 cp s3://rtdc.mdm.uploadarchive.raw/RTDC4011/ "%USERPROFILE%\AppData\Local\Temp\OnboardLogs"\RTDC4011\2017-02-14 --exclude "*" --recursive --include "*20170214*" &amp; "%USERPROFILE%\Documents\GitHub\mrs-test-scripts\Headless Mode &amp; Sideloading\WalkAndUnGZ.bat" "%USERPROFILE%\AppData\Local\Temp\OnboardLogs"\RTDC4011\2017-02-14</v>
      </c>
      <c r="AF135" s="82" t="str">
        <f t="shared" si="37"/>
        <v>"C:\Program Files (x86)\AstroGrep\AstroGrep.exe" /spath="%USERPROFILE%\AppData\Local\Temp\OnboardLogs" /stypes="app*4011*20170214*" /stext=" 03:.+((SYSTEM_STATE.+slice.+state.+changed )|(ment ac)|(multiple cpu faults)|(system.+state.+changed )|(\[timeout)|(PRM\|1\|D)|(kpr)|(kdp)|(\|lc)|(penalty))" /e /r /s</v>
      </c>
      <c r="AG135" s="1" t="str">
        <f t="shared" si="38"/>
        <v>EC</v>
      </c>
      <c r="AH135" s="86" t="str">
        <f t="shared" si="39"/>
        <v>"%USERPROFILE%\Documents\GitHub\eaglep3\Utilities\RefineRTDCRunTimes.py" --tripid 223-13 --locoid 4011 --swversion DE.1.0.8.0 --startMP 204:482 --initTime 2017-02-13T19:23:54 --startdatetime 2017-02-13T19:30:45 --delay 1 --endMP 204:233304 --enddatetime 2017-02-13T20:07:17 --enforcementcount 0 &gt;&gt;C:\Users\stu\Documents\GitHub\eaglep3-reporting\EC\2017-02-13-refined-times.txt</v>
      </c>
      <c r="AI135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{"issue":{"subject":"","project_id":79,"tracker_id":40,"status_id":1,"priority_id":2,"assigned_to_id":23,"start_date":"2017-02-13","description":"","custom_fields":[{"id":1,"name":"Subdivision","value":"EC"},{"id":4,"name":"Milepost","value":"23.3304"},{"id":17,"name":"Train ID","value":"223-13"},{"id":16,"name":"Locomotive ID","value":"4011"},{"id":130,"name":"Impact","value":""},{"id":150,"name":"Time of Event (Mountain Time)","value":"20:07:17"},{"id":151,"name":"Denver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1"/>
        <v>start /low /b %USERPROFILE%\Documents\GitHub\eaglep3\Utilities\DownloadLogsFromS3.py --loco 4011 --day 2017-02-13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"%USERPROFILE%\AppData\Local\Temp\OnboardLogs"\RTDC4011\*4011*20170214* | grep -SE "(Enforcement Action)|(\[TIMEOUT)|(CHR.+\|PRM\|1\|D.+(SWITCH|SIGNAL).+UNKNOWN)" - &gt;&gt; 2017-02-13-UncaughtWiMAX.txt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550</v>
      </c>
      <c r="B136" s="7">
        <v>4012</v>
      </c>
      <c r="C136" s="21" t="s">
        <v>193</v>
      </c>
      <c r="D136" s="21" t="s">
        <v>299</v>
      </c>
      <c r="E136" s="13">
        <v>42779.844270833331</v>
      </c>
      <c r="F136" s="13">
        <v>42779.851550925923</v>
      </c>
      <c r="G136" s="7">
        <v>1</v>
      </c>
      <c r="H136" s="21" t="s">
        <v>330</v>
      </c>
      <c r="I136" s="13">
        <v>42779.87809027778</v>
      </c>
      <c r="J136" s="7">
        <v>0</v>
      </c>
      <c r="K136" s="98" t="str">
        <f t="shared" si="25"/>
        <v>4011/4012</v>
      </c>
      <c r="L136" s="21" t="str">
        <f>VLOOKUP(A136,'Trips&amp;Operators'!$C$1:$G$99999,5,FALSE)</f>
        <v>PERKINS DARREN</v>
      </c>
      <c r="M136" s="6">
        <f t="shared" si="26"/>
        <v>2.6539351856627036E-2</v>
      </c>
      <c r="N136" s="7">
        <f t="shared" si="44"/>
        <v>38.216666673542932</v>
      </c>
      <c r="O136" s="7"/>
      <c r="P136" s="7"/>
      <c r="Q136" s="22"/>
      <c r="R136" s="22"/>
      <c r="S136" s="31">
        <f t="shared" si="28"/>
        <v>1</v>
      </c>
      <c r="T136" s="46" t="str">
        <f t="shared" si="29"/>
        <v>Southbound</v>
      </c>
      <c r="U136" s="18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7" t="str">
        <f t="shared" si="30"/>
        <v>https://d0f6bd738d7f1b3e5a7ca70fe4ff75f0.us-east-1.aws.found.io/app/kibana#/discover/Steve-Slow-Train-Analysis-(2080s-and-2083s)?_g=(refreshInterval:(display:Off,pause:!f,section:0,value:0),time:(from:'2017-02-13T19:15:45-0700',mode:absolute,to:'2017-02-13T22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6" s="188" t="str">
        <f t="shared" si="31"/>
        <v>N</v>
      </c>
      <c r="X136" s="188">
        <f t="shared" si="45"/>
        <v>1</v>
      </c>
      <c r="Y136" s="62">
        <f t="shared" si="32"/>
        <v>23.299299999999999</v>
      </c>
      <c r="Z136" s="62">
        <f t="shared" si="33"/>
        <v>1.61E-2</v>
      </c>
      <c r="AA136" s="62">
        <f t="shared" si="34"/>
        <v>23.283199999999997</v>
      </c>
      <c r="AB136" s="59" t="e">
        <f>VLOOKUP(A136,Enforcements!$C$7:$K$14,8,0)</f>
        <v>#N/A</v>
      </c>
      <c r="AC136" s="55" t="e">
        <f>VLOOKUP(A136,Enforcements!$C$7:$E$14,3,0)</f>
        <v>#N/A</v>
      </c>
      <c r="AD136" s="56" t="str">
        <f t="shared" si="35"/>
        <v>0224-13</v>
      </c>
      <c r="AE136" s="85" t="str">
        <f t="shared" si="36"/>
        <v>aws s3 cp s3://rtdc.mdm.uploadarchive.raw/RTDC4012/ "%USERPROFILE%\AppData\Local\Temp\OnboardLogs"\RTDC4012\2017-02-13 --exclude "*" --recursive --include "*20170213*" &amp; "%USERPROFILE%\Documents\GitHub\mrs-test-scripts\Headless Mode &amp; Sideloading\WalkAndUnGZ.bat" "%USERPROFILE%\AppData\Local\Temp\OnboardLogs"\RTDC4012\2017-02-13 &amp; 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</v>
      </c>
      <c r="AF136" s="82" t="str">
        <f t="shared" si="37"/>
        <v>"C:\Program Files (x86)\AstroGrep\AstroGrep.exe" /spath="%USERPROFILE%\AppData\Local\Temp\OnboardLogs" /stypes="app*4012*20170214*" /stext=" 04:.+((SYSTEM_STATE.+slice.+state.+changed )|(ment ac)|(multiple cpu faults)|(system.+state.+changed )|(\[timeout)|(PRM\|1\|D)|(kpr)|(kdp)|(\|lc)|(penalty))" /e /r /s</v>
      </c>
      <c r="AG136" s="1" t="str">
        <f t="shared" si="38"/>
        <v>EC</v>
      </c>
      <c r="AH136" s="86" t="str">
        <f t="shared" si="39"/>
        <v>"%USERPROFILE%\Documents\GitHub\eaglep3\Utilities\RefineRTDCRunTimes.py" --tripid 224-13 --locoid 4012 --swversion DE.1.0.8.0 --startMP 204:232993 --initTime 2017-02-13T20:15:45 --startdatetime 2017-02-13T20:26:14 --delay 1 --endMP 204:161 --enddatetime 2017-02-13T21:04:27 --enforcementcount 0 &gt;&gt;C:\Users\stu\Documents\GitHub\eaglep3-reporting\EC\2017-02-13-refined-times.txt</v>
      </c>
      <c r="AI136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{"issue":{"subject":"","project_id":79,"tracker_id":40,"status_id":1,"priority_id":2,"assigned_to_id":23,"start_date":"2017-02-13","description":"","custom_fields":[{"id":1,"name":"Subdivision","value":"EC"},{"id":4,"name":"Milepost","value":"0.0161"},{"id":17,"name":"Train ID","value":"224-13"},{"id":16,"name":"Locomotive ID","value":"4012"},{"id":130,"name":"Impact","value":""},{"id":150,"name":"Time of Event (Mountain Time)","value":"21:04:27"},{"id":151,"name":"Denver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1"/>
        <v>start /low /b %USERPROFILE%\Documents\GitHub\eaglep3\Utilities\DownloadLogsFromS3.py --loco 4012 --day 2017-02-13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"%USERPROFILE%\AppData\Local\Temp\OnboardLogs"\RTDC4012\*4012*20170214* | grep -SE "(Enforcement Action)|(\[TIMEOUT)|(CHR.+\|PRM\|1\|D.+(SWITCH|SIGNAL).+UNKNOWN)" - &gt;&gt; 2017-02-13-UncaughtWiMAX.txt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729</v>
      </c>
      <c r="B137" s="7">
        <v>4025</v>
      </c>
      <c r="C137" s="21" t="s">
        <v>193</v>
      </c>
      <c r="D137" s="21" t="s">
        <v>519</v>
      </c>
      <c r="E137" s="13">
        <v>42779.826909722222</v>
      </c>
      <c r="F137" s="13">
        <v>42779.833761574075</v>
      </c>
      <c r="G137" s="7">
        <v>1</v>
      </c>
      <c r="H137" s="21" t="s">
        <v>817</v>
      </c>
      <c r="I137" s="13">
        <v>42779.858263888891</v>
      </c>
      <c r="J137" s="7">
        <v>0</v>
      </c>
      <c r="K137" s="98" t="str">
        <f t="shared" si="25"/>
        <v>4025/4026</v>
      </c>
      <c r="L137" s="21" t="str">
        <f>VLOOKUP(A137,'Trips&amp;Operators'!$C$1:$G$99999,5,FALSE)</f>
        <v>STAMBAUGH JAMES</v>
      </c>
      <c r="M137" s="6">
        <f t="shared" si="26"/>
        <v>2.4502314816345461E-2</v>
      </c>
      <c r="N137" s="7">
        <f t="shared" si="44"/>
        <v>35.283333335537463</v>
      </c>
      <c r="O137" s="7"/>
      <c r="P137" s="7"/>
      <c r="Q137" s="22"/>
      <c r="R137" s="22"/>
      <c r="S137" s="31">
        <f t="shared" si="28"/>
        <v>1</v>
      </c>
      <c r="T137" s="46" t="str">
        <f t="shared" si="29"/>
        <v>NorthBound</v>
      </c>
      <c r="U137" s="18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7" t="str">
        <f t="shared" si="30"/>
        <v>https://d0f6bd738d7f1b3e5a7ca70fe4ff75f0.us-east-1.aws.found.io/app/kibana#/discover/Steve-Slow-Train-Analysis-(2080s-and-2083s)?_g=(refreshInterval:(display:Off,pause:!f,section:0,value:0),time:(from:'2017-02-13T18:50:45-0700',mode:absolute,to:'2017-02-13T21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7" s="188" t="str">
        <f t="shared" si="31"/>
        <v>N</v>
      </c>
      <c r="X137" s="188">
        <f t="shared" si="45"/>
        <v>1</v>
      </c>
      <c r="Y137" s="62">
        <f t="shared" si="32"/>
        <v>4.3099999999999999E-2</v>
      </c>
      <c r="Z137" s="62">
        <f t="shared" si="33"/>
        <v>23.337</v>
      </c>
      <c r="AA137" s="62">
        <f t="shared" si="34"/>
        <v>23.293900000000001</v>
      </c>
      <c r="AB137" s="59" t="e">
        <f>VLOOKUP(A137,Enforcements!$C$7:$K$14,8,0)</f>
        <v>#N/A</v>
      </c>
      <c r="AC137" s="55" t="e">
        <f>VLOOKUP(A137,Enforcements!$C$7:$E$14,3,0)</f>
        <v>#N/A</v>
      </c>
      <c r="AD137" s="56" t="str">
        <f t="shared" si="35"/>
        <v>0225-13</v>
      </c>
      <c r="AE137" s="85" t="str">
        <f t="shared" si="36"/>
        <v>aws s3 cp s3://rtdc.mdm.uploadarchive.raw/RTDC4025/ "%USERPROFILE%\AppData\Local\Temp\OnboardLogs"\RTDC4025\2017-02-13 --exclude "*" --recursive --include "*20170213*" &amp; "%USERPROFILE%\Documents\GitHub\mrs-test-scripts\Headless Mode &amp; Sideloading\WalkAndUnGZ.bat" "%USERPROFILE%\AppData\Local\Temp\OnboardLogs"\RTDC4025\2017-02-13 &amp; aws s3 cp s3://rtdc.mdm.uploadarchive.raw/RTDC4025/ "%USERPROFILE%\AppData\Local\Temp\OnboardLogs"\RTDC4025\2017-02-14 --exclude "*" --recursive --include "*20170214*" &amp; "%USERPROFILE%\Documents\GitHub\mrs-test-scripts\Headless Mode &amp; Sideloading\WalkAndUnGZ.bat" "%USERPROFILE%\AppData\Local\Temp\OnboardLogs"\RTDC4025\2017-02-14</v>
      </c>
      <c r="AF137" s="82" t="str">
        <f t="shared" si="37"/>
        <v>"C:\Program Files (x86)\AstroGrep\AstroGrep.exe" /spath="%USERPROFILE%\AppData\Local\Temp\OnboardLogs" /stypes="app*4025*20170214*" /stext=" 03:.+((SYSTEM_STATE.+slice.+state.+changed )|(ment ac)|(multiple cpu faults)|(system.+state.+changed )|(\[timeout)|(PRM\|1\|D)|(kpr)|(kdp)|(\|lc)|(penalty))" /e /r /s</v>
      </c>
      <c r="AG137" s="1" t="str">
        <f t="shared" si="38"/>
        <v>EC</v>
      </c>
      <c r="AH137" s="86" t="str">
        <f t="shared" si="39"/>
        <v>"%USERPROFILE%\Documents\GitHub\eaglep3\Utilities\RefineRTDCRunTimes.py" --tripid 225-13 --locoid 4025 --swversion DE.1.0.8.0 --startMP 204:431 --initTime 2017-02-13T19:50:45 --startdatetime 2017-02-13T20:00:37 --delay 1 --endMP 204:233370 --enddatetime 2017-02-13T20:35:54 --enforcementcount 0 &gt;&gt;C:\Users\stu\Documents\GitHub\eaglep3-reporting\EC\2017-02-13-refined-times.txt</v>
      </c>
      <c r="AI137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{"issue":{"subject":"","project_id":79,"tracker_id":40,"status_id":1,"priority_id":2,"assigned_to_id":23,"start_date":"2017-02-13","description":"","custom_fields":[{"id":1,"name":"Subdivision","value":"EC"},{"id":4,"name":"Milepost","value":"23.337"},{"id":17,"name":"Train ID","value":"225-13"},{"id":16,"name":"Locomotive ID","value":"4025"},{"id":130,"name":"Impact","value":""},{"id":150,"name":"Time of Event (Mountain Time)","value":"20:35:54"},{"id":151,"name":"Denver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1"/>
        <v>start /low /b %USERPROFILE%\Documents\GitHub\eaglep3\Utilities\DownloadLogsFromS3.py --loco 4025 --day 2017-02-13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"%USERPROFILE%\AppData\Local\Temp\OnboardLogs"\RTDC4025\*4025*20170214* | grep -SE "(Enforcement Action)|(\[TIMEOUT)|(CHR.+\|PRM\|1\|D.+(SWITCH|SIGNAL).+UNKNOWN)" - &gt;&gt; 2017-02-13-UncaughtWiMAX.txt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735</v>
      </c>
      <c r="B138" s="7">
        <v>4026</v>
      </c>
      <c r="C138" s="21" t="s">
        <v>193</v>
      </c>
      <c r="D138" s="21" t="s">
        <v>818</v>
      </c>
      <c r="E138" s="13">
        <v>42779.871261574073</v>
      </c>
      <c r="F138" s="13">
        <v>42779.917094907411</v>
      </c>
      <c r="G138" s="7">
        <v>1</v>
      </c>
      <c r="H138" s="21" t="s">
        <v>510</v>
      </c>
      <c r="I138" s="13">
        <v>42779.94258101852</v>
      </c>
      <c r="J138" s="7">
        <v>0</v>
      </c>
      <c r="K138" s="98" t="str">
        <f t="shared" si="25"/>
        <v>4025/4026</v>
      </c>
      <c r="L138" s="21" t="str">
        <f>VLOOKUP(A138,'Trips&amp;Operators'!$C$1:$G$99999,5,FALSE)</f>
        <v>STAMBAUGH JAMES</v>
      </c>
      <c r="M138" s="6">
        <f t="shared" si="26"/>
        <v>2.548611110978527E-2</v>
      </c>
      <c r="N138" s="7">
        <f t="shared" si="44"/>
        <v>36.699999998090789</v>
      </c>
      <c r="O138" s="7"/>
      <c r="P138" s="7"/>
      <c r="Q138" s="22"/>
      <c r="R138" s="22"/>
      <c r="S138" s="31">
        <f t="shared" si="28"/>
        <v>1</v>
      </c>
      <c r="T138" s="46" t="str">
        <f t="shared" si="29"/>
        <v>Southbound</v>
      </c>
      <c r="U138" s="18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7" t="str">
        <f t="shared" si="30"/>
        <v>https://d0f6bd738d7f1b3e5a7ca70fe4ff75f0.us-east-1.aws.found.io/app/kibana#/discover/Steve-Slow-Train-Analysis-(2080s-and-2083s)?_g=(refreshInterval:(display:Off,pause:!f,section:0,value:0),time:(from:'2017-02-13T19:54:37-0700',mode:absolute,to:'2017-02-13T23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8" s="188" t="str">
        <f t="shared" si="31"/>
        <v>N</v>
      </c>
      <c r="X138" s="188">
        <f t="shared" si="45"/>
        <v>1</v>
      </c>
      <c r="Y138" s="62">
        <f t="shared" si="32"/>
        <v>23.3049</v>
      </c>
      <c r="Z138" s="62">
        <f t="shared" si="33"/>
        <v>1.21E-2</v>
      </c>
      <c r="AA138" s="62">
        <f t="shared" si="34"/>
        <v>23.2928</v>
      </c>
      <c r="AB138" s="59" t="e">
        <f>VLOOKUP(A138,Enforcements!$C$7:$K$14,8,0)</f>
        <v>#N/A</v>
      </c>
      <c r="AC138" s="55" t="e">
        <f>VLOOKUP(A138,Enforcements!$C$7:$E$14,3,0)</f>
        <v>#N/A</v>
      </c>
      <c r="AD138" s="56" t="str">
        <f t="shared" si="35"/>
        <v>0226-13</v>
      </c>
      <c r="AE138" s="85" t="str">
        <f t="shared" si="36"/>
        <v>aws s3 cp s3://rtdc.mdm.uploadarchive.raw/RTDC4026/ "%USERPROFILE%\AppData\Local\Temp\OnboardLogs"\RTDC4026\2017-02-13 --exclude "*" --recursive --include "*20170213*" &amp; "%USERPROFILE%\Documents\GitHub\mrs-test-scripts\Headless Mode &amp; Sideloading\WalkAndUnGZ.bat" "%USERPROFILE%\AppData\Local\Temp\OnboardLogs"\RTDC4026\2017-02-13 &amp; aws s3 cp s3://rtdc.mdm.uploadarchive.raw/RTDC4026/ "%USERPROFILE%\AppData\Local\Temp\OnboardLogs"\RTDC4026\2017-02-14 --exclude "*" --recursive --include "*20170214*" &amp; "%USERPROFILE%\Documents\GitHub\mrs-test-scripts\Headless Mode &amp; Sideloading\WalkAndUnGZ.bat" "%USERPROFILE%\AppData\Local\Temp\OnboardLogs"\RTDC4026\2017-02-14</v>
      </c>
      <c r="AF138" s="82" t="str">
        <f t="shared" si="37"/>
        <v>"C:\Program Files (x86)\AstroGrep\AstroGrep.exe" /spath="%USERPROFILE%\AppData\Local\Temp\OnboardLogs" /stypes="app*4026*20170214*" /stext=" 05:.+((SYSTEM_STATE.+slice.+state.+changed )|(ment ac)|(multiple cpu faults)|(system.+state.+changed )|(\[timeout)|(PRM\|1\|D)|(kpr)|(kdp)|(\|lc)|(penalty))" /e /r /s</v>
      </c>
      <c r="AG138" s="1" t="str">
        <f t="shared" si="38"/>
        <v>EC</v>
      </c>
      <c r="AH138" s="86" t="str">
        <f t="shared" si="39"/>
        <v>"%USERPROFILE%\Documents\GitHub\eaglep3\Utilities\RefineRTDCRunTimes.py" --tripid 226-13 --locoid 4026 --swversion DE.1.0.8.0 --startMP 204:233049 --initTime 2017-02-13T20:54:37 --startdatetime 2017-02-13T22:00:37 --delay 1 --endMP 204:121 --enddatetime 2017-02-13T22:37:19 --enforcementcount 0 &gt;&gt;C:\Users\stu\Documents\GitHub\eaglep3-reporting\EC\2017-02-13-refined-times.txt</v>
      </c>
      <c r="AI138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{"issue":{"subject":"","project_id":79,"tracker_id":40,"status_id":1,"priority_id":2,"assigned_to_id":23,"start_date":"2017-02-13","description":"","custom_fields":[{"id":1,"name":"Subdivision","value":"EC"},{"id":4,"name":"Milepost","value":"0.0121"},{"id":17,"name":"Train ID","value":"226-13"},{"id":16,"name":"Locomotive ID","value":"4026"},{"id":130,"name":"Impact","value":""},{"id":150,"name":"Time of Event (Mountain Time)","value":"22:37:19"},{"id":151,"name":"Denver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1"/>
        <v>start /low /b %USERPROFILE%\Documents\GitHub\eaglep3\Utilities\DownloadLogsFromS3.py --loco 4026 --day 2017-02-13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"%USERPROFILE%\AppData\Local\Temp\OnboardLogs"\RTDC4026\*4026*20170214* | grep -SE "(Enforcement Action)|(\[TIMEOUT)|(CHR.+\|PRM\|1\|D.+(SWITCH|SIGNAL).+UNKNOWN)" - &gt;&gt; 2017-02-13-UncaughtWiMAX.txt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731</v>
      </c>
      <c r="B139" s="7">
        <v>4027</v>
      </c>
      <c r="C139" s="21" t="s">
        <v>193</v>
      </c>
      <c r="D139" s="21" t="s">
        <v>791</v>
      </c>
      <c r="E139" s="13">
        <v>42779.847928240742</v>
      </c>
      <c r="F139" s="13">
        <v>42779.854363425926</v>
      </c>
      <c r="G139" s="7">
        <v>1</v>
      </c>
      <c r="H139" s="21" t="s">
        <v>331</v>
      </c>
      <c r="I139" s="13">
        <v>42779.879386574074</v>
      </c>
      <c r="J139" s="7">
        <v>0</v>
      </c>
      <c r="K139" s="98" t="str">
        <f t="shared" si="25"/>
        <v>4027/4028</v>
      </c>
      <c r="L139" s="21" t="str">
        <f>VLOOKUP(A139,'Trips&amp;Operators'!$C$1:$G$99999,5,FALSE)</f>
        <v>MAGEE KENYA</v>
      </c>
      <c r="M139" s="6">
        <f t="shared" si="26"/>
        <v>2.5023148147738539E-2</v>
      </c>
      <c r="N139" s="7">
        <f t="shared" si="44"/>
        <v>36.033333332743496</v>
      </c>
      <c r="O139" s="7"/>
      <c r="P139" s="7"/>
      <c r="Q139" s="22"/>
      <c r="R139" s="22"/>
      <c r="S139" s="31">
        <f t="shared" si="28"/>
        <v>1</v>
      </c>
      <c r="T139" s="46" t="str">
        <f t="shared" si="29"/>
        <v>NorthBound</v>
      </c>
      <c r="U139" s="18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7" t="str">
        <f t="shared" si="30"/>
        <v>https://d0f6bd738d7f1b3e5a7ca70fe4ff75f0.us-east-1.aws.found.io/app/kibana#/discover/Steve-Slow-Train-Analysis-(2080s-and-2083s)?_g=(refreshInterval:(display:Off,pause:!f,section:0,value:0),time:(from:'2017-02-13T19:21:01-0700',mode:absolute,to:'2017-02-13T22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9" s="188" t="str">
        <f t="shared" si="31"/>
        <v>N</v>
      </c>
      <c r="X139" s="188">
        <f t="shared" si="45"/>
        <v>1</v>
      </c>
      <c r="Y139" s="62">
        <f t="shared" si="32"/>
        <v>4.7100000000000003E-2</v>
      </c>
      <c r="Z139" s="62">
        <f t="shared" si="33"/>
        <v>23.329499999999999</v>
      </c>
      <c r="AA139" s="62">
        <f t="shared" si="34"/>
        <v>23.282399999999999</v>
      </c>
      <c r="AB139" s="59" t="e">
        <f>VLOOKUP(A139,Enforcements!$C$7:$K$14,8,0)</f>
        <v>#N/A</v>
      </c>
      <c r="AC139" s="55" t="e">
        <f>VLOOKUP(A139,Enforcements!$C$7:$E$14,3,0)</f>
        <v>#N/A</v>
      </c>
      <c r="AD139" s="56" t="str">
        <f t="shared" si="35"/>
        <v>0227-13</v>
      </c>
      <c r="AE139" s="85" t="str">
        <f t="shared" si="36"/>
        <v>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 &amp; 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</v>
      </c>
      <c r="AF139" s="82" t="str">
        <f t="shared" si="37"/>
        <v>"C:\Program Files (x86)\AstroGrep\AstroGrep.exe" /spath="%USERPROFILE%\AppData\Local\Temp\OnboardLogs" /stypes="app*4027*20170214*" /stext=" 04:.+((SYSTEM_STATE.+slice.+state.+changed )|(ment ac)|(multiple cpu faults)|(system.+state.+changed )|(\[timeout)|(PRM\|1\|D)|(kpr)|(kdp)|(\|lc)|(penalty))" /e /r /s</v>
      </c>
      <c r="AG139" s="1" t="str">
        <f t="shared" si="38"/>
        <v>EC</v>
      </c>
      <c r="AH139" s="86" t="str">
        <f t="shared" si="39"/>
        <v>"%USERPROFILE%\Documents\GitHub\eaglep3\Utilities\RefineRTDCRunTimes.py" --tripid 227-13 --locoid 4027 --swversion DE.1.0.8.0 --startMP 204:471 --initTime 2017-02-13T20:21:01 --startdatetime 2017-02-13T20:30:17 --delay 1 --endMP 204:233295 --enddatetime 2017-02-13T21:06:19 --enforcementcount 0 &gt;&gt;C:\Users\stu\Documents\GitHub\eaglep3-reporting\EC\2017-02-13-refined-times.txt</v>
      </c>
      <c r="AI139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{"issue":{"subject":"","project_id":79,"tracker_id":40,"status_id":1,"priority_id":2,"assigned_to_id":23,"start_date":"2017-02-13","description":"","custom_fields":[{"id":1,"name":"Subdivision","value":"EC"},{"id":4,"name":"Milepost","value":"23.3295"},{"id":17,"name":"Train ID","value":"227-13"},{"id":16,"name":"Locomotive ID","value":"4027"},{"id":130,"name":"Impact","value":""},{"id":150,"name":"Time of Event (Mountain Time)","value":"21:06:19"},{"id":151,"name":"Denver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1"/>
        <v>start /low /b %USERPROFILE%\Documents\GitHub\eaglep3\Utilities\DownloadLogsFromS3.py --loco 4027 --day 2017-02-13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"%USERPROFILE%\AppData\Local\Temp\OnboardLogs"\RTDC4027\*4027*20170214* | grep -SE "(Enforcement Action)|(\[TIMEOUT)|(CHR.+\|PRM\|1\|D.+(SWITCH|SIGNAL).+UNKNOWN)" - &gt;&gt; 2017-02-13-UncaughtWiMAX.txt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739</v>
      </c>
      <c r="B140" s="7">
        <v>4028</v>
      </c>
      <c r="C140" s="21" t="s">
        <v>193</v>
      </c>
      <c r="D140" s="21" t="s">
        <v>299</v>
      </c>
      <c r="E140" s="13">
        <v>42779.890960648147</v>
      </c>
      <c r="F140" s="13">
        <v>42779.893263888887</v>
      </c>
      <c r="G140" s="7">
        <v>1</v>
      </c>
      <c r="H140" s="21" t="s">
        <v>205</v>
      </c>
      <c r="I140" s="13">
        <v>42779.920335648145</v>
      </c>
      <c r="J140" s="7">
        <v>0</v>
      </c>
      <c r="K140" s="98" t="str">
        <f t="shared" si="25"/>
        <v>4027/4028</v>
      </c>
      <c r="L140" s="21" t="str">
        <f>VLOOKUP(A140,'Trips&amp;Operators'!$C$1:$G$99999,5,FALSE)</f>
        <v>MAGEE KENYA</v>
      </c>
      <c r="M140" s="6">
        <f t="shared" si="26"/>
        <v>2.7071759257523809E-2</v>
      </c>
      <c r="N140" s="7">
        <f t="shared" si="44"/>
        <v>38.983333330834284</v>
      </c>
      <c r="O140" s="7"/>
      <c r="P140" s="7"/>
      <c r="Q140" s="22"/>
      <c r="R140" s="22"/>
      <c r="S140" s="31">
        <f t="shared" si="28"/>
        <v>1</v>
      </c>
      <c r="T140" s="46" t="str">
        <f t="shared" si="29"/>
        <v>Southbound</v>
      </c>
      <c r="U140" s="18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7" t="str">
        <f t="shared" si="30"/>
        <v>https://d0f6bd738d7f1b3e5a7ca70fe4ff75f0.us-east-1.aws.found.io/app/kibana#/discover/Steve-Slow-Train-Analysis-(2080s-and-2083s)?_g=(refreshInterval:(display:Off,pause:!f,section:0,value:0),time:(from:'2017-02-13T20:22:59-0700',mode:absolute,to:'2017-02-13T23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0" s="188" t="str">
        <f t="shared" si="31"/>
        <v>N</v>
      </c>
      <c r="X140" s="188">
        <f t="shared" si="45"/>
        <v>1</v>
      </c>
      <c r="Y140" s="62">
        <f t="shared" si="32"/>
        <v>23.299299999999999</v>
      </c>
      <c r="Z140" s="62">
        <f t="shared" si="33"/>
        <v>1.6E-2</v>
      </c>
      <c r="AA140" s="62">
        <f t="shared" si="34"/>
        <v>23.283300000000001</v>
      </c>
      <c r="AB140" s="59" t="e">
        <f>VLOOKUP(A140,Enforcements!$C$7:$K$14,8,0)</f>
        <v>#N/A</v>
      </c>
      <c r="AC140" s="55" t="e">
        <f>VLOOKUP(A140,Enforcements!$C$7:$E$14,3,0)</f>
        <v>#N/A</v>
      </c>
      <c r="AD140" s="56" t="str">
        <f t="shared" si="35"/>
        <v>0228-13</v>
      </c>
      <c r="AE140" s="85" t="str">
        <f t="shared" si="36"/>
        <v>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 &amp; aws s3 cp s3://rtdc.mdm.uploadarchive.raw/RTDC4028/ "%USERPROFILE%\AppData\Local\Temp\OnboardLogs"\RTDC4028\2017-02-14 --exclude "*" --recursive --include "*20170214*" &amp; "%USERPROFILE%\Documents\GitHub\mrs-test-scripts\Headless Mode &amp; Sideloading\WalkAndUnGZ.bat" "%USERPROFILE%\AppData\Local\Temp\OnboardLogs"\RTDC4028\2017-02-14</v>
      </c>
      <c r="AF140" s="82" t="str">
        <f t="shared" si="37"/>
        <v>"C:\Program Files (x86)\AstroGrep\AstroGrep.exe" /spath="%USERPROFILE%\AppData\Local\Temp\OnboardLogs" /stypes="app*4028*20170214*" /stext=" 05:.+((SYSTEM_STATE.+slice.+state.+changed )|(ment ac)|(multiple cpu faults)|(system.+state.+changed )|(\[timeout)|(PRM\|1\|D)|(kpr)|(kdp)|(\|lc)|(penalty))" /e /r /s</v>
      </c>
      <c r="AG140" s="1" t="str">
        <f t="shared" si="38"/>
        <v>EC</v>
      </c>
      <c r="AH140" s="86" t="str">
        <f t="shared" si="39"/>
        <v>"%USERPROFILE%\Documents\GitHub\eaglep3\Utilities\RefineRTDCRunTimes.py" --tripid 228-13 --locoid 4028 --swversion DE.1.0.8.0 --startMP 204:232993 --initTime 2017-02-13T21:22:59 --startdatetime 2017-02-13T21:26:18 --delay 1 --endMP 204:160 --enddatetime 2017-02-13T22:05:17 --enforcementcount 0 &gt;&gt;C:\Users\stu\Documents\GitHub\eaglep3-reporting\EC\2017-02-13-refined-times.txt</v>
      </c>
      <c r="AI140" s="108" t="str">
        <f t="shared" si="40"/>
        <v>echo {"issue":{"subject":"","project_id":79,"tracker_id":40,"status_id":1,"priority_id":2,"assigned_to_id":23,"start_date":"2017-02-13","description":"","custom_fields":[{"id":1,"name":"Subdivision","value":"EC"},{"id":4,"name":"Milepost","value":"0.016"},{"id":17,"name":"Train ID","value":"228-13"},{"id":16,"name":"Locomotive ID","value":"4028"},{"id":130,"name":"Impact","value":""},{"id":150,"name":"Time of Event (Mountain Time)","value":"22:05:17"},{"id":151,"name":"Denver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1"/>
        <v>start /low /b %USERPROFILE%\Documents\GitHub\eaglep3\Utilities\DownloadLogsFromS3.py --loco 4028 --day 2017-02-13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"%USERPROFILE%\AppData\Local\Temp\OnboardLogs"\RTDC4028\*4028*20170214* | grep -SE "(Enforcement Action)|(\[TIMEOUT)|(CHR.+\|PRM\|1\|D.+(SWITCH|SIGNAL).+UNKNOWN)" - &gt;&gt; 2017-02-13-UncaughtWiMAX.txt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736</v>
      </c>
      <c r="B141" s="7">
        <v>4044</v>
      </c>
      <c r="C141" s="21" t="s">
        <v>193</v>
      </c>
      <c r="D141" s="21" t="s">
        <v>222</v>
      </c>
      <c r="E141" s="13">
        <v>42779.872523148151</v>
      </c>
      <c r="F141" s="13">
        <v>42779.875254629631</v>
      </c>
      <c r="G141" s="7">
        <v>1</v>
      </c>
      <c r="H141" s="21" t="s">
        <v>819</v>
      </c>
      <c r="I141" s="13">
        <v>42779.900358796294</v>
      </c>
      <c r="J141" s="7">
        <v>0</v>
      </c>
      <c r="K141" s="98" t="str">
        <f t="shared" ref="K141:K204" si="46">IF(ISEVEN(B141),(B141-1)&amp;"/"&amp;B141,B141&amp;"/"&amp;(B141+1))</f>
        <v>4043/4044</v>
      </c>
      <c r="L141" s="21" t="str">
        <f>VLOOKUP(A141,'Trips&amp;Operators'!$C$1:$G$99999,5,FALSE)</f>
        <v>CHANDLER KELVIN</v>
      </c>
      <c r="M141" s="6">
        <f t="shared" ref="M141:M204" si="47">I141-F141</f>
        <v>2.5104166663368233E-2</v>
      </c>
      <c r="N141" s="7">
        <f t="shared" si="44"/>
        <v>36.149999995250255</v>
      </c>
      <c r="O141" s="7"/>
      <c r="P141" s="7"/>
      <c r="Q141" s="22"/>
      <c r="R141" s="22"/>
      <c r="S141" s="31">
        <f t="shared" ref="S141:S204" si="48">SUM(U141:U141)/IF(AG141="EC",12,1)</f>
        <v>1</v>
      </c>
      <c r="T141" s="46" t="str">
        <f t="shared" ref="T141:T204" si="49">IF(ISEVEN(LEFT(AD141,4)),"Southbound","NorthBound")</f>
        <v>NorthBound</v>
      </c>
      <c r="U141" s="18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7" t="str">
        <f t="shared" ref="V141:V204" si="5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-13T19:56:26-0700',mode:absolute,to:'2017-02-13T22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1" s="188" t="str">
        <f t="shared" ref="W141:W204" si="51">IF(AA141&lt;IF(AG141="EC",23,5.65),"Y","N")</f>
        <v>N</v>
      </c>
      <c r="X141" s="188">
        <f t="shared" si="45"/>
        <v>1</v>
      </c>
      <c r="Y141" s="62">
        <f t="shared" ref="Y141:Y204" si="52">RIGHT(D141,LEN(D141)-4)/10000</f>
        <v>4.58E-2</v>
      </c>
      <c r="Z141" s="62">
        <f t="shared" ref="Z141:Z204" si="53">RIGHT(H141,LEN(H141)-4)/10000</f>
        <v>23.3263</v>
      </c>
      <c r="AA141" s="62">
        <f t="shared" ref="AA141:AA204" si="54">ABS(Z141-Y141)</f>
        <v>23.2805</v>
      </c>
      <c r="AB141" s="59" t="e">
        <f>VLOOKUP(A141,Enforcements!$C$7:$K$14,8,0)</f>
        <v>#N/A</v>
      </c>
      <c r="AC141" s="55" t="e">
        <f>VLOOKUP(A141,Enforcements!$C$7:$E$14,3,0)</f>
        <v>#N/A</v>
      </c>
      <c r="AD141" s="56" t="str">
        <f t="shared" ref="AD141:AD204" si="55">IF(LEN(A141)=6,"0"&amp;A141,A141)</f>
        <v>0229-13</v>
      </c>
      <c r="AE141" s="85" t="str">
        <f t="shared" ref="AE141:AE204" si="5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s3://rtdc.mdm.uploadarchive.raw/RTDC4044/ "%USERPROFILE%\AppData\Local\Temp\OnboardLogs"\RTDC4044\2017-02-13 --exclude "*" --recursive --include "*20170213*" &amp; "%USERPROFILE%\Documents\GitHub\mrs-test-scripts\Headless Mode &amp; Sideloading\WalkAndUnGZ.bat" "%USERPROFILE%\AppData\Local\Temp\OnboardLogs"\RTDC4044\2017-02-13 &amp; 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</v>
      </c>
      <c r="AF141" s="82" t="str">
        <f t="shared" ref="AF141:AF204" si="57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/stypes="app*4044*20170214*" /stext=" 04:.+((SYSTEM_STATE.+slice.+state.+changed )|(ment ac)|(multiple cpu faults)|(system.+state.+changed )|(\[timeout)|(PRM\|1\|D)|(kpr)|(kdp)|(\|lc)|(penalty))" /e /r /s</v>
      </c>
      <c r="AG141" s="1" t="str">
        <f t="shared" ref="AG141:AG204" si="58">IFERROR(IF(VALUE(LEFT(AD141,2))&lt;=2,"EC",IF(OR(VALUE(LEFT(AD141,2))=8,VALUE(LEFT(AD141,2))=18),"NW","Other")),"Other")</f>
        <v>EC</v>
      </c>
      <c r="AH141" s="86" t="str">
        <f t="shared" ref="AH141:AH205" si="59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229-13 --locoid 4044 --swversion DE.1.0.8.0 --startMP 204:458 --initTime 2017-02-13T20:56:26 --startdatetime 2017-02-13T21:00:22 --delay 1 --endMP 204:233263 --enddatetime 2017-02-13T21:36:31 --enforcementcount 0 &gt;&gt;C:\Users\stu\Documents\GitHub\eaglep3-reporting\EC\2017-02-13-refined-times.txt</v>
      </c>
      <c r="AI141" s="108" t="str">
        <f t="shared" ref="AI141:AI205" si="60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{"issue":{"subject":"","project_id":79,"tracker_id":40,"status_id":1,"priority_id":2,"assigned_to_id":23,"start_date":"2017-02-13","description":"","custom_fields":[{"id":1,"name":"Subdivision","value":"EC"},{"id":4,"name":"Milepost","value":"23.3263"},{"id":17,"name":"Train ID","value":"229-13"},{"id":16,"name":"Locomotive ID","value":"4044"},{"id":130,"name":"Impact","value":""},{"id":150,"name":"Time of Event (Mountain Time)","value":"21:36:31"},{"id":151,"name":"Denver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ref="AM141:AM205" si="61">"start /low /b "&amp;dls3logs&amp;" --loco "&amp;B141&amp;" --day "&amp;TEXT(F141,"YYYY-MM-DD")</f>
        <v>start /low /b %USERPROFILE%\Documents\GitHub\eaglep3\Utilities\DownloadLogsFromS3.py --loco 4044 --day 2017-02-13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"%USERPROFILE%\AppData\Local\Temp\OnboardLogs"\RTDC4044\*4044*20170214* | grep -SE "(Enforcement Action)|(\[TIMEOUT)|(CHR.+\|PRM\|1\|D.+(SWITCH|SIGNAL).+UNKNOWN)" - &gt;&gt; 2017-02-13-UncaughtWiMAX.txt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742</v>
      </c>
      <c r="B142" s="7">
        <v>4043</v>
      </c>
      <c r="C142" s="21" t="s">
        <v>193</v>
      </c>
      <c r="D142" s="21" t="s">
        <v>820</v>
      </c>
      <c r="E142" s="13">
        <v>42779.911990740744</v>
      </c>
      <c r="F142" s="13">
        <v>42779.914282407408</v>
      </c>
      <c r="G142" s="7">
        <v>1</v>
      </c>
      <c r="H142" s="21" t="s">
        <v>492</v>
      </c>
      <c r="I142" s="13">
        <v>42779.941516203704</v>
      </c>
      <c r="J142" s="7">
        <v>0</v>
      </c>
      <c r="K142" s="98" t="str">
        <f t="shared" si="46"/>
        <v>4043/4044</v>
      </c>
      <c r="L142" s="21" t="str">
        <f>VLOOKUP(A142,'Trips&amp;Operators'!$C$1:$G$99999,5,FALSE)</f>
        <v>CHANDLER KELVIN</v>
      </c>
      <c r="M142" s="6">
        <f t="shared" si="47"/>
        <v>2.7233796296059154E-2</v>
      </c>
      <c r="N142" s="7">
        <f t="shared" si="44"/>
        <v>39.216666666325182</v>
      </c>
      <c r="O142" s="7"/>
      <c r="P142" s="7"/>
      <c r="Q142" s="22"/>
      <c r="R142" s="22"/>
      <c r="S142" s="31">
        <f t="shared" si="48"/>
        <v>1</v>
      </c>
      <c r="T142" s="46" t="str">
        <f t="shared" si="49"/>
        <v>Southbound</v>
      </c>
      <c r="U142" s="18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7" t="str">
        <f t="shared" si="50"/>
        <v>https://d0f6bd738d7f1b3e5a7ca70fe4ff75f0.us-east-1.aws.found.io/app/kibana#/discover/Steve-Slow-Train-Analysis-(2080s-and-2083s)?_g=(refreshInterval:(display:Off,pause:!f,section:0,value:0),time:(from:'2017-02-13T20:53:16-0700',mode:absolute,to:'2017-02-13T23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2" s="188" t="str">
        <f t="shared" si="51"/>
        <v>N</v>
      </c>
      <c r="X142" s="188">
        <f t="shared" si="45"/>
        <v>1</v>
      </c>
      <c r="Y142" s="62">
        <f t="shared" si="52"/>
        <v>23.295999999999999</v>
      </c>
      <c r="Z142" s="62">
        <f t="shared" si="53"/>
        <v>1.7600000000000001E-2</v>
      </c>
      <c r="AA142" s="62">
        <f t="shared" si="54"/>
        <v>23.278399999999998</v>
      </c>
      <c r="AB142" s="59" t="e">
        <f>VLOOKUP(A142,Enforcements!$C$7:$K$14,8,0)</f>
        <v>#N/A</v>
      </c>
      <c r="AC142" s="55" t="e">
        <f>VLOOKUP(A142,Enforcements!$C$7:$E$14,3,0)</f>
        <v>#N/A</v>
      </c>
      <c r="AD142" s="56" t="str">
        <f t="shared" si="55"/>
        <v>0230-13</v>
      </c>
      <c r="AE142" s="85" t="str">
        <f t="shared" si="56"/>
        <v>aws s3 cp s3://rtdc.mdm.uploadarchive.raw/RTDC4043/ "%USERPROFILE%\AppData\Local\Temp\OnboardLogs"\RTDC4043\2017-02-13 --exclude "*" --recursive --include "*20170213*" &amp; "%USERPROFILE%\Documents\GitHub\mrs-test-scripts\Headless Mode &amp; Sideloading\WalkAndUnGZ.bat" "%USERPROFILE%\AppData\Local\Temp\OnboardLogs"\RTDC4043\2017-02-13 &amp; aws s3 cp s3://rtdc.mdm.uploadarchive.raw/RTDC4043/ "%USERPROFILE%\AppData\Local\Temp\OnboardLogs"\RTDC4043\2017-02-14 --exclude "*" --recursive --include "*20170214*" &amp; "%USERPROFILE%\Documents\GitHub\mrs-test-scripts\Headless Mode &amp; Sideloading\WalkAndUnGZ.bat" "%USERPROFILE%\AppData\Local\Temp\OnboardLogs"\RTDC4043\2017-02-14</v>
      </c>
      <c r="AF142" s="82" t="str">
        <f t="shared" si="57"/>
        <v>"C:\Program Files (x86)\AstroGrep\AstroGrep.exe" /spath="%USERPROFILE%\AppData\Local\Temp\OnboardLogs" /stypes="app*4043*20170214*" /stext=" 05:.+((SYSTEM_STATE.+slice.+state.+changed )|(ment ac)|(multiple cpu faults)|(system.+state.+changed )|(\[timeout)|(PRM\|1\|D)|(kpr)|(kdp)|(\|lc)|(penalty))" /e /r /s</v>
      </c>
      <c r="AG142" s="1" t="str">
        <f t="shared" si="58"/>
        <v>EC</v>
      </c>
      <c r="AH142" s="86" t="str">
        <f t="shared" si="59"/>
        <v>"%USERPROFILE%\Documents\GitHub\eaglep3\Utilities\RefineRTDCRunTimes.py" --tripid 230-13 --locoid 4043 --swversion DE.1.0.8.0 --startMP 204:232960 --initTime 2017-02-13T21:53:16 --startdatetime 2017-02-13T21:56:34 --delay 1 --endMP 204:176 --enddatetime 2017-02-13T22:35:47 --enforcementcount 0 &gt;&gt;C:\Users\stu\Documents\GitHub\eaglep3-reporting\EC\2017-02-13-refined-times.txt</v>
      </c>
      <c r="AI142" s="108" t="str">
        <f t="shared" si="60"/>
        <v>echo {"issue":{"subject":"","project_id":79,"tracker_id":40,"status_id":1,"priority_id":2,"assigned_to_id":23,"start_date":"2017-02-13","description":"","custom_fields":[{"id":1,"name":"Subdivision","value":"EC"},{"id":4,"name":"Milepost","value":"0.0176"},{"id":17,"name":"Train ID","value":"230-13"},{"id":16,"name":"Locomotive ID","value":"4043"},{"id":130,"name":"Impact","value":""},{"id":150,"name":"Time of Event (Mountain Time)","value":"22:35:47"},{"id":151,"name":"Denver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61"/>
        <v>start /low /b %USERPROFILE%\Documents\GitHub\eaglep3\Utilities\DownloadLogsFromS3.py --loco 4043 --day 2017-02-13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"%USERPROFILE%\AppData\Local\Temp\OnboardLogs"\RTDC4043\*4043*20170214* | grep -SE "(Enforcement Action)|(\[TIMEOUT)|(CHR.+\|PRM\|1\|D.+(SWITCH|SIGNAL).+UNKNOWN)" - &gt;&gt; 2017-02-13-UncaughtWiMAX.txt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738</v>
      </c>
      <c r="B143" s="7">
        <v>4011</v>
      </c>
      <c r="C143" s="21" t="s">
        <v>193</v>
      </c>
      <c r="D143" s="21" t="s">
        <v>789</v>
      </c>
      <c r="E143" s="13">
        <v>42779.884780092594</v>
      </c>
      <c r="F143" s="13">
        <v>42779.896226851852</v>
      </c>
      <c r="G143" s="7">
        <v>1</v>
      </c>
      <c r="H143" s="21" t="s">
        <v>485</v>
      </c>
      <c r="I143" s="13">
        <v>42779.920925925922</v>
      </c>
      <c r="J143" s="7">
        <v>0</v>
      </c>
      <c r="K143" s="98" t="str">
        <f t="shared" si="46"/>
        <v>4011/4012</v>
      </c>
      <c r="L143" s="21" t="str">
        <f>VLOOKUP(A143,'Trips&amp;Operators'!$C$1:$G$99999,5,FALSE)</f>
        <v>SMITH MICHAEL</v>
      </c>
      <c r="M143" s="6">
        <f t="shared" si="47"/>
        <v>2.4699074070667848E-2</v>
      </c>
      <c r="N143" s="7">
        <f t="shared" si="44"/>
        <v>35.566666661761701</v>
      </c>
      <c r="O143" s="7"/>
      <c r="P143" s="7"/>
      <c r="Q143" s="22"/>
      <c r="R143" s="22"/>
      <c r="S143" s="31">
        <f t="shared" si="48"/>
        <v>1</v>
      </c>
      <c r="T143" s="46" t="str">
        <f t="shared" si="49"/>
        <v>NorthBound</v>
      </c>
      <c r="U143" s="18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7" t="str">
        <f t="shared" si="50"/>
        <v>https://d0f6bd738d7f1b3e5a7ca70fe4ff75f0.us-east-1.aws.found.io/app/kibana#/discover/Steve-Slow-Train-Analysis-(2080s-and-2083s)?_g=(refreshInterval:(display:Off,pause:!f,section:0,value:0),time:(from:'2017-02-13T20:14:05-0700',mode:absolute,to:'2017-02-13T23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3" s="188" t="str">
        <f t="shared" si="51"/>
        <v>N</v>
      </c>
      <c r="X143" s="188">
        <f t="shared" si="45"/>
        <v>1</v>
      </c>
      <c r="Y143" s="62">
        <f t="shared" si="52"/>
        <v>4.7300000000000002E-2</v>
      </c>
      <c r="Z143" s="62">
        <f t="shared" si="53"/>
        <v>23.331399999999999</v>
      </c>
      <c r="AA143" s="62">
        <f t="shared" si="54"/>
        <v>23.284099999999999</v>
      </c>
      <c r="AB143" s="59" t="e">
        <f>VLOOKUP(A143,Enforcements!$C$7:$K$14,8,0)</f>
        <v>#N/A</v>
      </c>
      <c r="AC143" s="55" t="e">
        <f>VLOOKUP(A143,Enforcements!$C$7:$E$14,3,0)</f>
        <v>#N/A</v>
      </c>
      <c r="AD143" s="56" t="str">
        <f t="shared" si="55"/>
        <v>0231-13</v>
      </c>
      <c r="AE143" s="85" t="str">
        <f t="shared" si="56"/>
        <v>aws s3 cp s3://rtdc.mdm.uploadarchive.raw/RTDC4011/ "%USERPROFILE%\AppData\Local\Temp\OnboardLogs"\RTDC4011\2017-02-13 --exclude "*" --recursive --include "*20170213*" &amp; "%USERPROFILE%\Documents\GitHub\mrs-test-scripts\Headless Mode &amp; Sideloading\WalkAndUnGZ.bat" "%USERPROFILE%\AppData\Local\Temp\OnboardLogs"\RTDC4011\2017-02-13 &amp; aws s3 cp s3://rtdc.mdm.uploadarchive.raw/RTDC4011/ "%USERPROFILE%\AppData\Local\Temp\OnboardLogs"\RTDC4011\2017-02-14 --exclude "*" --recursive --include "*20170214*" &amp; "%USERPROFILE%\Documents\GitHub\mrs-test-scripts\Headless Mode &amp; Sideloading\WalkAndUnGZ.bat" "%USERPROFILE%\AppData\Local\Temp\OnboardLogs"\RTDC4011\2017-02-14</v>
      </c>
      <c r="AF143" s="82" t="str">
        <f t="shared" si="57"/>
        <v>"C:\Program Files (x86)\AstroGrep\AstroGrep.exe" /spath="%USERPROFILE%\AppData\Local\Temp\OnboardLogs" /stypes="app*4011*20170214*" /stext=" 05:.+((SYSTEM_STATE.+slice.+state.+changed )|(ment ac)|(multiple cpu faults)|(system.+state.+changed )|(\[timeout)|(PRM\|1\|D)|(kpr)|(kdp)|(\|lc)|(penalty))" /e /r /s</v>
      </c>
      <c r="AG143" s="1" t="str">
        <f t="shared" si="58"/>
        <v>EC</v>
      </c>
      <c r="AH143" s="86" t="str">
        <f t="shared" si="59"/>
        <v>"%USERPROFILE%\Documents\GitHub\eaglep3\Utilities\RefineRTDCRunTimes.py" --tripid 231-13 --locoid 4011 --swversion DE.1.0.8.0 --startMP 204:473 --initTime 2017-02-13T21:14:05 --startdatetime 2017-02-13T21:30:34 --delay 1 --endMP 204:233314 --enddatetime 2017-02-13T22:06:08 --enforcementcount 0 &gt;&gt;C:\Users\stu\Documents\GitHub\eaglep3-reporting\EC\2017-02-13-refined-times.txt</v>
      </c>
      <c r="AI143" s="108" t="str">
        <f t="shared" si="60"/>
        <v>echo {"issue":{"subject":"","project_id":79,"tracker_id":40,"status_id":1,"priority_id":2,"assigned_to_id":23,"start_date":"2017-02-13","description":"","custom_fields":[{"id":1,"name":"Subdivision","value":"EC"},{"id":4,"name":"Milepost","value":"23.3314"},{"id":17,"name":"Train ID","value":"231-13"},{"id":16,"name":"Locomotive ID","value":"4011"},{"id":130,"name":"Impact","value":""},{"id":150,"name":"Time of Event (Mountain Time)","value":"22:06:08"},{"id":151,"name":"Denver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1"/>
        <v>start /low /b %USERPROFILE%\Documents\GitHub\eaglep3\Utilities\DownloadLogsFromS3.py --loco 4011 --day 2017-02-13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"%USERPROFILE%\AppData\Local\Temp\OnboardLogs"\RTDC4011\*4011*20170214* | grep -SE "(Enforcement Action)|(\[TIMEOUT)|(CHR.+\|PRM\|1\|D.+(SWITCH|SIGNAL).+UNKNOWN)" - &gt;&gt; 2017-02-13-UncaughtWiMAX.txt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x14ac:dyDescent="0.25">
      <c r="A144" s="33" t="s">
        <v>744</v>
      </c>
      <c r="B144" s="7">
        <v>4012</v>
      </c>
      <c r="C144" s="21" t="s">
        <v>193</v>
      </c>
      <c r="D144" s="21" t="s">
        <v>781</v>
      </c>
      <c r="E144" s="13">
        <v>42779.927789351852</v>
      </c>
      <c r="F144" s="13">
        <v>42779.934918981482</v>
      </c>
      <c r="G144" s="7">
        <v>1</v>
      </c>
      <c r="H144" s="21" t="s">
        <v>205</v>
      </c>
      <c r="I144" s="13">
        <v>42779.961793981478</v>
      </c>
      <c r="J144" s="7">
        <v>0</v>
      </c>
      <c r="K144" s="98" t="str">
        <f t="shared" si="46"/>
        <v>4011/4012</v>
      </c>
      <c r="L144" s="21" t="str">
        <f>VLOOKUP(A144,'Trips&amp;Operators'!$C$1:$G$99999,5,FALSE)</f>
        <v>SMITH MICHAEL</v>
      </c>
      <c r="M144" s="6">
        <f t="shared" si="47"/>
        <v>2.6874999995925464E-2</v>
      </c>
      <c r="N144" s="7">
        <f t="shared" si="44"/>
        <v>38.699999994132668</v>
      </c>
      <c r="O144" s="7"/>
      <c r="P144" s="7"/>
      <c r="Q144" s="22"/>
      <c r="R144" s="22"/>
      <c r="S144" s="31">
        <f t="shared" si="48"/>
        <v>1</v>
      </c>
      <c r="T144" s="46" t="str">
        <f t="shared" si="49"/>
        <v>Southbound</v>
      </c>
      <c r="U144" s="18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7" t="str">
        <f t="shared" si="50"/>
        <v>https://d0f6bd738d7f1b3e5a7ca70fe4ff75f0.us-east-1.aws.found.io/app/kibana#/discover/Steve-Slow-Train-Analysis-(2080s-and-2083s)?_g=(refreshInterval:(display:Off,pause:!f,section:0,value:0),time:(from:'2017-02-13T21:16:01-0700',mode:absolute,to:'2017-02-14T00:04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4" s="188" t="str">
        <f t="shared" si="51"/>
        <v>N</v>
      </c>
      <c r="X144" s="188">
        <f t="shared" si="45"/>
        <v>1</v>
      </c>
      <c r="Y144" s="62">
        <f t="shared" si="52"/>
        <v>23.298500000000001</v>
      </c>
      <c r="Z144" s="62">
        <f t="shared" si="53"/>
        <v>1.6E-2</v>
      </c>
      <c r="AA144" s="62">
        <f t="shared" si="54"/>
        <v>23.282500000000002</v>
      </c>
      <c r="AB144" s="59" t="e">
        <f>VLOOKUP(A144,Enforcements!$C$7:$K$14,8,0)</f>
        <v>#N/A</v>
      </c>
      <c r="AC144" s="55" t="e">
        <f>VLOOKUP(A144,Enforcements!$C$7:$E$14,3,0)</f>
        <v>#N/A</v>
      </c>
      <c r="AD144" s="56" t="str">
        <f t="shared" si="55"/>
        <v>0232-13</v>
      </c>
      <c r="AE144" s="85" t="str">
        <f t="shared" si="56"/>
        <v>aws s3 cp s3://rtdc.mdm.uploadarchive.raw/RTDC4012/ "%USERPROFILE%\AppData\Local\Temp\OnboardLogs"\RTDC4012\2017-02-13 --exclude "*" --recursive --include "*20170213*" &amp; "%USERPROFILE%\Documents\GitHub\mrs-test-scripts\Headless Mode &amp; Sideloading\WalkAndUnGZ.bat" "%USERPROFILE%\AppData\Local\Temp\OnboardLogs"\RTDC4012\2017-02-13 &amp; 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</v>
      </c>
      <c r="AF144" s="82" t="str">
        <f t="shared" si="57"/>
        <v>"C:\Program Files (x86)\AstroGrep\AstroGrep.exe" /spath="%USERPROFILE%\AppData\Local\Temp\OnboardLogs" /stypes="app*4012*20170214*" /stext=" 06:.+((SYSTEM_STATE.+slice.+state.+changed )|(ment ac)|(multiple cpu faults)|(system.+state.+changed )|(\[timeout)|(PRM\|1\|D)|(kpr)|(kdp)|(\|lc)|(penalty))" /e /r /s</v>
      </c>
      <c r="AG144" s="1" t="str">
        <f t="shared" si="58"/>
        <v>EC</v>
      </c>
      <c r="AH144" s="86" t="str">
        <f t="shared" si="59"/>
        <v>"%USERPROFILE%\Documents\GitHub\eaglep3\Utilities\RefineRTDCRunTimes.py" --tripid 232-13 --locoid 4012 --swversion DE.1.0.8.0 --startMP 204:232985 --initTime 2017-02-13T22:16:01 --startdatetime 2017-02-13T22:26:17 --delay 1 --endMP 204:160 --enddatetime 2017-02-13T23:04:59 --enforcementcount 0 &gt;&gt;C:\Users\stu\Documents\GitHub\eaglep3-reporting\EC\2017-02-13-refined-times.txt</v>
      </c>
      <c r="AI144" s="108" t="str">
        <f t="shared" si="60"/>
        <v>echo {"issue":{"subject":"","project_id":79,"tracker_id":40,"status_id":1,"priority_id":2,"assigned_to_id":23,"start_date":"2017-02-13","description":"","custom_fields":[{"id":1,"name":"Subdivision","value":"EC"},{"id":4,"name":"Milepost","value":"0.016"},{"id":17,"name":"Train ID","value":"232-13"},{"id":16,"name":"Locomotive ID","value":"4012"},{"id":130,"name":"Impact","value":""},{"id":150,"name":"Time of Event (Mountain Time)","value":"23:04:59"},{"id":151,"name":"Denver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1"/>
        <v>start /low /b %USERPROFILE%\Documents\GitHub\eaglep3\Utilities\DownloadLogsFromS3.py --loco 4012 --day 2017-02-13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"%USERPROFILE%\AppData\Local\Temp\OnboardLogs"\RTDC4012\*4012*20170214* | grep -SE "(Enforcement Action)|(\[TIMEOUT)|(CHR.+\|PRM\|1\|D.+(SWITCH|SIGNAL).+UNKNOWN)" - &gt;&gt; 2017-02-13-UncaughtWiMAX.txt</v>
      </c>
    </row>
    <row r="145" spans="1:91" s="20" customFormat="1" x14ac:dyDescent="0.25">
      <c r="A145" s="33" t="s">
        <v>741</v>
      </c>
      <c r="B145" s="7">
        <v>4025</v>
      </c>
      <c r="C145" s="21" t="s">
        <v>193</v>
      </c>
      <c r="D145" s="21" t="s">
        <v>298</v>
      </c>
      <c r="E145" s="13">
        <v>42779.904872685183</v>
      </c>
      <c r="F145" s="13">
        <v>42779.917094907411</v>
      </c>
      <c r="G145" s="7">
        <v>1</v>
      </c>
      <c r="H145" s="21" t="s">
        <v>799</v>
      </c>
      <c r="I145" s="13">
        <v>42779.94258101852</v>
      </c>
      <c r="J145" s="7">
        <v>0</v>
      </c>
      <c r="K145" s="98" t="str">
        <f t="shared" si="46"/>
        <v>4025/4026</v>
      </c>
      <c r="L145" s="21" t="str">
        <f>VLOOKUP(A145,'Trips&amp;Operators'!$C$1:$G$99999,5,FALSE)</f>
        <v>YANG JAN</v>
      </c>
      <c r="M145" s="6">
        <f t="shared" si="47"/>
        <v>2.548611110978527E-2</v>
      </c>
      <c r="N145" s="7">
        <f t="shared" si="44"/>
        <v>36.699999998090789</v>
      </c>
      <c r="O145" s="7"/>
      <c r="P145" s="7"/>
      <c r="Q145" s="22"/>
      <c r="R145" s="22"/>
      <c r="S145" s="31">
        <f t="shared" si="48"/>
        <v>1</v>
      </c>
      <c r="T145" s="46" t="str">
        <f t="shared" si="49"/>
        <v>NorthBound</v>
      </c>
      <c r="U145" s="18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7" t="str">
        <f t="shared" si="50"/>
        <v>https://d0f6bd738d7f1b3e5a7ca70fe4ff75f0.us-east-1.aws.found.io/app/kibana#/discover/Steve-Slow-Train-Analysis-(2080s-and-2083s)?_g=(refreshInterval:(display:Off,pause:!f,section:0,value:0),time:(from:'2017-02-13T20:43:01-0700',mode:absolute,to:'2017-02-13T23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5" s="188" t="str">
        <f t="shared" si="51"/>
        <v>N</v>
      </c>
      <c r="X145" s="188">
        <f t="shared" si="45"/>
        <v>1</v>
      </c>
      <c r="Y145" s="62">
        <f t="shared" si="52"/>
        <v>4.4699999999999997E-2</v>
      </c>
      <c r="Z145" s="62">
        <f t="shared" si="53"/>
        <v>23.332100000000001</v>
      </c>
      <c r="AA145" s="62">
        <f t="shared" si="54"/>
        <v>23.287400000000002</v>
      </c>
      <c r="AB145" s="59" t="e">
        <f>VLOOKUP(A145,Enforcements!$C$7:$K$14,8,0)</f>
        <v>#N/A</v>
      </c>
      <c r="AC145" s="55" t="e">
        <f>VLOOKUP(A145,Enforcements!$C$7:$E$14,3,0)</f>
        <v>#N/A</v>
      </c>
      <c r="AD145" s="56" t="str">
        <f t="shared" si="55"/>
        <v>0233-13</v>
      </c>
      <c r="AE145" s="85" t="str">
        <f t="shared" si="56"/>
        <v>aws s3 cp s3://rtdc.mdm.uploadarchive.raw/RTDC4025/ "%USERPROFILE%\AppData\Local\Temp\OnboardLogs"\RTDC4025\2017-02-13 --exclude "*" --recursive --include "*20170213*" &amp; "%USERPROFILE%\Documents\GitHub\mrs-test-scripts\Headless Mode &amp; Sideloading\WalkAndUnGZ.bat" "%USERPROFILE%\AppData\Local\Temp\OnboardLogs"\RTDC4025\2017-02-13 &amp; aws s3 cp s3://rtdc.mdm.uploadarchive.raw/RTDC4025/ "%USERPROFILE%\AppData\Local\Temp\OnboardLogs"\RTDC4025\2017-02-14 --exclude "*" --recursive --include "*20170214*" &amp; "%USERPROFILE%\Documents\GitHub\mrs-test-scripts\Headless Mode &amp; Sideloading\WalkAndUnGZ.bat" "%USERPROFILE%\AppData\Local\Temp\OnboardLogs"\RTDC4025\2017-02-14</v>
      </c>
      <c r="AF145" s="82" t="str">
        <f t="shared" si="57"/>
        <v>"C:\Program Files (x86)\AstroGrep\AstroGrep.exe" /spath="%USERPROFILE%\AppData\Local\Temp\OnboardLogs" /stypes="app*4025*20170214*" /stext=" 05:.+((SYSTEM_STATE.+slice.+state.+changed )|(ment ac)|(multiple cpu faults)|(system.+state.+changed )|(\[timeout)|(PRM\|1\|D)|(kpr)|(kdp)|(\|lc)|(penalty))" /e /r /s</v>
      </c>
      <c r="AG145" s="1" t="str">
        <f t="shared" si="58"/>
        <v>EC</v>
      </c>
      <c r="AH145" s="86" t="str">
        <f t="shared" si="59"/>
        <v>"%USERPROFILE%\Documents\GitHub\eaglep3\Utilities\RefineRTDCRunTimes.py" --tripid 233-13 --locoid 4025 --swversion DE.1.0.8.0 --startMP 204:447 --initTime 2017-02-13T21:43:01 --startdatetime 2017-02-13T22:00:37 --delay 1 --endMP 204:233321 --enddatetime 2017-02-13T22:37:19 --enforcementcount 0 &gt;&gt;C:\Users\stu\Documents\GitHub\eaglep3-reporting\EC\2017-02-13-refined-times.txt</v>
      </c>
      <c r="AI145" s="108" t="str">
        <f t="shared" si="60"/>
        <v>echo {"issue":{"subject":"","project_id":79,"tracker_id":40,"status_id":1,"priority_id":2,"assigned_to_id":23,"start_date":"2017-02-13","description":"","custom_fields":[{"id":1,"name":"Subdivision","value":"EC"},{"id":4,"name":"Milepost","value":"23.3321"},{"id":17,"name":"Train ID","value":"233-13"},{"id":16,"name":"Locomotive ID","value":"4025"},{"id":130,"name":"Impact","value":""},{"id":150,"name":"Time of Event (Mountain Time)","value":"22:37:19"},{"id":151,"name":"Denver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1"/>
        <v>start /low /b %USERPROFILE%\Documents\GitHub\eaglep3\Utilities\DownloadLogsFromS3.py --loco 4025 --day 2017-02-13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"%USERPROFILE%\AppData\Local\Temp\OnboardLogs"\RTDC4025\*4025*20170214* | grep -SE "(Enforcement Action)|(\[TIMEOUT)|(CHR.+\|PRM\|1\|D.+(SWITCH|SIGNAL).+UNKNOWN)" - &gt;&gt; 2017-02-13-UncaughtWiMAX.txt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747</v>
      </c>
      <c r="B146" s="7">
        <v>4026</v>
      </c>
      <c r="C146" s="21" t="s">
        <v>193</v>
      </c>
      <c r="D146" s="21" t="s">
        <v>299</v>
      </c>
      <c r="E146" s="13">
        <v>42779.950497685182</v>
      </c>
      <c r="F146" s="13">
        <v>42779.955752314818</v>
      </c>
      <c r="G146" s="7">
        <v>1</v>
      </c>
      <c r="H146" s="21" t="s">
        <v>205</v>
      </c>
      <c r="I146" s="13">
        <v>42779.982777777775</v>
      </c>
      <c r="J146" s="7">
        <v>0</v>
      </c>
      <c r="K146" s="98" t="str">
        <f t="shared" si="46"/>
        <v>4025/4026</v>
      </c>
      <c r="L146" s="21" t="str">
        <f>VLOOKUP(A146,'Trips&amp;Operators'!$C$1:$G$99999,5,FALSE)</f>
        <v>YANG JAN</v>
      </c>
      <c r="M146" s="6">
        <f t="shared" si="47"/>
        <v>2.7025462957681157E-2</v>
      </c>
      <c r="N146" s="7">
        <f t="shared" si="44"/>
        <v>38.916666659060866</v>
      </c>
      <c r="O146" s="7"/>
      <c r="P146" s="7"/>
      <c r="Q146" s="22"/>
      <c r="R146" s="22"/>
      <c r="S146" s="31">
        <f t="shared" si="48"/>
        <v>1</v>
      </c>
      <c r="T146" s="46" t="str">
        <f t="shared" si="49"/>
        <v>Southbound</v>
      </c>
      <c r="U146" s="18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7" t="str">
        <f t="shared" si="50"/>
        <v>https://d0f6bd738d7f1b3e5a7ca70fe4ff75f0.us-east-1.aws.found.io/app/kibana#/discover/Steve-Slow-Train-Analysis-(2080s-and-2083s)?_g=(refreshInterval:(display:Off,pause:!f,section:0,value:0),time:(from:'2017-02-13T21:48:43-0700',mode:absolute,to:'2017-02-14T00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6" s="188" t="str">
        <f t="shared" si="51"/>
        <v>N</v>
      </c>
      <c r="X146" s="188">
        <f t="shared" si="45"/>
        <v>1</v>
      </c>
      <c r="Y146" s="62">
        <f t="shared" si="52"/>
        <v>23.299299999999999</v>
      </c>
      <c r="Z146" s="62">
        <f t="shared" si="53"/>
        <v>1.6E-2</v>
      </c>
      <c r="AA146" s="62">
        <f t="shared" si="54"/>
        <v>23.283300000000001</v>
      </c>
      <c r="AB146" s="59" t="e">
        <f>VLOOKUP(A146,Enforcements!$C$7:$K$14,8,0)</f>
        <v>#N/A</v>
      </c>
      <c r="AC146" s="55" t="e">
        <f>VLOOKUP(A146,Enforcements!$C$7:$E$14,3,0)</f>
        <v>#N/A</v>
      </c>
      <c r="AD146" s="56" t="str">
        <f t="shared" si="55"/>
        <v>0234-13</v>
      </c>
      <c r="AE146" s="85" t="str">
        <f t="shared" si="56"/>
        <v>aws s3 cp s3://rtdc.mdm.uploadarchive.raw/RTDC4026/ "%USERPROFILE%\AppData\Local\Temp\OnboardLogs"\RTDC4026\2017-02-13 --exclude "*" --recursive --include "*20170213*" &amp; "%USERPROFILE%\Documents\GitHub\mrs-test-scripts\Headless Mode &amp; Sideloading\WalkAndUnGZ.bat" "%USERPROFILE%\AppData\Local\Temp\OnboardLogs"\RTDC4026\2017-02-13 &amp; aws s3 cp s3://rtdc.mdm.uploadarchive.raw/RTDC4026/ "%USERPROFILE%\AppData\Local\Temp\OnboardLogs"\RTDC4026\2017-02-14 --exclude "*" --recursive --include "*20170214*" &amp; "%USERPROFILE%\Documents\GitHub\mrs-test-scripts\Headless Mode &amp; Sideloading\WalkAndUnGZ.bat" "%USERPROFILE%\AppData\Local\Temp\OnboardLogs"\RTDC4026\2017-02-14</v>
      </c>
      <c r="AF146" s="82" t="str">
        <f t="shared" si="57"/>
        <v>"C:\Program Files (x86)\AstroGrep\AstroGrep.exe" /spath="%USERPROFILE%\AppData\Local\Temp\OnboardLogs" /stypes="app*4026*20170214*" /stext=" 06:.+((SYSTEM_STATE.+slice.+state.+changed )|(ment ac)|(multiple cpu faults)|(system.+state.+changed )|(\[timeout)|(PRM\|1\|D)|(kpr)|(kdp)|(\|lc)|(penalty))" /e /r /s</v>
      </c>
      <c r="AG146" s="1" t="str">
        <f t="shared" si="58"/>
        <v>EC</v>
      </c>
      <c r="AH146" s="86" t="str">
        <f t="shared" si="59"/>
        <v>"%USERPROFILE%\Documents\GitHub\eaglep3\Utilities\RefineRTDCRunTimes.py" --tripid 234-13 --locoid 4026 --swversion DE.1.0.8.0 --startMP 204:232993 --initTime 2017-02-13T22:48:43 --startdatetime 2017-02-13T22:56:17 --delay 1 --endMP 204:160 --enddatetime 2017-02-13T23:35:12 --enforcementcount 0 &gt;&gt;C:\Users\stu\Documents\GitHub\eaglep3-reporting\EC\2017-02-13-refined-times.txt</v>
      </c>
      <c r="AI146" s="108" t="str">
        <f t="shared" si="60"/>
        <v>echo {"issue":{"subject":"","project_id":79,"tracker_id":40,"status_id":1,"priority_id":2,"assigned_to_id":23,"start_date":"2017-02-13","description":"","custom_fields":[{"id":1,"name":"Subdivision","value":"EC"},{"id":4,"name":"Milepost","value":"0.016"},{"id":17,"name":"Train ID","value":"234-13"},{"id":16,"name":"Locomotive ID","value":"4026"},{"id":130,"name":"Impact","value":""},{"id":150,"name":"Time of Event (Mountain Time)","value":"23:35:12"},{"id":151,"name":"Denver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1"/>
        <v>start /low /b %USERPROFILE%\Documents\GitHub\eaglep3\Utilities\DownloadLogsFromS3.py --loco 4026 --day 2017-02-13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"%USERPROFILE%\AppData\Local\Temp\OnboardLogs"\RTDC4026\*4026*20170214* | grep -SE "(Enforcement Action)|(\[TIMEOUT)|(CHR.+\|PRM\|1\|D.+(SWITCH|SIGNAL).+UNKNOWN)" - &gt;&gt; 2017-02-13-UncaughtWiMAX.txt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745</v>
      </c>
      <c r="B147" s="7">
        <v>4027</v>
      </c>
      <c r="C147" s="21" t="s">
        <v>193</v>
      </c>
      <c r="D147" s="21" t="s">
        <v>279</v>
      </c>
      <c r="E147" s="13">
        <v>42779.929884259262</v>
      </c>
      <c r="F147" s="13">
        <v>42779.937754629631</v>
      </c>
      <c r="G147" s="7">
        <v>1</v>
      </c>
      <c r="H147" s="21" t="s">
        <v>520</v>
      </c>
      <c r="I147" s="13">
        <v>42779.962708333333</v>
      </c>
      <c r="J147" s="7">
        <v>0</v>
      </c>
      <c r="K147" s="98" t="str">
        <f t="shared" si="46"/>
        <v>4027/4028</v>
      </c>
      <c r="L147" s="21" t="str">
        <f>VLOOKUP(A147,'Trips&amp;Operators'!$C$1:$G$99999,5,FALSE)</f>
        <v>STORY SAMANTHA</v>
      </c>
      <c r="M147" s="6">
        <f t="shared" si="47"/>
        <v>2.495370370161254E-2</v>
      </c>
      <c r="N147" s="7">
        <f t="shared" si="44"/>
        <v>35.933333330322057</v>
      </c>
      <c r="O147" s="7"/>
      <c r="P147" s="7"/>
      <c r="Q147" s="22"/>
      <c r="R147" s="22"/>
      <c r="S147" s="31">
        <f t="shared" si="48"/>
        <v>1</v>
      </c>
      <c r="T147" s="46" t="str">
        <f t="shared" si="49"/>
        <v>NorthBound</v>
      </c>
      <c r="U147" s="18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7" t="str">
        <f t="shared" si="50"/>
        <v>https://d0f6bd738d7f1b3e5a7ca70fe4ff75f0.us-east-1.aws.found.io/app/kibana#/discover/Steve-Slow-Train-Analysis-(2080s-and-2083s)?_g=(refreshInterval:(display:Off,pause:!f,section:0,value:0),time:(from:'2017-02-13T21:19:02-0700',mode:absolute,to:'2017-02-14T00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7" s="188" t="str">
        <f t="shared" si="51"/>
        <v>N</v>
      </c>
      <c r="X147" s="188">
        <f t="shared" si="45"/>
        <v>1</v>
      </c>
      <c r="Y147" s="62">
        <f t="shared" si="52"/>
        <v>4.5499999999999999E-2</v>
      </c>
      <c r="Z147" s="62">
        <f t="shared" si="53"/>
        <v>23.337800000000001</v>
      </c>
      <c r="AA147" s="62">
        <f t="shared" si="54"/>
        <v>23.292300000000001</v>
      </c>
      <c r="AB147" s="59" t="e">
        <f>VLOOKUP(A147,Enforcements!$C$7:$K$14,8,0)</f>
        <v>#N/A</v>
      </c>
      <c r="AC147" s="55" t="e">
        <f>VLOOKUP(A147,Enforcements!$C$7:$E$14,3,0)</f>
        <v>#N/A</v>
      </c>
      <c r="AD147" s="56" t="str">
        <f t="shared" si="55"/>
        <v>0235-13</v>
      </c>
      <c r="AE147" s="85" t="str">
        <f t="shared" si="56"/>
        <v>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 &amp; 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</v>
      </c>
      <c r="AF147" s="82" t="str">
        <f t="shared" si="57"/>
        <v>"C:\Program Files (x86)\AstroGrep\AstroGrep.exe" /spath="%USERPROFILE%\AppData\Local\Temp\OnboardLogs" /stypes="app*4027*20170214*" /stext=" 06:.+((SYSTEM_STATE.+slice.+state.+changed )|(ment ac)|(multiple cpu faults)|(system.+state.+changed )|(\[timeout)|(PRM\|1\|D)|(kpr)|(kdp)|(\|lc)|(penalty))" /e /r /s</v>
      </c>
      <c r="AG147" s="1" t="str">
        <f t="shared" si="58"/>
        <v>EC</v>
      </c>
      <c r="AH147" s="86" t="str">
        <f t="shared" si="59"/>
        <v>"%USERPROFILE%\Documents\GitHub\eaglep3\Utilities\RefineRTDCRunTimes.py" --tripid 235-13 --locoid 4027 --swversion DE.1.0.8.0 --startMP 204:455 --initTime 2017-02-13T22:19:02 --startdatetime 2017-02-13T22:30:22 --delay 1 --endMP 204:233378 --enddatetime 2017-02-13T23:06:18 --enforcementcount 0 &gt;&gt;C:\Users\stu\Documents\GitHub\eaglep3-reporting\EC\2017-02-13-refined-times.txt</v>
      </c>
      <c r="AI147" s="108" t="str">
        <f t="shared" si="60"/>
        <v>echo {"issue":{"subject":"","project_id":79,"tracker_id":40,"status_id":1,"priority_id":2,"assigned_to_id":23,"start_date":"2017-02-13","description":"","custom_fields":[{"id":1,"name":"Subdivision","value":"EC"},{"id":4,"name":"Milepost","value":"23.3378"},{"id":17,"name":"Train ID","value":"235-13"},{"id":16,"name":"Locomotive ID","value":"4027"},{"id":130,"name":"Impact","value":""},{"id":150,"name":"Time of Event (Mountain Time)","value":"23:06:18"},{"id":151,"name":"Denver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1"/>
        <v>start /low /b %USERPROFILE%\Documents\GitHub\eaglep3\Utilities\DownloadLogsFromS3.py --loco 4027 --day 2017-02-13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"%USERPROFILE%\AppData\Local\Temp\OnboardLogs"\RTDC4027\*4027*20170214* | grep -SE "(Enforcement Action)|(\[TIMEOUT)|(CHR.+\|PRM\|1\|D.+(SWITCH|SIGNAL).+UNKNOWN)" - &gt;&gt; 2017-02-13-UncaughtWiMAX.txt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749</v>
      </c>
      <c r="B148" s="7">
        <v>4028</v>
      </c>
      <c r="C148" s="21" t="s">
        <v>193</v>
      </c>
      <c r="D148" s="21" t="s">
        <v>821</v>
      </c>
      <c r="E148" s="13">
        <v>42779.967233796298</v>
      </c>
      <c r="F148" s="13">
        <v>42779.976759259262</v>
      </c>
      <c r="G148" s="7">
        <v>1</v>
      </c>
      <c r="H148" s="21" t="s">
        <v>221</v>
      </c>
      <c r="I148" s="13">
        <v>42780.003113425926</v>
      </c>
      <c r="J148" s="7">
        <v>0</v>
      </c>
      <c r="K148" s="98" t="str">
        <f t="shared" si="46"/>
        <v>4027/4028</v>
      </c>
      <c r="L148" s="21" t="str">
        <f>VLOOKUP(A148,'Trips&amp;Operators'!$C$1:$G$99999,5,FALSE)</f>
        <v>STORY SAMANTHA</v>
      </c>
      <c r="M148" s="6">
        <f t="shared" si="47"/>
        <v>2.6354166664532386E-2</v>
      </c>
      <c r="N148" s="7">
        <f t="shared" si="44"/>
        <v>37.949999996926636</v>
      </c>
      <c r="O148" s="7"/>
      <c r="P148" s="7"/>
      <c r="Q148" s="22"/>
      <c r="R148" s="22"/>
      <c r="S148" s="31">
        <f t="shared" si="48"/>
        <v>1</v>
      </c>
      <c r="T148" s="46" t="str">
        <f t="shared" si="49"/>
        <v>Southbound</v>
      </c>
      <c r="U148" s="18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7" t="str">
        <f t="shared" si="50"/>
        <v>https://d0f6bd738d7f1b3e5a7ca70fe4ff75f0.us-east-1.aws.found.io/app/kibana#/discover/Steve-Slow-Train-Analysis-(2080s-and-2083s)?_g=(refreshInterval:(display:Off,pause:!f,section:0,value:0),time:(from:'2017-02-13T22:12:49-0700',mode:absolute,to:'2017-02-14T01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8" s="188" t="str">
        <f t="shared" si="51"/>
        <v>N</v>
      </c>
      <c r="X148" s="188">
        <f t="shared" si="45"/>
        <v>1</v>
      </c>
      <c r="Y148" s="62">
        <f t="shared" si="52"/>
        <v>23.302299999999999</v>
      </c>
      <c r="Z148" s="62">
        <f t="shared" si="53"/>
        <v>1.54E-2</v>
      </c>
      <c r="AA148" s="62">
        <f t="shared" si="54"/>
        <v>23.286899999999999</v>
      </c>
      <c r="AB148" s="59" t="e">
        <f>VLOOKUP(A148,Enforcements!$C$7:$K$14,8,0)</f>
        <v>#N/A</v>
      </c>
      <c r="AC148" s="55" t="e">
        <f>VLOOKUP(A148,Enforcements!$C$7:$E$14,3,0)</f>
        <v>#N/A</v>
      </c>
      <c r="AD148" s="56" t="str">
        <f t="shared" si="55"/>
        <v>0236-13</v>
      </c>
      <c r="AE148" s="85" t="str">
        <f t="shared" si="56"/>
        <v>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 &amp; aws s3 cp s3://rtdc.mdm.uploadarchive.raw/RTDC4028/ "%USERPROFILE%\AppData\Local\Temp\OnboardLogs"\RTDC4028\2017-02-14 --exclude "*" --recursive --include "*20170214*" &amp; "%USERPROFILE%\Documents\GitHub\mrs-test-scripts\Headless Mode &amp; Sideloading\WalkAndUnGZ.bat" "%USERPROFILE%\AppData\Local\Temp\OnboardLogs"\RTDC4028\2017-02-14</v>
      </c>
      <c r="AF148" s="82" t="str">
        <f t="shared" si="57"/>
        <v>"C:\Program Files (x86)\AstroGrep\AstroGrep.exe" /spath="%USERPROFILE%\AppData\Local\Temp\OnboardLogs" /stypes="app*4028*20170214*" /stext=" 07:.+((SYSTEM_STATE.+slice.+state.+changed )|(ment ac)|(multiple cpu faults)|(system.+state.+changed )|(\[timeout)|(PRM\|1\|D)|(kpr)|(kdp)|(\|lc)|(penalty))" /e /r /s</v>
      </c>
      <c r="AG148" s="1" t="str">
        <f t="shared" si="58"/>
        <v>EC</v>
      </c>
      <c r="AH148" s="86" t="str">
        <f t="shared" si="59"/>
        <v>"%USERPROFILE%\Documents\GitHub\eaglep3\Utilities\RefineRTDCRunTimes.py" --tripid 236-13 --locoid 4028 --swversion DE.1.0.8.0 --startMP 204:233023 --initTime 2017-02-13T23:12:49 --startdatetime 2017-02-13T23:26:32 --delay 1 --endMP 204:154 --enddatetime 2017-02-14T00:04:29 --enforcementcount 0 &gt;&gt;C:\Users\stu\Documents\GitHub\eaglep3-reporting\EC\2017-02-13-refined-times.txt</v>
      </c>
      <c r="AI148" s="108" t="str">
        <f t="shared" si="60"/>
        <v>echo {"issue":{"subject":"","project_id":79,"tracker_id":40,"status_id":1,"priority_id":2,"assigned_to_id":23,"start_date":"2017-02-14","description":"","custom_fields":[{"id":1,"name":"Subdivision","value":"EC"},{"id":4,"name":"Milepost","value":"0.0154"},{"id":17,"name":"Train ID","value":"236-13"},{"id":16,"name":"Locomotive ID","value":"4028"},{"id":130,"name":"Impact","value":""},{"id":150,"name":"Time of Event (Mountain Time)","value":"00:04:29"},{"id":151,"name":"Denver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1"/>
        <v>start /low /b %USERPROFILE%\Documents\GitHub\eaglep3\Utilities\DownloadLogsFromS3.py --loco 4028 --day 2017-02-13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"%USERPROFILE%\AppData\Local\Temp\OnboardLogs"\RTDC4028\*4028*20170214* | grep -SE "(Enforcement Action)|(\[TIMEOUT)|(CHR.+\|PRM\|1\|D.+(SWITCH|SIGNAL).+UNKNOWN)" - &gt;&gt; 2017-02-13-UncaughtWiMAX.txt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748</v>
      </c>
      <c r="B149" s="7">
        <v>4044</v>
      </c>
      <c r="C149" s="21" t="s">
        <v>193</v>
      </c>
      <c r="D149" s="21" t="s">
        <v>423</v>
      </c>
      <c r="E149" s="13">
        <v>42779.955752314818</v>
      </c>
      <c r="F149" s="13">
        <v>42779.95857638889</v>
      </c>
      <c r="G149" s="7">
        <v>1</v>
      </c>
      <c r="H149" s="21" t="s">
        <v>331</v>
      </c>
      <c r="I149" s="13">
        <v>42779.983946759261</v>
      </c>
      <c r="J149" s="7">
        <v>0</v>
      </c>
      <c r="K149" s="98" t="str">
        <f t="shared" si="46"/>
        <v>4043/4044</v>
      </c>
      <c r="L149" s="21" t="str">
        <f>VLOOKUP(A149,'Trips&amp;Operators'!$C$1:$G$99999,5,FALSE)</f>
        <v>CHANDLER KELVIN</v>
      </c>
      <c r="M149" s="6">
        <f t="shared" si="47"/>
        <v>2.5370370371092577E-2</v>
      </c>
      <c r="N149" s="7">
        <f t="shared" si="44"/>
        <v>36.53333333437331</v>
      </c>
      <c r="O149" s="7"/>
      <c r="P149" s="7"/>
      <c r="Q149" s="22"/>
      <c r="R149" s="22"/>
      <c r="S149" s="31">
        <f t="shared" si="48"/>
        <v>1</v>
      </c>
      <c r="T149" s="46" t="str">
        <f t="shared" si="49"/>
        <v>NorthBound</v>
      </c>
      <c r="U149" s="18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7" t="str">
        <f t="shared" si="50"/>
        <v>https://d0f6bd738d7f1b3e5a7ca70fe4ff75f0.us-east-1.aws.found.io/app/kibana#/discover/Steve-Slow-Train-Analysis-(2080s-and-2083s)?_g=(refreshInterval:(display:Off,pause:!f,section:0,value:0),time:(from:'2017-02-13T21:56:17-0700',mode:absolute,to:'2017-02-14T00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9" s="188" t="str">
        <f t="shared" si="51"/>
        <v>N</v>
      </c>
      <c r="X149" s="188">
        <f t="shared" si="45"/>
        <v>1</v>
      </c>
      <c r="Y149" s="62">
        <f t="shared" si="52"/>
        <v>4.7500000000000001E-2</v>
      </c>
      <c r="Z149" s="62">
        <f t="shared" si="53"/>
        <v>23.329499999999999</v>
      </c>
      <c r="AA149" s="62">
        <f t="shared" si="54"/>
        <v>23.282</v>
      </c>
      <c r="AB149" s="59" t="e">
        <f>VLOOKUP(A149,Enforcements!$C$7:$K$14,8,0)</f>
        <v>#N/A</v>
      </c>
      <c r="AC149" s="55" t="e">
        <f>VLOOKUP(A149,Enforcements!$C$7:$E$14,3,0)</f>
        <v>#N/A</v>
      </c>
      <c r="AD149" s="56" t="str">
        <f t="shared" si="55"/>
        <v>0237-13</v>
      </c>
      <c r="AE149" s="85" t="str">
        <f t="shared" si="56"/>
        <v>aws s3 cp s3://rtdc.mdm.uploadarchive.raw/RTDC4044/ "%USERPROFILE%\AppData\Local\Temp\OnboardLogs"\RTDC4044\2017-02-13 --exclude "*" --recursive --include "*20170213*" &amp; "%USERPROFILE%\Documents\GitHub\mrs-test-scripts\Headless Mode &amp; Sideloading\WalkAndUnGZ.bat" "%USERPROFILE%\AppData\Local\Temp\OnboardLogs"\RTDC4044\2017-02-13 &amp; 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</v>
      </c>
      <c r="AF149" s="82" t="str">
        <f t="shared" si="57"/>
        <v>"C:\Program Files (x86)\AstroGrep\AstroGrep.exe" /spath="%USERPROFILE%\AppData\Local\Temp\OnboardLogs" /stypes="app*4044*20170214*" /stext=" 06:.+((SYSTEM_STATE.+slice.+state.+changed )|(ment ac)|(multiple cpu faults)|(system.+state.+changed )|(\[timeout)|(PRM\|1\|D)|(kpr)|(kdp)|(\|lc)|(penalty))" /e /r /s</v>
      </c>
      <c r="AG149" s="1" t="str">
        <f t="shared" si="58"/>
        <v>EC</v>
      </c>
      <c r="AH149" s="86" t="str">
        <f t="shared" si="59"/>
        <v>"%USERPROFILE%\Documents\GitHub\eaglep3\Utilities\RefineRTDCRunTimes.py" --tripid 237-13 --locoid 4044 --swversion DE.1.0.8.0 --startMP 204:475 --initTime 2017-02-13T22:56:17 --startdatetime 2017-02-13T23:00:21 --delay 1 --endMP 204:233295 --enddatetime 2017-02-13T23:36:53 --enforcementcount 0 &gt;&gt;C:\Users\stu\Documents\GitHub\eaglep3-reporting\EC\2017-02-13-refined-times.txt</v>
      </c>
      <c r="AI149" s="108" t="str">
        <f t="shared" si="60"/>
        <v>echo {"issue":{"subject":"","project_id":79,"tracker_id":40,"status_id":1,"priority_id":2,"assigned_to_id":23,"start_date":"2017-02-13","description":"","custom_fields":[{"id":1,"name":"Subdivision","value":"EC"},{"id":4,"name":"Milepost","value":"23.3295"},{"id":17,"name":"Train ID","value":"237-13"},{"id":16,"name":"Locomotive ID","value":"4044"},{"id":130,"name":"Impact","value":""},{"id":150,"name":"Time of Event (Mountain Time)","value":"23:36:53"},{"id":151,"name":"Denver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1"/>
        <v>start /low /b %USERPROFILE%\Documents\GitHub\eaglep3\Utilities\DownloadLogsFromS3.py --loco 4044 --day 2017-02-13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"%USERPROFILE%\AppData\Local\Temp\OnboardLogs"\RTDC4044\*4044*20170214* | grep -SE "(Enforcement Action)|(\[TIMEOUT)|(CHR.+\|PRM\|1\|D.+(SWITCH|SIGNAL).+UNKNOWN)" - &gt;&gt; 2017-02-13-UncaughtWiMAX.txt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3" t="s">
        <v>751</v>
      </c>
      <c r="B150" s="7">
        <v>4043</v>
      </c>
      <c r="C150" s="21" t="s">
        <v>193</v>
      </c>
      <c r="D150" s="21" t="s">
        <v>302</v>
      </c>
      <c r="E150" s="13">
        <v>42779.995787037034</v>
      </c>
      <c r="F150" s="13">
        <v>42779.997662037036</v>
      </c>
      <c r="G150" s="7">
        <v>1</v>
      </c>
      <c r="H150" s="21" t="s">
        <v>205</v>
      </c>
      <c r="I150" s="13">
        <v>42780.025625000002</v>
      </c>
      <c r="J150" s="7">
        <v>0</v>
      </c>
      <c r="K150" s="98" t="str">
        <f t="shared" si="46"/>
        <v>4043/4044</v>
      </c>
      <c r="L150" s="21" t="str">
        <f>VLOOKUP(A150,'Trips&amp;Operators'!$C$1:$G$99999,5,FALSE)</f>
        <v>CHANDLER KELVIN</v>
      </c>
      <c r="M150" s="6">
        <f t="shared" si="47"/>
        <v>2.7962962965830229E-2</v>
      </c>
      <c r="N150" s="7">
        <f t="shared" si="44"/>
        <v>40.26666667079553</v>
      </c>
      <c r="O150" s="7"/>
      <c r="P150" s="7"/>
      <c r="Q150" s="22"/>
      <c r="R150" s="22"/>
      <c r="S150" s="31">
        <f t="shared" si="48"/>
        <v>1</v>
      </c>
      <c r="T150" s="46" t="str">
        <f t="shared" si="49"/>
        <v>Southbound</v>
      </c>
      <c r="U150" s="18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7" t="str">
        <f t="shared" si="50"/>
        <v>https://d0f6bd738d7f1b3e5a7ca70fe4ff75f0.us-east-1.aws.found.io/app/kibana#/discover/Steve-Slow-Train-Analysis-(2080s-and-2083s)?_g=(refreshInterval:(display:Off,pause:!f,section:0,value:0),time:(from:'2017-02-13T22:53:56-0700',mode:absolute,to:'2017-02-14T01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0" s="188" t="str">
        <f t="shared" si="51"/>
        <v>N</v>
      </c>
      <c r="X150" s="188">
        <f t="shared" si="45"/>
        <v>1</v>
      </c>
      <c r="Y150" s="62">
        <f t="shared" si="52"/>
        <v>23.297699999999999</v>
      </c>
      <c r="Z150" s="62">
        <f t="shared" si="53"/>
        <v>1.6E-2</v>
      </c>
      <c r="AA150" s="62">
        <f t="shared" si="54"/>
        <v>23.281700000000001</v>
      </c>
      <c r="AB150" s="59" t="e">
        <f>VLOOKUP(A150,Enforcements!$C$7:$K$14,8,0)</f>
        <v>#N/A</v>
      </c>
      <c r="AC150" s="55" t="e">
        <f>VLOOKUP(A150,Enforcements!$C$7:$E$14,3,0)</f>
        <v>#N/A</v>
      </c>
      <c r="AD150" s="56" t="str">
        <f t="shared" si="55"/>
        <v>0238-13</v>
      </c>
      <c r="AE150" s="85" t="str">
        <f t="shared" si="56"/>
        <v>aws s3 cp s3://rtdc.mdm.uploadarchive.raw/RTDC4043/ "%USERPROFILE%\AppData\Local\Temp\OnboardLogs"\RTDC4043\2017-02-13 --exclude "*" --recursive --include "*20170213*" &amp; "%USERPROFILE%\Documents\GitHub\mrs-test-scripts\Headless Mode &amp; Sideloading\WalkAndUnGZ.bat" "%USERPROFILE%\AppData\Local\Temp\OnboardLogs"\RTDC4043\2017-02-13 &amp; aws s3 cp s3://rtdc.mdm.uploadarchive.raw/RTDC4043/ "%USERPROFILE%\AppData\Local\Temp\OnboardLogs"\RTDC4043\2017-02-14 --exclude "*" --recursive --include "*20170214*" &amp; "%USERPROFILE%\Documents\GitHub\mrs-test-scripts\Headless Mode &amp; Sideloading\WalkAndUnGZ.bat" "%USERPROFILE%\AppData\Local\Temp\OnboardLogs"\RTDC4043\2017-02-14</v>
      </c>
      <c r="AF150" s="82" t="str">
        <f t="shared" si="57"/>
        <v>"C:\Program Files (x86)\AstroGrep\AstroGrep.exe" /spath="%USERPROFILE%\AppData\Local\Temp\OnboardLogs" /stypes="app*4043*20170214*" /stext=" 07:.+((SYSTEM_STATE.+slice.+state.+changed )|(ment ac)|(multiple cpu faults)|(system.+state.+changed )|(\[timeout)|(PRM\|1\|D)|(kpr)|(kdp)|(\|lc)|(penalty))" /e /r /s</v>
      </c>
      <c r="AG150" s="1" t="str">
        <f t="shared" si="58"/>
        <v>EC</v>
      </c>
      <c r="AH150" s="86" t="str">
        <f t="shared" si="59"/>
        <v>"%USERPROFILE%\Documents\GitHub\eaglep3\Utilities\RefineRTDCRunTimes.py" --tripid 238-13 --locoid 4043 --swversion DE.1.0.8.0 --startMP 204:232977 --initTime 2017-02-13T23:53:56 --startdatetime 2017-02-13T23:56:38 --delay 1 --endMP 204:160 --enddatetime 2017-02-14T00:36:54 --enforcementcount 0 &gt;&gt;C:\Users\stu\Documents\GitHub\eaglep3-reporting\EC\2017-02-13-refined-times.txt</v>
      </c>
      <c r="AI150" s="108" t="str">
        <f t="shared" si="60"/>
        <v>echo {"issue":{"subject":"","project_id":79,"tracker_id":40,"status_id":1,"priority_id":2,"assigned_to_id":23,"start_date":"2017-02-14","description":"","custom_fields":[{"id":1,"name":"Subdivision","value":"EC"},{"id":4,"name":"Milepost","value":"0.016"},{"id":17,"name":"Train ID","value":"238-13"},{"id":16,"name":"Locomotive ID","value":"4043"},{"id":130,"name":"Impact","value":""},{"id":150,"name":"Time of Event (Mountain Time)","value":"00:36:54"},{"id":151,"name":"Denver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1"/>
        <v>start /low /b %USERPROFILE%\Documents\GitHub\eaglep3\Utilities\DownloadLogsFromS3.py --loco 4043 --day 2017-02-13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"%USERPROFILE%\AppData\Local\Temp\OnboardLogs"\RTDC4043\*4043*20170214* | grep -SE "(Enforcement Action)|(\[TIMEOUT)|(CHR.+\|PRM\|1\|D.+(SWITCH|SIGNAL).+UNKNOWN)" - &gt;&gt; 2017-02-13-UncaughtWiMAX.txt</v>
      </c>
    </row>
    <row r="151" spans="1:91" s="20" customFormat="1" x14ac:dyDescent="0.25">
      <c r="A151" s="33" t="s">
        <v>750</v>
      </c>
      <c r="B151" s="7">
        <v>4011</v>
      </c>
      <c r="C151" s="21" t="s">
        <v>193</v>
      </c>
      <c r="D151" s="21" t="s">
        <v>323</v>
      </c>
      <c r="E151" s="13">
        <v>42779.968043981484</v>
      </c>
      <c r="F151" s="13">
        <v>42779.979421296295</v>
      </c>
      <c r="G151" s="7">
        <v>2</v>
      </c>
      <c r="H151" s="21" t="s">
        <v>329</v>
      </c>
      <c r="I151" s="13">
        <v>42780.004178240742</v>
      </c>
      <c r="J151" s="7">
        <v>0</v>
      </c>
      <c r="K151" s="98" t="str">
        <f t="shared" si="46"/>
        <v>4011/4012</v>
      </c>
      <c r="L151" s="21" t="str">
        <f>VLOOKUP(A151,'Trips&amp;Operators'!$C$1:$G$99999,5,FALSE)</f>
        <v>SMITH MICHAEL</v>
      </c>
      <c r="M151" s="6">
        <f t="shared" si="47"/>
        <v>2.4756944447290152E-2</v>
      </c>
      <c r="N151" s="7">
        <f t="shared" si="44"/>
        <v>35.650000004097819</v>
      </c>
      <c r="O151" s="7"/>
      <c r="P151" s="7"/>
      <c r="Q151" s="22"/>
      <c r="R151" s="22"/>
      <c r="S151" s="31">
        <f t="shared" si="48"/>
        <v>1</v>
      </c>
      <c r="T151" s="46" t="str">
        <f t="shared" si="49"/>
        <v>NorthBound</v>
      </c>
      <c r="U151" s="18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7" t="str">
        <f t="shared" si="50"/>
        <v>https://d0f6bd738d7f1b3e5a7ca70fe4ff75f0.us-east-1.aws.found.io/app/kibana#/discover/Steve-Slow-Train-Analysis-(2080s-and-2083s)?_g=(refreshInterval:(display:Off,pause:!f,section:0,value:0),time:(from:'2017-02-13T22:13:59-0700',mode:absolute,to:'2017-02-14T01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1" s="188" t="str">
        <f t="shared" si="51"/>
        <v>N</v>
      </c>
      <c r="X151" s="188">
        <f t="shared" si="45"/>
        <v>1</v>
      </c>
      <c r="Y151" s="62">
        <f t="shared" si="52"/>
        <v>4.6399999999999997E-2</v>
      </c>
      <c r="Z151" s="62">
        <f t="shared" si="53"/>
        <v>23.329699999999999</v>
      </c>
      <c r="AA151" s="62">
        <f t="shared" si="54"/>
        <v>23.283300000000001</v>
      </c>
      <c r="AB151" s="59" t="e">
        <f>VLOOKUP(A151,Enforcements!$C$7:$K$14,8,0)</f>
        <v>#N/A</v>
      </c>
      <c r="AC151" s="55" t="e">
        <f>VLOOKUP(A151,Enforcements!$C$7:$E$14,3,0)</f>
        <v>#N/A</v>
      </c>
      <c r="AD151" s="56" t="str">
        <f t="shared" si="55"/>
        <v>0239-13</v>
      </c>
      <c r="AE151" s="85" t="str">
        <f t="shared" si="56"/>
        <v>aws s3 cp s3://rtdc.mdm.uploadarchive.raw/RTDC4011/ "%USERPROFILE%\AppData\Local\Temp\OnboardLogs"\RTDC4011\2017-02-13 --exclude "*" --recursive --include "*20170213*" &amp; "%USERPROFILE%\Documents\GitHub\mrs-test-scripts\Headless Mode &amp; Sideloading\WalkAndUnGZ.bat" "%USERPROFILE%\AppData\Local\Temp\OnboardLogs"\RTDC4011\2017-02-13 &amp; aws s3 cp s3://rtdc.mdm.uploadarchive.raw/RTDC4011/ "%USERPROFILE%\AppData\Local\Temp\OnboardLogs"\RTDC4011\2017-02-14 --exclude "*" --recursive --include "*20170214*" &amp; "%USERPROFILE%\Documents\GitHub\mrs-test-scripts\Headless Mode &amp; Sideloading\WalkAndUnGZ.bat" "%USERPROFILE%\AppData\Local\Temp\OnboardLogs"\RTDC4011\2017-02-14</v>
      </c>
      <c r="AF151" s="82" t="str">
        <f t="shared" si="57"/>
        <v>"C:\Program Files (x86)\AstroGrep\AstroGrep.exe" /spath="%USERPROFILE%\AppData\Local\Temp\OnboardLogs" /stypes="app*4011*20170214*" /stext=" 07:.+((SYSTEM_STATE.+slice.+state.+changed )|(ment ac)|(multiple cpu faults)|(system.+state.+changed )|(\[timeout)|(PRM\|1\|D)|(kpr)|(kdp)|(\|lc)|(penalty))" /e /r /s</v>
      </c>
      <c r="AG151" s="1" t="str">
        <f t="shared" si="58"/>
        <v>EC</v>
      </c>
      <c r="AH151" s="86" t="str">
        <f t="shared" si="59"/>
        <v>"%USERPROFILE%\Documents\GitHub\eaglep3\Utilities\RefineRTDCRunTimes.py" --tripid 239-13 --locoid 4011 --swversion DE.1.0.8.0 --startMP 204:464 --initTime 2017-02-13T23:13:59 --startdatetime 2017-02-13T23:30:22 --delay 2 --endMP 204:233297 --enddatetime 2017-02-14T00:06:01 --enforcementcount 0 &gt;&gt;C:\Users\stu\Documents\GitHub\eaglep3-reporting\EC\2017-02-13-refined-times.txt</v>
      </c>
      <c r="AI151" s="108" t="str">
        <f t="shared" si="60"/>
        <v>echo {"issue":{"subject":"","project_id":79,"tracker_id":40,"status_id":1,"priority_id":2,"assigned_to_id":23,"start_date":"2017-02-14","description":"","custom_fields":[{"id":1,"name":"Subdivision","value":"EC"},{"id":4,"name":"Milepost","value":"23.3297"},{"id":17,"name":"Train ID","value":"239-13"},{"id":16,"name":"Locomotive ID","value":"4011"},{"id":130,"name":"Impact","value":""},{"id":150,"name":"Time of Event (Mountain Time)","value":"00:06:01"},{"id":151,"name":"Denver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1"/>
        <v>start /low /b %USERPROFILE%\Documents\GitHub\eaglep3\Utilities\DownloadLogsFromS3.py --loco 4011 --day 2017-02-13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"%USERPROFILE%\AppData\Local\Temp\OnboardLogs"\RTDC4011\*4011*20170214* | grep -SE "(Enforcement Action)|(\[TIMEOUT)|(CHR.+\|PRM\|1\|D.+(SWITCH|SIGNAL).+UNKNOWN)" - &gt;&gt; 2017-02-13-UncaughtWiMAX.txt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753</v>
      </c>
      <c r="B152" s="7">
        <v>4012</v>
      </c>
      <c r="C152" s="21" t="s">
        <v>193</v>
      </c>
      <c r="D152" s="21" t="s">
        <v>822</v>
      </c>
      <c r="E152" s="13">
        <v>42780.010115740741</v>
      </c>
      <c r="F152" s="13">
        <v>42780.018321759257</v>
      </c>
      <c r="G152" s="7">
        <v>1</v>
      </c>
      <c r="H152" s="21" t="s">
        <v>447</v>
      </c>
      <c r="I152" s="13">
        <v>42780.044814814813</v>
      </c>
      <c r="J152" s="7">
        <v>0</v>
      </c>
      <c r="K152" s="98" t="str">
        <f t="shared" si="46"/>
        <v>4011/4012</v>
      </c>
      <c r="L152" s="21" t="str">
        <f>VLOOKUP(A152,'Trips&amp;Operators'!$C$1:$G$99999,5,FALSE)</f>
        <v>SMITH MICHAEL</v>
      </c>
      <c r="M152" s="6">
        <f t="shared" si="47"/>
        <v>2.6493055556784384E-2</v>
      </c>
      <c r="N152" s="7">
        <f t="shared" si="44"/>
        <v>38.150000001769513</v>
      </c>
      <c r="O152" s="7"/>
      <c r="P152" s="7"/>
      <c r="Q152" s="22"/>
      <c r="R152" s="22"/>
      <c r="S152" s="31">
        <f t="shared" si="48"/>
        <v>1</v>
      </c>
      <c r="T152" s="46" t="str">
        <f t="shared" si="49"/>
        <v>Southbound</v>
      </c>
      <c r="U152" s="18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7" t="str">
        <f t="shared" si="50"/>
        <v>https://d0f6bd738d7f1b3e5a7ca70fe4ff75f0.us-east-1.aws.found.io/app/kibana#/discover/Steve-Slow-Train-Analysis-(2080s-and-2083s)?_g=(refreshInterval:(display:Off,pause:!f,section:0,value:0),time:(from:'2017-02-13T23:14:34-0700',mode:absolute,to:'2017-02-14T02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2" s="188" t="str">
        <f t="shared" si="51"/>
        <v>N</v>
      </c>
      <c r="X152" s="188">
        <f t="shared" si="45"/>
        <v>1</v>
      </c>
      <c r="Y152" s="62">
        <f t="shared" si="52"/>
        <v>23.300999999999998</v>
      </c>
      <c r="Z152" s="62">
        <f t="shared" si="53"/>
        <v>1.5599999999999999E-2</v>
      </c>
      <c r="AA152" s="62">
        <f t="shared" si="54"/>
        <v>23.285399999999999</v>
      </c>
      <c r="AB152" s="59" t="e">
        <f>VLOOKUP(A152,Enforcements!$C$7:$K$14,8,0)</f>
        <v>#N/A</v>
      </c>
      <c r="AC152" s="55" t="e">
        <f>VLOOKUP(A152,Enforcements!$C$7:$E$14,3,0)</f>
        <v>#N/A</v>
      </c>
      <c r="AD152" s="56" t="str">
        <f t="shared" si="55"/>
        <v>0240-13</v>
      </c>
      <c r="AE152" s="85" t="str">
        <f t="shared" si="56"/>
        <v>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 &amp; 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</v>
      </c>
      <c r="AF152" s="82" t="str">
        <f t="shared" si="57"/>
        <v>"C:\Program Files (x86)\AstroGrep\AstroGrep.exe" /spath="%USERPROFILE%\AppData\Local\Temp\OnboardLogs" /stypes="app*4012*20170214*" /stext=" 08:.+((SYSTEM_STATE.+slice.+state.+changed )|(ment ac)|(multiple cpu faults)|(system.+state.+changed )|(\[timeout)|(PRM\|1\|D)|(kpr)|(kdp)|(\|lc)|(penalty))" /e /r /s</v>
      </c>
      <c r="AG152" s="1" t="str">
        <f t="shared" si="58"/>
        <v>EC</v>
      </c>
      <c r="AH152" s="86" t="str">
        <f t="shared" si="59"/>
        <v>"%USERPROFILE%\Documents\GitHub\eaglep3\Utilities\RefineRTDCRunTimes.py" --tripid 240-13 --locoid 4012 --swversion DE.1.0.8.0 --startMP 204:233010 --initTime 2017-02-14T00:14:34 --startdatetime 2017-02-14T00:26:23 --delay 1 --endMP 204:156 --enddatetime 2017-02-14T01:04:32 --enforcementcount 0 &gt;&gt;C:\Users\stu\Documents\GitHub\eaglep3-reporting\EC\2017-02-13-refined-times.txt</v>
      </c>
      <c r="AI152" s="108" t="str">
        <f t="shared" si="60"/>
        <v>echo {"issue":{"subject":"","project_id":79,"tracker_id":40,"status_id":1,"priority_id":2,"assigned_to_id":23,"start_date":"2017-02-14","description":"","custom_fields":[{"id":1,"name":"Subdivision","value":"EC"},{"id":4,"name":"Milepost","value":"0.0156"},{"id":17,"name":"Train ID","value":"240-13"},{"id":16,"name":"Locomotive ID","value":"4012"},{"id":130,"name":"Impact","value":""},{"id":150,"name":"Time of Event (Mountain Time)","value":"01:04:32"},{"id":151,"name":"Denver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1"/>
        <v>start /low /b %USERPROFILE%\Documents\GitHub\eaglep3\Utilities\DownloadLogsFromS3.py --loco 4012 --day 2017-02-14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"%USERPROFILE%\AppData\Local\Temp\OnboardLogs"\RTDC4012\*4012*20170214* | grep -SE "(Enforcement Action)|(\[TIMEOUT)|(CHR.+\|PRM\|1\|D.+(SWITCH|SIGNAL).+UNKNOWN)" - &gt;&gt; 2017-02-13-UncaughtWiMAX.txt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551</v>
      </c>
      <c r="B153" s="7">
        <v>4025</v>
      </c>
      <c r="C153" s="21" t="s">
        <v>193</v>
      </c>
      <c r="D153" s="21" t="s">
        <v>239</v>
      </c>
      <c r="E153" s="13">
        <v>42779.984409722223</v>
      </c>
      <c r="F153" s="13">
        <v>42780.000335648147</v>
      </c>
      <c r="G153" s="7">
        <v>1</v>
      </c>
      <c r="H153" s="21" t="s">
        <v>823</v>
      </c>
      <c r="I153" s="13">
        <v>42780.024398148147</v>
      </c>
      <c r="J153" s="7">
        <v>0</v>
      </c>
      <c r="K153" s="98" t="str">
        <f t="shared" si="46"/>
        <v>4025/4026</v>
      </c>
      <c r="L153" s="21" t="str">
        <f>VLOOKUP(A153,'Trips&amp;Operators'!$C$1:$G$99999,5,FALSE)</f>
        <v>STAMBAUGH JAMES</v>
      </c>
      <c r="M153" s="6">
        <f t="shared" si="47"/>
        <v>2.4062500000582077E-2</v>
      </c>
      <c r="N153" s="7">
        <f t="shared" si="44"/>
        <v>34.65000000083819</v>
      </c>
      <c r="O153" s="7"/>
      <c r="P153" s="7"/>
      <c r="Q153" s="22"/>
      <c r="R153" s="22"/>
      <c r="S153" s="31">
        <f t="shared" si="48"/>
        <v>1</v>
      </c>
      <c r="T153" s="46" t="str">
        <f t="shared" si="49"/>
        <v>NorthBound</v>
      </c>
      <c r="U153" s="18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7" t="str">
        <f t="shared" si="50"/>
        <v>https://d0f6bd738d7f1b3e5a7ca70fe4ff75f0.us-east-1.aws.found.io/app/kibana#/discover/Steve-Slow-Train-Analysis-(2080s-and-2083s)?_g=(refreshInterval:(display:Off,pause:!f,section:0,value:0),time:(from:'2017-02-13T22:37:33-0700',mode:absolute,to:'2017-02-14T01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3" s="188" t="str">
        <f t="shared" si="51"/>
        <v>N</v>
      </c>
      <c r="X153" s="188">
        <f t="shared" si="45"/>
        <v>1</v>
      </c>
      <c r="Y153" s="62">
        <f t="shared" si="52"/>
        <v>4.5999999999999999E-2</v>
      </c>
      <c r="Z153" s="62">
        <f t="shared" si="53"/>
        <v>23.3355</v>
      </c>
      <c r="AA153" s="62">
        <f t="shared" si="54"/>
        <v>23.2895</v>
      </c>
      <c r="AB153" s="59" t="e">
        <f>VLOOKUP(A153,Enforcements!$C$7:$K$14,8,0)</f>
        <v>#N/A</v>
      </c>
      <c r="AC153" s="55" t="e">
        <f>VLOOKUP(A153,Enforcements!$C$7:$E$14,3,0)</f>
        <v>#N/A</v>
      </c>
      <c r="AD153" s="56" t="str">
        <f t="shared" si="55"/>
        <v>0241-13</v>
      </c>
      <c r="AE153" s="85" t="str">
        <f t="shared" si="56"/>
        <v>aws s3 cp s3://rtdc.mdm.uploadarchive.raw/RTDC4025/ "%USERPROFILE%\AppData\Local\Temp\OnboardLogs"\RTDC4025\2017-02-14 --exclude "*" --recursive --include "*20170214*" &amp; "%USERPROFILE%\Documents\GitHub\mrs-test-scripts\Headless Mode &amp; Sideloading\WalkAndUnGZ.bat" "%USERPROFILE%\AppData\Local\Temp\OnboardLogs"\RTDC4025\2017-02-14 &amp; aws s3 cp s3://rtdc.mdm.uploadarchive.raw/RTDC4025/ "%USERPROFILE%\AppData\Local\Temp\OnboardLogs"\RTDC4025\2017-02-15 --exclude "*" --recursive --include "*20170215*" &amp; "%USERPROFILE%\Documents\GitHub\mrs-test-scripts\Headless Mode &amp; Sideloading\WalkAndUnGZ.bat" "%USERPROFILE%\AppData\Local\Temp\OnboardLogs"\RTDC4025\2017-02-15</v>
      </c>
      <c r="AF153" s="82" t="str">
        <f t="shared" si="57"/>
        <v>"C:\Program Files (x86)\AstroGrep\AstroGrep.exe" /spath="%USERPROFILE%\AppData\Local\Temp\OnboardLogs" /stypes="app*4025*20170214*" /stext=" 07:.+((SYSTEM_STATE.+slice.+state.+changed )|(ment ac)|(multiple cpu faults)|(system.+state.+changed )|(\[timeout)|(PRM\|1\|D)|(kpr)|(kdp)|(\|lc)|(penalty))" /e /r /s</v>
      </c>
      <c r="AG153" s="1" t="str">
        <f t="shared" si="58"/>
        <v>EC</v>
      </c>
      <c r="AH153" s="86" t="str">
        <f t="shared" si="59"/>
        <v>"%USERPROFILE%\Documents\GitHub\eaglep3\Utilities\RefineRTDCRunTimes.py" --tripid 241-13 --locoid 4025 --swversion DE.1.0.8.0 --startMP 204:460 --initTime 2017-02-13T23:37:33 --startdatetime 2017-02-14T00:00:29 --delay 1 --endMP 204:233355 --enddatetime 2017-02-14T00:35:08 --enforcementcount 0 &gt;&gt;C:\Users\stu\Documents\GitHub\eaglep3-reporting\EC\2017-02-13-refined-times.txt</v>
      </c>
      <c r="AI153" s="108" t="str">
        <f t="shared" si="60"/>
        <v>echo {"issue":{"subject":"","project_id":79,"tracker_id":40,"status_id":1,"priority_id":2,"assigned_to_id":23,"start_date":"2017-02-14","description":"","custom_fields":[{"id":1,"name":"Subdivision","value":"EC"},{"id":4,"name":"Milepost","value":"23.3355"},{"id":17,"name":"Train ID","value":"241-13"},{"id":16,"name":"Locomotive ID","value":"4025"},{"id":130,"name":"Impact","value":""},{"id":150,"name":"Time of Event (Mountain Time)","value":"00:35:08"},{"id":151,"name":"Denver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1"/>
        <v>start /low /b %USERPROFILE%\Documents\GitHub\eaglep3\Utilities\DownloadLogsFromS3.py --loco 4025 --day 2017-02-14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"%USERPROFILE%\AppData\Local\Temp\OnboardLogs"\RTDC4025\*4025*20170214* | grep -SE "(Enforcement Action)|(\[TIMEOUT)|(CHR.+\|PRM\|1\|D.+(SWITCH|SIGNAL).+UNKNOWN)" - &gt;&gt; 2017-02-13-UncaughtWiMAX.txt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552</v>
      </c>
      <c r="B154" s="7">
        <v>4026</v>
      </c>
      <c r="C154" s="21" t="s">
        <v>193</v>
      </c>
      <c r="D154" s="21" t="s">
        <v>509</v>
      </c>
      <c r="E154" s="13">
        <v>42780.037777777776</v>
      </c>
      <c r="F154" s="13">
        <v>42780.040254629632</v>
      </c>
      <c r="G154" s="7">
        <v>1</v>
      </c>
      <c r="H154" s="21" t="s">
        <v>195</v>
      </c>
      <c r="I154" s="13">
        <v>42780.06763888889</v>
      </c>
      <c r="J154" s="7">
        <v>0</v>
      </c>
      <c r="K154" s="98" t="str">
        <f t="shared" si="46"/>
        <v>4025/4026</v>
      </c>
      <c r="L154" s="21" t="str">
        <f>VLOOKUP(A154,'Trips&amp;Operators'!$C$1:$G$99999,5,FALSE)</f>
        <v>STAMBAUGH JAMES</v>
      </c>
      <c r="M154" s="6">
        <f t="shared" si="47"/>
        <v>2.7384259257814847E-2</v>
      </c>
      <c r="N154" s="7">
        <f t="shared" si="44"/>
        <v>39.43333333125338</v>
      </c>
      <c r="O154" s="7"/>
      <c r="P154" s="7"/>
      <c r="Q154" s="22"/>
      <c r="R154" s="22"/>
      <c r="S154" s="31">
        <f t="shared" si="48"/>
        <v>1</v>
      </c>
      <c r="T154" s="46" t="str">
        <f t="shared" si="49"/>
        <v>Southbound</v>
      </c>
      <c r="U154" s="18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7" t="str">
        <f t="shared" si="50"/>
        <v>https://d0f6bd738d7f1b3e5a7ca70fe4ff75f0.us-east-1.aws.found.io/app/kibana#/discover/Steve-Slow-Train-Analysis-(2080s-and-2083s)?_g=(refreshInterval:(display:Off,pause:!f,section:0,value:0),time:(from:'2017-02-13T23:54:24-0700',mode:absolute,to:'2017-02-14T02:37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4" s="188" t="str">
        <f t="shared" si="51"/>
        <v>N</v>
      </c>
      <c r="X154" s="188">
        <f t="shared" si="45"/>
        <v>1</v>
      </c>
      <c r="Y154" s="62">
        <f t="shared" si="52"/>
        <v>23.302800000000001</v>
      </c>
      <c r="Z154" s="62">
        <f t="shared" si="53"/>
        <v>1.4999999999999999E-2</v>
      </c>
      <c r="AA154" s="62">
        <f t="shared" si="54"/>
        <v>23.287800000000001</v>
      </c>
      <c r="AB154" s="59" t="str">
        <f>VLOOKUP(A154,Enforcements!$C$7:$K$14,8,0)</f>
        <v>Speed (6)</v>
      </c>
      <c r="AC154" s="55" t="str">
        <f>VLOOKUP(A154,Enforcements!$C$7:$E$14,3,0)</f>
        <v>PERMANENT SPEED RESTRICTION</v>
      </c>
      <c r="AD154" s="56" t="str">
        <f t="shared" si="55"/>
        <v>0242-13</v>
      </c>
      <c r="AE154" s="85" t="str">
        <f t="shared" si="56"/>
        <v>aws s3 cp s3://rtdc.mdm.uploadarchive.raw/RTDC4026/ "%USERPROFILE%\AppData\Local\Temp\OnboardLogs"\RTDC4026\2017-02-14 --exclude "*" --recursive --include "*20170214*" &amp; "%USERPROFILE%\Documents\GitHub\mrs-test-scripts\Headless Mode &amp; Sideloading\WalkAndUnGZ.bat" "%USERPROFILE%\AppData\Local\Temp\OnboardLogs"\RTDC4026\2017-02-14 &amp; aws s3 cp s3://rtdc.mdm.uploadarchive.raw/RTDC4026/ "%USERPROFILE%\AppData\Local\Temp\OnboardLogs"\RTDC4026\2017-02-15 --exclude "*" --recursive --include "*20170215*" &amp; "%USERPROFILE%\Documents\GitHub\mrs-test-scripts\Headless Mode &amp; Sideloading\WalkAndUnGZ.bat" "%USERPROFILE%\AppData\Local\Temp\OnboardLogs"\RTDC4026\2017-02-15</v>
      </c>
      <c r="AF154" s="82" t="str">
        <f t="shared" si="57"/>
        <v>"C:\Program Files (x86)\AstroGrep\AstroGrep.exe" /spath="%USERPROFILE%\AppData\Local\Temp\OnboardLogs" /stypes="app*4026*20170214*" /stext=" 08:.+((SYSTEM_STATE.+slice.+state.+changed )|(ment ac)|(multiple cpu faults)|(system.+state.+changed )|(\[timeout)|(PRM\|1\|D)|(kpr)|(kdp)|(\|lc)|(penalty))" /e /r /s</v>
      </c>
      <c r="AG154" s="1" t="str">
        <f t="shared" si="58"/>
        <v>EC</v>
      </c>
      <c r="AH154" s="86" t="str">
        <f t="shared" si="59"/>
        <v>"%USERPROFILE%\Documents\GitHub\eaglep3\Utilities\RefineRTDCRunTimes.py" --tripid 242-13 --locoid 4026 --swversion DE.1.0.8.0 --startMP 204:233028 --initTime 2017-02-14T00:54:24 --startdatetime 2017-02-14T00:57:58 --delay 1 --endMP 204:150 --enddatetime 2017-02-14T01:37:24 --enforcementcount 0 &gt;&gt;C:\Users\stu\Documents\GitHub\eaglep3-reporting\EC\2017-02-13-refined-times.txt</v>
      </c>
      <c r="AI154" s="108" t="str">
        <f t="shared" si="60"/>
        <v>echo {"issue":{"subject":"","project_id":79,"tracker_id":40,"status_id":1,"priority_id":2,"assigned_to_id":23,"start_date":"2017-02-14","description":"","custom_fields":[{"id":1,"name":"Subdivision","value":"EC"},{"id":4,"name":"Milepost","value":"0.015"},{"id":17,"name":"Train ID","value":"242-13"},{"id":16,"name":"Locomotive ID","value":"4026"},{"id":130,"name":"Impact","value":""},{"id":150,"name":"Time of Event (Mountain Time)","value":"01:37:24"},{"id":151,"name":"Denver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1"/>
        <v>start /low /b %USERPROFILE%\Documents\GitHub\eaglep3\Utilities\DownloadLogsFromS3.py --loco 4026 --day 2017-02-14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"%USERPROFILE%\AppData\Local\Temp\OnboardLogs"\RTDC4026\*4026*20170214* | grep -SE "(Enforcement Action)|(\[TIMEOUT)|(CHR.+\|PRM\|1\|D.+(SWITCH|SIGNAL).+UNKNOWN)" - &gt;&gt; 2017-02-13-UncaughtWiMAX.txt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752</v>
      </c>
      <c r="B155" s="7">
        <v>4027</v>
      </c>
      <c r="C155" s="21" t="s">
        <v>193</v>
      </c>
      <c r="D155" s="21" t="s">
        <v>279</v>
      </c>
      <c r="E155" s="13">
        <v>42780.007789351854</v>
      </c>
      <c r="F155" s="13">
        <v>42780.021273148152</v>
      </c>
      <c r="G155" s="7">
        <v>1</v>
      </c>
      <c r="H155" s="21" t="s">
        <v>478</v>
      </c>
      <c r="I155" s="13">
        <v>42780.046435185184</v>
      </c>
      <c r="J155" s="7">
        <v>0</v>
      </c>
      <c r="K155" s="98" t="str">
        <f t="shared" si="46"/>
        <v>4027/4028</v>
      </c>
      <c r="L155" s="21" t="str">
        <f>VLOOKUP(A155,'Trips&amp;Operators'!$C$1:$G$99999,5,FALSE)</f>
        <v>STORY SAMANTHA</v>
      </c>
      <c r="M155" s="6">
        <f t="shared" si="47"/>
        <v>2.5162037032714579E-2</v>
      </c>
      <c r="N155" s="7">
        <f t="shared" si="44"/>
        <v>36.233333327108994</v>
      </c>
      <c r="O155" s="7"/>
      <c r="P155" s="7"/>
      <c r="Q155" s="22"/>
      <c r="R155" s="22"/>
      <c r="S155" s="31">
        <f t="shared" si="48"/>
        <v>1</v>
      </c>
      <c r="T155" s="46" t="str">
        <f t="shared" si="49"/>
        <v>NorthBound</v>
      </c>
      <c r="U155" s="18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7" t="str">
        <f t="shared" si="50"/>
        <v>https://d0f6bd738d7f1b3e5a7ca70fe4ff75f0.us-east-1.aws.found.io/app/kibana#/discover/Steve-Slow-Train-Analysis-(2080s-and-2083s)?_g=(refreshInterval:(display:Off,pause:!f,section:0,value:0),time:(from:'2017-02-13T23:11:13-0700',mode:absolute,to:'2017-02-14T02:06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5" s="188" t="str">
        <f t="shared" si="51"/>
        <v>N</v>
      </c>
      <c r="X155" s="188">
        <f t="shared" si="45"/>
        <v>1</v>
      </c>
      <c r="Y155" s="62">
        <f t="shared" si="52"/>
        <v>4.5499999999999999E-2</v>
      </c>
      <c r="Z155" s="62">
        <f t="shared" si="53"/>
        <v>23.333400000000001</v>
      </c>
      <c r="AA155" s="62">
        <f t="shared" si="54"/>
        <v>23.2879</v>
      </c>
      <c r="AB155" s="59" t="e">
        <f>VLOOKUP(A155,Enforcements!$C$7:$K$14,8,0)</f>
        <v>#N/A</v>
      </c>
      <c r="AC155" s="55" t="e">
        <f>VLOOKUP(A155,Enforcements!$C$7:$E$14,3,0)</f>
        <v>#N/A</v>
      </c>
      <c r="AD155" s="56" t="str">
        <f t="shared" si="55"/>
        <v>0243-13</v>
      </c>
      <c r="AE155" s="85" t="str">
        <f t="shared" si="56"/>
        <v>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 &amp; 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</v>
      </c>
      <c r="AF155" s="82" t="str">
        <f t="shared" si="57"/>
        <v>"C:\Program Files (x86)\AstroGrep\AstroGrep.exe" /spath="%USERPROFILE%\AppData\Local\Temp\OnboardLogs" /stypes="app*4027*20170214*" /stext=" 08:.+((SYSTEM_STATE.+slice.+state.+changed )|(ment ac)|(multiple cpu faults)|(system.+state.+changed )|(\[timeout)|(PRM\|1\|D)|(kpr)|(kdp)|(\|lc)|(penalty))" /e /r /s</v>
      </c>
      <c r="AG155" s="1" t="str">
        <f t="shared" si="58"/>
        <v>EC</v>
      </c>
      <c r="AH155" s="86" t="str">
        <f t="shared" si="59"/>
        <v>"%USERPROFILE%\Documents\GitHub\eaglep3\Utilities\RefineRTDCRunTimes.py" --tripid 243-13 --locoid 4027 --swversion DE.1.0.8.0 --startMP 204:455 --initTime 2017-02-14T00:11:13 --startdatetime 2017-02-14T00:30:38 --delay 1 --endMP 204:233334 --enddatetime 2017-02-14T01:06:52 --enforcementcount 0 &gt;&gt;C:\Users\stu\Documents\GitHub\eaglep3-reporting\EC\2017-02-13-refined-times.txt</v>
      </c>
      <c r="AI155" s="108" t="str">
        <f t="shared" si="60"/>
        <v>echo {"issue":{"subject":"","project_id":79,"tracker_id":40,"status_id":1,"priority_id":2,"assigned_to_id":23,"start_date":"2017-02-14","description":"","custom_fields":[{"id":1,"name":"Subdivision","value":"EC"},{"id":4,"name":"Milepost","value":"23.3334"},{"id":17,"name":"Train ID","value":"243-13"},{"id":16,"name":"Locomotive ID","value":"4027"},{"id":130,"name":"Impact","value":""},{"id":150,"name":"Time of Event (Mountain Time)","value":"01:06:52"},{"id":151,"name":"Denver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1"/>
        <v>start /low /b %USERPROFILE%\Documents\GitHub\eaglep3\Utilities\DownloadLogsFromS3.py --loco 4027 --day 2017-02-14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"%USERPROFILE%\AppData\Local\Temp\OnboardLogs"\RTDC4027\*4027*20170214* | grep -SE "(Enforcement Action)|(\[TIMEOUT)|(CHR.+\|PRM\|1\|D.+(SWITCH|SIGNAL).+UNKNOWN)" - &gt;&gt; 2017-02-13-UncaughtWiMAX.txt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756</v>
      </c>
      <c r="B156" s="7">
        <v>4028</v>
      </c>
      <c r="C156" s="21" t="s">
        <v>193</v>
      </c>
      <c r="D156" s="21" t="s">
        <v>512</v>
      </c>
      <c r="E156" s="13">
        <v>42780.051192129627</v>
      </c>
      <c r="F156" s="13">
        <v>42780.059907407405</v>
      </c>
      <c r="G156" s="7">
        <v>1</v>
      </c>
      <c r="H156" s="21" t="s">
        <v>778</v>
      </c>
      <c r="I156" s="13">
        <v>42780.087395833332</v>
      </c>
      <c r="J156" s="7">
        <v>0</v>
      </c>
      <c r="K156" s="98" t="str">
        <f t="shared" si="46"/>
        <v>4027/4028</v>
      </c>
      <c r="L156" s="21" t="str">
        <f>VLOOKUP(A156,'Trips&amp;Operators'!$C$1:$G$99999,5,FALSE)</f>
        <v>STORY SAMANTHA</v>
      </c>
      <c r="M156" s="6">
        <f t="shared" si="47"/>
        <v>2.7488425927003846E-2</v>
      </c>
      <c r="N156" s="7">
        <f t="shared" si="44"/>
        <v>39.583333334885538</v>
      </c>
      <c r="O156" s="7"/>
      <c r="P156" s="7"/>
      <c r="Q156" s="22"/>
      <c r="R156" s="22"/>
      <c r="S156" s="31">
        <f t="shared" si="48"/>
        <v>1</v>
      </c>
      <c r="T156" s="46" t="str">
        <f t="shared" si="49"/>
        <v>Southbound</v>
      </c>
      <c r="U156" s="18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7" t="str">
        <f t="shared" si="50"/>
        <v>https://d0f6bd738d7f1b3e5a7ca70fe4ff75f0.us-east-1.aws.found.io/app/kibana#/discover/Steve-Slow-Train-Analysis-(2080s-and-2083s)?_g=(refreshInterval:(display:Off,pause:!f,section:0,value:0),time:(from:'2017-02-14T00:13:43-0700',mode:absolute,to:'2017-02-14T03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6" s="188" t="str">
        <f t="shared" si="51"/>
        <v>N</v>
      </c>
      <c r="X156" s="188">
        <f t="shared" si="45"/>
        <v>1</v>
      </c>
      <c r="Y156" s="62">
        <f t="shared" si="52"/>
        <v>23.300799999999999</v>
      </c>
      <c r="Z156" s="62">
        <f t="shared" si="53"/>
        <v>1.67E-2</v>
      </c>
      <c r="AA156" s="62">
        <f t="shared" si="54"/>
        <v>23.284099999999999</v>
      </c>
      <c r="AB156" s="59" t="e">
        <f>VLOOKUP(A156,Enforcements!$C$7:$K$14,8,0)</f>
        <v>#N/A</v>
      </c>
      <c r="AC156" s="55" t="e">
        <f>VLOOKUP(A156,Enforcements!$C$7:$E$14,3,0)</f>
        <v>#N/A</v>
      </c>
      <c r="AD156" s="56" t="str">
        <f t="shared" si="55"/>
        <v>0244-13</v>
      </c>
      <c r="AE156" s="85" t="str">
        <f t="shared" si="56"/>
        <v>aws s3 cp s3://rtdc.mdm.uploadarchive.raw/RTDC4028/ "%USERPROFILE%\AppData\Local\Temp\OnboardLogs"\RTDC4028\2017-02-14 --exclude "*" --recursive --include "*20170214*" &amp; "%USERPROFILE%\Documents\GitHub\mrs-test-scripts\Headless Mode &amp; Sideloading\WalkAndUnGZ.bat" "%USERPROFILE%\AppData\Local\Temp\OnboardLogs"\RTDC4028\2017-02-14 &amp; aws s3 cp s3://rtdc.mdm.uploadarchive.raw/RTDC4028/ "%USERPROFILE%\AppData\Local\Temp\OnboardLogs"\RTDC4028\2017-02-15 --exclude "*" --recursive --include "*20170215*" &amp; "%USERPROFILE%\Documents\GitHub\mrs-test-scripts\Headless Mode &amp; Sideloading\WalkAndUnGZ.bat" "%USERPROFILE%\AppData\Local\Temp\OnboardLogs"\RTDC4028\2017-02-15</v>
      </c>
      <c r="AF156" s="82" t="str">
        <f t="shared" si="57"/>
        <v>"C:\Program Files (x86)\AstroGrep\AstroGrep.exe" /spath="%USERPROFILE%\AppData\Local\Temp\OnboardLogs" /stypes="app*4028*20170214*" /stext=" 09:.+((SYSTEM_STATE.+slice.+state.+changed )|(ment ac)|(multiple cpu faults)|(system.+state.+changed )|(\[timeout)|(PRM\|1\|D)|(kpr)|(kdp)|(\|lc)|(penalty))" /e /r /s</v>
      </c>
      <c r="AG156" s="1" t="str">
        <f t="shared" si="58"/>
        <v>EC</v>
      </c>
      <c r="AH156" s="86" t="str">
        <f t="shared" si="59"/>
        <v>"%USERPROFILE%\Documents\GitHub\eaglep3\Utilities\RefineRTDCRunTimes.py" --tripid 244-13 --locoid 4028 --swversion DE.1.0.8.0 --startMP 204:233008 --initTime 2017-02-14T01:13:43 --startdatetime 2017-02-14T01:26:16 --delay 1 --endMP 204:167 --enddatetime 2017-02-14T02:05:51 --enforcementcount 0 &gt;&gt;C:\Users\stu\Documents\GitHub\eaglep3-reporting\EC\2017-02-13-refined-times.txt</v>
      </c>
      <c r="AI156" s="108" t="str">
        <f t="shared" si="60"/>
        <v>echo {"issue":{"subject":"","project_id":79,"tracker_id":40,"status_id":1,"priority_id":2,"assigned_to_id":23,"start_date":"2017-02-14","description":"","custom_fields":[{"id":1,"name":"Subdivision","value":"EC"},{"id":4,"name":"Milepost","value":"0.0167"},{"id":17,"name":"Train ID","value":"244-13"},{"id":16,"name":"Locomotive ID","value":"4028"},{"id":130,"name":"Impact","value":""},{"id":150,"name":"Time of Event (Mountain Time)","value":"02:05:51"},{"id":151,"name":"Denver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1"/>
        <v>start /low /b %USERPROFILE%\Documents\GitHub\eaglep3\Utilities\DownloadLogsFromS3.py --loco 4028 --day 2017-02-14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"%USERPROFILE%\AppData\Local\Temp\OnboardLogs"\RTDC4028\*4028*20170214* | grep -SE "(Enforcement Action)|(\[TIMEOUT)|(CHR.+\|PRM\|1\|D.+(SWITCH|SIGNAL).+UNKNOWN)" - &gt;&gt; 2017-02-13-UncaughtWiMAX.txt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574</v>
      </c>
      <c r="B157" s="7">
        <v>4015</v>
      </c>
      <c r="C157" s="21" t="s">
        <v>193</v>
      </c>
      <c r="D157" s="21" t="s">
        <v>842</v>
      </c>
      <c r="E157" s="13">
        <v>42779.216006944444</v>
      </c>
      <c r="F157" s="13">
        <v>42779.217638888891</v>
      </c>
      <c r="G157" s="7">
        <v>1</v>
      </c>
      <c r="H157" s="21" t="s">
        <v>843</v>
      </c>
      <c r="I157" s="13">
        <v>42779.227187500001</v>
      </c>
      <c r="J157" s="7">
        <v>0</v>
      </c>
      <c r="K157" s="98" t="str">
        <f t="shared" si="46"/>
        <v>4015/4016</v>
      </c>
      <c r="L157" s="21" t="str">
        <f>VLOOKUP(A157,'Trips&amp;Operators'!$C$1:$G$99999,5,FALSE)</f>
        <v>DAVIS WENDY</v>
      </c>
      <c r="M157" s="6">
        <f t="shared" si="47"/>
        <v>9.5486111094942316E-3</v>
      </c>
      <c r="N157" s="7">
        <f t="shared" si="44"/>
        <v>13.749999997671694</v>
      </c>
      <c r="O157" s="7"/>
      <c r="P157" s="7"/>
      <c r="Q157" s="22"/>
      <c r="R157" s="22"/>
      <c r="S157" s="31">
        <f t="shared" si="48"/>
        <v>1</v>
      </c>
      <c r="T157" s="46" t="str">
        <f t="shared" si="49"/>
        <v>Southbound</v>
      </c>
      <c r="U157" s="18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7" t="str">
        <f t="shared" si="50"/>
        <v>https://d0f6bd738d7f1b3e5a7ca70fe4ff75f0.us-east-1.aws.found.io/app/kibana#/discover/Steve-Slow-Train-Analysis-(2080s-and-2083s)?_g=(refreshInterval:(display:Off,pause:!f,section:0,value:0),time:(from:'2017-02-13T04:11:03-0700',mode:absolute,to:'2017-02-13T06:27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7" s="188" t="str">
        <f t="shared" si="51"/>
        <v>N</v>
      </c>
      <c r="X157" s="188">
        <f t="shared" si="45"/>
        <v>556</v>
      </c>
      <c r="Y157" s="62">
        <f t="shared" si="52"/>
        <v>5.8689999999999998</v>
      </c>
      <c r="Z157" s="62">
        <f t="shared" si="53"/>
        <v>6.7500000000000004E-2</v>
      </c>
      <c r="AA157" s="62">
        <f t="shared" si="54"/>
        <v>5.8014999999999999</v>
      </c>
      <c r="AB157" s="59" t="e">
        <f>VLOOKUP(A157,Enforcements!$C$7:$K$14,8,0)</f>
        <v>#N/A</v>
      </c>
      <c r="AC157" s="55" t="e">
        <f>VLOOKUP(A157,Enforcements!$C$7:$E$14,3,0)</f>
        <v>#N/A</v>
      </c>
      <c r="AD157" s="56" t="str">
        <f t="shared" si="55"/>
        <v>0800-13</v>
      </c>
      <c r="AE157" s="85" t="str">
        <f t="shared" si="56"/>
        <v>aws s3 cp s3://rtdc.mdm.uploadarchive.raw/RTDC4015/ "%USERPROFILE%\AppData\Local\Temp\OnboardLogs"\RTDC4015\2017-02-13 --exclude "*" --recursive --include "*20170213*" &amp; "%USERPROFILE%\Documents\GitHub\mrs-test-scripts\Headless Mode &amp; Sideloading\WalkAndUnGZ.bat" "%USERPROFILE%\AppData\Local\Temp\OnboardLogs"\RTDC4015\2017-02-13 &amp; 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</v>
      </c>
      <c r="AF157" s="82" t="str">
        <f t="shared" si="57"/>
        <v>"C:\Program Files (x86)\AstroGrep\AstroGrep.exe" /spath="%USERPROFILE%\AppData\Local\Temp\OnboardLogs" /stypes="app*4015*20170213*" /stext=" 12:.+((SYSTEM_STATE.+slice.+state.+changed )|(ment ac)|(multiple cpu faults)|(system.+state.+changed )|(\[timeout)|(PRM\|1\|D)|(kpr)|(kdp)|(\|lc)|(penalty))" /e /r /s</v>
      </c>
      <c r="AG157" s="1" t="str">
        <f t="shared" si="58"/>
        <v>NW</v>
      </c>
      <c r="AH157" s="86" t="str">
        <f t="shared" si="59"/>
        <v>"%USERPROFILE%\Documents\GitHub\eaglep3\Utilities\RefineRTDCRunTimes.py" --tripid 800-13 --locoid 4015 --swversion DE.1.0.8.0 --startMP 300:58690 --initTime 2017-02-13T05:11:03 --startdatetime 2017-02-13T05:13:24 --delay 1 --endMP 204:675 --enddatetime 2017-02-13T05:27:09 --enforcementcount 0 &gt;&gt;C:\Users\stu\Documents\GitHub\eaglep3-reporting\EC\2017-02-13-refined-times.txt</v>
      </c>
      <c r="AI157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{"issue":{"subject":"","project_id":79,"tracker_id":40,"status_id":1,"priority_id":2,"assigned_to_id":23,"start_date":"2017-02-13","description":"","custom_fields":[{"id":1,"name":"Subdivision","value":"NW"},{"id":4,"name":"Milepost","value":"0.0675"},{"id":17,"name":"Train ID","value":"800-13"},{"id":16,"name":"Locomotive ID","value":"4015"},{"id":130,"name":"Impact","value":""},{"id":150,"name":"Time of Event (Mountain Time)","value":"05:27:09"},{"id":151,"name":"Denver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1"/>
        <v>start /low /b %USERPROFILE%\Documents\GitHub\eaglep3\Utilities\DownloadLogsFromS3.py --loco 4015 --day 2017-02-13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"%USERPROFILE%\AppData\Local\Temp\OnboardLogs"\RTDC4015\*4015*20170213* | grep -SE "(Enforcement Action)|(\[TIMEOUT)|(CHR.+\|PRM\|1\|D.+(SWITCH|SIGNAL).+UNKNOWN)" - &gt;&gt; 2017-02-13-UncaughtWiMAX.txt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3" t="s">
        <v>525</v>
      </c>
      <c r="B158" s="7">
        <v>4016</v>
      </c>
      <c r="C158" s="21" t="s">
        <v>193</v>
      </c>
      <c r="D158" s="21" t="s">
        <v>844</v>
      </c>
      <c r="E158" s="13">
        <v>42779.239745370367</v>
      </c>
      <c r="F158" s="13">
        <v>42779.243969907409</v>
      </c>
      <c r="G158" s="7">
        <v>1</v>
      </c>
      <c r="H158" s="21" t="s">
        <v>845</v>
      </c>
      <c r="I158" s="13">
        <v>42779.254155092596</v>
      </c>
      <c r="J158" s="7">
        <v>0</v>
      </c>
      <c r="K158" s="98" t="str">
        <f t="shared" si="46"/>
        <v>4015/4016</v>
      </c>
      <c r="L158" s="21" t="str">
        <f>VLOOKUP(A158,'Trips&amp;Operators'!$C$1:$G$99999,5,FALSE)</f>
        <v>DAVIS WENDY</v>
      </c>
      <c r="M158" s="6">
        <f t="shared" si="47"/>
        <v>1.0185185186855961E-2</v>
      </c>
      <c r="N158" s="7">
        <f t="shared" si="44"/>
        <v>14.666666669072583</v>
      </c>
      <c r="O158" s="7"/>
      <c r="P158" s="7"/>
      <c r="Q158" s="22"/>
      <c r="R158" s="22"/>
      <c r="S158" s="31">
        <f t="shared" si="48"/>
        <v>1</v>
      </c>
      <c r="T158" s="46" t="str">
        <f t="shared" si="49"/>
        <v>NorthBound</v>
      </c>
      <c r="U158" s="18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7" t="str">
        <f t="shared" si="50"/>
        <v>https://d0f6bd738d7f1b3e5a7ca70fe4ff75f0.us-east-1.aws.found.io/app/kibana#/discover/Steve-Slow-Train-Analysis-(2080s-and-2083s)?_g=(refreshInterval:(display:Off,pause:!f,section:0,value:0),time:(from:'2017-02-13T04:45:14-0700',mode:absolute,to:'2017-02-13T07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8" s="188" t="str">
        <f t="shared" si="51"/>
        <v>N</v>
      </c>
      <c r="X158" s="188">
        <f t="shared" si="45"/>
        <v>1</v>
      </c>
      <c r="Y158" s="62">
        <f t="shared" si="52"/>
        <v>9.5299999999999996E-2</v>
      </c>
      <c r="Z158" s="62">
        <f t="shared" si="53"/>
        <v>5.8997000000000002</v>
      </c>
      <c r="AA158" s="62">
        <f t="shared" si="54"/>
        <v>5.8044000000000002</v>
      </c>
      <c r="AB158" s="59" t="e">
        <f>VLOOKUP(A158,Enforcements!$C$7:$K$14,8,0)</f>
        <v>#N/A</v>
      </c>
      <c r="AC158" s="55" t="e">
        <f>VLOOKUP(A158,Enforcements!$C$7:$E$14,3,0)</f>
        <v>#N/A</v>
      </c>
      <c r="AD158" s="56" t="str">
        <f t="shared" si="55"/>
        <v>0801-13</v>
      </c>
      <c r="AE158" s="85" t="str">
        <f t="shared" si="56"/>
        <v>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 &amp; 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</v>
      </c>
      <c r="AF158" s="82" t="str">
        <f t="shared" si="57"/>
        <v>"C:\Program Files (x86)\AstroGrep\AstroGrep.exe" /spath="%USERPROFILE%\AppData\Local\Temp\OnboardLogs" /stypes="app*4016*20170213*" /stext=" 13:.+((SYSTEM_STATE.+slice.+state.+changed )|(ment ac)|(multiple cpu faults)|(system.+state.+changed )|(\[timeout)|(PRM\|1\|D)|(kpr)|(kdp)|(\|lc)|(penalty))" /e /r /s</v>
      </c>
      <c r="AG158" s="1" t="str">
        <f t="shared" si="58"/>
        <v>NW</v>
      </c>
      <c r="AH158" s="86" t="str">
        <f t="shared" si="59"/>
        <v>"%USERPROFILE%\Documents\GitHub\eaglep3\Utilities\RefineRTDCRunTimes.py" --tripid 801-13 --locoid 4016 --swversion DE.1.0.8.0 --startMP 204:953 --initTime 2017-02-13T05:45:14 --startdatetime 2017-02-13T05:51:19 --delay 1 --endMP 300:58997 --enddatetime 2017-02-13T06:05:59 --enforcementcount 0 &gt;&gt;C:\Users\stu\Documents\GitHub\eaglep3-reporting\EC\2017-02-13-refined-times.txt</v>
      </c>
      <c r="AI158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{"issue":{"subject":"","project_id":79,"tracker_id":40,"status_id":1,"priority_id":2,"assigned_to_id":23,"start_date":"2017-02-13","description":"","custom_fields":[{"id":1,"name":"Subdivision","value":"NW"},{"id":4,"name":"Milepost","value":"5.8997"},{"id":17,"name":"Train ID","value":"801-13"},{"id":16,"name":"Locomotive ID","value":"4016"},{"id":130,"name":"Impact","value":""},{"id":150,"name":"Time of Event (Mountain Time)","value":"06:05:59"},{"id":151,"name":"Denver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1"/>
        <v>start /low /b %USERPROFILE%\Documents\GitHub\eaglep3\Utilities\DownloadLogsFromS3.py --loco 4016 --day 2017-02-13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"%USERPROFILE%\AppData\Local\Temp\OnboardLogs"\RTDC4016\*4016*20170213* | grep -SE "(Enforcement Action)|(\[TIMEOUT)|(CHR.+\|PRM\|1\|D.+(SWITCH|SIGNAL).+UNKNOWN)" - &gt;&gt; 2017-02-13-UncaughtWiMAX.txt</v>
      </c>
    </row>
    <row r="159" spans="1:91" x14ac:dyDescent="0.25">
      <c r="A159" s="33" t="s">
        <v>583</v>
      </c>
      <c r="B159" s="7">
        <v>4015</v>
      </c>
      <c r="C159" s="21" t="s">
        <v>193</v>
      </c>
      <c r="D159" s="21" t="s">
        <v>846</v>
      </c>
      <c r="E159" s="13">
        <v>42779.25508101852</v>
      </c>
      <c r="F159" s="13">
        <v>42779.25613425926</v>
      </c>
      <c r="G159" s="7">
        <v>1</v>
      </c>
      <c r="H159" s="21" t="s">
        <v>847</v>
      </c>
      <c r="I159" s="13">
        <v>42779.267997685187</v>
      </c>
      <c r="J159" s="7">
        <v>0</v>
      </c>
      <c r="K159" s="98" t="str">
        <f t="shared" si="46"/>
        <v>4015/4016</v>
      </c>
      <c r="L159" s="21" t="str">
        <f>VLOOKUP(A159,'Trips&amp;Operators'!$C$1:$G$99999,5,FALSE)</f>
        <v>DAVIS WENDY</v>
      </c>
      <c r="M159" s="6">
        <f t="shared" si="47"/>
        <v>1.1863425927003846E-2</v>
      </c>
      <c r="N159" s="7">
        <f t="shared" si="44"/>
        <v>17.083333334885538</v>
      </c>
      <c r="O159" s="7"/>
      <c r="P159" s="7"/>
      <c r="Q159" s="22"/>
      <c r="R159" s="22"/>
      <c r="S159" s="31">
        <f t="shared" si="48"/>
        <v>1</v>
      </c>
      <c r="T159" s="46" t="str">
        <f t="shared" si="49"/>
        <v>Southbound</v>
      </c>
      <c r="U159" s="18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7" t="str">
        <f t="shared" si="50"/>
        <v>https://d0f6bd738d7f1b3e5a7ca70fe4ff75f0.us-east-1.aws.found.io/app/kibana#/discover/Steve-Slow-Train-Analysis-(2080s-and-2083s)?_g=(refreshInterval:(display:Off,pause:!f,section:0,value:0),time:(from:'2017-02-13T05:07:19-0700',mode:absolute,to:'2017-02-13T07:25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9" s="188" t="str">
        <f t="shared" si="51"/>
        <v>N</v>
      </c>
      <c r="X159" s="188">
        <f t="shared" si="45"/>
        <v>1</v>
      </c>
      <c r="Y159" s="62">
        <f t="shared" si="52"/>
        <v>5.8685</v>
      </c>
      <c r="Z159" s="62">
        <f t="shared" si="53"/>
        <v>6.1699999999999998E-2</v>
      </c>
      <c r="AA159" s="62">
        <f t="shared" si="54"/>
        <v>5.8068</v>
      </c>
      <c r="AB159" s="59" t="e">
        <f>VLOOKUP(A159,Enforcements!$C$7:$K$14,8,0)</f>
        <v>#N/A</v>
      </c>
      <c r="AC159" s="55" t="e">
        <f>VLOOKUP(A159,Enforcements!$C$7:$E$14,3,0)</f>
        <v>#N/A</v>
      </c>
      <c r="AD159" s="56" t="str">
        <f t="shared" si="55"/>
        <v>0802-13</v>
      </c>
      <c r="AE159" s="85" t="str">
        <f t="shared" si="56"/>
        <v>aws s3 cp s3://rtdc.mdm.uploadarchive.raw/RTDC4015/ "%USERPROFILE%\AppData\Local\Temp\OnboardLogs"\RTDC4015\2017-02-13 --exclude "*" --recursive --include "*20170213*" &amp; "%USERPROFILE%\Documents\GitHub\mrs-test-scripts\Headless Mode &amp; Sideloading\WalkAndUnGZ.bat" "%USERPROFILE%\AppData\Local\Temp\OnboardLogs"\RTDC4015\2017-02-13 &amp; 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</v>
      </c>
      <c r="AF159" s="82" t="str">
        <f t="shared" si="57"/>
        <v>"C:\Program Files (x86)\AstroGrep\AstroGrep.exe" /spath="%USERPROFILE%\AppData\Local\Temp\OnboardLogs" /stypes="app*4015*20170213*" /stext=" 13:.+((SYSTEM_STATE.+slice.+state.+changed )|(ment ac)|(multiple cpu faults)|(system.+state.+changed )|(\[timeout)|(PRM\|1\|D)|(kpr)|(kdp)|(\|lc)|(penalty))" /e /r /s</v>
      </c>
      <c r="AG159" s="1" t="str">
        <f t="shared" si="58"/>
        <v>NW</v>
      </c>
      <c r="AH159" s="86" t="str">
        <f t="shared" si="59"/>
        <v>"%USERPROFILE%\Documents\GitHub\eaglep3\Utilities\RefineRTDCRunTimes.py" --tripid 802-13 --locoid 4015 --swversion DE.1.0.8.0 --startMP 300:58685 --initTime 2017-02-13T06:07:19 --startdatetime 2017-02-13T06:08:50 --delay 1 --endMP 204:617 --enddatetime 2017-02-13T06:25:55 --enforcementcount 0 &gt;&gt;C:\Users\stu\Documents\GitHub\eaglep3-reporting\EC\2017-02-13-refined-times.txt</v>
      </c>
      <c r="AI159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{"issue":{"subject":"","project_id":79,"tracker_id":40,"status_id":1,"priority_id":2,"assigned_to_id":23,"start_date":"2017-02-13","description":"","custom_fields":[{"id":1,"name":"Subdivision","value":"NW"},{"id":4,"name":"Milepost","value":"0.0617"},{"id":17,"name":"Train ID","value":"802-13"},{"id":16,"name":"Locomotive ID","value":"4015"},{"id":130,"name":"Impact","value":""},{"id":150,"name":"Time of Event (Mountain Time)","value":"06:25:55"},{"id":151,"name":"Denver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1"/>
        <v>start /low /b %USERPROFILE%\Documents\GitHub\eaglep3\Utilities\DownloadLogsFromS3.py --loco 4015 --day 2017-02-13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"%USERPROFILE%\AppData\Local\Temp\OnboardLogs"\RTDC4015\*4015*20170213* | grep -SE "(Enforcement Action)|(\[TIMEOUT)|(CHR.+\|PRM\|1\|D.+(SWITCH|SIGNAL).+UNKNOWN)" - &gt;&gt; 2017-02-13-UncaughtWiMAX.txt</v>
      </c>
    </row>
    <row r="160" spans="1:91" s="20" customFormat="1" x14ac:dyDescent="0.25">
      <c r="A160" s="33" t="s">
        <v>921</v>
      </c>
      <c r="B160" s="7"/>
      <c r="C160" s="21" t="s">
        <v>193</v>
      </c>
      <c r="D160" s="21" t="s">
        <v>846</v>
      </c>
      <c r="E160" s="13">
        <v>42779.25508101852</v>
      </c>
      <c r="F160" s="13"/>
      <c r="G160" s="7">
        <v>1</v>
      </c>
      <c r="H160" s="21" t="s">
        <v>847</v>
      </c>
      <c r="I160" s="13"/>
      <c r="J160" s="7">
        <v>0</v>
      </c>
      <c r="K160" s="98" t="str">
        <f t="shared" si="46"/>
        <v>-1/</v>
      </c>
      <c r="L160" s="21" t="e">
        <f>VLOOKUP(A160,'Trips&amp;Operators'!$C$1:$G$99999,5,FALSE)</f>
        <v>#N/A</v>
      </c>
      <c r="M160" s="6">
        <f t="shared" si="47"/>
        <v>0</v>
      </c>
      <c r="N160" s="7"/>
      <c r="O160" s="7"/>
      <c r="P160" s="7">
        <v>1</v>
      </c>
      <c r="Q160" s="22"/>
      <c r="R160" s="22" t="s">
        <v>922</v>
      </c>
      <c r="S160" s="31">
        <f t="shared" si="48"/>
        <v>0</v>
      </c>
      <c r="T160" s="46" t="str">
        <f t="shared" si="49"/>
        <v>NorthBound</v>
      </c>
      <c r="U160" s="18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187" t="str">
        <f t="shared" si="50"/>
        <v>https://d0f6bd738d7f1b3e5a7ca70fe4ff75f0.us-east-1.aws.found.io/app/kibana#/discover/Steve-Slow-Train-Analysis-(2080s-and-2083s)?_g=(refreshInterval:(display:Off,pause:!f,section:0,value:0),time:(from:'2017-02-13T05:07:19-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60" s="188" t="str">
        <f t="shared" si="51"/>
        <v>N</v>
      </c>
      <c r="X160" s="188">
        <f t="shared" si="45"/>
        <v>1</v>
      </c>
      <c r="Y160" s="62">
        <f t="shared" si="52"/>
        <v>5.8685</v>
      </c>
      <c r="Z160" s="62">
        <f t="shared" si="53"/>
        <v>6.1699999999999998E-2</v>
      </c>
      <c r="AA160" s="62">
        <f t="shared" si="54"/>
        <v>5.8068</v>
      </c>
      <c r="AB160" s="59" t="e">
        <f>VLOOKUP(A160,Enforcements!$C$7:$K$14,8,0)</f>
        <v>#N/A</v>
      </c>
      <c r="AC160" s="55" t="e">
        <f>VLOOKUP(A160,Enforcements!$C$7:$E$14,3,0)</f>
        <v>#N/A</v>
      </c>
      <c r="AD160" s="56" t="str">
        <f t="shared" si="55"/>
        <v>0803-13</v>
      </c>
      <c r="AE160" s="85" t="str">
        <f t="shared" si="56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60" s="82" t="str">
        <f t="shared" si="57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60" s="1" t="str">
        <f t="shared" si="58"/>
        <v>NW</v>
      </c>
      <c r="AH160" s="86" t="str">
        <f t="shared" ref="AH160" si="62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803-13 --locoid  --swversion DE.1.0.8.0 --startMP 300:58685 --initTime 2017-02-13T06:07:19 --startdatetime 1900-01-00T00:00:00 --delay 1 --endMP 204:617 --enddatetime 1900-01-00T00:00:00 --enforcementcount 0 &gt;&gt;C:\Users\stu\Documents\GitHub\eaglep3-reporting\EC\2017-02-13-refined-times.txt</v>
      </c>
      <c r="AI160" s="108" t="str">
        <f t="shared" ref="AI160" si="63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init","project_id":79,"tracker_id":40,"status_id":1,"priority_id":2,"assigned_to_id":23,"start_date":"1900-01-00","description":"","custom_fields":[{"id":1,"name":"Subdivision","value":"NW"},{"id":4,"name":"Milepost","value":"0.0617"},{"id":17,"name":"Train ID","value":"803-13"},{"id":16,"name":"Locomotive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ref="AM160" si="64">"start /low /b "&amp;dls3logs&amp;" --loco "&amp;B160&amp;" --day "&amp;TEXT(F160,"YYYY-MM-DD")</f>
        <v>start /low /b %USERPROFILE%\Documents\GitHub\eaglep3\Utilities\DownloadLogsFromS3.py --loco  --day 1900-01-00</v>
      </c>
      <c r="AN160" s="163" t="e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#DIV/0!</v>
      </c>
    </row>
    <row r="161" spans="1:91" x14ac:dyDescent="0.25">
      <c r="A161" s="33" t="s">
        <v>587</v>
      </c>
      <c r="B161" s="7">
        <v>4030</v>
      </c>
      <c r="C161" s="21" t="s">
        <v>193</v>
      </c>
      <c r="D161" s="21" t="s">
        <v>848</v>
      </c>
      <c r="E161" s="13">
        <v>42779.285011574073</v>
      </c>
      <c r="F161" s="13">
        <v>42779.286412037036</v>
      </c>
      <c r="G161" s="7">
        <v>1</v>
      </c>
      <c r="H161" s="21" t="s">
        <v>849</v>
      </c>
      <c r="I161" s="13">
        <v>42779.295219907406</v>
      </c>
      <c r="J161" s="7">
        <v>0</v>
      </c>
      <c r="K161" s="98" t="str">
        <f t="shared" si="46"/>
        <v>4029/4030</v>
      </c>
      <c r="L161" s="21" t="str">
        <f>VLOOKUP(A161,'Trips&amp;Operators'!$C$1:$G$99999,5,FALSE)</f>
        <v>ROCHA YAOTL</v>
      </c>
      <c r="M161" s="6">
        <f t="shared" si="47"/>
        <v>8.8078703702194616E-3</v>
      </c>
      <c r="N161" s="7">
        <f t="shared" ref="N161:N192" si="65">24*60*SUM($M161:$M161)</f>
        <v>12.683333333116025</v>
      </c>
      <c r="O161" s="7"/>
      <c r="P161" s="7"/>
      <c r="Q161" s="22"/>
      <c r="R161" s="22"/>
      <c r="S161" s="31">
        <f t="shared" si="48"/>
        <v>1</v>
      </c>
      <c r="T161" s="46" t="str">
        <f t="shared" si="49"/>
        <v>Southbound</v>
      </c>
      <c r="U161" s="18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7" t="str">
        <f t="shared" si="50"/>
        <v>https://d0f6bd738d7f1b3e5a7ca70fe4ff75f0.us-east-1.aws.found.io/app/kibana#/discover/Steve-Slow-Train-Analysis-(2080s-and-2083s)?_g=(refreshInterval:(display:Off,pause:!f,section:0,value:0),time:(from:'2017-02-13T05:50:25-0700',mode:absolute,to:'2017-02-13T08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1" s="188" t="str">
        <f t="shared" si="51"/>
        <v>N</v>
      </c>
      <c r="X161" s="188">
        <f t="shared" si="45"/>
        <v>1</v>
      </c>
      <c r="Y161" s="62">
        <f t="shared" si="52"/>
        <v>5.8704000000000001</v>
      </c>
      <c r="Z161" s="62">
        <f t="shared" si="53"/>
        <v>6.9199999999999998E-2</v>
      </c>
      <c r="AA161" s="62">
        <f t="shared" si="54"/>
        <v>5.8011999999999997</v>
      </c>
      <c r="AB161" s="59" t="e">
        <f>VLOOKUP(A161,Enforcements!$C$7:$K$14,8,0)</f>
        <v>#N/A</v>
      </c>
      <c r="AC161" s="55" t="e">
        <f>VLOOKUP(A161,Enforcements!$C$7:$E$14,3,0)</f>
        <v>#N/A</v>
      </c>
      <c r="AD161" s="56" t="str">
        <f t="shared" si="55"/>
        <v>0804-13</v>
      </c>
      <c r="AE161" s="85" t="str">
        <f t="shared" si="56"/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AF161" s="82" t="str">
        <f t="shared" si="57"/>
        <v>"C:\Program Files (x86)\AstroGrep\AstroGrep.exe" /spath="%USERPROFILE%\AppData\Local\Temp\OnboardLogs" /stypes="app*4030*20170213*" /stext=" 14:.+((SYSTEM_STATE.+slice.+state.+changed )|(ment ac)|(multiple cpu faults)|(system.+state.+changed )|(\[timeout)|(PRM\|1\|D)|(kpr)|(kdp)|(\|lc)|(penalty))" /e /r /s</v>
      </c>
      <c r="AG161" s="1" t="str">
        <f t="shared" si="58"/>
        <v>NW</v>
      </c>
      <c r="AH161" s="86" t="str">
        <f t="shared" si="59"/>
        <v>"%USERPROFILE%\Documents\GitHub\eaglep3\Utilities\RefineRTDCRunTimes.py" --tripid 804-13 --locoid 4030 --swversion DE.1.0.8.0 --startMP 300:58704 --initTime 2017-02-13T06:50:25 --startdatetime 2017-02-13T06:52:26 --delay 1 --endMP 204:692 --enddatetime 2017-02-13T07:05:07 --enforcementcount 0 &gt;&gt;C:\Users\stu\Documents\GitHub\eaglep3-reporting\EC\2017-02-13-refined-times.txt</v>
      </c>
      <c r="AI161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{"issue":{"subject":"","project_id":79,"tracker_id":40,"status_id":1,"priority_id":2,"assigned_to_id":23,"start_date":"2017-02-13","description":"","custom_fields":[{"id":1,"name":"Subdivision","value":"NW"},{"id":4,"name":"Milepost","value":"0.0692"},{"id":17,"name":"Train ID","value":"804-13"},{"id":16,"name":"Locomotive ID","value":"4030"},{"id":130,"name":"Impact","value":""},{"id":150,"name":"Time of Event (Mountain Time)","value":"07:05:07"},{"id":151,"name":"Denver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1"/>
        <v>start /low /b %USERPROFILE%\Documents\GitHub\eaglep3\Utilities\DownloadLogsFromS3.py --loco 4030 --day 2017-02-13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"%USERPROFILE%\AppData\Local\Temp\OnboardLogs"\RTDC4030\*4030*20170213* | grep -SE "(Enforcement Action)|(\[TIMEOUT)|(CHR.+\|PRM\|1\|D.+(SWITCH|SIGNAL).+UNKNOWN)" - &gt;&gt; 2017-02-13-UncaughtWiMAX.txt</v>
      </c>
    </row>
    <row r="162" spans="1:91" x14ac:dyDescent="0.25">
      <c r="A162" s="33" t="s">
        <v>528</v>
      </c>
      <c r="B162" s="7">
        <v>4016</v>
      </c>
      <c r="C162" s="21" t="s">
        <v>193</v>
      </c>
      <c r="D162" s="21" t="s">
        <v>850</v>
      </c>
      <c r="E162" s="13">
        <v>42779.280127314814</v>
      </c>
      <c r="F162" s="13">
        <v>42779.285601851851</v>
      </c>
      <c r="G162" s="7">
        <v>1</v>
      </c>
      <c r="H162" s="21" t="s">
        <v>851</v>
      </c>
      <c r="I162" s="13">
        <v>42779.295868055553</v>
      </c>
      <c r="J162" s="7">
        <v>0</v>
      </c>
      <c r="K162" s="98" t="str">
        <f t="shared" si="46"/>
        <v>4015/4016</v>
      </c>
      <c r="L162" s="21" t="str">
        <f>VLOOKUP(A162,'Trips&amp;Operators'!$C$1:$G$99999,5,FALSE)</f>
        <v>DAVIS WENDY</v>
      </c>
      <c r="M162" s="6">
        <f t="shared" si="47"/>
        <v>1.0266203702485655E-2</v>
      </c>
      <c r="N162" s="7">
        <f t="shared" si="65"/>
        <v>14.783333331579342</v>
      </c>
      <c r="O162" s="7"/>
      <c r="P162" s="7"/>
      <c r="Q162" s="22"/>
      <c r="R162" s="22"/>
      <c r="S162" s="31">
        <f t="shared" si="48"/>
        <v>1</v>
      </c>
      <c r="T162" s="46" t="str">
        <f t="shared" si="49"/>
        <v>NorthBound</v>
      </c>
      <c r="U162" s="18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7" t="str">
        <f t="shared" si="50"/>
        <v>https://d0f6bd738d7f1b3e5a7ca70fe4ff75f0.us-east-1.aws.found.io/app/kibana#/discover/Steve-Slow-Train-Analysis-(2080s-and-2083s)?_g=(refreshInterval:(display:Off,pause:!f,section:0,value:0),time:(from:'2017-02-13T05:43:23-0700',mode:absolute,to:'2017-02-13T08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2" s="188" t="str">
        <f t="shared" si="51"/>
        <v>N</v>
      </c>
      <c r="X162" s="188">
        <f t="shared" ref="X162:X193" si="66">VALUE(LEFT(AD162,4))-VALUE(LEFT(AD161,4))</f>
        <v>1</v>
      </c>
      <c r="Y162" s="62">
        <f t="shared" si="52"/>
        <v>9.06E-2</v>
      </c>
      <c r="Z162" s="62">
        <f t="shared" si="53"/>
        <v>5.9009999999999998</v>
      </c>
      <c r="AA162" s="62">
        <f t="shared" si="54"/>
        <v>5.8103999999999996</v>
      </c>
      <c r="AB162" s="59" t="e">
        <f>VLOOKUP(A162,Enforcements!$C$7:$K$14,8,0)</f>
        <v>#N/A</v>
      </c>
      <c r="AC162" s="55" t="e">
        <f>VLOOKUP(A162,Enforcements!$C$7:$E$14,3,0)</f>
        <v>#N/A</v>
      </c>
      <c r="AD162" s="56" t="str">
        <f t="shared" si="55"/>
        <v>0805-13</v>
      </c>
      <c r="AE162" s="85" t="str">
        <f t="shared" si="56"/>
        <v>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 &amp; 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</v>
      </c>
      <c r="AF162" s="82" t="str">
        <f t="shared" si="57"/>
        <v>"C:\Program Files (x86)\AstroGrep\AstroGrep.exe" /spath="%USERPROFILE%\AppData\Local\Temp\OnboardLogs" /stypes="app*4016*20170213*" /stext=" 14:.+((SYSTEM_STATE.+slice.+state.+changed )|(ment ac)|(multiple cpu faults)|(system.+state.+changed )|(\[timeout)|(PRM\|1\|D)|(kpr)|(kdp)|(\|lc)|(penalty))" /e /r /s</v>
      </c>
      <c r="AG162" s="1" t="str">
        <f t="shared" si="58"/>
        <v>NW</v>
      </c>
      <c r="AH162" s="86" t="str">
        <f t="shared" si="59"/>
        <v>"%USERPROFILE%\Documents\GitHub\eaglep3\Utilities\RefineRTDCRunTimes.py" --tripid 805-13 --locoid 4016 --swversion DE.1.0.8.0 --startMP 204:906 --initTime 2017-02-13T06:43:23 --startdatetime 2017-02-13T06:51:16 --delay 1 --endMP 300:59010 --enddatetime 2017-02-13T07:06:03 --enforcementcount 0 &gt;&gt;C:\Users\stu\Documents\GitHub\eaglep3-reporting\EC\2017-02-13-refined-times.txt</v>
      </c>
      <c r="AI162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{"issue":{"subject":"","project_id":79,"tracker_id":40,"status_id":1,"priority_id":2,"assigned_to_id":23,"start_date":"2017-02-13","description":"","custom_fields":[{"id":1,"name":"Subdivision","value":"NW"},{"id":4,"name":"Milepost","value":"5.901"},{"id":17,"name":"Train ID","value":"805-13"},{"id":16,"name":"Locomotive ID","value":"4016"},{"id":130,"name":"Impact","value":""},{"id":150,"name":"Time of Event (Mountain Time)","value":"07:06:03"},{"id":151,"name":"Denver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1"/>
        <v>start /low /b %USERPROFILE%\Documents\GitHub\eaglep3\Utilities\DownloadLogsFromS3.py --loco 4016 --day 2017-02-13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"%USERPROFILE%\AppData\Local\Temp\OnboardLogs"\RTDC4016\*4016*20170213* | grep -SE "(Enforcement Action)|(\[TIMEOUT)|(CHR.+\|PRM\|1\|D.+(SWITCH|SIGNAL).+UNKNOWN)" - &gt;&gt; 2017-02-13-UncaughtWiMAX.txt</v>
      </c>
    </row>
    <row r="163" spans="1:91" s="20" customFormat="1" x14ac:dyDescent="0.25">
      <c r="A163" s="33" t="s">
        <v>531</v>
      </c>
      <c r="B163" s="7">
        <v>4015</v>
      </c>
      <c r="C163" s="21" t="s">
        <v>193</v>
      </c>
      <c r="D163" s="21" t="s">
        <v>852</v>
      </c>
      <c r="E163" s="13">
        <v>42779.296805555554</v>
      </c>
      <c r="F163" s="13">
        <v>42779.298032407409</v>
      </c>
      <c r="G163" s="7">
        <v>1</v>
      </c>
      <c r="H163" s="21" t="s">
        <v>853</v>
      </c>
      <c r="I163" s="13">
        <v>42779.310844907406</v>
      </c>
      <c r="J163" s="7">
        <v>0</v>
      </c>
      <c r="K163" s="98" t="str">
        <f t="shared" si="46"/>
        <v>4015/4016</v>
      </c>
      <c r="L163" s="21" t="str">
        <f>VLOOKUP(A163,'Trips&amp;Operators'!$C$1:$G$99999,5,FALSE)</f>
        <v>DAVIS WENDY</v>
      </c>
      <c r="M163" s="6">
        <f t="shared" si="47"/>
        <v>1.2812499997380655E-2</v>
      </c>
      <c r="N163" s="7">
        <f t="shared" si="65"/>
        <v>18.449999996228144</v>
      </c>
      <c r="O163" s="7"/>
      <c r="P163" s="7"/>
      <c r="Q163" s="22"/>
      <c r="R163" s="22"/>
      <c r="S163" s="31">
        <f t="shared" si="48"/>
        <v>1</v>
      </c>
      <c r="T163" s="46" t="str">
        <f t="shared" si="49"/>
        <v>Southbound</v>
      </c>
      <c r="U163" s="18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7" t="str">
        <f t="shared" si="50"/>
        <v>https://d0f6bd738d7f1b3e5a7ca70fe4ff75f0.us-east-1.aws.found.io/app/kibana#/discover/Steve-Slow-Train-Analysis-(2080s-and-2083s)?_g=(refreshInterval:(display:Off,pause:!f,section:0,value:0),time:(from:'2017-02-13T06:07:24-0700',mode:absolute,to:'2017-02-13T08:27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3" s="188" t="str">
        <f t="shared" si="51"/>
        <v>N</v>
      </c>
      <c r="X163" s="188">
        <f t="shared" si="66"/>
        <v>1</v>
      </c>
      <c r="Y163" s="62">
        <f t="shared" si="52"/>
        <v>5.8701999999999996</v>
      </c>
      <c r="Z163" s="62">
        <f t="shared" si="53"/>
        <v>6.4699999999999994E-2</v>
      </c>
      <c r="AA163" s="62">
        <f t="shared" si="54"/>
        <v>5.8054999999999994</v>
      </c>
      <c r="AB163" s="59" t="e">
        <f>VLOOKUP(A163,Enforcements!$C$7:$K$14,8,0)</f>
        <v>#N/A</v>
      </c>
      <c r="AC163" s="55" t="e">
        <f>VLOOKUP(A163,Enforcements!$C$7:$E$14,3,0)</f>
        <v>#N/A</v>
      </c>
      <c r="AD163" s="56" t="str">
        <f t="shared" si="55"/>
        <v>0806-13</v>
      </c>
      <c r="AE163" s="85" t="str">
        <f t="shared" si="56"/>
        <v>aws s3 cp s3://rtdc.mdm.uploadarchive.raw/RTDC4015/ "%USERPROFILE%\AppData\Local\Temp\OnboardLogs"\RTDC4015\2017-02-13 --exclude "*" --recursive --include "*20170213*" &amp; "%USERPROFILE%\Documents\GitHub\mrs-test-scripts\Headless Mode &amp; Sideloading\WalkAndUnGZ.bat" "%USERPROFILE%\AppData\Local\Temp\OnboardLogs"\RTDC4015\2017-02-13 &amp; 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</v>
      </c>
      <c r="AF163" s="82" t="str">
        <f t="shared" si="57"/>
        <v>"C:\Program Files (x86)\AstroGrep\AstroGrep.exe" /spath="%USERPROFILE%\AppData\Local\Temp\OnboardLogs" /stypes="app*4015*20170213*" /stext=" 14:.+((SYSTEM_STATE.+slice.+state.+changed )|(ment ac)|(multiple cpu faults)|(system.+state.+changed )|(\[timeout)|(PRM\|1\|D)|(kpr)|(kdp)|(\|lc)|(penalty))" /e /r /s</v>
      </c>
      <c r="AG163" s="1" t="str">
        <f t="shared" si="58"/>
        <v>NW</v>
      </c>
      <c r="AH163" s="86" t="str">
        <f t="shared" si="59"/>
        <v>"%USERPROFILE%\Documents\GitHub\eaglep3\Utilities\RefineRTDCRunTimes.py" --tripid 806-13 --locoid 4015 --swversion DE.1.0.8.0 --startMP 300:58702 --initTime 2017-02-13T07:07:24 --startdatetime 2017-02-13T07:09:10 --delay 1 --endMP 204:647 --enddatetime 2017-02-13T07:27:37 --enforcementcount 0 &gt;&gt;C:\Users\stu\Documents\GitHub\eaglep3-reporting\EC\2017-02-13-refined-times.txt</v>
      </c>
      <c r="AI163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{"issue":{"subject":"","project_id":79,"tracker_id":40,"status_id":1,"priority_id":2,"assigned_to_id":23,"start_date":"2017-02-13","description":"","custom_fields":[{"id":1,"name":"Subdivision","value":"NW"},{"id":4,"name":"Milepost","value":"0.0647"},{"id":17,"name":"Train ID","value":"806-13"},{"id":16,"name":"Locomotive ID","value":"4015"},{"id":130,"name":"Impact","value":""},{"id":150,"name":"Time of Event (Mountain Time)","value":"07:27:37"},{"id":151,"name":"Denver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1"/>
        <v>start /low /b %USERPROFILE%\Documents\GitHub\eaglep3\Utilities\DownloadLogsFromS3.py --loco 4015 --day 2017-02-13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"%USERPROFILE%\AppData\Local\Temp\OnboardLogs"\RTDC4015\*4015*20170213* | grep -SE "(Enforcement Action)|(\[TIMEOUT)|(CHR.+\|PRM\|1\|D.+(SWITCH|SIGNAL).+UNKNOWN)" - &gt;&gt; 2017-02-13-UncaughtWiMAX.txt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3" t="s">
        <v>592</v>
      </c>
      <c r="B164" s="7">
        <v>4029</v>
      </c>
      <c r="C164" s="21" t="s">
        <v>193</v>
      </c>
      <c r="D164" s="21" t="s">
        <v>854</v>
      </c>
      <c r="E164" s="13">
        <v>42779.304259259261</v>
      </c>
      <c r="F164" s="13">
        <v>42779.306493055556</v>
      </c>
      <c r="G164" s="7">
        <v>1</v>
      </c>
      <c r="H164" s="21" t="s">
        <v>855</v>
      </c>
      <c r="I164" s="13">
        <v>42779.315520833334</v>
      </c>
      <c r="J164" s="7">
        <v>0</v>
      </c>
      <c r="K164" s="98" t="str">
        <f t="shared" si="46"/>
        <v>4029/4030</v>
      </c>
      <c r="L164" s="21" t="str">
        <f>VLOOKUP(A164,'Trips&amp;Operators'!$C$1:$G$99999,5,FALSE)</f>
        <v>ROCHA YAOTL</v>
      </c>
      <c r="M164" s="6">
        <f t="shared" si="47"/>
        <v>9.0277777781011537E-3</v>
      </c>
      <c r="N164" s="7">
        <f t="shared" si="65"/>
        <v>13.000000000465661</v>
      </c>
      <c r="O164" s="7"/>
      <c r="P164" s="7"/>
      <c r="Q164" s="22"/>
      <c r="R164" s="22"/>
      <c r="S164" s="31">
        <f t="shared" si="48"/>
        <v>1</v>
      </c>
      <c r="T164" s="46" t="str">
        <f t="shared" si="49"/>
        <v>NorthBound</v>
      </c>
      <c r="U164" s="18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7" t="str">
        <f t="shared" si="50"/>
        <v>https://d0f6bd738d7f1b3e5a7ca70fe4ff75f0.us-east-1.aws.found.io/app/kibana#/discover/Steve-Slow-Train-Analysis-(2080s-and-2083s)?_g=(refreshInterval:(display:Off,pause:!f,section:0,value:0),time:(from:'2017-02-13T06:18:08-0700',mode:absolute,to:'2017-02-13T08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4" s="188" t="str">
        <f t="shared" si="51"/>
        <v>N</v>
      </c>
      <c r="X164" s="188">
        <f t="shared" si="66"/>
        <v>1</v>
      </c>
      <c r="Y164" s="62">
        <f t="shared" si="52"/>
        <v>9.6199999999999994E-2</v>
      </c>
      <c r="Z164" s="62">
        <f t="shared" si="53"/>
        <v>5.8963000000000001</v>
      </c>
      <c r="AA164" s="62">
        <f t="shared" si="54"/>
        <v>5.8001000000000005</v>
      </c>
      <c r="AB164" s="59" t="e">
        <f>VLOOKUP(A164,Enforcements!$C$7:$K$14,8,0)</f>
        <v>#N/A</v>
      </c>
      <c r="AC164" s="55" t="e">
        <f>VLOOKUP(A164,Enforcements!$C$7:$E$14,3,0)</f>
        <v>#N/A</v>
      </c>
      <c r="AD164" s="56" t="str">
        <f t="shared" si="55"/>
        <v>0807-13</v>
      </c>
      <c r="AE164" s="85" t="str">
        <f t="shared" si="56"/>
        <v>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 &amp; 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</v>
      </c>
      <c r="AF164" s="82" t="str">
        <f t="shared" si="57"/>
        <v>"C:\Program Files (x86)\AstroGrep\AstroGrep.exe" /spath="%USERPROFILE%\AppData\Local\Temp\OnboardLogs" /stypes="app*4029*20170213*" /stext=" 14:.+((SYSTEM_STATE.+slice.+state.+changed )|(ment ac)|(multiple cpu faults)|(system.+state.+changed )|(\[timeout)|(PRM\|1\|D)|(kpr)|(kdp)|(\|lc)|(penalty))" /e /r /s</v>
      </c>
      <c r="AG164" s="1" t="str">
        <f t="shared" si="58"/>
        <v>NW</v>
      </c>
      <c r="AH164" s="86" t="str">
        <f t="shared" si="59"/>
        <v>"%USERPROFILE%\Documents\GitHub\eaglep3\Utilities\RefineRTDCRunTimes.py" --tripid 807-13 --locoid 4029 --swversion DE.1.0.8.0 --startMP 204:962 --initTime 2017-02-13T07:18:08 --startdatetime 2017-02-13T07:21:21 --delay 1 --endMP 300:58963 --enddatetime 2017-02-13T07:34:21 --enforcementcount 0 &gt;&gt;C:\Users\stu\Documents\GitHub\eaglep3-reporting\EC\2017-02-13-refined-times.txt</v>
      </c>
      <c r="AI164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{"issue":{"subject":"","project_id":79,"tracker_id":40,"status_id":1,"priority_id":2,"assigned_to_id":23,"start_date":"2017-02-13","description":"","custom_fields":[{"id":1,"name":"Subdivision","value":"NW"},{"id":4,"name":"Milepost","value":"5.8963"},{"id":17,"name":"Train ID","value":"807-13"},{"id":16,"name":"Locomotive ID","value":"4029"},{"id":130,"name":"Impact","value":""},{"id":150,"name":"Time of Event (Mountain Time)","value":"07:34:21"},{"id":151,"name":"Denver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1"/>
        <v>start /low /b %USERPROFILE%\Documents\GitHub\eaglep3\Utilities\DownloadLogsFromS3.py --loco 4029 --day 2017-02-13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"%USERPROFILE%\AppData\Local\Temp\OnboardLogs"\RTDC4029\*4029*20170213* | grep -SE "(Enforcement Action)|(\[TIMEOUT)|(CHR.+\|PRM\|1\|D.+(SWITCH|SIGNAL).+UNKNOWN)" - &gt;&gt; 2017-02-13-UncaughtWiMAX.txt</v>
      </c>
    </row>
    <row r="165" spans="1:91" x14ac:dyDescent="0.25">
      <c r="A165" s="33" t="s">
        <v>595</v>
      </c>
      <c r="B165" s="7">
        <v>4030</v>
      </c>
      <c r="C165" s="21" t="s">
        <v>193</v>
      </c>
      <c r="D165" s="21" t="s">
        <v>856</v>
      </c>
      <c r="E165" s="13">
        <v>42779.316932870373</v>
      </c>
      <c r="F165" s="13">
        <v>42779.318483796298</v>
      </c>
      <c r="G165" s="7">
        <v>1</v>
      </c>
      <c r="H165" s="21" t="s">
        <v>857</v>
      </c>
      <c r="I165" s="13">
        <v>42779.330046296294</v>
      </c>
      <c r="J165" s="7">
        <v>0</v>
      </c>
      <c r="K165" s="98" t="str">
        <f t="shared" si="46"/>
        <v>4029/4030</v>
      </c>
      <c r="L165" s="21" t="str">
        <f>VLOOKUP(A165,'Trips&amp;Operators'!$C$1:$G$99999,5,FALSE)</f>
        <v>ROCHA YAOTL</v>
      </c>
      <c r="M165" s="6">
        <f t="shared" si="47"/>
        <v>1.1562499996216502E-2</v>
      </c>
      <c r="N165" s="7">
        <f t="shared" si="65"/>
        <v>16.649999994551763</v>
      </c>
      <c r="O165" s="7"/>
      <c r="P165" s="7"/>
      <c r="Q165" s="22"/>
      <c r="R165" s="22"/>
      <c r="S165" s="31">
        <f t="shared" si="48"/>
        <v>1</v>
      </c>
      <c r="T165" s="46" t="str">
        <f t="shared" si="49"/>
        <v>Southbound</v>
      </c>
      <c r="U165" s="18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7" t="str">
        <f t="shared" si="50"/>
        <v>https://d0f6bd738d7f1b3e5a7ca70fe4ff75f0.us-east-1.aws.found.io/app/kibana#/discover/Steve-Slow-Train-Analysis-(2080s-and-2083s)?_g=(refreshInterval:(display:Off,pause:!f,section:0,value:0),time:(from:'2017-02-13T06:36:23-0700',mode:absolute,to:'2017-02-13T08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5" s="188" t="str">
        <f t="shared" si="51"/>
        <v>N</v>
      </c>
      <c r="X165" s="188">
        <f t="shared" si="66"/>
        <v>1</v>
      </c>
      <c r="Y165" s="62">
        <f t="shared" si="52"/>
        <v>5.8648999999999996</v>
      </c>
      <c r="Z165" s="62">
        <f t="shared" si="53"/>
        <v>6.9099999999999995E-2</v>
      </c>
      <c r="AA165" s="62">
        <f t="shared" si="54"/>
        <v>5.7957999999999998</v>
      </c>
      <c r="AB165" s="59" t="e">
        <f>VLOOKUP(A165,Enforcements!$C$7:$K$14,8,0)</f>
        <v>#N/A</v>
      </c>
      <c r="AC165" s="55" t="e">
        <f>VLOOKUP(A165,Enforcements!$C$7:$E$14,3,0)</f>
        <v>#N/A</v>
      </c>
      <c r="AD165" s="56" t="str">
        <f t="shared" si="55"/>
        <v>0808-13</v>
      </c>
      <c r="AE165" s="85" t="str">
        <f t="shared" si="56"/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AF165" s="82" t="str">
        <f t="shared" si="57"/>
        <v>"C:\Program Files (x86)\AstroGrep\AstroGrep.exe" /spath="%USERPROFILE%\AppData\Local\Temp\OnboardLogs" /stypes="app*4030*20170213*" /stext=" 14:.+((SYSTEM_STATE.+slice.+state.+changed )|(ment ac)|(multiple cpu faults)|(system.+state.+changed )|(\[timeout)|(PRM\|1\|D)|(kpr)|(kdp)|(\|lc)|(penalty))" /e /r /s</v>
      </c>
      <c r="AG165" s="1" t="str">
        <f t="shared" si="58"/>
        <v>NW</v>
      </c>
      <c r="AH165" s="86" t="str">
        <f t="shared" si="59"/>
        <v>"%USERPROFILE%\Documents\GitHub\eaglep3\Utilities\RefineRTDCRunTimes.py" --tripid 808-13 --locoid 4030 --swversion DE.1.0.8.0 --startMP 300:58649 --initTime 2017-02-13T07:36:23 --startdatetime 2017-02-13T07:38:37 --delay 1 --endMP 204:691 --enddatetime 2017-02-13T07:55:16 --enforcementcount 0 &gt;&gt;C:\Users\stu\Documents\GitHub\eaglep3-reporting\EC\2017-02-13-refined-times.txt</v>
      </c>
      <c r="AI165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{"issue":{"subject":"","project_id":79,"tracker_id":40,"status_id":1,"priority_id":2,"assigned_to_id":23,"start_date":"2017-02-13","description":"","custom_fields":[{"id":1,"name":"Subdivision","value":"NW"},{"id":4,"name":"Milepost","value":"0.0691"},{"id":17,"name":"Train ID","value":"808-13"},{"id":16,"name":"Locomotive ID","value":"4030"},{"id":130,"name":"Impact","value":""},{"id":150,"name":"Time of Event (Mountain Time)","value":"07:55:16"},{"id":151,"name":"Denver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1"/>
        <v>start /low /b %USERPROFILE%\Documents\GitHub\eaglep3\Utilities\DownloadLogsFromS3.py --loco 4030 --day 2017-02-13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"%USERPROFILE%\AppData\Local\Temp\OnboardLogs"\RTDC4030\*4030*20170213* | grep -SE "(Enforcement Action)|(\[TIMEOUT)|(CHR.+\|PRM\|1\|D.+(SWITCH|SIGNAL).+UNKNOWN)" - &gt;&gt; 2017-02-13-UncaughtWiMAX.txt</v>
      </c>
    </row>
    <row r="166" spans="1:91" x14ac:dyDescent="0.25">
      <c r="A166" s="33" t="s">
        <v>533</v>
      </c>
      <c r="B166" s="7">
        <v>4016</v>
      </c>
      <c r="C166" s="21" t="s">
        <v>193</v>
      </c>
      <c r="D166" s="21" t="s">
        <v>858</v>
      </c>
      <c r="E166" s="13">
        <v>42779.325254629628</v>
      </c>
      <c r="F166" s="13">
        <v>42779.327256944445</v>
      </c>
      <c r="G166" s="7">
        <v>1</v>
      </c>
      <c r="H166" s="21" t="s">
        <v>859</v>
      </c>
      <c r="I166" s="13">
        <v>42779.337048611109</v>
      </c>
      <c r="J166" s="7">
        <v>0</v>
      </c>
      <c r="K166" s="98" t="str">
        <f t="shared" si="46"/>
        <v>4015/4016</v>
      </c>
      <c r="L166" s="21" t="str">
        <f>VLOOKUP(A166,'Trips&amp;Operators'!$C$1:$G$99999,5,FALSE)</f>
        <v>DAVIS WENDY</v>
      </c>
      <c r="M166" s="6">
        <f t="shared" si="47"/>
        <v>9.7916666636592709E-3</v>
      </c>
      <c r="N166" s="7">
        <f t="shared" si="65"/>
        <v>14.09999999566935</v>
      </c>
      <c r="O166" s="7"/>
      <c r="P166" s="7"/>
      <c r="Q166" s="22"/>
      <c r="R166" s="22"/>
      <c r="S166" s="31">
        <f t="shared" si="48"/>
        <v>1</v>
      </c>
      <c r="T166" s="46" t="str">
        <f t="shared" si="49"/>
        <v>NorthBound</v>
      </c>
      <c r="U166" s="18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7" t="str">
        <f t="shared" si="50"/>
        <v>https://d0f6bd738d7f1b3e5a7ca70fe4ff75f0.us-east-1.aws.found.io/app/kibana#/discover/Steve-Slow-Train-Analysis-(2080s-and-2083s)?_g=(refreshInterval:(display:Off,pause:!f,section:0,value:0),time:(from:'2017-02-13T06:48:22-0700',mode:absolute,to:'2017-02-13T09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6" s="188" t="str">
        <f t="shared" si="51"/>
        <v>N</v>
      </c>
      <c r="X166" s="188">
        <f t="shared" si="66"/>
        <v>1</v>
      </c>
      <c r="Y166" s="62">
        <f t="shared" si="52"/>
        <v>9.01E-2</v>
      </c>
      <c r="Z166" s="62">
        <f t="shared" si="53"/>
        <v>5.9006999999999996</v>
      </c>
      <c r="AA166" s="62">
        <f t="shared" si="54"/>
        <v>5.8106</v>
      </c>
      <c r="AB166" s="59" t="e">
        <f>VLOOKUP(A166,Enforcements!$C$7:$K$14,8,0)</f>
        <v>#N/A</v>
      </c>
      <c r="AC166" s="55" t="e">
        <f>VLOOKUP(A166,Enforcements!$C$7:$E$14,3,0)</f>
        <v>#N/A</v>
      </c>
      <c r="AD166" s="56" t="str">
        <f t="shared" si="55"/>
        <v>0809-13</v>
      </c>
      <c r="AE166" s="85" t="str">
        <f t="shared" si="56"/>
        <v>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 &amp; 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</v>
      </c>
      <c r="AF166" s="82" t="str">
        <f t="shared" si="57"/>
        <v>"C:\Program Files (x86)\AstroGrep\AstroGrep.exe" /spath="%USERPROFILE%\AppData\Local\Temp\OnboardLogs" /stypes="app*4016*20170213*" /stext=" 15:.+((SYSTEM_STATE.+slice.+state.+changed )|(ment ac)|(multiple cpu faults)|(system.+state.+changed )|(\[timeout)|(PRM\|1\|D)|(kpr)|(kdp)|(\|lc)|(penalty))" /e /r /s</v>
      </c>
      <c r="AG166" s="1" t="str">
        <f t="shared" si="58"/>
        <v>NW</v>
      </c>
      <c r="AH166" s="86" t="str">
        <f t="shared" si="59"/>
        <v>"%USERPROFILE%\Documents\GitHub\eaglep3\Utilities\RefineRTDCRunTimes.py" --tripid 809-13 --locoid 4016 --swversion DE.1.0.8.0 --startMP 204:901 --initTime 2017-02-13T07:48:22 --startdatetime 2017-02-13T07:51:15 --delay 1 --endMP 300:59007 --enddatetime 2017-02-13T08:05:21 --enforcementcount 0 &gt;&gt;C:\Users\stu\Documents\GitHub\eaglep3-reporting\EC\2017-02-13-refined-times.txt</v>
      </c>
      <c r="AI166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{"issue":{"subject":"","project_id":79,"tracker_id":40,"status_id":1,"priority_id":2,"assigned_to_id":23,"start_date":"2017-02-13","description":"","custom_fields":[{"id":1,"name":"Subdivision","value":"NW"},{"id":4,"name":"Milepost","value":"5.9007"},{"id":17,"name":"Train ID","value":"809-13"},{"id":16,"name":"Locomotive ID","value":"4016"},{"id":130,"name":"Impact","value":""},{"id":150,"name":"Time of Event (Mountain Time)","value":"08:05:21"},{"id":151,"name":"Denver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1"/>
        <v>start /low /b %USERPROFILE%\Documents\GitHub\eaglep3\Utilities\DownloadLogsFromS3.py --loco 4016 --day 2017-02-13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"%USERPROFILE%\AppData\Local\Temp\OnboardLogs"\RTDC4016\*4016*20170213* | grep -SE "(Enforcement Action)|(\[TIMEOUT)|(CHR.+\|PRM\|1\|D.+(SWITCH|SIGNAL).+UNKNOWN)" - &gt;&gt; 2017-02-13-UncaughtWiMAX.txt</v>
      </c>
    </row>
    <row r="167" spans="1:91" x14ac:dyDescent="0.25">
      <c r="A167" s="33" t="s">
        <v>534</v>
      </c>
      <c r="B167" s="7">
        <v>4015</v>
      </c>
      <c r="C167" s="21" t="s">
        <v>193</v>
      </c>
      <c r="D167" s="21" t="s">
        <v>860</v>
      </c>
      <c r="E167" s="13">
        <v>42779.337997685187</v>
      </c>
      <c r="F167" s="13">
        <v>42779.339120370372</v>
      </c>
      <c r="G167" s="7">
        <v>1</v>
      </c>
      <c r="H167" s="21" t="s">
        <v>861</v>
      </c>
      <c r="I167" s="13">
        <v>42779.351076388892</v>
      </c>
      <c r="J167" s="7">
        <v>0</v>
      </c>
      <c r="K167" s="98" t="str">
        <f t="shared" si="46"/>
        <v>4015/4016</v>
      </c>
      <c r="L167" s="21" t="str">
        <f>VLOOKUP(A167,'Trips&amp;Operators'!$C$1:$G$99999,5,FALSE)</f>
        <v>DAVIS WENDY</v>
      </c>
      <c r="M167" s="6">
        <f t="shared" si="47"/>
        <v>1.1956018519413192E-2</v>
      </c>
      <c r="N167" s="7">
        <f t="shared" si="65"/>
        <v>17.216666667954996</v>
      </c>
      <c r="O167" s="7"/>
      <c r="P167" s="7"/>
      <c r="Q167" s="22"/>
      <c r="R167" s="22"/>
      <c r="S167" s="31">
        <f t="shared" si="48"/>
        <v>1</v>
      </c>
      <c r="T167" s="46" t="str">
        <f t="shared" si="49"/>
        <v>Southbound</v>
      </c>
      <c r="U167" s="18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7" t="str">
        <f t="shared" si="50"/>
        <v>https://d0f6bd738d7f1b3e5a7ca70fe4ff75f0.us-east-1.aws.found.io/app/kibana#/discover/Steve-Slow-Train-Analysis-(2080s-and-2083s)?_g=(refreshInterval:(display:Off,pause:!f,section:0,value:0),time:(from:'2017-02-13T07:06:43-0700',mode:absolute,to:'2017-02-13T09:25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7" s="188" t="str">
        <f t="shared" si="51"/>
        <v>N</v>
      </c>
      <c r="X167" s="188">
        <f t="shared" si="66"/>
        <v>1</v>
      </c>
      <c r="Y167" s="62">
        <f t="shared" si="52"/>
        <v>5.8692000000000002</v>
      </c>
      <c r="Z167" s="62">
        <f t="shared" si="53"/>
        <v>6.7799999999999999E-2</v>
      </c>
      <c r="AA167" s="62">
        <f t="shared" si="54"/>
        <v>5.8014000000000001</v>
      </c>
      <c r="AB167" s="59" t="e">
        <f>VLOOKUP(A167,Enforcements!$C$7:$K$14,8,0)</f>
        <v>#N/A</v>
      </c>
      <c r="AC167" s="55" t="e">
        <f>VLOOKUP(A167,Enforcements!$C$7:$E$14,3,0)</f>
        <v>#N/A</v>
      </c>
      <c r="AD167" s="56" t="str">
        <f t="shared" si="55"/>
        <v>0810-13</v>
      </c>
      <c r="AE167" s="85" t="str">
        <f t="shared" si="56"/>
        <v>aws s3 cp s3://rtdc.mdm.uploadarchive.raw/RTDC4015/ "%USERPROFILE%\AppData\Local\Temp\OnboardLogs"\RTDC4015\2017-02-13 --exclude "*" --recursive --include "*20170213*" &amp; "%USERPROFILE%\Documents\GitHub\mrs-test-scripts\Headless Mode &amp; Sideloading\WalkAndUnGZ.bat" "%USERPROFILE%\AppData\Local\Temp\OnboardLogs"\RTDC4015\2017-02-13 &amp; 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</v>
      </c>
      <c r="AF167" s="82" t="str">
        <f t="shared" si="57"/>
        <v>"C:\Program Files (x86)\AstroGrep\AstroGrep.exe" /spath="%USERPROFILE%\AppData\Local\Temp\OnboardLogs" /stypes="app*4015*20170213*" /stext=" 15:.+((SYSTEM_STATE.+slice.+state.+changed )|(ment ac)|(multiple cpu faults)|(system.+state.+changed )|(\[timeout)|(PRM\|1\|D)|(kpr)|(kdp)|(\|lc)|(penalty))" /e /r /s</v>
      </c>
      <c r="AG167" s="1" t="str">
        <f t="shared" si="58"/>
        <v>NW</v>
      </c>
      <c r="AH167" s="86" t="str">
        <f t="shared" si="59"/>
        <v>"%USERPROFILE%\Documents\GitHub\eaglep3\Utilities\RefineRTDCRunTimes.py" --tripid 810-13 --locoid 4015 --swversion DE.1.0.8.0 --startMP 300:58692 --initTime 2017-02-13T08:06:43 --startdatetime 2017-02-13T08:08:20 --delay 1 --endMP 204:678 --enddatetime 2017-02-13T08:25:33 --enforcementcount 0 &gt;&gt;C:\Users\stu\Documents\GitHub\eaglep3-reporting\EC\2017-02-13-refined-times.txt</v>
      </c>
      <c r="AI167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{"issue":{"subject":"","project_id":79,"tracker_id":40,"status_id":1,"priority_id":2,"assigned_to_id":23,"start_date":"2017-02-13","description":"","custom_fields":[{"id":1,"name":"Subdivision","value":"NW"},{"id":4,"name":"Milepost","value":"0.0678"},{"id":17,"name":"Train ID","value":"810-13"},{"id":16,"name":"Locomotive ID","value":"4015"},{"id":130,"name":"Impact","value":""},{"id":150,"name":"Time of Event (Mountain Time)","value":"08:25:33"},{"id":151,"name":"Denver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1"/>
        <v>start /low /b %USERPROFILE%\Documents\GitHub\eaglep3\Utilities\DownloadLogsFromS3.py --loco 4015 --day 2017-02-13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"%USERPROFILE%\AppData\Local\Temp\OnboardLogs"\RTDC4015\*4015*20170213* | grep -SE "(Enforcement Action)|(\[TIMEOUT)|(CHR.+\|PRM\|1\|D.+(SWITCH|SIGNAL).+UNKNOWN)" - &gt;&gt; 2017-02-13-UncaughtWiMAX.txt</v>
      </c>
    </row>
    <row r="168" spans="1:91" x14ac:dyDescent="0.25">
      <c r="A168" s="33" t="s">
        <v>600</v>
      </c>
      <c r="B168" s="7">
        <v>4029</v>
      </c>
      <c r="C168" s="21" t="s">
        <v>193</v>
      </c>
      <c r="D168" s="21" t="s">
        <v>862</v>
      </c>
      <c r="E168" s="13">
        <v>42779.345219907409</v>
      </c>
      <c r="F168" s="13">
        <v>42779.348252314812</v>
      </c>
      <c r="G168" s="7">
        <v>1</v>
      </c>
      <c r="H168" s="21" t="s">
        <v>863</v>
      </c>
      <c r="I168" s="13">
        <v>42779.357592592591</v>
      </c>
      <c r="J168" s="7">
        <v>0</v>
      </c>
      <c r="K168" s="98" t="str">
        <f t="shared" si="46"/>
        <v>4029/4030</v>
      </c>
      <c r="L168" s="21" t="str">
        <f>VLOOKUP(A168,'Trips&amp;Operators'!$C$1:$G$99999,5,FALSE)</f>
        <v>ROCHA YAOTL</v>
      </c>
      <c r="M168" s="6">
        <f t="shared" si="47"/>
        <v>9.340277778392192E-3</v>
      </c>
      <c r="N168" s="7">
        <f t="shared" si="65"/>
        <v>13.450000000884756</v>
      </c>
      <c r="O168" s="7"/>
      <c r="P168" s="7"/>
      <c r="Q168" s="22"/>
      <c r="R168" s="22"/>
      <c r="S168" s="31">
        <f t="shared" si="48"/>
        <v>1</v>
      </c>
      <c r="T168" s="46" t="str">
        <f t="shared" si="49"/>
        <v>NorthBound</v>
      </c>
      <c r="U168" s="18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7" t="str">
        <f t="shared" si="50"/>
        <v>https://d0f6bd738d7f1b3e5a7ca70fe4ff75f0.us-east-1.aws.found.io/app/kibana#/discover/Steve-Slow-Train-Analysis-(2080s-and-2083s)?_g=(refreshInterval:(display:Off,pause:!f,section:0,value:0),time:(from:'2017-02-13T07:17:07-0700',mode:absolute,to:'2017-02-13T09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8" s="188" t="str">
        <f t="shared" si="51"/>
        <v>N</v>
      </c>
      <c r="X168" s="188">
        <f t="shared" si="66"/>
        <v>1</v>
      </c>
      <c r="Y168" s="62">
        <f t="shared" si="52"/>
        <v>9.7199999999999995E-2</v>
      </c>
      <c r="Z168" s="62">
        <f t="shared" si="53"/>
        <v>5.8959999999999999</v>
      </c>
      <c r="AA168" s="62">
        <f t="shared" si="54"/>
        <v>5.7988</v>
      </c>
      <c r="AB168" s="59" t="e">
        <f>VLOOKUP(A168,Enforcements!$C$7:$K$14,8,0)</f>
        <v>#N/A</v>
      </c>
      <c r="AC168" s="55" t="e">
        <f>VLOOKUP(A168,Enforcements!$C$7:$E$14,3,0)</f>
        <v>#N/A</v>
      </c>
      <c r="AD168" s="56" t="str">
        <f t="shared" si="55"/>
        <v>0811-13</v>
      </c>
      <c r="AE168" s="85" t="str">
        <f t="shared" si="56"/>
        <v>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 &amp; 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</v>
      </c>
      <c r="AF168" s="82" t="str">
        <f t="shared" si="57"/>
        <v>"C:\Program Files (x86)\AstroGrep\AstroGrep.exe" /spath="%USERPROFILE%\AppData\Local\Temp\OnboardLogs" /stypes="app*4029*20170213*" /stext=" 15:.+((SYSTEM_STATE.+slice.+state.+changed )|(ment ac)|(multiple cpu faults)|(system.+state.+changed )|(\[timeout)|(PRM\|1\|D)|(kpr)|(kdp)|(\|lc)|(penalty))" /e /r /s</v>
      </c>
      <c r="AG168" s="1" t="str">
        <f t="shared" si="58"/>
        <v>NW</v>
      </c>
      <c r="AH168" s="86" t="str">
        <f t="shared" si="59"/>
        <v>"%USERPROFILE%\Documents\GitHub\eaglep3\Utilities\RefineRTDCRunTimes.py" --tripid 811-13 --locoid 4029 --swversion DE.1.0.8.0 --startMP 204:972 --initTime 2017-02-13T08:17:07 --startdatetime 2017-02-13T08:21:29 --delay 1 --endMP 300:58960 --enddatetime 2017-02-13T08:34:56 --enforcementcount 0 &gt;&gt;C:\Users\stu\Documents\GitHub\eaglep3-reporting\EC\2017-02-13-refined-times.txt</v>
      </c>
      <c r="AI168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{"issue":{"subject":"","project_id":79,"tracker_id":40,"status_id":1,"priority_id":2,"assigned_to_id":23,"start_date":"2017-02-13","description":"","custom_fields":[{"id":1,"name":"Subdivision","value":"NW"},{"id":4,"name":"Milepost","value":"5.896"},{"id":17,"name":"Train ID","value":"811-13"},{"id":16,"name":"Locomotive ID","value":"4029"},{"id":130,"name":"Impact","value":""},{"id":150,"name":"Time of Event (Mountain Time)","value":"08:34:56"},{"id":151,"name":"Denver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1"/>
        <v>start /low /b %USERPROFILE%\Documents\GitHub\eaglep3\Utilities\DownloadLogsFromS3.py --loco 4029 --day 2017-02-13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"%USERPROFILE%\AppData\Local\Temp\OnboardLogs"\RTDC4029\*4029*20170213* | grep -SE "(Enforcement Action)|(\[TIMEOUT)|(CHR.+\|PRM\|1\|D.+(SWITCH|SIGNAL).+UNKNOWN)" - &gt;&gt; 2017-02-13-UncaughtWiMAX.txt</v>
      </c>
    </row>
    <row r="169" spans="1:91" s="20" customFormat="1" x14ac:dyDescent="0.25">
      <c r="A169" s="33" t="s">
        <v>605</v>
      </c>
      <c r="B169" s="7">
        <v>4030</v>
      </c>
      <c r="C169" s="21" t="s">
        <v>193</v>
      </c>
      <c r="D169" s="21" t="s">
        <v>864</v>
      </c>
      <c r="E169" s="13">
        <v>42779.358796296299</v>
      </c>
      <c r="F169" s="13">
        <v>42779.360393518517</v>
      </c>
      <c r="G169" s="7">
        <v>1</v>
      </c>
      <c r="H169" s="21" t="s">
        <v>865</v>
      </c>
      <c r="I169" s="13">
        <v>42779.371331018519</v>
      </c>
      <c r="J169" s="7">
        <v>0</v>
      </c>
      <c r="K169" s="98" t="str">
        <f t="shared" si="46"/>
        <v>4029/4030</v>
      </c>
      <c r="L169" s="21" t="str">
        <f>VLOOKUP(A169,'Trips&amp;Operators'!$C$1:$G$99999,5,FALSE)</f>
        <v>ROCHA YAOTL</v>
      </c>
      <c r="M169" s="6">
        <f t="shared" si="47"/>
        <v>1.0937500002910383E-2</v>
      </c>
      <c r="N169" s="7">
        <f t="shared" si="65"/>
        <v>15.750000004190952</v>
      </c>
      <c r="O169" s="7"/>
      <c r="P169" s="7"/>
      <c r="Q169" s="22"/>
      <c r="R169" s="22"/>
      <c r="S169" s="31">
        <f t="shared" si="48"/>
        <v>1</v>
      </c>
      <c r="T169" s="46" t="str">
        <f t="shared" si="49"/>
        <v>Southbound</v>
      </c>
      <c r="U169" s="18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7" t="str">
        <f t="shared" si="50"/>
        <v>https://d0f6bd738d7f1b3e5a7ca70fe4ff75f0.us-east-1.aws.found.io/app/kibana#/discover/Steve-Slow-Train-Analysis-(2080s-and-2083s)?_g=(refreshInterval:(display:Off,pause:!f,section:0,value:0),time:(from:'2017-02-13T07:36:40-0700',mode:absolute,to:'2017-02-13T09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9" s="188" t="str">
        <f t="shared" si="51"/>
        <v>N</v>
      </c>
      <c r="X169" s="188">
        <f t="shared" si="66"/>
        <v>1</v>
      </c>
      <c r="Y169" s="62">
        <f t="shared" si="52"/>
        <v>5.8639999999999999</v>
      </c>
      <c r="Z169" s="62">
        <f t="shared" si="53"/>
        <v>6.0999999999999999E-2</v>
      </c>
      <c r="AA169" s="62">
        <f t="shared" si="54"/>
        <v>5.8029999999999999</v>
      </c>
      <c r="AB169" s="59" t="e">
        <f>VLOOKUP(A169,Enforcements!$C$7:$K$14,8,0)</f>
        <v>#N/A</v>
      </c>
      <c r="AC169" s="55" t="e">
        <f>VLOOKUP(A169,Enforcements!$C$7:$E$14,3,0)</f>
        <v>#N/A</v>
      </c>
      <c r="AD169" s="56" t="str">
        <f t="shared" si="55"/>
        <v>0812-13</v>
      </c>
      <c r="AE169" s="85" t="str">
        <f t="shared" si="56"/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AF169" s="82" t="str">
        <f t="shared" si="57"/>
        <v>"C:\Program Files (x86)\AstroGrep\AstroGrep.exe" /spath="%USERPROFILE%\AppData\Local\Temp\OnboardLogs" /stypes="app*4030*20170213*" /stext=" 15:.+((SYSTEM_STATE.+slice.+state.+changed )|(ment ac)|(multiple cpu faults)|(system.+state.+changed )|(\[timeout)|(PRM\|1\|D)|(kpr)|(kdp)|(\|lc)|(penalty))" /e /r /s</v>
      </c>
      <c r="AG169" s="1" t="str">
        <f t="shared" si="58"/>
        <v>NW</v>
      </c>
      <c r="AH169" s="86" t="str">
        <f t="shared" si="59"/>
        <v>"%USERPROFILE%\Documents\GitHub\eaglep3\Utilities\RefineRTDCRunTimes.py" --tripid 812-13 --locoid 4030 --swversion DE.1.0.8.0 --startMP 300:58640 --initTime 2017-02-13T08:36:40 --startdatetime 2017-02-13T08:38:58 --delay 1 --endMP 204:610 --enddatetime 2017-02-13T08:54:43 --enforcementcount 0 &gt;&gt;C:\Users\stu\Documents\GitHub\eaglep3-reporting\EC\2017-02-13-refined-times.txt</v>
      </c>
      <c r="AI169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{"issue":{"subject":"","project_id":79,"tracker_id":40,"status_id":1,"priority_id":2,"assigned_to_id":23,"start_date":"2017-02-13","description":"","custom_fields":[{"id":1,"name":"Subdivision","value":"NW"},{"id":4,"name":"Milepost","value":"0.061"},{"id":17,"name":"Train ID","value":"812-13"},{"id":16,"name":"Locomotive ID","value":"4030"},{"id":130,"name":"Impact","value":""},{"id":150,"name":"Time of Event (Mountain Time)","value":"08:54:43"},{"id":151,"name":"Denver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1"/>
        <v>start /low /b %USERPROFILE%\Documents\GitHub\eaglep3\Utilities\DownloadLogsFromS3.py --loco 4030 --day 2017-02-13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"%USERPROFILE%\AppData\Local\Temp\OnboardLogs"\RTDC4030\*4030*20170213* | grep -SE "(Enforcement Action)|(\[TIMEOUT)|(CHR.+\|PRM\|1\|D.+(SWITCH|SIGNAL).+UNKNOWN)" - &gt;&gt; 2017-02-13-UncaughtWiMAX.txt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610</v>
      </c>
      <c r="B170" s="7">
        <v>4029</v>
      </c>
      <c r="C170" s="21" t="s">
        <v>193</v>
      </c>
      <c r="D170" s="21" t="s">
        <v>866</v>
      </c>
      <c r="E170" s="13">
        <v>42779.379432870373</v>
      </c>
      <c r="F170" s="13">
        <v>42779.389768518522</v>
      </c>
      <c r="G170" s="7">
        <v>1</v>
      </c>
      <c r="H170" s="21" t="s">
        <v>867</v>
      </c>
      <c r="I170" s="13">
        <v>42779.399050925924</v>
      </c>
      <c r="J170" s="7">
        <v>0</v>
      </c>
      <c r="K170" s="98" t="str">
        <f t="shared" si="46"/>
        <v>4029/4030</v>
      </c>
      <c r="L170" s="21" t="str">
        <f>VLOOKUP(A170,'Trips&amp;Operators'!$C$1:$G$99999,5,FALSE)</f>
        <v>ROCHA YAOTL</v>
      </c>
      <c r="M170" s="6">
        <f t="shared" si="47"/>
        <v>9.2824074017698877E-3</v>
      </c>
      <c r="N170" s="7">
        <f t="shared" si="65"/>
        <v>13.366666658548638</v>
      </c>
      <c r="O170" s="7"/>
      <c r="P170" s="7"/>
      <c r="Q170" s="22"/>
      <c r="R170" s="22"/>
      <c r="S170" s="31">
        <f t="shared" si="48"/>
        <v>1</v>
      </c>
      <c r="T170" s="46" t="str">
        <f t="shared" si="49"/>
        <v>NorthBound</v>
      </c>
      <c r="U170" s="18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7" t="str">
        <f t="shared" si="50"/>
        <v>https://d0f6bd738d7f1b3e5a7ca70fe4ff75f0.us-east-1.aws.found.io/app/kibana#/discover/Steve-Slow-Train-Analysis-(2080s-and-2083s)?_g=(refreshInterval:(display:Off,pause:!f,section:0,value:0),time:(from:'2017-02-13T08:06:23-0700',mode:absolute,to:'2017-02-13T10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0" s="188" t="str">
        <f t="shared" si="51"/>
        <v>N</v>
      </c>
      <c r="X170" s="188">
        <f t="shared" si="66"/>
        <v>1</v>
      </c>
      <c r="Y170" s="62">
        <f t="shared" si="52"/>
        <v>9.5500000000000002E-2</v>
      </c>
      <c r="Z170" s="62">
        <f t="shared" si="53"/>
        <v>5.8960999999999997</v>
      </c>
      <c r="AA170" s="62">
        <f t="shared" si="54"/>
        <v>5.8005999999999993</v>
      </c>
      <c r="AB170" s="59" t="e">
        <f>VLOOKUP(A170,Enforcements!$C$7:$K$14,8,0)</f>
        <v>#N/A</v>
      </c>
      <c r="AC170" s="55" t="e">
        <f>VLOOKUP(A170,Enforcements!$C$7:$E$14,3,0)</f>
        <v>#N/A</v>
      </c>
      <c r="AD170" s="56" t="str">
        <f t="shared" si="55"/>
        <v>0813-13</v>
      </c>
      <c r="AE170" s="85" t="str">
        <f t="shared" si="56"/>
        <v>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 &amp; 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</v>
      </c>
      <c r="AF170" s="82" t="str">
        <f t="shared" si="57"/>
        <v>"C:\Program Files (x86)\AstroGrep\AstroGrep.exe" /spath="%USERPROFILE%\AppData\Local\Temp\OnboardLogs" /stypes="app*4029*20170213*" /stext=" 16:.+((SYSTEM_STATE.+slice.+state.+changed )|(ment ac)|(multiple cpu faults)|(system.+state.+changed )|(\[timeout)|(PRM\|1\|D)|(kpr)|(kdp)|(\|lc)|(penalty))" /e /r /s</v>
      </c>
      <c r="AG170" s="1" t="str">
        <f t="shared" si="58"/>
        <v>NW</v>
      </c>
      <c r="AH170" s="86" t="str">
        <f t="shared" si="59"/>
        <v>"%USERPROFILE%\Documents\GitHub\eaglep3\Utilities\RefineRTDCRunTimes.py" --tripid 813-13 --locoid 4029 --swversion DE.1.0.8.0 --startMP 204:955 --initTime 2017-02-13T09:06:23 --startdatetime 2017-02-13T09:21:16 --delay 1 --endMP 300:58961 --enddatetime 2017-02-13T09:34:38 --enforcementcount 0 &gt;&gt;C:\Users\stu\Documents\GitHub\eaglep3-reporting\EC\2017-02-13-refined-times.txt</v>
      </c>
      <c r="AI170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{"issue":{"subject":"","project_id":79,"tracker_id":40,"status_id":1,"priority_id":2,"assigned_to_id":23,"start_date":"2017-02-13","description":"","custom_fields":[{"id":1,"name":"Subdivision","value":"NW"},{"id":4,"name":"Milepost","value":"5.8961"},{"id":17,"name":"Train ID","value":"813-13"},{"id":16,"name":"Locomotive ID","value":"4029"},{"id":130,"name":"Impact","value":""},{"id":150,"name":"Time of Event (Mountain Time)","value":"09:34:38"},{"id":151,"name":"Denver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1"/>
        <v>start /low /b %USERPROFILE%\Documents\GitHub\eaglep3\Utilities\DownloadLogsFromS3.py --loco 4029 --day 2017-02-13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"%USERPROFILE%\AppData\Local\Temp\OnboardLogs"\RTDC4029\*4029*20170213* | grep -SE "(Enforcement Action)|(\[TIMEOUT)|(CHR.+\|PRM\|1\|D.+(SWITCH|SIGNAL).+UNKNOWN)" - &gt;&gt; 2017-02-13-UncaughtWiMAX.txt</v>
      </c>
    </row>
    <row r="171" spans="1:91" x14ac:dyDescent="0.25">
      <c r="A171" s="33" t="s">
        <v>536</v>
      </c>
      <c r="B171" s="7">
        <v>4030</v>
      </c>
      <c r="C171" s="21" t="s">
        <v>193</v>
      </c>
      <c r="D171" s="21" t="s">
        <v>868</v>
      </c>
      <c r="E171" s="13">
        <v>42779.400717592594</v>
      </c>
      <c r="F171" s="13">
        <v>42779.402326388888</v>
      </c>
      <c r="G171" s="7">
        <v>1</v>
      </c>
      <c r="H171" s="21" t="s">
        <v>869</v>
      </c>
      <c r="I171" s="13">
        <v>42779.413599537038</v>
      </c>
      <c r="J171" s="7">
        <v>0</v>
      </c>
      <c r="K171" s="98" t="str">
        <f t="shared" si="46"/>
        <v>4029/4030</v>
      </c>
      <c r="L171" s="21" t="str">
        <f>VLOOKUP(A171,'Trips&amp;Operators'!$C$1:$G$99999,5,FALSE)</f>
        <v>ROCHA YAOTL</v>
      </c>
      <c r="M171" s="6">
        <f t="shared" si="47"/>
        <v>1.1273148149484769E-2</v>
      </c>
      <c r="N171" s="7">
        <f t="shared" si="65"/>
        <v>16.233333335258067</v>
      </c>
      <c r="O171" s="7"/>
      <c r="P171" s="7"/>
      <c r="Q171" s="22"/>
      <c r="R171" s="22"/>
      <c r="S171" s="31">
        <f t="shared" si="48"/>
        <v>1</v>
      </c>
      <c r="T171" s="46" t="str">
        <f t="shared" si="49"/>
        <v>Southbound</v>
      </c>
      <c r="U171" s="18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7" t="str">
        <f t="shared" si="50"/>
        <v>https://d0f6bd738d7f1b3e5a7ca70fe4ff75f0.us-east-1.aws.found.io/app/kibana#/discover/Steve-Slow-Train-Analysis-(2080s-and-2083s)?_g=(refreshInterval:(display:Off,pause:!f,section:0,value:0),time:(from:'2017-02-13T08:37:02-0700',mode:absolute,to:'2017-02-13T10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1" s="188" t="str">
        <f t="shared" si="51"/>
        <v>N</v>
      </c>
      <c r="X171" s="188">
        <f t="shared" si="66"/>
        <v>1</v>
      </c>
      <c r="Y171" s="62">
        <f t="shared" si="52"/>
        <v>5.8653000000000004</v>
      </c>
      <c r="Z171" s="62">
        <f t="shared" si="53"/>
        <v>6.5199999999999994E-2</v>
      </c>
      <c r="AA171" s="62">
        <f t="shared" si="54"/>
        <v>5.8001000000000005</v>
      </c>
      <c r="AB171" s="59" t="e">
        <f>VLOOKUP(A171,Enforcements!$C$7:$K$14,8,0)</f>
        <v>#N/A</v>
      </c>
      <c r="AC171" s="55" t="e">
        <f>VLOOKUP(A171,Enforcements!$C$7:$E$14,3,0)</f>
        <v>#N/A</v>
      </c>
      <c r="AD171" s="56" t="str">
        <f t="shared" si="55"/>
        <v>0814-13</v>
      </c>
      <c r="AE171" s="85" t="str">
        <f t="shared" si="56"/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AF171" s="82" t="str">
        <f t="shared" si="57"/>
        <v>"C:\Program Files (x86)\AstroGrep\AstroGrep.exe" /spath="%USERPROFILE%\AppData\Local\Temp\OnboardLogs" /stypes="app*4030*20170213*" /stext=" 16:.+((SYSTEM_STATE.+slice.+state.+changed )|(ment ac)|(multiple cpu faults)|(system.+state.+changed )|(\[timeout)|(PRM\|1\|D)|(kpr)|(kdp)|(\|lc)|(penalty))" /e /r /s</v>
      </c>
      <c r="AG171" s="1" t="str">
        <f t="shared" si="58"/>
        <v>NW</v>
      </c>
      <c r="AH171" s="86" t="str">
        <f t="shared" si="59"/>
        <v>"%USERPROFILE%\Documents\GitHub\eaglep3\Utilities\RefineRTDCRunTimes.py" --tripid 814-13 --locoid 4030 --swversion DE.1.0.8.0 --startMP 300:58653 --initTime 2017-02-13T09:37:02 --startdatetime 2017-02-13T09:39:21 --delay 1 --endMP 204:652 --enddatetime 2017-02-13T09:55:35 --enforcementcount 0 &gt;&gt;C:\Users\stu\Documents\GitHub\eaglep3-reporting\EC\2017-02-13-refined-times.txt</v>
      </c>
      <c r="AI171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{"issue":{"subject":"","project_id":79,"tracker_id":40,"status_id":1,"priority_id":2,"assigned_to_id":23,"start_date":"2017-02-13","description":"","custom_fields":[{"id":1,"name":"Subdivision","value":"NW"},{"id":4,"name":"Milepost","value":"0.0652"},{"id":17,"name":"Train ID","value":"814-13"},{"id":16,"name":"Locomotive ID","value":"4030"},{"id":130,"name":"Impact","value":""},{"id":150,"name":"Time of Event (Mountain Time)","value":"09:55:35"},{"id":151,"name":"Denver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1"/>
        <v>start /low /b %USERPROFILE%\Documents\GitHub\eaglep3\Utilities\DownloadLogsFromS3.py --loco 4030 --day 2017-02-13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"%USERPROFILE%\AppData\Local\Temp\OnboardLogs"\RTDC4030\*4030*20170213* | grep -SE "(Enforcement Action)|(\[TIMEOUT)|(CHR.+\|PRM\|1\|D.+(SWITCH|SIGNAL).+UNKNOWN)" - &gt;&gt; 2017-02-13-UncaughtWiMAX.txt</v>
      </c>
    </row>
    <row r="172" spans="1:91" x14ac:dyDescent="0.25">
      <c r="A172" s="33" t="s">
        <v>620</v>
      </c>
      <c r="B172" s="7">
        <v>4029</v>
      </c>
      <c r="C172" s="21" t="s">
        <v>193</v>
      </c>
      <c r="D172" s="21" t="s">
        <v>870</v>
      </c>
      <c r="E172" s="13">
        <v>42779.430381944447</v>
      </c>
      <c r="F172" s="13">
        <v>42779.431539351855</v>
      </c>
      <c r="G172" s="7">
        <v>0</v>
      </c>
      <c r="H172" s="21" t="s">
        <v>504</v>
      </c>
      <c r="I172" s="13">
        <v>42779.441400462965</v>
      </c>
      <c r="J172" s="7">
        <v>0</v>
      </c>
      <c r="K172" s="98" t="str">
        <f t="shared" si="46"/>
        <v>4029/4030</v>
      </c>
      <c r="L172" s="21" t="str">
        <f>VLOOKUP(A172,'Trips&amp;Operators'!$C$1:$G$99999,5,FALSE)</f>
        <v>ROCHA YAOTL</v>
      </c>
      <c r="M172" s="6">
        <f t="shared" si="47"/>
        <v>9.8611111097852699E-3</v>
      </c>
      <c r="N172" s="7">
        <f t="shared" si="65"/>
        <v>14.199999998090789</v>
      </c>
      <c r="O172" s="7"/>
      <c r="P172" s="7"/>
      <c r="Q172" s="22"/>
      <c r="R172" s="22"/>
      <c r="S172" s="31">
        <f t="shared" si="48"/>
        <v>1</v>
      </c>
      <c r="T172" s="46" t="str">
        <f t="shared" si="49"/>
        <v>NorthBound</v>
      </c>
      <c r="U172" s="18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7" t="str">
        <f t="shared" si="50"/>
        <v>https://d0f6bd738d7f1b3e5a7ca70fe4ff75f0.us-east-1.aws.found.io/app/kibana#/discover/Steve-Slow-Train-Analysis-(2080s-and-2083s)?_g=(refreshInterval:(display:Off,pause:!f,section:0,value:0),time:(from:'2017-02-13T09:19:45-0700',mode:absolute,to:'2017-02-13T11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2" s="188" t="str">
        <f t="shared" si="51"/>
        <v>N</v>
      </c>
      <c r="X172" s="188">
        <f t="shared" si="66"/>
        <v>1</v>
      </c>
      <c r="Y172" s="62">
        <f t="shared" si="52"/>
        <v>9.5100000000000004E-2</v>
      </c>
      <c r="Z172" s="62">
        <f t="shared" si="53"/>
        <v>5.8935000000000004</v>
      </c>
      <c r="AA172" s="62">
        <f t="shared" si="54"/>
        <v>5.7984</v>
      </c>
      <c r="AB172" s="59" t="e">
        <f>VLOOKUP(A172,Enforcements!$C$7:$K$14,8,0)</f>
        <v>#N/A</v>
      </c>
      <c r="AC172" s="55" t="e">
        <f>VLOOKUP(A172,Enforcements!$C$7:$E$14,3,0)</f>
        <v>#N/A</v>
      </c>
      <c r="AD172" s="56" t="str">
        <f t="shared" si="55"/>
        <v>0815-13</v>
      </c>
      <c r="AE172" s="85" t="str">
        <f t="shared" si="56"/>
        <v>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 &amp; 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</v>
      </c>
      <c r="AF172" s="82" t="str">
        <f t="shared" si="57"/>
        <v>"C:\Program Files (x86)\AstroGrep\AstroGrep.exe" /spath="%USERPROFILE%\AppData\Local\Temp\OnboardLogs" /stypes="app*4029*20170213*" /stext=" 17:.+((SYSTEM_STATE.+slice.+state.+changed )|(ment ac)|(multiple cpu faults)|(system.+state.+changed )|(\[timeout)|(PRM\|1\|D)|(kpr)|(kdp)|(\|lc)|(penalty))" /e /r /s</v>
      </c>
      <c r="AG172" s="1" t="str">
        <f t="shared" si="58"/>
        <v>NW</v>
      </c>
      <c r="AH172" s="86" t="str">
        <f t="shared" si="59"/>
        <v>"%USERPROFILE%\Documents\GitHub\eaglep3\Utilities\RefineRTDCRunTimes.py" --tripid 815-13 --locoid 4029 --swversion DE.1.0.8.0 --startMP 204:951 --initTime 2017-02-13T10:19:45 --startdatetime 2017-02-13T10:21:25 --delay 0 --endMP 300:58935 --enddatetime 2017-02-13T10:35:37 --enforcementcount 0 &gt;&gt;C:\Users\stu\Documents\GitHub\eaglep3-reporting\EC\2017-02-13-refined-times.txt</v>
      </c>
      <c r="AI172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{"issue":{"subject":"","project_id":79,"tracker_id":40,"status_id":1,"priority_id":2,"assigned_to_id":23,"start_date":"2017-02-13","description":"","custom_fields":[{"id":1,"name":"Subdivision","value":"NW"},{"id":4,"name":"Milepost","value":"5.8935"},{"id":17,"name":"Train ID","value":"815-13"},{"id":16,"name":"Locomotive ID","value":"4029"},{"id":130,"name":"Impact","value":""},{"id":150,"name":"Time of Event (Mountain Time)","value":"10:35:37"},{"id":151,"name":"Denver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1"/>
        <v>start /low /b %USERPROFILE%\Documents\GitHub\eaglep3\Utilities\DownloadLogsFromS3.py --loco 4029 --day 2017-02-13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"%USERPROFILE%\AppData\Local\Temp\OnboardLogs"\RTDC4029\*4029*20170213* | grep -SE "(Enforcement Action)|(\[TIMEOUT)|(CHR.+\|PRM\|1\|D.+(SWITCH|SIGNAL).+UNKNOWN)" - &gt;&gt; 2017-02-13-UncaughtWiMAX.txt</v>
      </c>
    </row>
    <row r="173" spans="1:91" s="20" customFormat="1" x14ac:dyDescent="0.25">
      <c r="A173" s="33" t="s">
        <v>625</v>
      </c>
      <c r="B173" s="7">
        <v>4030</v>
      </c>
      <c r="C173" s="21" t="s">
        <v>193</v>
      </c>
      <c r="D173" s="21" t="s">
        <v>502</v>
      </c>
      <c r="E173" s="13">
        <v>42779.44327546296</v>
      </c>
      <c r="F173" s="13">
        <v>42779.444756944446</v>
      </c>
      <c r="G173" s="7">
        <v>1</v>
      </c>
      <c r="H173" s="21" t="s">
        <v>853</v>
      </c>
      <c r="I173" s="13">
        <v>42779.454861111109</v>
      </c>
      <c r="J173" s="7">
        <v>0</v>
      </c>
      <c r="K173" s="98" t="str">
        <f t="shared" si="46"/>
        <v>4029/4030</v>
      </c>
      <c r="L173" s="21" t="str">
        <f>VLOOKUP(A173,'Trips&amp;Operators'!$C$1:$G$99999,5,FALSE)</f>
        <v>ROCHA YAOTL</v>
      </c>
      <c r="M173" s="6">
        <f t="shared" si="47"/>
        <v>1.0104166663950309E-2</v>
      </c>
      <c r="N173" s="7">
        <f t="shared" si="65"/>
        <v>14.549999996088445</v>
      </c>
      <c r="O173" s="7"/>
      <c r="P173" s="7"/>
      <c r="Q173" s="22"/>
      <c r="R173" s="22"/>
      <c r="S173" s="31">
        <f t="shared" si="48"/>
        <v>1</v>
      </c>
      <c r="T173" s="46" t="str">
        <f t="shared" si="49"/>
        <v>Southbound</v>
      </c>
      <c r="U173" s="18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7" t="str">
        <f t="shared" si="50"/>
        <v>https://d0f6bd738d7f1b3e5a7ca70fe4ff75f0.us-east-1.aws.found.io/app/kibana#/discover/Steve-Slow-Train-Analysis-(2080s-and-2083s)?_g=(refreshInterval:(display:Off,pause:!f,section:0,value:0),time:(from:'2017-02-13T09:38:19-0700',mode:absolute,to:'2017-02-13T11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3" s="188" t="str">
        <f t="shared" si="51"/>
        <v>N</v>
      </c>
      <c r="X173" s="188">
        <f t="shared" si="66"/>
        <v>1</v>
      </c>
      <c r="Y173" s="62">
        <f t="shared" si="52"/>
        <v>5.8624000000000001</v>
      </c>
      <c r="Z173" s="62">
        <f t="shared" si="53"/>
        <v>6.4699999999999994E-2</v>
      </c>
      <c r="AA173" s="62">
        <f t="shared" si="54"/>
        <v>5.7976999999999999</v>
      </c>
      <c r="AB173" s="59" t="e">
        <f>VLOOKUP(A173,Enforcements!$C$7:$K$14,8,0)</f>
        <v>#N/A</v>
      </c>
      <c r="AC173" s="55" t="e">
        <f>VLOOKUP(A173,Enforcements!$C$7:$E$14,3,0)</f>
        <v>#N/A</v>
      </c>
      <c r="AD173" s="56" t="str">
        <f t="shared" si="55"/>
        <v>0816-13</v>
      </c>
      <c r="AE173" s="85" t="str">
        <f t="shared" si="56"/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AF173" s="82" t="str">
        <f t="shared" si="57"/>
        <v>"C:\Program Files (x86)\AstroGrep\AstroGrep.exe" /spath="%USERPROFILE%\AppData\Local\Temp\OnboardLogs" /stypes="app*4030*20170213*" /stext=" 17:.+((SYSTEM_STATE.+slice.+state.+changed )|(ment ac)|(multiple cpu faults)|(system.+state.+changed )|(\[timeout)|(PRM\|1\|D)|(kpr)|(kdp)|(\|lc)|(penalty))" /e /r /s</v>
      </c>
      <c r="AG173" s="1" t="str">
        <f t="shared" si="58"/>
        <v>NW</v>
      </c>
      <c r="AH173" s="86" t="str">
        <f t="shared" si="59"/>
        <v>"%USERPROFILE%\Documents\GitHub\eaglep3\Utilities\RefineRTDCRunTimes.py" --tripid 816-13 --locoid 4030 --swversion DE.1.0.8.0 --startMP 300:58624 --initTime 2017-02-13T10:38:19 --startdatetime 2017-02-13T10:40:27 --delay 1 --endMP 204:647 --enddatetime 2017-02-13T10:55:00 --enforcementcount 0 &gt;&gt;C:\Users\stu\Documents\GitHub\eaglep3-reporting\EC\2017-02-13-refined-times.txt</v>
      </c>
      <c r="AI173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{"issue":{"subject":"","project_id":79,"tracker_id":40,"status_id":1,"priority_id":2,"assigned_to_id":23,"start_date":"2017-02-13","description":"","custom_fields":[{"id":1,"name":"Subdivision","value":"NW"},{"id":4,"name":"Milepost","value":"0.0647"},{"id":17,"name":"Train ID","value":"816-13"},{"id":16,"name":"Locomotive ID","value":"4030"},{"id":130,"name":"Impact","value":""},{"id":150,"name":"Time of Event (Mountain Time)","value":"10:55:00"},{"id":151,"name":"Denver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1"/>
        <v>start /low /b %USERPROFILE%\Documents\GitHub\eaglep3\Utilities\DownloadLogsFromS3.py --loco 4030 --day 2017-02-13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"%USERPROFILE%\AppData\Local\Temp\OnboardLogs"\RTDC4030\*4030*20170213* | grep -SE "(Enforcement Action)|(\[TIMEOUT)|(CHR.+\|PRM\|1\|D.+(SWITCH|SIGNAL).+UNKNOWN)" - &gt;&gt; 2017-02-13-UncaughtWiMAX.txt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631</v>
      </c>
      <c r="B174" s="7">
        <v>4029</v>
      </c>
      <c r="C174" s="21" t="s">
        <v>193</v>
      </c>
      <c r="D174" s="21" t="s">
        <v>871</v>
      </c>
      <c r="E174" s="13">
        <v>42779.458321759259</v>
      </c>
      <c r="F174" s="13">
        <v>42779.473263888889</v>
      </c>
      <c r="G174" s="7">
        <v>18</v>
      </c>
      <c r="H174" s="21" t="s">
        <v>872</v>
      </c>
      <c r="I174" s="13">
        <v>42779.482997685183</v>
      </c>
      <c r="J174" s="7">
        <v>0</v>
      </c>
      <c r="K174" s="98" t="str">
        <f t="shared" si="46"/>
        <v>4029/4030</v>
      </c>
      <c r="L174" s="21" t="str">
        <f>VLOOKUP(A174,'Trips&amp;Operators'!$C$1:$G$99999,5,FALSE)</f>
        <v>ROCHA YAOTL</v>
      </c>
      <c r="M174" s="6">
        <f t="shared" si="47"/>
        <v>9.7337962943129241E-3</v>
      </c>
      <c r="N174" s="7">
        <f t="shared" si="65"/>
        <v>14.016666663810611</v>
      </c>
      <c r="O174" s="7"/>
      <c r="P174" s="7"/>
      <c r="Q174" s="22"/>
      <c r="R174" s="22"/>
      <c r="S174" s="31">
        <f t="shared" si="48"/>
        <v>1</v>
      </c>
      <c r="T174" s="46" t="str">
        <f t="shared" si="49"/>
        <v>NorthBound</v>
      </c>
      <c r="U174" s="18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7" t="str">
        <f t="shared" si="50"/>
        <v>https://d0f6bd738d7f1b3e5a7ca70fe4ff75f0.us-east-1.aws.found.io/app/kibana#/discover/Steve-Slow-Train-Analysis-(2080s-and-2083s)?_g=(refreshInterval:(display:Off,pause:!f,section:0,value:0),time:(from:'2017-02-13T09:59:59-0700',mode:absolute,to:'2017-02-13T12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4" s="188" t="str">
        <f t="shared" si="51"/>
        <v>N</v>
      </c>
      <c r="X174" s="188">
        <f t="shared" si="66"/>
        <v>1</v>
      </c>
      <c r="Y174" s="62">
        <f t="shared" si="52"/>
        <v>9.5799999999999996E-2</v>
      </c>
      <c r="Z174" s="62">
        <f t="shared" si="53"/>
        <v>5.8958000000000004</v>
      </c>
      <c r="AA174" s="62">
        <f t="shared" si="54"/>
        <v>5.8000000000000007</v>
      </c>
      <c r="AB174" s="59" t="e">
        <f>VLOOKUP(A174,Enforcements!$C$7:$K$14,8,0)</f>
        <v>#N/A</v>
      </c>
      <c r="AC174" s="55" t="e">
        <f>VLOOKUP(A174,Enforcements!$C$7:$E$14,3,0)</f>
        <v>#N/A</v>
      </c>
      <c r="AD174" s="56" t="str">
        <f t="shared" si="55"/>
        <v>0817-13</v>
      </c>
      <c r="AE174" s="85" t="str">
        <f t="shared" si="56"/>
        <v>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 &amp; 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</v>
      </c>
      <c r="AF174" s="82" t="str">
        <f t="shared" si="57"/>
        <v>"C:\Program Files (x86)\AstroGrep\AstroGrep.exe" /spath="%USERPROFILE%\AppData\Local\Temp\OnboardLogs" /stypes="app*4029*20170213*" /stext=" 18:.+((SYSTEM_STATE.+slice.+state.+changed )|(ment ac)|(multiple cpu faults)|(system.+state.+changed )|(\[timeout)|(PRM\|1\|D)|(kpr)|(kdp)|(\|lc)|(penalty))" /e /r /s</v>
      </c>
      <c r="AG174" s="1" t="str">
        <f t="shared" si="58"/>
        <v>NW</v>
      </c>
      <c r="AH174" s="86" t="str">
        <f t="shared" si="59"/>
        <v>"%USERPROFILE%\Documents\GitHub\eaglep3\Utilities\RefineRTDCRunTimes.py" --tripid 817-13 --locoid 4029 --swversion DE.1.0.8.0 --startMP 204:958 --initTime 2017-02-13T10:59:59 --startdatetime 2017-02-13T11:21:30 --delay 18 --endMP 300:58958 --enddatetime 2017-02-13T11:35:31 --enforcementcount 0 &gt;&gt;C:\Users\stu\Documents\GitHub\eaglep3-reporting\EC\2017-02-13-refined-times.txt</v>
      </c>
      <c r="AI174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{"issue":{"subject":"","project_id":79,"tracker_id":40,"status_id":1,"priority_id":2,"assigned_to_id":23,"start_date":"2017-02-13","description":"","custom_fields":[{"id":1,"name":"Subdivision","value":"NW"},{"id":4,"name":"Milepost","value":"5.8958"},{"id":17,"name":"Train ID","value":"817-13"},{"id":16,"name":"Locomotive ID","value":"4029"},{"id":130,"name":"Impact","value":""},{"id":150,"name":"Time of Event (Mountain Time)","value":"11:35:31"},{"id":151,"name":"Denver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1"/>
        <v>start /low /b %USERPROFILE%\Documents\GitHub\eaglep3\Utilities\DownloadLogsFromS3.py --loco 4029 --day 2017-02-13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"%USERPROFILE%\AppData\Local\Temp\OnboardLogs"\RTDC4029\*4029*20170213* | grep -SE "(Enforcement Action)|(\[TIMEOUT)|(CHR.+\|PRM\|1\|D.+(SWITCH|SIGNAL).+UNKNOWN)" - &gt;&gt; 2017-02-13-UncaughtWiMAX.txt</v>
      </c>
    </row>
    <row r="175" spans="1:91" x14ac:dyDescent="0.25">
      <c r="A175" s="33" t="s">
        <v>636</v>
      </c>
      <c r="B175" s="7">
        <v>4030</v>
      </c>
      <c r="C175" s="21" t="s">
        <v>193</v>
      </c>
      <c r="D175" s="21" t="s">
        <v>864</v>
      </c>
      <c r="E175" s="13">
        <v>42779.484652777777</v>
      </c>
      <c r="F175" s="13">
        <v>42779.485902777778</v>
      </c>
      <c r="G175" s="7">
        <v>0</v>
      </c>
      <c r="H175" s="21" t="s">
        <v>873</v>
      </c>
      <c r="I175" s="13">
        <v>42779.496249999997</v>
      </c>
      <c r="J175" s="7">
        <v>0</v>
      </c>
      <c r="K175" s="98" t="str">
        <f t="shared" si="46"/>
        <v>4029/4030</v>
      </c>
      <c r="L175" s="21" t="str">
        <f>VLOOKUP(A175,'Trips&amp;Operators'!$C$1:$G$99999,5,FALSE)</f>
        <v>ROCHA YAOTL</v>
      </c>
      <c r="M175" s="6">
        <f t="shared" si="47"/>
        <v>1.0347222218115348E-2</v>
      </c>
      <c r="N175" s="7">
        <f t="shared" si="65"/>
        <v>14.899999994086102</v>
      </c>
      <c r="O175" s="7"/>
      <c r="P175" s="7"/>
      <c r="Q175" s="22"/>
      <c r="R175" s="22"/>
      <c r="S175" s="31">
        <f t="shared" si="48"/>
        <v>1</v>
      </c>
      <c r="T175" s="46" t="str">
        <f t="shared" si="49"/>
        <v>Southbound</v>
      </c>
      <c r="U175" s="18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7" t="str">
        <f t="shared" si="50"/>
        <v>https://d0f6bd738d7f1b3e5a7ca70fe4ff75f0.us-east-1.aws.found.io/app/kibana#/discover/Steve-Slow-Train-Analysis-(2080s-and-2083s)?_g=(refreshInterval:(display:Off,pause:!f,section:0,value:0),time:(from:'2017-02-13T10:37:54-0700',mode:absolute,to:'2017-02-13T12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5" s="188" t="str">
        <f t="shared" si="51"/>
        <v>N</v>
      </c>
      <c r="X175" s="188">
        <f t="shared" si="66"/>
        <v>1</v>
      </c>
      <c r="Y175" s="62">
        <f t="shared" si="52"/>
        <v>5.8639999999999999</v>
      </c>
      <c r="Z175" s="62">
        <f t="shared" si="53"/>
        <v>6.6400000000000001E-2</v>
      </c>
      <c r="AA175" s="62">
        <f t="shared" si="54"/>
        <v>5.7976000000000001</v>
      </c>
      <c r="AB175" s="59" t="e">
        <f>VLOOKUP(A175,Enforcements!$C$7:$K$14,8,0)</f>
        <v>#N/A</v>
      </c>
      <c r="AC175" s="55" t="e">
        <f>VLOOKUP(A175,Enforcements!$C$7:$E$14,3,0)</f>
        <v>#N/A</v>
      </c>
      <c r="AD175" s="56" t="str">
        <f t="shared" si="55"/>
        <v>0818-13</v>
      </c>
      <c r="AE175" s="85" t="str">
        <f t="shared" si="56"/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AF175" s="82" t="str">
        <f t="shared" si="57"/>
        <v>"C:\Program Files (x86)\AstroGrep\AstroGrep.exe" /spath="%USERPROFILE%\AppData\Local\Temp\OnboardLogs" /stypes="app*4030*20170213*" /stext=" 18:.+((SYSTEM_STATE.+slice.+state.+changed )|(ment ac)|(multiple cpu faults)|(system.+state.+changed )|(\[timeout)|(PRM\|1\|D)|(kpr)|(kdp)|(\|lc)|(penalty))" /e /r /s</v>
      </c>
      <c r="AG175" s="1" t="str">
        <f t="shared" si="58"/>
        <v>NW</v>
      </c>
      <c r="AH175" s="86" t="str">
        <f t="shared" si="59"/>
        <v>"%USERPROFILE%\Documents\GitHub\eaglep3\Utilities\RefineRTDCRunTimes.py" --tripid 818-13 --locoid 4030 --swversion DE.1.0.8.0 --startMP 300:58640 --initTime 2017-02-13T11:37:54 --startdatetime 2017-02-13T11:39:42 --delay 0 --endMP 204:664 --enddatetime 2017-02-13T11:54:36 --enforcementcount 0 &gt;&gt;C:\Users\stu\Documents\GitHub\eaglep3-reporting\EC\2017-02-13-refined-times.txt</v>
      </c>
      <c r="AI175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{"issue":{"subject":"","project_id":79,"tracker_id":40,"status_id":1,"priority_id":2,"assigned_to_id":23,"start_date":"2017-02-13","description":"","custom_fields":[{"id":1,"name":"Subdivision","value":"NW"},{"id":4,"name":"Milepost","value":"0.0664"},{"id":17,"name":"Train ID","value":"818-13"},{"id":16,"name":"Locomotive ID","value":"4030"},{"id":130,"name":"Impact","value":""},{"id":150,"name":"Time of Event (Mountain Time)","value":"11:54:36"},{"id":151,"name":"Denver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1"/>
        <v>start /low /b %USERPROFILE%\Documents\GitHub\eaglep3\Utilities\DownloadLogsFromS3.py --loco 4030 --day 2017-02-13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"%USERPROFILE%\AppData\Local\Temp\OnboardLogs"\RTDC4030\*4030*20170213* | grep -SE "(Enforcement Action)|(\[TIMEOUT)|(CHR.+\|PRM\|1\|D.+(SWITCH|SIGNAL).+UNKNOWN)" - &gt;&gt; 2017-02-13-UncaughtWiMAX.txt</v>
      </c>
    </row>
    <row r="176" spans="1:91" x14ac:dyDescent="0.25">
      <c r="A176" s="33" t="s">
        <v>643</v>
      </c>
      <c r="B176" s="7">
        <v>4029</v>
      </c>
      <c r="C176" s="21" t="s">
        <v>193</v>
      </c>
      <c r="D176" s="21" t="s">
        <v>874</v>
      </c>
      <c r="E176" s="13">
        <v>42779.513182870367</v>
      </c>
      <c r="F176" s="13">
        <v>42779.514826388891</v>
      </c>
      <c r="G176" s="7">
        <v>1</v>
      </c>
      <c r="H176" s="21" t="s">
        <v>872</v>
      </c>
      <c r="I176" s="13">
        <v>42779.524328703701</v>
      </c>
      <c r="J176" s="7">
        <v>0</v>
      </c>
      <c r="K176" s="98" t="str">
        <f t="shared" si="46"/>
        <v>4029/4030</v>
      </c>
      <c r="L176" s="21" t="str">
        <f>VLOOKUP(A176,'Trips&amp;Operators'!$C$1:$G$99999,5,FALSE)</f>
        <v>ROCHA YAOTL</v>
      </c>
      <c r="M176" s="6">
        <f t="shared" si="47"/>
        <v>9.5023148096515797E-3</v>
      </c>
      <c r="N176" s="7">
        <f t="shared" si="65"/>
        <v>13.683333325898275</v>
      </c>
      <c r="O176" s="7"/>
      <c r="P176" s="7"/>
      <c r="Q176" s="22"/>
      <c r="R176" s="22"/>
      <c r="S176" s="31">
        <f t="shared" si="48"/>
        <v>1</v>
      </c>
      <c r="T176" s="46" t="str">
        <f t="shared" si="49"/>
        <v>NorthBound</v>
      </c>
      <c r="U176" s="18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7" t="str">
        <f t="shared" si="50"/>
        <v>https://d0f6bd738d7f1b3e5a7ca70fe4ff75f0.us-east-1.aws.found.io/app/kibana#/discover/Steve-Slow-Train-Analysis-(2080s-and-2083s)?_g=(refreshInterval:(display:Off,pause:!f,section:0,value:0),time:(from:'2017-02-13T11:18:59-0700',mode:absolute,to:'2017-02-13T13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6" s="188" t="str">
        <f t="shared" si="51"/>
        <v>N</v>
      </c>
      <c r="X176" s="188">
        <f t="shared" si="66"/>
        <v>1</v>
      </c>
      <c r="Y176" s="62">
        <f t="shared" si="52"/>
        <v>9.5699999999999993E-2</v>
      </c>
      <c r="Z176" s="62">
        <f t="shared" si="53"/>
        <v>5.8958000000000004</v>
      </c>
      <c r="AA176" s="62">
        <f t="shared" si="54"/>
        <v>5.8001000000000005</v>
      </c>
      <c r="AB176" s="59" t="e">
        <f>VLOOKUP(A176,Enforcements!$C$7:$K$14,8,0)</f>
        <v>#N/A</v>
      </c>
      <c r="AC176" s="55" t="e">
        <f>VLOOKUP(A176,Enforcements!$C$7:$E$14,3,0)</f>
        <v>#N/A</v>
      </c>
      <c r="AD176" s="56" t="str">
        <f t="shared" si="55"/>
        <v>0819-13</v>
      </c>
      <c r="AE176" s="85" t="str">
        <f t="shared" si="56"/>
        <v>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 &amp; 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</v>
      </c>
      <c r="AF176" s="82" t="str">
        <f t="shared" si="57"/>
        <v>"C:\Program Files (x86)\AstroGrep\AstroGrep.exe" /spath="%USERPROFILE%\AppData\Local\Temp\OnboardLogs" /stypes="app*4029*20170213*" /stext=" 19:.+((SYSTEM_STATE.+slice.+state.+changed )|(ment ac)|(multiple cpu faults)|(system.+state.+changed )|(\[timeout)|(PRM\|1\|D)|(kpr)|(kdp)|(\|lc)|(penalty))" /e /r /s</v>
      </c>
      <c r="AG176" s="1" t="str">
        <f t="shared" si="58"/>
        <v>NW</v>
      </c>
      <c r="AH176" s="86" t="str">
        <f t="shared" si="59"/>
        <v>"%USERPROFILE%\Documents\GitHub\eaglep3\Utilities\RefineRTDCRunTimes.py" --tripid 819-13 --locoid 4029 --swversion DE.1.0.8.0 --startMP 204:957 --initTime 2017-02-13T12:18:59 --startdatetime 2017-02-13T12:21:21 --delay 1 --endMP 300:58958 --enddatetime 2017-02-13T12:35:02 --enforcementcount 0 &gt;&gt;C:\Users\stu\Documents\GitHub\eaglep3-reporting\EC\2017-02-13-refined-times.txt</v>
      </c>
      <c r="AI176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{"issue":{"subject":"","project_id":79,"tracker_id":40,"status_id":1,"priority_id":2,"assigned_to_id":23,"start_date":"2017-02-13","description":"","custom_fields":[{"id":1,"name":"Subdivision","value":"NW"},{"id":4,"name":"Milepost","value":"5.8958"},{"id":17,"name":"Train ID","value":"819-13"},{"id":16,"name":"Locomotive ID","value":"4029"},{"id":130,"name":"Impact","value":""},{"id":150,"name":"Time of Event (Mountain Time)","value":"12:35:02"},{"id":151,"name":"Denver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1"/>
        <v>start /low /b %USERPROFILE%\Documents\GitHub\eaglep3\Utilities\DownloadLogsFromS3.py --loco 4029 --day 2017-02-13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"%USERPROFILE%\AppData\Local\Temp\OnboardLogs"\RTDC4029\*4029*20170213* | grep -SE "(Enforcement Action)|(\[TIMEOUT)|(CHR.+\|PRM\|1\|D.+(SWITCH|SIGNAL).+UNKNOWN)" - &gt;&gt; 2017-02-13-UncaughtWiMAX.txt</v>
      </c>
    </row>
    <row r="177" spans="1:91" s="20" customFormat="1" x14ac:dyDescent="0.25">
      <c r="A177" s="33" t="s">
        <v>647</v>
      </c>
      <c r="B177" s="7">
        <v>4030</v>
      </c>
      <c r="C177" s="21" t="s">
        <v>193</v>
      </c>
      <c r="D177" s="21" t="s">
        <v>864</v>
      </c>
      <c r="E177" s="13">
        <v>42779.525659722225</v>
      </c>
      <c r="F177" s="13">
        <v>42779.526909722219</v>
      </c>
      <c r="G177" s="7">
        <v>1</v>
      </c>
      <c r="H177" s="21" t="s">
        <v>875</v>
      </c>
      <c r="I177" s="13">
        <v>42779.537835648145</v>
      </c>
      <c r="J177" s="7">
        <v>0</v>
      </c>
      <c r="K177" s="98" t="str">
        <f t="shared" si="46"/>
        <v>4029/4030</v>
      </c>
      <c r="L177" s="21" t="str">
        <f>VLOOKUP(A177,'Trips&amp;Operators'!$C$1:$G$99999,5,FALSE)</f>
        <v>ROCHA YAOTL</v>
      </c>
      <c r="M177" s="6">
        <f t="shared" si="47"/>
        <v>1.0925925926130731E-2</v>
      </c>
      <c r="N177" s="7">
        <f t="shared" si="65"/>
        <v>15.733333333628252</v>
      </c>
      <c r="O177" s="7"/>
      <c r="P177" s="7"/>
      <c r="Q177" s="22"/>
      <c r="R177" s="22"/>
      <c r="S177" s="31">
        <f t="shared" si="48"/>
        <v>1</v>
      </c>
      <c r="T177" s="46" t="str">
        <f t="shared" si="49"/>
        <v>Southbound</v>
      </c>
      <c r="U177" s="18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7" t="str">
        <f t="shared" si="50"/>
        <v>https://d0f6bd738d7f1b3e5a7ca70fe4ff75f0.us-east-1.aws.found.io/app/kibana#/discover/Steve-Slow-Train-Analysis-(2080s-and-2083s)?_g=(refreshInterval:(display:Off,pause:!f,section:0,value:0),time:(from:'2017-02-13T11:36:57-0700',mode:absolute,to:'2017-02-13T13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7" s="188" t="str">
        <f t="shared" si="51"/>
        <v>N</v>
      </c>
      <c r="X177" s="188">
        <f t="shared" si="66"/>
        <v>1</v>
      </c>
      <c r="Y177" s="62">
        <f t="shared" si="52"/>
        <v>5.8639999999999999</v>
      </c>
      <c r="Z177" s="62">
        <f t="shared" si="53"/>
        <v>6.4899999999999999E-2</v>
      </c>
      <c r="AA177" s="62">
        <f t="shared" si="54"/>
        <v>5.7991000000000001</v>
      </c>
      <c r="AB177" s="59" t="e">
        <f>VLOOKUP(A177,Enforcements!$C$7:$K$14,8,0)</f>
        <v>#N/A</v>
      </c>
      <c r="AC177" s="55" t="e">
        <f>VLOOKUP(A177,Enforcements!$C$7:$E$14,3,0)</f>
        <v>#N/A</v>
      </c>
      <c r="AD177" s="56" t="str">
        <f t="shared" si="55"/>
        <v>0820-13</v>
      </c>
      <c r="AE177" s="85" t="str">
        <f t="shared" si="56"/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AF177" s="82" t="str">
        <f t="shared" si="57"/>
        <v>"C:\Program Files (x86)\AstroGrep\AstroGrep.exe" /spath="%USERPROFILE%\AppData\Local\Temp\OnboardLogs" /stypes="app*4030*20170213*" /stext=" 19:.+((SYSTEM_STATE.+slice.+state.+changed )|(ment ac)|(multiple cpu faults)|(system.+state.+changed )|(\[timeout)|(PRM\|1\|D)|(kpr)|(kdp)|(\|lc)|(penalty))" /e /r /s</v>
      </c>
      <c r="AG177" s="1" t="str">
        <f t="shared" si="58"/>
        <v>NW</v>
      </c>
      <c r="AH177" s="86" t="str">
        <f t="shared" si="59"/>
        <v>"%USERPROFILE%\Documents\GitHub\eaglep3\Utilities\RefineRTDCRunTimes.py" --tripid 820-13 --locoid 4030 --swversion DE.1.0.8.0 --startMP 300:58640 --initTime 2017-02-13T12:36:57 --startdatetime 2017-02-13T12:38:45 --delay 1 --endMP 204:649 --enddatetime 2017-02-13T12:54:29 --enforcementcount 0 &gt;&gt;C:\Users\stu\Documents\GitHub\eaglep3-reporting\EC\2017-02-13-refined-times.txt</v>
      </c>
      <c r="AI177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{"issue":{"subject":"","project_id":79,"tracker_id":40,"status_id":1,"priority_id":2,"assigned_to_id":23,"start_date":"2017-02-13","description":"","custom_fields":[{"id":1,"name":"Subdivision","value":"NW"},{"id":4,"name":"Milepost","value":"0.0649"},{"id":17,"name":"Train ID","value":"820-13"},{"id":16,"name":"Locomotive ID","value":"4030"},{"id":130,"name":"Impact","value":""},{"id":150,"name":"Time of Event (Mountain Time)","value":"12:54:29"},{"id":151,"name":"Denver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1"/>
        <v>start /low /b %USERPROFILE%\Documents\GitHub\eaglep3\Utilities\DownloadLogsFromS3.py --loco 4030 --day 2017-02-13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"%USERPROFILE%\AppData\Local\Temp\OnboardLogs"\RTDC4030\*4030*20170213* | grep -SE "(Enforcement Action)|(\[TIMEOUT)|(CHR.+\|PRM\|1\|D.+(SWITCH|SIGNAL).+UNKNOWN)" - &gt;&gt; 2017-02-13-UncaughtWiMAX.txt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653</v>
      </c>
      <c r="B178" s="7">
        <v>4029</v>
      </c>
      <c r="C178" s="21" t="s">
        <v>193</v>
      </c>
      <c r="D178" s="21" t="s">
        <v>876</v>
      </c>
      <c r="E178" s="13">
        <v>42779.552164351851</v>
      </c>
      <c r="F178" s="13">
        <v>42779.556423611109</v>
      </c>
      <c r="G178" s="7">
        <v>2</v>
      </c>
      <c r="H178" s="21" t="s">
        <v>877</v>
      </c>
      <c r="I178" s="13">
        <v>42779.565127314818</v>
      </c>
      <c r="J178" s="7">
        <v>0</v>
      </c>
      <c r="K178" s="98" t="str">
        <f t="shared" si="46"/>
        <v>4029/4030</v>
      </c>
      <c r="L178" s="21" t="str">
        <f>VLOOKUP(A178,'Trips&amp;Operators'!$C$1:$G$99999,5,FALSE)</f>
        <v>LEVIN SCOTT</v>
      </c>
      <c r="M178" s="6">
        <f t="shared" si="47"/>
        <v>8.7037037083064206E-3</v>
      </c>
      <c r="N178" s="7">
        <f t="shared" si="65"/>
        <v>12.533333339961246</v>
      </c>
      <c r="O178" s="7"/>
      <c r="P178" s="7"/>
      <c r="Q178" s="22"/>
      <c r="R178" s="22"/>
      <c r="S178" s="31">
        <f t="shared" si="48"/>
        <v>1</v>
      </c>
      <c r="T178" s="46" t="str">
        <f t="shared" si="49"/>
        <v>NorthBound</v>
      </c>
      <c r="U178" s="18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7" t="str">
        <f t="shared" si="50"/>
        <v>https://d0f6bd738d7f1b3e5a7ca70fe4ff75f0.us-east-1.aws.found.io/app/kibana#/discover/Steve-Slow-Train-Analysis-(2080s-and-2083s)?_g=(refreshInterval:(display:Off,pause:!f,section:0,value:0),time:(from:'2017-02-13T12:15:07-0700',mode:absolute,to:'2017-02-13T14:33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8" s="188" t="str">
        <f t="shared" si="51"/>
        <v>N</v>
      </c>
      <c r="X178" s="188">
        <f t="shared" si="66"/>
        <v>1</v>
      </c>
      <c r="Y178" s="62">
        <f t="shared" si="52"/>
        <v>9.5000000000000001E-2</v>
      </c>
      <c r="Z178" s="62">
        <f t="shared" si="53"/>
        <v>5.8925999999999998</v>
      </c>
      <c r="AA178" s="62">
        <f t="shared" si="54"/>
        <v>5.7976000000000001</v>
      </c>
      <c r="AB178" s="59" t="e">
        <f>VLOOKUP(A178,Enforcements!$C$7:$K$14,8,0)</f>
        <v>#N/A</v>
      </c>
      <c r="AC178" s="55" t="e">
        <f>VLOOKUP(A178,Enforcements!$C$7:$E$14,3,0)</f>
        <v>#N/A</v>
      </c>
      <c r="AD178" s="56" t="str">
        <f t="shared" si="55"/>
        <v>0821-13</v>
      </c>
      <c r="AE178" s="85" t="str">
        <f t="shared" si="56"/>
        <v>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 &amp; 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</v>
      </c>
      <c r="AF178" s="82" t="str">
        <f t="shared" si="57"/>
        <v>"C:\Program Files (x86)\AstroGrep\AstroGrep.exe" /spath="%USERPROFILE%\AppData\Local\Temp\OnboardLogs" /stypes="app*4029*20170213*" /stext=" 20:.+((SYSTEM_STATE.+slice.+state.+changed )|(ment ac)|(multiple cpu faults)|(system.+state.+changed )|(\[timeout)|(PRM\|1\|D)|(kpr)|(kdp)|(\|lc)|(penalty))" /e /r /s</v>
      </c>
      <c r="AG178" s="1" t="str">
        <f t="shared" si="58"/>
        <v>NW</v>
      </c>
      <c r="AH178" s="86" t="str">
        <f t="shared" si="59"/>
        <v>"%USERPROFILE%\Documents\GitHub\eaglep3\Utilities\RefineRTDCRunTimes.py" --tripid 821-13 --locoid 4029 --swversion DE.1.0.8.0 --startMP 204:950 --initTime 2017-02-13T13:15:07 --startdatetime 2017-02-13T13:21:15 --delay 2 --endMP 300:58926 --enddatetime 2017-02-13T13:33:47 --enforcementcount 0 &gt;&gt;C:\Users\stu\Documents\GitHub\eaglep3-reporting\EC\2017-02-13-refined-times.txt</v>
      </c>
      <c r="AI178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{"issue":{"subject":"","project_id":79,"tracker_id":40,"status_id":1,"priority_id":2,"assigned_to_id":23,"start_date":"2017-02-13","description":"","custom_fields":[{"id":1,"name":"Subdivision","value":"NW"},{"id":4,"name":"Milepost","value":"5.8926"},{"id":17,"name":"Train ID","value":"821-13"},{"id":16,"name":"Locomotive ID","value":"4029"},{"id":130,"name":"Impact","value":""},{"id":150,"name":"Time of Event (Mountain Time)","value":"13:33:47"},{"id":151,"name":"Denver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1"/>
        <v>start /low /b %USERPROFILE%\Documents\GitHub\eaglep3\Utilities\DownloadLogsFromS3.py --loco 4029 --day 2017-02-13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"%USERPROFILE%\AppData\Local\Temp\OnboardLogs"\RTDC4029\*4029*20170213* | grep -SE "(Enforcement Action)|(\[TIMEOUT)|(CHR.+\|PRM\|1\|D.+(SWITCH|SIGNAL).+UNKNOWN)" - &gt;&gt; 2017-02-13-UncaughtWiMAX.txt</v>
      </c>
    </row>
    <row r="179" spans="1:91" s="20" customFormat="1" x14ac:dyDescent="0.25">
      <c r="A179" s="33" t="s">
        <v>655</v>
      </c>
      <c r="B179" s="7">
        <v>4030</v>
      </c>
      <c r="C179" s="21" t="s">
        <v>193</v>
      </c>
      <c r="D179" s="21" t="s">
        <v>495</v>
      </c>
      <c r="E179" s="13">
        <v>42779.56622685185</v>
      </c>
      <c r="F179" s="13">
        <v>42779.567708333336</v>
      </c>
      <c r="G179" s="7">
        <v>1</v>
      </c>
      <c r="H179" s="21" t="s">
        <v>878</v>
      </c>
      <c r="I179" s="13">
        <v>42779.579675925925</v>
      </c>
      <c r="J179" s="7">
        <v>0</v>
      </c>
      <c r="K179" s="98" t="str">
        <f t="shared" si="46"/>
        <v>4029/4030</v>
      </c>
      <c r="L179" s="21" t="str">
        <f>VLOOKUP(A179,'Trips&amp;Operators'!$C$1:$G$99999,5,FALSE)</f>
        <v>LEVIN SCOTT</v>
      </c>
      <c r="M179" s="6">
        <f t="shared" si="47"/>
        <v>1.1967592588916887E-2</v>
      </c>
      <c r="N179" s="7">
        <f t="shared" si="65"/>
        <v>17.233333328040317</v>
      </c>
      <c r="O179" s="7"/>
      <c r="P179" s="7"/>
      <c r="Q179" s="22"/>
      <c r="R179" s="22"/>
      <c r="S179" s="31">
        <f t="shared" si="48"/>
        <v>1</v>
      </c>
      <c r="T179" s="46" t="str">
        <f t="shared" si="49"/>
        <v>Southbound</v>
      </c>
      <c r="U179" s="18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7" t="str">
        <f t="shared" si="50"/>
        <v>https://d0f6bd738d7f1b3e5a7ca70fe4ff75f0.us-east-1.aws.found.io/app/kibana#/discover/Steve-Slow-Train-Analysis-(2080s-and-2083s)?_g=(refreshInterval:(display:Off,pause:!f,section:0,value:0),time:(from:'2017-02-13T12:35:22-0700',mode:absolute,to:'2017-02-13T14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9" s="188" t="str">
        <f t="shared" si="51"/>
        <v>N</v>
      </c>
      <c r="X179" s="188">
        <f t="shared" si="66"/>
        <v>1</v>
      </c>
      <c r="Y179" s="62">
        <f t="shared" si="52"/>
        <v>5.8619000000000003</v>
      </c>
      <c r="Z179" s="62">
        <f t="shared" si="53"/>
        <v>6.7000000000000004E-2</v>
      </c>
      <c r="AA179" s="62">
        <f t="shared" si="54"/>
        <v>5.7949000000000002</v>
      </c>
      <c r="AB179" s="59" t="e">
        <f>VLOOKUP(A179,Enforcements!$C$7:$K$14,8,0)</f>
        <v>#N/A</v>
      </c>
      <c r="AC179" s="55" t="e">
        <f>VLOOKUP(A179,Enforcements!$C$7:$E$14,3,0)</f>
        <v>#N/A</v>
      </c>
      <c r="AD179" s="56" t="str">
        <f t="shared" si="55"/>
        <v>0822-13</v>
      </c>
      <c r="AE179" s="85" t="str">
        <f t="shared" si="56"/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AF179" s="82" t="str">
        <f t="shared" si="57"/>
        <v>"C:\Program Files (x86)\AstroGrep\AstroGrep.exe" /spath="%USERPROFILE%\AppData\Local\Temp\OnboardLogs" /stypes="app*4030*20170213*" /stext=" 20:.+((SYSTEM_STATE.+slice.+state.+changed )|(ment ac)|(multiple cpu faults)|(system.+state.+changed )|(\[timeout)|(PRM\|1\|D)|(kpr)|(kdp)|(\|lc)|(penalty))" /e /r /s</v>
      </c>
      <c r="AG179" s="1" t="str">
        <f t="shared" si="58"/>
        <v>NW</v>
      </c>
      <c r="AH179" s="86" t="str">
        <f t="shared" si="59"/>
        <v>"%USERPROFILE%\Documents\GitHub\eaglep3\Utilities\RefineRTDCRunTimes.py" --tripid 822-13 --locoid 4030 --swversion DE.1.0.8.0 --startMP 300:58619 --initTime 2017-02-13T13:35:22 --startdatetime 2017-02-13T13:37:30 --delay 1 --endMP 204:670 --enddatetime 2017-02-13T13:54:44 --enforcementcount 0 &gt;&gt;C:\Users\stu\Documents\GitHub\eaglep3-reporting\EC\2017-02-13-refined-times.txt</v>
      </c>
      <c r="AI179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{"issue":{"subject":"","project_id":79,"tracker_id":40,"status_id":1,"priority_id":2,"assigned_to_id":23,"start_date":"2017-02-13","description":"","custom_fields":[{"id":1,"name":"Subdivision","value":"NW"},{"id":4,"name":"Milepost","value":"0.067"},{"id":17,"name":"Train ID","value":"822-13"},{"id":16,"name":"Locomotive ID","value":"4030"},{"id":130,"name":"Impact","value":""},{"id":150,"name":"Time of Event (Mountain Time)","value":"13:54:44"},{"id":151,"name":"Denver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1"/>
        <v>start /low /b %USERPROFILE%\Documents\GitHub\eaglep3\Utilities\DownloadLogsFromS3.py --loco 4030 --day 2017-02-13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"%USERPROFILE%\AppData\Local\Temp\OnboardLogs"\RTDC4030\*4030*20170213* | grep -SE "(Enforcement Action)|(\[TIMEOUT)|(CHR.+\|PRM\|1\|D.+(SWITCH|SIGNAL).+UNKNOWN)" - &gt;&gt; 2017-02-13-UncaughtWiMAX.txt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662</v>
      </c>
      <c r="B180" s="7">
        <v>4029</v>
      </c>
      <c r="C180" s="21" t="s">
        <v>193</v>
      </c>
      <c r="D180" s="21" t="s">
        <v>866</v>
      </c>
      <c r="E180" s="13">
        <v>42779.596145833333</v>
      </c>
      <c r="F180" s="13">
        <v>42779.598263888889</v>
      </c>
      <c r="G180" s="7">
        <v>1</v>
      </c>
      <c r="H180" s="21" t="s">
        <v>505</v>
      </c>
      <c r="I180" s="13">
        <v>42779.607106481482</v>
      </c>
      <c r="J180" s="7">
        <v>0</v>
      </c>
      <c r="K180" s="98" t="str">
        <f t="shared" si="46"/>
        <v>4029/4030</v>
      </c>
      <c r="L180" s="21" t="str">
        <f>VLOOKUP(A180,'Trips&amp;Operators'!$C$1:$G$99999,5,FALSE)</f>
        <v>LEVIN SCOTT</v>
      </c>
      <c r="M180" s="6">
        <f t="shared" si="47"/>
        <v>8.8425925932824612E-3</v>
      </c>
      <c r="N180" s="7">
        <f t="shared" si="65"/>
        <v>12.733333334326744</v>
      </c>
      <c r="O180" s="7"/>
      <c r="P180" s="7"/>
      <c r="Q180" s="22"/>
      <c r="R180" s="22"/>
      <c r="S180" s="31">
        <f t="shared" si="48"/>
        <v>1</v>
      </c>
      <c r="T180" s="46" t="str">
        <f t="shared" si="49"/>
        <v>NorthBound</v>
      </c>
      <c r="U180" s="18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7" t="str">
        <f t="shared" si="50"/>
        <v>https://d0f6bd738d7f1b3e5a7ca70fe4ff75f0.us-east-1.aws.found.io/app/kibana#/discover/Steve-Slow-Train-Analysis-(2080s-and-2083s)?_g=(refreshInterval:(display:Off,pause:!f,section:0,value:0),time:(from:'2017-02-13T13:18:27-0700',mode:absolute,to:'2017-02-13T15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0" s="188" t="str">
        <f t="shared" si="51"/>
        <v>N</v>
      </c>
      <c r="X180" s="188">
        <f t="shared" si="66"/>
        <v>1</v>
      </c>
      <c r="Y180" s="62">
        <f t="shared" si="52"/>
        <v>9.5500000000000002E-2</v>
      </c>
      <c r="Z180" s="62">
        <f t="shared" si="53"/>
        <v>5.8939000000000004</v>
      </c>
      <c r="AA180" s="62">
        <f t="shared" si="54"/>
        <v>5.7984</v>
      </c>
      <c r="AB180" s="59" t="e">
        <f>VLOOKUP(A180,Enforcements!$C$7:$K$14,8,0)</f>
        <v>#N/A</v>
      </c>
      <c r="AC180" s="55" t="e">
        <f>VLOOKUP(A180,Enforcements!$C$7:$E$14,3,0)</f>
        <v>#N/A</v>
      </c>
      <c r="AD180" s="56" t="str">
        <f t="shared" si="55"/>
        <v>0823-13</v>
      </c>
      <c r="AE180" s="85" t="str">
        <f t="shared" si="56"/>
        <v>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 &amp; 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</v>
      </c>
      <c r="AF180" s="82" t="str">
        <f t="shared" si="57"/>
        <v>"C:\Program Files (x86)\AstroGrep\AstroGrep.exe" /spath="%USERPROFILE%\AppData\Local\Temp\OnboardLogs" /stypes="app*4029*20170213*" /stext=" 21:.+((SYSTEM_STATE.+slice.+state.+changed )|(ment ac)|(multiple cpu faults)|(system.+state.+changed )|(\[timeout)|(PRM\|1\|D)|(kpr)|(kdp)|(\|lc)|(penalty))" /e /r /s</v>
      </c>
      <c r="AG180" s="1" t="str">
        <f t="shared" si="58"/>
        <v>NW</v>
      </c>
      <c r="AH180" s="86" t="str">
        <f t="shared" si="59"/>
        <v>"%USERPROFILE%\Documents\GitHub\eaglep3\Utilities\RefineRTDCRunTimes.py" --tripid 823-13 --locoid 4029 --swversion DE.1.0.8.0 --startMP 204:955 --initTime 2017-02-13T14:18:27 --startdatetime 2017-02-13T14:21:30 --delay 1 --endMP 300:58939 --enddatetime 2017-02-13T14:34:14 --enforcementcount 0 &gt;&gt;C:\Users\stu\Documents\GitHub\eaglep3-reporting\EC\2017-02-13-refined-times.txt</v>
      </c>
      <c r="AI180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{"issue":{"subject":"","project_id":79,"tracker_id":40,"status_id":1,"priority_id":2,"assigned_to_id":23,"start_date":"2017-02-13","description":"","custom_fields":[{"id":1,"name":"Subdivision","value":"NW"},{"id":4,"name":"Milepost","value":"5.8939"},{"id":17,"name":"Train ID","value":"823-13"},{"id":16,"name":"Locomotive ID","value":"4029"},{"id":130,"name":"Impact","value":""},{"id":150,"name":"Time of Event (Mountain Time)","value":"14:34:14"},{"id":151,"name":"Denver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1"/>
        <v>start /low /b %USERPROFILE%\Documents\GitHub\eaglep3\Utilities\DownloadLogsFromS3.py --loco 4029 --day 2017-02-13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"%USERPROFILE%\AppData\Local\Temp\OnboardLogs"\RTDC4029\*4029*20170213* | grep -SE "(Enforcement Action)|(\[TIMEOUT)|(CHR.+\|PRM\|1\|D.+(SWITCH|SIGNAL).+UNKNOWN)" - &gt;&gt; 2017-02-13-UncaughtWiMAX.txt</v>
      </c>
    </row>
    <row r="181" spans="1:91" x14ac:dyDescent="0.25">
      <c r="A181" s="33" t="s">
        <v>541</v>
      </c>
      <c r="B181" s="7">
        <v>4030</v>
      </c>
      <c r="C181" s="21" t="s">
        <v>193</v>
      </c>
      <c r="D181" s="21" t="s">
        <v>496</v>
      </c>
      <c r="E181" s="13">
        <v>42779.608159722222</v>
      </c>
      <c r="F181" s="13">
        <v>42779.609351851854</v>
      </c>
      <c r="G181" s="7">
        <v>0</v>
      </c>
      <c r="H181" s="21" t="s">
        <v>879</v>
      </c>
      <c r="I181" s="13">
        <v>42779.621365740742</v>
      </c>
      <c r="J181" s="7">
        <v>0</v>
      </c>
      <c r="K181" s="98" t="str">
        <f t="shared" si="46"/>
        <v>4029/4030</v>
      </c>
      <c r="L181" s="21" t="str">
        <f>VLOOKUP(A181,'Trips&amp;Operators'!$C$1:$G$99999,5,FALSE)</f>
        <v>LEVIN SCOTT</v>
      </c>
      <c r="M181" s="6">
        <f t="shared" si="47"/>
        <v>1.2013888888759539E-2</v>
      </c>
      <c r="N181" s="7">
        <f t="shared" si="65"/>
        <v>17.299999999813735</v>
      </c>
      <c r="O181" s="7"/>
      <c r="P181" s="7"/>
      <c r="Q181" s="22"/>
      <c r="R181" s="22"/>
      <c r="S181" s="31">
        <f t="shared" si="48"/>
        <v>1</v>
      </c>
      <c r="T181" s="46" t="str">
        <f t="shared" si="49"/>
        <v>Southbound</v>
      </c>
      <c r="U181" s="18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7" t="str">
        <f t="shared" si="50"/>
        <v>https://d0f6bd738d7f1b3e5a7ca70fe4ff75f0.us-east-1.aws.found.io/app/kibana#/discover/Steve-Slow-Train-Analysis-(2080s-and-2083s)?_g=(refreshInterval:(display:Off,pause:!f,section:0,value:0),time:(from:'2017-02-13T13:35:45-0700',mode:absolute,to:'2017-02-13T15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1" s="188" t="str">
        <f t="shared" si="51"/>
        <v>N</v>
      </c>
      <c r="X181" s="188">
        <f t="shared" si="66"/>
        <v>1</v>
      </c>
      <c r="Y181" s="62">
        <f t="shared" si="52"/>
        <v>5.8613</v>
      </c>
      <c r="Z181" s="62">
        <f t="shared" si="53"/>
        <v>7.22E-2</v>
      </c>
      <c r="AA181" s="62">
        <f t="shared" si="54"/>
        <v>5.7891000000000004</v>
      </c>
      <c r="AB181" s="59" t="e">
        <f>VLOOKUP(A181,Enforcements!$C$7:$K$14,8,0)</f>
        <v>#N/A</v>
      </c>
      <c r="AC181" s="55" t="e">
        <f>VLOOKUP(A181,Enforcements!$C$7:$E$14,3,0)</f>
        <v>#N/A</v>
      </c>
      <c r="AD181" s="56" t="str">
        <f t="shared" si="55"/>
        <v>0824-13</v>
      </c>
      <c r="AE181" s="85" t="str">
        <f t="shared" si="56"/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AF181" s="82" t="str">
        <f t="shared" si="57"/>
        <v>"C:\Program Files (x86)\AstroGrep\AstroGrep.exe" /spath="%USERPROFILE%\AppData\Local\Temp\OnboardLogs" /stypes="app*4030*20170213*" /stext=" 21:.+((SYSTEM_STATE.+slice.+state.+changed )|(ment ac)|(multiple cpu faults)|(system.+state.+changed )|(\[timeout)|(PRM\|1\|D)|(kpr)|(kdp)|(\|lc)|(penalty))" /e /r /s</v>
      </c>
      <c r="AG181" s="1" t="str">
        <f t="shared" si="58"/>
        <v>NW</v>
      </c>
      <c r="AH181" s="86" t="str">
        <f t="shared" si="59"/>
        <v>"%USERPROFILE%\Documents\GitHub\eaglep3\Utilities\RefineRTDCRunTimes.py" --tripid 824-13 --locoid 4030 --swversion DE.1.0.8.0 --startMP 300:58613 --initTime 2017-02-13T14:35:45 --startdatetime 2017-02-13T14:37:28 --delay 0 --endMP 204:722 --enddatetime 2017-02-13T14:54:46 --enforcementcount 0 &gt;&gt;C:\Users\stu\Documents\GitHub\eaglep3-reporting\EC\2017-02-13-refined-times.txt</v>
      </c>
      <c r="AI181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{"issue":{"subject":"","project_id":79,"tracker_id":40,"status_id":1,"priority_id":2,"assigned_to_id":23,"start_date":"2017-02-13","description":"","custom_fields":[{"id":1,"name":"Subdivision","value":"NW"},{"id":4,"name":"Milepost","value":"0.0722"},{"id":17,"name":"Train ID","value":"824-13"},{"id":16,"name":"Locomotive ID","value":"4030"},{"id":130,"name":"Impact","value":""},{"id":150,"name":"Time of Event (Mountain Time)","value":"14:54:46"},{"id":151,"name":"Denver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1"/>
        <v>start /low /b %USERPROFILE%\Documents\GitHub\eaglep3\Utilities\DownloadLogsFromS3.py --loco 4030 --day 2017-02-13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"%USERPROFILE%\AppData\Local\Temp\OnboardLogs"\RTDC4030\*4030*20170213* | grep -SE "(Enforcement Action)|(\[TIMEOUT)|(CHR.+\|PRM\|1\|D.+(SWITCH|SIGNAL).+UNKNOWN)" - &gt;&gt; 2017-02-13-UncaughtWiMAX.txt</v>
      </c>
    </row>
    <row r="182" spans="1:91" s="20" customFormat="1" x14ac:dyDescent="0.25">
      <c r="A182" s="33" t="s">
        <v>669</v>
      </c>
      <c r="B182" s="7">
        <v>4029</v>
      </c>
      <c r="C182" s="21" t="s">
        <v>193</v>
      </c>
      <c r="D182" s="21" t="s">
        <v>500</v>
      </c>
      <c r="E182" s="13">
        <v>42779.631516203706</v>
      </c>
      <c r="F182" s="13">
        <v>42779.639768518522</v>
      </c>
      <c r="G182" s="7">
        <v>2</v>
      </c>
      <c r="H182" s="21" t="s">
        <v>880</v>
      </c>
      <c r="I182" s="13">
        <v>42779.648692129631</v>
      </c>
      <c r="J182" s="7">
        <v>0</v>
      </c>
      <c r="K182" s="98" t="str">
        <f t="shared" si="46"/>
        <v>4029/4030</v>
      </c>
      <c r="L182" s="21" t="str">
        <f>VLOOKUP(A182,'Trips&amp;Operators'!$C$1:$G$99999,5,FALSE)</f>
        <v>LEVIN SCOTT</v>
      </c>
      <c r="M182" s="6">
        <f t="shared" si="47"/>
        <v>8.923611108912155E-3</v>
      </c>
      <c r="N182" s="7">
        <f t="shared" si="65"/>
        <v>12.849999996833503</v>
      </c>
      <c r="O182" s="7"/>
      <c r="P182" s="7"/>
      <c r="Q182" s="22"/>
      <c r="R182" s="22"/>
      <c r="S182" s="31">
        <f t="shared" si="48"/>
        <v>1</v>
      </c>
      <c r="T182" s="46" t="str">
        <f t="shared" si="49"/>
        <v>NorthBound</v>
      </c>
      <c r="U182" s="18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7" t="str">
        <f t="shared" si="50"/>
        <v>https://d0f6bd738d7f1b3e5a7ca70fe4ff75f0.us-east-1.aws.found.io/app/kibana#/discover/Steve-Slow-Train-Analysis-(2080s-and-2083s)?_g=(refreshInterval:(display:Off,pause:!f,section:0,value:0),time:(from:'2017-02-13T14:09:23-0700',mode:absolute,to:'2017-02-13T16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2" s="188" t="str">
        <f t="shared" si="51"/>
        <v>N</v>
      </c>
      <c r="X182" s="188">
        <f t="shared" si="66"/>
        <v>1</v>
      </c>
      <c r="Y182" s="62">
        <f t="shared" si="52"/>
        <v>0.1014</v>
      </c>
      <c r="Z182" s="62">
        <f t="shared" si="53"/>
        <v>5.8929</v>
      </c>
      <c r="AA182" s="62">
        <f t="shared" si="54"/>
        <v>5.7915000000000001</v>
      </c>
      <c r="AB182" s="59" t="e">
        <f>VLOOKUP(A182,Enforcements!$C$7:$K$14,8,0)</f>
        <v>#N/A</v>
      </c>
      <c r="AC182" s="55" t="e">
        <f>VLOOKUP(A182,Enforcements!$C$7:$E$14,3,0)</f>
        <v>#N/A</v>
      </c>
      <c r="AD182" s="56" t="str">
        <f t="shared" si="55"/>
        <v>0825-13</v>
      </c>
      <c r="AE182" s="85" t="str">
        <f t="shared" si="56"/>
        <v>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 &amp; 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</v>
      </c>
      <c r="AF182" s="82" t="str">
        <f t="shared" si="57"/>
        <v>"C:\Program Files (x86)\AstroGrep\AstroGrep.exe" /spath="%USERPROFILE%\AppData\Local\Temp\OnboardLogs" /stypes="app*4029*20170213*" /stext=" 22:.+((SYSTEM_STATE.+slice.+state.+changed )|(ment ac)|(multiple cpu faults)|(system.+state.+changed )|(\[timeout)|(PRM\|1\|D)|(kpr)|(kdp)|(\|lc)|(penalty))" /e /r /s</v>
      </c>
      <c r="AG182" s="1" t="str">
        <f t="shared" si="58"/>
        <v>NW</v>
      </c>
      <c r="AH182" s="86" t="str">
        <f t="shared" si="59"/>
        <v>"%USERPROFILE%\Documents\GitHub\eaglep3\Utilities\RefineRTDCRunTimes.py" --tripid 825-13 --locoid 4029 --swversion DE.1.0.8.0 --startMP 204:1014 --initTime 2017-02-13T15:09:23 --startdatetime 2017-02-13T15:21:16 --delay 2 --endMP 300:58929 --enddatetime 2017-02-13T15:34:07 --enforcementcount 0 &gt;&gt;C:\Users\stu\Documents\GitHub\eaglep3-reporting\EC\2017-02-13-refined-times.txt</v>
      </c>
      <c r="AI182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{"issue":{"subject":"","project_id":79,"tracker_id":40,"status_id":1,"priority_id":2,"assigned_to_id":23,"start_date":"2017-02-13","description":"","custom_fields":[{"id":1,"name":"Subdivision","value":"NW"},{"id":4,"name":"Milepost","value":"5.8929"},{"id":17,"name":"Train ID","value":"825-13"},{"id":16,"name":"Locomotive ID","value":"4029"},{"id":130,"name":"Impact","value":""},{"id":150,"name":"Time of Event (Mountain Time)","value":"15:34:07"},{"id":151,"name":"Denver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1"/>
        <v>start /low /b %USERPROFILE%\Documents\GitHub\eaglep3\Utilities\DownloadLogsFromS3.py --loco 4029 --day 2017-02-13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"%USERPROFILE%\AppData\Local\Temp\OnboardLogs"\RTDC4029\*4029*20170213* | grep -SE "(Enforcement Action)|(\[TIMEOUT)|(CHR.+\|PRM\|1\|D.+(SWITCH|SIGNAL).+UNKNOWN)" - &gt;&gt; 2017-02-13-UncaughtWiMAX.txt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675</v>
      </c>
      <c r="B183" s="7">
        <v>4030</v>
      </c>
      <c r="C183" s="21" t="s">
        <v>193</v>
      </c>
      <c r="D183" s="21" t="s">
        <v>496</v>
      </c>
      <c r="E183" s="13">
        <v>42779.649641203701</v>
      </c>
      <c r="F183" s="13">
        <v>42779.651203703703</v>
      </c>
      <c r="G183" s="7">
        <v>1</v>
      </c>
      <c r="H183" s="21" t="s">
        <v>853</v>
      </c>
      <c r="I183" s="13">
        <v>42779.663622685184</v>
      </c>
      <c r="J183" s="7">
        <v>0</v>
      </c>
      <c r="K183" s="98" t="str">
        <f t="shared" si="46"/>
        <v>4029/4030</v>
      </c>
      <c r="L183" s="21" t="str">
        <f>VLOOKUP(A183,'Trips&amp;Operators'!$C$1:$G$99999,5,FALSE)</f>
        <v>LEVIN SCOTT</v>
      </c>
      <c r="M183" s="6">
        <f t="shared" si="47"/>
        <v>1.2418981481459923E-2</v>
      </c>
      <c r="N183" s="7">
        <f t="shared" si="65"/>
        <v>17.883333333302289</v>
      </c>
      <c r="O183" s="7"/>
      <c r="P183" s="7"/>
      <c r="Q183" s="22"/>
      <c r="R183" s="22"/>
      <c r="S183" s="31">
        <f t="shared" si="48"/>
        <v>1</v>
      </c>
      <c r="T183" s="46" t="str">
        <f t="shared" si="49"/>
        <v>Southbound</v>
      </c>
      <c r="U183" s="18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7" t="str">
        <f t="shared" si="50"/>
        <v>https://d0f6bd738d7f1b3e5a7ca70fe4ff75f0.us-east-1.aws.found.io/app/kibana#/discover/Steve-Slow-Train-Analysis-(2080s-and-2083s)?_g=(refreshInterval:(display:Off,pause:!f,section:0,value:0),time:(from:'2017-02-13T14:35:29-0700',mode:absolute,to:'2017-02-13T16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3" s="188" t="str">
        <f t="shared" si="51"/>
        <v>N</v>
      </c>
      <c r="X183" s="188">
        <f t="shared" si="66"/>
        <v>1</v>
      </c>
      <c r="Y183" s="62">
        <f t="shared" si="52"/>
        <v>5.8613</v>
      </c>
      <c r="Z183" s="62">
        <f t="shared" si="53"/>
        <v>6.4699999999999994E-2</v>
      </c>
      <c r="AA183" s="62">
        <f t="shared" si="54"/>
        <v>5.7965999999999998</v>
      </c>
      <c r="AB183" s="59" t="e">
        <f>VLOOKUP(A183,Enforcements!$C$7:$K$14,8,0)</f>
        <v>#N/A</v>
      </c>
      <c r="AC183" s="55" t="e">
        <f>VLOOKUP(A183,Enforcements!$C$7:$E$14,3,0)</f>
        <v>#N/A</v>
      </c>
      <c r="AD183" s="56" t="str">
        <f t="shared" si="55"/>
        <v>0826-13</v>
      </c>
      <c r="AE183" s="85" t="str">
        <f t="shared" si="56"/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AF183" s="82" t="str">
        <f t="shared" si="57"/>
        <v>"C:\Program Files (x86)\AstroGrep\AstroGrep.exe" /spath="%USERPROFILE%\AppData\Local\Temp\OnboardLogs" /stypes="app*4030*20170213*" /stext=" 22:.+((SYSTEM_STATE.+slice.+state.+changed )|(ment ac)|(multiple cpu faults)|(system.+state.+changed )|(\[timeout)|(PRM\|1\|D)|(kpr)|(kdp)|(\|lc)|(penalty))" /e /r /s</v>
      </c>
      <c r="AG183" s="1" t="str">
        <f t="shared" si="58"/>
        <v>NW</v>
      </c>
      <c r="AH183" s="86" t="str">
        <f t="shared" si="59"/>
        <v>"%USERPROFILE%\Documents\GitHub\eaglep3\Utilities\RefineRTDCRunTimes.py" --tripid 826-13 --locoid 4030 --swversion DE.1.0.8.0 --startMP 300:58613 --initTime 2017-02-13T15:35:29 --startdatetime 2017-02-13T15:37:44 --delay 1 --endMP 204:647 --enddatetime 2017-02-13T15:55:37 --enforcementcount 0 &gt;&gt;C:\Users\stu\Documents\GitHub\eaglep3-reporting\EC\2017-02-13-refined-times.txt</v>
      </c>
      <c r="AI183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{"issue":{"subject":"","project_id":79,"tracker_id":40,"status_id":1,"priority_id":2,"assigned_to_id":23,"start_date":"2017-02-13","description":"","custom_fields":[{"id":1,"name":"Subdivision","value":"NW"},{"id":4,"name":"Milepost","value":"0.0647"},{"id":17,"name":"Train ID","value":"826-13"},{"id":16,"name":"Locomotive ID","value":"4030"},{"id":130,"name":"Impact","value":""},{"id":150,"name":"Time of Event (Mountain Time)","value":"15:55:37"},{"id":151,"name":"Denver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1"/>
        <v>start /low /b %USERPROFILE%\Documents\GitHub\eaglep3\Utilities\DownloadLogsFromS3.py --loco 4030 --day 2017-02-13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"%USERPROFILE%\AppData\Local\Temp\OnboardLogs"\RTDC4030\*4030*20170213* | grep -SE "(Enforcement Action)|(\[TIMEOUT)|(CHR.+\|PRM\|1\|D.+(SWITCH|SIGNAL).+UNKNOWN)" - &gt;&gt; 2017-02-13-UncaughtWiMAX.txt</v>
      </c>
    </row>
    <row r="184" spans="1:91" s="20" customFormat="1" x14ac:dyDescent="0.25">
      <c r="A184" s="33" t="s">
        <v>674</v>
      </c>
      <c r="B184" s="7">
        <v>4016</v>
      </c>
      <c r="C184" s="21" t="s">
        <v>193</v>
      </c>
      <c r="D184" s="21" t="s">
        <v>862</v>
      </c>
      <c r="E184" s="13">
        <v>42779.648888888885</v>
      </c>
      <c r="F184" s="13">
        <v>42779.66070601852</v>
      </c>
      <c r="G184" s="7">
        <v>1</v>
      </c>
      <c r="H184" s="21" t="s">
        <v>507</v>
      </c>
      <c r="I184" s="13">
        <v>42779.671712962961</v>
      </c>
      <c r="J184" s="7">
        <v>0</v>
      </c>
      <c r="K184" s="98" t="str">
        <f t="shared" si="46"/>
        <v>4015/4016</v>
      </c>
      <c r="L184" s="21" t="str">
        <f>VLOOKUP(A184,'Trips&amp;Operators'!$C$1:$G$99999,5,FALSE)</f>
        <v>DAVIDSON DAVID</v>
      </c>
      <c r="M184" s="6">
        <f t="shared" si="47"/>
        <v>1.1006944441760425E-2</v>
      </c>
      <c r="N184" s="7">
        <f t="shared" si="65"/>
        <v>15.849999996135011</v>
      </c>
      <c r="O184" s="7"/>
      <c r="P184" s="7"/>
      <c r="Q184" s="22"/>
      <c r="R184" s="22"/>
      <c r="S184" s="31">
        <f t="shared" si="48"/>
        <v>1</v>
      </c>
      <c r="T184" s="46" t="str">
        <f t="shared" si="49"/>
        <v>NorthBound</v>
      </c>
      <c r="U184" s="18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7" t="str">
        <f t="shared" si="50"/>
        <v>https://d0f6bd738d7f1b3e5a7ca70fe4ff75f0.us-east-1.aws.found.io/app/kibana#/discover/Steve-Slow-Train-Analysis-(2080s-and-2083s)?_g=(refreshInterval:(display:Off,pause:!f,section:0,value:0),time:(from:'2017-02-13T14:34:24-0700',mode:absolute,to:'2017-02-13T17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4" s="188" t="str">
        <f t="shared" si="51"/>
        <v>N</v>
      </c>
      <c r="X184" s="188">
        <f t="shared" si="66"/>
        <v>1</v>
      </c>
      <c r="Y184" s="62">
        <f t="shared" si="52"/>
        <v>9.7199999999999995E-2</v>
      </c>
      <c r="Z184" s="62">
        <f t="shared" si="53"/>
        <v>5.8930999999999996</v>
      </c>
      <c r="AA184" s="62">
        <f t="shared" si="54"/>
        <v>5.7958999999999996</v>
      </c>
      <c r="AB184" s="59" t="e">
        <f>VLOOKUP(A184,Enforcements!$C$7:$K$14,8,0)</f>
        <v>#N/A</v>
      </c>
      <c r="AC184" s="55" t="e">
        <f>VLOOKUP(A184,Enforcements!$C$7:$E$14,3,0)</f>
        <v>#N/A</v>
      </c>
      <c r="AD184" s="56" t="str">
        <f t="shared" si="55"/>
        <v>0827-13</v>
      </c>
      <c r="AE184" s="85" t="str">
        <f t="shared" si="56"/>
        <v>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 &amp; 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</v>
      </c>
      <c r="AF184" s="82" t="str">
        <f t="shared" si="57"/>
        <v>"C:\Program Files (x86)\AstroGrep\AstroGrep.exe" /spath="%USERPROFILE%\AppData\Local\Temp\OnboardLogs" /stypes="app*4016*20170213*" /stext=" 23:.+((SYSTEM_STATE.+slice.+state.+changed )|(ment ac)|(multiple cpu faults)|(system.+state.+changed )|(\[timeout)|(PRM\|1\|D)|(kpr)|(kdp)|(\|lc)|(penalty))" /e /r /s</v>
      </c>
      <c r="AG184" s="1" t="str">
        <f t="shared" si="58"/>
        <v>NW</v>
      </c>
      <c r="AH184" s="86" t="str">
        <f t="shared" si="59"/>
        <v>"%USERPROFILE%\Documents\GitHub\eaglep3\Utilities\RefineRTDCRunTimes.py" --tripid 827-13 --locoid 4016 --swversion DE.1.0.8.0 --startMP 204:972 --initTime 2017-02-13T15:34:24 --startdatetime 2017-02-13T15:51:25 --delay 1 --endMP 300:58931 --enddatetime 2017-02-13T16:07:16 --enforcementcount 0 &gt;&gt;C:\Users\stu\Documents\GitHub\eaglep3-reporting\EC\2017-02-13-refined-times.txt</v>
      </c>
      <c r="AI184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{"issue":{"subject":"","project_id":79,"tracker_id":40,"status_id":1,"priority_id":2,"assigned_to_id":23,"start_date":"2017-02-13","description":"","custom_fields":[{"id":1,"name":"Subdivision","value":"NW"},{"id":4,"name":"Milepost","value":"5.8931"},{"id":17,"name":"Train ID","value":"827-13"},{"id":16,"name":"Locomotive ID","value":"4016"},{"id":130,"name":"Impact","value":""},{"id":150,"name":"Time of Event (Mountain Time)","value":"16:07:16"},{"id":151,"name":"Denver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1"/>
        <v>start /low /b %USERPROFILE%\Documents\GitHub\eaglep3\Utilities\DownloadLogsFromS3.py --loco 4016 --day 2017-02-13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"%USERPROFILE%\AppData\Local\Temp\OnboardLogs"\RTDC4016\*4016*20170213* | grep -SE "(Enforcement Action)|(\[TIMEOUT)|(CHR.+\|PRM\|1\|D.+(SWITCH|SIGNAL).+UNKNOWN)" - &gt;&gt; 2017-02-13-UncaughtWiMAX.txt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681</v>
      </c>
      <c r="B185" s="7">
        <v>4015</v>
      </c>
      <c r="C185" s="21" t="s">
        <v>193</v>
      </c>
      <c r="D185" s="21" t="s">
        <v>881</v>
      </c>
      <c r="E185" s="13">
        <v>42779.672893518517</v>
      </c>
      <c r="F185" s="13">
        <v>42779.674398148149</v>
      </c>
      <c r="G185" s="7">
        <v>1</v>
      </c>
      <c r="H185" s="21" t="s">
        <v>882</v>
      </c>
      <c r="I185" s="13">
        <v>42779.685486111113</v>
      </c>
      <c r="J185" s="7">
        <v>0</v>
      </c>
      <c r="K185" s="98" t="str">
        <f t="shared" si="46"/>
        <v>4015/4016</v>
      </c>
      <c r="L185" s="21" t="str">
        <f>VLOOKUP(A185,'Trips&amp;Operators'!$C$1:$G$99999,5,FALSE)</f>
        <v>DAVIDSON DAVID</v>
      </c>
      <c r="M185" s="6">
        <f t="shared" si="47"/>
        <v>1.1087962964666076E-2</v>
      </c>
      <c r="N185" s="7">
        <f t="shared" si="65"/>
        <v>15.966666669119149</v>
      </c>
      <c r="O185" s="7"/>
      <c r="P185" s="7"/>
      <c r="Q185" s="22"/>
      <c r="R185" s="22"/>
      <c r="S185" s="31">
        <f t="shared" si="48"/>
        <v>1</v>
      </c>
      <c r="T185" s="46" t="str">
        <f t="shared" si="49"/>
        <v>Southbound</v>
      </c>
      <c r="U185" s="18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7" t="str">
        <f t="shared" si="50"/>
        <v>https://d0f6bd738d7f1b3e5a7ca70fe4ff75f0.us-east-1.aws.found.io/app/kibana#/discover/Steve-Slow-Train-Analysis-(2080s-and-2083s)?_g=(refreshInterval:(display:Off,pause:!f,section:0,value:0),time:(from:'2017-02-13T15:08:58-0700',mode:absolute,to:'2017-02-13T17:27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5" s="188" t="str">
        <f t="shared" si="51"/>
        <v>N</v>
      </c>
      <c r="X185" s="188">
        <f t="shared" si="66"/>
        <v>1</v>
      </c>
      <c r="Y185" s="62">
        <f t="shared" si="52"/>
        <v>5.8620999999999999</v>
      </c>
      <c r="Z185" s="62">
        <f t="shared" si="53"/>
        <v>6.9800000000000001E-2</v>
      </c>
      <c r="AA185" s="62">
        <f t="shared" si="54"/>
        <v>5.7923</v>
      </c>
      <c r="AB185" s="59" t="e">
        <f>VLOOKUP(A185,Enforcements!$C$7:$K$14,8,0)</f>
        <v>#N/A</v>
      </c>
      <c r="AC185" s="55" t="e">
        <f>VLOOKUP(A185,Enforcements!$C$7:$E$14,3,0)</f>
        <v>#N/A</v>
      </c>
      <c r="AD185" s="56" t="str">
        <f t="shared" si="55"/>
        <v>0828-13</v>
      </c>
      <c r="AE185" s="85" t="str">
        <f t="shared" si="56"/>
        <v>aws s3 cp s3://rtdc.mdm.uploadarchive.raw/RTDC4015/ "%USERPROFILE%\AppData\Local\Temp\OnboardLogs"\RTDC4015\2017-02-13 --exclude "*" --recursive --include "*20170213*" &amp; "%USERPROFILE%\Documents\GitHub\mrs-test-scripts\Headless Mode &amp; Sideloading\WalkAndUnGZ.bat" "%USERPROFILE%\AppData\Local\Temp\OnboardLogs"\RTDC4015\2017-02-13 &amp; 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</v>
      </c>
      <c r="AF185" s="82" t="str">
        <f t="shared" si="57"/>
        <v>"C:\Program Files (x86)\AstroGrep\AstroGrep.exe" /spath="%USERPROFILE%\AppData\Local\Temp\OnboardLogs" /stypes="app*4015*20170213*" /stext=" 23:.+((SYSTEM_STATE.+slice.+state.+changed )|(ment ac)|(multiple cpu faults)|(system.+state.+changed )|(\[timeout)|(PRM\|1\|D)|(kpr)|(kdp)|(\|lc)|(penalty))" /e /r /s</v>
      </c>
      <c r="AG185" s="1" t="str">
        <f t="shared" si="58"/>
        <v>NW</v>
      </c>
      <c r="AH185" s="86" t="str">
        <f t="shared" si="59"/>
        <v>"%USERPROFILE%\Documents\GitHub\eaglep3\Utilities\RefineRTDCRunTimes.py" --tripid 828-13 --locoid 4015 --swversion DE.1.0.8.0 --startMP 300:58621 --initTime 2017-02-13T16:08:58 --startdatetime 2017-02-13T16:11:08 --delay 1 --endMP 204:698 --enddatetime 2017-02-13T16:27:06 --enforcementcount 0 &gt;&gt;C:\Users\stu\Documents\GitHub\eaglep3-reporting\EC\2017-02-13-refined-times.txt</v>
      </c>
      <c r="AI185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{"issue":{"subject":"","project_id":79,"tracker_id":40,"status_id":1,"priority_id":2,"assigned_to_id":23,"start_date":"2017-02-13","description":"","custom_fields":[{"id":1,"name":"Subdivision","value":"NW"},{"id":4,"name":"Milepost","value":"0.0698"},{"id":17,"name":"Train ID","value":"828-13"},{"id":16,"name":"Locomotive ID","value":"4015"},{"id":130,"name":"Impact","value":""},{"id":150,"name":"Time of Event (Mountain Time)","value":"16:27:06"},{"id":151,"name":"Denver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1"/>
        <v>start /low /b %USERPROFILE%\Documents\GitHub\eaglep3\Utilities\DownloadLogsFromS3.py --loco 4015 --day 2017-02-13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"%USERPROFILE%\AppData\Local\Temp\OnboardLogs"\RTDC4015\*4015*20170213* | grep -SE "(Enforcement Action)|(\[TIMEOUT)|(CHR.+\|PRM\|1\|D.+(SWITCH|SIGNAL).+UNKNOWN)" - &gt;&gt; 2017-02-13-UncaughtWiMAX.txt</v>
      </c>
    </row>
    <row r="186" spans="1:91" x14ac:dyDescent="0.25">
      <c r="A186" s="33" t="s">
        <v>682</v>
      </c>
      <c r="B186" s="7">
        <v>4029</v>
      </c>
      <c r="C186" s="21" t="s">
        <v>193</v>
      </c>
      <c r="D186" s="21" t="s">
        <v>883</v>
      </c>
      <c r="E186" s="13">
        <v>42779.679097222222</v>
      </c>
      <c r="F186" s="13">
        <v>42779.681423611109</v>
      </c>
      <c r="G186" s="7">
        <v>1</v>
      </c>
      <c r="H186" s="21" t="s">
        <v>503</v>
      </c>
      <c r="I186" s="13">
        <v>42779.690324074072</v>
      </c>
      <c r="J186" s="7">
        <v>0</v>
      </c>
      <c r="K186" s="98" t="str">
        <f t="shared" si="46"/>
        <v>4029/4030</v>
      </c>
      <c r="L186" s="21" t="str">
        <f>VLOOKUP(A186,'Trips&amp;Operators'!$C$1:$G$99999,5,FALSE)</f>
        <v>LEVIN SCOTT</v>
      </c>
      <c r="M186" s="6">
        <f t="shared" si="47"/>
        <v>8.9004629626288079E-3</v>
      </c>
      <c r="N186" s="7">
        <f t="shared" si="65"/>
        <v>12.816666666185483</v>
      </c>
      <c r="O186" s="7"/>
      <c r="P186" s="7"/>
      <c r="Q186" s="22"/>
      <c r="R186" s="22"/>
      <c r="S186" s="31">
        <f t="shared" si="48"/>
        <v>1</v>
      </c>
      <c r="T186" s="46" t="str">
        <f t="shared" si="49"/>
        <v>NorthBound</v>
      </c>
      <c r="U186" s="18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7" t="str">
        <f t="shared" si="50"/>
        <v>https://d0f6bd738d7f1b3e5a7ca70fe4ff75f0.us-east-1.aws.found.io/app/kibana#/discover/Steve-Slow-Train-Analysis-(2080s-and-2083s)?_g=(refreshInterval:(display:Off,pause:!f,section:0,value:0),time:(from:'2017-02-13T15:17:54-0700',mode:absolute,to:'2017-02-13T17:34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6" s="188" t="str">
        <f t="shared" si="51"/>
        <v>N</v>
      </c>
      <c r="X186" s="188">
        <f t="shared" si="66"/>
        <v>1</v>
      </c>
      <c r="Y186" s="62">
        <f t="shared" si="52"/>
        <v>9.4799999999999995E-2</v>
      </c>
      <c r="Z186" s="62">
        <f t="shared" si="53"/>
        <v>5.8940999999999999</v>
      </c>
      <c r="AA186" s="62">
        <f t="shared" si="54"/>
        <v>5.7992999999999997</v>
      </c>
      <c r="AB186" s="59" t="e">
        <f>VLOOKUP(A186,Enforcements!$C$7:$K$14,8,0)</f>
        <v>#N/A</v>
      </c>
      <c r="AC186" s="55" t="e">
        <f>VLOOKUP(A186,Enforcements!$C$7:$E$14,3,0)</f>
        <v>#N/A</v>
      </c>
      <c r="AD186" s="56" t="str">
        <f t="shared" si="55"/>
        <v>0829-13</v>
      </c>
      <c r="AE186" s="85" t="str">
        <f t="shared" si="56"/>
        <v>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 &amp; 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</v>
      </c>
      <c r="AF186" s="82" t="str">
        <f t="shared" si="57"/>
        <v>"C:\Program Files (x86)\AstroGrep\AstroGrep.exe" /spath="%USERPROFILE%\AppData\Local\Temp\OnboardLogs" /stypes="app*4029*20170213*" /stext=" 23:.+((SYSTEM_STATE.+slice.+state.+changed )|(ment ac)|(multiple cpu faults)|(system.+state.+changed )|(\[timeout)|(PRM\|1\|D)|(kpr)|(kdp)|(\|lc)|(penalty))" /e /r /s</v>
      </c>
      <c r="AG186" s="1" t="str">
        <f t="shared" si="58"/>
        <v>NW</v>
      </c>
      <c r="AH186" s="86" t="str">
        <f t="shared" si="59"/>
        <v>"%USERPROFILE%\Documents\GitHub\eaglep3\Utilities\RefineRTDCRunTimes.py" --tripid 829-13 --locoid 4029 --swversion DE.1.0.8.0 --startMP 204:948 --initTime 2017-02-13T16:17:54 --startdatetime 2017-02-13T16:21:15 --delay 1 --endMP 300:58941 --enddatetime 2017-02-13T16:34:04 --enforcementcount 0 &gt;&gt;C:\Users\stu\Documents\GitHub\eaglep3-reporting\EC\2017-02-13-refined-times.txt</v>
      </c>
      <c r="AI186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{"issue":{"subject":"","project_id":79,"tracker_id":40,"status_id":1,"priority_id":2,"assigned_to_id":23,"start_date":"2017-02-13","description":"","custom_fields":[{"id":1,"name":"Subdivision","value":"NW"},{"id":4,"name":"Milepost","value":"5.8941"},{"id":17,"name":"Train ID","value":"829-13"},{"id":16,"name":"Locomotive ID","value":"4029"},{"id":130,"name":"Impact","value":""},{"id":150,"name":"Time of Event (Mountain Time)","value":"16:34:04"},{"id":151,"name":"Denver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1"/>
        <v>start /low /b %USERPROFILE%\Documents\GitHub\eaglep3\Utilities\DownloadLogsFromS3.py --loco 4029 --day 2017-02-13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"%USERPROFILE%\AppData\Local\Temp\OnboardLogs"\RTDC4029\*4029*20170213* | grep -SE "(Enforcement Action)|(\[TIMEOUT)|(CHR.+\|PRM\|1\|D.+(SWITCH|SIGNAL).+UNKNOWN)" - &gt;&gt; 2017-02-13-UncaughtWiMAX.txt</v>
      </c>
    </row>
    <row r="187" spans="1:91" x14ac:dyDescent="0.25">
      <c r="A187" s="33" t="s">
        <v>686</v>
      </c>
      <c r="B187" s="7">
        <v>4030</v>
      </c>
      <c r="C187" s="21" t="s">
        <v>193</v>
      </c>
      <c r="D187" s="21" t="s">
        <v>493</v>
      </c>
      <c r="E187" s="13">
        <v>42779.69127314815</v>
      </c>
      <c r="F187" s="13">
        <v>42779.692650462966</v>
      </c>
      <c r="G187" s="7">
        <v>1</v>
      </c>
      <c r="H187" s="21" t="s">
        <v>873</v>
      </c>
      <c r="I187" s="13">
        <v>42779.705717592595</v>
      </c>
      <c r="J187" s="7">
        <v>0</v>
      </c>
      <c r="K187" s="98" t="str">
        <f t="shared" si="46"/>
        <v>4029/4030</v>
      </c>
      <c r="L187" s="21" t="str">
        <f>VLOOKUP(A187,'Trips&amp;Operators'!$C$1:$G$99999,5,FALSE)</f>
        <v>LEVIN SCOTT</v>
      </c>
      <c r="M187" s="6">
        <f t="shared" si="47"/>
        <v>1.3067129628325347E-2</v>
      </c>
      <c r="N187" s="7">
        <f t="shared" si="65"/>
        <v>18.816666664788499</v>
      </c>
      <c r="O187" s="7"/>
      <c r="P187" s="7"/>
      <c r="Q187" s="22"/>
      <c r="R187" s="22"/>
      <c r="S187" s="31">
        <f t="shared" si="48"/>
        <v>1</v>
      </c>
      <c r="T187" s="46" t="str">
        <f t="shared" si="49"/>
        <v>Southbound</v>
      </c>
      <c r="U187" s="18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7" t="str">
        <f t="shared" si="50"/>
        <v>https://d0f6bd738d7f1b3e5a7ca70fe4ff75f0.us-east-1.aws.found.io/app/kibana#/discover/Steve-Slow-Train-Analysis-(2080s-and-2083s)?_g=(refreshInterval:(display:Off,pause:!f,section:0,value:0),time:(from:'2017-02-13T15:35:26-0700',mode:absolute,to:'2017-02-13T17:56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7" s="188" t="str">
        <f t="shared" si="51"/>
        <v>N</v>
      </c>
      <c r="X187" s="188">
        <f t="shared" si="66"/>
        <v>1</v>
      </c>
      <c r="Y187" s="62">
        <f t="shared" si="52"/>
        <v>5.8623000000000003</v>
      </c>
      <c r="Z187" s="62">
        <f t="shared" si="53"/>
        <v>6.6400000000000001E-2</v>
      </c>
      <c r="AA187" s="62">
        <f t="shared" si="54"/>
        <v>5.7959000000000005</v>
      </c>
      <c r="AB187" s="59" t="e">
        <f>VLOOKUP(A187,Enforcements!$C$7:$K$14,8,0)</f>
        <v>#N/A</v>
      </c>
      <c r="AC187" s="55" t="e">
        <f>VLOOKUP(A187,Enforcements!$C$7:$E$14,3,0)</f>
        <v>#N/A</v>
      </c>
      <c r="AD187" s="56" t="str">
        <f t="shared" si="55"/>
        <v>0830-13</v>
      </c>
      <c r="AE187" s="85" t="str">
        <f t="shared" si="56"/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AF187" s="82" t="str">
        <f t="shared" si="57"/>
        <v>"C:\Program Files (x86)\AstroGrep\AstroGrep.exe" /spath="%USERPROFILE%\AppData\Local\Temp\OnboardLogs" /stypes="app*4030*20170213*" /stext=" 23:.+((SYSTEM_STATE.+slice.+state.+changed )|(ment ac)|(multiple cpu faults)|(system.+state.+changed )|(\[timeout)|(PRM\|1\|D)|(kpr)|(kdp)|(\|lc)|(penalty))" /e /r /s</v>
      </c>
      <c r="AG187" s="1" t="str">
        <f t="shared" si="58"/>
        <v>NW</v>
      </c>
      <c r="AH187" s="86" t="str">
        <f t="shared" si="59"/>
        <v>"%USERPROFILE%\Documents\GitHub\eaglep3\Utilities\RefineRTDCRunTimes.py" --tripid 830-13 --locoid 4030 --swversion DE.1.0.8.0 --startMP 300:58623 --initTime 2017-02-13T16:35:26 --startdatetime 2017-02-13T16:37:25 --delay 1 --endMP 204:664 --enddatetime 2017-02-13T16:56:14 --enforcementcount 0 &gt;&gt;C:\Users\stu\Documents\GitHub\eaglep3-reporting\EC\2017-02-13-refined-times.txt</v>
      </c>
      <c r="AI187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{"issue":{"subject":"","project_id":79,"tracker_id":40,"status_id":1,"priority_id":2,"assigned_to_id":23,"start_date":"2017-02-13","description":"","custom_fields":[{"id":1,"name":"Subdivision","value":"NW"},{"id":4,"name":"Milepost","value":"0.0664"},{"id":17,"name":"Train ID","value":"830-13"},{"id":16,"name":"Locomotive ID","value":"4030"},{"id":130,"name":"Impact","value":""},{"id":150,"name":"Time of Event (Mountain Time)","value":"16:56:14"},{"id":151,"name":"Denver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1"/>
        <v>start /low /b %USERPROFILE%\Documents\GitHub\eaglep3\Utilities\DownloadLogsFromS3.py --loco 4030 --day 2017-02-13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"%USERPROFILE%\AppData\Local\Temp\OnboardLogs"\RTDC4030\*4030*20170213* | grep -SE "(Enforcement Action)|(\[TIMEOUT)|(CHR.+\|PRM\|1\|D.+(SWITCH|SIGNAL).+UNKNOWN)" - &gt;&gt; 2017-02-13-UncaughtWiMAX.txt</v>
      </c>
    </row>
    <row r="188" spans="1:91" s="20" customFormat="1" x14ac:dyDescent="0.25">
      <c r="A188" s="33" t="s">
        <v>688</v>
      </c>
      <c r="B188" s="7">
        <v>4016</v>
      </c>
      <c r="C188" s="21" t="s">
        <v>193</v>
      </c>
      <c r="D188" s="21" t="s">
        <v>884</v>
      </c>
      <c r="E188" s="13">
        <v>42779.694652777776</v>
      </c>
      <c r="F188" s="13">
        <v>42779.702488425923</v>
      </c>
      <c r="G188" s="7">
        <v>1</v>
      </c>
      <c r="H188" s="21" t="s">
        <v>507</v>
      </c>
      <c r="I188" s="13">
        <v>42779.713263888887</v>
      </c>
      <c r="J188" s="7">
        <v>0</v>
      </c>
      <c r="K188" s="98" t="str">
        <f t="shared" si="46"/>
        <v>4015/4016</v>
      </c>
      <c r="L188" s="21" t="str">
        <f>VLOOKUP(A188,'Trips&amp;Operators'!$C$1:$G$99999,5,FALSE)</f>
        <v>DAVIDSON DAVID</v>
      </c>
      <c r="M188" s="6">
        <f t="shared" si="47"/>
        <v>1.0775462964375038E-2</v>
      </c>
      <c r="N188" s="7">
        <f t="shared" si="65"/>
        <v>15.516666668700054</v>
      </c>
      <c r="O188" s="7"/>
      <c r="P188" s="7"/>
      <c r="Q188" s="22"/>
      <c r="R188" s="22"/>
      <c r="S188" s="31">
        <f t="shared" si="48"/>
        <v>1</v>
      </c>
      <c r="T188" s="46" t="str">
        <f t="shared" si="49"/>
        <v>NorthBound</v>
      </c>
      <c r="U188" s="18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7" t="str">
        <f t="shared" si="50"/>
        <v>https://d0f6bd738d7f1b3e5a7ca70fe4ff75f0.us-east-1.aws.found.io/app/kibana#/discover/Steve-Slow-Train-Analysis-(2080s-and-2083s)?_g=(refreshInterval:(display:Off,pause:!f,section:0,value:0),time:(from:'2017-02-13T15:40:18-0700',mode:absolute,to:'2017-02-13T18:07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8" s="188" t="str">
        <f t="shared" si="51"/>
        <v>N</v>
      </c>
      <c r="X188" s="188">
        <f t="shared" si="66"/>
        <v>1</v>
      </c>
      <c r="Y188" s="62">
        <f t="shared" si="52"/>
        <v>9.74E-2</v>
      </c>
      <c r="Z188" s="62">
        <f t="shared" si="53"/>
        <v>5.8930999999999996</v>
      </c>
      <c r="AA188" s="62">
        <f t="shared" si="54"/>
        <v>5.7956999999999992</v>
      </c>
      <c r="AB188" s="59" t="e">
        <f>VLOOKUP(A188,Enforcements!$C$7:$K$14,8,0)</f>
        <v>#N/A</v>
      </c>
      <c r="AC188" s="55" t="e">
        <f>VLOOKUP(A188,Enforcements!$C$7:$E$14,3,0)</f>
        <v>#N/A</v>
      </c>
      <c r="AD188" s="56" t="str">
        <f t="shared" si="55"/>
        <v>0831-13</v>
      </c>
      <c r="AE188" s="85" t="str">
        <f t="shared" si="56"/>
        <v>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 &amp; 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</v>
      </c>
      <c r="AF188" s="82" t="str">
        <f t="shared" si="57"/>
        <v>"C:\Program Files (x86)\AstroGrep\AstroGrep.exe" /spath="%USERPROFILE%\AppData\Local\Temp\OnboardLogs" /stypes="app*4016*20170214*" /stext=" 00:.+((SYSTEM_STATE.+slice.+state.+changed )|(ment ac)|(multiple cpu faults)|(system.+state.+changed )|(\[timeout)|(PRM\|1\|D)|(kpr)|(kdp)|(\|lc)|(penalty))" /e /r /s</v>
      </c>
      <c r="AG188" s="1" t="str">
        <f t="shared" si="58"/>
        <v>NW</v>
      </c>
      <c r="AH188" s="86" t="str">
        <f t="shared" si="59"/>
        <v>"%USERPROFILE%\Documents\GitHub\eaglep3\Utilities\RefineRTDCRunTimes.py" --tripid 831-13 --locoid 4016 --swversion DE.1.0.8.0 --startMP 204:974 --initTime 2017-02-13T16:40:18 --startdatetime 2017-02-13T16:51:35 --delay 1 --endMP 300:58931 --enddatetime 2017-02-13T17:07:06 --enforcementcount 0 &gt;&gt;C:\Users\stu\Documents\GitHub\eaglep3-reporting\EC\2017-02-13-refined-times.txt</v>
      </c>
      <c r="AI188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{"issue":{"subject":"","project_id":79,"tracker_id":40,"status_id":1,"priority_id":2,"assigned_to_id":23,"start_date":"2017-02-13","description":"","custom_fields":[{"id":1,"name":"Subdivision","value":"NW"},{"id":4,"name":"Milepost","value":"5.8931"},{"id":17,"name":"Train ID","value":"831-13"},{"id":16,"name":"Locomotive ID","value":"4016"},{"id":130,"name":"Impact","value":""},{"id":150,"name":"Time of Event (Mountain Time)","value":"17:07:06"},{"id":151,"name":"Denver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1"/>
        <v>start /low /b %USERPROFILE%\Documents\GitHub\eaglep3\Utilities\DownloadLogsFromS3.py --loco 4016 --day 2017-02-13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"%USERPROFILE%\AppData\Local\Temp\OnboardLogs"\RTDC4016\*4016*20170213* | grep -SE "(Enforcement Action)|(\[TIMEOUT)|(CHR.+\|PRM\|1\|D.+(SWITCH|SIGNAL).+UNKNOWN)" - &gt;&gt; 2017-02-13-UncaughtWiMAX.txt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692</v>
      </c>
      <c r="B189" s="7">
        <v>4015</v>
      </c>
      <c r="C189" s="21" t="s">
        <v>193</v>
      </c>
      <c r="D189" s="21" t="s">
        <v>493</v>
      </c>
      <c r="E189" s="13">
        <v>42779.714189814818</v>
      </c>
      <c r="F189" s="13">
        <v>42779.715613425928</v>
      </c>
      <c r="G189" s="7">
        <v>1</v>
      </c>
      <c r="H189" s="21" t="s">
        <v>885</v>
      </c>
      <c r="I189" s="13">
        <v>42779.727083333331</v>
      </c>
      <c r="J189" s="7">
        <v>0</v>
      </c>
      <c r="K189" s="98" t="str">
        <f t="shared" si="46"/>
        <v>4015/4016</v>
      </c>
      <c r="L189" s="21" t="str">
        <f>VLOOKUP(A189,'Trips&amp;Operators'!$C$1:$G$99999,5,FALSE)</f>
        <v>DAVIDSON DAVID</v>
      </c>
      <c r="M189" s="6">
        <f t="shared" si="47"/>
        <v>1.1469907403807156E-2</v>
      </c>
      <c r="N189" s="7">
        <f t="shared" si="65"/>
        <v>16.516666661482304</v>
      </c>
      <c r="O189" s="7"/>
      <c r="P189" s="7"/>
      <c r="Q189" s="22"/>
      <c r="R189" s="22"/>
      <c r="S189" s="31">
        <f t="shared" si="48"/>
        <v>1</v>
      </c>
      <c r="T189" s="46" t="str">
        <f t="shared" si="49"/>
        <v>Southbound</v>
      </c>
      <c r="U189" s="18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7" t="str">
        <f t="shared" si="50"/>
        <v>https://d0f6bd738d7f1b3e5a7ca70fe4ff75f0.us-east-1.aws.found.io/app/kibana#/discover/Steve-Slow-Train-Analysis-(2080s-and-2083s)?_g=(refreshInterval:(display:Off,pause:!f,section:0,value:0),time:(from:'2017-02-13T16:08:26-0700',mode:absolute,to:'2017-02-13T18:27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9" s="188" t="str">
        <f t="shared" si="51"/>
        <v>N</v>
      </c>
      <c r="X189" s="188">
        <f t="shared" si="66"/>
        <v>1</v>
      </c>
      <c r="Y189" s="62">
        <f t="shared" si="52"/>
        <v>5.8623000000000003</v>
      </c>
      <c r="Z189" s="62">
        <f t="shared" si="53"/>
        <v>6.9599999999999995E-2</v>
      </c>
      <c r="AA189" s="62">
        <f t="shared" si="54"/>
        <v>5.7927</v>
      </c>
      <c r="AB189" s="59" t="e">
        <f>VLOOKUP(A189,Enforcements!$C$7:$K$14,8,0)</f>
        <v>#N/A</v>
      </c>
      <c r="AC189" s="55" t="e">
        <f>VLOOKUP(A189,Enforcements!$C$7:$E$14,3,0)</f>
        <v>#N/A</v>
      </c>
      <c r="AD189" s="56" t="str">
        <f t="shared" si="55"/>
        <v>0832-13</v>
      </c>
      <c r="AE189" s="85" t="str">
        <f t="shared" si="56"/>
        <v>aws s3 cp s3://rtdc.mdm.uploadarchive.raw/RTDC4015/ "%USERPROFILE%\AppData\Local\Temp\OnboardLogs"\RTDC4015\2017-02-13 --exclude "*" --recursive --include "*20170213*" &amp; "%USERPROFILE%\Documents\GitHub\mrs-test-scripts\Headless Mode &amp; Sideloading\WalkAndUnGZ.bat" "%USERPROFILE%\AppData\Local\Temp\OnboardLogs"\RTDC4015\2017-02-13 &amp; 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</v>
      </c>
      <c r="AF189" s="82" t="str">
        <f t="shared" si="57"/>
        <v>"C:\Program Files (x86)\AstroGrep\AstroGrep.exe" /spath="%USERPROFILE%\AppData\Local\Temp\OnboardLogs" /stypes="app*4015*20170214*" /stext=" 00:.+((SYSTEM_STATE.+slice.+state.+changed )|(ment ac)|(multiple cpu faults)|(system.+state.+changed )|(\[timeout)|(PRM\|1\|D)|(kpr)|(kdp)|(\|lc)|(penalty))" /e /r /s</v>
      </c>
      <c r="AG189" s="1" t="str">
        <f t="shared" si="58"/>
        <v>NW</v>
      </c>
      <c r="AH189" s="86" t="str">
        <f t="shared" si="59"/>
        <v>"%USERPROFILE%\Documents\GitHub\eaglep3\Utilities\RefineRTDCRunTimes.py" --tripid 832-13 --locoid 4015 --swversion DE.1.0.8.0 --startMP 300:58623 --initTime 2017-02-13T17:08:26 --startdatetime 2017-02-13T17:10:29 --delay 1 --endMP 204:696 --enddatetime 2017-02-13T17:27:00 --enforcementcount 0 &gt;&gt;C:\Users\stu\Documents\GitHub\eaglep3-reporting\EC\2017-02-13-refined-times.txt</v>
      </c>
      <c r="AI189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{"issue":{"subject":"","project_id":79,"tracker_id":40,"status_id":1,"priority_id":2,"assigned_to_id":23,"start_date":"2017-02-13","description":"","custom_fields":[{"id":1,"name":"Subdivision","value":"NW"},{"id":4,"name":"Milepost","value":"0.0696"},{"id":17,"name":"Train ID","value":"832-13"},{"id":16,"name":"Locomotive ID","value":"4015"},{"id":130,"name":"Impact","value":""},{"id":150,"name":"Time of Event (Mountain Time)","value":"17:27:00"},{"id":151,"name":"Denver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1"/>
        <v>start /low /b %USERPROFILE%\Documents\GitHub\eaglep3\Utilities\DownloadLogsFromS3.py --loco 4015 --day 2017-02-13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"%USERPROFILE%\AppData\Local\Temp\OnboardLogs"\RTDC4015\*4015*20170214* | grep -SE "(Enforcement Action)|(\[TIMEOUT)|(CHR.+\|PRM\|1\|D.+(SWITCH|SIGNAL).+UNKNOWN)" - &gt;&gt; 2017-02-13-UncaughtWiMAX.txt</v>
      </c>
    </row>
    <row r="190" spans="1:91" s="20" customFormat="1" x14ac:dyDescent="0.25">
      <c r="A190" s="33" t="s">
        <v>694</v>
      </c>
      <c r="B190" s="7">
        <v>4029</v>
      </c>
      <c r="C190" s="21" t="s">
        <v>193</v>
      </c>
      <c r="D190" s="21" t="s">
        <v>883</v>
      </c>
      <c r="E190" s="13">
        <v>42779.679097222222</v>
      </c>
      <c r="F190" s="13">
        <v>42779.723101851851</v>
      </c>
      <c r="G190" s="7">
        <v>56</v>
      </c>
      <c r="H190" s="21" t="s">
        <v>494</v>
      </c>
      <c r="I190" s="13">
        <v>42779.732083333336</v>
      </c>
      <c r="J190" s="7">
        <v>0</v>
      </c>
      <c r="K190" s="98" t="str">
        <f t="shared" si="46"/>
        <v>4029/4030</v>
      </c>
      <c r="L190" s="21" t="str">
        <f>VLOOKUP(A190,'Trips&amp;Operators'!$C$1:$G$99999,5,FALSE)</f>
        <v>LEVIN SCOTT</v>
      </c>
      <c r="M190" s="6">
        <f t="shared" si="47"/>
        <v>8.9814814855344594E-3</v>
      </c>
      <c r="N190" s="7">
        <f t="shared" si="65"/>
        <v>12.933333339169621</v>
      </c>
      <c r="O190" s="7"/>
      <c r="P190" s="7"/>
      <c r="Q190" s="22"/>
      <c r="R190" s="22"/>
      <c r="S190" s="31">
        <f t="shared" si="48"/>
        <v>1</v>
      </c>
      <c r="T190" s="46" t="str">
        <f t="shared" si="49"/>
        <v>NorthBound</v>
      </c>
      <c r="U190" s="18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7" t="str">
        <f t="shared" si="50"/>
        <v>https://d0f6bd738d7f1b3e5a7ca70fe4ff75f0.us-east-1.aws.found.io/app/kibana#/discover/Steve-Slow-Train-Analysis-(2080s-and-2083s)?_g=(refreshInterval:(display:Off,pause:!f,section:0,value:0),time:(from:'2017-02-13T15:17:54-0700',mode:absolute,to:'2017-02-13T18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0" s="188" t="str">
        <f t="shared" si="51"/>
        <v>N</v>
      </c>
      <c r="X190" s="188">
        <f t="shared" si="66"/>
        <v>1</v>
      </c>
      <c r="Y190" s="62">
        <f t="shared" si="52"/>
        <v>9.4799999999999995E-2</v>
      </c>
      <c r="Z190" s="62">
        <f t="shared" si="53"/>
        <v>5.8936999999999999</v>
      </c>
      <c r="AA190" s="62">
        <f t="shared" si="54"/>
        <v>5.7988999999999997</v>
      </c>
      <c r="AB190" s="59" t="e">
        <f>VLOOKUP(A190,Enforcements!$C$7:$K$14,8,0)</f>
        <v>#N/A</v>
      </c>
      <c r="AC190" s="55" t="e">
        <f>VLOOKUP(A190,Enforcements!$C$7:$E$14,3,0)</f>
        <v>#N/A</v>
      </c>
      <c r="AD190" s="56" t="str">
        <f t="shared" si="55"/>
        <v>0833-13</v>
      </c>
      <c r="AE190" s="85" t="str">
        <f t="shared" si="56"/>
        <v>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 &amp; 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</v>
      </c>
      <c r="AF190" s="82" t="str">
        <f t="shared" si="57"/>
        <v>"C:\Program Files (x86)\AstroGrep\AstroGrep.exe" /spath="%USERPROFILE%\AppData\Local\Temp\OnboardLogs" /stypes="app*4029*20170214*" /stext=" 00:.+((SYSTEM_STATE.+slice.+state.+changed )|(ment ac)|(multiple cpu faults)|(system.+state.+changed )|(\[timeout)|(PRM\|1\|D)|(kpr)|(kdp)|(\|lc)|(penalty))" /e /r /s</v>
      </c>
      <c r="AG190" s="1" t="str">
        <f t="shared" si="58"/>
        <v>NW</v>
      </c>
      <c r="AH190" s="86" t="str">
        <f t="shared" si="59"/>
        <v>"%USERPROFILE%\Documents\GitHub\eaglep3\Utilities\RefineRTDCRunTimes.py" --tripid 833-13 --locoid 4029 --swversion DE.1.0.8.0 --startMP 204:948 --initTime 2017-02-13T16:17:54 --startdatetime 2017-02-13T17:21:16 --delay 56 --endMP 300:58937 --enddatetime 2017-02-13T17:34:12 --enforcementcount 0 &gt;&gt;C:\Users\stu\Documents\GitHub\eaglep3-reporting\EC\2017-02-13-refined-times.txt</v>
      </c>
      <c r="AI190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{"issue":{"subject":"","project_id":79,"tracker_id":40,"status_id":1,"priority_id":2,"assigned_to_id":23,"start_date":"2017-02-13","description":"","custom_fields":[{"id":1,"name":"Subdivision","value":"NW"},{"id":4,"name":"Milepost","value":"5.8937"},{"id":17,"name":"Train ID","value":"833-13"},{"id":16,"name":"Locomotive ID","value":"4029"},{"id":130,"name":"Impact","value":""},{"id":150,"name":"Time of Event (Mountain Time)","value":"17:34:12"},{"id":151,"name":"Denver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1"/>
        <v>start /low /b %USERPROFILE%\Documents\GitHub\eaglep3\Utilities\DownloadLogsFromS3.py --loco 4029 --day 2017-02-13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"%USERPROFILE%\AppData\Local\Temp\OnboardLogs"\RTDC4029\*4029*20170214* | grep -SE "(Enforcement Action)|(\[TIMEOUT)|(CHR.+\|PRM\|1\|D.+(SWITCH|SIGNAL).+UNKNOWN)" - &gt;&gt; 2017-02-13-UncaughtWiMAX.txt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3" t="s">
        <v>700</v>
      </c>
      <c r="B191" s="7">
        <v>4030</v>
      </c>
      <c r="C191" s="21" t="s">
        <v>193</v>
      </c>
      <c r="D191" s="21" t="s">
        <v>426</v>
      </c>
      <c r="E191" s="13">
        <v>42779.733113425929</v>
      </c>
      <c r="F191" s="13">
        <v>42779.734398148146</v>
      </c>
      <c r="G191" s="7">
        <v>1</v>
      </c>
      <c r="H191" s="21" t="s">
        <v>886</v>
      </c>
      <c r="I191" s="13">
        <v>42779.747199074074</v>
      </c>
      <c r="J191" s="7">
        <v>0</v>
      </c>
      <c r="K191" s="98" t="str">
        <f t="shared" si="46"/>
        <v>4029/4030</v>
      </c>
      <c r="L191" s="21" t="str">
        <f>VLOOKUP(A191,'Trips&amp;Operators'!$C$1:$G$99999,5,FALSE)</f>
        <v>LEVIN SCOTT</v>
      </c>
      <c r="M191" s="6">
        <f t="shared" si="47"/>
        <v>1.280092592787696E-2</v>
      </c>
      <c r="N191" s="7">
        <f t="shared" si="65"/>
        <v>18.433333336142823</v>
      </c>
      <c r="O191" s="7"/>
      <c r="P191" s="7"/>
      <c r="Q191" s="22"/>
      <c r="R191" s="22"/>
      <c r="S191" s="31">
        <f t="shared" si="48"/>
        <v>1</v>
      </c>
      <c r="T191" s="46" t="str">
        <f t="shared" si="49"/>
        <v>Southbound</v>
      </c>
      <c r="U191" s="18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7" t="str">
        <f t="shared" si="50"/>
        <v>https://d0f6bd738d7f1b3e5a7ca70fe4ff75f0.us-east-1.aws.found.io/app/kibana#/discover/Steve-Slow-Train-Analysis-(2080s-and-2083s)?_g=(refreshInterval:(display:Off,pause:!f,section:0,value:0),time:(from:'2017-02-13T16:35:41-0700',mode:absolute,to:'2017-02-13T18:55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1" s="188" t="str">
        <f t="shared" si="51"/>
        <v>N</v>
      </c>
      <c r="X191" s="188">
        <f t="shared" si="66"/>
        <v>1</v>
      </c>
      <c r="Y191" s="62">
        <f t="shared" si="52"/>
        <v>5.8628</v>
      </c>
      <c r="Z191" s="62">
        <f t="shared" si="53"/>
        <v>6.54E-2</v>
      </c>
      <c r="AA191" s="62">
        <f t="shared" si="54"/>
        <v>5.7973999999999997</v>
      </c>
      <c r="AB191" s="59" t="e">
        <f>VLOOKUP(A191,Enforcements!$C$7:$K$14,8,0)</f>
        <v>#N/A</v>
      </c>
      <c r="AC191" s="55" t="e">
        <f>VLOOKUP(A191,Enforcements!$C$7:$E$14,3,0)</f>
        <v>#N/A</v>
      </c>
      <c r="AD191" s="56" t="str">
        <f t="shared" si="55"/>
        <v>0834-13</v>
      </c>
      <c r="AE191" s="85" t="str">
        <f t="shared" si="56"/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AF191" s="82" t="str">
        <f t="shared" si="57"/>
        <v>"C:\Program Files (x86)\AstroGrep\AstroGrep.exe" /spath="%USERPROFILE%\AppData\Local\Temp\OnboardLogs" /stypes="app*4030*20170214*" /stext=" 00:.+((SYSTEM_STATE.+slice.+state.+changed )|(ment ac)|(multiple cpu faults)|(system.+state.+changed )|(\[timeout)|(PRM\|1\|D)|(kpr)|(kdp)|(\|lc)|(penalty))" /e /r /s</v>
      </c>
      <c r="AG191" s="1" t="str">
        <f t="shared" si="58"/>
        <v>NW</v>
      </c>
      <c r="AH191" s="86" t="str">
        <f t="shared" si="59"/>
        <v>"%USERPROFILE%\Documents\GitHub\eaglep3\Utilities\RefineRTDCRunTimes.py" --tripid 834-13 --locoid 4030 --swversion DE.1.0.8.0 --startMP 300:58628 --initTime 2017-02-13T17:35:41 --startdatetime 2017-02-13T17:37:32 --delay 1 --endMP 204:654 --enddatetime 2017-02-13T17:55:58 --enforcementcount 0 &gt;&gt;C:\Users\stu\Documents\GitHub\eaglep3-reporting\EC\2017-02-13-refined-times.txt</v>
      </c>
      <c r="AI191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{"issue":{"subject":"","project_id":79,"tracker_id":40,"status_id":1,"priority_id":2,"assigned_to_id":23,"start_date":"2017-02-13","description":"","custom_fields":[{"id":1,"name":"Subdivision","value":"NW"},{"id":4,"name":"Milepost","value":"0.0654"},{"id":17,"name":"Train ID","value":"834-13"},{"id":16,"name":"Locomotive ID","value":"4030"},{"id":130,"name":"Impact","value":""},{"id":150,"name":"Time of Event (Mountain Time)","value":"17:55:58"},{"id":151,"name":"Denver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1"/>
        <v>start /low /b %USERPROFILE%\Documents\GitHub\eaglep3\Utilities\DownloadLogsFromS3.py --loco 4030 --day 2017-02-13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"%USERPROFILE%\AppData\Local\Temp\OnboardLogs"\RTDC4030\*4030*20170214* | grep -SE "(Enforcement Action)|(\[TIMEOUT)|(CHR.+\|PRM\|1\|D.+(SWITCH|SIGNAL).+UNKNOWN)" - &gt;&gt; 2017-02-13-UncaughtWiMAX.txt</v>
      </c>
    </row>
    <row r="192" spans="1:91" x14ac:dyDescent="0.25">
      <c r="A192" s="33" t="s">
        <v>699</v>
      </c>
      <c r="B192" s="7">
        <v>4016</v>
      </c>
      <c r="C192" s="21" t="s">
        <v>193</v>
      </c>
      <c r="D192" s="21" t="s">
        <v>887</v>
      </c>
      <c r="E192" s="13">
        <v>42779.731898148151</v>
      </c>
      <c r="F192" s="13">
        <v>42779.744293981479</v>
      </c>
      <c r="G192" s="7">
        <v>1</v>
      </c>
      <c r="H192" s="21" t="s">
        <v>458</v>
      </c>
      <c r="I192" s="13">
        <v>42779.755185185182</v>
      </c>
      <c r="J192" s="7">
        <v>0</v>
      </c>
      <c r="K192" s="98" t="str">
        <f t="shared" si="46"/>
        <v>4015/4016</v>
      </c>
      <c r="L192" s="21" t="str">
        <f>VLOOKUP(A192,'Trips&amp;Operators'!$C$1:$G$99999,5,FALSE)</f>
        <v>DAVIDSON DAVID</v>
      </c>
      <c r="M192" s="6">
        <f t="shared" si="47"/>
        <v>1.0891203703067731E-2</v>
      </c>
      <c r="N192" s="7">
        <f t="shared" si="65"/>
        <v>15.683333332417533</v>
      </c>
      <c r="O192" s="7"/>
      <c r="P192" s="7"/>
      <c r="Q192" s="22"/>
      <c r="R192" s="22"/>
      <c r="S192" s="31">
        <f t="shared" si="48"/>
        <v>1</v>
      </c>
      <c r="T192" s="46" t="str">
        <f t="shared" si="49"/>
        <v>NorthBound</v>
      </c>
      <c r="U192" s="18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7" t="str">
        <f t="shared" si="50"/>
        <v>https://d0f6bd738d7f1b3e5a7ca70fe4ff75f0.us-east-1.aws.found.io/app/kibana#/discover/Steve-Slow-Train-Analysis-(2080s-and-2083s)?_g=(refreshInterval:(display:Off,pause:!f,section:0,value:0),time:(from:'2017-02-13T16:33:56-0700',mode:absolute,to:'2017-02-13T19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2" s="188" t="str">
        <f t="shared" si="51"/>
        <v>N</v>
      </c>
      <c r="X192" s="188">
        <f t="shared" si="66"/>
        <v>1</v>
      </c>
      <c r="Y192" s="62">
        <f t="shared" si="52"/>
        <v>9.8599999999999993E-2</v>
      </c>
      <c r="Z192" s="62">
        <f t="shared" si="53"/>
        <v>5.8928000000000003</v>
      </c>
      <c r="AA192" s="62">
        <f t="shared" si="54"/>
        <v>5.7942</v>
      </c>
      <c r="AB192" s="59" t="e">
        <f>VLOOKUP(A192,Enforcements!$C$7:$K$14,8,0)</f>
        <v>#N/A</v>
      </c>
      <c r="AC192" s="55" t="e">
        <f>VLOOKUP(A192,Enforcements!$C$7:$E$14,3,0)</f>
        <v>#N/A</v>
      </c>
      <c r="AD192" s="56" t="str">
        <f t="shared" si="55"/>
        <v>0835-13</v>
      </c>
      <c r="AE192" s="85" t="str">
        <f t="shared" si="56"/>
        <v>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 &amp; 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</v>
      </c>
      <c r="AF192" s="82" t="str">
        <f t="shared" si="57"/>
        <v>"C:\Program Files (x86)\AstroGrep\AstroGrep.exe" /spath="%USERPROFILE%\AppData\Local\Temp\OnboardLogs" /stypes="app*4016*20170214*" /stext=" 01:.+((SYSTEM_STATE.+slice.+state.+changed )|(ment ac)|(multiple cpu faults)|(system.+state.+changed )|(\[timeout)|(PRM\|1\|D)|(kpr)|(kdp)|(\|lc)|(penalty))" /e /r /s</v>
      </c>
      <c r="AG192" s="1" t="str">
        <f t="shared" si="58"/>
        <v>NW</v>
      </c>
      <c r="AH192" s="86" t="str">
        <f t="shared" si="59"/>
        <v>"%USERPROFILE%\Documents\GitHub\eaglep3\Utilities\RefineRTDCRunTimes.py" --tripid 835-13 --locoid 4016 --swversion DE.1.0.8.0 --startMP 204:986 --initTime 2017-02-13T17:33:56 --startdatetime 2017-02-13T17:51:47 --delay 1 --endMP 300:58928 --enddatetime 2017-02-13T18:07:28 --enforcementcount 0 &gt;&gt;C:\Users\stu\Documents\GitHub\eaglep3-reporting\EC\2017-02-13-refined-times.txt</v>
      </c>
      <c r="AI192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{"issue":{"subject":"","project_id":79,"tracker_id":40,"status_id":1,"priority_id":2,"assigned_to_id":23,"start_date":"2017-02-13","description":"","custom_fields":[{"id":1,"name":"Subdivision","value":"NW"},{"id":4,"name":"Milepost","value":"5.8928"},{"id":17,"name":"Train ID","value":"835-13"},{"id":16,"name":"Locomotive ID","value":"4016"},{"id":130,"name":"Impact","value":""},{"id":150,"name":"Time of Event (Mountain Time)","value":"18:07:28"},{"id":151,"name":"Denver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1"/>
        <v>start /low /b %USERPROFILE%\Documents\GitHub\eaglep3\Utilities\DownloadLogsFromS3.py --loco 4016 --day 2017-02-13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"%USERPROFILE%\AppData\Local\Temp\OnboardLogs"\RTDC4016\*4016*20170214* | grep -SE "(Enforcement Action)|(\[TIMEOUT)|(CHR.+\|PRM\|1\|D.+(SWITCH|SIGNAL).+UNKNOWN)" - &gt;&gt; 2017-02-13-UncaughtWiMAX.txt</v>
      </c>
    </row>
    <row r="193" spans="1:40" x14ac:dyDescent="0.25">
      <c r="A193" s="33" t="s">
        <v>707</v>
      </c>
      <c r="B193" s="7">
        <v>4015</v>
      </c>
      <c r="C193" s="21" t="s">
        <v>193</v>
      </c>
      <c r="D193" s="21" t="s">
        <v>888</v>
      </c>
      <c r="E193" s="13">
        <v>42779.756249999999</v>
      </c>
      <c r="F193" s="13">
        <v>42779.757719907408</v>
      </c>
      <c r="G193" s="7">
        <v>1</v>
      </c>
      <c r="H193" s="21" t="s">
        <v>889</v>
      </c>
      <c r="I193" s="13">
        <v>42779.768460648149</v>
      </c>
      <c r="J193" s="7">
        <v>0</v>
      </c>
      <c r="K193" s="98" t="str">
        <f t="shared" si="46"/>
        <v>4015/4016</v>
      </c>
      <c r="L193" s="21" t="str">
        <f>VLOOKUP(A193,'Trips&amp;Operators'!$C$1:$G$99999,5,FALSE)</f>
        <v>DAVIDSON DAVID</v>
      </c>
      <c r="M193" s="6">
        <f t="shared" si="47"/>
        <v>1.0740740741312038E-2</v>
      </c>
      <c r="N193" s="7">
        <f t="shared" ref="N193:N226" si="67">24*60*SUM($M193:$M193)</f>
        <v>15.466666667489335</v>
      </c>
      <c r="O193" s="7"/>
      <c r="P193" s="7"/>
      <c r="Q193" s="22"/>
      <c r="R193" s="22"/>
      <c r="S193" s="31">
        <f t="shared" si="48"/>
        <v>1</v>
      </c>
      <c r="T193" s="46" t="str">
        <f t="shared" si="49"/>
        <v>Southbound</v>
      </c>
      <c r="U193" s="18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7" t="str">
        <f t="shared" si="50"/>
        <v>https://d0f6bd738d7f1b3e5a7ca70fe4ff75f0.us-east-1.aws.found.io/app/kibana#/discover/Steve-Slow-Train-Analysis-(2080s-and-2083s)?_g=(refreshInterval:(display:Off,pause:!f,section:0,value:0),time:(from:'2017-02-13T17:09:00-0700',mode:absolute,to:'2017-02-13T19:26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3" s="188" t="str">
        <f t="shared" si="51"/>
        <v>N</v>
      </c>
      <c r="X193" s="188">
        <f t="shared" si="66"/>
        <v>1</v>
      </c>
      <c r="Y193" s="62">
        <f t="shared" si="52"/>
        <v>5.8605999999999998</v>
      </c>
      <c r="Z193" s="62">
        <f t="shared" si="53"/>
        <v>6.8000000000000005E-2</v>
      </c>
      <c r="AA193" s="62">
        <f t="shared" si="54"/>
        <v>5.7926000000000002</v>
      </c>
      <c r="AB193" s="59" t="e">
        <f>VLOOKUP(A193,Enforcements!$C$7:$K$14,8,0)</f>
        <v>#N/A</v>
      </c>
      <c r="AC193" s="55" t="e">
        <f>VLOOKUP(A193,Enforcements!$C$7:$E$14,3,0)</f>
        <v>#N/A</v>
      </c>
      <c r="AD193" s="56" t="str">
        <f t="shared" si="55"/>
        <v>0836-13</v>
      </c>
      <c r="AE193" s="85" t="str">
        <f t="shared" si="56"/>
        <v>aws s3 cp s3://rtdc.mdm.uploadarchive.raw/RTDC4015/ "%USERPROFILE%\AppData\Local\Temp\OnboardLogs"\RTDC4015\2017-02-13 --exclude "*" --recursive --include "*20170213*" &amp; "%USERPROFILE%\Documents\GitHub\mrs-test-scripts\Headless Mode &amp; Sideloading\WalkAndUnGZ.bat" "%USERPROFILE%\AppData\Local\Temp\OnboardLogs"\RTDC4015\2017-02-13 &amp; 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</v>
      </c>
      <c r="AF193" s="82" t="str">
        <f t="shared" si="57"/>
        <v>"C:\Program Files (x86)\AstroGrep\AstroGrep.exe" /spath="%USERPROFILE%\AppData\Local\Temp\OnboardLogs" /stypes="app*4015*20170214*" /stext=" 01:.+((SYSTEM_STATE.+slice.+state.+changed )|(ment ac)|(multiple cpu faults)|(system.+state.+changed )|(\[timeout)|(PRM\|1\|D)|(kpr)|(kdp)|(\|lc)|(penalty))" /e /r /s</v>
      </c>
      <c r="AG193" s="1" t="str">
        <f t="shared" si="58"/>
        <v>NW</v>
      </c>
      <c r="AH193" s="86" t="str">
        <f t="shared" si="59"/>
        <v>"%USERPROFILE%\Documents\GitHub\eaglep3\Utilities\RefineRTDCRunTimes.py" --tripid 836-13 --locoid 4015 --swversion DE.1.0.8.0 --startMP 300:58606 --initTime 2017-02-13T18:09:00 --startdatetime 2017-02-13T18:11:07 --delay 1 --endMP 204:680 --enddatetime 2017-02-13T18:26:35 --enforcementcount 0 &gt;&gt;C:\Users\stu\Documents\GitHub\eaglep3-reporting\EC\2017-02-13-refined-times.txt</v>
      </c>
      <c r="AI193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{"issue":{"subject":"","project_id":79,"tracker_id":40,"status_id":1,"priority_id":2,"assigned_to_id":23,"start_date":"2017-02-13","description":"","custom_fields":[{"id":1,"name":"Subdivision","value":"NW"},{"id":4,"name":"Milepost","value":"0.068"},{"id":17,"name":"Train ID","value":"836-13"},{"id":16,"name":"Locomotive ID","value":"4015"},{"id":130,"name":"Impact","value":""},{"id":150,"name":"Time of Event (Mountain Time)","value":"18:26:35"},{"id":151,"name":"Denver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1"/>
        <v>start /low /b %USERPROFILE%\Documents\GitHub\eaglep3\Utilities\DownloadLogsFromS3.py --loco 4015 --day 2017-02-13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"%USERPROFILE%\AppData\Local\Temp\OnboardLogs"\RTDC4015\*4015*20170214* | grep -SE "(Enforcement Action)|(\[TIMEOUT)|(CHR.+\|PRM\|1\|D.+(SWITCH|SIGNAL).+UNKNOWN)" - &gt;&gt; 2017-02-13-UncaughtWiMAX.txt</v>
      </c>
    </row>
    <row r="194" spans="1:40" x14ac:dyDescent="0.25">
      <c r="A194" s="33" t="s">
        <v>709</v>
      </c>
      <c r="B194" s="7">
        <v>4029</v>
      </c>
      <c r="C194" s="21" t="s">
        <v>193</v>
      </c>
      <c r="D194" s="21" t="s">
        <v>890</v>
      </c>
      <c r="E194" s="13">
        <v>42779.759351851855</v>
      </c>
      <c r="F194" s="13">
        <v>42779.764780092592</v>
      </c>
      <c r="G194" s="7">
        <v>1</v>
      </c>
      <c r="H194" s="21" t="s">
        <v>504</v>
      </c>
      <c r="I194" s="13">
        <v>42779.773854166669</v>
      </c>
      <c r="J194" s="7">
        <v>0</v>
      </c>
      <c r="K194" s="98" t="str">
        <f t="shared" si="46"/>
        <v>4029/4030</v>
      </c>
      <c r="L194" s="21" t="str">
        <f>VLOOKUP(A194,'Trips&amp;Operators'!$C$1:$G$99999,5,FALSE)</f>
        <v>LEVIN SCOTT</v>
      </c>
      <c r="M194" s="6">
        <f t="shared" si="47"/>
        <v>9.0740740779438056E-3</v>
      </c>
      <c r="N194" s="7">
        <f t="shared" si="67"/>
        <v>13.06666667223908</v>
      </c>
      <c r="O194" s="7"/>
      <c r="P194" s="7"/>
      <c r="Q194" s="22"/>
      <c r="R194" s="22"/>
      <c r="S194" s="31">
        <f t="shared" si="48"/>
        <v>1</v>
      </c>
      <c r="T194" s="46" t="str">
        <f t="shared" si="49"/>
        <v>NorthBound</v>
      </c>
      <c r="U194" s="18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7" t="str">
        <f t="shared" si="50"/>
        <v>https://d0f6bd738d7f1b3e5a7ca70fe4ff75f0.us-east-1.aws.found.io/app/kibana#/discover/Steve-Slow-Train-Analysis-(2080s-and-2083s)?_g=(refreshInterval:(display:Off,pause:!f,section:0,value:0),time:(from:'2017-02-13T17:13:28-0700',mode:absolute,to:'2017-02-13T19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4" s="188" t="str">
        <f t="shared" si="51"/>
        <v>N</v>
      </c>
      <c r="X194" s="188">
        <f t="shared" ref="X194:X226" si="68">VALUE(LEFT(AD194,4))-VALUE(LEFT(AD193,4))</f>
        <v>1</v>
      </c>
      <c r="Y194" s="62">
        <f t="shared" si="52"/>
        <v>9.3399999999999997E-2</v>
      </c>
      <c r="Z194" s="62">
        <f t="shared" si="53"/>
        <v>5.8935000000000004</v>
      </c>
      <c r="AA194" s="62">
        <f t="shared" si="54"/>
        <v>5.8001000000000005</v>
      </c>
      <c r="AB194" s="59" t="e">
        <f>VLOOKUP(A194,Enforcements!$C$7:$K$14,8,0)</f>
        <v>#N/A</v>
      </c>
      <c r="AC194" s="55" t="e">
        <f>VLOOKUP(A194,Enforcements!$C$7:$E$14,3,0)</f>
        <v>#N/A</v>
      </c>
      <c r="AD194" s="56" t="str">
        <f t="shared" si="55"/>
        <v>0837-13</v>
      </c>
      <c r="AE194" s="85" t="str">
        <f t="shared" si="56"/>
        <v>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 &amp; 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</v>
      </c>
      <c r="AF194" s="82" t="str">
        <f t="shared" si="57"/>
        <v>"C:\Program Files (x86)\AstroGrep\AstroGrep.exe" /spath="%USERPROFILE%\AppData\Local\Temp\OnboardLogs" /stypes="app*4029*20170214*" /stext=" 01:.+((SYSTEM_STATE.+slice.+state.+changed )|(ment ac)|(multiple cpu faults)|(system.+state.+changed )|(\[timeout)|(PRM\|1\|D)|(kpr)|(kdp)|(\|lc)|(penalty))" /e /r /s</v>
      </c>
      <c r="AG194" s="1" t="str">
        <f t="shared" si="58"/>
        <v>NW</v>
      </c>
      <c r="AH194" s="86" t="str">
        <f t="shared" si="59"/>
        <v>"%USERPROFILE%\Documents\GitHub\eaglep3\Utilities\RefineRTDCRunTimes.py" --tripid 837-13 --locoid 4029 --swversion DE.1.0.8.0 --startMP 204:934 --initTime 2017-02-13T18:13:28 --startdatetime 2017-02-13T18:21:17 --delay 1 --endMP 300:58935 --enddatetime 2017-02-13T18:34:21 --enforcementcount 0 &gt;&gt;C:\Users\stu\Documents\GitHub\eaglep3-reporting\EC\2017-02-13-refined-times.txt</v>
      </c>
      <c r="AI194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{"issue":{"subject":"","project_id":79,"tracker_id":40,"status_id":1,"priority_id":2,"assigned_to_id":23,"start_date":"2017-02-13","description":"","custom_fields":[{"id":1,"name":"Subdivision","value":"NW"},{"id":4,"name":"Milepost","value":"5.8935"},{"id":17,"name":"Train ID","value":"837-13"},{"id":16,"name":"Locomotive ID","value":"4029"},{"id":130,"name":"Impact","value":""},{"id":150,"name":"Time of Event (Mountain Time)","value":"18:34:21"},{"id":151,"name":"Denver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1"/>
        <v>start /low /b %USERPROFILE%\Documents\GitHub\eaglep3\Utilities\DownloadLogsFromS3.py --loco 4029 --day 2017-02-13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"%USERPROFILE%\AppData\Local\Temp\OnboardLogs"\RTDC4029\*4029*20170214* | grep -SE "(Enforcement Action)|(\[TIMEOUT)|(CHR.+\|PRM\|1\|D.+(SWITCH|SIGNAL).+UNKNOWN)" - &gt;&gt; 2017-02-13-UncaughtWiMAX.txt</v>
      </c>
    </row>
    <row r="195" spans="1:40" x14ac:dyDescent="0.25">
      <c r="A195" s="33" t="s">
        <v>715</v>
      </c>
      <c r="B195" s="7">
        <v>4030</v>
      </c>
      <c r="C195" s="21" t="s">
        <v>193</v>
      </c>
      <c r="D195" s="21" t="s">
        <v>459</v>
      </c>
      <c r="E195" s="13">
        <v>42779.775046296294</v>
      </c>
      <c r="F195" s="13">
        <v>42779.776226851849</v>
      </c>
      <c r="G195" s="7">
        <v>0</v>
      </c>
      <c r="H195" s="21" t="s">
        <v>891</v>
      </c>
      <c r="I195" s="13">
        <v>42779.78875</v>
      </c>
      <c r="J195" s="7">
        <v>0</v>
      </c>
      <c r="K195" s="98" t="str">
        <f t="shared" si="46"/>
        <v>4029/4030</v>
      </c>
      <c r="L195" s="21" t="str">
        <f>VLOOKUP(A195,'Trips&amp;Operators'!$C$1:$G$99999,5,FALSE)</f>
        <v>LEVIN SCOTT</v>
      </c>
      <c r="M195" s="6">
        <f t="shared" si="47"/>
        <v>1.2523148150648922E-2</v>
      </c>
      <c r="N195" s="7">
        <f t="shared" si="67"/>
        <v>18.033333336934447</v>
      </c>
      <c r="O195" s="7"/>
      <c r="P195" s="7"/>
      <c r="Q195" s="22"/>
      <c r="R195" s="22"/>
      <c r="S195" s="31">
        <f t="shared" si="48"/>
        <v>1</v>
      </c>
      <c r="T195" s="46" t="str">
        <f t="shared" si="49"/>
        <v>Southbound</v>
      </c>
      <c r="U195" s="18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7" t="str">
        <f t="shared" si="50"/>
        <v>https://d0f6bd738d7f1b3e5a7ca70fe4ff75f0.us-east-1.aws.found.io/app/kibana#/discover/Steve-Slow-Train-Analysis-(2080s-and-2083s)?_g=(refreshInterval:(display:Off,pause:!f,section:0,value:0),time:(from:'2017-02-13T17:36:04-0700',mode:absolute,to:'2017-02-13T19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5" s="188" t="str">
        <f t="shared" si="51"/>
        <v>N</v>
      </c>
      <c r="X195" s="188">
        <f t="shared" si="68"/>
        <v>1</v>
      </c>
      <c r="Y195" s="62">
        <f t="shared" si="52"/>
        <v>5.8611000000000004</v>
      </c>
      <c r="Z195" s="62">
        <f t="shared" si="53"/>
        <v>6.59E-2</v>
      </c>
      <c r="AA195" s="62">
        <f t="shared" si="54"/>
        <v>5.7952000000000004</v>
      </c>
      <c r="AB195" s="59" t="e">
        <f>VLOOKUP(A195,Enforcements!$C$7:$K$14,8,0)</f>
        <v>#N/A</v>
      </c>
      <c r="AC195" s="55" t="e">
        <f>VLOOKUP(A195,Enforcements!$C$7:$E$14,3,0)</f>
        <v>#N/A</v>
      </c>
      <c r="AD195" s="56" t="str">
        <f t="shared" si="55"/>
        <v>0838-13</v>
      </c>
      <c r="AE195" s="85" t="str">
        <f t="shared" si="56"/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AF195" s="82" t="str">
        <f t="shared" si="57"/>
        <v>"C:\Program Files (x86)\AstroGrep\AstroGrep.exe" /spath="%USERPROFILE%\AppData\Local\Temp\OnboardLogs" /stypes="app*4030*20170214*" /stext=" 01:.+((SYSTEM_STATE.+slice.+state.+changed )|(ment ac)|(multiple cpu faults)|(system.+state.+changed )|(\[timeout)|(PRM\|1\|D)|(kpr)|(kdp)|(\|lc)|(penalty))" /e /r /s</v>
      </c>
      <c r="AG195" s="1" t="str">
        <f t="shared" si="58"/>
        <v>NW</v>
      </c>
      <c r="AH195" s="86" t="str">
        <f t="shared" si="59"/>
        <v>"%USERPROFILE%\Documents\GitHub\eaglep3\Utilities\RefineRTDCRunTimes.py" --tripid 838-13 --locoid 4030 --swversion DE.1.0.8.0 --startMP 300:58611 --initTime 2017-02-13T18:36:04 --startdatetime 2017-02-13T18:37:46 --delay 0 --endMP 204:659 --enddatetime 2017-02-13T18:55:48 --enforcementcount 0 &gt;&gt;C:\Users\stu\Documents\GitHub\eaglep3-reporting\EC\2017-02-13-refined-times.txt</v>
      </c>
      <c r="AI195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{"issue":{"subject":"","project_id":79,"tracker_id":40,"status_id":1,"priority_id":2,"assigned_to_id":23,"start_date":"2017-02-13","description":"","custom_fields":[{"id":1,"name":"Subdivision","value":"NW"},{"id":4,"name":"Milepost","value":"0.0659"},{"id":17,"name":"Train ID","value":"838-13"},{"id":16,"name":"Locomotive ID","value":"4030"},{"id":130,"name":"Impact","value":""},{"id":150,"name":"Time of Event (Mountain Time)","value":"18:55:48"},{"id":151,"name":"Denver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1"/>
        <v>start /low /b %USERPROFILE%\Documents\GitHub\eaglep3\Utilities\DownloadLogsFromS3.py --loco 4030 --day 2017-02-13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"%USERPROFILE%\AppData\Local\Temp\OnboardLogs"\RTDC4030\*4030*20170214* | grep -SE "(Enforcement Action)|(\[TIMEOUT)|(CHR.+\|PRM\|1\|D.+(SWITCH|SIGNAL).+UNKNOWN)" - &gt;&gt; 2017-02-13-UncaughtWiMAX.txt</v>
      </c>
    </row>
    <row r="196" spans="1:40" x14ac:dyDescent="0.25">
      <c r="A196" s="33" t="s">
        <v>712</v>
      </c>
      <c r="B196" s="7">
        <v>4016</v>
      </c>
      <c r="C196" s="21" t="s">
        <v>193</v>
      </c>
      <c r="D196" s="21" t="s">
        <v>862</v>
      </c>
      <c r="E196" s="13">
        <v>42779.771412037036</v>
      </c>
      <c r="F196" s="13">
        <v>42779.78597222222</v>
      </c>
      <c r="G196" s="7">
        <v>1</v>
      </c>
      <c r="H196" s="21" t="s">
        <v>497</v>
      </c>
      <c r="I196" s="13">
        <v>42779.796712962961</v>
      </c>
      <c r="J196" s="7">
        <v>0</v>
      </c>
      <c r="K196" s="98" t="str">
        <f t="shared" si="46"/>
        <v>4015/4016</v>
      </c>
      <c r="L196" s="21" t="str">
        <f>VLOOKUP(A196,'Trips&amp;Operators'!$C$1:$G$99999,5,FALSE)</f>
        <v>DAVIDSON DAVID</v>
      </c>
      <c r="M196" s="6">
        <f t="shared" si="47"/>
        <v>1.0740740741312038E-2</v>
      </c>
      <c r="N196" s="7">
        <f t="shared" si="67"/>
        <v>15.466666667489335</v>
      </c>
      <c r="O196" s="7"/>
      <c r="P196" s="7"/>
      <c r="Q196" s="22"/>
      <c r="R196" s="22"/>
      <c r="S196" s="31">
        <f t="shared" si="48"/>
        <v>1</v>
      </c>
      <c r="T196" s="46" t="str">
        <f t="shared" si="49"/>
        <v>NorthBound</v>
      </c>
      <c r="U196" s="18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7" t="str">
        <f t="shared" si="50"/>
        <v>https://d0f6bd738d7f1b3e5a7ca70fe4ff75f0.us-east-1.aws.found.io/app/kibana#/discover/Steve-Slow-Train-Analysis-(2080s-and-2083s)?_g=(refreshInterval:(display:Off,pause:!f,section:0,value:0),time:(from:'2017-02-13T17:30:50-0700',mode:absolute,to:'2017-02-13T20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6" s="188" t="str">
        <f t="shared" si="51"/>
        <v>N</v>
      </c>
      <c r="X196" s="188">
        <f t="shared" si="68"/>
        <v>1</v>
      </c>
      <c r="Y196" s="62">
        <f t="shared" si="52"/>
        <v>9.7199999999999995E-2</v>
      </c>
      <c r="Z196" s="62">
        <f t="shared" si="53"/>
        <v>5.8924000000000003</v>
      </c>
      <c r="AA196" s="62">
        <f t="shared" si="54"/>
        <v>5.7952000000000004</v>
      </c>
      <c r="AB196" s="59" t="e">
        <f>VLOOKUP(A196,Enforcements!$C$7:$K$14,8,0)</f>
        <v>#N/A</v>
      </c>
      <c r="AC196" s="55" t="e">
        <f>VLOOKUP(A196,Enforcements!$C$7:$E$14,3,0)</f>
        <v>#N/A</v>
      </c>
      <c r="AD196" s="56" t="str">
        <f t="shared" si="55"/>
        <v>0839-13</v>
      </c>
      <c r="AE196" s="85" t="str">
        <f t="shared" si="56"/>
        <v>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 &amp; 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</v>
      </c>
      <c r="AF196" s="82" t="str">
        <f t="shared" si="57"/>
        <v>"C:\Program Files (x86)\AstroGrep\AstroGrep.exe" /spath="%USERPROFILE%\AppData\Local\Temp\OnboardLogs" /stypes="app*4016*20170214*" /stext=" 02:.+((SYSTEM_STATE.+slice.+state.+changed )|(ment ac)|(multiple cpu faults)|(system.+state.+changed )|(\[timeout)|(PRM\|1\|D)|(kpr)|(kdp)|(\|lc)|(penalty))" /e /r /s</v>
      </c>
      <c r="AG196" s="1" t="str">
        <f t="shared" si="58"/>
        <v>NW</v>
      </c>
      <c r="AH196" s="86" t="str">
        <f t="shared" si="59"/>
        <v>"%USERPROFILE%\Documents\GitHub\eaglep3\Utilities\RefineRTDCRunTimes.py" --tripid 839-13 --locoid 4016 --swversion DE.1.0.8.0 --startMP 204:972 --initTime 2017-02-13T18:30:50 --startdatetime 2017-02-13T18:51:48 --delay 1 --endMP 300:58924 --enddatetime 2017-02-13T19:07:16 --enforcementcount 0 &gt;&gt;C:\Users\stu\Documents\GitHub\eaglep3-reporting\EC\2017-02-13-refined-times.txt</v>
      </c>
      <c r="AI196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{"issue":{"subject":"","project_id":79,"tracker_id":40,"status_id":1,"priority_id":2,"assigned_to_id":23,"start_date":"2017-02-13","description":"","custom_fields":[{"id":1,"name":"Subdivision","value":"NW"},{"id":4,"name":"Milepost","value":"5.8924"},{"id":17,"name":"Train ID","value":"839-13"},{"id":16,"name":"Locomotive ID","value":"4016"},{"id":130,"name":"Impact","value":""},{"id":150,"name":"Time of Event (Mountain Time)","value":"19:07:16"},{"id":151,"name":"Denver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1"/>
        <v>start /low /b %USERPROFILE%\Documents\GitHub\eaglep3\Utilities\DownloadLogsFromS3.py --loco 4016 --day 2017-02-13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"%USERPROFILE%\AppData\Local\Temp\OnboardLogs"\RTDC4016\*4016*20170214* | grep -SE "(Enforcement Action)|(\[TIMEOUT)|(CHR.+\|PRM\|1\|D.+(SWITCH|SIGNAL).+UNKNOWN)" - &gt;&gt; 2017-02-13-UncaughtWiMAX.txt</v>
      </c>
    </row>
    <row r="197" spans="1:40" x14ac:dyDescent="0.25">
      <c r="A197" s="33" t="s">
        <v>726</v>
      </c>
      <c r="B197" s="7">
        <v>4030</v>
      </c>
      <c r="C197" s="21" t="s">
        <v>193</v>
      </c>
      <c r="D197" s="21" t="s">
        <v>881</v>
      </c>
      <c r="E197" s="13">
        <v>42779.816238425927</v>
      </c>
      <c r="F197" s="13">
        <v>42779.817557870374</v>
      </c>
      <c r="G197" s="7">
        <v>1</v>
      </c>
      <c r="H197" s="21" t="s">
        <v>869</v>
      </c>
      <c r="I197" s="13">
        <v>42779.829826388886</v>
      </c>
      <c r="J197" s="7">
        <v>0</v>
      </c>
      <c r="K197" s="98" t="str">
        <f t="shared" si="46"/>
        <v>4029/4030</v>
      </c>
      <c r="L197" s="21" t="str">
        <f>VLOOKUP(A197,'Trips&amp;Operators'!$C$1:$G$99999,5,FALSE)</f>
        <v>LEVIN SCOTT</v>
      </c>
      <c r="M197" s="6">
        <f t="shared" si="47"/>
        <v>1.2268518512428273E-2</v>
      </c>
      <c r="N197" s="7">
        <f t="shared" si="67"/>
        <v>17.666666657896712</v>
      </c>
      <c r="O197" s="7"/>
      <c r="P197" s="7"/>
      <c r="Q197" s="22"/>
      <c r="R197" s="22"/>
      <c r="S197" s="31">
        <f t="shared" si="48"/>
        <v>1</v>
      </c>
      <c r="T197" s="46" t="str">
        <f t="shared" si="49"/>
        <v>Southbound</v>
      </c>
      <c r="U197" s="18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7" t="str">
        <f t="shared" si="50"/>
        <v>https://d0f6bd738d7f1b3e5a7ca70fe4ff75f0.us-east-1.aws.found.io/app/kibana#/discover/Steve-Slow-Train-Analysis-(2080s-and-2083s)?_g=(refreshInterval:(display:Off,pause:!f,section:0,value:0),time:(from:'2017-02-13T18:35:23-0700',mode:absolute,to:'2017-02-13T20:54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7" s="188" t="str">
        <f t="shared" si="51"/>
        <v>N</v>
      </c>
      <c r="X197" s="188">
        <f t="shared" si="68"/>
        <v>1</v>
      </c>
      <c r="Y197" s="62">
        <f t="shared" si="52"/>
        <v>5.8620999999999999</v>
      </c>
      <c r="Z197" s="62">
        <f t="shared" si="53"/>
        <v>6.5199999999999994E-2</v>
      </c>
      <c r="AA197" s="62">
        <f t="shared" si="54"/>
        <v>5.7968999999999999</v>
      </c>
      <c r="AB197" s="59" t="e">
        <f>VLOOKUP(A197,Enforcements!$C$7:$K$14,8,0)</f>
        <v>#N/A</v>
      </c>
      <c r="AC197" s="55" t="e">
        <f>VLOOKUP(A197,Enforcements!$C$7:$E$14,3,0)</f>
        <v>#N/A</v>
      </c>
      <c r="AD197" s="56" t="str">
        <f t="shared" si="55"/>
        <v>0840-13</v>
      </c>
      <c r="AE197" s="85" t="str">
        <f t="shared" si="56"/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AF197" s="82" t="str">
        <f t="shared" si="57"/>
        <v>"C:\Program Files (x86)\AstroGrep\AstroGrep.exe" /spath="%USERPROFILE%\AppData\Local\Temp\OnboardLogs" /stypes="app*4030*20170214*" /stext=" 02:.+((SYSTEM_STATE.+slice.+state.+changed )|(ment ac)|(multiple cpu faults)|(system.+state.+changed )|(\[timeout)|(PRM\|1\|D)|(kpr)|(kdp)|(\|lc)|(penalty))" /e /r /s</v>
      </c>
      <c r="AG197" s="1" t="str">
        <f t="shared" si="58"/>
        <v>NW</v>
      </c>
      <c r="AH197" s="86" t="str">
        <f t="shared" si="59"/>
        <v>"%USERPROFILE%\Documents\GitHub\eaglep3\Utilities\RefineRTDCRunTimes.py" --tripid 840-13 --locoid 4030 --swversion DE.1.0.8.0 --startMP 300:58621 --initTime 2017-02-13T19:35:23 --startdatetime 2017-02-13T19:37:17 --delay 1 --endMP 204:652 --enddatetime 2017-02-13T19:54:57 --enforcementcount 0 &gt;&gt;C:\Users\stu\Documents\GitHub\eaglep3-reporting\EC\2017-02-13-refined-times.txt</v>
      </c>
      <c r="AI197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{"issue":{"subject":"","project_id":79,"tracker_id":40,"status_id":1,"priority_id":2,"assigned_to_id":23,"start_date":"2017-02-13","description":"","custom_fields":[{"id":1,"name":"Subdivision","value":"NW"},{"id":4,"name":"Milepost","value":"0.0652"},{"id":17,"name":"Train ID","value":"840-13"},{"id":16,"name":"Locomotive ID","value":"4030"},{"id":130,"name":"Impact","value":""},{"id":150,"name":"Time of Event (Mountain Time)","value":"19:54:57"},{"id":151,"name":"Denver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1"/>
        <v>start /low /b %USERPROFILE%\Documents\GitHub\eaglep3\Utilities\DownloadLogsFromS3.py --loco 4030 --day 2017-02-13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"%USERPROFILE%\AppData\Local\Temp\OnboardLogs"\RTDC4030\*4030*20170214* | grep -SE "(Enforcement Action)|(\[TIMEOUT)|(CHR.+\|PRM\|1\|D.+(SWITCH|SIGNAL).+UNKNOWN)" - &gt;&gt; 2017-02-13-UncaughtWiMAX.txt</v>
      </c>
    </row>
    <row r="198" spans="1:40" x14ac:dyDescent="0.25">
      <c r="A198" s="33" t="s">
        <v>721</v>
      </c>
      <c r="B198" s="7">
        <v>4029</v>
      </c>
      <c r="C198" s="21" t="s">
        <v>193</v>
      </c>
      <c r="D198" s="21" t="s">
        <v>870</v>
      </c>
      <c r="E198" s="13">
        <v>42779.802222222221</v>
      </c>
      <c r="F198" s="13">
        <v>42779.806423611109</v>
      </c>
      <c r="G198" s="7">
        <v>1</v>
      </c>
      <c r="H198" s="21" t="s">
        <v>503</v>
      </c>
      <c r="I198" s="13">
        <v>42779.81521990741</v>
      </c>
      <c r="J198" s="7">
        <v>0</v>
      </c>
      <c r="K198" s="98" t="str">
        <f t="shared" si="46"/>
        <v>4029/4030</v>
      </c>
      <c r="L198" s="21" t="str">
        <f>VLOOKUP(A198,'Trips&amp;Operators'!$C$1:$G$99999,5,FALSE)</f>
        <v>LEVIN SCOTT</v>
      </c>
      <c r="M198" s="6">
        <f t="shared" si="47"/>
        <v>8.7962963007157668E-3</v>
      </c>
      <c r="N198" s="7">
        <f t="shared" si="67"/>
        <v>12.666666673030704</v>
      </c>
      <c r="O198" s="7"/>
      <c r="P198" s="7"/>
      <c r="Q198" s="22"/>
      <c r="R198" s="22"/>
      <c r="S198" s="31">
        <f t="shared" si="48"/>
        <v>1</v>
      </c>
      <c r="T198" s="46" t="str">
        <f t="shared" si="49"/>
        <v>NorthBound</v>
      </c>
      <c r="U198" s="18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7" t="str">
        <f t="shared" si="50"/>
        <v>https://d0f6bd738d7f1b3e5a7ca70fe4ff75f0.us-east-1.aws.found.io/app/kibana#/discover/Steve-Slow-Train-Analysis-(2080s-and-2083s)?_g=(refreshInterval:(display:Off,pause:!f,section:0,value:0),time:(from:'2017-02-13T18:15:12-0700',mode:absolute,to:'2017-02-13T20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8" s="188" t="str">
        <f t="shared" si="51"/>
        <v>N</v>
      </c>
      <c r="X198" s="188">
        <f t="shared" si="68"/>
        <v>1</v>
      </c>
      <c r="Y198" s="62">
        <f t="shared" si="52"/>
        <v>9.5100000000000004E-2</v>
      </c>
      <c r="Z198" s="62">
        <f t="shared" si="53"/>
        <v>5.8940999999999999</v>
      </c>
      <c r="AA198" s="62">
        <f t="shared" si="54"/>
        <v>5.7989999999999995</v>
      </c>
      <c r="AB198" s="59" t="e">
        <f>VLOOKUP(A198,Enforcements!$C$7:$K$14,8,0)</f>
        <v>#N/A</v>
      </c>
      <c r="AC198" s="55" t="e">
        <f>VLOOKUP(A198,Enforcements!$C$7:$E$14,3,0)</f>
        <v>#N/A</v>
      </c>
      <c r="AD198" s="56" t="str">
        <f t="shared" si="55"/>
        <v>0841-13</v>
      </c>
      <c r="AE198" s="85" t="str">
        <f t="shared" si="56"/>
        <v>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 &amp; 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</v>
      </c>
      <c r="AF198" s="82" t="str">
        <f t="shared" si="57"/>
        <v>"C:\Program Files (x86)\AstroGrep\AstroGrep.exe" /spath="%USERPROFILE%\AppData\Local\Temp\OnboardLogs" /stypes="app*4029*20170214*" /stext=" 02:.+((SYSTEM_STATE.+slice.+state.+changed )|(ment ac)|(multiple cpu faults)|(system.+state.+changed )|(\[timeout)|(PRM\|1\|D)|(kpr)|(kdp)|(\|lc)|(penalty))" /e /r /s</v>
      </c>
      <c r="AG198" s="1" t="str">
        <f t="shared" si="58"/>
        <v>NW</v>
      </c>
      <c r="AH198" s="86" t="str">
        <f t="shared" si="59"/>
        <v>"%USERPROFILE%\Documents\GitHub\eaglep3\Utilities\RefineRTDCRunTimes.py" --tripid 841-13 --locoid 4029 --swversion DE.1.0.8.0 --startMP 204:951 --initTime 2017-02-13T19:15:12 --startdatetime 2017-02-13T19:21:15 --delay 1 --endMP 300:58941 --enddatetime 2017-02-13T19:33:55 --enforcementcount 0 &gt;&gt;C:\Users\stu\Documents\GitHub\eaglep3-reporting\EC\2017-02-13-refined-times.txt</v>
      </c>
      <c r="AI198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{"issue":{"subject":"","project_id":79,"tracker_id":40,"status_id":1,"priority_id":2,"assigned_to_id":23,"start_date":"2017-02-13","description":"","custom_fields":[{"id":1,"name":"Subdivision","value":"NW"},{"id":4,"name":"Milepost","value":"5.8941"},{"id":17,"name":"Train ID","value":"841-13"},{"id":16,"name":"Locomotive ID","value":"4029"},{"id":130,"name":"Impact","value":""},{"id":150,"name":"Time of Event (Mountain Time)","value":"19:33:55"},{"id":151,"name":"Denver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1"/>
        <v>start /low /b %USERPROFILE%\Documents\GitHub\eaglep3\Utilities\DownloadLogsFromS3.py --loco 4029 --day 2017-02-13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"%USERPROFILE%\AppData\Local\Temp\OnboardLogs"\RTDC4029\*4029*20170214* | grep -SE "(Enforcement Action)|(\[TIMEOUT)|(CHR.+\|PRM\|1\|D.+(SWITCH|SIGNAL).+UNKNOWN)" - &gt;&gt; 2017-02-13-UncaughtWiMAX.txt</v>
      </c>
    </row>
    <row r="199" spans="1:40" x14ac:dyDescent="0.25">
      <c r="A199" s="33" t="s">
        <v>734</v>
      </c>
      <c r="B199" s="7">
        <v>4030</v>
      </c>
      <c r="C199" s="21" t="s">
        <v>193</v>
      </c>
      <c r="D199" s="21" t="s">
        <v>493</v>
      </c>
      <c r="E199" s="13">
        <v>42779.858136574076</v>
      </c>
      <c r="F199" s="13">
        <v>42779.859409722223</v>
      </c>
      <c r="G199" s="7">
        <v>1</v>
      </c>
      <c r="H199" s="21" t="s">
        <v>892</v>
      </c>
      <c r="I199" s="13">
        <v>42779.871365740742</v>
      </c>
      <c r="J199" s="7">
        <v>0</v>
      </c>
      <c r="K199" s="98" t="str">
        <f t="shared" si="46"/>
        <v>4029/4030</v>
      </c>
      <c r="L199" s="21" t="str">
        <f>VLOOKUP(A199,'Trips&amp;Operators'!$C$1:$G$99999,5,FALSE)</f>
        <v>LEVIN SCOTT</v>
      </c>
      <c r="M199" s="6">
        <f t="shared" si="47"/>
        <v>1.1956018519413192E-2</v>
      </c>
      <c r="N199" s="7">
        <f t="shared" si="67"/>
        <v>17.216666667954996</v>
      </c>
      <c r="O199" s="7"/>
      <c r="P199" s="7"/>
      <c r="Q199" s="22"/>
      <c r="R199" s="22"/>
      <c r="S199" s="31">
        <f t="shared" si="48"/>
        <v>1</v>
      </c>
      <c r="T199" s="46" t="str">
        <f t="shared" si="49"/>
        <v>Southbound</v>
      </c>
      <c r="U199" s="18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7" t="str">
        <f t="shared" si="50"/>
        <v>https://d0f6bd738d7f1b3e5a7ca70fe4ff75f0.us-east-1.aws.found.io/app/kibana#/discover/Steve-Slow-Train-Analysis-(2080s-and-2083s)?_g=(refreshInterval:(display:Off,pause:!f,section:0,value:0),time:(from:'2017-02-13T19:35:43-0700',mode:absolute,to:'2017-02-13T21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9" s="188" t="str">
        <f t="shared" si="51"/>
        <v>N</v>
      </c>
      <c r="X199" s="188">
        <f t="shared" si="68"/>
        <v>1</v>
      </c>
      <c r="Y199" s="62">
        <f t="shared" si="52"/>
        <v>5.8623000000000003</v>
      </c>
      <c r="Z199" s="62">
        <f t="shared" si="53"/>
        <v>6.4500000000000002E-2</v>
      </c>
      <c r="AA199" s="62">
        <f t="shared" si="54"/>
        <v>5.7978000000000005</v>
      </c>
      <c r="AB199" s="59" t="e">
        <f>VLOOKUP(A199,Enforcements!$C$7:$K$14,8,0)</f>
        <v>#N/A</v>
      </c>
      <c r="AC199" s="55" t="e">
        <f>VLOOKUP(A199,Enforcements!$C$7:$E$14,3,0)</f>
        <v>#N/A</v>
      </c>
      <c r="AD199" s="56" t="str">
        <f t="shared" si="55"/>
        <v>0842-13</v>
      </c>
      <c r="AE199" s="85" t="str">
        <f t="shared" si="56"/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AF199" s="82" t="str">
        <f t="shared" si="57"/>
        <v>"C:\Program Files (x86)\AstroGrep\AstroGrep.exe" /spath="%USERPROFILE%\AppData\Local\Temp\OnboardLogs" /stypes="app*4030*20170214*" /stext=" 03:.+((SYSTEM_STATE.+slice.+state.+changed )|(ment ac)|(multiple cpu faults)|(system.+state.+changed )|(\[timeout)|(PRM\|1\|D)|(kpr)|(kdp)|(\|lc)|(penalty))" /e /r /s</v>
      </c>
      <c r="AG199" s="1" t="str">
        <f t="shared" si="58"/>
        <v>NW</v>
      </c>
      <c r="AH199" s="86" t="str">
        <f t="shared" si="59"/>
        <v>"%USERPROFILE%\Documents\GitHub\eaglep3\Utilities\RefineRTDCRunTimes.py" --tripid 842-13 --locoid 4030 --swversion DE.1.0.8.0 --startMP 300:58623 --initTime 2017-02-13T20:35:43 --startdatetime 2017-02-13T20:37:33 --delay 1 --endMP 204:645 --enddatetime 2017-02-13T20:54:46 --enforcementcount 0 &gt;&gt;C:\Users\stu\Documents\GitHub\eaglep3-reporting\EC\2017-02-13-refined-times.txt</v>
      </c>
      <c r="AI199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{"issue":{"subject":"","project_id":79,"tracker_id":40,"status_id":1,"priority_id":2,"assigned_to_id":23,"start_date":"2017-02-13","description":"","custom_fields":[{"id":1,"name":"Subdivision","value":"NW"},{"id":4,"name":"Milepost","value":"0.0645"},{"id":17,"name":"Train ID","value":"842-13"},{"id":16,"name":"Locomotive ID","value":"4030"},{"id":130,"name":"Impact","value":""},{"id":150,"name":"Time of Event (Mountain Time)","value":"20:54:46"},{"id":151,"name":"Denver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1"/>
        <v>start /low /b %USERPROFILE%\Documents\GitHub\eaglep3\Utilities\DownloadLogsFromS3.py --loco 4030 --day 2017-02-13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"%USERPROFILE%\AppData\Local\Temp\OnboardLogs"\RTDC4030\*4030*20170214* | grep -SE "(Enforcement Action)|(\[TIMEOUT)|(CHR.+\|PRM\|1\|D.+(SWITCH|SIGNAL).+UNKNOWN)" - &gt;&gt; 2017-02-13-UncaughtWiMAX.txt</v>
      </c>
    </row>
    <row r="200" spans="1:40" x14ac:dyDescent="0.25">
      <c r="A200" s="33" t="s">
        <v>730</v>
      </c>
      <c r="B200" s="7">
        <v>4029</v>
      </c>
      <c r="C200" s="21" t="s">
        <v>193</v>
      </c>
      <c r="D200" s="21" t="s">
        <v>893</v>
      </c>
      <c r="E200" s="13">
        <v>42779.84306712963</v>
      </c>
      <c r="F200" s="13">
        <v>42779.848101851851</v>
      </c>
      <c r="G200" s="7">
        <v>1</v>
      </c>
      <c r="H200" s="21" t="s">
        <v>499</v>
      </c>
      <c r="I200" s="13">
        <v>42779.85696759259</v>
      </c>
      <c r="J200" s="7">
        <v>0</v>
      </c>
      <c r="K200" s="98" t="str">
        <f t="shared" si="46"/>
        <v>4029/4030</v>
      </c>
      <c r="L200" s="21" t="str">
        <f>VLOOKUP(A200,'Trips&amp;Operators'!$C$1:$G$99999,5,FALSE)</f>
        <v>LEVIN SCOTT</v>
      </c>
      <c r="M200" s="6">
        <f t="shared" si="47"/>
        <v>8.8657407395658083E-3</v>
      </c>
      <c r="N200" s="7">
        <f t="shared" si="67"/>
        <v>12.766666664974764</v>
      </c>
      <c r="O200" s="7"/>
      <c r="P200" s="7"/>
      <c r="Q200" s="22"/>
      <c r="R200" s="22"/>
      <c r="S200" s="31">
        <f t="shared" si="48"/>
        <v>1</v>
      </c>
      <c r="T200" s="46" t="str">
        <f t="shared" si="49"/>
        <v>NorthBound</v>
      </c>
      <c r="U200" s="18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7" t="str">
        <f t="shared" si="50"/>
        <v>https://d0f6bd738d7f1b3e5a7ca70fe4ff75f0.us-east-1.aws.found.io/app/kibana#/discover/Steve-Slow-Train-Analysis-(2080s-and-2083s)?_g=(refreshInterval:(display:Off,pause:!f,section:0,value:0),time:(from:'2017-02-13T19:14:01-0700',mode:absolute,to:'2017-02-13T21:34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0" s="188" t="str">
        <f t="shared" si="51"/>
        <v>N</v>
      </c>
      <c r="X200" s="188">
        <f t="shared" si="68"/>
        <v>1</v>
      </c>
      <c r="Y200" s="62">
        <f t="shared" si="52"/>
        <v>9.4100000000000003E-2</v>
      </c>
      <c r="Z200" s="62">
        <f t="shared" si="53"/>
        <v>5.8933</v>
      </c>
      <c r="AA200" s="62">
        <f t="shared" si="54"/>
        <v>5.7991999999999999</v>
      </c>
      <c r="AB200" s="59" t="e">
        <f>VLOOKUP(A200,Enforcements!$C$7:$K$14,8,0)</f>
        <v>#N/A</v>
      </c>
      <c r="AC200" s="55" t="e">
        <f>VLOOKUP(A200,Enforcements!$C$7:$E$14,3,0)</f>
        <v>#N/A</v>
      </c>
      <c r="AD200" s="56" t="str">
        <f t="shared" si="55"/>
        <v>0843-13</v>
      </c>
      <c r="AE200" s="85" t="str">
        <f t="shared" si="56"/>
        <v>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 &amp; 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</v>
      </c>
      <c r="AF200" s="82" t="str">
        <f t="shared" si="57"/>
        <v>"C:\Program Files (x86)\AstroGrep\AstroGrep.exe" /spath="%USERPROFILE%\AppData\Local\Temp\OnboardLogs" /stypes="app*4029*20170214*" /stext=" 03:.+((SYSTEM_STATE.+slice.+state.+changed )|(ment ac)|(multiple cpu faults)|(system.+state.+changed )|(\[timeout)|(PRM\|1\|D)|(kpr)|(kdp)|(\|lc)|(penalty))" /e /r /s</v>
      </c>
      <c r="AG200" s="1" t="str">
        <f t="shared" si="58"/>
        <v>NW</v>
      </c>
      <c r="AH200" s="86" t="str">
        <f t="shared" si="59"/>
        <v>"%USERPROFILE%\Documents\GitHub\eaglep3\Utilities\RefineRTDCRunTimes.py" --tripid 843-13 --locoid 4029 --swversion DE.1.0.8.0 --startMP 204:941 --initTime 2017-02-13T20:14:01 --startdatetime 2017-02-13T20:21:16 --delay 1 --endMP 300:58933 --enddatetime 2017-02-13T20:34:02 --enforcementcount 0 &gt;&gt;C:\Users\stu\Documents\GitHub\eaglep3-reporting\EC\2017-02-13-refined-times.txt</v>
      </c>
      <c r="AI200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{"issue":{"subject":"","project_id":79,"tracker_id":40,"status_id":1,"priority_id":2,"assigned_to_id":23,"start_date":"2017-02-13","description":"","custom_fields":[{"id":1,"name":"Subdivision","value":"NW"},{"id":4,"name":"Milepost","value":"5.8933"},{"id":17,"name":"Train ID","value":"843-13"},{"id":16,"name":"Locomotive ID","value":"4029"},{"id":130,"name":"Impact","value":""},{"id":150,"name":"Time of Event (Mountain Time)","value":"20:34:02"},{"id":151,"name":"Denver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1"/>
        <v>start /low /b %USERPROFILE%\Documents\GitHub\eaglep3\Utilities\DownloadLogsFromS3.py --loco 4029 --day 2017-02-13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"%USERPROFILE%\AppData\Local\Temp\OnboardLogs"\RTDC4029\*4029*20170214* | grep -SE "(Enforcement Action)|(\[TIMEOUT)|(CHR.+\|PRM\|1\|D.+(SWITCH|SIGNAL).+UNKNOWN)" - &gt;&gt; 2017-02-13-UncaughtWiMAX.txt</v>
      </c>
    </row>
    <row r="201" spans="1:40" x14ac:dyDescent="0.25">
      <c r="A201" s="33" t="s">
        <v>740</v>
      </c>
      <c r="B201" s="7">
        <v>4030</v>
      </c>
      <c r="C201" s="21" t="s">
        <v>193</v>
      </c>
      <c r="D201" s="21" t="s">
        <v>894</v>
      </c>
      <c r="E201" s="13">
        <v>42779.901932870373</v>
      </c>
      <c r="F201" s="13">
        <v>42779.903541666667</v>
      </c>
      <c r="G201" s="7">
        <v>1</v>
      </c>
      <c r="H201" s="21" t="s">
        <v>861</v>
      </c>
      <c r="I201" s="13">
        <v>42779.913923611108</v>
      </c>
      <c r="J201" s="7">
        <v>0</v>
      </c>
      <c r="K201" s="98" t="str">
        <f t="shared" si="46"/>
        <v>4029/4030</v>
      </c>
      <c r="L201" s="21" t="str">
        <f>VLOOKUP(A201,'Trips&amp;Operators'!$C$1:$G$99999,5,FALSE)</f>
        <v>DAVIDSON DAVID</v>
      </c>
      <c r="M201" s="6">
        <f t="shared" si="47"/>
        <v>1.0381944441178348E-2</v>
      </c>
      <c r="N201" s="7">
        <f t="shared" si="67"/>
        <v>14.949999995296821</v>
      </c>
      <c r="O201" s="7"/>
      <c r="P201" s="7"/>
      <c r="Q201" s="22"/>
      <c r="R201" s="22"/>
      <c r="S201" s="31">
        <f t="shared" si="48"/>
        <v>1</v>
      </c>
      <c r="T201" s="46" t="str">
        <f t="shared" si="49"/>
        <v>Southbound</v>
      </c>
      <c r="U201" s="18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7" t="str">
        <f t="shared" si="50"/>
        <v>https://d0f6bd738d7f1b3e5a7ca70fe4ff75f0.us-east-1.aws.found.io/app/kibana#/discover/Steve-Slow-Train-Analysis-(2080s-and-2083s)?_g=(refreshInterval:(display:Off,pause:!f,section:0,value:0),time:(from:'2017-02-13T20:38:47-0700',mode:absolute,to:'2017-02-13T22:56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1" s="188" t="str">
        <f t="shared" si="51"/>
        <v>N</v>
      </c>
      <c r="X201" s="188">
        <f t="shared" si="68"/>
        <v>1</v>
      </c>
      <c r="Y201" s="62">
        <f t="shared" si="52"/>
        <v>5.8597999999999999</v>
      </c>
      <c r="Z201" s="62">
        <f t="shared" si="53"/>
        <v>6.7799999999999999E-2</v>
      </c>
      <c r="AA201" s="62">
        <f t="shared" si="54"/>
        <v>5.7919999999999998</v>
      </c>
      <c r="AB201" s="59" t="e">
        <f>VLOOKUP(A201,Enforcements!$C$7:$K$14,8,0)</f>
        <v>#N/A</v>
      </c>
      <c r="AC201" s="55" t="e">
        <f>VLOOKUP(A201,Enforcements!$C$7:$E$14,3,0)</f>
        <v>#N/A</v>
      </c>
      <c r="AD201" s="56" t="str">
        <f t="shared" si="55"/>
        <v>0844-13</v>
      </c>
      <c r="AE201" s="85" t="str">
        <f t="shared" si="56"/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AF201" s="82" t="str">
        <f t="shared" si="57"/>
        <v>"C:\Program Files (x86)\AstroGrep\AstroGrep.exe" /spath="%USERPROFILE%\AppData\Local\Temp\OnboardLogs" /stypes="app*4030*20170214*" /stext=" 04:.+((SYSTEM_STATE.+slice.+state.+changed )|(ment ac)|(multiple cpu faults)|(system.+state.+changed )|(\[timeout)|(PRM\|1\|D)|(kpr)|(kdp)|(\|lc)|(penalty))" /e /r /s</v>
      </c>
      <c r="AG201" s="1" t="str">
        <f t="shared" si="58"/>
        <v>NW</v>
      </c>
      <c r="AH201" s="86" t="str">
        <f t="shared" si="59"/>
        <v>"%USERPROFILE%\Documents\GitHub\eaglep3\Utilities\RefineRTDCRunTimes.py" --tripid 844-13 --locoid 4030 --swversion DE.1.0.8.0 --startMP 300:58598 --initTime 2017-02-13T21:38:47 --startdatetime 2017-02-13T21:41:06 --delay 1 --endMP 204:678 --enddatetime 2017-02-13T21:56:03 --enforcementcount 0 &gt;&gt;C:\Users\stu\Documents\GitHub\eaglep3-reporting\EC\2017-02-13-refined-times.txt</v>
      </c>
      <c r="AI201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{"issue":{"subject":"","project_id":79,"tracker_id":40,"status_id":1,"priority_id":2,"assigned_to_id":23,"start_date":"2017-02-13","description":"","custom_fields":[{"id":1,"name":"Subdivision","value":"NW"},{"id":4,"name":"Milepost","value":"0.0678"},{"id":17,"name":"Train ID","value":"844-13"},{"id":16,"name":"Locomotive ID","value":"4030"},{"id":130,"name":"Impact","value":""},{"id":150,"name":"Time of Event (Mountain Time)","value":"21:56:03"},{"id":151,"name":"Denver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1"/>
        <v>start /low /b %USERPROFILE%\Documents\GitHub\eaglep3\Utilities\DownloadLogsFromS3.py --loco 4030 --day 2017-02-13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"%USERPROFILE%\AppData\Local\Temp\OnboardLogs"\RTDC4030\*4030*20170214* | grep -SE "(Enforcement Action)|(\[TIMEOUT)|(CHR.+\|PRM\|1\|D.+(SWITCH|SIGNAL).+UNKNOWN)" - &gt;&gt; 2017-02-13-UncaughtWiMAX.txt</v>
      </c>
    </row>
    <row r="202" spans="1:40" x14ac:dyDescent="0.25">
      <c r="A202" s="33" t="s">
        <v>737</v>
      </c>
      <c r="B202" s="7">
        <v>4029</v>
      </c>
      <c r="C202" s="21" t="s">
        <v>193</v>
      </c>
      <c r="D202" s="21" t="s">
        <v>895</v>
      </c>
      <c r="E202" s="13">
        <v>42779.875</v>
      </c>
      <c r="F202" s="13">
        <v>42779.889884259261</v>
      </c>
      <c r="G202" s="7">
        <v>1</v>
      </c>
      <c r="H202" s="21" t="s">
        <v>896</v>
      </c>
      <c r="I202" s="13">
        <v>42779.900810185187</v>
      </c>
      <c r="J202" s="7">
        <v>0</v>
      </c>
      <c r="K202" s="98" t="str">
        <f t="shared" si="46"/>
        <v>4029/4030</v>
      </c>
      <c r="L202" s="21" t="str">
        <f>VLOOKUP(A202,'Trips&amp;Operators'!$C$1:$G$99999,5,FALSE)</f>
        <v>DAVIDSON DAVID</v>
      </c>
      <c r="M202" s="6">
        <f t="shared" si="47"/>
        <v>1.0925925926130731E-2</v>
      </c>
      <c r="N202" s="7">
        <f t="shared" si="67"/>
        <v>15.733333333628252</v>
      </c>
      <c r="O202" s="7"/>
      <c r="P202" s="7"/>
      <c r="Q202" s="22"/>
      <c r="R202" s="22"/>
      <c r="S202" s="31">
        <f t="shared" si="48"/>
        <v>1</v>
      </c>
      <c r="T202" s="46" t="str">
        <f t="shared" si="49"/>
        <v>NorthBound</v>
      </c>
      <c r="U202" s="18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7" t="str">
        <f t="shared" si="50"/>
        <v>https://d0f6bd738d7f1b3e5a7ca70fe4ff75f0.us-east-1.aws.found.io/app/kibana#/discover/Steve-Slow-Train-Analysis-(2080s-and-2083s)?_g=(refreshInterval:(display:Off,pause:!f,section:0,value:0),time:(from:'2017-02-13T20:00:00-0700',mode:absolute,to:'2017-02-13T22:37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2" s="188" t="str">
        <f t="shared" si="51"/>
        <v>N</v>
      </c>
      <c r="X202" s="188">
        <f t="shared" si="68"/>
        <v>1</v>
      </c>
      <c r="Y202" s="62">
        <f t="shared" si="52"/>
        <v>9.3700000000000006E-2</v>
      </c>
      <c r="Z202" s="62">
        <f t="shared" si="53"/>
        <v>5.8920000000000003</v>
      </c>
      <c r="AA202" s="62">
        <f t="shared" si="54"/>
        <v>5.7983000000000002</v>
      </c>
      <c r="AB202" s="59" t="e">
        <f>VLOOKUP(A202,Enforcements!$C$7:$K$14,8,0)</f>
        <v>#N/A</v>
      </c>
      <c r="AC202" s="55" t="e">
        <f>VLOOKUP(A202,Enforcements!$C$7:$E$14,3,0)</f>
        <v>#N/A</v>
      </c>
      <c r="AD202" s="56" t="str">
        <f t="shared" si="55"/>
        <v>0845-13</v>
      </c>
      <c r="AE202" s="85" t="str">
        <f t="shared" si="56"/>
        <v>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 &amp; 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</v>
      </c>
      <c r="AF202" s="82" t="str">
        <f t="shared" si="57"/>
        <v>"C:\Program Files (x86)\AstroGrep\AstroGrep.exe" /spath="%USERPROFILE%\AppData\Local\Temp\OnboardLogs" /stypes="app*4029*20170214*" /stext=" 04:.+((SYSTEM_STATE.+slice.+state.+changed )|(ment ac)|(multiple cpu faults)|(system.+state.+changed )|(\[timeout)|(PRM\|1\|D)|(kpr)|(kdp)|(\|lc)|(penalty))" /e /r /s</v>
      </c>
      <c r="AG202" s="1" t="str">
        <f t="shared" si="58"/>
        <v>NW</v>
      </c>
      <c r="AH202" s="86" t="str">
        <f t="shared" si="59"/>
        <v>"%USERPROFILE%\Documents\GitHub\eaglep3\Utilities\RefineRTDCRunTimes.py" --tripid 845-13 --locoid 4029 --swversion DE.1.0.8.0 --startMP 204:937 --initTime 2017-02-13T21:00:00 --startdatetime 2017-02-13T21:21:26 --delay 1 --endMP 300:58920 --enddatetime 2017-02-13T21:37:10 --enforcementcount 0 &gt;&gt;C:\Users\stu\Documents\GitHub\eaglep3-reporting\EC\2017-02-13-refined-times.txt</v>
      </c>
      <c r="AI202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{"issue":{"subject":"","project_id":79,"tracker_id":40,"status_id":1,"priority_id":2,"assigned_to_id":23,"start_date":"2017-02-13","description":"","custom_fields":[{"id":1,"name":"Subdivision","value":"NW"},{"id":4,"name":"Milepost","value":"5.892"},{"id":17,"name":"Train ID","value":"845-13"},{"id":16,"name":"Locomotive ID","value":"4029"},{"id":130,"name":"Impact","value":""},{"id":150,"name":"Time of Event (Mountain Time)","value":"21:37:10"},{"id":151,"name":"Denver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1"/>
        <v>start /low /b %USERPROFILE%\Documents\GitHub\eaglep3\Utilities\DownloadLogsFromS3.py --loco 4029 --day 2017-02-13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"%USERPROFILE%\AppData\Local\Temp\OnboardLogs"\RTDC4029\*4029*20170214* | grep -SE "(Enforcement Action)|(\[TIMEOUT)|(CHR.+\|PRM\|1\|D.+(SWITCH|SIGNAL).+UNKNOWN)" - &gt;&gt; 2017-02-13-UncaughtWiMAX.txt</v>
      </c>
    </row>
    <row r="203" spans="1:40" x14ac:dyDescent="0.25">
      <c r="A203" s="33" t="s">
        <v>743</v>
      </c>
      <c r="B203" s="7">
        <v>4029</v>
      </c>
      <c r="C203" s="21" t="s">
        <v>193</v>
      </c>
      <c r="D203" s="21" t="s">
        <v>897</v>
      </c>
      <c r="E203" s="13">
        <v>42779.918807870374</v>
      </c>
      <c r="F203" s="13">
        <v>42779.931550925925</v>
      </c>
      <c r="G203" s="7">
        <v>1</v>
      </c>
      <c r="H203" s="21" t="s">
        <v>501</v>
      </c>
      <c r="I203" s="13">
        <v>42779.942152777781</v>
      </c>
      <c r="J203" s="7">
        <v>0</v>
      </c>
      <c r="K203" s="98" t="str">
        <f t="shared" si="46"/>
        <v>4029/4030</v>
      </c>
      <c r="L203" s="21" t="str">
        <f>VLOOKUP(A203,'Trips&amp;Operators'!$C$1:$G$99999,5,FALSE)</f>
        <v>DAVIDSON DAVID</v>
      </c>
      <c r="M203" s="6">
        <f t="shared" si="47"/>
        <v>1.0601851856335998E-2</v>
      </c>
      <c r="N203" s="7">
        <f t="shared" si="67"/>
        <v>15.266666673123837</v>
      </c>
      <c r="O203" s="7"/>
      <c r="P203" s="7"/>
      <c r="Q203" s="22"/>
      <c r="R203" s="22"/>
      <c r="S203" s="31">
        <f t="shared" si="48"/>
        <v>1</v>
      </c>
      <c r="T203" s="46" t="str">
        <f t="shared" si="49"/>
        <v>NorthBound</v>
      </c>
      <c r="U203" s="18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7" t="str">
        <f t="shared" si="50"/>
        <v>https://d0f6bd738d7f1b3e5a7ca70fe4ff75f0.us-east-1.aws.found.io/app/kibana#/discover/Steve-Slow-Train-Analysis-(2080s-and-2083s)?_g=(refreshInterval:(display:Off,pause:!f,section:0,value:0),time:(from:'2017-02-13T21:03:05-0700',mode:absolute,to:'2017-02-13T23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3" s="188" t="str">
        <f t="shared" si="51"/>
        <v>N</v>
      </c>
      <c r="X203" s="188">
        <f t="shared" si="68"/>
        <v>2</v>
      </c>
      <c r="Y203" s="62">
        <f t="shared" si="52"/>
        <v>9.9699999999999997E-2</v>
      </c>
      <c r="Z203" s="62">
        <f t="shared" si="53"/>
        <v>5.8921999999999999</v>
      </c>
      <c r="AA203" s="62">
        <f t="shared" si="54"/>
        <v>5.7924999999999995</v>
      </c>
      <c r="AB203" s="59" t="e">
        <f>VLOOKUP(A203,Enforcements!$C$7:$K$14,8,0)</f>
        <v>#N/A</v>
      </c>
      <c r="AC203" s="55" t="e">
        <f>VLOOKUP(A203,Enforcements!$C$7:$E$14,3,0)</f>
        <v>#N/A</v>
      </c>
      <c r="AD203" s="56" t="str">
        <f t="shared" si="55"/>
        <v>0847-13</v>
      </c>
      <c r="AE203" s="85" t="str">
        <f t="shared" si="56"/>
        <v>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 &amp; 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</v>
      </c>
      <c r="AF203" s="82" t="str">
        <f t="shared" si="57"/>
        <v>"C:\Program Files (x86)\AstroGrep\AstroGrep.exe" /spath="%USERPROFILE%\AppData\Local\Temp\OnboardLogs" /stypes="app*4029*20170214*" /stext=" 05:.+((SYSTEM_STATE.+slice.+state.+changed )|(ment ac)|(multiple cpu faults)|(system.+state.+changed )|(\[timeout)|(PRM\|1\|D)|(kpr)|(kdp)|(\|lc)|(penalty))" /e /r /s</v>
      </c>
      <c r="AG203" s="1" t="str">
        <f t="shared" si="58"/>
        <v>NW</v>
      </c>
      <c r="AH203" s="86" t="str">
        <f t="shared" si="59"/>
        <v>"%USERPROFILE%\Documents\GitHub\eaglep3\Utilities\RefineRTDCRunTimes.py" --tripid 847-13 --locoid 4029 --swversion DE.1.0.8.0 --startMP 204:997 --initTime 2017-02-13T22:03:05 --startdatetime 2017-02-13T22:21:26 --delay 1 --endMP 300:58922 --enddatetime 2017-02-13T22:36:42 --enforcementcount 0 &gt;&gt;C:\Users\stu\Documents\GitHub\eaglep3-reporting\EC\2017-02-13-refined-times.txt</v>
      </c>
      <c r="AI203" s="108" t="str">
        <f t="shared" si="60"/>
        <v>echo {"issue":{"subject":"","project_id":79,"tracker_id":40,"status_id":1,"priority_id":2,"assigned_to_id":23,"start_date":"2017-02-13","description":"","custom_fields":[{"id":1,"name":"Subdivision","value":"NW"},{"id":4,"name":"Milepost","value":"5.8922"},{"id":17,"name":"Train ID","value":"847-13"},{"id":16,"name":"Locomotive ID","value":"4029"},{"id":130,"name":"Impact","value":""},{"id":150,"name":"Time of Event (Mountain Time)","value":"22:36:42"},{"id":151,"name":"Denver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1"/>
        <v>start /low /b %USERPROFILE%\Documents\GitHub\eaglep3\Utilities\DownloadLogsFromS3.py --loco 4029 --day 2017-02-13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"%USERPROFILE%\AppData\Local\Temp\OnboardLogs"\RTDC4029\*4029*20170214* | grep -SE "(Enforcement Action)|(\[TIMEOUT)|(CHR.+\|PRM\|1\|D.+(SWITCH|SIGNAL).+UNKNOWN)" - &gt;&gt; 2017-02-13-UncaughtWiMAX.txt</v>
      </c>
    </row>
    <row r="204" spans="1:40" x14ac:dyDescent="0.25">
      <c r="A204" s="33" t="s">
        <v>553</v>
      </c>
      <c r="B204" s="7">
        <v>4019</v>
      </c>
      <c r="C204" s="21" t="s">
        <v>193</v>
      </c>
      <c r="D204" s="21" t="s">
        <v>824</v>
      </c>
      <c r="E204" s="13">
        <v>42779.118483796294</v>
      </c>
      <c r="F204" s="13">
        <v>42779.121759259258</v>
      </c>
      <c r="G204" s="7">
        <v>4</v>
      </c>
      <c r="H204" s="21" t="s">
        <v>762</v>
      </c>
      <c r="I204" s="13">
        <v>42779.127939814818</v>
      </c>
      <c r="J204" s="7">
        <v>0</v>
      </c>
      <c r="K204" s="98" t="str">
        <f t="shared" si="46"/>
        <v>4019/4020</v>
      </c>
      <c r="L204" s="21" t="str">
        <f>VLOOKUP(A204,'Trips&amp;Operators'!$C$1:$G$99999,5,FALSE)</f>
        <v>OUN ZACK</v>
      </c>
      <c r="M204" s="6">
        <f t="shared" si="47"/>
        <v>6.180555559694767E-3</v>
      </c>
      <c r="N204" s="7">
        <f t="shared" si="67"/>
        <v>8.9000000059604645</v>
      </c>
      <c r="O204" s="7"/>
      <c r="P204" s="7"/>
      <c r="Q204" s="22"/>
      <c r="R204" s="22"/>
      <c r="S204" s="31">
        <f t="shared" si="48"/>
        <v>1</v>
      </c>
      <c r="T204" s="46" t="str">
        <f t="shared" si="49"/>
        <v>Southbound</v>
      </c>
      <c r="U204" s="18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7" t="str">
        <f t="shared" si="50"/>
        <v>https://d0f6bd738d7f1b3e5a7ca70fe4ff75f0.us-east-1.aws.found.io/app/kibana#/discover/Steve-Slow-Train-Analysis-(2080s-and-2083s)?_g=(refreshInterval:(display:Off,pause:!f,section:0,value:0),time:(from:'2017-02-13T01:50:37-0700',mode:absolute,to:'2017-02-13T04:04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4" s="188" t="str">
        <f t="shared" si="51"/>
        <v>Y</v>
      </c>
      <c r="X204" s="188">
        <f t="shared" si="68"/>
        <v>-545</v>
      </c>
      <c r="Y204" s="62">
        <f t="shared" si="52"/>
        <v>2.3170999999999999</v>
      </c>
      <c r="Z204" s="62">
        <f t="shared" si="53"/>
        <v>1.32E-2</v>
      </c>
      <c r="AA204" s="62">
        <f t="shared" si="54"/>
        <v>2.3039000000000001</v>
      </c>
      <c r="AB204" s="59" t="e">
        <f>VLOOKUP(A204,Enforcements!$C$7:$K$14,8,0)</f>
        <v>#N/A</v>
      </c>
      <c r="AC204" s="55" t="e">
        <f>VLOOKUP(A204,Enforcements!$C$7:$E$14,3,0)</f>
        <v>#N/A</v>
      </c>
      <c r="AD204" s="56" t="str">
        <f t="shared" si="55"/>
        <v>0302-13</v>
      </c>
      <c r="AE204" s="85" t="str">
        <f t="shared" si="56"/>
        <v>aws s3 cp s3://rtdc.mdm.uploadarchive.raw/RTDC4019/ "%USERPROFILE%\AppData\Local\Temp\OnboardLogs"\RTDC4019\2017-02-13 --exclude "*" --recursive --include "*20170213*" &amp; "%USERPROFILE%\Documents\GitHub\mrs-test-scripts\Headless Mode &amp; Sideloading\WalkAndUnGZ.bat" "%USERPROFILE%\AppData\Local\Temp\OnboardLogs"\RTDC4019\2017-02-13 &amp; 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</v>
      </c>
      <c r="AF204" s="82" t="str">
        <f t="shared" si="57"/>
        <v>"C:\Program Files (x86)\AstroGrep\AstroGrep.exe" /spath="%USERPROFILE%\AppData\Local\Temp\OnboardLogs" /stypes="app*4019*20170213*" /stext=" 10:.+((SYSTEM_STATE.+slice.+state.+changed )|(ment ac)|(multiple cpu faults)|(system.+state.+changed )|(\[timeout)|(PRM\|1\|D)|(kpr)|(kdp)|(\|lc)|(penalty))" /e /r /s</v>
      </c>
      <c r="AG204" s="1" t="str">
        <f t="shared" si="58"/>
        <v>Other</v>
      </c>
      <c r="AH204" s="86" t="str">
        <f t="shared" si="59"/>
        <v>"%USERPROFILE%\Documents\GitHub\eaglep3\Utilities\RefineRTDCRunTimes.py" --tripid 302-13 --locoid 4019 --swversion DE.1.0.8.0 --startMP 300:23171 --initTime 2017-02-13T02:50:37 --startdatetime 2017-02-13T02:55:20 --delay 4 --endMP 204:132 --enddatetime 2017-02-13T03:04:14 --enforcementcount 0 &gt;&gt;C:\Users\stu\Documents\GitHub\eaglep3-reporting\EC\2017-02-13-refined-times.txt</v>
      </c>
      <c r="AI204" s="108" t="str">
        <f t="shared" si="60"/>
        <v>echo {"issue":{"subject":"","project_id":79,"tracker_id":40,"status_id":1,"priority_id":2,"assigned_to_id":23,"start_date":"2017-02-13","description":"","custom_fields":[{"id":1,"name":"Subdivision","value":"Other"},{"id":4,"name":"Milepost","value":"0.0132"},{"id":17,"name":"Train ID","value":"302-13"},{"id":16,"name":"Locomotive ID","value":"4019"},{"id":130,"name":"Impact","value":""},{"id":150,"name":"Time of Event (Mountain Time)","value":"03:04:14"},{"id":151,"name":"Denver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1"/>
        <v>start /low /b %USERPROFILE%\Documents\GitHub\eaglep3\Utilities\DownloadLogsFromS3.py --loco 4019 --day 2017-02-13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"%USERPROFILE%\AppData\Local\Temp\OnboardLogs"\RTDC4019\*4019*20170213* | grep -SE "(Enforcement Action)|(\[TIMEOUT)|(CHR.+\|PRM\|1\|D.+(SWITCH|SIGNAL).+UNKNOWN)" - &gt;&gt; 2017-02-13-UncaughtWiMAX.txt</v>
      </c>
    </row>
    <row r="205" spans="1:40" x14ac:dyDescent="0.25">
      <c r="A205" s="33" t="s">
        <v>714</v>
      </c>
      <c r="B205" s="7">
        <v>4009</v>
      </c>
      <c r="C205" s="21" t="s">
        <v>193</v>
      </c>
      <c r="D205" s="21" t="s">
        <v>825</v>
      </c>
      <c r="E205" s="13">
        <v>42779.774398148147</v>
      </c>
      <c r="F205" s="13">
        <v>25568.708333333332</v>
      </c>
      <c r="G205" s="7">
        <v>1</v>
      </c>
      <c r="H205" s="21" t="s">
        <v>457</v>
      </c>
      <c r="I205" s="13">
        <v>25568.708333333332</v>
      </c>
      <c r="J205" s="7">
        <v>0</v>
      </c>
      <c r="K205" s="98" t="str">
        <f t="shared" ref="K205:K226" si="69">IF(ISEVEN(B205),(B205-1)&amp;"/"&amp;B205,B205&amp;"/"&amp;(B205+1))</f>
        <v>4009/4010</v>
      </c>
      <c r="L205" s="21" t="str">
        <f>VLOOKUP(A205,'Trips&amp;Operators'!$C$1:$G$99999,5,FALSE)</f>
        <v>ROMERO CHAD</v>
      </c>
      <c r="M205" s="6">
        <f t="shared" ref="M205:M226" si="70">I205-F205</f>
        <v>0</v>
      </c>
      <c r="N205" s="7">
        <f t="shared" si="67"/>
        <v>0</v>
      </c>
      <c r="O205" s="7"/>
      <c r="P205" s="7"/>
      <c r="Q205" s="22"/>
      <c r="R205" s="22"/>
      <c r="S205" s="31">
        <f t="shared" ref="S205:S226" si="71">SUM(U205:U205)/IF(AG205="EC",12,1)</f>
        <v>1</v>
      </c>
      <c r="T205" s="46" t="str">
        <f t="shared" ref="T205:T226" si="72">IF(ISEVEN(LEFT(AD205,4)),"Southbound","NorthBound")</f>
        <v>NorthBound</v>
      </c>
      <c r="U205" s="18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7" t="str">
        <f t="shared" ref="V205:V226" si="7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-13T17:35:08-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5" s="188" t="str">
        <f t="shared" ref="W205:W226" si="74">IF(AA205&lt;IF(AG205="EC",23,5.65),"Y","N")</f>
        <v>Y</v>
      </c>
      <c r="X205" s="188">
        <f t="shared" si="68"/>
        <v>1</v>
      </c>
      <c r="Y205" s="62">
        <f t="shared" ref="Y205:Y226" si="75">RIGHT(D205,LEN(D205)-4)/10000</f>
        <v>0.1231</v>
      </c>
      <c r="Z205" s="62">
        <f t="shared" ref="Z205:Z226" si="76">RIGHT(H205,LEN(H205)-4)/10000</f>
        <v>2.3306</v>
      </c>
      <c r="AA205" s="62">
        <f t="shared" ref="AA205:AA226" si="77">ABS(Z205-Y205)</f>
        <v>2.2075</v>
      </c>
      <c r="AB205" s="59" t="e">
        <f>VLOOKUP(A205,Enforcements!$C$7:$K$14,8,0)</f>
        <v>#N/A</v>
      </c>
      <c r="AC205" s="55" t="e">
        <f>VLOOKUP(A205,Enforcements!$C$7:$E$14,3,0)</f>
        <v>#N/A</v>
      </c>
      <c r="AD205" s="56" t="str">
        <f t="shared" ref="AD205:AD226" si="78">IF(LEN(A205)=6,"0"&amp;A205,A205)</f>
        <v>0303-13</v>
      </c>
      <c r="AE205" s="85" t="str">
        <f t="shared" ref="AE205:AE226" si="7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05" s="82" t="str">
        <f t="shared" ref="AF205:AF226" si="80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05" s="1" t="str">
        <f t="shared" ref="AG205:AG226" si="81">IFERROR(IF(VALUE(LEFT(AD205,2))&lt;=2,"EC",IF(OR(VALUE(LEFT(AD205,2))=8,VALUE(LEFT(AD205,2))=18),"NW","Other")),"Other")</f>
        <v>Other</v>
      </c>
      <c r="AH205" s="86" t="str">
        <f t="shared" si="59"/>
        <v>"%USERPROFILE%\Documents\GitHub\eaglep3\Utilities\RefineRTDCRunTimes.py" --tripid 303-13 --locoid 4009 --swversion DE.1.0.8.0 --startMP 204:1231 --initTime 2017-02-13T18:35:08 --startdatetime 1969-12-31T17:00:00 --delay 1 --endMP 300:23306 --enddatetime 1969-12-31T17:00:00 --enforcementcount 0 &gt;&gt;C:\Users\stu\Documents\GitHub\eaglep3-reporting\EC\2017-02-13-refined-times.txt</v>
      </c>
      <c r="AI205" s="108" t="str">
        <f t="shared" si="60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ID","value":"303-13"},{"id":16,"name":"Locomotive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61"/>
        <v>start /low /b %USERPROFILE%\Documents\GitHub\eaglep3\Utilities\DownloadLogsFromS3.py --loco 4009 --day 1969-12-31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"%USERPROFILE%\AppData\Local\Temp\OnboardLogs"\RTDC4009\*4009*19700101* | grep -SE "(Enforcement Action)|(\[TIMEOUT)|(CHR.+\|PRM\|1\|D.+(SWITCH|SIGNAL).+UNKNOWN)" - &gt;&gt; 2017-02-13-UncaughtWiMAX.txt</v>
      </c>
    </row>
    <row r="206" spans="1:40" x14ac:dyDescent="0.25">
      <c r="A206" s="33" t="s">
        <v>557</v>
      </c>
      <c r="B206" s="7">
        <v>4039</v>
      </c>
      <c r="C206" s="21" t="s">
        <v>193</v>
      </c>
      <c r="D206" s="21" t="s">
        <v>826</v>
      </c>
      <c r="E206" s="13">
        <v>42779.137037037035</v>
      </c>
      <c r="F206" s="13">
        <v>42779.139699074076</v>
      </c>
      <c r="G206" s="7">
        <v>3</v>
      </c>
      <c r="H206" s="21" t="s">
        <v>491</v>
      </c>
      <c r="I206" s="13">
        <v>42779.144317129627</v>
      </c>
      <c r="J206" s="7">
        <v>0</v>
      </c>
      <c r="K206" s="98" t="str">
        <f t="shared" si="69"/>
        <v>4039/4040</v>
      </c>
      <c r="L206" s="21" t="str">
        <f>VLOOKUP(A206,'Trips&amp;Operators'!$C$1:$G$99999,5,FALSE)</f>
        <v>MAELZER KURT</v>
      </c>
      <c r="M206" s="6">
        <f t="shared" si="70"/>
        <v>4.6180555509636179E-3</v>
      </c>
      <c r="N206" s="7">
        <f t="shared" si="67"/>
        <v>6.6499999933876097</v>
      </c>
      <c r="O206" s="7"/>
      <c r="P206" s="7"/>
      <c r="Q206" s="22"/>
      <c r="R206" s="22"/>
      <c r="S206" s="31">
        <f t="shared" si="71"/>
        <v>1</v>
      </c>
      <c r="T206" s="46" t="str">
        <f t="shared" si="72"/>
        <v>Southbound</v>
      </c>
      <c r="U206" s="18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7" t="str">
        <f t="shared" si="73"/>
        <v>https://d0f6bd738d7f1b3e5a7ca70fe4ff75f0.us-east-1.aws.found.io/app/kibana#/discover/Steve-Slow-Train-Analysis-(2080s-and-2083s)?_g=(refreshInterval:(display:Off,pause:!f,section:0,value:0),time:(from:'2017-02-13T02:17:20-0700',mode:absolute,to:'2017-02-13T04:27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6" s="188" t="str">
        <f t="shared" si="74"/>
        <v>Y</v>
      </c>
      <c r="X206" s="188">
        <f t="shared" si="68"/>
        <v>1</v>
      </c>
      <c r="Y206" s="62">
        <f t="shared" si="75"/>
        <v>1.9761</v>
      </c>
      <c r="Z206" s="62">
        <f t="shared" si="76"/>
        <v>1.38E-2</v>
      </c>
      <c r="AA206" s="62">
        <f t="shared" si="77"/>
        <v>1.9622999999999999</v>
      </c>
      <c r="AB206" s="59" t="e">
        <f>VLOOKUP(A206,Enforcements!$C$7:$K$14,8,0)</f>
        <v>#N/A</v>
      </c>
      <c r="AC206" s="55" t="e">
        <f>VLOOKUP(A206,Enforcements!$C$7:$E$14,3,0)</f>
        <v>#N/A</v>
      </c>
      <c r="AD206" s="56" t="str">
        <f t="shared" si="78"/>
        <v>0304-13</v>
      </c>
      <c r="AE206" s="85" t="str">
        <f t="shared" si="79"/>
        <v>aws s3 cp s3://rtdc.mdm.uploadarchive.raw/RTDC4039/ "%USERPROFILE%\AppData\Local\Temp\OnboardLogs"\RTDC4039\2017-02-13 --exclude "*" --recursive --include "*20170213*" &amp; "%USERPROFILE%\Documents\GitHub\mrs-test-scripts\Headless Mode &amp; Sideloading\WalkAndUnGZ.bat" "%USERPROFILE%\AppData\Local\Temp\OnboardLogs"\RTDC4039\2017-02-13 &amp; aws s3 cp s3://rtdc.mdm.uploadarchive.raw/RTDC4039/ "%USERPROFILE%\AppData\Local\Temp\OnboardLogs"\RTDC4039\2017-02-14 --exclude "*" --recursive --include "*20170214*" &amp; "%USERPROFILE%\Documents\GitHub\mrs-test-scripts\Headless Mode &amp; Sideloading\WalkAndUnGZ.bat" "%USERPROFILE%\AppData\Local\Temp\OnboardLogs"\RTDC4039\2017-02-14</v>
      </c>
      <c r="AF206" s="82" t="str">
        <f t="shared" si="80"/>
        <v>"C:\Program Files (x86)\AstroGrep\AstroGrep.exe" /spath="%USERPROFILE%\AppData\Local\Temp\OnboardLogs" /stypes="app*4039*20170213*" /stext=" 10:.+((SYSTEM_STATE.+slice.+state.+changed )|(ment ac)|(multiple cpu faults)|(system.+state.+changed )|(\[timeout)|(PRM\|1\|D)|(kpr)|(kdp)|(\|lc)|(penalty))" /e /r /s</v>
      </c>
      <c r="AG206" s="1" t="str">
        <f t="shared" si="81"/>
        <v>Other</v>
      </c>
      <c r="AH206" s="86" t="str">
        <f t="shared" ref="AH206:AH226" si="8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304-13 --locoid 4039 --swversion DE.1.0.8.0 --startMP 300:19761 --initTime 2017-02-13T03:17:20 --startdatetime 2017-02-13T03:21:10 --delay 3 --endMP 204:138 --enddatetime 2017-02-13T03:27:49 --enforcementcount 0 &gt;&gt;C:\Users\stu\Documents\GitHub\eaglep3-reporting\EC\2017-02-13-refined-times.txt</v>
      </c>
      <c r="AI206" s="108" t="str">
        <f t="shared" ref="AI206:AI226" si="8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{"issue":{"subject":"","project_id":79,"tracker_id":40,"status_id":1,"priority_id":2,"assigned_to_id":23,"start_date":"2017-02-13","description":"","custom_fields":[{"id":1,"name":"Subdivision","value":"Other"},{"id":4,"name":"Milepost","value":"0.0138"},{"id":17,"name":"Train ID","value":"304-13"},{"id":16,"name":"Locomotive ID","value":"4039"},{"id":130,"name":"Impact","value":""},{"id":150,"name":"Time of Event (Mountain Time)","value":"03:27:49"},{"id":151,"name":"Denver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ref="AM206:AM226" si="84">"start /low /b "&amp;dls3logs&amp;" --loco "&amp;B206&amp;" --day "&amp;TEXT(F206,"YYYY-MM-DD")</f>
        <v>start /low /b %USERPROFILE%\Documents\GitHub\eaglep3\Utilities\DownloadLogsFromS3.py --loco 4039 --day 2017-02-13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"%USERPROFILE%\AppData\Local\Temp\OnboardLogs"\RTDC4039\*4039*20170213* | grep -SE "(Enforcement Action)|(\[TIMEOUT)|(CHR.+\|PRM\|1\|D.+(SWITCH|SIGNAL).+UNKNOWN)" - &gt;&gt; 2017-02-13-UncaughtWiMAX.txt</v>
      </c>
    </row>
    <row r="207" spans="1:40" x14ac:dyDescent="0.25">
      <c r="A207" s="33" t="s">
        <v>718</v>
      </c>
      <c r="B207" s="7">
        <v>4020</v>
      </c>
      <c r="C207" s="21" t="s">
        <v>193</v>
      </c>
      <c r="D207" s="21" t="s">
        <v>239</v>
      </c>
      <c r="E207" s="13">
        <v>42779.797094907408</v>
      </c>
      <c r="F207" s="13">
        <v>25568.708333333332</v>
      </c>
      <c r="G207" s="7">
        <v>1</v>
      </c>
      <c r="H207" s="21" t="s">
        <v>522</v>
      </c>
      <c r="I207" s="13">
        <v>25568.708333333332</v>
      </c>
      <c r="J207" s="7">
        <v>0</v>
      </c>
      <c r="K207" s="98" t="str">
        <f t="shared" si="69"/>
        <v>4019/4020</v>
      </c>
      <c r="L207" s="21" t="str">
        <f>VLOOKUP(A207,'Trips&amp;Operators'!$C$1:$G$99999,5,FALSE)</f>
        <v>CRAYTON QUNTRELL</v>
      </c>
      <c r="M207" s="6">
        <f t="shared" si="70"/>
        <v>0</v>
      </c>
      <c r="N207" s="7">
        <f t="shared" si="67"/>
        <v>0</v>
      </c>
      <c r="O207" s="7"/>
      <c r="P207" s="7"/>
      <c r="Q207" s="22"/>
      <c r="R207" s="22"/>
      <c r="S207" s="31">
        <f t="shared" si="71"/>
        <v>1</v>
      </c>
      <c r="T207" s="46" t="str">
        <f t="shared" si="72"/>
        <v>NorthBound</v>
      </c>
      <c r="U207" s="18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7" t="str">
        <f t="shared" si="73"/>
        <v>https://d0f6bd738d7f1b3e5a7ca70fe4ff75f0.us-east-1.aws.found.io/app/kibana#/discover/Steve-Slow-Train-Analysis-(2080s-and-2083s)?_g=(refreshInterval:(display:Off,pause:!f,section:0,value:0),time:(from:'2017-02-13T18:07:49-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7" s="188" t="str">
        <f t="shared" si="74"/>
        <v>Y</v>
      </c>
      <c r="X207" s="188">
        <f t="shared" si="68"/>
        <v>1</v>
      </c>
      <c r="Y207" s="62">
        <f t="shared" si="75"/>
        <v>4.5999999999999999E-2</v>
      </c>
      <c r="Z207" s="62">
        <f t="shared" si="76"/>
        <v>2.3302</v>
      </c>
      <c r="AA207" s="62">
        <f t="shared" si="77"/>
        <v>2.2842000000000002</v>
      </c>
      <c r="AB207" s="59" t="e">
        <f>VLOOKUP(A207,Enforcements!$C$7:$K$14,8,0)</f>
        <v>#N/A</v>
      </c>
      <c r="AC207" s="55" t="e">
        <f>VLOOKUP(A207,Enforcements!$C$7:$E$14,3,0)</f>
        <v>#N/A</v>
      </c>
      <c r="AD207" s="56" t="str">
        <f t="shared" si="78"/>
        <v>0305-13</v>
      </c>
      <c r="AE207" s="85" t="str">
        <f t="shared" si="79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07" s="82" t="str">
        <f t="shared" si="80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07" s="1" t="str">
        <f t="shared" si="81"/>
        <v>Other</v>
      </c>
      <c r="AH207" s="86" t="str">
        <f t="shared" si="82"/>
        <v>"%USERPROFILE%\Documents\GitHub\eaglep3\Utilities\RefineRTDCRunTimes.py" --tripid 305-13 --locoid 4020 --swversion DE.1.0.8.0 --startMP 204:460 --initTime 2017-02-13T19:07:49 --startdatetime 1969-12-31T17:00:00 --delay 1 --endMP 300:23302 --enddatetime 1969-12-31T17:00:00 --enforcementcount 0 &gt;&gt;C:\Users\stu\Documents\GitHub\eaglep3-reporting\EC\2017-02-13-refined-times.txt</v>
      </c>
      <c r="AI207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ID","value":"305-13"},{"id":16,"name":"Locomotive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84"/>
        <v>start /low /b %USERPROFILE%\Documents\GitHub\eaglep3\Utilities\DownloadLogsFromS3.py --loco 4020 --day 1969-12-31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"%USERPROFILE%\AppData\Local\Temp\OnboardLogs"\RTDC4020\*4020*19700101* | grep -SE "(Enforcement Action)|(\[TIMEOUT)|(CHR.+\|PRM\|1\|D.+(SWITCH|SIGNAL).+UNKNOWN)" - &gt;&gt; 2017-02-13-UncaughtWiMAX.txt</v>
      </c>
    </row>
    <row r="208" spans="1:40" x14ac:dyDescent="0.25">
      <c r="A208" s="33" t="s">
        <v>727</v>
      </c>
      <c r="B208" s="7">
        <v>4040</v>
      </c>
      <c r="C208" s="21" t="s">
        <v>193</v>
      </c>
      <c r="D208" s="21" t="s">
        <v>206</v>
      </c>
      <c r="E208" s="13">
        <v>42779.817013888889</v>
      </c>
      <c r="F208" s="13">
        <v>25568.708333333332</v>
      </c>
      <c r="G208" s="7">
        <v>1</v>
      </c>
      <c r="H208" s="21" t="s">
        <v>456</v>
      </c>
      <c r="I208" s="13">
        <v>25568.708333333332</v>
      </c>
      <c r="J208" s="7">
        <v>0</v>
      </c>
      <c r="K208" s="98" t="str">
        <f t="shared" si="69"/>
        <v>4039/4040</v>
      </c>
      <c r="L208" s="21" t="str">
        <f>VLOOKUP(A208,'Trips&amp;Operators'!$C$1:$G$99999,5,FALSE)</f>
        <v>KILLION DAVID</v>
      </c>
      <c r="M208" s="6">
        <f t="shared" si="70"/>
        <v>0</v>
      </c>
      <c r="N208" s="7">
        <f t="shared" si="67"/>
        <v>0</v>
      </c>
      <c r="O208" s="7"/>
      <c r="P208" s="7"/>
      <c r="Q208" s="22"/>
      <c r="R208" s="22"/>
      <c r="S208" s="31">
        <f t="shared" si="71"/>
        <v>1</v>
      </c>
      <c r="T208" s="46" t="str">
        <f t="shared" si="72"/>
        <v>NorthBound</v>
      </c>
      <c r="U208" s="18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7" t="str">
        <f t="shared" si="73"/>
        <v>https://d0f6bd738d7f1b3e5a7ca70fe4ff75f0.us-east-1.aws.found.io/app/kibana#/discover/Steve-Slow-Train-Analysis-(2080s-and-2083s)?_g=(refreshInterval:(display:Off,pause:!f,section:0,value:0),time:(from:'2017-02-13T18:36:30-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8" s="188" t="str">
        <f t="shared" si="74"/>
        <v>Y</v>
      </c>
      <c r="X208" s="188">
        <f t="shared" si="68"/>
        <v>2</v>
      </c>
      <c r="Y208" s="62">
        <f t="shared" si="75"/>
        <v>4.6199999999999998E-2</v>
      </c>
      <c r="Z208" s="62">
        <f t="shared" si="76"/>
        <v>2.3346</v>
      </c>
      <c r="AA208" s="62">
        <f t="shared" si="77"/>
        <v>2.2884000000000002</v>
      </c>
      <c r="AB208" s="59" t="e">
        <f>VLOOKUP(A208,Enforcements!$C$7:$K$14,8,0)</f>
        <v>#N/A</v>
      </c>
      <c r="AC208" s="55" t="e">
        <f>VLOOKUP(A208,Enforcements!$C$7:$E$14,3,0)</f>
        <v>#N/A</v>
      </c>
      <c r="AD208" s="56" t="str">
        <f t="shared" si="78"/>
        <v>0307-13</v>
      </c>
      <c r="AE208" s="85" t="str">
        <f t="shared" si="79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08" s="82" t="str">
        <f t="shared" si="80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08" s="1" t="str">
        <f t="shared" si="81"/>
        <v>Other</v>
      </c>
      <c r="AH208" s="86" t="str">
        <f t="shared" si="82"/>
        <v>"%USERPROFILE%\Documents\GitHub\eaglep3\Utilities\RefineRTDCRunTimes.py" --tripid 307-13 --locoid 4040 --swversion DE.1.0.8.0 --startMP 204:462 --initTime 2017-02-13T19:36:30 --startdatetime 1969-12-31T17:00:00 --delay 1 --endMP 300:23346 --enddatetime 1969-12-31T17:00:00 --enforcementcount 0 &gt;&gt;C:\Users\stu\Documents\GitHub\eaglep3-reporting\EC\2017-02-13-refined-times.txt</v>
      </c>
      <c r="AI208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ID","value":"307-13"},{"id":16,"name":"Locomotive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84"/>
        <v>start /low /b %USERPROFILE%\Documents\GitHub\eaglep3\Utilities\DownloadLogsFromS3.py --loco 4040 --day 1969-12-31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"%USERPROFILE%\AppData\Local\Temp\OnboardLogs"\RTDC4040\*4040*19700101* | grep -SE "(Enforcement Action)|(\[TIMEOUT)|(CHR.+\|PRM\|1\|D.+(SWITCH|SIGNAL).+UNKNOWN)" - &gt;&gt; 2017-02-13-UncaughtWiMAX.txt</v>
      </c>
    </row>
    <row r="209" spans="1:40" x14ac:dyDescent="0.25">
      <c r="A209" s="33" t="s">
        <v>563</v>
      </c>
      <c r="B209" s="7">
        <v>4028</v>
      </c>
      <c r="C209" s="21" t="s">
        <v>193</v>
      </c>
      <c r="D209" s="21" t="s">
        <v>827</v>
      </c>
      <c r="E209" s="13">
        <v>42779.17423611111</v>
      </c>
      <c r="F209" s="13">
        <v>42779.17633101852</v>
      </c>
      <c r="G209" s="7">
        <v>1</v>
      </c>
      <c r="H209" s="21" t="s">
        <v>195</v>
      </c>
      <c r="I209" s="13">
        <v>42779.181562500002</v>
      </c>
      <c r="J209" s="7">
        <v>0</v>
      </c>
      <c r="K209" s="98" t="str">
        <f t="shared" si="69"/>
        <v>4027/4028</v>
      </c>
      <c r="L209" s="21" t="str">
        <f>VLOOKUP(A209,'Trips&amp;Operators'!$C$1:$G$99999,5,FALSE)</f>
        <v>BONDS REYNALDO</v>
      </c>
      <c r="M209" s="6">
        <f t="shared" si="70"/>
        <v>5.2314814820419997E-3</v>
      </c>
      <c r="N209" s="7">
        <f t="shared" si="67"/>
        <v>7.5333333341404796</v>
      </c>
      <c r="O209" s="7"/>
      <c r="P209" s="7"/>
      <c r="Q209" s="22"/>
      <c r="R209" s="22"/>
      <c r="S209" s="31">
        <f t="shared" si="71"/>
        <v>1</v>
      </c>
      <c r="T209" s="46" t="str">
        <f t="shared" si="72"/>
        <v>Southbound</v>
      </c>
      <c r="U209" s="18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7" t="str">
        <f t="shared" si="73"/>
        <v>https://d0f6bd738d7f1b3e5a7ca70fe4ff75f0.us-east-1.aws.found.io/app/kibana#/discover/Steve-Slow-Train-Analysis-(2080s-and-2083s)?_g=(refreshInterval:(display:Off,pause:!f,section:0,value:0),time:(from:'2017-02-13T03:10:54-0700',mode:absolute,to:'2017-02-13T05:21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9" s="188" t="str">
        <f t="shared" si="74"/>
        <v>Y</v>
      </c>
      <c r="X209" s="188">
        <f t="shared" si="68"/>
        <v>1</v>
      </c>
      <c r="Y209" s="62">
        <f t="shared" si="75"/>
        <v>2.2069999999999999</v>
      </c>
      <c r="Z209" s="62">
        <f t="shared" si="76"/>
        <v>1.4999999999999999E-2</v>
      </c>
      <c r="AA209" s="62">
        <f t="shared" si="77"/>
        <v>2.1919999999999997</v>
      </c>
      <c r="AB209" s="59" t="e">
        <f>VLOOKUP(A209,Enforcements!$C$7:$K$14,8,0)</f>
        <v>#N/A</v>
      </c>
      <c r="AC209" s="55" t="e">
        <f>VLOOKUP(A209,Enforcements!$C$7:$E$14,3,0)</f>
        <v>#N/A</v>
      </c>
      <c r="AD209" s="56" t="str">
        <f t="shared" si="78"/>
        <v>0308-13</v>
      </c>
      <c r="AE209" s="85" t="str">
        <f t="shared" si="79"/>
        <v>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 &amp; aws s3 cp s3://rtdc.mdm.uploadarchive.raw/RTDC4028/ "%USERPROFILE%\AppData\Local\Temp\OnboardLogs"\RTDC4028\2017-02-14 --exclude "*" --recursive --include "*20170214*" &amp; "%USERPROFILE%\Documents\GitHub\mrs-test-scripts\Headless Mode &amp; Sideloading\WalkAndUnGZ.bat" "%USERPROFILE%\AppData\Local\Temp\OnboardLogs"\RTDC4028\2017-02-14</v>
      </c>
      <c r="AF209" s="82" t="str">
        <f t="shared" si="80"/>
        <v>"C:\Program Files (x86)\AstroGrep\AstroGrep.exe" /spath="%USERPROFILE%\AppData\Local\Temp\OnboardLogs" /stypes="app*4028*20170213*" /stext=" 11:.+((SYSTEM_STATE.+slice.+state.+changed )|(ment ac)|(multiple cpu faults)|(system.+state.+changed )|(\[timeout)|(PRM\|1\|D)|(kpr)|(kdp)|(\|lc)|(penalty))" /e /r /s</v>
      </c>
      <c r="AG209" s="1" t="str">
        <f t="shared" si="81"/>
        <v>Other</v>
      </c>
      <c r="AH209" s="86" t="str">
        <f t="shared" si="82"/>
        <v>"%USERPROFILE%\Documents\GitHub\eaglep3\Utilities\RefineRTDCRunTimes.py" --tripid 308-13 --locoid 4028 --swversion DE.1.0.8.0 --startMP 300:22070 --initTime 2017-02-13T04:10:54 --startdatetime 2017-02-13T04:13:55 --delay 1 --endMP 204:150 --enddatetime 2017-02-13T04:21:27 --enforcementcount 0 &gt;&gt;C:\Users\stu\Documents\GitHub\eaglep3-reporting\EC\2017-02-13-refined-times.txt</v>
      </c>
      <c r="AI209" s="108" t="str">
        <f t="shared" si="83"/>
        <v>echo {"issue":{"subject":"","project_id":79,"tracker_id":40,"status_id":1,"priority_id":2,"assigned_to_id":23,"start_date":"2017-02-13","description":"","custom_fields":[{"id":1,"name":"Subdivision","value":"Other"},{"id":4,"name":"Milepost","value":"0.015"},{"id":17,"name":"Train ID","value":"308-13"},{"id":16,"name":"Locomotive ID","value":"4028"},{"id":130,"name":"Impact","value":""},{"id":150,"name":"Time of Event (Mountain Time)","value":"04:21:27"},{"id":151,"name":"Denver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84"/>
        <v>start /low /b %USERPROFILE%\Documents\GitHub\eaglep3\Utilities\DownloadLogsFromS3.py --loco 4028 --day 2017-02-13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"%USERPROFILE%\AppData\Local\Temp\OnboardLogs"\RTDC4028\*4028*20170213* | grep -SE "(Enforcement Action)|(\[TIMEOUT)|(CHR.+\|PRM\|1\|D.+(SWITCH|SIGNAL).+UNKNOWN)" - &gt;&gt; 2017-02-13-UncaughtWiMAX.txt</v>
      </c>
    </row>
    <row r="210" spans="1:40" x14ac:dyDescent="0.25">
      <c r="A210" s="33" t="s">
        <v>755</v>
      </c>
      <c r="B210" s="7">
        <v>4011</v>
      </c>
      <c r="C210" s="21" t="s">
        <v>193</v>
      </c>
      <c r="D210" s="21" t="s">
        <v>206</v>
      </c>
      <c r="E210" s="13">
        <v>42780.048101851855</v>
      </c>
      <c r="F210" s="13">
        <v>42780.04959490741</v>
      </c>
      <c r="G210" s="7">
        <v>1</v>
      </c>
      <c r="H210" s="21" t="s">
        <v>425</v>
      </c>
      <c r="I210" s="13">
        <v>42780.054548611108</v>
      </c>
      <c r="J210" s="7">
        <v>0</v>
      </c>
      <c r="K210" s="98" t="str">
        <f t="shared" si="69"/>
        <v>4011/4012</v>
      </c>
      <c r="L210" s="21" t="str">
        <f>VLOOKUP(A210,'Trips&amp;Operators'!$C$1:$G$99999,5,FALSE)</f>
        <v>SMITH MICHAEL</v>
      </c>
      <c r="M210" s="6">
        <f t="shared" si="70"/>
        <v>4.9537036975380033E-3</v>
      </c>
      <c r="N210" s="7">
        <f t="shared" si="67"/>
        <v>7.1333333244547248</v>
      </c>
      <c r="O210" s="7"/>
      <c r="P210" s="7"/>
      <c r="Q210" s="22"/>
      <c r="R210" s="22"/>
      <c r="S210" s="31">
        <f t="shared" si="71"/>
        <v>1</v>
      </c>
      <c r="T210" s="46" t="str">
        <f t="shared" si="72"/>
        <v>NorthBound</v>
      </c>
      <c r="U210" s="18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7" t="str">
        <f t="shared" si="73"/>
        <v>https://d0f6bd738d7f1b3e5a7ca70fe4ff75f0.us-east-1.aws.found.io/app/kibana#/discover/Steve-Slow-Train-Analysis-(2080s-and-2083s)?_g=(refreshInterval:(display:Off,pause:!f,section:0,value:0),time:(from:'2017-02-14T00:09:16-0700',mode:absolute,to:'2017-02-14T02:18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0" s="188" t="str">
        <f t="shared" si="74"/>
        <v>Y</v>
      </c>
      <c r="X210" s="188">
        <f t="shared" si="68"/>
        <v>1</v>
      </c>
      <c r="Y210" s="62">
        <f t="shared" si="75"/>
        <v>4.6199999999999998E-2</v>
      </c>
      <c r="Z210" s="62">
        <f t="shared" si="76"/>
        <v>2.331</v>
      </c>
      <c r="AA210" s="62">
        <f t="shared" si="77"/>
        <v>2.2848000000000002</v>
      </c>
      <c r="AB210" s="59" t="e">
        <f>VLOOKUP(A210,Enforcements!$C$7:$K$14,8,0)</f>
        <v>#N/A</v>
      </c>
      <c r="AC210" s="55" t="e">
        <f>VLOOKUP(A210,Enforcements!$C$7:$E$14,3,0)</f>
        <v>#N/A</v>
      </c>
      <c r="AD210" s="56" t="str">
        <f t="shared" si="78"/>
        <v>0309-13</v>
      </c>
      <c r="AE210" s="85" t="str">
        <f t="shared" si="79"/>
        <v>aws s3 cp s3://rtdc.mdm.uploadarchive.raw/RTDC4011/ "%USERPROFILE%\AppData\Local\Temp\OnboardLogs"\RTDC4011\2017-02-14 --exclude "*" --recursive --include "*20170214*" &amp; "%USERPROFILE%\Documents\GitHub\mrs-test-scripts\Headless Mode &amp; Sideloading\WalkAndUnGZ.bat" "%USERPROFILE%\AppData\Local\Temp\OnboardLogs"\RTDC4011\2017-02-14 &amp; aws s3 cp s3://rtdc.mdm.uploadarchive.raw/RTDC4011/ "%USERPROFILE%\AppData\Local\Temp\OnboardLogs"\RTDC4011\2017-02-15 --exclude "*" --recursive --include "*20170215*" &amp; "%USERPROFILE%\Documents\GitHub\mrs-test-scripts\Headless Mode &amp; Sideloading\WalkAndUnGZ.bat" "%USERPROFILE%\AppData\Local\Temp\OnboardLogs"\RTDC4011\2017-02-15</v>
      </c>
      <c r="AF210" s="82" t="str">
        <f t="shared" si="80"/>
        <v>"C:\Program Files (x86)\AstroGrep\AstroGrep.exe" /spath="%USERPROFILE%\AppData\Local\Temp\OnboardLogs" /stypes="app*4011*20170214*" /stext=" 08:.+((SYSTEM_STATE.+slice.+state.+changed )|(ment ac)|(multiple cpu faults)|(system.+state.+changed )|(\[timeout)|(PRM\|1\|D)|(kpr)|(kdp)|(\|lc)|(penalty))" /e /r /s</v>
      </c>
      <c r="AG210" s="1" t="str">
        <f t="shared" si="81"/>
        <v>Other</v>
      </c>
      <c r="AH210" s="86" t="str">
        <f t="shared" si="82"/>
        <v>"%USERPROFILE%\Documents\GitHub\eaglep3\Utilities\RefineRTDCRunTimes.py" --tripid 309-13 --locoid 4011 --swversion DE.1.0.8.0 --startMP 204:462 --initTime 2017-02-14T01:09:16 --startdatetime 2017-02-14T01:11:25 --delay 1 --endMP 300:23310 --enddatetime 2017-02-14T01:18:33 --enforcementcount 0 &gt;&gt;C:\Users\stu\Documents\GitHub\eaglep3-reporting\EC\2017-02-13-refined-times.txt</v>
      </c>
      <c r="AI210" s="108" t="str">
        <f t="shared" si="83"/>
        <v>echo {"issue":{"subject":"","project_id":79,"tracker_id":40,"status_id":1,"priority_id":2,"assigned_to_id":23,"start_date":"2017-02-14","description":"","custom_fields":[{"id":1,"name":"Subdivision","value":"Other"},{"id":4,"name":"Milepost","value":"2.331"},{"id":17,"name":"Train ID","value":"309-13"},{"id":16,"name":"Locomotive ID","value":"4011"},{"id":130,"name":"Impact","value":""},{"id":150,"name":"Time of Event (Mountain Time)","value":"01:18:33"},{"id":151,"name":"Denver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84"/>
        <v>start /low /b %USERPROFILE%\Documents\GitHub\eaglep3\Utilities\DownloadLogsFromS3.py --loco 4011 --day 2017-02-14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"%USERPROFILE%\AppData\Local\Temp\OnboardLogs"\RTDC4011\*4011*20170214* | grep -SE "(Enforcement Action)|(\[TIMEOUT)|(CHR.+\|PRM\|1\|D.+(SWITCH|SIGNAL).+UNKNOWN)" - &gt;&gt; 2017-02-13-UncaughtWiMAX.txt</v>
      </c>
    </row>
    <row r="211" spans="1:40" x14ac:dyDescent="0.25">
      <c r="A211" s="33" t="s">
        <v>567</v>
      </c>
      <c r="B211" s="7">
        <v>4010</v>
      </c>
      <c r="C211" s="21" t="s">
        <v>193</v>
      </c>
      <c r="D211" s="21" t="s">
        <v>828</v>
      </c>
      <c r="E211" s="13">
        <v>42779.178587962961</v>
      </c>
      <c r="F211" s="13">
        <v>42779.180127314816</v>
      </c>
      <c r="G211" s="7">
        <v>1</v>
      </c>
      <c r="H211" s="21" t="s">
        <v>446</v>
      </c>
      <c r="I211" s="13">
        <v>42779.191331018519</v>
      </c>
      <c r="J211" s="7">
        <v>0</v>
      </c>
      <c r="K211" s="98" t="str">
        <f t="shared" si="69"/>
        <v>4009/4010</v>
      </c>
      <c r="L211" s="21" t="str">
        <f>VLOOKUP(A211,'Trips&amp;Operators'!$C$1:$G$99999,5,FALSE)</f>
        <v>SHOOK JOHN</v>
      </c>
      <c r="M211" s="6">
        <f t="shared" si="70"/>
        <v>1.1203703703358769E-2</v>
      </c>
      <c r="N211" s="7">
        <f t="shared" si="67"/>
        <v>16.133333332836628</v>
      </c>
      <c r="O211" s="7"/>
      <c r="P211" s="7"/>
      <c r="Q211" s="22"/>
      <c r="R211" s="22"/>
      <c r="S211" s="31">
        <f t="shared" si="71"/>
        <v>1</v>
      </c>
      <c r="T211" s="46" t="str">
        <f t="shared" si="72"/>
        <v>Southbound</v>
      </c>
      <c r="U211" s="18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7" t="str">
        <f t="shared" si="73"/>
        <v>https://d0f6bd738d7f1b3e5a7ca70fe4ff75f0.us-east-1.aws.found.io/app/kibana#/discover/Steve-Slow-Train-Analysis-(2080s-and-2083s)?_g=(refreshInterval:(display:Off,pause:!f,section:0,value:0),time:(from:'2017-02-13T03:17:10-0700',mode:absolute,to:'2017-02-13T05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1" s="188" t="str">
        <f t="shared" si="74"/>
        <v>Y</v>
      </c>
      <c r="X211" s="188">
        <f t="shared" si="68"/>
        <v>1</v>
      </c>
      <c r="Y211" s="62">
        <f t="shared" si="75"/>
        <v>2.2862</v>
      </c>
      <c r="Z211" s="62">
        <f t="shared" si="76"/>
        <v>1.3599999999999999E-2</v>
      </c>
      <c r="AA211" s="62">
        <f t="shared" si="77"/>
        <v>2.2726000000000002</v>
      </c>
      <c r="AB211" s="59" t="e">
        <f>VLOOKUP(A211,Enforcements!$C$7:$K$14,8,0)</f>
        <v>#N/A</v>
      </c>
      <c r="AC211" s="55" t="e">
        <f>VLOOKUP(A211,Enforcements!$C$7:$E$14,3,0)</f>
        <v>#N/A</v>
      </c>
      <c r="AD211" s="56" t="str">
        <f t="shared" si="78"/>
        <v>0310-13</v>
      </c>
      <c r="AE211" s="85" t="str">
        <f t="shared" si="79"/>
        <v>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 &amp; aws s3 cp s3://rtdc.mdm.uploadarchive.raw/RTDC4010/ "%USERPROFILE%\AppData\Local\Temp\OnboardLogs"\RTDC4010\2017-02-14 --exclude "*" --recursive --include "*20170214*" &amp; "%USERPROFILE%\Documents\GitHub\mrs-test-scripts\Headless Mode &amp; Sideloading\WalkAndUnGZ.bat" "%USERPROFILE%\AppData\Local\Temp\OnboardLogs"\RTDC4010\2017-02-14</v>
      </c>
      <c r="AF211" s="82" t="str">
        <f t="shared" si="80"/>
        <v>"C:\Program Files (x86)\AstroGrep\AstroGrep.exe" /spath="%USERPROFILE%\AppData\Local\Temp\OnboardLogs" /stypes="app*4010*20170213*" /stext=" 11:.+((SYSTEM_STATE.+slice.+state.+changed )|(ment ac)|(multiple cpu faults)|(system.+state.+changed )|(\[timeout)|(PRM\|1\|D)|(kpr)|(kdp)|(\|lc)|(penalty))" /e /r /s</v>
      </c>
      <c r="AG211" s="1" t="str">
        <f t="shared" si="81"/>
        <v>Other</v>
      </c>
      <c r="AH211" s="86" t="str">
        <f t="shared" si="82"/>
        <v>"%USERPROFILE%\Documents\GitHub\eaglep3\Utilities\RefineRTDCRunTimes.py" --tripid 310-13 --locoid 4010 --swversion DE.1.0.8.0 --startMP 300:22862 --initTime 2017-02-13T04:17:10 --startdatetime 2017-02-13T04:19:23 --delay 1 --endMP 204:136 --enddatetime 2017-02-13T04:35:31 --enforcementcount 0 &gt;&gt;C:\Users\stu\Documents\GitHub\eaglep3-reporting\EC\2017-02-13-refined-times.txt</v>
      </c>
      <c r="AI211" s="108" t="str">
        <f t="shared" si="83"/>
        <v>echo {"issue":{"subject":"","project_id":79,"tracker_id":40,"status_id":1,"priority_id":2,"assigned_to_id":23,"start_date":"2017-02-13","description":"","custom_fields":[{"id":1,"name":"Subdivision","value":"Other"},{"id":4,"name":"Milepost","value":"0.0136"},{"id":17,"name":"Train ID","value":"310-13"},{"id":16,"name":"Locomotive ID","value":"4010"},{"id":130,"name":"Impact","value":""},{"id":150,"name":"Time of Event (Mountain Time)","value":"04:35:31"},{"id":151,"name":"Denver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84"/>
        <v>start /low /b %USERPROFILE%\Documents\GitHub\eaglep3\Utilities\DownloadLogsFromS3.py --loco 4010 --day 2017-02-13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"%USERPROFILE%\AppData\Local\Temp\OnboardLogs"\RTDC4010\*4010*20170213* | grep -SE "(Enforcement Action)|(\[TIMEOUT)|(CHR.+\|PRM\|1\|D.+(SWITCH|SIGNAL).+UNKNOWN)" - &gt;&gt; 2017-02-13-UncaughtWiMAX.txt</v>
      </c>
    </row>
    <row r="212" spans="1:40" x14ac:dyDescent="0.25">
      <c r="A212" s="33" t="s">
        <v>476</v>
      </c>
      <c r="B212" s="7">
        <v>4029</v>
      </c>
      <c r="C212" s="21" t="s">
        <v>193</v>
      </c>
      <c r="D212" s="21" t="s">
        <v>222</v>
      </c>
      <c r="E212" s="13">
        <v>42779.089166666665</v>
      </c>
      <c r="F212" s="13">
        <v>25568.708333333332</v>
      </c>
      <c r="G212" s="7">
        <v>1</v>
      </c>
      <c r="H212" s="21" t="s">
        <v>457</v>
      </c>
      <c r="I212" s="13">
        <v>25568.708333333332</v>
      </c>
      <c r="J212" s="7">
        <v>0</v>
      </c>
      <c r="K212" s="98" t="str">
        <f t="shared" si="69"/>
        <v>4029/4030</v>
      </c>
      <c r="L212" s="21" t="str">
        <f>VLOOKUP(A212,'Trips&amp;Operators'!$C$1:$G$99999,5,FALSE)</f>
        <v>STAMBAUGH JAMES</v>
      </c>
      <c r="M212" s="6">
        <f t="shared" si="70"/>
        <v>0</v>
      </c>
      <c r="N212" s="7">
        <f t="shared" si="67"/>
        <v>0</v>
      </c>
      <c r="O212" s="7"/>
      <c r="P212" s="7"/>
      <c r="Q212" s="22"/>
      <c r="R212" s="22"/>
      <c r="S212" s="31">
        <f t="shared" si="71"/>
        <v>1</v>
      </c>
      <c r="T212" s="46" t="str">
        <f t="shared" si="72"/>
        <v>NorthBound</v>
      </c>
      <c r="U212" s="18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7" t="str">
        <f t="shared" si="73"/>
        <v>https://d0f6bd738d7f1b3e5a7ca70fe4ff75f0.us-east-1.aws.found.io/app/kibana#/discover/Steve-Slow-Train-Analysis-(2080s-and-2083s)?_g=(refreshInterval:(display:Off,pause:!f,section:0,value:0),time:(from:'2017-02-13T01:08:24-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2" s="188" t="str">
        <f t="shared" si="74"/>
        <v>Y</v>
      </c>
      <c r="X212" s="188">
        <f t="shared" si="68"/>
        <v>3</v>
      </c>
      <c r="Y212" s="62">
        <f t="shared" si="75"/>
        <v>4.58E-2</v>
      </c>
      <c r="Z212" s="62">
        <f t="shared" si="76"/>
        <v>2.3306</v>
      </c>
      <c r="AA212" s="62">
        <f t="shared" si="77"/>
        <v>2.2848000000000002</v>
      </c>
      <c r="AB212" s="59" t="e">
        <f>VLOOKUP(A212,Enforcements!$C$7:$K$14,8,0)</f>
        <v>#N/A</v>
      </c>
      <c r="AC212" s="55" t="e">
        <f>VLOOKUP(A212,Enforcements!$C$7:$E$14,3,0)</f>
        <v>#N/A</v>
      </c>
      <c r="AD212" s="56" t="str">
        <f t="shared" si="78"/>
        <v>0313-12</v>
      </c>
      <c r="AE212" s="85" t="str">
        <f t="shared" si="79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2" s="82" t="str">
        <f t="shared" si="80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2" s="1" t="str">
        <f t="shared" si="81"/>
        <v>Other</v>
      </c>
      <c r="AH212" s="86" t="str">
        <f t="shared" si="82"/>
        <v>"%USERPROFILE%\Documents\GitHub\eaglep3\Utilities\RefineRTDCRunTimes.py" --tripid 313-12 --locoid 4029 --swversion DE.1.0.8.0 --startMP 204:458 --initTime 2017-02-13T02:08:24 --startdatetime 1969-12-31T17:00:00 --delay 1 --endMP 300:23306 --enddatetime 1969-12-31T17:00:00 --enforcementcount 0 &gt;&gt;C:\Users\stu\Documents\GitHub\eaglep3-reporting\EC\2017-02-13-refined-times.txt</v>
      </c>
      <c r="AI212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ID","value":"313-12"},{"id":16,"name":"Locomotive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84"/>
        <v>start /low /b %USERPROFILE%\Documents\GitHub\eaglep3\Utilities\DownloadLogsFromS3.py --loco 4029 --day 1969-12-31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2017-02-13-UncaughtWiMAX.txt</v>
      </c>
    </row>
    <row r="213" spans="1:40" x14ac:dyDescent="0.25">
      <c r="A213" s="33" t="s">
        <v>758</v>
      </c>
      <c r="B213" s="7">
        <v>4027</v>
      </c>
      <c r="C213" s="21" t="s">
        <v>193</v>
      </c>
      <c r="D213" s="21" t="s">
        <v>277</v>
      </c>
      <c r="E213" s="13">
        <v>42780.089409722219</v>
      </c>
      <c r="F213" s="13">
        <v>25568.708333333332</v>
      </c>
      <c r="G213" s="7">
        <v>1</v>
      </c>
      <c r="H213" s="21" t="s">
        <v>829</v>
      </c>
      <c r="I213" s="13">
        <v>25568.708333333332</v>
      </c>
      <c r="J213" s="7">
        <v>0</v>
      </c>
      <c r="K213" s="98" t="str">
        <f t="shared" si="69"/>
        <v>4027/4028</v>
      </c>
      <c r="L213" s="21" t="str">
        <f>VLOOKUP(A213,'Trips&amp;Operators'!$C$1:$G$99999,5,FALSE)</f>
        <v>STORY SAMANTHA</v>
      </c>
      <c r="M213" s="6">
        <f t="shared" si="70"/>
        <v>0</v>
      </c>
      <c r="N213" s="7">
        <f t="shared" si="67"/>
        <v>0</v>
      </c>
      <c r="O213" s="7"/>
      <c r="P213" s="7"/>
      <c r="Q213" s="22"/>
      <c r="R213" s="22"/>
      <c r="S213" s="31">
        <f t="shared" si="71"/>
        <v>1</v>
      </c>
      <c r="T213" s="46" t="str">
        <f t="shared" si="72"/>
        <v>NorthBound</v>
      </c>
      <c r="U213" s="18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7" t="str">
        <f t="shared" si="73"/>
        <v>https://d0f6bd738d7f1b3e5a7ca70fe4ff75f0.us-east-1.aws.found.io/app/kibana#/discover/Steve-Slow-Train-Analysis-(2080s-and-2083s)?_g=(refreshInterval:(display:Off,pause:!f,section:0,value:0),time:(from:'2017-02-14T01:08:45-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3" s="188" t="str">
        <f t="shared" si="74"/>
        <v>Y</v>
      </c>
      <c r="X213" s="188">
        <f t="shared" si="68"/>
        <v>0</v>
      </c>
      <c r="Y213" s="62">
        <f t="shared" si="75"/>
        <v>4.6699999999999998E-2</v>
      </c>
      <c r="Z213" s="62">
        <f t="shared" si="76"/>
        <v>2.3308</v>
      </c>
      <c r="AA213" s="62">
        <f t="shared" si="77"/>
        <v>2.2841</v>
      </c>
      <c r="AB213" s="59" t="e">
        <f>VLOOKUP(A213,Enforcements!$C$7:$K$14,8,0)</f>
        <v>#N/A</v>
      </c>
      <c r="AC213" s="55" t="e">
        <f>VLOOKUP(A213,Enforcements!$C$7:$E$14,3,0)</f>
        <v>#N/A</v>
      </c>
      <c r="AD213" s="56" t="str">
        <f t="shared" si="78"/>
        <v>0313-13</v>
      </c>
      <c r="AE213" s="85" t="str">
        <f t="shared" si="79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13" s="82" t="str">
        <f t="shared" si="80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13" s="1" t="str">
        <f t="shared" si="81"/>
        <v>Other</v>
      </c>
      <c r="AH213" s="86" t="str">
        <f t="shared" si="82"/>
        <v>"%USERPROFILE%\Documents\GitHub\eaglep3\Utilities\RefineRTDCRunTimes.py" --tripid 313-13 --locoid 4027 --swversion DE.1.0.8.0 --startMP 204:467 --initTime 2017-02-14T02:08:45 --startdatetime 1969-12-31T17:00:00 --delay 1 --endMP 300:23308 --enddatetime 1969-12-31T17:00:00 --enforcementcount 0 &gt;&gt;C:\Users\stu\Documents\GitHub\eaglep3-reporting\EC\2017-02-13-refined-times.txt</v>
      </c>
      <c r="AI213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ID","value":"313-13"},{"id":16,"name":"Locomotive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84"/>
        <v>start /low /b %USERPROFILE%\Documents\GitHub\eaglep3\Utilities\DownloadLogsFromS3.py --loco 4027 --day 1969-12-31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2017-02-13-UncaughtWiMAX.txt</v>
      </c>
    </row>
    <row r="214" spans="1:40" x14ac:dyDescent="0.25">
      <c r="A214" s="33" t="s">
        <v>754</v>
      </c>
      <c r="B214" s="7">
        <v>4044</v>
      </c>
      <c r="C214" s="21" t="s">
        <v>193</v>
      </c>
      <c r="D214" s="21" t="s">
        <v>508</v>
      </c>
      <c r="E214" s="13">
        <v>42780.02851851852</v>
      </c>
      <c r="F214" s="13">
        <v>42780.030543981484</v>
      </c>
      <c r="G214" s="7">
        <v>1</v>
      </c>
      <c r="H214" s="21" t="s">
        <v>457</v>
      </c>
      <c r="I214" s="13">
        <v>42780.039837962962</v>
      </c>
      <c r="J214" s="7">
        <v>0</v>
      </c>
      <c r="K214" s="98" t="str">
        <f t="shared" si="69"/>
        <v>4043/4044</v>
      </c>
      <c r="L214" s="21" t="str">
        <f>VLOOKUP(A214,'Trips&amp;Operators'!$C$1:$G$99999,5,FALSE)</f>
        <v>CHANDLER KELVIN</v>
      </c>
      <c r="M214" s="6">
        <f t="shared" si="70"/>
        <v>9.29398147854954E-3</v>
      </c>
      <c r="N214" s="7">
        <f t="shared" si="67"/>
        <v>13.383333329111338</v>
      </c>
      <c r="O214" s="7"/>
      <c r="P214" s="7"/>
      <c r="Q214" s="22"/>
      <c r="R214" s="22"/>
      <c r="S214" s="31">
        <f t="shared" si="71"/>
        <v>1</v>
      </c>
      <c r="T214" s="46" t="str">
        <f t="shared" si="72"/>
        <v>NorthBound</v>
      </c>
      <c r="U214" s="18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7" t="str">
        <f t="shared" si="73"/>
        <v>https://d0f6bd738d7f1b3e5a7ca70fe4ff75f0.us-east-1.aws.found.io/app/kibana#/discover/Steve-Slow-Train-Analysis-(2080s-and-2083s)?_g=(refreshInterval:(display:Off,pause:!f,section:0,value:0),time:(from:'2017-02-13T23:41:04-0700',mode:absolute,to:'2017-02-14T01:57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4" s="188" t="str">
        <f t="shared" si="74"/>
        <v>Y</v>
      </c>
      <c r="X214" s="188">
        <f t="shared" si="68"/>
        <v>2</v>
      </c>
      <c r="Y214" s="62">
        <f t="shared" si="75"/>
        <v>4.3799999999999999E-2</v>
      </c>
      <c r="Z214" s="62">
        <f t="shared" si="76"/>
        <v>2.3306</v>
      </c>
      <c r="AA214" s="62">
        <f t="shared" si="77"/>
        <v>2.2867999999999999</v>
      </c>
      <c r="AB214" s="59" t="e">
        <f>VLOOKUP(A214,Enforcements!$C$7:$K$14,8,0)</f>
        <v>#N/A</v>
      </c>
      <c r="AC214" s="55" t="e">
        <f>VLOOKUP(A214,Enforcements!$C$7:$E$14,3,0)</f>
        <v>#N/A</v>
      </c>
      <c r="AD214" s="56" t="str">
        <f t="shared" si="78"/>
        <v>0315-13</v>
      </c>
      <c r="AE214" s="85" t="str">
        <f t="shared" si="79"/>
        <v>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 &amp; 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</v>
      </c>
      <c r="AF214" s="82" t="str">
        <f t="shared" si="80"/>
        <v>"C:\Program Files (x86)\AstroGrep\AstroGrep.exe" /spath="%USERPROFILE%\AppData\Local\Temp\OnboardLogs" /stypes="app*4044*20170214*" /stext=" 07:.+((SYSTEM_STATE.+slice.+state.+changed )|(ment ac)|(multiple cpu faults)|(system.+state.+changed )|(\[timeout)|(PRM\|1\|D)|(kpr)|(kdp)|(\|lc)|(penalty))" /e /r /s</v>
      </c>
      <c r="AG214" s="1" t="str">
        <f t="shared" si="81"/>
        <v>Other</v>
      </c>
      <c r="AH214" s="86" t="str">
        <f t="shared" si="82"/>
        <v>"%USERPROFILE%\Documents\GitHub\eaglep3\Utilities\RefineRTDCRunTimes.py" --tripid 315-13 --locoid 4044 --swversion DE.1.0.8.0 --startMP 204:438 --initTime 2017-02-14T00:41:04 --startdatetime 2017-02-14T00:43:59 --delay 1 --endMP 300:23306 --enddatetime 2017-02-14T00:57:22 --enforcementcount 0 &gt;&gt;C:\Users\stu\Documents\GitHub\eaglep3-reporting\EC\2017-02-13-refined-times.txt</v>
      </c>
      <c r="AI214" s="108" t="str">
        <f t="shared" si="83"/>
        <v>echo {"issue":{"subject":"","project_id":79,"tracker_id":40,"status_id":1,"priority_id":2,"assigned_to_id":23,"start_date":"2017-02-14","description":"","custom_fields":[{"id":1,"name":"Subdivision","value":"Other"},{"id":4,"name":"Milepost","value":"2.3306"},{"id":17,"name":"Train ID","value":"315-13"},{"id":16,"name":"Locomotive ID","value":"4044"},{"id":130,"name":"Impact","value":""},{"id":150,"name":"Time of Event (Mountain Time)","value":"00:57:22"},{"id":151,"name":"Denver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84"/>
        <v>start /low /b %USERPROFILE%\Documents\GitHub\eaglep3\Utilities\DownloadLogsFromS3.py --loco 4044 --day 2017-02-14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"%USERPROFILE%\AppData\Local\Temp\OnboardLogs"\RTDC4044\*4044*20170214* | grep -SE "(Enforcement Action)|(\[TIMEOUT)|(CHR.+\|PRM\|1\|D.+(SWITCH|SIGNAL).+UNKNOWN)" - &gt;&gt; 2017-02-13-UncaughtWiMAX.txt</v>
      </c>
    </row>
    <row r="215" spans="1:40" x14ac:dyDescent="0.25">
      <c r="A215" s="33" t="s">
        <v>524</v>
      </c>
      <c r="B215" s="7">
        <v>4016</v>
      </c>
      <c r="C215" s="21" t="s">
        <v>193</v>
      </c>
      <c r="D215" s="21" t="s">
        <v>898</v>
      </c>
      <c r="E215" s="13">
        <v>42779.207303240742</v>
      </c>
      <c r="F215" s="13">
        <v>42779.208460648151</v>
      </c>
      <c r="G215" s="7">
        <v>1</v>
      </c>
      <c r="H215" s="21" t="s">
        <v>899</v>
      </c>
      <c r="I215" s="13">
        <v>42779.214386574073</v>
      </c>
      <c r="J215" s="7">
        <v>0</v>
      </c>
      <c r="K215" s="98" t="str">
        <f t="shared" si="69"/>
        <v>4015/4016</v>
      </c>
      <c r="L215" s="21" t="str">
        <f>VLOOKUP(A215,'Trips&amp;Operators'!$C$1:$G$99999,5,FALSE)</f>
        <v>DAVIS WENDY</v>
      </c>
      <c r="M215" s="6">
        <f t="shared" si="70"/>
        <v>5.9259259214741178E-3</v>
      </c>
      <c r="N215" s="7">
        <f t="shared" si="67"/>
        <v>8.5333333269227296</v>
      </c>
      <c r="O215" s="7"/>
      <c r="P215" s="7"/>
      <c r="Q215" s="22"/>
      <c r="R215" s="22"/>
      <c r="S215" s="31">
        <f t="shared" si="71"/>
        <v>0</v>
      </c>
      <c r="T215" s="46" t="str">
        <f t="shared" si="72"/>
        <v>NorthBound</v>
      </c>
      <c r="U215" s="18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7" t="str">
        <f t="shared" si="73"/>
        <v>https://d0f6bd738d7f1b3e5a7ca70fe4ff75f0.us-east-1.aws.found.io/app/kibana#/discover/Steve-Slow-Train-Analysis-(2080s-and-2083s)?_g=(refreshInterval:(display:Off,pause:!f,section:0,value:0),time:(from:'2017-02-13T03:58:31-0700',mode:absolute,to:'2017-02-13T06:08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5" s="188" t="str">
        <f t="shared" si="74"/>
        <v>Y</v>
      </c>
      <c r="X215" s="188">
        <f t="shared" si="68"/>
        <v>586</v>
      </c>
      <c r="Y215" s="62">
        <f t="shared" si="75"/>
        <v>3.0135000000000001</v>
      </c>
      <c r="Z215" s="62">
        <f t="shared" si="76"/>
        <v>5.9008000000000003</v>
      </c>
      <c r="AA215" s="62">
        <f t="shared" si="77"/>
        <v>2.8873000000000002</v>
      </c>
      <c r="AB215" s="59" t="e">
        <f>VLOOKUP(A215,Enforcements!$C$7:$K$14,8,0)</f>
        <v>#N/A</v>
      </c>
      <c r="AC215" s="55" t="e">
        <f>VLOOKUP(A215,Enforcements!$C$7:$E$14,3,0)</f>
        <v>#N/A</v>
      </c>
      <c r="AD215" s="56" t="str">
        <f t="shared" si="78"/>
        <v>0901-13</v>
      </c>
      <c r="AE215" s="85" t="str">
        <f t="shared" si="79"/>
        <v>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 &amp; 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</v>
      </c>
      <c r="AF215" s="82" t="str">
        <f t="shared" si="80"/>
        <v>"C:\Program Files (x86)\AstroGrep\AstroGrep.exe" /spath="%USERPROFILE%\AppData\Local\Temp\OnboardLogs" /stypes="app*4016*20170213*" /stext=" 12:.+((SYSTEM_STATE.+slice.+state.+changed )|(ment ac)|(multiple cpu faults)|(system.+state.+changed )|(\[timeout)|(PRM\|1\|D)|(kpr)|(kdp)|(\|lc)|(penalty))" /e /r /s</v>
      </c>
      <c r="AG215" s="1" t="str">
        <f t="shared" si="81"/>
        <v>Other</v>
      </c>
      <c r="AH215" s="86" t="str">
        <f t="shared" si="82"/>
        <v>"%USERPROFILE%\Documents\GitHub\eaglep3\Utilities\RefineRTDCRunTimes.py" --tripid 901-13 --locoid 4016 --swversion DE.1.0.8.0 --startMP 300:30135 --initTime 2017-02-13T04:58:31 --startdatetime 2017-02-13T05:00:11 --delay 1 --endMP 300:59008 --enddatetime 2017-02-13T05:08:43 --enforcementcount 0 &gt;&gt;C:\Users\stu\Documents\GitHub\eaglep3-reporting\EC\2017-02-13-refined-times.txt</v>
      </c>
      <c r="AI215" s="108" t="str">
        <f t="shared" si="83"/>
        <v>echo {"issue":{"subject":"","project_id":79,"tracker_id":40,"status_id":1,"priority_id":2,"assigned_to_id":23,"start_date":"2017-02-13","description":"","custom_fields":[{"id":1,"name":"Subdivision","value":"Other"},{"id":4,"name":"Milepost","value":"5.9008"},{"id":17,"name":"Train ID","value":"901-13"},{"id":16,"name":"Locomotive ID","value":"4016"},{"id":130,"name":"Impact","value":""},{"id":150,"name":"Time of Event (Mountain Time)","value":"05:08:43"},{"id":151,"name":"Denver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84"/>
        <v>start /low /b %USERPROFILE%\Documents\GitHub\eaglep3\Utilities\DownloadLogsFromS3.py --loco 4016 --day 2017-02-13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"%USERPROFILE%\AppData\Local\Temp\OnboardLogs"\RTDC4016\*4016*20170213* | grep -SE "(Enforcement Action)|(\[TIMEOUT)|(CHR.+\|PRM\|1\|D.+(SWITCH|SIGNAL).+UNKNOWN)" - &gt;&gt; 2017-02-13-UncaughtWiMAX.txt</v>
      </c>
    </row>
    <row r="216" spans="1:40" x14ac:dyDescent="0.25">
      <c r="A216" s="33" t="s">
        <v>604</v>
      </c>
      <c r="B216" s="7">
        <v>4016</v>
      </c>
      <c r="C216" s="21" t="s">
        <v>193</v>
      </c>
      <c r="D216" s="21" t="s">
        <v>900</v>
      </c>
      <c r="E216" s="13">
        <v>42779.352835648147</v>
      </c>
      <c r="F216" s="13">
        <v>42779.353877314818</v>
      </c>
      <c r="G216" s="7">
        <v>0</v>
      </c>
      <c r="H216" s="21" t="s">
        <v>901</v>
      </c>
      <c r="I216" s="13">
        <v>42779.360555555555</v>
      </c>
      <c r="J216" s="7">
        <v>0</v>
      </c>
      <c r="K216" s="98" t="str">
        <f t="shared" si="69"/>
        <v>4015/4016</v>
      </c>
      <c r="L216" s="21" t="str">
        <f>VLOOKUP(A216,'Trips&amp;Operators'!$C$1:$G$99999,5,FALSE)</f>
        <v>DAVIS WENDY</v>
      </c>
      <c r="M216" s="6">
        <f t="shared" si="70"/>
        <v>6.6782407375285402E-3</v>
      </c>
      <c r="N216" s="7">
        <f t="shared" si="67"/>
        <v>9.6166666620410979</v>
      </c>
      <c r="O216" s="7"/>
      <c r="P216" s="7"/>
      <c r="Q216" s="22"/>
      <c r="R216" s="22"/>
      <c r="S216" s="31">
        <f t="shared" si="71"/>
        <v>1</v>
      </c>
      <c r="T216" s="46" t="str">
        <f t="shared" si="72"/>
        <v>NorthBound</v>
      </c>
      <c r="U216" s="18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7" t="str">
        <f t="shared" si="73"/>
        <v>https://d0f6bd738d7f1b3e5a7ca70fe4ff75f0.us-east-1.aws.found.io/app/kibana#/discover/Steve-Slow-Train-Analysis-(2080s-and-2083s)?_g=(refreshInterval:(display:Off,pause:!f,section:0,value:0),time:(from:'2017-02-13T07:28:05-0700',mode:absolute,to:'2017-02-13T09:39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6" s="188" t="str">
        <f t="shared" si="74"/>
        <v>Y</v>
      </c>
      <c r="X216" s="188">
        <f t="shared" si="68"/>
        <v>2</v>
      </c>
      <c r="Y216" s="62">
        <f t="shared" si="75"/>
        <v>9.1499999999999998E-2</v>
      </c>
      <c r="Z216" s="62">
        <f t="shared" si="76"/>
        <v>2.5451999999999999</v>
      </c>
      <c r="AA216" s="62">
        <f t="shared" si="77"/>
        <v>2.4537</v>
      </c>
      <c r="AB216" s="59" t="e">
        <f>VLOOKUP(A216,Enforcements!$C$7:$K$14,8,0)</f>
        <v>#N/A</v>
      </c>
      <c r="AC216" s="55" t="e">
        <f>VLOOKUP(A216,Enforcements!$C$7:$E$14,3,0)</f>
        <v>#N/A</v>
      </c>
      <c r="AD216" s="56" t="str">
        <f t="shared" si="78"/>
        <v>0903-13</v>
      </c>
      <c r="AE216" s="85" t="str">
        <f t="shared" si="79"/>
        <v>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 &amp; 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</v>
      </c>
      <c r="AF216" s="82" t="str">
        <f t="shared" si="80"/>
        <v>"C:\Program Files (x86)\AstroGrep\AstroGrep.exe" /spath="%USERPROFILE%\AppData\Local\Temp\OnboardLogs" /stypes="app*4016*20170213*" /stext=" 15:.+((SYSTEM_STATE.+slice.+state.+changed )|(ment ac)|(multiple cpu faults)|(system.+state.+changed )|(\[timeout)|(PRM\|1\|D)|(kpr)|(kdp)|(\|lc)|(penalty))" /e /r /s</v>
      </c>
      <c r="AG216" s="1" t="str">
        <f t="shared" si="81"/>
        <v>Other</v>
      </c>
      <c r="AH216" s="86" t="str">
        <f t="shared" si="82"/>
        <v>"%USERPROFILE%\Documents\GitHub\eaglep3\Utilities\RefineRTDCRunTimes.py" --tripid 903-13 --locoid 4016 --swversion DE.1.0.8.0 --startMP 204:915 --initTime 2017-02-13T08:28:05 --startdatetime 2017-02-13T08:29:35 --delay 0 --endMP 300:25452 --enddatetime 2017-02-13T08:39:12 --enforcementcount 0 &gt;&gt;C:\Users\stu\Documents\GitHub\eaglep3-reporting\EC\2017-02-13-refined-times.txt</v>
      </c>
      <c r="AI216" s="108" t="str">
        <f t="shared" si="83"/>
        <v>echo {"issue":{"subject":"","project_id":79,"tracker_id":40,"status_id":1,"priority_id":2,"assigned_to_id":23,"start_date":"2017-02-13","description":"","custom_fields":[{"id":1,"name":"Subdivision","value":"Other"},{"id":4,"name":"Milepost","value":"2.5452"},{"id":17,"name":"Train ID","value":"903-13"},{"id":16,"name":"Locomotive ID","value":"4016"},{"id":130,"name":"Impact","value":""},{"id":150,"name":"Time of Event (Mountain Time)","value":"08:39:12"},{"id":151,"name":"Denver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84"/>
        <v>start /low /b %USERPROFILE%\Documents\GitHub\eaglep3\Utilities\DownloadLogsFromS3.py --loco 4016 --day 2017-02-13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"%USERPROFILE%\AppData\Local\Temp\OnboardLogs"\RTDC4016\*4016*20170213* | grep -SE "(Enforcement Action)|(\[TIMEOUT)|(CHR.+\|PRM\|1\|D.+(SWITCH|SIGNAL).+UNKNOWN)" - &gt;&gt; 2017-02-13-UncaughtWiMAX.txt</v>
      </c>
    </row>
    <row r="217" spans="1:40" x14ac:dyDescent="0.25">
      <c r="A217" s="33" t="s">
        <v>671</v>
      </c>
      <c r="B217" s="7">
        <v>4015</v>
      </c>
      <c r="C217" s="21" t="s">
        <v>193</v>
      </c>
      <c r="D217" s="21" t="s">
        <v>902</v>
      </c>
      <c r="E217" s="13">
        <v>42779.640393518515</v>
      </c>
      <c r="F217" s="13">
        <v>42779.642060185186</v>
      </c>
      <c r="G217" s="7">
        <v>1</v>
      </c>
      <c r="H217" s="21" t="s">
        <v>861</v>
      </c>
      <c r="I217" s="13">
        <v>42779.647141203706</v>
      </c>
      <c r="J217" s="7">
        <v>0</v>
      </c>
      <c r="K217" s="98" t="str">
        <f t="shared" si="69"/>
        <v>4015/4016</v>
      </c>
      <c r="L217" s="21" t="str">
        <f>VLOOKUP(A217,'Trips&amp;Operators'!$C$1:$G$99999,5,FALSE)</f>
        <v>DAVIDSON DAVID</v>
      </c>
      <c r="M217" s="6">
        <f t="shared" si="70"/>
        <v>5.0810185202863067E-3</v>
      </c>
      <c r="N217" s="7">
        <f t="shared" si="67"/>
        <v>7.3166666692122817</v>
      </c>
      <c r="O217" s="7"/>
      <c r="P217" s="7"/>
      <c r="Q217" s="22"/>
      <c r="R217" s="22"/>
      <c r="S217" s="31">
        <f t="shared" si="71"/>
        <v>1</v>
      </c>
      <c r="T217" s="46" t="str">
        <f t="shared" si="72"/>
        <v>Southbound</v>
      </c>
      <c r="U217" s="18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7" t="str">
        <f t="shared" si="73"/>
        <v>https://d0f6bd738d7f1b3e5a7ca70fe4ff75f0.us-east-1.aws.found.io/app/kibana#/discover/Steve-Slow-Train-Analysis-(2080s-and-2083s)?_g=(refreshInterval:(display:Off,pause:!f,section:0,value:0),time:(from:'2017-02-13T14:22:10-0700',mode:absolute,to:'2017-02-13T16:31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7" s="188" t="str">
        <f t="shared" si="74"/>
        <v>Y</v>
      </c>
      <c r="X217" s="188">
        <f t="shared" si="68"/>
        <v>1</v>
      </c>
      <c r="Y217" s="62">
        <f t="shared" si="75"/>
        <v>2.1943000000000001</v>
      </c>
      <c r="Z217" s="62">
        <f t="shared" si="76"/>
        <v>6.7799999999999999E-2</v>
      </c>
      <c r="AA217" s="62">
        <f t="shared" si="77"/>
        <v>2.1265000000000001</v>
      </c>
      <c r="AB217" s="59" t="e">
        <f>VLOOKUP(A217,Enforcements!$C$7:$K$14,8,0)</f>
        <v>#N/A</v>
      </c>
      <c r="AC217" s="55" t="e">
        <f>VLOOKUP(A217,Enforcements!$C$7:$E$14,3,0)</f>
        <v>#N/A</v>
      </c>
      <c r="AD217" s="56" t="str">
        <f t="shared" si="78"/>
        <v>0904-13</v>
      </c>
      <c r="AE217" s="85" t="str">
        <f t="shared" si="79"/>
        <v>aws s3 cp s3://rtdc.mdm.uploadarchive.raw/RTDC4015/ "%USERPROFILE%\AppData\Local\Temp\OnboardLogs"\RTDC4015\2017-02-13 --exclude "*" --recursive --include "*20170213*" &amp; "%USERPROFILE%\Documents\GitHub\mrs-test-scripts\Headless Mode &amp; Sideloading\WalkAndUnGZ.bat" "%USERPROFILE%\AppData\Local\Temp\OnboardLogs"\RTDC4015\2017-02-13 &amp; 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</v>
      </c>
      <c r="AF217" s="82" t="str">
        <f t="shared" si="80"/>
        <v>"C:\Program Files (x86)\AstroGrep\AstroGrep.exe" /spath="%USERPROFILE%\AppData\Local\Temp\OnboardLogs" /stypes="app*4015*20170213*" /stext=" 22:.+((SYSTEM_STATE.+slice.+state.+changed )|(ment ac)|(multiple cpu faults)|(system.+state.+changed )|(\[timeout)|(PRM\|1\|D)|(kpr)|(kdp)|(\|lc)|(penalty))" /e /r /s</v>
      </c>
      <c r="AG217" s="1" t="str">
        <f t="shared" si="81"/>
        <v>Other</v>
      </c>
      <c r="AH217" s="86" t="str">
        <f t="shared" si="82"/>
        <v>"%USERPROFILE%\Documents\GitHub\eaglep3\Utilities\RefineRTDCRunTimes.py" --tripid 904-13 --locoid 4015 --swversion DE.1.0.8.0 --startMP 300:21943 --initTime 2017-02-13T15:22:10 --startdatetime 2017-02-13T15:24:34 --delay 1 --endMP 204:678 --enddatetime 2017-02-13T15:31:53 --enforcementcount 0 &gt;&gt;C:\Users\stu\Documents\GitHub\eaglep3-reporting\EC\2017-02-13-refined-times.txt</v>
      </c>
      <c r="AI217" s="108" t="str">
        <f t="shared" si="83"/>
        <v>echo {"issue":{"subject":"","project_id":79,"tracker_id":40,"status_id":1,"priority_id":2,"assigned_to_id":23,"start_date":"2017-02-13","description":"","custom_fields":[{"id":1,"name":"Subdivision","value":"Other"},{"id":4,"name":"Milepost","value":"0.0678"},{"id":17,"name":"Train ID","value":"904-13"},{"id":16,"name":"Locomotive ID","value":"4015"},{"id":130,"name":"Impact","value":""},{"id":150,"name":"Time of Event (Mountain Time)","value":"15:31:53"},{"id":151,"name":"Denver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84"/>
        <v>start /low /b %USERPROFILE%\Documents\GitHub\eaglep3\Utilities\DownloadLogsFromS3.py --loco 4015 --day 2017-02-13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"%USERPROFILE%\AppData\Local\Temp\OnboardLogs"\RTDC4015\*4015*20170213* | grep -SE "(Enforcement Action)|(\[TIMEOUT)|(CHR.+\|PRM\|1\|D.+(SWITCH|SIGNAL).+UNKNOWN)" - &gt;&gt; 2017-02-13-UncaughtWiMAX.txt</v>
      </c>
    </row>
    <row r="218" spans="1:40" x14ac:dyDescent="0.25">
      <c r="A218" s="33" t="s">
        <v>720</v>
      </c>
      <c r="B218" s="7">
        <v>4015</v>
      </c>
      <c r="C218" s="21" t="s">
        <v>193</v>
      </c>
      <c r="D218" s="21" t="s">
        <v>459</v>
      </c>
      <c r="E218" s="13">
        <v>42779.797743055555</v>
      </c>
      <c r="F218" s="13">
        <v>25568.708333333332</v>
      </c>
      <c r="G218" s="7">
        <v>1</v>
      </c>
      <c r="H218" s="21" t="s">
        <v>903</v>
      </c>
      <c r="I218" s="13">
        <v>25568.708333333332</v>
      </c>
      <c r="J218" s="7">
        <v>0</v>
      </c>
      <c r="K218" s="98" t="str">
        <f t="shared" si="69"/>
        <v>4015/4016</v>
      </c>
      <c r="L218" s="21" t="str">
        <f>VLOOKUP(A218,'Trips&amp;Operators'!$C$1:$G$99999,5,FALSE)</f>
        <v>DAVIDSON DAVID</v>
      </c>
      <c r="M218" s="6">
        <f t="shared" si="70"/>
        <v>0</v>
      </c>
      <c r="N218" s="7">
        <f t="shared" si="67"/>
        <v>0</v>
      </c>
      <c r="O218" s="7"/>
      <c r="P218" s="7"/>
      <c r="Q218" s="22"/>
      <c r="R218" s="22"/>
      <c r="S218" s="31">
        <f t="shared" si="71"/>
        <v>0</v>
      </c>
      <c r="T218" s="46" t="str">
        <f t="shared" si="72"/>
        <v>Southbound</v>
      </c>
      <c r="U218" s="18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7" t="str">
        <f t="shared" si="73"/>
        <v>https://d0f6bd738d7f1b3e5a7ca70fe4ff75f0.us-east-1.aws.found.io/app/kibana#/discover/Steve-Slow-Train-Analysis-(2080s-and-2083s)?_g=(refreshInterval:(display:Off,pause:!f,section:0,value:0),time:(from:'2017-02-13T18:08:45-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8" s="188" t="str">
        <f t="shared" si="74"/>
        <v>Y</v>
      </c>
      <c r="X218" s="188">
        <f t="shared" si="68"/>
        <v>2</v>
      </c>
      <c r="Y218" s="62">
        <f t="shared" si="75"/>
        <v>5.8611000000000004</v>
      </c>
      <c r="Z218" s="62">
        <f t="shared" si="76"/>
        <v>2.8769999999999998</v>
      </c>
      <c r="AA218" s="62">
        <f t="shared" si="77"/>
        <v>2.9841000000000006</v>
      </c>
      <c r="AB218" s="59" t="e">
        <f>VLOOKUP(A218,Enforcements!$C$7:$K$14,8,0)</f>
        <v>#N/A</v>
      </c>
      <c r="AC218" s="55" t="e">
        <f>VLOOKUP(A218,Enforcements!$C$7:$E$14,3,0)</f>
        <v>#N/A</v>
      </c>
      <c r="AD218" s="56" t="str">
        <f t="shared" si="78"/>
        <v>0906-13</v>
      </c>
      <c r="AE218" s="85" t="str">
        <f t="shared" si="79"/>
        <v>aws s3 cp s3://rtdc.mdm.uploadarchive.raw/RTDC4015/ "%USERPROFILE%\AppData\Local\Temp\OnboardLogs"\RTDC4015\1969-12-31 --exclude "*" --recursive --include "*19691231*" &amp; "%USERPROFILE%\Documents\GitHub\mrs-test-scripts\Headless Mode &amp; Sideloading\WalkAndUnGZ.bat" "%USERPROFILE%\AppData\Local\Temp\OnboardLogs"\RTDC4015\1969-12-31 &amp; aws s3 cp s3://rtdc.mdm.uploadarchive.raw/RTDC4015/ "%USERPROFILE%\AppData\Local\Temp\OnboardLogs"\RTDC4015\1970-01-01 --exclude "*" --recursive --include "*19700101*" &amp; "%USERPROFILE%\Documents\GitHub\mrs-test-scripts\Headless Mode &amp; Sideloading\WalkAndUnGZ.bat" "%USERPROFILE%\AppData\Local\Temp\OnboardLogs"\RTDC4015\1970-01-01</v>
      </c>
      <c r="AF218" s="82" t="str">
        <f t="shared" si="80"/>
        <v>"C:\Program Files (x86)\AstroGrep\AstroGrep.exe" /spath="%USERPROFILE%\AppData\Local\Temp\OnboardLogs" /stypes="app*4015*19700101*" /stext=" 00:.+((SYSTEM_STATE.+slice.+state.+changed )|(ment ac)|(multiple cpu faults)|(system.+state.+changed )|(\[timeout)|(PRM\|1\|D)|(kpr)|(kdp)|(\|lc)|(penalty))" /e /r /s</v>
      </c>
      <c r="AG218" s="1" t="str">
        <f t="shared" si="81"/>
        <v>Other</v>
      </c>
      <c r="AH218" s="86" t="str">
        <f t="shared" si="82"/>
        <v>"%USERPROFILE%\Documents\GitHub\eaglep3\Utilities\RefineRTDCRunTimes.py" --tripid 906-13 --locoid 4015 --swversion DE.1.0.8.0 --startMP 300:58611 --initTime 2017-02-13T19:08:45 --startdatetime 1969-12-31T17:00:00 --delay 1 --endMP 300:28770 --enddatetime 1969-12-31T17:00:00 --enforcementcount 0 &gt;&gt;C:\Users\stu\Documents\GitHub\eaglep3-reporting\EC\2017-02-13-refined-times.txt</v>
      </c>
      <c r="AI218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{"issue":{"subject":"","project_id":79,"tracker_id":40,"status_id":1,"priority_id":2,"assigned_to_id":23,"start_date":"1969-12-31","description":"","custom_fields":[{"id":1,"name":"Subdivision","value":"Other"},{"id":4,"name":"Milepost","value":"2.877"},{"id":17,"name":"Train ID","value":"906-13"},{"id":16,"name":"Locomotive ID","value":"4015"},{"id":130,"name":"Impact","value":""},{"id":150,"name":"Time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84"/>
        <v>start /low /b %USERPROFILE%\Documents\GitHub\eaglep3\Utilities\DownloadLogsFromS3.py --loco 4015 --day 1969-12-31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"%USERPROFILE%\AppData\Local\Temp\OnboardLogs"\RTDC4015\*4015*19700101* | grep -SE "(Enforcement Action)|(\[TIMEOUT)|(CHR.+\|PRM\|1\|D.+(SWITCH|SIGNAL).+UNKNOWN)" - &gt;&gt; 2017-02-13-UncaughtWiMAX.txt</v>
      </c>
    </row>
    <row r="219" spans="1:40" x14ac:dyDescent="0.25">
      <c r="A219" s="33" t="s">
        <v>746</v>
      </c>
      <c r="B219" s="7">
        <v>4030</v>
      </c>
      <c r="C219" s="21" t="s">
        <v>193</v>
      </c>
      <c r="D219" s="21" t="s">
        <v>459</v>
      </c>
      <c r="E219" s="13">
        <v>42779.94327546296</v>
      </c>
      <c r="F219" s="13">
        <v>42779.944791666669</v>
      </c>
      <c r="G219" s="7">
        <v>1</v>
      </c>
      <c r="H219" s="21" t="s">
        <v>904</v>
      </c>
      <c r="I219" s="13">
        <v>42779.949837962966</v>
      </c>
      <c r="J219" s="7">
        <v>0</v>
      </c>
      <c r="K219" s="98" t="str">
        <f t="shared" si="69"/>
        <v>4029/4030</v>
      </c>
      <c r="L219" s="21" t="str">
        <f>VLOOKUP(A219,'Trips&amp;Operators'!$C$1:$G$99999,5,FALSE)</f>
        <v>DAVIDSON DAVID</v>
      </c>
      <c r="M219" s="6">
        <f t="shared" si="70"/>
        <v>5.0462962972233072E-3</v>
      </c>
      <c r="N219" s="7">
        <f t="shared" si="67"/>
        <v>7.2666666680015624</v>
      </c>
      <c r="O219" s="7"/>
      <c r="P219" s="7"/>
      <c r="Q219" s="22"/>
      <c r="R219" s="22"/>
      <c r="S219" s="31">
        <f t="shared" si="71"/>
        <v>0</v>
      </c>
      <c r="T219" s="46" t="str">
        <f t="shared" si="72"/>
        <v>Southbound</v>
      </c>
      <c r="U219" s="18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7" t="str">
        <f t="shared" si="73"/>
        <v>https://d0f6bd738d7f1b3e5a7ca70fe4ff75f0.us-east-1.aws.found.io/app/kibana#/discover/Steve-Slow-Train-Analysis-(2080s-and-2083s)?_g=(refreshInterval:(display:Off,pause:!f,section:0,value:0),time:(from:'2017-02-13T21:38:19-0700',mode:absolute,to:'2017-02-13T23:47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9" s="188" t="str">
        <f t="shared" si="74"/>
        <v>Y</v>
      </c>
      <c r="X219" s="188">
        <f t="shared" si="68"/>
        <v>2</v>
      </c>
      <c r="Y219" s="62">
        <f t="shared" si="75"/>
        <v>5.8611000000000004</v>
      </c>
      <c r="Z219" s="62">
        <f t="shared" si="76"/>
        <v>2.1840999999999999</v>
      </c>
      <c r="AA219" s="62">
        <f t="shared" si="77"/>
        <v>3.6770000000000005</v>
      </c>
      <c r="AB219" s="59" t="e">
        <f>VLOOKUP(A219,Enforcements!$C$7:$K$14,8,0)</f>
        <v>#N/A</v>
      </c>
      <c r="AC219" s="55" t="e">
        <f>VLOOKUP(A219,Enforcements!$C$7:$E$14,3,0)</f>
        <v>#N/A</v>
      </c>
      <c r="AD219" s="56" t="str">
        <f t="shared" si="78"/>
        <v>0908-13</v>
      </c>
      <c r="AE219" s="85" t="str">
        <f t="shared" si="79"/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AF219" s="82" t="str">
        <f t="shared" si="80"/>
        <v>"C:\Program Files (x86)\AstroGrep\AstroGrep.exe" /spath="%USERPROFILE%\AppData\Local\Temp\OnboardLogs" /stypes="app*4030*20170214*" /stext=" 05:.+((SYSTEM_STATE.+slice.+state.+changed )|(ment ac)|(multiple cpu faults)|(system.+state.+changed )|(\[timeout)|(PRM\|1\|D)|(kpr)|(kdp)|(\|lc)|(penalty))" /e /r /s</v>
      </c>
      <c r="AG219" s="1" t="str">
        <f t="shared" si="81"/>
        <v>Other</v>
      </c>
      <c r="AH219" s="86" t="str">
        <f t="shared" si="82"/>
        <v>"%USERPROFILE%\Documents\GitHub\eaglep3\Utilities\RefineRTDCRunTimes.py" --tripid 908-13 --locoid 4030 --swversion DE.1.0.8.0 --startMP 300:58611 --initTime 2017-02-13T22:38:19 --startdatetime 2017-02-13T22:40:30 --delay 1 --endMP 300:21841 --enddatetime 2017-02-13T22:47:46 --enforcementcount 0 &gt;&gt;C:\Users\stu\Documents\GitHub\eaglep3-reporting\EC\2017-02-13-refined-times.txt</v>
      </c>
      <c r="AI219" s="108" t="str">
        <f t="shared" si="83"/>
        <v>echo {"issue":{"subject":"","project_id":79,"tracker_id":40,"status_id":1,"priority_id":2,"assigned_to_id":23,"start_date":"2017-02-13","description":"","custom_fields":[{"id":1,"name":"Subdivision","value":"Other"},{"id":4,"name":"Milepost","value":"2.1841"},{"id":17,"name":"Train ID","value":"908-13"},{"id":16,"name":"Locomotive ID","value":"4030"},{"id":130,"name":"Impact","value":""},{"id":150,"name":"Time of Event (Mountain Time)","value":"22:47:46"},{"id":151,"name":"Denver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84"/>
        <v>start /low /b %USERPROFILE%\Documents\GitHub\eaglep3\Utilities\DownloadLogsFromS3.py --loco 4030 --day 2017-02-13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"%USERPROFILE%\AppData\Local\Temp\OnboardLogs"\RTDC4030\*4030*20170214* | grep -SE "(Enforcement Action)|(\[TIMEOUT)|(CHR.+\|PRM\|1\|D.+(SWITCH|SIGNAL).+UNKNOWN)" - &gt;&gt; 2017-02-13-UncaughtWiMAX.txt</v>
      </c>
    </row>
    <row r="220" spans="1:40" x14ac:dyDescent="0.25">
      <c r="A220" s="33" t="s">
        <v>627</v>
      </c>
      <c r="B220" s="7">
        <v>4045</v>
      </c>
      <c r="C220" s="21" t="s">
        <v>193</v>
      </c>
      <c r="D220" s="21" t="s">
        <v>830</v>
      </c>
      <c r="E220" s="13">
        <v>42779.451354166667</v>
      </c>
      <c r="F220" s="13">
        <v>42779.456562500003</v>
      </c>
      <c r="G220" s="7">
        <v>6</v>
      </c>
      <c r="H220" s="21" t="s">
        <v>831</v>
      </c>
      <c r="I220" s="13">
        <v>42779.461736111109</v>
      </c>
      <c r="J220" s="7">
        <v>0</v>
      </c>
      <c r="K220" s="98" t="str">
        <f t="shared" si="69"/>
        <v>4045/4046</v>
      </c>
      <c r="L220" s="21" t="str">
        <f>VLOOKUP(A220,'Trips&amp;Operators'!$C$1:$G$99999,5,FALSE)</f>
        <v>ROMERO CHAD</v>
      </c>
      <c r="M220" s="6">
        <f t="shared" si="70"/>
        <v>5.1736111054196954E-3</v>
      </c>
      <c r="N220" s="7">
        <f t="shared" si="67"/>
        <v>7.4499999918043613</v>
      </c>
      <c r="O220" s="7"/>
      <c r="P220" s="7"/>
      <c r="Q220" s="22"/>
      <c r="R220" s="22"/>
      <c r="S220" s="31">
        <f t="shared" si="71"/>
        <v>0</v>
      </c>
      <c r="T220" s="46" t="e">
        <f t="shared" si="72"/>
        <v>#VALUE!</v>
      </c>
      <c r="U220" s="18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7" t="str">
        <f t="shared" si="73"/>
        <v>https://d0f6bd738d7f1b3e5a7ca70fe4ff75f0.us-east-1.aws.found.io/app/kibana#/discover/Steve-Slow-Train-Analysis-(2080s-and-2083s)?_g=(refreshInterval:(display:Off,pause:!f,section:0,value:0),time:(from:'2017-02-13T09:49:57-0700',mode:absolute,to:'2017-02-13T12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0" s="188" t="str">
        <f t="shared" si="74"/>
        <v>Y</v>
      </c>
      <c r="X220" s="188" t="e">
        <f t="shared" si="68"/>
        <v>#VALUE!</v>
      </c>
      <c r="Y220" s="62">
        <f t="shared" si="75"/>
        <v>2.1764999999999999</v>
      </c>
      <c r="Z220" s="62">
        <f t="shared" si="76"/>
        <v>1.6199999999999999E-2</v>
      </c>
      <c r="AA220" s="62">
        <f t="shared" si="77"/>
        <v>2.1602999999999999</v>
      </c>
      <c r="AB220" s="59" t="e">
        <f>VLOOKUP(A220,Enforcements!$C$7:$K$14,8,0)</f>
        <v>#N/A</v>
      </c>
      <c r="AC220" s="55" t="e">
        <f>VLOOKUP(A220,Enforcements!$C$7:$E$14,3,0)</f>
        <v>#N/A</v>
      </c>
      <c r="AD220" s="56" t="str">
        <f t="shared" si="78"/>
        <v>50-13</v>
      </c>
      <c r="AE220" s="85" t="str">
        <f t="shared" si="79"/>
        <v>aws s3 cp s3://rtdc.mdm.uploadarchive.raw/RTDC4045/ "%USERPROFILE%\AppData\Local\Temp\OnboardLogs"\RTDC4045\2017-02-13 --exclude "*" --recursive --include "*20170213*" &amp; "%USERPROFILE%\Documents\GitHub\mrs-test-scripts\Headless Mode &amp; Sideloading\WalkAndUnGZ.bat" "%USERPROFILE%\AppData\Local\Temp\OnboardLogs"\RTDC4045\2017-02-13 &amp; aws s3 cp s3://rtdc.mdm.uploadarchive.raw/RTDC4045/ "%USERPROFILE%\AppData\Local\Temp\OnboardLogs"\RTDC4045\2017-02-14 --exclude "*" --recursive --include "*20170214*" &amp; "%USERPROFILE%\Documents\GitHub\mrs-test-scripts\Headless Mode &amp; Sideloading\WalkAndUnGZ.bat" "%USERPROFILE%\AppData\Local\Temp\OnboardLogs"\RTDC4045\2017-02-14</v>
      </c>
      <c r="AF220" s="82" t="str">
        <f t="shared" si="80"/>
        <v>"C:\Program Files (x86)\AstroGrep\AstroGrep.exe" /spath="%USERPROFILE%\AppData\Local\Temp\OnboardLogs" /stypes="app*4045*20170213*" /stext=" 18:.+((SYSTEM_STATE.+slice.+state.+changed )|(ment ac)|(multiple cpu faults)|(system.+state.+changed )|(\[timeout)|(PRM\|1\|D)|(kpr)|(kdp)|(\|lc)|(penalty))" /e /r /s</v>
      </c>
      <c r="AG220" s="1" t="str">
        <f t="shared" si="81"/>
        <v>Other</v>
      </c>
      <c r="AH220" s="86" t="str">
        <f t="shared" si="82"/>
        <v>"%USERPROFILE%\Documents\GitHub\eaglep3\Utilities\RefineRTDCRunTimes.py" --tripid 50-13 --locoid 4045 --swversion DE.1.0.8.0 --startMP 300:21765 --initTime 2017-02-13T10:49:57 --startdatetime 2017-02-13T10:57:27 --delay 6 --endMP 204:162 --enddatetime 2017-02-13T11:04:54 --enforcementcount 0 &gt;&gt;C:\Users\stu\Documents\GitHub\eaglep3-reporting\EC\2017-02-13-refined-times.txt</v>
      </c>
      <c r="AI220" s="108" t="str">
        <f t="shared" si="83"/>
        <v>echo {"issue":{"subject":"","project_id":79,"tracker_id":40,"status_id":1,"priority_id":2,"assigned_to_id":23,"start_date":"2017-02-13","description":"","custom_fields":[{"id":1,"name":"Subdivision","value":"Other"},{"id":4,"name":"Milepost","value":"0.0162"},{"id":17,"name":"Train ID","value":"50-13"},{"id":16,"name":"Locomotive ID","value":"4045"},{"id":130,"name":"Impact","value":""},{"id":150,"name":"Time of Event (Mountain Time)","value":"11:04:54"},{"id":151,"name":"Denver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84"/>
        <v>start /low /b %USERPROFILE%\Documents\GitHub\eaglep3\Utilities\DownloadLogsFromS3.py --loco 4045 --day 2017-02-13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"%USERPROFILE%\AppData\Local\Temp\OnboardLogs"\RTDC4045\*4045*20170213* | grep -SE "(Enforcement Action)|(\[TIMEOUT)|(CHR.+\|PRM\|1\|D.+(SWITCH|SIGNAL).+UNKNOWN)" - &gt;&gt; 2017-02-13-UncaughtWiMAX.txt</v>
      </c>
    </row>
    <row r="221" spans="1:40" x14ac:dyDescent="0.25">
      <c r="A221" s="33" t="s">
        <v>637</v>
      </c>
      <c r="B221" s="7">
        <v>4046</v>
      </c>
      <c r="C221" s="21" t="s">
        <v>193</v>
      </c>
      <c r="D221" s="21" t="s">
        <v>452</v>
      </c>
      <c r="E221" s="13">
        <v>42779.489259259259</v>
      </c>
      <c r="F221" s="13">
        <v>25568.708333333332</v>
      </c>
      <c r="G221" s="7">
        <v>1</v>
      </c>
      <c r="H221" s="21" t="s">
        <v>829</v>
      </c>
      <c r="I221" s="13">
        <v>25568.708333333332</v>
      </c>
      <c r="J221" s="7">
        <v>0</v>
      </c>
      <c r="K221" s="98" t="str">
        <f t="shared" si="69"/>
        <v>4045/4046</v>
      </c>
      <c r="L221" s="21" t="str">
        <f>VLOOKUP(A221,'Trips&amp;Operators'!$C$1:$G$99999,5,FALSE)</f>
        <v>SHOOK JOHN</v>
      </c>
      <c r="M221" s="6">
        <f t="shared" si="70"/>
        <v>0</v>
      </c>
      <c r="N221" s="7">
        <f t="shared" si="67"/>
        <v>0</v>
      </c>
      <c r="O221" s="7"/>
      <c r="P221" s="7"/>
      <c r="Q221" s="22"/>
      <c r="R221" s="22"/>
      <c r="S221" s="31">
        <f t="shared" si="71"/>
        <v>0</v>
      </c>
      <c r="T221" s="46" t="e">
        <f t="shared" si="72"/>
        <v>#VALUE!</v>
      </c>
      <c r="U221" s="18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7" t="str">
        <f t="shared" si="73"/>
        <v>https://d0f6bd738d7f1b3e5a7ca70fe4ff75f0.us-east-1.aws.found.io/app/kibana#/discover/Steve-Slow-Train-Analysis-(2080s-and-2083s)?_g=(refreshInterval:(display:Off,pause:!f,section:0,value:0),time:(from:'2017-02-13T10:44:32-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1" s="188" t="str">
        <f t="shared" si="74"/>
        <v>Y</v>
      </c>
      <c r="X221" s="188" t="e">
        <f t="shared" si="68"/>
        <v>#VALUE!</v>
      </c>
      <c r="Y221" s="62">
        <f t="shared" si="75"/>
        <v>4.6600000000000003E-2</v>
      </c>
      <c r="Z221" s="62">
        <f t="shared" si="76"/>
        <v>2.3308</v>
      </c>
      <c r="AA221" s="62">
        <f t="shared" si="77"/>
        <v>2.2841999999999998</v>
      </c>
      <c r="AB221" s="59" t="e">
        <f>VLOOKUP(A221,Enforcements!$C$7:$K$14,8,0)</f>
        <v>#N/A</v>
      </c>
      <c r="AC221" s="55" t="e">
        <f>VLOOKUP(A221,Enforcements!$C$7:$E$14,3,0)</f>
        <v>#N/A</v>
      </c>
      <c r="AD221" s="56" t="str">
        <f t="shared" si="78"/>
        <v>51-13</v>
      </c>
      <c r="AE221" s="85" t="str">
        <f t="shared" si="79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21" s="82" t="str">
        <f t="shared" si="80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21" s="1" t="str">
        <f t="shared" si="81"/>
        <v>Other</v>
      </c>
      <c r="AH221" s="86" t="str">
        <f t="shared" si="82"/>
        <v>"%USERPROFILE%\Documents\GitHub\eaglep3\Utilities\RefineRTDCRunTimes.py" --tripid 51-13 --locoid 4046 --swversion DE.1.0.8.0 --startMP 204:466 --initTime 2017-02-13T11:44:32 --startdatetime 1969-12-31T17:00:00 --delay 1 --endMP 300:23308 --enddatetime 1969-12-31T17:00:00 --enforcementcount 0 &gt;&gt;C:\Users\stu\Documents\GitHub\eaglep3-reporting\EC\2017-02-13-refined-times.txt</v>
      </c>
      <c r="AI221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ID","value":"51-13"},{"id":16,"name":"Locomotive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84"/>
        <v>start /low /b %USERPROFILE%\Documents\GitHub\eaglep3\Utilities\DownloadLogsFromS3.py --loco 4046 --day 1969-12-31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"%USERPROFILE%\AppData\Local\Temp\OnboardLogs"\RTDC4046\*4046*19700101* | grep -SE "(Enforcement Action)|(\[TIMEOUT)|(CHR.+\|PRM\|1\|D.+(SWITCH|SIGNAL).+UNKNOWN)" - &gt;&gt; 2017-02-13-UncaughtWiMAX.txt</v>
      </c>
    </row>
    <row r="222" spans="1:40" x14ac:dyDescent="0.25">
      <c r="A222" s="33" t="s">
        <v>545</v>
      </c>
      <c r="B222" s="7">
        <v>4045</v>
      </c>
      <c r="C222" s="21" t="s">
        <v>193</v>
      </c>
      <c r="D222" s="21" t="s">
        <v>832</v>
      </c>
      <c r="E222" s="13">
        <v>42779.696747685186</v>
      </c>
      <c r="F222" s="13">
        <v>42779.697824074072</v>
      </c>
      <c r="G222" s="7">
        <v>1</v>
      </c>
      <c r="H222" s="21" t="s">
        <v>833</v>
      </c>
      <c r="I222" s="13">
        <v>42779.704629629632</v>
      </c>
      <c r="J222" s="7">
        <v>0</v>
      </c>
      <c r="K222" s="98" t="str">
        <f t="shared" si="69"/>
        <v>4045/4046</v>
      </c>
      <c r="L222" s="21" t="str">
        <f>VLOOKUP(A222,'Trips&amp;Operators'!$C$1:$G$99999,5,FALSE)</f>
        <v>CHANDLER KELVIN</v>
      </c>
      <c r="M222" s="6">
        <f t="shared" si="70"/>
        <v>6.8055555602768436E-3</v>
      </c>
      <c r="N222" s="7">
        <f t="shared" si="67"/>
        <v>9.8000000067986548</v>
      </c>
      <c r="O222" s="7"/>
      <c r="P222" s="7"/>
      <c r="Q222" s="22"/>
      <c r="R222" s="22"/>
      <c r="S222" s="31">
        <f t="shared" si="71"/>
        <v>0</v>
      </c>
      <c r="T222" s="46" t="e">
        <f t="shared" si="72"/>
        <v>#VALUE!</v>
      </c>
      <c r="U222" s="18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7" t="str">
        <f t="shared" si="73"/>
        <v>https://d0f6bd738d7f1b3e5a7ca70fe4ff75f0.us-east-1.aws.found.io/app/kibana#/discover/Steve-Slow-Train-Analysis-(2080s-and-2083s)?_g=(refreshInterval:(display:Off,pause:!f,section:0,value:0),time:(from:'2017-02-13T15:43:19-0700',mode:absolute,to:'2017-02-13T17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2" s="188" t="str">
        <f t="shared" si="74"/>
        <v>Y</v>
      </c>
      <c r="X222" s="188" t="e">
        <f t="shared" si="68"/>
        <v>#VALUE!</v>
      </c>
      <c r="Y222" s="62">
        <f t="shared" si="75"/>
        <v>2.1858</v>
      </c>
      <c r="Z222" s="62">
        <f t="shared" si="76"/>
        <v>6.25E-2</v>
      </c>
      <c r="AA222" s="62">
        <f t="shared" si="77"/>
        <v>2.1233</v>
      </c>
      <c r="AB222" s="59" t="e">
        <f>VLOOKUP(A222,Enforcements!$C$7:$K$14,8,0)</f>
        <v>#N/A</v>
      </c>
      <c r="AC222" s="55" t="e">
        <f>VLOOKUP(A222,Enforcements!$C$7:$E$14,3,0)</f>
        <v>#N/A</v>
      </c>
      <c r="AD222" s="56" t="str">
        <f t="shared" si="78"/>
        <v>72-13</v>
      </c>
      <c r="AE222" s="85" t="str">
        <f t="shared" si="79"/>
        <v>aws s3 cp s3://rtdc.mdm.uploadarchive.raw/RTDC4045/ "%USERPROFILE%\AppData\Local\Temp\OnboardLogs"\RTDC4045\2017-02-13 --exclude "*" --recursive --include "*20170213*" &amp; "%USERPROFILE%\Documents\GitHub\mrs-test-scripts\Headless Mode &amp; Sideloading\WalkAndUnGZ.bat" "%USERPROFILE%\AppData\Local\Temp\OnboardLogs"\RTDC4045\2017-02-13 &amp; aws s3 cp s3://rtdc.mdm.uploadarchive.raw/RTDC4045/ "%USERPROFILE%\AppData\Local\Temp\OnboardLogs"\RTDC4045\2017-02-14 --exclude "*" --recursive --include "*20170214*" &amp; "%USERPROFILE%\Documents\GitHub\mrs-test-scripts\Headless Mode &amp; Sideloading\WalkAndUnGZ.bat" "%USERPROFILE%\AppData\Local\Temp\OnboardLogs"\RTDC4045\2017-02-14</v>
      </c>
      <c r="AF222" s="82" t="str">
        <f t="shared" si="80"/>
        <v>"C:\Program Files (x86)\AstroGrep\AstroGrep.exe" /spath="%USERPROFILE%\AppData\Local\Temp\OnboardLogs" /stypes="app*4045*20170213*" /stext=" 23:.+((SYSTEM_STATE.+slice.+state.+changed )|(ment ac)|(multiple cpu faults)|(system.+state.+changed )|(\[timeout)|(PRM\|1\|D)|(kpr)|(kdp)|(\|lc)|(penalty))" /e /r /s</v>
      </c>
      <c r="AG222" s="1" t="str">
        <f t="shared" si="81"/>
        <v>Other</v>
      </c>
      <c r="AH222" s="86" t="str">
        <f t="shared" si="82"/>
        <v>"%USERPROFILE%\Documents\GitHub\eaglep3\Utilities\RefineRTDCRunTimes.py" --tripid 72-13 --locoid 4045 --swversion DE.1.0.8.0 --startMP 300:21858 --initTime 2017-02-13T16:43:19 --startdatetime 2017-02-13T16:44:52 --delay 1 --endMP 204:625 --enddatetime 2017-02-13T16:54:40 --enforcementcount 0 &gt;&gt;C:\Users\stu\Documents\GitHub\eaglep3-reporting\EC\2017-02-13-refined-times.txt</v>
      </c>
      <c r="AI222" s="108" t="str">
        <f t="shared" si="83"/>
        <v>echo {"issue":{"subject":"","project_id":79,"tracker_id":40,"status_id":1,"priority_id":2,"assigned_to_id":23,"start_date":"2017-02-13","description":"","custom_fields":[{"id":1,"name":"Subdivision","value":"Other"},{"id":4,"name":"Milepost","value":"0.0625"},{"id":17,"name":"Train ID","value":"72-13"},{"id":16,"name":"Locomotive ID","value":"4045"},{"id":130,"name":"Impact","value":""},{"id":150,"name":"Time of Event (Mountain Time)","value":"16:54:40"},{"id":151,"name":"Denver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84"/>
        <v>start /low /b %USERPROFILE%\Documents\GitHub\eaglep3\Utilities\DownloadLogsFromS3.py --loco 4045 --day 2017-02-13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"%USERPROFILE%\AppData\Local\Temp\OnboardLogs"\RTDC4045\*4045*20170213* | grep -SE "(Enforcement Action)|(\[TIMEOUT)|(CHR.+\|PRM\|1\|D.+(SWITCH|SIGNAL).+UNKNOWN)" - &gt;&gt; 2017-02-13-UncaughtWiMAX.txt</v>
      </c>
    </row>
    <row r="223" spans="1:40" x14ac:dyDescent="0.25">
      <c r="A223" s="33" t="s">
        <v>697</v>
      </c>
      <c r="B223" s="7">
        <v>4046</v>
      </c>
      <c r="C223" s="21" t="s">
        <v>193</v>
      </c>
      <c r="D223" s="21" t="s">
        <v>834</v>
      </c>
      <c r="E223" s="13">
        <v>42779.728530092594</v>
      </c>
      <c r="F223" s="13">
        <v>42779.729803240742</v>
      </c>
      <c r="G223" s="7">
        <v>1</v>
      </c>
      <c r="H223" s="21" t="s">
        <v>835</v>
      </c>
      <c r="I223" s="13">
        <v>42779.73574074074</v>
      </c>
      <c r="J223" s="7">
        <v>0</v>
      </c>
      <c r="K223" s="98" t="str">
        <f t="shared" si="69"/>
        <v>4045/4046</v>
      </c>
      <c r="L223" s="21" t="str">
        <f>VLOOKUP(A223,'Trips&amp;Operators'!$C$1:$G$99999,5,FALSE)</f>
        <v>LEVERE CRAIG</v>
      </c>
      <c r="M223" s="6">
        <f t="shared" si="70"/>
        <v>5.9374999982537702E-3</v>
      </c>
      <c r="N223" s="7">
        <f t="shared" si="67"/>
        <v>8.549999997485429</v>
      </c>
      <c r="O223" s="7"/>
      <c r="P223" s="7"/>
      <c r="Q223" s="22"/>
      <c r="R223" s="22"/>
      <c r="S223" s="31">
        <f t="shared" si="71"/>
        <v>0</v>
      </c>
      <c r="T223" s="46" t="e">
        <f t="shared" si="72"/>
        <v>#VALUE!</v>
      </c>
      <c r="U223" s="18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7" t="str">
        <f t="shared" si="73"/>
        <v>https://d0f6bd738d7f1b3e5a7ca70fe4ff75f0.us-east-1.aws.found.io/app/kibana#/discover/Steve-Slow-Train-Analysis-(2080s-and-2083s)?_g=(refreshInterval:(display:Off,pause:!f,section:0,value:0),time:(from:'2017-02-13T16:29:05-0700',mode:absolute,to:'2017-02-13T18:39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3" s="188" t="str">
        <f t="shared" si="74"/>
        <v>Y</v>
      </c>
      <c r="X223" s="188" t="e">
        <f t="shared" si="68"/>
        <v>#VALUE!</v>
      </c>
      <c r="Y223" s="62">
        <f t="shared" si="75"/>
        <v>3.2500000000000001E-2</v>
      </c>
      <c r="Z223" s="62">
        <f t="shared" si="76"/>
        <v>2.2841</v>
      </c>
      <c r="AA223" s="62">
        <f t="shared" si="77"/>
        <v>2.2515999999999998</v>
      </c>
      <c r="AB223" s="59" t="e">
        <f>VLOOKUP(A223,Enforcements!$C$7:$K$14,8,0)</f>
        <v>#N/A</v>
      </c>
      <c r="AC223" s="55" t="e">
        <f>VLOOKUP(A223,Enforcements!$C$7:$E$14,3,0)</f>
        <v>#N/A</v>
      </c>
      <c r="AD223" s="56" t="str">
        <f t="shared" si="78"/>
        <v>73-13</v>
      </c>
      <c r="AE223" s="85" t="str">
        <f t="shared" si="79"/>
        <v>aws s3 cp s3://rtdc.mdm.uploadarchive.raw/RTDC4046/ "%USERPROFILE%\AppData\Local\Temp\OnboardLogs"\RTDC4046\2017-02-13 --exclude "*" --recursive --include "*20170213*" &amp; "%USERPROFILE%\Documents\GitHub\mrs-test-scripts\Headless Mode &amp; Sideloading\WalkAndUnGZ.bat" "%USERPROFILE%\AppData\Local\Temp\OnboardLogs"\RTDC4046\2017-02-13 &amp; aws s3 cp s3://rtdc.mdm.uploadarchive.raw/RTDC4046/ "%USERPROFILE%\AppData\Local\Temp\OnboardLogs"\RTDC4046\2017-02-14 --exclude "*" --recursive --include "*20170214*" &amp; "%USERPROFILE%\Documents\GitHub\mrs-test-scripts\Headless Mode &amp; Sideloading\WalkAndUnGZ.bat" "%USERPROFILE%\AppData\Local\Temp\OnboardLogs"\RTDC4046\2017-02-14</v>
      </c>
      <c r="AF223" s="82" t="str">
        <f t="shared" si="80"/>
        <v>"C:\Program Files (x86)\AstroGrep\AstroGrep.exe" /spath="%USERPROFILE%\AppData\Local\Temp\OnboardLogs" /stypes="app*4046*20170214*" /stext=" 00:.+((SYSTEM_STATE.+slice.+state.+changed )|(ment ac)|(multiple cpu faults)|(system.+state.+changed )|(\[timeout)|(PRM\|1\|D)|(kpr)|(kdp)|(\|lc)|(penalty))" /e /r /s</v>
      </c>
      <c r="AG223" s="1" t="str">
        <f t="shared" si="81"/>
        <v>Other</v>
      </c>
      <c r="AH223" s="86" t="str">
        <f t="shared" si="82"/>
        <v>"%USERPROFILE%\Documents\GitHub\eaglep3\Utilities\RefineRTDCRunTimes.py" --tripid 73-13 --locoid 4046 --swversion DE.1.0.8.0 --startMP 204:325 --initTime 2017-02-13T17:29:05 --startdatetime 2017-02-13T17:30:55 --delay 1 --endMP 300:22841 --enddatetime 2017-02-13T17:39:28 --enforcementcount 0 &gt;&gt;C:\Users\stu\Documents\GitHub\eaglep3-reporting\EC\2017-02-13-refined-times.txt</v>
      </c>
      <c r="AI223" s="108" t="str">
        <f t="shared" si="83"/>
        <v>echo {"issue":{"subject":"","project_id":79,"tracker_id":40,"status_id":1,"priority_id":2,"assigned_to_id":23,"start_date":"2017-02-13","description":"","custom_fields":[{"id":1,"name":"Subdivision","value":"Other"},{"id":4,"name":"Milepost","value":"2.2841"},{"id":17,"name":"Train ID","value":"73-13"},{"id":16,"name":"Locomotive ID","value":"4046"},{"id":130,"name":"Impact","value":""},{"id":150,"name":"Time of Event (Mountain Time)","value":"17:39:28"},{"id":151,"name":"Denver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84"/>
        <v>start /low /b %USERPROFILE%\Documents\GitHub\eaglep3\Utilities\DownloadLogsFromS3.py --loco 4046 --day 2017-02-13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"%USERPROFILE%\AppData\Local\Temp\OnboardLogs"\RTDC4046\*4046*20170214* | grep -SE "(Enforcement Action)|(\[TIMEOUT)|(CHR.+\|PRM\|1\|D.+(SWITCH|SIGNAL).+UNKNOWN)" - &gt;&gt; 2017-02-13-UncaughtWiMAX.txt</v>
      </c>
    </row>
    <row r="224" spans="1:40" x14ac:dyDescent="0.25">
      <c r="A224" s="33" t="s">
        <v>695</v>
      </c>
      <c r="B224" s="7">
        <v>4018</v>
      </c>
      <c r="C224" s="21" t="s">
        <v>193</v>
      </c>
      <c r="D224" s="21" t="s">
        <v>836</v>
      </c>
      <c r="E224" s="13">
        <v>42779.722719907404</v>
      </c>
      <c r="F224" s="13">
        <v>25568.708333333332</v>
      </c>
      <c r="G224" s="7">
        <v>1</v>
      </c>
      <c r="H224" s="21" t="s">
        <v>837</v>
      </c>
      <c r="I224" s="13">
        <v>25568.708333333332</v>
      </c>
      <c r="J224" s="7">
        <v>0</v>
      </c>
      <c r="K224" s="98" t="str">
        <f t="shared" si="69"/>
        <v>4017/4018</v>
      </c>
      <c r="L224" s="21" t="str">
        <f>VLOOKUP(A224,'Trips&amp;Operators'!$C$1:$G$99999,5,FALSE)</f>
        <v>HOLCOMB KAMDEN</v>
      </c>
      <c r="M224" s="6">
        <f t="shared" si="70"/>
        <v>0</v>
      </c>
      <c r="N224" s="7">
        <f t="shared" si="67"/>
        <v>0</v>
      </c>
      <c r="O224" s="7"/>
      <c r="P224" s="7"/>
      <c r="Q224" s="22"/>
      <c r="R224" s="22"/>
      <c r="S224" s="31">
        <f t="shared" si="71"/>
        <v>0</v>
      </c>
      <c r="T224" s="46" t="e">
        <f t="shared" si="72"/>
        <v>#VALUE!</v>
      </c>
      <c r="U224" s="18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7" t="str">
        <f t="shared" si="73"/>
        <v>https://d0f6bd738d7f1b3e5a7ca70fe4ff75f0.us-east-1.aws.found.io/app/kibana#/discover/Steve-Slow-Train-Analysis-(2080s-and-2083s)?_g=(refreshInterval:(display:Off,pause:!f,section:0,value:0),time:(from:'2017-02-13T16:20:43-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4" s="188" t="str">
        <f t="shared" si="74"/>
        <v>Y</v>
      </c>
      <c r="X224" s="188" t="e">
        <f t="shared" si="68"/>
        <v>#VALUE!</v>
      </c>
      <c r="Y224" s="62">
        <f t="shared" si="75"/>
        <v>0.1484</v>
      </c>
      <c r="Z224" s="62">
        <f t="shared" si="76"/>
        <v>2.3315999999999999</v>
      </c>
      <c r="AA224" s="62">
        <f t="shared" si="77"/>
        <v>2.1831999999999998</v>
      </c>
      <c r="AB224" s="59" t="e">
        <f>VLOOKUP(A224,Enforcements!$C$7:$K$14,8,0)</f>
        <v>#N/A</v>
      </c>
      <c r="AC224" s="55" t="e">
        <f>VLOOKUP(A224,Enforcements!$C$7:$E$14,3,0)</f>
        <v>#N/A</v>
      </c>
      <c r="AD224" s="56" t="str">
        <f t="shared" si="78"/>
        <v>75-13</v>
      </c>
      <c r="AE224" s="85" t="str">
        <f t="shared" si="79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24" s="82" t="str">
        <f t="shared" si="80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24" s="1" t="str">
        <f t="shared" si="81"/>
        <v>Other</v>
      </c>
      <c r="AH224" s="86" t="str">
        <f t="shared" si="82"/>
        <v>"%USERPROFILE%\Documents\GitHub\eaglep3\Utilities\RefineRTDCRunTimes.py" --tripid 75-13 --locoid 4018 --swversion DE.1.0.8.0 --startMP 204:1484 --initTime 2017-02-13T17:20:43 --startdatetime 1969-12-31T17:00:00 --delay 1 --endMP 300:23316 --enddatetime 1969-12-31T17:00:00 --enforcementcount 0 &gt;&gt;C:\Users\stu\Documents\GitHub\eaglep3-reporting\EC\2017-02-13-refined-times.txt</v>
      </c>
      <c r="AI224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ID","value":"75-13"},{"id":16,"name":"Locomotive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84"/>
        <v>start /low /b %USERPROFILE%\Documents\GitHub\eaglep3\Utilities\DownloadLogsFromS3.py --loco 4018 --day 1969-12-31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2017-02-13-UncaughtWiMAX.txt</v>
      </c>
    </row>
    <row r="225" spans="1:40" x14ac:dyDescent="0.25">
      <c r="A225" s="33" t="s">
        <v>703</v>
      </c>
      <c r="B225" s="7">
        <v>4008</v>
      </c>
      <c r="C225" s="21" t="s">
        <v>193</v>
      </c>
      <c r="D225" s="21" t="s">
        <v>838</v>
      </c>
      <c r="E225" s="13">
        <v>42779.748217592591</v>
      </c>
      <c r="F225" s="13">
        <v>42779.7497337963</v>
      </c>
      <c r="G225" s="7">
        <v>1</v>
      </c>
      <c r="H225" s="21" t="s">
        <v>839</v>
      </c>
      <c r="I225" s="13">
        <v>42779.754189814812</v>
      </c>
      <c r="J225" s="7">
        <v>0</v>
      </c>
      <c r="K225" s="98" t="str">
        <f t="shared" si="69"/>
        <v>4007/4008</v>
      </c>
      <c r="L225" s="21" t="str">
        <f>VLOOKUP(A225,'Trips&amp;Operators'!$C$1:$G$99999,5,FALSE)</f>
        <v>YANG JAN</v>
      </c>
      <c r="M225" s="6">
        <f t="shared" si="70"/>
        <v>4.4560185124282725E-3</v>
      </c>
      <c r="N225" s="7">
        <f t="shared" si="67"/>
        <v>6.4166666578967124</v>
      </c>
      <c r="O225" s="7"/>
      <c r="P225" s="7"/>
      <c r="Q225" s="22"/>
      <c r="R225" s="22"/>
      <c r="S225" s="31">
        <f t="shared" si="71"/>
        <v>0</v>
      </c>
      <c r="T225" s="46" t="e">
        <f t="shared" si="72"/>
        <v>#VALUE!</v>
      </c>
      <c r="U225" s="18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7" t="str">
        <f t="shared" si="73"/>
        <v>https://d0f6bd738d7f1b3e5a7ca70fe4ff75f0.us-east-1.aws.found.io/app/kibana#/discover/Steve-Slow-Train-Analysis-(2080s-and-2083s)?_g=(refreshInterval:(display:Off,pause:!f,section:0,value:0),time:(from:'2017-02-13T16:57:26-0700',mode:absolute,to:'2017-02-13T19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5" s="188" t="str">
        <f t="shared" si="74"/>
        <v>Y</v>
      </c>
      <c r="X225" s="188" t="e">
        <f t="shared" si="68"/>
        <v>#VALUE!</v>
      </c>
      <c r="Y225" s="62">
        <f t="shared" si="75"/>
        <v>2.1819999999999999</v>
      </c>
      <c r="Z225" s="62">
        <f t="shared" si="76"/>
        <v>9.6699999999999994E-2</v>
      </c>
      <c r="AA225" s="62">
        <f t="shared" si="77"/>
        <v>2.0853000000000002</v>
      </c>
      <c r="AB225" s="59" t="e">
        <f>VLOOKUP(A225,Enforcements!$C$7:$K$14,8,0)</f>
        <v>#N/A</v>
      </c>
      <c r="AC225" s="55" t="e">
        <f>VLOOKUP(A225,Enforcements!$C$7:$E$14,3,0)</f>
        <v>#N/A</v>
      </c>
      <c r="AD225" s="56" t="str">
        <f t="shared" si="78"/>
        <v>78-13</v>
      </c>
      <c r="AE225" s="85" t="str">
        <f t="shared" si="79"/>
        <v>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 &amp; aws s3 cp s3://rtdc.mdm.uploadarchive.raw/RTDC4008/ "%USERPROFILE%\AppData\Local\Temp\OnboardLogs"\RTDC4008\2017-02-14 --exclude "*" --recursive --include "*20170214*" &amp; "%USERPROFILE%\Documents\GitHub\mrs-test-scripts\Headless Mode &amp; Sideloading\WalkAndUnGZ.bat" "%USERPROFILE%\AppData\Local\Temp\OnboardLogs"\RTDC4008\2017-02-14</v>
      </c>
      <c r="AF225" s="82" t="str">
        <f t="shared" si="80"/>
        <v>"C:\Program Files (x86)\AstroGrep\AstroGrep.exe" /spath="%USERPROFILE%\AppData\Local\Temp\OnboardLogs" /stypes="app*4008*20170214*" /stext=" 01:.+((SYSTEM_STATE.+slice.+state.+changed )|(ment ac)|(multiple cpu faults)|(system.+state.+changed )|(\[timeout)|(PRM\|1\|D)|(kpr)|(kdp)|(\|lc)|(penalty))" /e /r /s</v>
      </c>
      <c r="AG225" s="1" t="str">
        <f t="shared" si="81"/>
        <v>Other</v>
      </c>
      <c r="AH225" s="86" t="str">
        <f t="shared" si="82"/>
        <v>"%USERPROFILE%\Documents\GitHub\eaglep3\Utilities\RefineRTDCRunTimes.py" --tripid 78-13 --locoid 4008 --swversion DE.1.0.8.0 --startMP 300:21820 --initTime 2017-02-13T17:57:26 --startdatetime 2017-02-13T17:59:37 --delay 1 --endMP 204:967 --enddatetime 2017-02-13T18:06:02 --enforcementcount 0 &gt;&gt;C:\Users\stu\Documents\GitHub\eaglep3-reporting\EC\2017-02-13-refined-times.txt</v>
      </c>
      <c r="AI225" s="108" t="str">
        <f t="shared" si="83"/>
        <v>echo {"issue":{"subject":"","project_id":79,"tracker_id":40,"status_id":1,"priority_id":2,"assigned_to_id":23,"start_date":"2017-02-13","description":"","custom_fields":[{"id":1,"name":"Subdivision","value":"Other"},{"id":4,"name":"Milepost","value":"0.0967"},{"id":17,"name":"Train ID","value":"78-13"},{"id":16,"name":"Locomotive ID","value":"4008"},{"id":130,"name":"Impact","value":""},{"id":150,"name":"Time of Event (Mountain Time)","value":"18:06:02"},{"id":151,"name":"Denver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84"/>
        <v>start /low /b %USERPROFILE%\Documents\GitHub\eaglep3\Utilities\DownloadLogsFromS3.py --loco 4008 --day 2017-02-13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"%USERPROFILE%\AppData\Local\Temp\OnboardLogs"\RTDC4008\*4008*20170214* | grep -SE "(Enforcement Action)|(\[TIMEOUT)|(CHR.+\|PRM\|1\|D.+(SWITCH|SIGNAL).+UNKNOWN)" - &gt;&gt; 2017-02-13-UncaughtWiMAX.txt</v>
      </c>
    </row>
    <row r="226" spans="1:40" x14ac:dyDescent="0.25">
      <c r="A226" s="33" t="s">
        <v>548</v>
      </c>
      <c r="B226" s="7">
        <v>4023</v>
      </c>
      <c r="C226" s="21" t="s">
        <v>193</v>
      </c>
      <c r="D226" s="21" t="s">
        <v>840</v>
      </c>
      <c r="E226" s="13">
        <v>42779.751620370371</v>
      </c>
      <c r="F226" s="13">
        <v>42779.75304398148</v>
      </c>
      <c r="G226" s="7">
        <v>1</v>
      </c>
      <c r="H226" s="21" t="s">
        <v>841</v>
      </c>
      <c r="I226" s="13">
        <v>42779.758645833332</v>
      </c>
      <c r="J226" s="7">
        <v>0</v>
      </c>
      <c r="K226" s="98" t="str">
        <f t="shared" si="69"/>
        <v>4023/4024</v>
      </c>
      <c r="L226" s="21" t="str">
        <f>VLOOKUP(A226,'Trips&amp;Operators'!$C$1:$G$99999,5,FALSE)</f>
        <v>STORY SAMANTHA</v>
      </c>
      <c r="M226" s="6">
        <f t="shared" si="70"/>
        <v>5.6018518516793847E-3</v>
      </c>
      <c r="N226" s="7">
        <f t="shared" si="67"/>
        <v>8.066666666418314</v>
      </c>
      <c r="O226" s="7"/>
      <c r="P226" s="7"/>
      <c r="Q226" s="22"/>
      <c r="R226" s="22"/>
      <c r="S226" s="31">
        <f t="shared" si="71"/>
        <v>0</v>
      </c>
      <c r="T226" s="46" t="e">
        <f t="shared" si="72"/>
        <v>#VALUE!</v>
      </c>
      <c r="U226" s="18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7" t="str">
        <f t="shared" si="73"/>
        <v>https://d0f6bd738d7f1b3e5a7ca70fe4ff75f0.us-east-1.aws.found.io/app/kibana#/discover/Steve-Slow-Train-Analysis-(2080s-and-2083s)?_g=(refreshInterval:(display:Off,pause:!f,section:0,value:0),time:(from:'2017-02-13T17:02:20-0700',mode:absolute,to:'2017-02-13T19:12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6" s="188" t="str">
        <f t="shared" si="74"/>
        <v>Y</v>
      </c>
      <c r="X226" s="188" t="e">
        <f t="shared" si="68"/>
        <v>#VALUE!</v>
      </c>
      <c r="Y226" s="62">
        <f t="shared" si="75"/>
        <v>2.3209</v>
      </c>
      <c r="Z226" s="62">
        <f t="shared" si="76"/>
        <v>1.0800000000000001E-2</v>
      </c>
      <c r="AA226" s="62">
        <f t="shared" si="77"/>
        <v>2.3100999999999998</v>
      </c>
      <c r="AB226" s="59" t="e">
        <f>VLOOKUP(A226,Enforcements!$C$7:$K$14,8,0)</f>
        <v>#N/A</v>
      </c>
      <c r="AC226" s="55" t="e">
        <f>VLOOKUP(A226,Enforcements!$C$7:$E$14,3,0)</f>
        <v>#N/A</v>
      </c>
      <c r="AD226" s="56" t="str">
        <f t="shared" si="78"/>
        <v>80-13</v>
      </c>
      <c r="AE226" s="85" t="str">
        <f t="shared" si="79"/>
        <v>aws s3 cp s3://rtdc.mdm.uploadarchive.raw/RTDC4023/ "%USERPROFILE%\AppData\Local\Temp\OnboardLogs"\RTDC4023\2017-02-13 --exclude "*" --recursive --include "*20170213*" &amp; "%USERPROFILE%\Documents\GitHub\mrs-test-scripts\Headless Mode &amp; Sideloading\WalkAndUnGZ.bat" "%USERPROFILE%\AppData\Local\Temp\OnboardLogs"\RTDC4023\2017-02-13 &amp; aws s3 cp s3://rtdc.mdm.uploadarchive.raw/RTDC4023/ "%USERPROFILE%\AppData\Local\Temp\OnboardLogs"\RTDC4023\2017-02-14 --exclude "*" --recursive --include "*20170214*" &amp; "%USERPROFILE%\Documents\GitHub\mrs-test-scripts\Headless Mode &amp; Sideloading\WalkAndUnGZ.bat" "%USERPROFILE%\AppData\Local\Temp\OnboardLogs"\RTDC4023\2017-02-14</v>
      </c>
      <c r="AF226" s="82" t="str">
        <f t="shared" si="80"/>
        <v>"C:\Program Files (x86)\AstroGrep\AstroGrep.exe" /spath="%USERPROFILE%\AppData\Local\Temp\OnboardLogs" /stypes="app*4023*20170214*" /stext=" 01:.+((SYSTEM_STATE.+slice.+state.+changed )|(ment ac)|(multiple cpu faults)|(system.+state.+changed )|(\[timeout)|(PRM\|1\|D)|(kpr)|(kdp)|(\|lc)|(penalty))" /e /r /s</v>
      </c>
      <c r="AG226" s="1" t="str">
        <f t="shared" si="81"/>
        <v>Other</v>
      </c>
      <c r="AH226" s="86" t="str">
        <f t="shared" si="82"/>
        <v>"%USERPROFILE%\Documents\GitHub\eaglep3\Utilities\RefineRTDCRunTimes.py" --tripid 80-13 --locoid 4023 --swversion DE.1.0.8.0 --startMP 300:23209 --initTime 2017-02-13T18:02:20 --startdatetime 2017-02-13T18:04:23 --delay 1 --endMP 204:108 --enddatetime 2017-02-13T18:12:27 --enforcementcount 0 &gt;&gt;C:\Users\stu\Documents\GitHub\eaglep3-reporting\EC\2017-02-13-refined-times.txt</v>
      </c>
      <c r="AI226" s="108" t="str">
        <f t="shared" si="83"/>
        <v>echo {"issue":{"subject":"","project_id":79,"tracker_id":40,"status_id":1,"priority_id":2,"assigned_to_id":23,"start_date":"2017-02-13","description":"","custom_fields":[{"id":1,"name":"Subdivision","value":"Other"},{"id":4,"name":"Milepost","value":"0.0108"},{"id":17,"name":"Train ID","value":"80-13"},{"id":16,"name":"Locomotive ID","value":"4023"},{"id":130,"name":"Impact","value":""},{"id":150,"name":"Time of Event (Mountain Time)","value":"18:12:27"},{"id":151,"name":"Denver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84"/>
        <v>start /low /b %USERPROFILE%\Documents\GitHub\eaglep3\Utilities\DownloadLogsFromS3.py --loco 4023 --day 2017-02-13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"%USERPROFILE%\AppData\Local\Temp\OnboardLogs"\RTDC4023\*4023*20170214* | grep -SE "(Enforcement Action)|(\[TIMEOUT)|(CHR.+\|PRM\|1\|D.+(SWITCH|SIGNAL).+UNKNOWN)" - &gt;&gt; 2017-02-13-UncaughtWiMAX.txt</v>
      </c>
    </row>
    <row r="227" spans="1:40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4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</sheetData>
  <autoFilter ref="A12:AG228">
    <sortState ref="A13:AG228">
      <sortCondition ref="AG13:AG226"/>
      <sortCondition ref="AD13:AD226"/>
    </sortState>
  </autoFilter>
  <sortState ref="A13:AH200">
    <sortCondition ref="AG13:AG200"/>
    <sortCondition ref="AD13:AD200"/>
  </sortState>
  <mergeCells count="1">
    <mergeCell ref="A11:P11"/>
  </mergeCells>
  <conditionalFormatting sqref="W11:W12 W252:X1048576 W13:X226">
    <cfRule type="cellIs" dxfId="10" priority="356" operator="equal">
      <formula>"Y"</formula>
    </cfRule>
  </conditionalFormatting>
  <conditionalFormatting sqref="X252:X1048576 X13:X226">
    <cfRule type="cellIs" dxfId="9" priority="339" operator="greaterThan">
      <formula>1</formula>
    </cfRule>
  </conditionalFormatting>
  <conditionalFormatting sqref="X252:X1048576 X12:X226">
    <cfRule type="cellIs" dxfId="8" priority="336" operator="equal">
      <formula>0</formula>
    </cfRule>
  </conditionalFormatting>
  <conditionalFormatting sqref="A13:S226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AK13:AK226</xm:sqref>
        </x14:dataValidation>
        <x14:dataValidation type="list" allowBlank="1" showInputMessage="1" showErrorMessage="1">
          <x14:formula1>
            <xm:f>'Redmine List Values'!$C$2:$C$15</xm:f>
          </x14:formula1>
          <xm:sqref>AL13:AL226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8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7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7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COUNTIF($O$7:$O$317,"=Y")</f>
        <v>1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COUNTA($O$7:$O$317)-O2</f>
        <v>30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7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- 2017-02-13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197</v>
      </c>
      <c r="AE6" s="155" t="s">
        <v>212</v>
      </c>
    </row>
    <row r="7" spans="1:32" s="1" customFormat="1" x14ac:dyDescent="0.25">
      <c r="A7" s="32">
        <v>42779.286932870367</v>
      </c>
      <c r="B7" s="30" t="s">
        <v>335</v>
      </c>
      <c r="C7" s="30" t="s">
        <v>526</v>
      </c>
      <c r="D7" s="30" t="s">
        <v>98</v>
      </c>
      <c r="E7" s="30" t="s">
        <v>199</v>
      </c>
      <c r="F7" s="43">
        <v>190</v>
      </c>
      <c r="G7" s="43">
        <v>240</v>
      </c>
      <c r="H7" s="43">
        <v>31021</v>
      </c>
      <c r="I7" s="43">
        <v>31678</v>
      </c>
      <c r="J7" s="30" t="s">
        <v>200</v>
      </c>
      <c r="K7" s="43">
        <v>30830</v>
      </c>
      <c r="L7" s="143" t="s">
        <v>50</v>
      </c>
      <c r="M7" s="144">
        <f t="shared" ref="M7:M37" si="0">CONVERT((I7-K7)/10000,"mi","ft")*IF(L7="Increasing Mileposts (1)",-1,1)</f>
        <v>-447.74400000000003</v>
      </c>
      <c r="N7" s="145" t="str">
        <f>VLOOKUP(C7,'Trips&amp;Operators'!$C$1:$G$99999,5,FALSE)</f>
        <v>YORK EDGAR</v>
      </c>
      <c r="O7" s="194" t="s">
        <v>185</v>
      </c>
      <c r="P7" s="146" t="s">
        <v>340</v>
      </c>
      <c r="Q7" s="30"/>
      <c r="R7" s="89" t="str">
        <f>VLOOKUP(C7,'Train Runs'!$A$13:$AE$9956,31,0)</f>
        <v>aws s3 cp s3://rtdc.mdm.uploadarchive.raw/RTDC4044/ "%USERPROFILE%\AppData\Local\Temp\OnboardLogs"\RTDC4044\2017-02-13 --exclude "*" --recursive --include "*20170213*" &amp; "%USERPROFILE%\Documents\GitHub\mrs-test-scripts\Headless Mode &amp; Sideloading\WalkAndUnGZ.bat" "%USERPROFILE%\AppData\Local\Temp\OnboardLogs"\RTDC4044\2017-02-13 &amp; 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</v>
      </c>
      <c r="S7" s="92" t="str">
        <f>VLOOKUP(C7,'Train Runs'!$A$13:$AE$9956,22,0)</f>
        <v>https://d0f6bd738d7f1b3e5a7ca70fe4ff75f0.us-east-1.aws.found.io/app/kibana#/discover/Steve-Slow-Train-Analysis-(2080s-and-2083s)?_g=(refreshInterval:(display:Off,pause:!f,section:0,value:0),time:(from:'2017-02-13T05:36:00-0700',mode:absolute,to:'2017-02-13T08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7" s="94" t="str">
        <f t="shared" ref="T7:T37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/stypes="*4044*201702131*" /stext=" 13:.+((SYSTEM_STATE.+slice.+state.+changed )|(ment ac)|(multiple cpu faults)|(system.+state.+changed )|(\[timeout)|(PRM\|1\|D)|(kpr)|(kdp)|(\|lc)|(penalty))" /e /r /s</v>
      </c>
      <c r="U7" s="9" t="str">
        <f t="shared" ref="U7:U37" si="2">MID(B7,13,4)</f>
        <v>4044</v>
      </c>
      <c r="V7" s="32">
        <f t="shared" ref="V7:V37" si="3">A7-utc_offset/24</f>
        <v>42779.578599537032</v>
      </c>
      <c r="W7" s="46" t="str">
        <f t="shared" ref="W7:W37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7" si="5">IF(AND(E7="TRACK WARRANT AUTHORITY",G7&lt;10),"OMIT","KEEP")</f>
        <v>KEEP</v>
      </c>
      <c r="Y7" s="108" t="str">
        <f t="shared" ref="Y7:Y3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arrival","project_id":79,"tracker_id":40,"status_id":1,"priority_id":2,"assigned_to_id":23,"start_date":"2017-02-13","description":"","custom_fields":[{"id":1,"name":"Subdivision","value":"EC"},{"id":4,"name":"Milepost","value":"3.083"},{"id":17,"name":"Train ID","value":"125-13"},{"id":16,"name":"Locomotive ID","value":"4044"},{"id":130,"name":"Impact","value":""},{"id":150,"name":"Time of Event (Mountain Time)","value":"06:53:11"},{"id":151,"name":"Denver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7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"%USERPROFILE%\AppData\Local\Temp\OnboardLogs"\RTDC4044\*4044*201702131*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"%USERPROFILE%\AppData\Local\Temp\OnboardLogs"\RTDC4044\*4044*201702131* &gt;&gt; 2017-02-13-SliceDisagreementCheck.txt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4044 --day 2017-02-13</v>
      </c>
    </row>
    <row r="8" spans="1:32" s="1" customFormat="1" x14ac:dyDescent="0.25">
      <c r="A8" s="32">
        <v>42779.485405092593</v>
      </c>
      <c r="B8" s="30" t="s">
        <v>259</v>
      </c>
      <c r="C8" s="30" t="s">
        <v>537</v>
      </c>
      <c r="D8" s="30" t="s">
        <v>49</v>
      </c>
      <c r="E8" s="30" t="s">
        <v>199</v>
      </c>
      <c r="F8" s="43">
        <v>250</v>
      </c>
      <c r="G8" s="43">
        <v>364</v>
      </c>
      <c r="H8" s="43">
        <v>35761</v>
      </c>
      <c r="I8" s="43">
        <v>34804</v>
      </c>
      <c r="J8" s="30" t="s">
        <v>200</v>
      </c>
      <c r="K8" s="43">
        <v>33257</v>
      </c>
      <c r="L8" s="143" t="s">
        <v>51</v>
      </c>
      <c r="M8" s="144">
        <f t="shared" si="0"/>
        <v>816.81600000000003</v>
      </c>
      <c r="N8" s="145" t="str">
        <f>VLOOKUP(C8,'Trips&amp;Operators'!$C$1:$G$99999,5,FALSE)</f>
        <v>YORK EDGAR</v>
      </c>
      <c r="O8" s="194" t="s">
        <v>185</v>
      </c>
      <c r="P8" s="146" t="s">
        <v>340</v>
      </c>
      <c r="Q8" s="30"/>
      <c r="R8" s="89" t="str">
        <f>VLOOKUP(C8,'Train Runs'!$A$13:$AE$9956,31,0)</f>
        <v>aws s3 cp s3://rtdc.mdm.uploadarchive.raw/RTDC4043/ "%USERPROFILE%\AppData\Local\Temp\OnboardLogs"\RTDC4043\2017-02-13 --exclude "*" --recursive --include "*20170213*" &amp; "%USERPROFILE%\Documents\GitHub\mrs-test-scripts\Headless Mode &amp; Sideloading\WalkAndUnGZ.bat" "%USERPROFILE%\AppData\Local\Temp\OnboardLogs"\RTDC4043\2017-02-13 &amp; aws s3 cp s3://rtdc.mdm.uploadarchive.raw/RTDC4043/ "%USERPROFILE%\AppData\Local\Temp\OnboardLogs"\RTDC4043\2017-02-14 --exclude "*" --recursive --include "*20170214*" &amp; "%USERPROFILE%\Documents\GitHub\mrs-test-scripts\Headless Mode &amp; Sideloading\WalkAndUnGZ.bat" "%USERPROFILE%\AppData\Local\Temp\OnboardLogs"\RTDC4043\2017-02-14</v>
      </c>
      <c r="S8" s="92" t="str">
        <f>VLOOKUP(C8,'Train Runs'!$A$13:$AE$9956,22,0)</f>
        <v>https://d0f6bd738d7f1b3e5a7ca70fe4ff75f0.us-east-1.aws.found.io/app/kibana#/discover/Steve-Slow-Train-Analysis-(2080s-and-2083s)?_g=(refreshInterval:(display:Off,pause:!f,section:0,value:0),time:(from:'2017-02-13T09:51:47-0700',mode:absolute,to:'2017-02-13T12:48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8" s="94" t="str">
        <f t="shared" si="1"/>
        <v>"C:\Program Files (x86)\AstroGrep\AstroGrep.exe" /spath="%USERPROFILE%\AppData\Local\Temp\OnboardLogs" /stypes="*4043*201702131*" /stext=" 18:.+((SYSTEM_STATE.+slice.+state.+changed )|(ment ac)|(multiple cpu faults)|(system.+state.+changed )|(\[timeout)|(PRM\|1\|D)|(kpr)|(kdp)|(\|lc)|(penalty))" /e /r /s</v>
      </c>
      <c r="U8" s="9" t="str">
        <f t="shared" si="2"/>
        <v>4043</v>
      </c>
      <c r="V8" s="32">
        <f t="shared" si="3"/>
        <v>42779.777071759258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arrival","project_id":79,"tracker_id":40,"status_id":1,"priority_id":2,"assigned_to_id":23,"start_date":"2017-02-13","description":"","custom_fields":[{"id":1,"name":"Subdivision","value":"EC"},{"id":4,"name":"Milepost","value":"3.3257"},{"id":17,"name":"Train ID","value":"154-13"},{"id":16,"name":"Locomotive ID","value":"4043"},{"id":130,"name":"Impact","value":""},{"id":150,"name":"Time of Event (Mountain Time)","value":"11:38:59"},{"id":151,"name":"Denver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"%USERPROFILE%\AppData\Local\Temp\OnboardLogs"\RTDC4043\*4043*201702131*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"%USERPROFILE%\AppData\Local\Temp\OnboardLogs"\RTDC4043\*4043*201702131* &gt;&gt; 2017-02-13-SliceDisagreementCheck.txt</v>
      </c>
      <c r="AE8" s="157" t="str">
        <f t="shared" ref="AE8:AE37" si="9">"start /low /b "&amp;dls3logs&amp;" --loco "&amp;U8&amp;" --day "&amp;TEXT(V8,"YYYY-MM-DD")</f>
        <v>start /low /b %USERPROFILE%\Documents\GitHub\eaglep3\Utilities\DownloadLogsFromS3.py --loco 4043 --day 2017-02-13</v>
      </c>
    </row>
    <row r="9" spans="1:32" s="1" customFormat="1" x14ac:dyDescent="0.25">
      <c r="A9" s="32">
        <v>42779.307581018518</v>
      </c>
      <c r="B9" s="30" t="s">
        <v>220</v>
      </c>
      <c r="C9" s="30" t="s">
        <v>530</v>
      </c>
      <c r="D9" s="30" t="s">
        <v>49</v>
      </c>
      <c r="E9" s="30" t="s">
        <v>199</v>
      </c>
      <c r="F9" s="43">
        <v>0</v>
      </c>
      <c r="G9" s="43">
        <v>586</v>
      </c>
      <c r="H9" s="43">
        <v>48734</v>
      </c>
      <c r="I9" s="43">
        <v>46826</v>
      </c>
      <c r="J9" s="30" t="s">
        <v>200</v>
      </c>
      <c r="K9" s="43">
        <v>48048</v>
      </c>
      <c r="L9" s="143" t="s">
        <v>51</v>
      </c>
      <c r="M9" s="144">
        <f t="shared" si="0"/>
        <v>-645.21600000000001</v>
      </c>
      <c r="N9" s="145" t="str">
        <f>VLOOKUP(C9,'Trips&amp;Operators'!$C$1:$G$99999,5,FALSE)</f>
        <v>STARKS ANGELINA</v>
      </c>
      <c r="O9" s="194" t="s">
        <v>185</v>
      </c>
      <c r="P9" s="146" t="s">
        <v>340</v>
      </c>
      <c r="Q9" s="30"/>
      <c r="R9" s="89" t="str">
        <f>VLOOKUP(C9,'Train Runs'!$A$13:$AE$9956,31,0)</f>
        <v>aws s3 cp s3://rtdc.mdm.uploadarchive.raw/RTDC4026/ "%USERPROFILE%\AppData\Local\Temp\OnboardLogs"\RTDC4026\2017-02-13 --exclude "*" --recursive --include "*20170213*" &amp; "%USERPROFILE%\Documents\GitHub\mrs-test-scripts\Headless Mode &amp; Sideloading\WalkAndUnGZ.bat" "%USERPROFILE%\AppData\Local\Temp\OnboardLogs"\RTDC4026\2017-02-13 &amp; aws s3 cp s3://rtdc.mdm.uploadarchive.raw/RTDC4026/ "%USERPROFILE%\AppData\Local\Temp\OnboardLogs"\RTDC4026\2017-02-14 --exclude "*" --recursive --include "*20170214*" &amp; "%USERPROFILE%\Documents\GitHub\mrs-test-scripts\Headless Mode &amp; Sideloading\WalkAndUnGZ.bat" "%USERPROFILE%\AppData\Local\Temp\OnboardLogs"\RTDC4026\2017-02-14</v>
      </c>
      <c r="S9" s="92" t="str">
        <f>VLOOKUP(C9,'Train Runs'!$A$13:$AE$9956,22,0)</f>
        <v>https://d0f6bd738d7f1b3e5a7ca70fe4ff75f0.us-east-1.aws.found.io/app/kibana#/discover/Steve-Slow-Train-Analysis-(2080s-and-2083s)?_g=(refreshInterval:(display:Off,pause:!f,section:0,value:0),time:(from:'2017-02-13T05:40:45-0700',mode:absolute,to:'2017-02-13T08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9" s="94" t="str">
        <f t="shared" si="1"/>
        <v>"C:\Program Files (x86)\AstroGrep\AstroGrep.exe" /spath="%USERPROFILE%\AppData\Local\Temp\OnboardLogs" /stypes="*4026*201702131*" /stext=" 14:.+((SYSTEM_STATE.+slice.+state.+changed )|(ment ac)|(multiple cpu faults)|(system.+state.+changed )|(\[timeout)|(PRM\|1\|D)|(kpr)|(kdp)|(\|lc)|(penalty))" /e /r /s</v>
      </c>
      <c r="U9" s="9" t="str">
        <f t="shared" si="2"/>
        <v>4026</v>
      </c>
      <c r="V9" s="32">
        <f t="shared" si="3"/>
        <v>42779.599247685182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arrival","project_id":79,"tracker_id":40,"status_id":1,"priority_id":2,"assigned_to_id":23,"start_date":"2017-02-13","description":"","custom_fields":[{"id":1,"name":"Subdivision","value":"EC"},{"id":4,"name":"Milepost","value":"4.8048"},{"id":17,"name":"Train ID","value":"120-13"},{"id":16,"name":"Locomotive ID","value":"4026"},{"id":130,"name":"Impact","value":""},{"id":150,"name":"Time of Event (Mountain Time)","value":"07:22:55"},{"id":151,"name":"Denver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"%USERPROFILE%\AppData\Local\Temp\OnboardLogs"\RTDC4026\*4026*201702131*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"%USERPROFILE%\AppData\Local\Temp\OnboardLogs"\RTDC4026\*4026*201702131* &gt;&gt; 2017-02-13-SliceDisagreementCheck.txt</v>
      </c>
      <c r="AE9" s="157" t="str">
        <f t="shared" si="9"/>
        <v>start /low /b %USERPROFILE%\Documents\GitHub\eaglep3\Utilities\DownloadLogsFromS3.py --loco 4026 --day 2017-02-13</v>
      </c>
    </row>
    <row r="10" spans="1:32" s="1" customFormat="1" x14ac:dyDescent="0.25">
      <c r="A10" s="32">
        <v>42779.498287037037</v>
      </c>
      <c r="B10" s="30" t="s">
        <v>301</v>
      </c>
      <c r="C10" s="30" t="s">
        <v>538</v>
      </c>
      <c r="D10" s="30" t="s">
        <v>49</v>
      </c>
      <c r="E10" s="30" t="s">
        <v>199</v>
      </c>
      <c r="F10" s="43">
        <v>0</v>
      </c>
      <c r="G10" s="43">
        <v>638</v>
      </c>
      <c r="H10" s="43">
        <v>58256</v>
      </c>
      <c r="I10" s="43">
        <v>60988</v>
      </c>
      <c r="J10" s="30" t="s">
        <v>200</v>
      </c>
      <c r="K10" s="43">
        <v>58783</v>
      </c>
      <c r="L10" s="143" t="s">
        <v>50</v>
      </c>
      <c r="M10" s="144">
        <f t="shared" si="0"/>
        <v>-1164.24</v>
      </c>
      <c r="N10" s="145" t="str">
        <f>VLOOKUP(C10,'Trips&amp;Operators'!$C$1:$G$99999,5,FALSE)</f>
        <v>ROMERO CHAD</v>
      </c>
      <c r="O10" s="194" t="s">
        <v>185</v>
      </c>
      <c r="P10" s="146" t="s">
        <v>340</v>
      </c>
      <c r="Q10" s="30"/>
      <c r="R10" s="89" t="str">
        <f>VLOOKUP(C10,'Train Runs'!$A$13:$AE$9956,31,0)</f>
        <v>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 &amp; aws s3 cp s3://rtdc.mdm.uploadarchive.raw/RTDC4009/ "%USERPROFILE%\AppData\Local\Temp\OnboardLogs"\RTDC4009\2017-02-14 --exclude "*" --recursive --include "*20170214*" &amp; "%USERPROFILE%\Documents\GitHub\mrs-test-scripts\Headless Mode &amp; Sideloading\WalkAndUnGZ.bat" "%USERPROFILE%\AppData\Local\Temp\OnboardLogs"\RTDC4009\2017-02-14</v>
      </c>
      <c r="S10" s="92" t="str">
        <f>VLOOKUP(C10,'Train Runs'!$A$13:$AE$9956,22,0)</f>
        <v>https://d0f6bd738d7f1b3e5a7ca70fe4ff75f0.us-east-1.aws.found.io/app/kibana#/discover/Steve-Slow-Train-Analysis-(2080s-and-2083s)?_g=(refreshInterval:(display:Off,pause:!f,section:0,value:0),time:(from:'2017-02-13T10:38:12-0700',mode:absolute,to:'2017-02-13T13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0" s="94" t="str">
        <f t="shared" si="1"/>
        <v>"C:\Program Files (x86)\AstroGrep\AstroGrep.exe" /spath="%USERPROFILE%\AppData\Local\Temp\OnboardLogs" /stypes="*4009*201702131*" /stext=" 18:.+((SYSTEM_STATE.+slice.+state.+changed )|(ment ac)|(multiple cpu faults)|(system.+state.+changed )|(\[timeout)|(PRM\|1\|D)|(kpr)|(kdp)|(\|lc)|(penalty))" /e /r /s</v>
      </c>
      <c r="U10" s="9" t="str">
        <f t="shared" si="2"/>
        <v>4009</v>
      </c>
      <c r="V10" s="32">
        <f t="shared" si="3"/>
        <v>42779.789953703701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arrival","project_id":79,"tracker_id":40,"status_id":1,"priority_id":2,"assigned_to_id":23,"start_date":"2017-02-13","description":"","custom_fields":[{"id":1,"name":"Subdivision","value":"EC"},{"id":4,"name":"Milepost","value":"5.8783"},{"id":17,"name":"Train ID","value":"165-13"},{"id":16,"name":"Locomotive ID","value":"4009"},{"id":130,"name":"Impact","value":""},{"id":150,"name":"Time of Event (Mountain Time)","value":"11:57:32"},{"id":151,"name":"Denver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"%USERPROFILE%\AppData\Local\Temp\OnboardLogs"\RTDC4009\*4009*201702131*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"%USERPROFILE%\AppData\Local\Temp\OnboardLogs"\RTDC4009\*4009*201702131* &gt;&gt; 2017-02-13-SliceDisagreementCheck.txt</v>
      </c>
      <c r="AE10" s="157" t="str">
        <f t="shared" si="9"/>
        <v>start /low /b %USERPROFILE%\Documents\GitHub\eaglep3\Utilities\DownloadLogsFromS3.py --loco 4009 --day 2017-02-13</v>
      </c>
    </row>
    <row r="11" spans="1:32" s="1" customFormat="1" x14ac:dyDescent="0.25">
      <c r="A11" s="32">
        <v>42779.294652777775</v>
      </c>
      <c r="B11" s="30" t="s">
        <v>332</v>
      </c>
      <c r="C11" s="30" t="s">
        <v>527</v>
      </c>
      <c r="D11" s="30" t="s">
        <v>49</v>
      </c>
      <c r="E11" s="30" t="s">
        <v>216</v>
      </c>
      <c r="F11" s="43">
        <v>400</v>
      </c>
      <c r="G11" s="43">
        <v>452</v>
      </c>
      <c r="H11" s="43">
        <v>17248</v>
      </c>
      <c r="I11" s="43">
        <v>17873</v>
      </c>
      <c r="J11" s="30" t="s">
        <v>217</v>
      </c>
      <c r="K11" s="43">
        <v>17867</v>
      </c>
      <c r="L11" s="143" t="s">
        <v>50</v>
      </c>
      <c r="M11" s="144">
        <f t="shared" si="0"/>
        <v>-3.1680000000000001</v>
      </c>
      <c r="N11" s="145" t="str">
        <f>VLOOKUP(C11,'Trips&amp;Operators'!$C$1:$G$99999,5,FALSE)</f>
        <v>OUN ZACK</v>
      </c>
      <c r="O11" s="194" t="s">
        <v>185</v>
      </c>
      <c r="P11" s="146"/>
      <c r="Q11" s="30"/>
      <c r="R11" s="89" t="str">
        <f>VLOOKUP(C11,'Train Runs'!$A$13:$AE$9956,31,0)</f>
        <v>aws s3 cp s3://rtdc.mdm.uploadarchive.raw/RTDC4020/ "%USERPROFILE%\AppData\Local\Temp\OnboardLogs"\RTDC4020\2017-02-13 --exclude "*" --recursive --include "*20170213*" &amp; "%USERPROFILE%\Documents\GitHub\mrs-test-scripts\Headless Mode &amp; Sideloading\WalkAndUnGZ.bat" "%USERPROFILE%\AppData\Local\Temp\OnboardLogs"\RTDC4020\2017-02-13 &amp; aws s3 cp s3://rtdc.mdm.uploadarchive.raw/RTDC4020/ "%USERPROFILE%\AppData\Local\Temp\OnboardLogs"\RTDC4020\2017-02-14 --exclude "*" --recursive --include "*20170214*" &amp; "%USERPROFILE%\Documents\GitHub\mrs-test-scripts\Headless Mode &amp; Sideloading\WalkAndUnGZ.bat" "%USERPROFILE%\AppData\Local\Temp\OnboardLogs"\RTDC4020\2017-02-14</v>
      </c>
      <c r="S11" s="92" t="str">
        <f>VLOOKUP(C11,'Train Runs'!$A$13:$AE$9956,22,0)</f>
        <v>https://d0f6bd738d7f1b3e5a7ca70fe4ff75f0.us-east-1.aws.found.io/app/kibana#/discover/Steve-Slow-Train-Analysis-(2080s-and-2083s)?_g=(refreshInterval:(display:Off,pause:!f,section:0,value:0),time:(from:'2017-02-13T05:53:11-0700',mode:absolute,to:'2017-02-13T08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1" s="94" t="str">
        <f t="shared" si="1"/>
        <v>"C:\Program Files (x86)\AstroGrep\AstroGrep.exe" /spath="%USERPROFILE%\AppData\Local\Temp\OnboardLogs" /stypes="*4020*201702131*" /stext=" 14:.+((SYSTEM_STATE.+slice.+state.+changed )|(ment ac)|(multiple cpu faults)|(system.+state.+changed )|(\[timeout)|(PRM\|1\|D)|(kpr)|(kdp)|(\|lc)|(penalty))" /e /r /s</v>
      </c>
      <c r="U11" s="9" t="str">
        <f t="shared" si="2"/>
        <v>4020</v>
      </c>
      <c r="V11" s="32">
        <f t="shared" si="3"/>
        <v>42779.586319444439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{"issue":{"subject":"","project_id":79,"tracker_id":40,"status_id":1,"priority_id":2,"assigned_to_id":23,"start_date":"2017-02-13","description":"","custom_fields":[{"id":1,"name":"Subdivision","value":"EC"},{"id":4,"name":"Milepost","value":"1.7867"},{"id":17,"name":"Train ID","value":"127-13"},{"id":16,"name":"Locomotive ID","value":"4020"},{"id":130,"name":"Impact","value":""},{"id":150,"name":"Time of Event (Mountain Time)","value":"07:04:18"},{"id":151,"name":"Denver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"%USERPROFILE%\AppData\Local\Temp\OnboardLogs"\RTDC4020\*4020*201702131*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"%USERPROFILE%\AppData\Local\Temp\OnboardLogs"\RTDC4020\*4020*201702131* &gt;&gt; 2017-02-13-SliceDisagreementCheck.txt</v>
      </c>
      <c r="AE11" s="157" t="str">
        <f t="shared" si="9"/>
        <v>start /low /b %USERPROFILE%\Documents\GitHub\eaglep3\Utilities\DownloadLogsFromS3.py --loco 4020 --day 2017-02-13</v>
      </c>
    </row>
    <row r="12" spans="1:32" s="1" customFormat="1" x14ac:dyDescent="0.25">
      <c r="A12" s="32">
        <v>42779.623726851853</v>
      </c>
      <c r="B12" s="30" t="s">
        <v>419</v>
      </c>
      <c r="C12" s="30" t="s">
        <v>542</v>
      </c>
      <c r="D12" s="30" t="s">
        <v>49</v>
      </c>
      <c r="E12" s="30" t="s">
        <v>216</v>
      </c>
      <c r="F12" s="43">
        <v>300</v>
      </c>
      <c r="G12" s="43">
        <v>457</v>
      </c>
      <c r="H12" s="43">
        <v>23335</v>
      </c>
      <c r="I12" s="43">
        <v>14354</v>
      </c>
      <c r="J12" s="30" t="s">
        <v>217</v>
      </c>
      <c r="K12" s="43">
        <v>21848</v>
      </c>
      <c r="L12" s="143" t="s">
        <v>51</v>
      </c>
      <c r="M12" s="144">
        <f t="shared" si="0"/>
        <v>-3956.8319999999999</v>
      </c>
      <c r="N12" s="145" t="str">
        <f>VLOOKUP(C12,'Trips&amp;Operators'!$C$1:$G$99999,5,FALSE)</f>
        <v>ROMERO CHAD</v>
      </c>
      <c r="O12" s="194" t="s">
        <v>185</v>
      </c>
      <c r="P12" s="146"/>
      <c r="Q12" s="30"/>
      <c r="R12" s="89" t="str">
        <f>VLOOKUP(C12,'Train Runs'!$A$13:$AE$9956,31,0)</f>
        <v>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 &amp; aws s3 cp s3://rtdc.mdm.uploadarchive.raw/RTDC4010/ "%USERPROFILE%\AppData\Local\Temp\OnboardLogs"\RTDC4010\2017-02-14 --exclude "*" --recursive --include "*20170214*" &amp; "%USERPROFILE%\Documents\GitHub\mrs-test-scripts\Headless Mode &amp; Sideloading\WalkAndUnGZ.bat" "%USERPROFILE%\AppData\Local\Temp\OnboardLogs"\RTDC4010\2017-02-14</v>
      </c>
      <c r="S12" s="92" t="str">
        <f>VLOOKUP(C12,'Train Runs'!$A$13:$AE$9956,22,0)</f>
        <v>https://d0f6bd738d7f1b3e5a7ca70fe4ff75f0.us-east-1.aws.found.io/app/kibana#/discover/Steve-Slow-Train-Analysis-(2080s-and-2083s)?_g=(refreshInterval:(display:Off,pause:!f,section:0,value:0),time:(from:'2017-02-13T13:12:52-0700',mode:absolute,to:'2017-02-13T15:59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2" s="94" t="str">
        <f t="shared" si="1"/>
        <v>"C:\Program Files (x86)\AstroGrep\AstroGrep.exe" /spath="%USERPROFILE%\AppData\Local\Temp\OnboardLogs" /stypes="*4010*201702132*" /stext=" 21:.+((SYSTEM_STATE.+slice.+state.+changed )|(ment ac)|(multiple cpu faults)|(system.+state.+changed )|(\[timeout)|(PRM\|1\|D)|(kpr)|(kdp)|(\|lc)|(penalty))" /e /r /s</v>
      </c>
      <c r="U12" s="9" t="str">
        <f t="shared" si="2"/>
        <v>4010</v>
      </c>
      <c r="V12" s="32">
        <f t="shared" si="3"/>
        <v>42779.915393518517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{"issue":{"subject":"","project_id":79,"tracker_id":40,"status_id":1,"priority_id":2,"assigned_to_id":23,"start_date":"2017-02-13","description":"","custom_fields":[{"id":1,"name":"Subdivision","value":"EC"},{"id":4,"name":"Milepost","value":"2.1848"},{"id":17,"name":"Train ID","value":"180-13"},{"id":16,"name":"Locomotive ID","value":"4010"},{"id":130,"name":"Impact","value":""},{"id":150,"name":"Time of Event (Mountain Time)","value":"14:58:10"},{"id":151,"name":"Denver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"%USERPROFILE%\AppData\Local\Temp\OnboardLogs"\RTDC4010\*4010*201702132*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"%USERPROFILE%\AppData\Local\Temp\OnboardLogs"\RTDC4010\*4010*201702132* &gt;&gt; 2017-02-13-SliceDisagreementCheck.txt</v>
      </c>
      <c r="AE12" s="157" t="str">
        <f t="shared" si="9"/>
        <v>start /low /b %USERPROFILE%\Documents\GitHub\eaglep3\Utilities\DownloadLogsFromS3.py --loco 4010 --day 2017-02-13</v>
      </c>
    </row>
    <row r="13" spans="1:32" s="1" customFormat="1" x14ac:dyDescent="0.25">
      <c r="A13" s="32">
        <v>42779.624421296299</v>
      </c>
      <c r="B13" s="30" t="s">
        <v>419</v>
      </c>
      <c r="C13" s="30" t="s">
        <v>542</v>
      </c>
      <c r="D13" s="30" t="s">
        <v>49</v>
      </c>
      <c r="E13" s="30" t="s">
        <v>216</v>
      </c>
      <c r="F13" s="43">
        <v>300</v>
      </c>
      <c r="G13" s="43">
        <v>457</v>
      </c>
      <c r="H13" s="43">
        <v>23335</v>
      </c>
      <c r="I13" s="43">
        <v>14348</v>
      </c>
      <c r="J13" s="30" t="s">
        <v>217</v>
      </c>
      <c r="K13" s="43">
        <v>21848</v>
      </c>
      <c r="L13" s="143" t="s">
        <v>51</v>
      </c>
      <c r="M13" s="144">
        <f t="shared" si="0"/>
        <v>-3960</v>
      </c>
      <c r="N13" s="145" t="str">
        <f>VLOOKUP(C13,'Trips&amp;Operators'!$C$1:$G$99999,5,FALSE)</f>
        <v>ROMERO CHAD</v>
      </c>
      <c r="O13" s="194" t="s">
        <v>185</v>
      </c>
      <c r="P13" s="146"/>
      <c r="Q13" s="30"/>
      <c r="R13" s="89" t="str">
        <f>VLOOKUP(C13,'Train Runs'!$A$13:$AE$9956,31,0)</f>
        <v>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 &amp; aws s3 cp s3://rtdc.mdm.uploadarchive.raw/RTDC4010/ "%USERPROFILE%\AppData\Local\Temp\OnboardLogs"\RTDC4010\2017-02-14 --exclude "*" --recursive --include "*20170214*" &amp; "%USERPROFILE%\Documents\GitHub\mrs-test-scripts\Headless Mode &amp; Sideloading\WalkAndUnGZ.bat" "%USERPROFILE%\AppData\Local\Temp\OnboardLogs"\RTDC4010\2017-02-14</v>
      </c>
      <c r="S13" s="92" t="str">
        <f>VLOOKUP(C13,'Train Runs'!$A$13:$AE$9956,22,0)</f>
        <v>https://d0f6bd738d7f1b3e5a7ca70fe4ff75f0.us-east-1.aws.found.io/app/kibana#/discover/Steve-Slow-Train-Analysis-(2080s-and-2083s)?_g=(refreshInterval:(display:Off,pause:!f,section:0,value:0),time:(from:'2017-02-13T13:12:52-0700',mode:absolute,to:'2017-02-13T15:59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3" s="94" t="str">
        <f t="shared" si="1"/>
        <v>"C:\Program Files (x86)\AstroGrep\AstroGrep.exe" /spath="%USERPROFILE%\AppData\Local\Temp\OnboardLogs" /stypes="*4010*201702132*" /stext=" 21:.+((SYSTEM_STATE.+slice.+state.+changed )|(ment ac)|(multiple cpu faults)|(system.+state.+changed )|(\[timeout)|(PRM\|1\|D)|(kpr)|(kdp)|(\|lc)|(penalty))" /e /r /s</v>
      </c>
      <c r="U13" s="9" t="str">
        <f t="shared" si="2"/>
        <v>4010</v>
      </c>
      <c r="V13" s="32">
        <f t="shared" si="3"/>
        <v>42779.916087962964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{"issue":{"subject":"","project_id":79,"tracker_id":40,"status_id":1,"priority_id":2,"assigned_to_id":23,"start_date":"2017-02-13","description":"","custom_fields":[{"id":1,"name":"Subdivision","value":"EC"},{"id":4,"name":"Milepost","value":"2.1848"},{"id":17,"name":"Train ID","value":"180-13"},{"id":16,"name":"Locomotive ID","value":"4010"},{"id":130,"name":"Impact","value":""},{"id":150,"name":"Time of Event (Mountain Time)","value":"14:59:10"},{"id":151,"name":"Denver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"%USERPROFILE%\AppData\Local\Temp\OnboardLogs"\RTDC4010\*4010*201702132*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"%USERPROFILE%\AppData\Local\Temp\OnboardLogs"\RTDC4010\*4010*201702132* &gt;&gt; 2017-02-13-SliceDisagreementCheck.txt</v>
      </c>
      <c r="AE13" s="157" t="str">
        <f t="shared" si="9"/>
        <v>start /low /b %USERPROFILE%\Documents\GitHub\eaglep3\Utilities\DownloadLogsFromS3.py --loco 4010 --day 2017-02-13</v>
      </c>
    </row>
    <row r="14" spans="1:32" s="1" customFormat="1" x14ac:dyDescent="0.25">
      <c r="A14" s="32">
        <v>42780.043634259258</v>
      </c>
      <c r="B14" s="30" t="s">
        <v>220</v>
      </c>
      <c r="C14" s="30" t="s">
        <v>552</v>
      </c>
      <c r="D14" s="30" t="s">
        <v>49</v>
      </c>
      <c r="E14" s="30" t="s">
        <v>216</v>
      </c>
      <c r="F14" s="43">
        <v>750</v>
      </c>
      <c r="G14" s="43">
        <v>800</v>
      </c>
      <c r="H14" s="43">
        <v>202388</v>
      </c>
      <c r="I14" s="43">
        <v>198254</v>
      </c>
      <c r="J14" s="30" t="s">
        <v>217</v>
      </c>
      <c r="K14" s="43">
        <v>200463</v>
      </c>
      <c r="L14" s="143" t="s">
        <v>51</v>
      </c>
      <c r="M14" s="144">
        <f t="shared" si="0"/>
        <v>-1166.3520000000001</v>
      </c>
      <c r="N14" s="145" t="str">
        <f>VLOOKUP(C14,'Trips&amp;Operators'!$C$1:$G$99999,5,FALSE)</f>
        <v>STAMBAUGH JAMES</v>
      </c>
      <c r="O14" s="194" t="s">
        <v>185</v>
      </c>
      <c r="P14" s="146"/>
      <c r="Q14" s="30"/>
      <c r="R14" s="89" t="str">
        <f>VLOOKUP(C14,'Train Runs'!$A$13:$AE$9956,31,0)</f>
        <v>aws s3 cp s3://rtdc.mdm.uploadarchive.raw/RTDC4026/ "%USERPROFILE%\AppData\Local\Temp\OnboardLogs"\RTDC4026\2017-02-14 --exclude "*" --recursive --include "*20170214*" &amp; "%USERPROFILE%\Documents\GitHub\mrs-test-scripts\Headless Mode &amp; Sideloading\WalkAndUnGZ.bat" "%USERPROFILE%\AppData\Local\Temp\OnboardLogs"\RTDC4026\2017-02-14 &amp; aws s3 cp s3://rtdc.mdm.uploadarchive.raw/RTDC4026/ "%USERPROFILE%\AppData\Local\Temp\OnboardLogs"\RTDC4026\2017-02-15 --exclude "*" --recursive --include "*20170215*" &amp; "%USERPROFILE%\Documents\GitHub\mrs-test-scripts\Headless Mode &amp; Sideloading\WalkAndUnGZ.bat" "%USERPROFILE%\AppData\Local\Temp\OnboardLogs"\RTDC4026\2017-02-15</v>
      </c>
      <c r="S14" s="92" t="str">
        <f>VLOOKUP(C14,'Train Runs'!$A$13:$AE$9956,22,0)</f>
        <v>https://d0f6bd738d7f1b3e5a7ca70fe4ff75f0.us-east-1.aws.found.io/app/kibana#/discover/Steve-Slow-Train-Analysis-(2080s-and-2083s)?_g=(refreshInterval:(display:Off,pause:!f,section:0,value:0),time:(from:'2017-02-13T23:54:24-0700',mode:absolute,to:'2017-02-14T02:37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4" s="94" t="str">
        <f t="shared" si="1"/>
        <v>"C:\Program Files (x86)\AstroGrep\AstroGrep.exe" /spath="%USERPROFILE%\AppData\Local\Temp\OnboardLogs" /stypes="*4026*201702140*" /stext=" 08:.+((SYSTEM_STATE.+slice.+state.+changed )|(ment ac)|(multiple cpu faults)|(system.+state.+changed )|(\[timeout)|(PRM\|1\|D)|(kpr)|(kdp)|(\|lc)|(penalty))" /e /r /s</v>
      </c>
      <c r="U14" s="9" t="str">
        <f t="shared" si="2"/>
        <v>4026</v>
      </c>
      <c r="V14" s="32">
        <f t="shared" si="3"/>
        <v>42780.335300925923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{"issue":{"subject":"","project_id":79,"tracker_id":40,"status_id":1,"priority_id":2,"assigned_to_id":23,"start_date":"2017-02-14","description":"","custom_fields":[{"id":1,"name":"Subdivision","value":"EC"},{"id":4,"name":"Milepost","value":"20.0463"},{"id":17,"name":"Train ID","value":"242-13"},{"id":16,"name":"Locomotive ID","value":"4026"},{"id":130,"name":"Impact","value":""},{"id":150,"name":"Time of Event (Mountain Time)","value":"01:02:50"},{"id":151,"name":"Denver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"%USERPROFILE%\AppData\Local\Temp\OnboardLogs"\RTDC4026\*4026*201702140*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"%USERPROFILE%\AppData\Local\Temp\OnboardLogs"\RTDC4026\*4026*201702140* &gt;&gt; 2017-02-13-SliceDisagreementCheck.txt</v>
      </c>
      <c r="AE14" s="157" t="str">
        <f t="shared" si="9"/>
        <v>start /low /b %USERPROFILE%\Documents\GitHub\eaglep3\Utilities\DownloadLogsFromS3.py --loco 4026 --day 2017-02-14</v>
      </c>
    </row>
    <row r="15" spans="1:32" x14ac:dyDescent="0.25">
      <c r="A15" s="32">
        <v>42779.579618055555</v>
      </c>
      <c r="B15" s="30" t="s">
        <v>301</v>
      </c>
      <c r="C15" s="30" t="s">
        <v>540</v>
      </c>
      <c r="D15" s="30" t="s">
        <v>49</v>
      </c>
      <c r="E15" s="30" t="s">
        <v>186</v>
      </c>
      <c r="F15" s="43">
        <v>0</v>
      </c>
      <c r="G15" s="43">
        <v>793</v>
      </c>
      <c r="H15" s="43">
        <v>142613</v>
      </c>
      <c r="I15" s="43">
        <v>146852</v>
      </c>
      <c r="J15" s="30" t="s">
        <v>187</v>
      </c>
      <c r="K15" s="43">
        <v>144300</v>
      </c>
      <c r="L15" s="143" t="s">
        <v>50</v>
      </c>
      <c r="M15" s="144">
        <f t="shared" si="0"/>
        <v>-1347.4559999999999</v>
      </c>
      <c r="N15" s="145" t="str">
        <f>VLOOKUP(C15,'Trips&amp;Operators'!$C$1:$G$99999,5,FALSE)</f>
        <v>ROMERO CHAD</v>
      </c>
      <c r="O15" s="194" t="s">
        <v>218</v>
      </c>
      <c r="P15" s="146" t="s">
        <v>923</v>
      </c>
      <c r="Q15" s="30"/>
      <c r="R15" s="89" t="str">
        <f>VLOOKUP(C15,'Train Runs'!$A$13:$AE$9956,31,0)</f>
        <v>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 &amp; aws s3 cp s3://rtdc.mdm.uploadarchive.raw/RTDC4009/ "%USERPROFILE%\AppData\Local\Temp\OnboardLogs"\RTDC4009\2017-02-14 --exclude "*" --recursive --include "*20170214*" &amp; "%USERPROFILE%\Documents\GitHub\mrs-test-scripts\Headless Mode &amp; Sideloading\WalkAndUnGZ.bat" "%USERPROFILE%\AppData\Local\Temp\OnboardLogs"\RTDC4009\2017-02-14</v>
      </c>
      <c r="S15" s="92" t="str">
        <f>VLOOKUP(C15,'Train Runs'!$A$13:$AE$9956,22,0)</f>
        <v>https://d0f6bd738d7f1b3e5a7ca70fe4ff75f0.us-east-1.aws.found.io/app/kibana#/discover/Steve-Slow-Train-Analysis-(2080s-and-2083s)?_g=(refreshInterval:(display:Off,pause:!f,section:0,value:0),time:(from:'2017-02-13T12:24:17-0700',mode:absolute,to:'2017-02-13T15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5" s="94" t="str">
        <f t="shared" si="1"/>
        <v>"C:\Program Files (x86)\AstroGrep\AstroGrep.exe" /spath="%USERPROFILE%\AppData\Local\Temp\OnboardLogs" /stypes="*4009*201702132*" /stext=" 20:.+((SYSTEM_STATE.+slice.+state.+changed )|(ment ac)|(multiple cpu faults)|(system.+state.+changed )|(\[timeout)|(PRM\|1\|D)|(kpr)|(kdp)|(\|lc)|(penalty))" /e /r /s</v>
      </c>
      <c r="U15" s="9" t="str">
        <f t="shared" si="2"/>
        <v>4009</v>
      </c>
      <c r="V15" s="32">
        <f t="shared" si="3"/>
        <v>42779.87128472222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{"issue":{"subject":"Wi-MAX data drop (4009 CCU was failed)","project_id":79,"tracker_id":40,"status_id":1,"priority_id":2,"assigned_to_id":23,"start_date":"2017-02-13","description":"","custom_fields":[{"id":1,"name":"Subdivision","value":"EC"},{"id":4,"name":"Milepost","value":"14.43"},{"id":17,"name":"Train ID","value":"179-13"},{"id":16,"name":"Locomotive ID","value":"4009"},{"id":130,"name":"Impact","value":""},{"id":150,"name":"Time of Event (Mountain Time)","value":"13:54:39"},{"id":151,"name":"Denver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"%USERPROFILE%\AppData\Local\Temp\OnboardLogs"\RTDC4009\*4009*201702132*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"%USERPROFILE%\AppData\Local\Temp\OnboardLogs"\RTDC4009\*4009*201702132* &gt;&gt; 2017-02-13-SliceDisagreementCheck.txt</v>
      </c>
      <c r="AE15" s="157" t="str">
        <f t="shared" si="9"/>
        <v>start /low /b %USERPROFILE%\Documents\GitHub\eaglep3\Utilities\DownloadLogsFromS3.py --loco 4009 --day 2017-02-13</v>
      </c>
      <c r="AF15" s="1"/>
    </row>
    <row r="16" spans="1:32" x14ac:dyDescent="0.25">
      <c r="A16" s="32">
        <v>42779.305474537039</v>
      </c>
      <c r="B16" s="30" t="s">
        <v>328</v>
      </c>
      <c r="C16" s="30" t="s">
        <v>529</v>
      </c>
      <c r="D16" s="30" t="s">
        <v>49</v>
      </c>
      <c r="E16" s="30" t="s">
        <v>188</v>
      </c>
      <c r="F16" s="43">
        <v>0</v>
      </c>
      <c r="G16" s="43">
        <v>54</v>
      </c>
      <c r="H16" s="43">
        <v>147</v>
      </c>
      <c r="I16" s="43">
        <v>110</v>
      </c>
      <c r="J16" s="30" t="s">
        <v>189</v>
      </c>
      <c r="K16" s="43">
        <v>1</v>
      </c>
      <c r="L16" s="143" t="s">
        <v>51</v>
      </c>
      <c r="M16" s="144">
        <f t="shared" si="0"/>
        <v>57.552</v>
      </c>
      <c r="N16" s="145" t="str">
        <f>VLOOKUP(C16,'Trips&amp;Operators'!$C$1:$G$99999,5,FALSE)</f>
        <v>MOSES BRADLEY</v>
      </c>
      <c r="O16" s="194" t="s">
        <v>185</v>
      </c>
      <c r="P16" s="146"/>
      <c r="Q16" s="30"/>
      <c r="R16" s="89" t="str">
        <f>VLOOKUP(C16,'Train Runs'!$A$13:$AE$9956,31,0)</f>
        <v>aws s3 cp s3://rtdc.mdm.uploadarchive.raw/RTDC4039/ "%USERPROFILE%\AppData\Local\Temp\OnboardLogs"\RTDC4039\2017-02-13 --exclude "*" --recursive --include "*20170213*" &amp; "%USERPROFILE%\Documents\GitHub\mrs-test-scripts\Headless Mode &amp; Sideloading\WalkAndUnGZ.bat" "%USERPROFILE%\AppData\Local\Temp\OnboardLogs"\RTDC4039\2017-02-13 &amp; aws s3 cp s3://rtdc.mdm.uploadarchive.raw/RTDC4039/ "%USERPROFILE%\AppData\Local\Temp\OnboardLogs"\RTDC4039\2017-02-14 --exclude "*" --recursive --include "*20170214*" &amp; "%USERPROFILE%\Documents\GitHub\mrs-test-scripts\Headless Mode &amp; Sideloading\WalkAndUnGZ.bat" "%USERPROFILE%\AppData\Local\Temp\OnboardLogs"\RTDC4039\2017-02-14</v>
      </c>
      <c r="S16" s="92" t="str">
        <f>VLOOKUP(C16,'Train Runs'!$A$13:$AE$9956,22,0)</f>
        <v>https://d0f6bd738d7f1b3e5a7ca70fe4ff75f0.us-east-1.aws.found.io/app/kibana#/discover/Steve-Slow-Train-Analysis-(2080s-and-2083s)?_g=(refreshInterval:(display:Off,pause:!f,section:0,value:0),time:(from:'2017-02-13T05:36:29-0700',mode:absolute,to:'2017-02-13T08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6" s="94" t="str">
        <f t="shared" si="1"/>
        <v>"C:\Program Files (x86)\AstroGrep\AstroGrep.exe" /spath="%USERPROFILE%\AppData\Local\Temp\OnboardLogs" /stypes="*4039*201702131*" /stext=" 14:.+((SYSTEM_STATE.+slice.+state.+changed )|(ment ac)|(multiple cpu faults)|(system.+state.+changed )|(\[timeout)|(PRM\|1\|D)|(kpr)|(kdp)|(\|lc)|(penalty))" /e /r /s</v>
      </c>
      <c r="U16" s="9" t="str">
        <f t="shared" si="2"/>
        <v>4039</v>
      </c>
      <c r="V16" s="32">
        <f t="shared" si="3"/>
        <v>42779.597141203703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{"issue":{"subject":"","project_id":79,"tracker_id":40,"status_id":1,"priority_id":2,"assigned_to_id":23,"start_date":"2017-02-13","description":"","custom_fields":[{"id":1,"name":"Subdivision","value":"EC"},{"id":4,"name":"Milepost","value":"0.0001"},{"id":17,"name":"Train ID","value":"118-13"},{"id":16,"name":"Locomotive ID","value":"4039"},{"id":130,"name":"Impact","value":""},{"id":150,"name":"Time of Event (Mountain Time)","value":"07:19:53"},{"id":151,"name":"Denver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"%USERPROFILE%\AppData\Local\Temp\OnboardLogs"\RTDC4039\*4039*201702131*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"%USERPROFILE%\AppData\Local\Temp\OnboardLogs"\RTDC4039\*4039*201702131* &gt;&gt; 2017-02-13-SliceDisagreementCheck.txt</v>
      </c>
      <c r="AE16" s="157" t="str">
        <f t="shared" si="9"/>
        <v>start /low /b %USERPROFILE%\Documents\GitHub\eaglep3\Utilities\DownloadLogsFromS3.py --loco 4039 --day 2017-02-13</v>
      </c>
      <c r="AF16" s="1"/>
    </row>
    <row r="17" spans="1:32" x14ac:dyDescent="0.25">
      <c r="A17" s="32">
        <v>42779.326898148145</v>
      </c>
      <c r="B17" s="30" t="s">
        <v>228</v>
      </c>
      <c r="C17" s="30" t="s">
        <v>532</v>
      </c>
      <c r="D17" s="30" t="s">
        <v>49</v>
      </c>
      <c r="E17" s="30" t="s">
        <v>188</v>
      </c>
      <c r="F17" s="43">
        <v>0</v>
      </c>
      <c r="G17" s="43">
        <v>98</v>
      </c>
      <c r="H17" s="43">
        <v>385</v>
      </c>
      <c r="I17" s="43">
        <v>269</v>
      </c>
      <c r="J17" s="30" t="s">
        <v>189</v>
      </c>
      <c r="K17" s="43">
        <v>1</v>
      </c>
      <c r="L17" s="143" t="s">
        <v>51</v>
      </c>
      <c r="M17" s="144">
        <f t="shared" si="0"/>
        <v>141.50399999999999</v>
      </c>
      <c r="N17" s="145" t="str">
        <f>VLOOKUP(C17,'Trips&amp;Operators'!$C$1:$G$99999,5,FALSE)</f>
        <v>BONDS REYNALDO</v>
      </c>
      <c r="O17" s="194" t="s">
        <v>185</v>
      </c>
      <c r="P17" s="146"/>
      <c r="Q17" s="30"/>
      <c r="R17" s="89" t="str">
        <f>VLOOKUP(C17,'Train Runs'!$A$13:$AE$9956,31,0)</f>
        <v>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 &amp; aws s3 cp s3://rtdc.mdm.uploadarchive.raw/RTDC4028/ "%USERPROFILE%\AppData\Local\Temp\OnboardLogs"\RTDC4028\2017-02-14 --exclude "*" --recursive --include "*20170214*" &amp; "%USERPROFILE%\Documents\GitHub\mrs-test-scripts\Headless Mode &amp; Sideloading\WalkAndUnGZ.bat" "%USERPROFILE%\AppData\Local\Temp\OnboardLogs"\RTDC4028\2017-02-14</v>
      </c>
      <c r="S17" s="92" t="str">
        <f>VLOOKUP(C17,'Train Runs'!$A$13:$AE$9956,22,0)</f>
        <v>https://d0f6bd738d7f1b3e5a7ca70fe4ff75f0.us-east-1.aws.found.io/app/kibana#/discover/Steve-Slow-Train-Analysis-(2080s-and-2083s)?_g=(refreshInterval:(display:Off,pause:!f,section:0,value:0),time:(from:'2017-02-13T06:07:35-0700',mode:absolute,to:'2017-02-13T08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7" s="94" t="str">
        <f t="shared" si="1"/>
        <v>"C:\Program Files (x86)\AstroGrep\AstroGrep.exe" /spath="%USERPROFILE%\AppData\Local\Temp\OnboardLogs" /stypes="*4028*201702131*" /stext=" 14:.+((SYSTEM_STATE.+slice.+state.+changed )|(ment ac)|(multiple cpu faults)|(system.+state.+changed )|(\[timeout)|(PRM\|1\|D)|(kpr)|(kdp)|(\|lc)|(penalty))" /e /r /s</v>
      </c>
      <c r="U17" s="9" t="str">
        <f t="shared" si="2"/>
        <v>4028</v>
      </c>
      <c r="V17" s="32">
        <f t="shared" si="3"/>
        <v>42779.618564814809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{"issue":{"subject":"","project_id":79,"tracker_id":40,"status_id":1,"priority_id":2,"assigned_to_id":23,"start_date":"2017-02-13","description":"","custom_fields":[{"id":1,"name":"Subdivision","value":"EC"},{"id":4,"name":"Milepost","value":"0.0001"},{"id":17,"name":"Train ID","value":"122-13"},{"id":16,"name":"Locomotive ID","value":"4028"},{"id":130,"name":"Impact","value":""},{"id":150,"name":"Time of Event (Mountain Time)","value":"07:50:44"},{"id":151,"name":"Denver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"%USERPROFILE%\AppData\Local\Temp\OnboardLogs"\RTDC4028\*4028*201702131*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"%USERPROFILE%\AppData\Local\Temp\OnboardLogs"\RTDC4028\*4028*201702131* &gt;&gt; 2017-02-13-SliceDisagreementCheck.txt</v>
      </c>
      <c r="AE17" s="157" t="str">
        <f t="shared" si="9"/>
        <v>start /low /b %USERPROFILE%\Documents\GitHub\eaglep3\Utilities\DownloadLogsFromS3.py --loco 4028 --day 2017-02-13</v>
      </c>
      <c r="AF17" s="1"/>
    </row>
    <row r="18" spans="1:32" x14ac:dyDescent="0.25">
      <c r="A18" s="32">
        <v>42779.327314814815</v>
      </c>
      <c r="B18" s="30" t="s">
        <v>228</v>
      </c>
      <c r="C18" s="30" t="s">
        <v>532</v>
      </c>
      <c r="D18" s="30" t="s">
        <v>49</v>
      </c>
      <c r="E18" s="30" t="s">
        <v>188</v>
      </c>
      <c r="F18" s="43">
        <v>0</v>
      </c>
      <c r="G18" s="43">
        <v>40</v>
      </c>
      <c r="H18" s="43">
        <v>139</v>
      </c>
      <c r="I18" s="43">
        <v>129</v>
      </c>
      <c r="J18" s="30" t="s">
        <v>189</v>
      </c>
      <c r="K18" s="43">
        <v>1</v>
      </c>
      <c r="L18" s="143" t="s">
        <v>51</v>
      </c>
      <c r="M18" s="144">
        <f t="shared" si="0"/>
        <v>67.584000000000003</v>
      </c>
      <c r="N18" s="145" t="str">
        <f>VLOOKUP(C18,'Trips&amp;Operators'!$C$1:$G$99999,5,FALSE)</f>
        <v>BONDS REYNALDO</v>
      </c>
      <c r="O18" s="194" t="s">
        <v>185</v>
      </c>
      <c r="P18" s="146"/>
      <c r="Q18" s="30"/>
      <c r="R18" s="89" t="str">
        <f>VLOOKUP(C18,'Train Runs'!$A$13:$AE$9956,31,0)</f>
        <v>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 &amp; aws s3 cp s3://rtdc.mdm.uploadarchive.raw/RTDC4028/ "%USERPROFILE%\AppData\Local\Temp\OnboardLogs"\RTDC4028\2017-02-14 --exclude "*" --recursive --include "*20170214*" &amp; "%USERPROFILE%\Documents\GitHub\mrs-test-scripts\Headless Mode &amp; Sideloading\WalkAndUnGZ.bat" "%USERPROFILE%\AppData\Local\Temp\OnboardLogs"\RTDC4028\2017-02-14</v>
      </c>
      <c r="S18" s="92" t="str">
        <f>VLOOKUP(C18,'Train Runs'!$A$13:$AE$9956,22,0)</f>
        <v>https://d0f6bd738d7f1b3e5a7ca70fe4ff75f0.us-east-1.aws.found.io/app/kibana#/discover/Steve-Slow-Train-Analysis-(2080s-and-2083s)?_g=(refreshInterval:(display:Off,pause:!f,section:0,value:0),time:(from:'2017-02-13T06:07:35-0700',mode:absolute,to:'2017-02-13T08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8" s="94" t="str">
        <f t="shared" si="1"/>
        <v>"C:\Program Files (x86)\AstroGrep\AstroGrep.exe" /spath="%USERPROFILE%\AppData\Local\Temp\OnboardLogs" /stypes="*4028*201702131*" /stext=" 14:.+((SYSTEM_STATE.+slice.+state.+changed )|(ment ac)|(multiple cpu faults)|(system.+state.+changed )|(\[timeout)|(PRM\|1\|D)|(kpr)|(kdp)|(\|lc)|(penalty))" /e /r /s</v>
      </c>
      <c r="U18" s="9" t="str">
        <f t="shared" si="2"/>
        <v>4028</v>
      </c>
      <c r="V18" s="32">
        <f t="shared" si="3"/>
        <v>42779.618981481479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{"issue":{"subject":"","project_id":79,"tracker_id":40,"status_id":1,"priority_id":2,"assigned_to_id":23,"start_date":"2017-02-13","description":"","custom_fields":[{"id":1,"name":"Subdivision","value":"EC"},{"id":4,"name":"Milepost","value":"0.0001"},{"id":17,"name":"Train ID","value":"122-13"},{"id":16,"name":"Locomotive ID","value":"4028"},{"id":130,"name":"Impact","value":""},{"id":150,"name":"Time of Event (Mountain Time)","value":"07:51:20"},{"id":151,"name":"Denver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"%USERPROFILE%\AppData\Local\Temp\OnboardLogs"\RTDC4028\*4028*201702131*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"%USERPROFILE%\AppData\Local\Temp\OnboardLogs"\RTDC4028\*4028*201702131* &gt;&gt; 2017-02-13-SliceDisagreementCheck.txt</v>
      </c>
      <c r="AE18" s="157" t="str">
        <f t="shared" si="9"/>
        <v>start /low /b %USERPROFILE%\Documents\GitHub\eaglep3\Utilities\DownloadLogsFromS3.py --loco 4028 --day 2017-02-13</v>
      </c>
      <c r="AF18" s="1"/>
    </row>
    <row r="19" spans="1:32" ht="15" customHeight="1" x14ac:dyDescent="0.25">
      <c r="A19" s="32">
        <v>42779.659224537034</v>
      </c>
      <c r="B19" s="30" t="s">
        <v>428</v>
      </c>
      <c r="C19" s="30" t="s">
        <v>543</v>
      </c>
      <c r="D19" s="30" t="s">
        <v>49</v>
      </c>
      <c r="E19" s="30" t="s">
        <v>188</v>
      </c>
      <c r="F19" s="43">
        <v>0</v>
      </c>
      <c r="G19" s="43">
        <v>47</v>
      </c>
      <c r="H19" s="43">
        <v>161</v>
      </c>
      <c r="I19" s="43">
        <v>123</v>
      </c>
      <c r="J19" s="30" t="s">
        <v>189</v>
      </c>
      <c r="K19" s="43">
        <v>1</v>
      </c>
      <c r="L19" s="143" t="s">
        <v>51</v>
      </c>
      <c r="M19" s="144">
        <f t="shared" si="0"/>
        <v>64.415999999999997</v>
      </c>
      <c r="N19" s="145" t="str">
        <f>VLOOKUP(C19,'Trips&amp;Operators'!$C$1:$G$99999,5,FALSE)</f>
        <v>KILLION DAVID</v>
      </c>
      <c r="O19" s="194" t="s">
        <v>185</v>
      </c>
      <c r="P19" s="146"/>
      <c r="Q19" s="30"/>
      <c r="R19" s="89" t="str">
        <f>VLOOKUP(C19,'Train Runs'!$A$13:$AE$9956,31,0)</f>
        <v>aws s3 cp s3://rtdc.mdm.uploadarchive.raw/RTDC4012/ "%USERPROFILE%\AppData\Local\Temp\OnboardLogs"\RTDC4012\2017-02-13 --exclude "*" --recursive --include "*20170213*" &amp; "%USERPROFILE%\Documents\GitHub\mrs-test-scripts\Headless Mode &amp; Sideloading\WalkAndUnGZ.bat" "%USERPROFILE%\AppData\Local\Temp\OnboardLogs"\RTDC4012\2017-02-13 &amp; 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</v>
      </c>
      <c r="S19" s="92" t="str">
        <f>VLOOKUP(C19,'Train Runs'!$A$13:$AE$9956,22,0)</f>
        <v>https://d0f6bd738d7f1b3e5a7ca70fe4ff75f0.us-east-1.aws.found.io/app/kibana#/discover/Steve-Slow-Train-Analysis-(2080s-and-2083s)?_g=(refreshInterval:(display:Off,pause:!f,section:0,value:0),time:(from:'2017-02-13T14:01:03-0700',mode:absolute,to:'2017-02-13T16:49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9" s="94" t="str">
        <f t="shared" si="1"/>
        <v>"C:\Program Files (x86)\AstroGrep\AstroGrep.exe" /spath="%USERPROFILE%\AppData\Local\Temp\OnboardLogs" /stypes="*4012*201702132*" /stext=" 22:.+((SYSTEM_STATE.+slice.+state.+changed )|(ment ac)|(multiple cpu faults)|(system.+state.+changed )|(\[timeout)|(PRM\|1\|D)|(kpr)|(kdp)|(\|lc)|(penalty))" /e /r /s</v>
      </c>
      <c r="U19" s="9" t="str">
        <f t="shared" si="2"/>
        <v>4012</v>
      </c>
      <c r="V19" s="32">
        <f t="shared" si="3"/>
        <v>42779.950891203698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{"issue":{"subject":"","project_id":79,"tracker_id":40,"status_id":1,"priority_id":2,"assigned_to_id":23,"start_date":"2017-02-13","description":"","custom_fields":[{"id":1,"name":"Subdivision","value":"EC"},{"id":4,"name":"Milepost","value":"0.0001"},{"id":17,"name":"Train ID","value":"186-13"},{"id":16,"name":"Locomotive ID","value":"4012"},{"id":130,"name":"Impact","value":""},{"id":150,"name":"Time of Event (Mountain Time)","value":"15:49:17"},{"id":151,"name":"Denver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"%USERPROFILE%\AppData\Local\Temp\OnboardLogs"\RTDC4012\*4012*201702132*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"%USERPROFILE%\AppData\Local\Temp\OnboardLogs"\RTDC4012\*4012*201702132* &gt;&gt; 2017-02-13-SliceDisagreementCheck.txt</v>
      </c>
      <c r="AE19" s="157" t="str">
        <f t="shared" si="9"/>
        <v>start /low /b %USERPROFILE%\Documents\GitHub\eaglep3\Utilities\DownloadLogsFromS3.py --loco 4012 --day 2017-02-13</v>
      </c>
      <c r="AF19" s="1"/>
    </row>
    <row r="20" spans="1:32" x14ac:dyDescent="0.25">
      <c r="A20" s="32">
        <v>42779.680787037039</v>
      </c>
      <c r="B20" s="30" t="s">
        <v>220</v>
      </c>
      <c r="C20" s="30" t="s">
        <v>544</v>
      </c>
      <c r="D20" s="30" t="s">
        <v>49</v>
      </c>
      <c r="E20" s="30" t="s">
        <v>188</v>
      </c>
      <c r="F20" s="43">
        <v>0</v>
      </c>
      <c r="G20" s="43">
        <v>37</v>
      </c>
      <c r="H20" s="43">
        <v>125</v>
      </c>
      <c r="I20" s="43">
        <v>103</v>
      </c>
      <c r="J20" s="30" t="s">
        <v>189</v>
      </c>
      <c r="K20" s="43">
        <v>1</v>
      </c>
      <c r="L20" s="143" t="s">
        <v>51</v>
      </c>
      <c r="M20" s="144">
        <f t="shared" si="0"/>
        <v>53.856000000000002</v>
      </c>
      <c r="N20" s="145" t="str">
        <f>VLOOKUP(C20,'Trips&amp;Operators'!$C$1:$G$99999,5,FALSE)</f>
        <v>HOLCOMB KAMDEN</v>
      </c>
      <c r="O20" s="194" t="s">
        <v>185</v>
      </c>
      <c r="P20" s="146"/>
      <c r="Q20" s="30"/>
      <c r="R20" s="89" t="str">
        <f>VLOOKUP(C20,'Train Runs'!$A$13:$AE$9956,31,0)</f>
        <v>aws s3 cp s3://rtdc.mdm.uploadarchive.raw/RTDC4026/ "%USERPROFILE%\AppData\Local\Temp\OnboardLogs"\RTDC4026\2017-02-13 --exclude "*" --recursive --include "*20170213*" &amp; "%USERPROFILE%\Documents\GitHub\mrs-test-scripts\Headless Mode &amp; Sideloading\WalkAndUnGZ.bat" "%USERPROFILE%\AppData\Local\Temp\OnboardLogs"\RTDC4026\2017-02-13 &amp; aws s3 cp s3://rtdc.mdm.uploadarchive.raw/RTDC4026/ "%USERPROFILE%\AppData\Local\Temp\OnboardLogs"\RTDC4026\2017-02-14 --exclude "*" --recursive --include "*20170214*" &amp; "%USERPROFILE%\Documents\GitHub\mrs-test-scripts\Headless Mode &amp; Sideloading\WalkAndUnGZ.bat" "%USERPROFILE%\AppData\Local\Temp\OnboardLogs"\RTDC4026\2017-02-14</v>
      </c>
      <c r="S20" s="92" t="str">
        <f>VLOOKUP(C20,'Train Runs'!$A$13:$AE$9956,22,0)</f>
        <v>https://d0f6bd738d7f1b3e5a7ca70fe4ff75f0.us-east-1.aws.found.io/app/kibana#/discover/Steve-Slow-Train-Analysis-(2080s-and-2083s)?_g=(refreshInterval:(display:Off,pause:!f,section:0,value:0),time:(from:'2017-02-13T14:38:25-0700',mode:absolute,to:'2017-02-13T17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0" s="94" t="str">
        <f t="shared" si="1"/>
        <v>"C:\Program Files (x86)\AstroGrep\AstroGrep.exe" /spath="%USERPROFILE%\AppData\Local\Temp\OnboardLogs" /stypes="*4026*201702132*" /stext=" 23:.+((SYSTEM_STATE.+slice.+state.+changed )|(ment ac)|(multiple cpu faults)|(system.+state.+changed )|(\[timeout)|(PRM\|1\|D)|(kpr)|(kdp)|(\|lc)|(penalty))" /e /r /s</v>
      </c>
      <c r="U20" s="9" t="str">
        <f t="shared" si="2"/>
        <v>4026</v>
      </c>
      <c r="V20" s="32">
        <f t="shared" si="3"/>
        <v>42779.972453703704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{"issue":{"subject":"","project_id":79,"tracker_id":40,"status_id":1,"priority_id":2,"assigned_to_id":23,"start_date":"2017-02-13","description":"","custom_fields":[{"id":1,"name":"Subdivision","value":"EC"},{"id":4,"name":"Milepost","value":"0.0001"},{"id":17,"name":"Train ID","value":"190-13"},{"id":16,"name":"Locomotive ID","value":"4026"},{"id":130,"name":"Impact","value":""},{"id":150,"name":"Time of Event (Mountain Time)","value":"16:20:20"},{"id":151,"name":"Denver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"%USERPROFILE%\AppData\Local\Temp\OnboardLogs"\RTDC4026\*4026*201702132*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"%USERPROFILE%\AppData\Local\Temp\OnboardLogs"\RTDC4026\*4026*201702132* &gt;&gt; 2017-02-13-SliceDisagreementCheck.txt</v>
      </c>
      <c r="AE20" s="157" t="str">
        <f t="shared" si="9"/>
        <v>start /low /b %USERPROFILE%\Documents\GitHub\eaglep3\Utilities\DownloadLogsFromS3.py --loco 4026 --day 2017-02-13</v>
      </c>
      <c r="AF20" s="1"/>
    </row>
    <row r="21" spans="1:32" x14ac:dyDescent="0.25">
      <c r="A21" s="32">
        <v>42779.754421296297</v>
      </c>
      <c r="B21" s="30" t="s">
        <v>220</v>
      </c>
      <c r="C21" s="30" t="s">
        <v>546</v>
      </c>
      <c r="D21" s="30" t="s">
        <v>49</v>
      </c>
      <c r="E21" s="30" t="s">
        <v>188</v>
      </c>
      <c r="F21" s="43">
        <v>0</v>
      </c>
      <c r="G21" s="43">
        <v>62</v>
      </c>
      <c r="H21" s="43">
        <v>211</v>
      </c>
      <c r="I21" s="43">
        <v>161</v>
      </c>
      <c r="J21" s="30" t="s">
        <v>189</v>
      </c>
      <c r="K21" s="43">
        <v>1</v>
      </c>
      <c r="L21" s="143" t="s">
        <v>51</v>
      </c>
      <c r="M21" s="144">
        <f t="shared" si="0"/>
        <v>84.48</v>
      </c>
      <c r="N21" s="145" t="str">
        <f>VLOOKUP(C21,'Trips&amp;Operators'!$C$1:$G$99999,5,FALSE)</f>
        <v>DAVIS MICHAEL</v>
      </c>
      <c r="O21" s="194" t="s">
        <v>185</v>
      </c>
      <c r="P21" s="146"/>
      <c r="Q21" s="30"/>
      <c r="R21" s="89" t="str">
        <f>VLOOKUP(C21,'Train Runs'!$A$13:$AE$9956,31,0)</f>
        <v>aws s3 cp s3://rtdc.mdm.uploadarchive.raw/RTDC4026/ "%USERPROFILE%\AppData\Local\Temp\OnboardLogs"\RTDC4026\2017-02-13 --exclude "*" --recursive --include "*20170213*" &amp; "%USERPROFILE%\Documents\GitHub\mrs-test-scripts\Headless Mode &amp; Sideloading\WalkAndUnGZ.bat" "%USERPROFILE%\AppData\Local\Temp\OnboardLogs"\RTDC4026\2017-02-13 &amp; aws s3 cp s3://rtdc.mdm.uploadarchive.raw/RTDC4026/ "%USERPROFILE%\AppData\Local\Temp\OnboardLogs"\RTDC4026\2017-02-14 --exclude "*" --recursive --include "*20170214*" &amp; "%USERPROFILE%\Documents\GitHub\mrs-test-scripts\Headless Mode &amp; Sideloading\WalkAndUnGZ.bat" "%USERPROFILE%\AppData\Local\Temp\OnboardLogs"\RTDC4026\2017-02-14</v>
      </c>
      <c r="S21" s="92" t="str">
        <f>VLOOKUP(C21,'Train Runs'!$A$13:$AE$9956,22,0)</f>
        <v>https://d0f6bd738d7f1b3e5a7ca70fe4ff75f0.us-east-1.aws.found.io/app/kibana#/discover/Steve-Slow-Train-Analysis-(2080s-and-2083s)?_g=(refreshInterval:(display:Off,pause:!f,section:0,value:0),time:(from:'2017-02-13T16:22:48-0700',mode:absolute,to:'2017-02-13T19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1" s="94" t="str">
        <f t="shared" si="1"/>
        <v>"C:\Program Files (x86)\AstroGrep\AstroGrep.exe" /spath="%USERPROFILE%\AppData\Local\Temp\OnboardLogs" /stypes="*4026*201702140*" /stext=" 01:.+((SYSTEM_STATE.+slice.+state.+changed )|(ment ac)|(multiple cpu faults)|(system.+state.+changed )|(\[timeout)|(PRM\|1\|D)|(kpr)|(kdp)|(\|lc)|(penalty))" /e /r /s</v>
      </c>
      <c r="U21" s="9" t="str">
        <f t="shared" si="2"/>
        <v>4026</v>
      </c>
      <c r="V21" s="32">
        <f t="shared" si="3"/>
        <v>42780.046087962961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{"issue":{"subject":"","project_id":79,"tracker_id":40,"status_id":1,"priority_id":2,"assigned_to_id":23,"start_date":"2017-02-13","description":"","custom_fields":[{"id":1,"name":"Subdivision","value":"EC"},{"id":4,"name":"Milepost","value":"0.0001"},{"id":17,"name":"Train ID","value":"204-13"},{"id":16,"name":"Locomotive ID","value":"4026"},{"id":130,"name":"Impact","value":""},{"id":150,"name":"Time of Event (Mountain Time)","value":"18:06:22"},{"id":151,"name":"Denver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"%USERPROFILE%\AppData\Local\Temp\OnboardLogs"\RTDC4026\*4026*201702140*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"%USERPROFILE%\AppData\Local\Temp\OnboardLogs"\RTDC4026\*4026*201702140* &gt;&gt; 2017-02-13-SliceDisagreementCheck.txt</v>
      </c>
      <c r="AE21" s="157" t="str">
        <f t="shared" si="9"/>
        <v>start /low /b %USERPROFILE%\Documents\GitHub\eaglep3\Utilities\DownloadLogsFromS3.py --loco 4026 --day 2017-02-14</v>
      </c>
      <c r="AF21" s="1"/>
    </row>
    <row r="22" spans="1:32" x14ac:dyDescent="0.25">
      <c r="A22" s="32">
        <v>42779.878078703703</v>
      </c>
      <c r="B22" s="30" t="s">
        <v>428</v>
      </c>
      <c r="C22" s="30" t="s">
        <v>550</v>
      </c>
      <c r="D22" s="30" t="s">
        <v>49</v>
      </c>
      <c r="E22" s="30" t="s">
        <v>188</v>
      </c>
      <c r="F22" s="43">
        <v>0</v>
      </c>
      <c r="G22" s="43">
        <v>53</v>
      </c>
      <c r="H22" s="43">
        <v>192</v>
      </c>
      <c r="I22" s="43">
        <v>143</v>
      </c>
      <c r="J22" s="30" t="s">
        <v>189</v>
      </c>
      <c r="K22" s="43">
        <v>1</v>
      </c>
      <c r="L22" s="143" t="s">
        <v>51</v>
      </c>
      <c r="M22" s="144">
        <f t="shared" si="0"/>
        <v>74.975999999999999</v>
      </c>
      <c r="N22" s="145" t="str">
        <f>VLOOKUP(C22,'Trips&amp;Operators'!$C$1:$G$99999,5,FALSE)</f>
        <v>PERKINS DARREN</v>
      </c>
      <c r="O22" s="194" t="s">
        <v>185</v>
      </c>
      <c r="P22" s="146"/>
      <c r="Q22" s="30"/>
      <c r="R22" s="89" t="str">
        <f>VLOOKUP(C22,'Train Runs'!$A$13:$AE$9956,31,0)</f>
        <v>aws s3 cp s3://rtdc.mdm.uploadarchive.raw/RTDC4012/ "%USERPROFILE%\AppData\Local\Temp\OnboardLogs"\RTDC4012\2017-02-13 --exclude "*" --recursive --include "*20170213*" &amp; "%USERPROFILE%\Documents\GitHub\mrs-test-scripts\Headless Mode &amp; Sideloading\WalkAndUnGZ.bat" "%USERPROFILE%\AppData\Local\Temp\OnboardLogs"\RTDC4012\2017-02-13 &amp; 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</v>
      </c>
      <c r="S22" s="92" t="str">
        <f>VLOOKUP(C22,'Train Runs'!$A$13:$AE$9956,22,0)</f>
        <v>https://d0f6bd738d7f1b3e5a7ca70fe4ff75f0.us-east-1.aws.found.io/app/kibana#/discover/Steve-Slow-Train-Analysis-(2080s-and-2083s)?_g=(refreshInterval:(display:Off,pause:!f,section:0,value:0),time:(from:'2017-02-13T19:15:45-0700',mode:absolute,to:'2017-02-13T22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2" s="94" t="str">
        <f t="shared" si="1"/>
        <v>"C:\Program Files (x86)\AstroGrep\AstroGrep.exe" /spath="%USERPROFILE%\AppData\Local\Temp\OnboardLogs" /stypes="*4012*201702140*" /stext=" 04:.+((SYSTEM_STATE.+slice.+state.+changed )|(ment ac)|(multiple cpu faults)|(system.+state.+changed )|(\[timeout)|(PRM\|1\|D)|(kpr)|(kdp)|(\|lc)|(penalty))" /e /r /s</v>
      </c>
      <c r="U22" s="9" t="str">
        <f t="shared" si="2"/>
        <v>4012</v>
      </c>
      <c r="V22" s="32">
        <f t="shared" si="3"/>
        <v>42780.169745370367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{"issue":{"subject":"","project_id":79,"tracker_id":40,"status_id":1,"priority_id":2,"assigned_to_id":23,"start_date":"2017-02-13","description":"","custom_fields":[{"id":1,"name":"Subdivision","value":"EC"},{"id":4,"name":"Milepost","value":"0.0001"},{"id":17,"name":"Train ID","value":"224-13"},{"id":16,"name":"Locomotive ID","value":"4012"},{"id":130,"name":"Impact","value":""},{"id":150,"name":"Time of Event (Mountain Time)","value":"21:04:26"},{"id":151,"name":"Denver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"%USERPROFILE%\AppData\Local\Temp\OnboardLogs"\RTDC4012\*4012*201702140*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"%USERPROFILE%\AppData\Local\Temp\OnboardLogs"\RTDC4012\*4012*201702140* &gt;&gt; 2017-02-13-SliceDisagreementCheck.txt</v>
      </c>
      <c r="AE22" s="157" t="str">
        <f t="shared" si="9"/>
        <v>start /low /b %USERPROFILE%\Documents\GitHub\eaglep3\Utilities\DownloadLogsFromS3.py --loco 4012 --day 2017-02-14</v>
      </c>
      <c r="AF22" s="1"/>
    </row>
    <row r="23" spans="1:32" x14ac:dyDescent="0.25">
      <c r="A23" s="32">
        <v>42779.772604166668</v>
      </c>
      <c r="B23" s="30" t="s">
        <v>419</v>
      </c>
      <c r="C23" s="30" t="s">
        <v>549</v>
      </c>
      <c r="D23" s="30" t="s">
        <v>49</v>
      </c>
      <c r="E23" s="30" t="s">
        <v>188</v>
      </c>
      <c r="F23" s="43">
        <v>0</v>
      </c>
      <c r="G23" s="43">
        <v>34</v>
      </c>
      <c r="H23" s="43">
        <v>913</v>
      </c>
      <c r="I23" s="43">
        <v>889</v>
      </c>
      <c r="J23" s="30" t="s">
        <v>189</v>
      </c>
      <c r="K23" s="43">
        <v>826</v>
      </c>
      <c r="L23" s="143" t="s">
        <v>51</v>
      </c>
      <c r="M23" s="144">
        <f t="shared" si="0"/>
        <v>33.264000000000003</v>
      </c>
      <c r="N23" s="145" t="str">
        <f>VLOOKUP(C23,'Trips&amp;Operators'!$C$1:$G$99999,5,FALSE)</f>
        <v>ROMERO CHAD</v>
      </c>
      <c r="O23" s="194" t="s">
        <v>185</v>
      </c>
      <c r="P23" s="146"/>
      <c r="Q23" s="30"/>
      <c r="R23" s="89" t="str">
        <f>VLOOKUP(C23,'Train Runs'!$A$13:$AE$9956,31,0)</f>
        <v>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 &amp; aws s3 cp s3://rtdc.mdm.uploadarchive.raw/RTDC4010/ "%USERPROFILE%\AppData\Local\Temp\OnboardLogs"\RTDC4010\2017-02-14 --exclude "*" --recursive --include "*20170214*" &amp; "%USERPROFILE%\Documents\GitHub\mrs-test-scripts\Headless Mode &amp; Sideloading\WalkAndUnGZ.bat" "%USERPROFILE%\AppData\Local\Temp\OnboardLogs"\RTDC4010\2017-02-14</v>
      </c>
      <c r="S23" s="92" t="str">
        <f>VLOOKUP(C23,'Train Runs'!$A$13:$AE$9956,22,0)</f>
        <v>https://d0f6bd738d7f1b3e5a7ca70fe4ff75f0.us-east-1.aws.found.io/app/kibana#/discover/Steve-Slow-Train-Analysis-(2080s-and-2083s)?_g=(refreshInterval:(display:Off,pause:!f,section:0,value:0),time:(from:'2017-02-13T16:37:52-0700',mode:absolute,to:'2017-02-13T19:32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3" s="94" t="str">
        <f t="shared" si="1"/>
        <v>"C:\Program Files (x86)\AstroGrep\AstroGrep.exe" /spath="%USERPROFILE%\AppData\Local\Temp\OnboardLogs" /stypes="*4010*201702140*" /stext=" 01:.+((SYSTEM_STATE.+slice.+state.+changed )|(ment ac)|(multiple cpu faults)|(system.+state.+changed )|(\[timeout)|(PRM\|1\|D)|(kpr)|(kdp)|(\|lc)|(penalty))" /e /r /s</v>
      </c>
      <c r="U23" s="9" t="str">
        <f t="shared" si="2"/>
        <v>4010</v>
      </c>
      <c r="V23" s="32">
        <f t="shared" si="3"/>
        <v>42780.064270833333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{"issue":{"subject":"","project_id":79,"tracker_id":40,"status_id":1,"priority_id":2,"assigned_to_id":23,"start_date":"2017-02-13","description":"","custom_fields":[{"id":1,"name":"Subdivision","value":"EC"},{"id":4,"name":"Milepost","value":"0.0826"},{"id":17,"name":"Train ID","value":"208-13"},{"id":16,"name":"Locomotive ID","value":"4010"},{"id":130,"name":"Impact","value":""},{"id":150,"name":"Time of Event (Mountain Time)","value":"18:32:33"},{"id":151,"name":"Denver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"%USERPROFILE%\AppData\Local\Temp\OnboardLogs"\RTDC4010\*4010*201702140*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"%USERPROFILE%\AppData\Local\Temp\OnboardLogs"\RTDC4010\*4010*201702140* &gt;&gt; 2017-02-13-SliceDisagreementCheck.txt</v>
      </c>
      <c r="AE23" s="157" t="str">
        <f t="shared" si="9"/>
        <v>start /low /b %USERPROFILE%\Documents\GitHub\eaglep3\Utilities\DownloadLogsFromS3.py --loco 4010 --day 2017-02-14</v>
      </c>
      <c r="AF23" s="1"/>
    </row>
    <row r="24" spans="1:32" x14ac:dyDescent="0.25">
      <c r="A24" s="32">
        <v>42779.359976851854</v>
      </c>
      <c r="B24" s="30" t="s">
        <v>229</v>
      </c>
      <c r="C24" s="30" t="s">
        <v>535</v>
      </c>
      <c r="D24" s="30" t="s">
        <v>49</v>
      </c>
      <c r="E24" s="30" t="s">
        <v>188</v>
      </c>
      <c r="F24" s="43">
        <v>0</v>
      </c>
      <c r="G24" s="43">
        <v>48</v>
      </c>
      <c r="H24" s="43">
        <v>233327</v>
      </c>
      <c r="I24" s="43">
        <v>233346</v>
      </c>
      <c r="J24" s="30" t="s">
        <v>189</v>
      </c>
      <c r="K24" s="43">
        <v>233491</v>
      </c>
      <c r="L24" s="143" t="s">
        <v>50</v>
      </c>
      <c r="M24" s="144">
        <f t="shared" si="0"/>
        <v>76.56</v>
      </c>
      <c r="N24" s="145" t="str">
        <f>VLOOKUP(C24,'Trips&amp;Operators'!$C$1:$G$99999,5,FALSE)</f>
        <v>BONDS REYNALDO</v>
      </c>
      <c r="O24" s="194" t="s">
        <v>185</v>
      </c>
      <c r="P24" s="146"/>
      <c r="Q24" s="30"/>
      <c r="R24" s="89" t="str">
        <f>VLOOKUP(C24,'Train Runs'!$A$13:$AE$9956,31,0)</f>
        <v>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 &amp; 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</v>
      </c>
      <c r="S24" s="92" t="str">
        <f>VLOOKUP(C24,'Train Runs'!$A$13:$AE$9956,22,0)</f>
        <v>https://d0f6bd738d7f1b3e5a7ca70fe4ff75f0.us-east-1.aws.found.io/app/kibana#/discover/Steve-Slow-Train-Analysis-(2080s-and-2083s)?_g=(refreshInterval:(display:Off,pause:!f,section:0,value:0),time:(from:'2017-02-13T06:53:59-0700',mode:absolute,to:'2017-02-13T09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4" s="94" t="str">
        <f t="shared" si="1"/>
        <v>"C:\Program Files (x86)\AstroGrep\AstroGrep.exe" /spath="%USERPROFILE%\AppData\Local\Temp\OnboardLogs" /stypes="*4027*201702131*" /stext=" 15:.+((SYSTEM_STATE.+slice.+state.+changed )|(ment ac)|(multiple cpu faults)|(system.+state.+changed )|(\[timeout)|(PRM\|1\|D)|(kpr)|(kdp)|(\|lc)|(penalty))" /e /r /s</v>
      </c>
      <c r="U24" s="9" t="str">
        <f t="shared" si="2"/>
        <v>4027</v>
      </c>
      <c r="V24" s="32">
        <f t="shared" si="3"/>
        <v>42779.651643518519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{"issue":{"subject":"","project_id":79,"tracker_id":40,"status_id":1,"priority_id":2,"assigned_to_id":23,"start_date":"2017-02-13","description":"","custom_fields":[{"id":1,"name":"Subdivision","value":"EC"},{"id":4,"name":"Milepost","value":"23.3491"},{"id":17,"name":"Train ID","value":"135-13"},{"id":16,"name":"Locomotive ID","value":"4027"},{"id":130,"name":"Impact","value":""},{"id":150,"name":"Time of Event (Mountain Time)","value":"08:38:22"},{"id":151,"name":"Denver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"%USERPROFILE%\AppData\Local\Temp\OnboardLogs"\RTDC4027\*4027*201702131*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"%USERPROFILE%\AppData\Local\Temp\OnboardLogs"\RTDC4027\*4027*201702131* &gt;&gt; 2017-02-13-SliceDisagreementCheck.txt</v>
      </c>
      <c r="AE24" s="157" t="str">
        <f t="shared" si="9"/>
        <v>start /low /b %USERPROFILE%\Documents\GitHub\eaglep3\Utilities\DownloadLogsFromS3.py --loco 4027 --day 2017-02-13</v>
      </c>
      <c r="AF24" s="1"/>
    </row>
    <row r="25" spans="1:32" x14ac:dyDescent="0.25">
      <c r="A25" s="32">
        <v>42779.525358796294</v>
      </c>
      <c r="B25" s="30" t="s">
        <v>335</v>
      </c>
      <c r="C25" s="30" t="s">
        <v>539</v>
      </c>
      <c r="D25" s="30" t="s">
        <v>49</v>
      </c>
      <c r="E25" s="30" t="s">
        <v>188</v>
      </c>
      <c r="F25" s="43">
        <v>0</v>
      </c>
      <c r="G25" s="43">
        <v>59</v>
      </c>
      <c r="H25" s="43">
        <v>233028</v>
      </c>
      <c r="I25" s="43">
        <v>233115</v>
      </c>
      <c r="J25" s="30" t="s">
        <v>189</v>
      </c>
      <c r="K25" s="43">
        <v>233491</v>
      </c>
      <c r="L25" s="143" t="s">
        <v>50</v>
      </c>
      <c r="M25" s="144">
        <f t="shared" si="0"/>
        <v>198.52799999999999</v>
      </c>
      <c r="N25" s="145" t="str">
        <f>VLOOKUP(C25,'Trips&amp;Operators'!$C$1:$G$99999,5,FALSE)</f>
        <v>CRAYTON QUNTRELL</v>
      </c>
      <c r="O25" s="194" t="s">
        <v>185</v>
      </c>
      <c r="P25" s="146"/>
      <c r="Q25" s="30"/>
      <c r="R25" s="89" t="str">
        <f>VLOOKUP(C25,'Train Runs'!$A$13:$AE$9956,31,0)</f>
        <v>aws s3 cp s3://rtdc.mdm.uploadarchive.raw/RTDC4044/ "%USERPROFILE%\AppData\Local\Temp\OnboardLogs"\RTDC4044\2017-02-13 --exclude "*" --recursive --include "*20170213*" &amp; "%USERPROFILE%\Documents\GitHub\mrs-test-scripts\Headless Mode &amp; Sideloading\WalkAndUnGZ.bat" "%USERPROFILE%\AppData\Local\Temp\OnboardLogs"\RTDC4044\2017-02-13 &amp; 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</v>
      </c>
      <c r="S25" s="92" t="str">
        <f>VLOOKUP(C25,'Train Runs'!$A$13:$AE$9956,22,0)</f>
        <v>https://d0f6bd738d7f1b3e5a7ca70fe4ff75f0.us-east-1.aws.found.io/app/kibana#/discover/Steve-Slow-Train-Analysis-(2080s-and-2083s)?_g=(refreshInterval:(display:Off,pause:!f,section:0,value:0),time:(from:'2017-02-13T10:51:16-0700',mode:absolute,to:'2017-02-13T13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5" s="94" t="str">
        <f t="shared" si="1"/>
        <v>"C:\Program Files (x86)\AstroGrep\AstroGrep.exe" /spath="%USERPROFILE%\AppData\Local\Temp\OnboardLogs" /stypes="*4044*201702131*" /stext=" 19:.+((SYSTEM_STATE.+slice.+state.+changed )|(ment ac)|(multiple cpu faults)|(system.+state.+changed )|(\[timeout)|(PRM\|1\|D)|(kpr)|(kdp)|(\|lc)|(penalty))" /e /r /s</v>
      </c>
      <c r="U25" s="9" t="str">
        <f t="shared" si="2"/>
        <v>4044</v>
      </c>
      <c r="V25" s="32">
        <f t="shared" si="3"/>
        <v>42779.817025462959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{"issue":{"subject":"","project_id":79,"tracker_id":40,"status_id":1,"priority_id":2,"assigned_to_id":23,"start_date":"2017-02-13","description":"","custom_fields":[{"id":1,"name":"Subdivision","value":"EC"},{"id":4,"name":"Milepost","value":"23.3491"},{"id":17,"name":"Train ID","value":"167-13"},{"id":16,"name":"Locomotive ID","value":"4044"},{"id":130,"name":"Impact","value":""},{"id":150,"name":"Time of Event (Mountain Time)","value":"12:36:31"},{"id":151,"name":"Denver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"%USERPROFILE%\AppData\Local\Temp\OnboardLogs"\RTDC4044\*4044*201702131*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"%USERPROFILE%\AppData\Local\Temp\OnboardLogs"\RTDC4044\*4044*201702131* &gt;&gt; 2017-02-13-SliceDisagreementCheck.txt</v>
      </c>
      <c r="AE25" s="157" t="str">
        <f t="shared" si="9"/>
        <v>start /low /b %USERPROFILE%\Documents\GitHub\eaglep3\Utilities\DownloadLogsFromS3.py --loco 4044 --day 2017-02-13</v>
      </c>
      <c r="AF25" s="1"/>
    </row>
    <row r="26" spans="1:32" x14ac:dyDescent="0.25">
      <c r="A26" s="32">
        <v>42780.024733796294</v>
      </c>
      <c r="B26" s="30" t="s">
        <v>243</v>
      </c>
      <c r="C26" s="30" t="s">
        <v>551</v>
      </c>
      <c r="D26" s="30" t="s">
        <v>49</v>
      </c>
      <c r="E26" s="30" t="s">
        <v>188</v>
      </c>
      <c r="F26" s="43">
        <v>0</v>
      </c>
      <c r="G26" s="43">
        <v>156</v>
      </c>
      <c r="H26" s="43">
        <v>232672</v>
      </c>
      <c r="I26" s="43">
        <v>232889</v>
      </c>
      <c r="J26" s="30" t="s">
        <v>189</v>
      </c>
      <c r="K26" s="43">
        <v>233491</v>
      </c>
      <c r="L26" s="143" t="s">
        <v>50</v>
      </c>
      <c r="M26" s="144">
        <f t="shared" si="0"/>
        <v>317.85599999999999</v>
      </c>
      <c r="N26" s="145" t="str">
        <f>VLOOKUP(C26,'Trips&amp;Operators'!$C$1:$G$99999,5,FALSE)</f>
        <v>STAMBAUGH JAMES</v>
      </c>
      <c r="O26" s="194" t="s">
        <v>185</v>
      </c>
      <c r="P26" s="146"/>
      <c r="Q26" s="30"/>
      <c r="R26" s="89" t="str">
        <f>VLOOKUP(C26,'Train Runs'!$A$13:$AE$9956,31,0)</f>
        <v>aws s3 cp s3://rtdc.mdm.uploadarchive.raw/RTDC4025/ "%USERPROFILE%\AppData\Local\Temp\OnboardLogs"\RTDC4025\2017-02-14 --exclude "*" --recursive --include "*20170214*" &amp; "%USERPROFILE%\Documents\GitHub\mrs-test-scripts\Headless Mode &amp; Sideloading\WalkAndUnGZ.bat" "%USERPROFILE%\AppData\Local\Temp\OnboardLogs"\RTDC4025\2017-02-14 &amp; aws s3 cp s3://rtdc.mdm.uploadarchive.raw/RTDC4025/ "%USERPROFILE%\AppData\Local\Temp\OnboardLogs"\RTDC4025\2017-02-15 --exclude "*" --recursive --include "*20170215*" &amp; "%USERPROFILE%\Documents\GitHub\mrs-test-scripts\Headless Mode &amp; Sideloading\WalkAndUnGZ.bat" "%USERPROFILE%\AppData\Local\Temp\OnboardLogs"\RTDC4025\2017-02-15</v>
      </c>
      <c r="S26" s="92" t="str">
        <f>VLOOKUP(C26,'Train Runs'!$A$13:$AE$9956,22,0)</f>
        <v>https://d0f6bd738d7f1b3e5a7ca70fe4ff75f0.us-east-1.aws.found.io/app/kibana#/discover/Steve-Slow-Train-Analysis-(2080s-and-2083s)?_g=(refreshInterval:(display:Off,pause:!f,section:0,value:0),time:(from:'2017-02-13T22:37:33-0700',mode:absolute,to:'2017-02-14T01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6" s="94" t="str">
        <f t="shared" si="1"/>
        <v>"C:\Program Files (x86)\AstroGrep\AstroGrep.exe" /spath="%USERPROFILE%\AppData\Local\Temp\OnboardLogs" /stypes="*4025*201702140*" /stext=" 07:.+((SYSTEM_STATE.+slice.+state.+changed )|(ment ac)|(multiple cpu faults)|(system.+state.+changed )|(\[timeout)|(PRM\|1\|D)|(kpr)|(kdp)|(\|lc)|(penalty))" /e /r /s</v>
      </c>
      <c r="U26" s="9" t="str">
        <f t="shared" si="2"/>
        <v>4025</v>
      </c>
      <c r="V26" s="32">
        <f t="shared" si="3"/>
        <v>42780.316400462958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{"issue":{"subject":"","project_id":79,"tracker_id":40,"status_id":1,"priority_id":2,"assigned_to_id":23,"start_date":"2017-02-14","description":"","custom_fields":[{"id":1,"name":"Subdivision","value":"EC"},{"id":4,"name":"Milepost","value":"23.3491"},{"id":17,"name":"Train ID","value":"241-13"},{"id":16,"name":"Locomotive ID","value":"4025"},{"id":130,"name":"Impact","value":""},{"id":150,"name":"Time of Event (Mountain Time)","value":"00:35:37"},{"id":151,"name":"Denver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"%USERPROFILE%\AppData\Local\Temp\OnboardLogs"\RTDC4025\*4025*201702140*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"%USERPROFILE%\AppData\Local\Temp\OnboardLogs"\RTDC4025\*4025*201702140* &gt;&gt; 2017-02-13-SliceDisagreementCheck.txt</v>
      </c>
      <c r="AE26" s="157" t="str">
        <f t="shared" si="9"/>
        <v>start /low /b %USERPROFILE%\Documents\GitHub\eaglep3\Utilities\DownloadLogsFromS3.py --loco 4025 --day 2017-02-14</v>
      </c>
      <c r="AF26" s="1"/>
    </row>
    <row r="27" spans="1:32" x14ac:dyDescent="0.25">
      <c r="A27" s="32">
        <v>42779.407557870371</v>
      </c>
      <c r="B27" s="30" t="s">
        <v>211</v>
      </c>
      <c r="C27" s="30" t="s">
        <v>536</v>
      </c>
      <c r="D27" s="30" t="s">
        <v>98</v>
      </c>
      <c r="E27" s="30" t="s">
        <v>216</v>
      </c>
      <c r="F27" s="43">
        <v>400</v>
      </c>
      <c r="G27" s="43">
        <v>456</v>
      </c>
      <c r="H27" s="43">
        <v>38845</v>
      </c>
      <c r="I27" s="43">
        <v>37540</v>
      </c>
      <c r="J27" s="30" t="s">
        <v>217</v>
      </c>
      <c r="K27" s="43">
        <v>40977</v>
      </c>
      <c r="L27" s="143" t="s">
        <v>51</v>
      </c>
      <c r="M27" s="144">
        <f t="shared" si="0"/>
        <v>-1814.7360000000001</v>
      </c>
      <c r="N27" s="145" t="str">
        <f>VLOOKUP(C27,'Trips&amp;Operators'!$C$1:$G$99999,5,FALSE)</f>
        <v>ROCHA YAOTL</v>
      </c>
      <c r="O27" s="194" t="s">
        <v>185</v>
      </c>
      <c r="P27" s="146"/>
      <c r="Q27" s="30"/>
      <c r="R27" s="89" t="str">
        <f>VLOOKUP(C27,'Train Runs'!$A$13:$AE$9956,31,0)</f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S27" s="92" t="str">
        <f>VLOOKUP(C27,'Train Runs'!$A$13:$AE$9956,22,0)</f>
        <v>https://d0f6bd738d7f1b3e5a7ca70fe4ff75f0.us-east-1.aws.found.io/app/kibana#/discover/Steve-Slow-Train-Analysis-(2080s-and-2083s)?_g=(refreshInterval:(display:Off,pause:!f,section:0,value:0),time:(from:'2017-02-13T08:37:02-0700',mode:absolute,to:'2017-02-13T10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7" s="94" t="str">
        <f t="shared" si="1"/>
        <v>"C:\Program Files (x86)\AstroGrep\AstroGrep.exe" /spath="%USERPROFILE%\AppData\Local\Temp\OnboardLogs" /stypes="*4030*201702131*" /stext=" 16:.+((SYSTEM_STATE.+slice.+state.+changed )|(ment ac)|(multiple cpu faults)|(system.+state.+changed )|(\[timeout)|(PRM\|1\|D)|(kpr)|(kdp)|(\|lc)|(penalty))" /e /r /s</v>
      </c>
      <c r="U27" s="9" t="str">
        <f t="shared" si="2"/>
        <v>4030</v>
      </c>
      <c r="V27" s="32">
        <f t="shared" si="3"/>
        <v>42779.699224537035</v>
      </c>
      <c r="W27" s="46" t="str">
        <f t="shared" si="4"/>
        <v>NW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{"issue":{"subject":"","project_id":79,"tracker_id":40,"status_id":1,"priority_id":2,"assigned_to_id":23,"start_date":"2017-02-13","description":"","custom_fields":[{"id":1,"name":"Subdivision","value":"NW"},{"id":4,"name":"Milepost","value":"4.0977"},{"id":17,"name":"Train ID","value":"814-13"},{"id":16,"name":"Locomotive ID","value":"4030"},{"id":130,"name":"Impact","value":""},{"id":150,"name":"Time of Event (Mountain Time)","value":"09:46:53"},{"id":151,"name":"Denver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"%USERPROFILE%\AppData\Local\Temp\OnboardLogs"\RTDC4030\*4030*201702131*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"%USERPROFILE%\AppData\Local\Temp\OnboardLogs"\RTDC4030\*4030*201702131* &gt;&gt; 2017-02-13-SliceDisagreementCheck.txt</v>
      </c>
      <c r="AE27" s="157" t="str">
        <f t="shared" si="9"/>
        <v>start /low /b %USERPROFILE%\Documents\GitHub\eaglep3\Utilities\DownloadLogsFromS3.py --loco 4030 --day 2017-02-13</v>
      </c>
      <c r="AF27" s="1"/>
    </row>
    <row r="28" spans="1:32" x14ac:dyDescent="0.25">
      <c r="A28" s="32">
        <v>42779.309502314813</v>
      </c>
      <c r="B28" s="30" t="s">
        <v>233</v>
      </c>
      <c r="C28" s="30" t="s">
        <v>531</v>
      </c>
      <c r="D28" s="30" t="s">
        <v>49</v>
      </c>
      <c r="E28" s="30" t="s">
        <v>188</v>
      </c>
      <c r="F28" s="43">
        <v>0</v>
      </c>
      <c r="G28" s="43">
        <v>105</v>
      </c>
      <c r="H28" s="43">
        <v>937</v>
      </c>
      <c r="I28" s="43">
        <v>797</v>
      </c>
      <c r="J28" s="30" t="s">
        <v>189</v>
      </c>
      <c r="K28" s="43">
        <v>575</v>
      </c>
      <c r="L28" s="143" t="s">
        <v>51</v>
      </c>
      <c r="M28" s="144">
        <f t="shared" si="0"/>
        <v>117.21599999999999</v>
      </c>
      <c r="N28" s="145" t="str">
        <f>VLOOKUP(C28,'Trips&amp;Operators'!$C$1:$G$99999,5,FALSE)</f>
        <v>DAVIS WENDY</v>
      </c>
      <c r="O28" s="194" t="s">
        <v>185</v>
      </c>
      <c r="P28" s="146"/>
      <c r="Q28" s="30"/>
      <c r="R28" s="89" t="str">
        <f>VLOOKUP(C28,'Train Runs'!$A$13:$AE$9956,31,0)</f>
        <v>aws s3 cp s3://rtdc.mdm.uploadarchive.raw/RTDC4015/ "%USERPROFILE%\AppData\Local\Temp\OnboardLogs"\RTDC4015\2017-02-13 --exclude "*" --recursive --include "*20170213*" &amp; "%USERPROFILE%\Documents\GitHub\mrs-test-scripts\Headless Mode &amp; Sideloading\WalkAndUnGZ.bat" "%USERPROFILE%\AppData\Local\Temp\OnboardLogs"\RTDC4015\2017-02-13 &amp; 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</v>
      </c>
      <c r="S28" s="92" t="str">
        <f>VLOOKUP(C28,'Train Runs'!$A$13:$AE$9956,22,0)</f>
        <v>https://d0f6bd738d7f1b3e5a7ca70fe4ff75f0.us-east-1.aws.found.io/app/kibana#/discover/Steve-Slow-Train-Analysis-(2080s-and-2083s)?_g=(refreshInterval:(display:Off,pause:!f,section:0,value:0),time:(from:'2017-02-13T06:07:24-0700',mode:absolute,to:'2017-02-13T08:27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8" s="94" t="str">
        <f t="shared" si="1"/>
        <v>"C:\Program Files (x86)\AstroGrep\AstroGrep.exe" /spath="%USERPROFILE%\AppData\Local\Temp\OnboardLogs" /stypes="*4015*201702131*" /stext=" 14:.+((SYSTEM_STATE.+slice.+state.+changed )|(ment ac)|(multiple cpu faults)|(system.+state.+changed )|(\[timeout)|(PRM\|1\|D)|(kpr)|(kdp)|(\|lc)|(penalty))" /e /r /s</v>
      </c>
      <c r="U28" s="9" t="str">
        <f t="shared" si="2"/>
        <v>4015</v>
      </c>
      <c r="V28" s="32">
        <f t="shared" si="3"/>
        <v>42779.601168981477</v>
      </c>
      <c r="W28" s="46" t="str">
        <f t="shared" si="4"/>
        <v>NW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{"issue":{"subject":"","project_id":79,"tracker_id":40,"status_id":1,"priority_id":2,"assigned_to_id":23,"start_date":"2017-02-13","description":"","custom_fields":[{"id":1,"name":"Subdivision","value":"NW"},{"id":4,"name":"Milepost","value":"0.0575"},{"id":17,"name":"Train ID","value":"806-13"},{"id":16,"name":"Locomotive ID","value":"4015"},{"id":130,"name":"Impact","value":""},{"id":150,"name":"Time of Event (Mountain Time)","value":"07:25:41"},{"id":151,"name":"Denver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"%USERPROFILE%\AppData\Local\Temp\OnboardLogs"\RTDC4015\*4015*201702131*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"%USERPROFILE%\AppData\Local\Temp\OnboardLogs"\RTDC4015\*4015*201702131* &gt;&gt; 2017-02-13-SliceDisagreementCheck.txt</v>
      </c>
      <c r="AE28" s="157" t="str">
        <f t="shared" si="9"/>
        <v>start /low /b %USERPROFILE%\Documents\GitHub\eaglep3\Utilities\DownloadLogsFromS3.py --loco 4015 --day 2017-02-13</v>
      </c>
      <c r="AF28" s="1"/>
    </row>
    <row r="29" spans="1:32" x14ac:dyDescent="0.25">
      <c r="A29" s="32">
        <v>42779.351076388892</v>
      </c>
      <c r="B29" s="30" t="s">
        <v>233</v>
      </c>
      <c r="C29" s="30" t="s">
        <v>534</v>
      </c>
      <c r="D29" s="30" t="s">
        <v>49</v>
      </c>
      <c r="E29" s="30" t="s">
        <v>188</v>
      </c>
      <c r="F29" s="43">
        <v>0</v>
      </c>
      <c r="G29" s="43">
        <v>20</v>
      </c>
      <c r="H29" s="43">
        <v>601</v>
      </c>
      <c r="I29" s="43">
        <v>594</v>
      </c>
      <c r="J29" s="30" t="s">
        <v>189</v>
      </c>
      <c r="K29" s="43">
        <v>575</v>
      </c>
      <c r="L29" s="143" t="s">
        <v>51</v>
      </c>
      <c r="M29" s="144">
        <f t="shared" si="0"/>
        <v>10.032</v>
      </c>
      <c r="N29" s="145" t="str">
        <f>VLOOKUP(C29,'Trips&amp;Operators'!$C$1:$G$99999,5,FALSE)</f>
        <v>DAVIS WENDY</v>
      </c>
      <c r="O29" s="194" t="s">
        <v>185</v>
      </c>
      <c r="P29" s="146"/>
      <c r="Q29" s="30"/>
      <c r="R29" s="89" t="str">
        <f>VLOOKUP(C29,'Train Runs'!$A$13:$AE$9956,31,0)</f>
        <v>aws s3 cp s3://rtdc.mdm.uploadarchive.raw/RTDC4015/ "%USERPROFILE%\AppData\Local\Temp\OnboardLogs"\RTDC4015\2017-02-13 --exclude "*" --recursive --include "*20170213*" &amp; "%USERPROFILE%\Documents\GitHub\mrs-test-scripts\Headless Mode &amp; Sideloading\WalkAndUnGZ.bat" "%USERPROFILE%\AppData\Local\Temp\OnboardLogs"\RTDC4015\2017-02-13 &amp; 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</v>
      </c>
      <c r="S29" s="92" t="str">
        <f>VLOOKUP(C29,'Train Runs'!$A$13:$AE$9956,22,0)</f>
        <v>https://d0f6bd738d7f1b3e5a7ca70fe4ff75f0.us-east-1.aws.found.io/app/kibana#/discover/Steve-Slow-Train-Analysis-(2080s-and-2083s)?_g=(refreshInterval:(display:Off,pause:!f,section:0,value:0),time:(from:'2017-02-13T07:06:43-0700',mode:absolute,to:'2017-02-13T09:25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9" s="94" t="str">
        <f t="shared" si="1"/>
        <v>"C:\Program Files (x86)\AstroGrep\AstroGrep.exe" /spath="%USERPROFILE%\AppData\Local\Temp\OnboardLogs" /stypes="*4015*201702131*" /stext=" 15:.+((SYSTEM_STATE.+slice.+state.+changed )|(ment ac)|(multiple cpu faults)|(system.+state.+changed )|(\[timeout)|(PRM\|1\|D)|(kpr)|(kdp)|(\|lc)|(penalty))" /e /r /s</v>
      </c>
      <c r="U29" s="9" t="str">
        <f t="shared" si="2"/>
        <v>4015</v>
      </c>
      <c r="V29" s="32">
        <f t="shared" si="3"/>
        <v>42779.642743055556</v>
      </c>
      <c r="W29" s="46" t="str">
        <f t="shared" si="4"/>
        <v>NW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{"issue":{"subject":"","project_id":79,"tracker_id":40,"status_id":1,"priority_id":2,"assigned_to_id":23,"start_date":"2017-02-13","description":"","custom_fields":[{"id":1,"name":"Subdivision","value":"NW"},{"id":4,"name":"Milepost","value":"0.0575"},{"id":17,"name":"Train ID","value":"810-13"},{"id":16,"name":"Locomotive ID","value":"4015"},{"id":130,"name":"Impact","value":""},{"id":150,"name":"Time of Event (Mountain Time)","value":"08:25:33"},{"id":151,"name":"Denver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"%USERPROFILE%\AppData\Local\Temp\OnboardLogs"\RTDC4015\*4015*201702131*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"%USERPROFILE%\AppData\Local\Temp\OnboardLogs"\RTDC4015\*4015*201702131* &gt;&gt; 2017-02-13-SliceDisagreementCheck.txt</v>
      </c>
      <c r="AE29" s="157" t="str">
        <f t="shared" si="9"/>
        <v>start /low /b %USERPROFILE%\Documents\GitHub\eaglep3\Utilities\DownloadLogsFromS3.py --loco 4015 --day 2017-02-13</v>
      </c>
      <c r="AF29" s="1"/>
    </row>
    <row r="30" spans="1:32" x14ac:dyDescent="0.25">
      <c r="A30" s="32">
        <v>42779.621365740742</v>
      </c>
      <c r="B30" s="30" t="s">
        <v>211</v>
      </c>
      <c r="C30" s="30" t="s">
        <v>541</v>
      </c>
      <c r="D30" s="30" t="s">
        <v>49</v>
      </c>
      <c r="E30" s="30" t="s">
        <v>188</v>
      </c>
      <c r="F30" s="43">
        <v>0</v>
      </c>
      <c r="G30" s="43">
        <v>50</v>
      </c>
      <c r="H30" s="43">
        <v>743</v>
      </c>
      <c r="I30" s="43">
        <v>698</v>
      </c>
      <c r="J30" s="30" t="s">
        <v>189</v>
      </c>
      <c r="K30" s="43">
        <v>575</v>
      </c>
      <c r="L30" s="143" t="s">
        <v>51</v>
      </c>
      <c r="M30" s="144">
        <f t="shared" si="0"/>
        <v>64.944000000000003</v>
      </c>
      <c r="N30" s="145" t="str">
        <f>VLOOKUP(C30,'Trips&amp;Operators'!$C$1:$G$99999,5,FALSE)</f>
        <v>LEVIN SCOTT</v>
      </c>
      <c r="O30" s="194" t="s">
        <v>185</v>
      </c>
      <c r="P30" s="146"/>
      <c r="Q30" s="30"/>
      <c r="R30" s="89" t="str">
        <f>VLOOKUP(C30,'Train Runs'!$A$13:$AE$9956,31,0)</f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S30" s="92" t="str">
        <f>VLOOKUP(C30,'Train Runs'!$A$13:$AE$9956,22,0)</f>
        <v>https://d0f6bd738d7f1b3e5a7ca70fe4ff75f0.us-east-1.aws.found.io/app/kibana#/discover/Steve-Slow-Train-Analysis-(2080s-and-2083s)?_g=(refreshInterval:(display:Off,pause:!f,section:0,value:0),time:(from:'2017-02-13T13:35:45-0700',mode:absolute,to:'2017-02-13T15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0" s="94" t="str">
        <f t="shared" si="1"/>
        <v>"C:\Program Files (x86)\AstroGrep\AstroGrep.exe" /spath="%USERPROFILE%\AppData\Local\Temp\OnboardLogs" /stypes="*4030*201702132*" /stext=" 21:.+((SYSTEM_STATE.+slice.+state.+changed )|(ment ac)|(multiple cpu faults)|(system.+state.+changed )|(\[timeout)|(PRM\|1\|D)|(kpr)|(kdp)|(\|lc)|(penalty))" /e /r /s</v>
      </c>
      <c r="U30" s="9" t="str">
        <f t="shared" si="2"/>
        <v>4030</v>
      </c>
      <c r="V30" s="32">
        <f t="shared" si="3"/>
        <v>42779.913032407407</v>
      </c>
      <c r="W30" s="46" t="str">
        <f t="shared" si="4"/>
        <v>NW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{"issue":{"subject":"","project_id":79,"tracker_id":40,"status_id":1,"priority_id":2,"assigned_to_id":23,"start_date":"2017-02-13","description":"","custom_fields":[{"id":1,"name":"Subdivision","value":"NW"},{"id":4,"name":"Milepost","value":"0.0575"},{"id":17,"name":"Train ID","value":"824-13"},{"id":16,"name":"Locomotive ID","value":"4030"},{"id":130,"name":"Impact","value":""},{"id":150,"name":"Time of Event (Mountain Time)","value":"14:54:46"},{"id":151,"name":"Denver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"%USERPROFILE%\AppData\Local\Temp\OnboardLogs"\RTDC4030\*4030*201702132*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"%USERPROFILE%\AppData\Local\Temp\OnboardLogs"\RTDC4030\*4030*201702132* &gt;&gt; 2017-02-13-SliceDisagreementCheck.txt</v>
      </c>
      <c r="AE30" s="157" t="str">
        <f t="shared" si="9"/>
        <v>start /low /b %USERPROFILE%\Documents\GitHub\eaglep3\Utilities\DownloadLogsFromS3.py --loco 4030 --day 2017-02-13</v>
      </c>
      <c r="AF30" s="1"/>
    </row>
    <row r="31" spans="1:32" x14ac:dyDescent="0.25">
      <c r="A31" s="32">
        <v>42779.254155092596</v>
      </c>
      <c r="B31" s="30" t="s">
        <v>297</v>
      </c>
      <c r="C31" s="30" t="s">
        <v>525</v>
      </c>
      <c r="D31" s="30" t="s">
        <v>49</v>
      </c>
      <c r="E31" s="30" t="s">
        <v>188</v>
      </c>
      <c r="F31" s="43">
        <v>0</v>
      </c>
      <c r="G31" s="43">
        <v>12</v>
      </c>
      <c r="H31" s="43">
        <v>59024</v>
      </c>
      <c r="I31" s="43">
        <v>59027</v>
      </c>
      <c r="J31" s="30" t="s">
        <v>189</v>
      </c>
      <c r="K31" s="43">
        <v>59048</v>
      </c>
      <c r="L31" s="143" t="s">
        <v>50</v>
      </c>
      <c r="M31" s="144">
        <f t="shared" si="0"/>
        <v>11.087999999999999</v>
      </c>
      <c r="N31" s="145" t="str">
        <f>VLOOKUP(C31,'Trips&amp;Operators'!$C$1:$G$99999,5,FALSE)</f>
        <v>DAVIS WENDY</v>
      </c>
      <c r="O31" s="194" t="s">
        <v>185</v>
      </c>
      <c r="P31" s="146"/>
      <c r="Q31" s="30"/>
      <c r="R31" s="89" t="str">
        <f>VLOOKUP(C31,'Train Runs'!$A$13:$AE$9956,31,0)</f>
        <v>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 &amp; 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</v>
      </c>
      <c r="S31" s="92" t="str">
        <f>VLOOKUP(C31,'Train Runs'!$A$13:$AE$9956,22,0)</f>
        <v>https://d0f6bd738d7f1b3e5a7ca70fe4ff75f0.us-east-1.aws.found.io/app/kibana#/discover/Steve-Slow-Train-Analysis-(2080s-and-2083s)?_g=(refreshInterval:(display:Off,pause:!f,section:0,value:0),time:(from:'2017-02-13T04:45:14-0700',mode:absolute,to:'2017-02-13T07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1" s="94" t="str">
        <f t="shared" si="1"/>
        <v>"C:\Program Files (x86)\AstroGrep\AstroGrep.exe" /spath="%USERPROFILE%\AppData\Local\Temp\OnboardLogs" /stypes="*4016*201702131*" /stext=" 13:.+((SYSTEM_STATE.+slice.+state.+changed )|(ment ac)|(multiple cpu faults)|(system.+state.+changed )|(\[timeout)|(PRM\|1\|D)|(kpr)|(kdp)|(\|lc)|(penalty))" /e /r /s</v>
      </c>
      <c r="U31" s="9" t="str">
        <f t="shared" si="2"/>
        <v>4016</v>
      </c>
      <c r="V31" s="32">
        <f t="shared" si="3"/>
        <v>42779.54582175926</v>
      </c>
      <c r="W31" s="46" t="str">
        <f t="shared" si="4"/>
        <v>NW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{"issue":{"subject":"","project_id":79,"tracker_id":40,"status_id":1,"priority_id":2,"assigned_to_id":23,"start_date":"2017-02-13","description":"","custom_fields":[{"id":1,"name":"Subdivision","value":"NW"},{"id":4,"name":"Milepost","value":"5.9048"},{"id":17,"name":"Train ID","value":"801-13"},{"id":16,"name":"Locomotive ID","value":"4016"},{"id":130,"name":"Impact","value":""},{"id":150,"name":"Time of Event (Mountain Time)","value":"06:05:59"},{"id":151,"name":"Denver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"%USERPROFILE%\AppData\Local\Temp\OnboardLogs"\RTDC4016\*4016*201702131*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"%USERPROFILE%\AppData\Local\Temp\OnboardLogs"\RTDC4016\*4016*201702131* &gt;&gt; 2017-02-13-SliceDisagreementCheck.txt</v>
      </c>
      <c r="AE31" s="157" t="str">
        <f t="shared" si="9"/>
        <v>start /low /b %USERPROFILE%\Documents\GitHub\eaglep3\Utilities\DownloadLogsFromS3.py --loco 4016 --day 2017-02-13</v>
      </c>
      <c r="AF31" s="1"/>
    </row>
    <row r="32" spans="1:32" x14ac:dyDescent="0.25">
      <c r="A32" s="32">
        <v>42779.295868055553</v>
      </c>
      <c r="B32" s="30" t="s">
        <v>297</v>
      </c>
      <c r="C32" s="30" t="s">
        <v>528</v>
      </c>
      <c r="D32" s="30" t="s">
        <v>49</v>
      </c>
      <c r="E32" s="30" t="s">
        <v>188</v>
      </c>
      <c r="F32" s="43">
        <v>0</v>
      </c>
      <c r="G32" s="43">
        <v>6</v>
      </c>
      <c r="H32" s="43">
        <v>59042</v>
      </c>
      <c r="I32" s="43">
        <v>59042</v>
      </c>
      <c r="J32" s="30" t="s">
        <v>189</v>
      </c>
      <c r="K32" s="43">
        <v>59048</v>
      </c>
      <c r="L32" s="143" t="s">
        <v>50</v>
      </c>
      <c r="M32" s="144">
        <f t="shared" si="0"/>
        <v>3.1680000000000001</v>
      </c>
      <c r="N32" s="145" t="str">
        <f>VLOOKUP(C32,'Trips&amp;Operators'!$C$1:$G$99999,5,FALSE)</f>
        <v>DAVIS WENDY</v>
      </c>
      <c r="O32" s="194" t="s">
        <v>185</v>
      </c>
      <c r="P32" s="146"/>
      <c r="Q32" s="30"/>
      <c r="R32" s="89" t="str">
        <f>VLOOKUP(C32,'Train Runs'!$A$13:$AE$9956,31,0)</f>
        <v>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 &amp; 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</v>
      </c>
      <c r="S32" s="92" t="str">
        <f>VLOOKUP(C32,'Train Runs'!$A$13:$AE$9956,22,0)</f>
        <v>https://d0f6bd738d7f1b3e5a7ca70fe4ff75f0.us-east-1.aws.found.io/app/kibana#/discover/Steve-Slow-Train-Analysis-(2080s-and-2083s)?_g=(refreshInterval:(display:Off,pause:!f,section:0,value:0),time:(from:'2017-02-13T05:43:23-0700',mode:absolute,to:'2017-02-13T08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2" s="94" t="str">
        <f t="shared" si="1"/>
        <v>"C:\Program Files (x86)\AstroGrep\AstroGrep.exe" /spath="%USERPROFILE%\AppData\Local\Temp\OnboardLogs" /stypes="*4016*201702131*" /stext=" 14:.+((SYSTEM_STATE.+slice.+state.+changed )|(ment ac)|(multiple cpu faults)|(system.+state.+changed )|(\[timeout)|(PRM\|1\|D)|(kpr)|(kdp)|(\|lc)|(penalty))" /e /r /s</v>
      </c>
      <c r="U32" s="9" t="str">
        <f t="shared" si="2"/>
        <v>4016</v>
      </c>
      <c r="V32" s="32">
        <f t="shared" si="3"/>
        <v>42779.587534722217</v>
      </c>
      <c r="W32" s="46" t="str">
        <f t="shared" si="4"/>
        <v>NW</v>
      </c>
      <c r="X32" s="46" t="str">
        <f t="shared" si="5"/>
        <v>OMIT</v>
      </c>
      <c r="Y32" s="108" t="str">
        <f t="shared" si="6"/>
        <v>echo {"issue":{"subject":"","project_id":79,"tracker_id":40,"status_id":1,"priority_id":2,"assigned_to_id":23,"start_date":"2017-02-13","description":"","custom_fields":[{"id":1,"name":"Subdivision","value":"NW"},{"id":4,"name":"Milepost","value":"5.9048"},{"id":17,"name":"Train ID","value":"805-13"},{"id":16,"name":"Locomotive ID","value":"4016"},{"id":130,"name":"Impact","value":""},{"id":150,"name":"Time of Event (Mountain Time)","value":"07:06:03"},{"id":151,"name":"Denver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"%USERPROFILE%\AppData\Local\Temp\OnboardLogs"\RTDC4016\*4016*201702131*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"%USERPROFILE%\AppData\Local\Temp\OnboardLogs"\RTDC4016\*4016*201702131* &gt;&gt; 2017-02-13-SliceDisagreementCheck.txt</v>
      </c>
      <c r="AE32" s="157" t="str">
        <f t="shared" si="9"/>
        <v>start /low /b %USERPROFILE%\Documents\GitHub\eaglep3\Utilities\DownloadLogsFromS3.py --loco 4016 --day 2017-02-13</v>
      </c>
      <c r="AF32" s="1"/>
    </row>
    <row r="33" spans="1:32" x14ac:dyDescent="0.25">
      <c r="A33" s="32">
        <v>42779.337060185186</v>
      </c>
      <c r="B33" s="30" t="s">
        <v>297</v>
      </c>
      <c r="C33" s="30" t="s">
        <v>533</v>
      </c>
      <c r="D33" s="30" t="s">
        <v>49</v>
      </c>
      <c r="E33" s="30" t="s">
        <v>188</v>
      </c>
      <c r="F33" s="43">
        <v>0</v>
      </c>
      <c r="G33" s="43">
        <v>10</v>
      </c>
      <c r="H33" s="43">
        <v>59035</v>
      </c>
      <c r="I33" s="43">
        <v>59039</v>
      </c>
      <c r="J33" s="30" t="s">
        <v>189</v>
      </c>
      <c r="K33" s="43">
        <v>59048</v>
      </c>
      <c r="L33" s="143" t="s">
        <v>50</v>
      </c>
      <c r="M33" s="144">
        <f t="shared" si="0"/>
        <v>4.7519999999999998</v>
      </c>
      <c r="N33" s="145" t="str">
        <f>VLOOKUP(C33,'Trips&amp;Operators'!$C$1:$G$99999,5,FALSE)</f>
        <v>DAVIS WENDY</v>
      </c>
      <c r="O33" s="194" t="s">
        <v>185</v>
      </c>
      <c r="P33" s="146"/>
      <c r="Q33" s="30"/>
      <c r="R33" s="89" t="str">
        <f>VLOOKUP(C33,'Train Runs'!$A$13:$AE$9956,31,0)</f>
        <v>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 &amp; 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</v>
      </c>
      <c r="S33" s="92" t="str">
        <f>VLOOKUP(C33,'Train Runs'!$A$13:$AE$9956,22,0)</f>
        <v>https://d0f6bd738d7f1b3e5a7ca70fe4ff75f0.us-east-1.aws.found.io/app/kibana#/discover/Steve-Slow-Train-Analysis-(2080s-and-2083s)?_g=(refreshInterval:(display:Off,pause:!f,section:0,value:0),time:(from:'2017-02-13T06:48:22-0700',mode:absolute,to:'2017-02-13T09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3" s="94" t="str">
        <f t="shared" si="1"/>
        <v>"C:\Program Files (x86)\AstroGrep\AstroGrep.exe" /spath="%USERPROFILE%\AppData\Local\Temp\OnboardLogs" /stypes="*4016*201702131*" /stext=" 15:.+((SYSTEM_STATE.+slice.+state.+changed )|(ment ac)|(multiple cpu faults)|(system.+state.+changed )|(\[timeout)|(PRM\|1\|D)|(kpr)|(kdp)|(\|lc)|(penalty))" /e /r /s</v>
      </c>
      <c r="U33" s="9" t="str">
        <f t="shared" si="2"/>
        <v>4016</v>
      </c>
      <c r="V33" s="32">
        <f t="shared" si="3"/>
        <v>42779.62872685185</v>
      </c>
      <c r="W33" s="46" t="str">
        <f t="shared" si="4"/>
        <v>NW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{"issue":{"subject":"","project_id":79,"tracker_id":40,"status_id":1,"priority_id":2,"assigned_to_id":23,"start_date":"2017-02-13","description":"","custom_fields":[{"id":1,"name":"Subdivision","value":"NW"},{"id":4,"name":"Milepost","value":"5.9048"},{"id":17,"name":"Train ID","value":"809-13"},{"id":16,"name":"Locomotive ID","value":"4016"},{"id":130,"name":"Impact","value":""},{"id":150,"name":"Time of Event (Mountain Time)","value":"08:05:22"},{"id":151,"name":"Denver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"%USERPROFILE%\AppData\Local\Temp\OnboardLogs"\RTDC4016\*4016*201702131*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"%USERPROFILE%\AppData\Local\Temp\OnboardLogs"\RTDC4016\*4016*201702131* &gt;&gt; 2017-02-13-SliceDisagreementCheck.txt</v>
      </c>
      <c r="AE33" s="157" t="str">
        <f t="shared" si="9"/>
        <v>start /low /b %USERPROFILE%\Documents\GitHub\eaglep3\Utilities\DownloadLogsFromS3.py --loco 4016 --day 2017-02-13</v>
      </c>
      <c r="AF33" s="1"/>
    </row>
    <row r="34" spans="1:32" x14ac:dyDescent="0.25">
      <c r="A34" s="32">
        <v>42779.704629629632</v>
      </c>
      <c r="B34" s="30" t="s">
        <v>226</v>
      </c>
      <c r="C34" s="30" t="s">
        <v>545</v>
      </c>
      <c r="D34" s="30" t="s">
        <v>49</v>
      </c>
      <c r="E34" s="30" t="s">
        <v>188</v>
      </c>
      <c r="F34" s="43">
        <v>0</v>
      </c>
      <c r="G34" s="43">
        <v>12</v>
      </c>
      <c r="H34" s="43">
        <v>3</v>
      </c>
      <c r="I34" s="43">
        <v>0</v>
      </c>
      <c r="J34" s="30" t="s">
        <v>189</v>
      </c>
      <c r="K34" s="43">
        <v>1</v>
      </c>
      <c r="L34" s="143" t="s">
        <v>51</v>
      </c>
      <c r="M34" s="144">
        <f t="shared" si="0"/>
        <v>-0.52800000000000002</v>
      </c>
      <c r="N34" s="145" t="str">
        <f>VLOOKUP(C34,'Trips&amp;Operators'!$C$1:$G$99999,5,FALSE)</f>
        <v>CHANDLER KELVIN</v>
      </c>
      <c r="O34" s="194" t="s">
        <v>185</v>
      </c>
      <c r="P34" s="146"/>
      <c r="Q34" s="30"/>
      <c r="R34" s="89" t="str">
        <f>VLOOKUP(C34,'Train Runs'!$A$13:$AE$9956,31,0)</f>
        <v>aws s3 cp s3://rtdc.mdm.uploadarchive.raw/RTDC4045/ "%USERPROFILE%\AppData\Local\Temp\OnboardLogs"\RTDC4045\2017-02-13 --exclude "*" --recursive --include "*20170213*" &amp; "%USERPROFILE%\Documents\GitHub\mrs-test-scripts\Headless Mode &amp; Sideloading\WalkAndUnGZ.bat" "%USERPROFILE%\AppData\Local\Temp\OnboardLogs"\RTDC4045\2017-02-13 &amp; aws s3 cp s3://rtdc.mdm.uploadarchive.raw/RTDC4045/ "%USERPROFILE%\AppData\Local\Temp\OnboardLogs"\RTDC4045\2017-02-14 --exclude "*" --recursive --include "*20170214*" &amp; "%USERPROFILE%\Documents\GitHub\mrs-test-scripts\Headless Mode &amp; Sideloading\WalkAndUnGZ.bat" "%USERPROFILE%\AppData\Local\Temp\OnboardLogs"\RTDC4045\2017-02-14</v>
      </c>
      <c r="S34" s="92" t="str">
        <f>VLOOKUP(C34,'Train Runs'!$A$13:$AE$9956,22,0)</f>
        <v>https://d0f6bd738d7f1b3e5a7ca70fe4ff75f0.us-east-1.aws.found.io/app/kibana#/discover/Steve-Slow-Train-Analysis-(2080s-and-2083s)?_g=(refreshInterval:(display:Off,pause:!f,section:0,value:0),time:(from:'2017-02-13T15:43:19-0700',mode:absolute,to:'2017-02-13T17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4" s="94" t="str">
        <f t="shared" si="1"/>
        <v>"C:\Program Files (x86)\AstroGrep\AstroGrep.exe" /spath="%USERPROFILE%\AppData\Local\Temp\OnboardLogs" /stypes="*4045*201702132*" /stext=" 23:.+((SYSTEM_STATE.+slice.+state.+changed )|(ment ac)|(multiple cpu faults)|(system.+state.+changed )|(\[timeout)|(PRM\|1\|D)|(kpr)|(kdp)|(\|lc)|(penalty))" /e /r /s</v>
      </c>
      <c r="U34" s="9" t="str">
        <f t="shared" si="2"/>
        <v>4045</v>
      </c>
      <c r="V34" s="32">
        <f t="shared" si="3"/>
        <v>42779.996296296296</v>
      </c>
      <c r="W34" s="46" t="str">
        <f t="shared" si="4"/>
        <v>Other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{"issue":{"subject":"","project_id":79,"tracker_id":40,"status_id":1,"priority_id":2,"assigned_to_id":23,"start_date":"2017-02-13","description":"","custom_fields":[{"id":1,"name":"Subdivision","value":"Other"},{"id":4,"name":"Milepost","value":"0.0001"},{"id":17,"name":"Train ID","value":"72-13"},{"id":16,"name":"Locomotive ID","value":"4045"},{"id":130,"name":"Impact","value":""},{"id":150,"name":"Time of Event (Mountain Time)","value":"16:54:40"},{"id":151,"name":"Denver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"%USERPROFILE%\AppData\Local\Temp\OnboardLogs"\RTDC4045\*4045*201702132*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"%USERPROFILE%\AppData\Local\Temp\OnboardLogs"\RTDC4045\*4045*201702132* &gt;&gt; 2017-02-13-SliceDisagreementCheck.txt</v>
      </c>
      <c r="AE34" s="157" t="str">
        <f t="shared" si="9"/>
        <v>start /low /b %USERPROFILE%\Documents\GitHub\eaglep3\Utilities\DownloadLogsFromS3.py --loco 4045 --day 2017-02-13</v>
      </c>
      <c r="AF34" s="1"/>
    </row>
    <row r="35" spans="1:32" x14ac:dyDescent="0.25">
      <c r="A35" s="32">
        <v>42779.758634259262</v>
      </c>
      <c r="B35" s="30" t="s">
        <v>547</v>
      </c>
      <c r="C35" s="30" t="s">
        <v>548</v>
      </c>
      <c r="D35" s="30" t="s">
        <v>49</v>
      </c>
      <c r="E35" s="30" t="s">
        <v>188</v>
      </c>
      <c r="F35" s="43">
        <v>0</v>
      </c>
      <c r="G35" s="43">
        <v>26</v>
      </c>
      <c r="H35" s="43">
        <v>86</v>
      </c>
      <c r="I35" s="43">
        <v>70</v>
      </c>
      <c r="J35" s="30" t="s">
        <v>189</v>
      </c>
      <c r="K35" s="43">
        <v>1</v>
      </c>
      <c r="L35" s="143" t="s">
        <v>51</v>
      </c>
      <c r="M35" s="144">
        <f t="shared" si="0"/>
        <v>36.432000000000002</v>
      </c>
      <c r="N35" s="145" t="str">
        <f>VLOOKUP(C35,'Trips&amp;Operators'!$C$1:$G$99999,5,FALSE)</f>
        <v>STORY SAMANTHA</v>
      </c>
      <c r="O35" s="194" t="s">
        <v>185</v>
      </c>
      <c r="P35" s="146"/>
      <c r="Q35" s="30"/>
      <c r="R35" s="89" t="str">
        <f>VLOOKUP(C35,'Train Runs'!$A$13:$AE$9956,31,0)</f>
        <v>aws s3 cp s3://rtdc.mdm.uploadarchive.raw/RTDC4023/ "%USERPROFILE%\AppData\Local\Temp\OnboardLogs"\RTDC4023\2017-02-13 --exclude "*" --recursive --include "*20170213*" &amp; "%USERPROFILE%\Documents\GitHub\mrs-test-scripts\Headless Mode &amp; Sideloading\WalkAndUnGZ.bat" "%USERPROFILE%\AppData\Local\Temp\OnboardLogs"\RTDC4023\2017-02-13 &amp; aws s3 cp s3://rtdc.mdm.uploadarchive.raw/RTDC4023/ "%USERPROFILE%\AppData\Local\Temp\OnboardLogs"\RTDC4023\2017-02-14 --exclude "*" --recursive --include "*20170214*" &amp; "%USERPROFILE%\Documents\GitHub\mrs-test-scripts\Headless Mode &amp; Sideloading\WalkAndUnGZ.bat" "%USERPROFILE%\AppData\Local\Temp\OnboardLogs"\RTDC4023\2017-02-14</v>
      </c>
      <c r="S35" s="92" t="str">
        <f>VLOOKUP(C35,'Train Runs'!$A$13:$AE$9956,22,0)</f>
        <v>https://d0f6bd738d7f1b3e5a7ca70fe4ff75f0.us-east-1.aws.found.io/app/kibana#/discover/Steve-Slow-Train-Analysis-(2080s-and-2083s)?_g=(refreshInterval:(display:Off,pause:!f,section:0,value:0),time:(from:'2017-02-13T17:02:20-0700',mode:absolute,to:'2017-02-13T19:12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5" s="94" t="str">
        <f t="shared" si="1"/>
        <v>"C:\Program Files (x86)\AstroGrep\AstroGrep.exe" /spath="%USERPROFILE%\AppData\Local\Temp\OnboardLogs" /stypes="*4023*201702140*" /stext=" 01:.+((SYSTEM_STATE.+slice.+state.+changed )|(ment ac)|(multiple cpu faults)|(system.+state.+changed )|(\[timeout)|(PRM\|1\|D)|(kpr)|(kdp)|(\|lc)|(penalty))" /e /r /s</v>
      </c>
      <c r="U35" s="9" t="str">
        <f t="shared" si="2"/>
        <v>4023</v>
      </c>
      <c r="V35" s="32">
        <f t="shared" si="3"/>
        <v>42780.050300925926</v>
      </c>
      <c r="W35" s="46" t="str">
        <f t="shared" si="4"/>
        <v>Other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{"issue":{"subject":"","project_id":79,"tracker_id":40,"status_id":1,"priority_id":2,"assigned_to_id":23,"start_date":"2017-02-13","description":"","custom_fields":[{"id":1,"name":"Subdivision","value":"Other"},{"id":4,"name":"Milepost","value":"0.0001"},{"id":17,"name":"Train ID","value":"80-13"},{"id":16,"name":"Locomotive ID","value":"4023"},{"id":130,"name":"Impact","value":""},{"id":150,"name":"Time of Event (Mountain Time)","value":"18:12:26"},{"id":151,"name":"Denver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"%USERPROFILE%\AppData\Local\Temp\OnboardLogs"\RTDC4023\*4023*201702140*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"%USERPROFILE%\AppData\Local\Temp\OnboardLogs"\RTDC4023\*4023*201702140* &gt;&gt; 2017-02-13-SliceDisagreementCheck.txt</v>
      </c>
      <c r="AE35" s="157" t="str">
        <f t="shared" si="9"/>
        <v>start /low /b %USERPROFILE%\Documents\GitHub\eaglep3\Utilities\DownloadLogsFromS3.py --loco 4023 --day 2017-02-14</v>
      </c>
      <c r="AF35" s="1"/>
    </row>
    <row r="36" spans="1:32" x14ac:dyDescent="0.25">
      <c r="A36" s="32">
        <v>42779.214386574073</v>
      </c>
      <c r="B36" s="30" t="s">
        <v>297</v>
      </c>
      <c r="C36" s="30" t="s">
        <v>524</v>
      </c>
      <c r="D36" s="30" t="s">
        <v>49</v>
      </c>
      <c r="E36" s="30" t="s">
        <v>188</v>
      </c>
      <c r="F36" s="43">
        <v>0</v>
      </c>
      <c r="G36" s="43">
        <v>25</v>
      </c>
      <c r="H36" s="43">
        <v>58988</v>
      </c>
      <c r="I36" s="43">
        <v>59010</v>
      </c>
      <c r="J36" s="30" t="s">
        <v>189</v>
      </c>
      <c r="K36" s="43">
        <v>59048</v>
      </c>
      <c r="L36" s="143" t="s">
        <v>50</v>
      </c>
      <c r="M36" s="144">
        <f t="shared" si="0"/>
        <v>20.064</v>
      </c>
      <c r="N36" s="145" t="str">
        <f>VLOOKUP(C36,'Trips&amp;Operators'!$C$1:$G$99999,5,FALSE)</f>
        <v>DAVIS WENDY</v>
      </c>
      <c r="O36" s="194" t="s">
        <v>185</v>
      </c>
      <c r="P36" s="146"/>
      <c r="Q36" s="30"/>
      <c r="R36" s="89" t="str">
        <f>VLOOKUP(C36,'Train Runs'!$A$13:$AE$9956,31,0)</f>
        <v>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 &amp; 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</v>
      </c>
      <c r="S36" s="92" t="str">
        <f>VLOOKUP(C36,'Train Runs'!$A$13:$AE$9956,22,0)</f>
        <v>https://d0f6bd738d7f1b3e5a7ca70fe4ff75f0.us-east-1.aws.found.io/app/kibana#/discover/Steve-Slow-Train-Analysis-(2080s-and-2083s)?_g=(refreshInterval:(display:Off,pause:!f,section:0,value:0),time:(from:'2017-02-13T03:58:31-0700',mode:absolute,to:'2017-02-13T06:08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6" s="94" t="str">
        <f t="shared" si="1"/>
        <v>"C:\Program Files (x86)\AstroGrep\AstroGrep.exe" /spath="%USERPROFILE%\AppData\Local\Temp\OnboardLogs" /stypes="*4016*201702131*" /stext=" 12:.+((SYSTEM_STATE.+slice.+state.+changed )|(ment ac)|(multiple cpu faults)|(system.+state.+changed )|(\[timeout)|(PRM\|1\|D)|(kpr)|(kdp)|(\|lc)|(penalty))" /e /r /s</v>
      </c>
      <c r="U36" s="9" t="str">
        <f t="shared" si="2"/>
        <v>4016</v>
      </c>
      <c r="V36" s="32">
        <f t="shared" si="3"/>
        <v>42779.506053240737</v>
      </c>
      <c r="W36" s="46" t="str">
        <f t="shared" si="4"/>
        <v>Other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{"issue":{"subject":"","project_id":79,"tracker_id":40,"status_id":1,"priority_id":2,"assigned_to_id":23,"start_date":"2017-02-13","description":"","custom_fields":[{"id":1,"name":"Subdivision","value":"Other"},{"id":4,"name":"Milepost","value":"5.9048"},{"id":17,"name":"Train ID","value":"901-13"},{"id":16,"name":"Locomotive ID","value":"4016"},{"id":130,"name":"Impact","value":""},{"id":150,"name":"Time of Event (Mountain Time)","value":"05:08:43"},{"id":151,"name":"Denver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"%USERPROFILE%\AppData\Local\Temp\OnboardLogs"\RTDC4016\*4016*201702131*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"%USERPROFILE%\AppData\Local\Temp\OnboardLogs"\RTDC4016\*4016*201702131* &gt;&gt; 2017-02-13-SliceDisagreementCheck.txt</v>
      </c>
      <c r="AE36" s="157" t="str">
        <f t="shared" si="9"/>
        <v>start /low /b %USERPROFILE%\Documents\GitHub\eaglep3\Utilities\DownloadLogsFromS3.py --loco 4016 --day 2017-02-13</v>
      </c>
      <c r="AF36" s="1"/>
    </row>
    <row r="37" spans="1:32" x14ac:dyDescent="0.25">
      <c r="A37" s="32">
        <v>42779.215092592596</v>
      </c>
      <c r="B37" s="30" t="s">
        <v>297</v>
      </c>
      <c r="C37" s="30" t="s">
        <v>524</v>
      </c>
      <c r="D37" s="30" t="s">
        <v>49</v>
      </c>
      <c r="E37" s="30" t="s">
        <v>188</v>
      </c>
      <c r="F37" s="43">
        <v>0</v>
      </c>
      <c r="G37" s="43">
        <v>10</v>
      </c>
      <c r="H37" s="43">
        <v>59039</v>
      </c>
      <c r="I37" s="43">
        <v>59040</v>
      </c>
      <c r="J37" s="30" t="s">
        <v>189</v>
      </c>
      <c r="K37" s="43">
        <v>59048</v>
      </c>
      <c r="L37" s="143" t="s">
        <v>50</v>
      </c>
      <c r="M37" s="144">
        <f t="shared" si="0"/>
        <v>4.2240000000000002</v>
      </c>
      <c r="N37" s="145" t="str">
        <f>VLOOKUP(C37,'Trips&amp;Operators'!$C$1:$G$99999,5,FALSE)</f>
        <v>DAVIS WENDY</v>
      </c>
      <c r="O37" s="194" t="s">
        <v>185</v>
      </c>
      <c r="P37" s="146"/>
      <c r="Q37" s="30"/>
      <c r="R37" s="89" t="str">
        <f>VLOOKUP(C37,'Train Runs'!$A$13:$AE$9956,31,0)</f>
        <v>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 &amp; 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</v>
      </c>
      <c r="S37" s="92" t="str">
        <f>VLOOKUP(C37,'Train Runs'!$A$13:$AE$9956,22,0)</f>
        <v>https://d0f6bd738d7f1b3e5a7ca70fe4ff75f0.us-east-1.aws.found.io/app/kibana#/discover/Steve-Slow-Train-Analysis-(2080s-and-2083s)?_g=(refreshInterval:(display:Off,pause:!f,section:0,value:0),time:(from:'2017-02-13T03:58:31-0700',mode:absolute,to:'2017-02-13T06:08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7" s="94" t="str">
        <f t="shared" si="1"/>
        <v>"C:\Program Files (x86)\AstroGrep\AstroGrep.exe" /spath="%USERPROFILE%\AppData\Local\Temp\OnboardLogs" /stypes="*4016*201702131*" /stext=" 12:.+((SYSTEM_STATE.+slice.+state.+changed )|(ment ac)|(multiple cpu faults)|(system.+state.+changed )|(\[timeout)|(PRM\|1\|D)|(kpr)|(kdp)|(\|lc)|(penalty))" /e /r /s</v>
      </c>
      <c r="U37" s="9" t="str">
        <f t="shared" si="2"/>
        <v>4016</v>
      </c>
      <c r="V37" s="32">
        <f t="shared" si="3"/>
        <v>42779.50675925926</v>
      </c>
      <c r="W37" s="46" t="str">
        <f t="shared" si="4"/>
        <v>Other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{"issue":{"subject":"","project_id":79,"tracker_id":40,"status_id":1,"priority_id":2,"assigned_to_id":23,"start_date":"2017-02-13","description":"","custom_fields":[{"id":1,"name":"Subdivision","value":"Other"},{"id":4,"name":"Milepost","value":"5.9048"},{"id":17,"name":"Train ID","value":"901-13"},{"id":16,"name":"Locomotive ID","value":"4016"},{"id":130,"name":"Impact","value":""},{"id":150,"name":"Time of Event (Mountain Time)","value":"05:09:44"},{"id":151,"name":"Denver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"%USERPROFILE%\AppData\Local\Temp\OnboardLogs"\RTDC4016\*4016*201702131*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"%USERPROFILE%\AppData\Local\Temp\OnboardLogs"\RTDC4016\*4016*201702131* &gt;&gt; 2017-02-13-SliceDisagreementCheck.txt</v>
      </c>
      <c r="AE37" s="157" t="str">
        <f t="shared" si="9"/>
        <v>start /low /b %USERPROFILE%\Documents\GitHub\eaglep3\Utilities\DownloadLogsFromS3.py --loco 4016 --day 2017-02-13</v>
      </c>
      <c r="AF37" s="1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</sheetData>
  <autoFilter ref="A6:AC50">
    <sortState ref="A7:AC50">
      <sortCondition ref="W7:W37"/>
      <sortCondition ref="E7:E37"/>
      <sortCondition ref="K7:K37"/>
      <sortCondition ref="F7:F37"/>
    </sortState>
  </autoFilter>
  <sortState ref="A7:AE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59:O1048576 O7:O3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7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0"/>
  <sheetViews>
    <sheetView workbookViewId="0">
      <selection activeCell="A3" sqref="A3:XFD3"/>
    </sheetView>
  </sheetViews>
  <sheetFormatPr defaultRowHeight="15" x14ac:dyDescent="0.25"/>
  <cols>
    <col min="1" max="1" width="9.140625" style="167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7"/>
      <c r="B1" s="196" t="str">
        <f>"Trips that did not appear in PTC Data "&amp;TEXT(Variables!$A$2,"YYYY-mm-dd")</f>
        <v>Trips that did not appear in PTC Data 2017-02-13</v>
      </c>
      <c r="C1" s="196"/>
      <c r="D1" s="196"/>
      <c r="E1" s="196"/>
      <c r="F1" s="196"/>
    </row>
    <row r="2" spans="1:10" s="23" customFormat="1" ht="45" x14ac:dyDescent="0.25">
      <c r="A2" s="190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6"/>
      <c r="B3" s="43" t="str">
        <f>A3&amp;"-"&amp;IF(DAY(Variables!$A$2)&lt;10,0,"")&amp;DAY(Variables!$A$2)</f>
        <v>-13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" s="30" t="e">
        <f>VLOOKUP(B3,'Train Runs'!$A$13:$A$99953,1,FALSE)</f>
        <v>#N/A</v>
      </c>
    </row>
    <row r="4" spans="1:10" s="20" customFormat="1" x14ac:dyDescent="0.25">
      <c r="A4" s="186"/>
      <c r="B4" s="43" t="str">
        <f>A4&amp;"-"&amp;IF(DAY(Variables!$A$2)&lt;10,0,"")&amp;DAY(Variables!$A$2)</f>
        <v>-13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ref="I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" s="30" t="e">
        <f>VLOOKUP(B4,'Train Runs'!$A$13:$A$99953,1,FALSE)</f>
        <v>#N/A</v>
      </c>
    </row>
    <row r="5" spans="1:10" x14ac:dyDescent="0.25">
      <c r="A5" s="186"/>
      <c r="B5" s="43" t="str">
        <f>A5&amp;"-"&amp;IF(DAY(Variables!$A$2)&lt;10,0,"")&amp;DAY(Variables!$A$2)</f>
        <v>-13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" s="30" t="e">
        <f>VLOOKUP(B5,'Train Runs'!$A$13:$A$99953,1,FALSE)</f>
        <v>#N/A</v>
      </c>
    </row>
    <row r="6" spans="1:10" x14ac:dyDescent="0.25">
      <c r="A6" s="186"/>
      <c r="B6" s="43" t="str">
        <f>A6&amp;"-"&amp;IF(DAY(Variables!$A$2)&lt;10,0,"")&amp;DAY(Variables!$A$2)</f>
        <v>-13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" s="30" t="e">
        <f>VLOOKUP(B6,'Train Runs'!$A$13:$A$99953,1,FALSE)</f>
        <v>#N/A</v>
      </c>
    </row>
    <row r="7" spans="1:10" x14ac:dyDescent="0.25">
      <c r="A7" s="186"/>
      <c r="B7" s="43" t="str">
        <f>A7&amp;"-"&amp;IF(DAY(Variables!$A$2)&lt;10,0,"")&amp;DAY(Variables!$A$2)</f>
        <v>-13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" s="30" t="e">
        <f>VLOOKUP(B7,'Train Runs'!$A$13:$A$99953,1,FALSE)</f>
        <v>#N/A</v>
      </c>
    </row>
    <row r="8" spans="1:10" x14ac:dyDescent="0.25">
      <c r="A8" s="186"/>
      <c r="B8" s="43" t="str">
        <f>A8&amp;"-"&amp;IF(DAY(Variables!$A$2)&lt;10,0,"")&amp;DAY(Variables!$A$2)</f>
        <v>-13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" s="30" t="e">
        <f>VLOOKUP(B8,'Train Runs'!$A$13:$A$99953,1,FALSE)</f>
        <v>#N/A</v>
      </c>
    </row>
    <row r="9" spans="1:10" x14ac:dyDescent="0.25">
      <c r="A9" s="186"/>
      <c r="B9" s="43" t="str">
        <f>A9&amp;"-"&amp;IF(DAY(Variables!$A$2)&lt;10,0,"")&amp;DAY(Variables!$A$2)</f>
        <v>-13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" s="30" t="e">
        <f>VLOOKUP(B9,'Train Runs'!$A$13:$A$99953,1,FALSE)</f>
        <v>#N/A</v>
      </c>
    </row>
    <row r="10" spans="1:10" x14ac:dyDescent="0.25">
      <c r="A10" s="186"/>
      <c r="B10" s="43" t="str">
        <f>A10&amp;"-"&amp;IF(DAY(Variables!$A$2)&lt;10,0,"")&amp;DAY(Variables!$A$2)</f>
        <v>-13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" s="30" t="e">
        <f>VLOOKUP(B10,'Train Runs'!$A$13:$A$99953,1,FALSE)</f>
        <v>#N/A</v>
      </c>
    </row>
    <row r="11" spans="1:10" x14ac:dyDescent="0.25">
      <c r="A11" s="186"/>
      <c r="B11" s="43" t="str">
        <f>A11&amp;"-"&amp;IF(DAY(Variables!$A$2)&lt;10,0,"")&amp;DAY(Variables!$A$2)</f>
        <v>-13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" s="30" t="e">
        <f>VLOOKUP(B11,'Train Runs'!$A$13:$A$99953,1,FALSE)</f>
        <v>#N/A</v>
      </c>
    </row>
    <row r="12" spans="1:10" x14ac:dyDescent="0.25">
      <c r="A12" s="186"/>
      <c r="B12" s="43" t="str">
        <f>A12&amp;"-"&amp;IF(DAY(Variables!$A$2)&lt;10,0,"")&amp;DAY(Variables!$A$2)</f>
        <v>-13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2" s="30" t="e">
        <f>VLOOKUP(B12,'Train Runs'!$A$13:$A$99953,1,FALSE)</f>
        <v>#N/A</v>
      </c>
    </row>
    <row r="13" spans="1:10" x14ac:dyDescent="0.25">
      <c r="A13" s="186"/>
      <c r="B13" s="43" t="str">
        <f>A13&amp;"-"&amp;IF(DAY(Variables!$A$2)&lt;10,0,"")&amp;DAY(Variables!$A$2)</f>
        <v>-13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3" s="30" t="e">
        <f>VLOOKUP(B13,'Train Runs'!$A$13:$A$99953,1,FALSE)</f>
        <v>#N/A</v>
      </c>
    </row>
    <row r="14" spans="1:10" x14ac:dyDescent="0.25">
      <c r="A14" s="186"/>
      <c r="B14" s="43" t="str">
        <f>A14&amp;"-"&amp;IF(DAY(Variables!$A$2)&lt;10,0,"")&amp;DAY(Variables!$A$2)</f>
        <v>-13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4" s="30" t="e">
        <f>VLOOKUP(B14,'Train Runs'!$A$13:$A$99953,1,FALSE)</f>
        <v>#N/A</v>
      </c>
    </row>
    <row r="15" spans="1:10" x14ac:dyDescent="0.25">
      <c r="A15" s="186"/>
      <c r="B15" s="43" t="str">
        <f>A15&amp;"-"&amp;IF(DAY(Variables!$A$2)&lt;10,0,"")&amp;DAY(Variables!$A$2)</f>
        <v>-13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5" s="30" t="e">
        <f>VLOOKUP(B15,'Train Runs'!$A$13:$A$99953,1,FALSE)</f>
        <v>#N/A</v>
      </c>
    </row>
    <row r="16" spans="1:10" x14ac:dyDescent="0.25">
      <c r="A16" s="186"/>
      <c r="B16" s="43" t="str">
        <f>A16&amp;"-"&amp;IF(DAY(Variables!$A$2)&lt;10,0,"")&amp;DAY(Variables!$A$2)</f>
        <v>-13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6" s="30" t="e">
        <f>VLOOKUP(B16,'Train Runs'!$A$13:$A$99953,1,FALSE)</f>
        <v>#N/A</v>
      </c>
    </row>
    <row r="17" spans="1:10" x14ac:dyDescent="0.25">
      <c r="A17" s="186"/>
      <c r="B17" s="43" t="str">
        <f>A17&amp;"-"&amp;IF(DAY(Variables!$A$2)&lt;10,0,"")&amp;DAY(Variables!$A$2)</f>
        <v>-13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7" s="30" t="e">
        <f>VLOOKUP(B17,'Train Runs'!$A$13:$A$99953,1,FALSE)</f>
        <v>#N/A</v>
      </c>
    </row>
    <row r="18" spans="1:10" x14ac:dyDescent="0.25">
      <c r="A18" s="186"/>
      <c r="B18" s="43" t="str">
        <f>A18&amp;"-"&amp;IF(DAY(Variables!$A$2)&lt;10,0,"")&amp;DAY(Variables!$A$2)</f>
        <v>-13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8" s="30" t="e">
        <f>VLOOKUP(B18,'Train Runs'!$A$13:$A$99953,1,FALSE)</f>
        <v>#N/A</v>
      </c>
    </row>
    <row r="19" spans="1:10" x14ac:dyDescent="0.25">
      <c r="A19" s="186"/>
      <c r="B19" s="43" t="str">
        <f>A19&amp;"-"&amp;IF(DAY(Variables!$A$2)&lt;10,0,"")&amp;DAY(Variables!$A$2)</f>
        <v>-13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9" s="30" t="e">
        <f>VLOOKUP(B19,'Train Runs'!$A$13:$A$99953,1,FALSE)</f>
        <v>#N/A</v>
      </c>
    </row>
    <row r="20" spans="1:10" x14ac:dyDescent="0.25">
      <c r="A20" s="186"/>
      <c r="B20" s="43" t="str">
        <f>A20&amp;"-"&amp;IF(DAY(Variables!$A$2)&lt;10,0,"")&amp;DAY(Variables!$A$2)</f>
        <v>-13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0" s="30" t="e">
        <f>VLOOKUP(B20,'Train Runs'!$A$13:$A$99953,1,FALSE)</f>
        <v>#N/A</v>
      </c>
    </row>
    <row r="21" spans="1:10" x14ac:dyDescent="0.25">
      <c r="A21" s="186"/>
      <c r="B21" s="43" t="str">
        <f>A21&amp;"-"&amp;IF(DAY(Variables!$A$2)&lt;10,0,"")&amp;DAY(Variables!$A$2)</f>
        <v>-13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1" s="30" t="e">
        <f>VLOOKUP(B21,'Train Runs'!$A$13:$A$99953,1,FALSE)</f>
        <v>#N/A</v>
      </c>
    </row>
    <row r="22" spans="1:10" x14ac:dyDescent="0.25">
      <c r="A22" s="186"/>
      <c r="B22" s="43" t="str">
        <f>A22&amp;"-"&amp;IF(DAY(Variables!$A$2)&lt;10,0,"")&amp;DAY(Variables!$A$2)</f>
        <v>-13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2" s="30" t="e">
        <f>VLOOKUP(B22,'Train Runs'!$A$13:$A$99953,1,FALSE)</f>
        <v>#N/A</v>
      </c>
    </row>
    <row r="23" spans="1:10" x14ac:dyDescent="0.25">
      <c r="A23" s="186"/>
      <c r="B23" s="43" t="str">
        <f>A23&amp;"-"&amp;IF(DAY(Variables!$A$2)&lt;10,0,"")&amp;DAY(Variables!$A$2)</f>
        <v>-13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3" s="30" t="e">
        <f>VLOOKUP(B23,'Train Runs'!$A$13:$A$99953,1,FALSE)</f>
        <v>#N/A</v>
      </c>
    </row>
    <row r="24" spans="1:10" x14ac:dyDescent="0.25">
      <c r="A24" s="186"/>
      <c r="B24" s="43" t="str">
        <f>A24&amp;"-"&amp;IF(DAY(Variables!$A$2)&lt;10,0,"")&amp;DAY(Variables!$A$2)</f>
        <v>-13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4" s="30" t="e">
        <f>VLOOKUP(B24,'Train Runs'!$A$13:$A$99953,1,FALSE)</f>
        <v>#N/A</v>
      </c>
    </row>
    <row r="25" spans="1:10" x14ac:dyDescent="0.25">
      <c r="A25" s="186"/>
      <c r="B25" s="43" t="str">
        <f>A25&amp;"-"&amp;IF(DAY(Variables!$A$2)&lt;10,0,"")&amp;DAY(Variables!$A$2)</f>
        <v>-13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5" s="30" t="e">
        <f>VLOOKUP(B25,'Train Runs'!$A$13:$A$99953,1,FALSE)</f>
        <v>#N/A</v>
      </c>
    </row>
    <row r="26" spans="1:10" x14ac:dyDescent="0.25">
      <c r="A26" s="186"/>
      <c r="B26" s="43" t="str">
        <f>A26&amp;"-"&amp;IF(DAY(Variables!$A$2)&lt;10,0,"")&amp;DAY(Variables!$A$2)</f>
        <v>-13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6" s="30" t="e">
        <f>VLOOKUP(B26,'Train Runs'!$A$13:$A$99953,1,FALSE)</f>
        <v>#N/A</v>
      </c>
    </row>
    <row r="27" spans="1:10" x14ac:dyDescent="0.25">
      <c r="A27" s="186"/>
      <c r="B27" s="43" t="str">
        <f>A27&amp;"-"&amp;IF(DAY(Variables!$A$2)&lt;10,0,"")&amp;DAY(Variables!$A$2)</f>
        <v>-13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7" s="30" t="e">
        <f>VLOOKUP(B27,'Train Runs'!$A$13:$A$99953,1,FALSE)</f>
        <v>#N/A</v>
      </c>
    </row>
    <row r="28" spans="1:10" x14ac:dyDescent="0.25">
      <c r="A28" s="186"/>
      <c r="B28" s="43" t="str">
        <f>A28&amp;"-"&amp;IF(DAY(Variables!$A$2)&lt;10,0,"")&amp;DAY(Variables!$A$2)</f>
        <v>-13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8" s="30" t="e">
        <f>VLOOKUP(B28,'Train Runs'!$A$13:$A$99953,1,FALSE)</f>
        <v>#N/A</v>
      </c>
    </row>
    <row r="29" spans="1:10" x14ac:dyDescent="0.25">
      <c r="A29" s="186"/>
      <c r="B29" s="43" t="str">
        <f>A29&amp;"-"&amp;IF(DAY(Variables!$A$2)&lt;10,0,"")&amp;DAY(Variables!$A$2)</f>
        <v>-13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9" s="30" t="e">
        <f>VLOOKUP(B29,'Train Runs'!$A$13:$A$99953,1,FALSE)</f>
        <v>#N/A</v>
      </c>
    </row>
    <row r="30" spans="1:10" x14ac:dyDescent="0.25">
      <c r="A30" s="186"/>
      <c r="B30" s="43" t="str">
        <f>A30&amp;"-"&amp;IF(DAY(Variables!$A$2)&lt;10,0,"")&amp;DAY(Variables!$A$2)</f>
        <v>-13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0" s="30" t="e">
        <f>VLOOKUP(B30,'Train Runs'!$A$13:$A$99953,1,FALSE)</f>
        <v>#N/A</v>
      </c>
    </row>
    <row r="31" spans="1:10" x14ac:dyDescent="0.25">
      <c r="A31" s="186"/>
      <c r="B31" s="43" t="str">
        <f>A31&amp;"-"&amp;IF(DAY(Variables!$A$2)&lt;10,0,"")&amp;DAY(Variables!$A$2)</f>
        <v>-13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1" s="30" t="e">
        <f>VLOOKUP(B31,'Train Runs'!$A$13:$A$99953,1,FALSE)</f>
        <v>#N/A</v>
      </c>
    </row>
    <row r="32" spans="1:10" x14ac:dyDescent="0.25">
      <c r="A32" s="186"/>
      <c r="B32" s="43" t="str">
        <f>A32&amp;"-"&amp;IF(DAY(Variables!$A$2)&lt;10,0,"")&amp;DAY(Variables!$A$2)</f>
        <v>-13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2" s="30" t="e">
        <f>VLOOKUP(B32,'Train Runs'!$A$13:$A$99953,1,FALSE)</f>
        <v>#N/A</v>
      </c>
    </row>
    <row r="33" spans="1:10" x14ac:dyDescent="0.25">
      <c r="A33" s="186"/>
      <c r="B33" s="43" t="str">
        <f>A33&amp;"-"&amp;IF(DAY(Variables!$A$2)&lt;10,0,"")&amp;DAY(Variables!$A$2)</f>
        <v>-13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3" s="30" t="e">
        <f>VLOOKUP(B33,'Train Runs'!$A$13:$A$99953,1,FALSE)</f>
        <v>#N/A</v>
      </c>
    </row>
    <row r="34" spans="1:10" x14ac:dyDescent="0.25">
      <c r="A34" s="186"/>
      <c r="B34" s="43" t="str">
        <f>A34&amp;"-"&amp;IF(DAY(Variables!$A$2)&lt;10,0,"")&amp;DAY(Variables!$A$2)</f>
        <v>-13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4" s="30" t="e">
        <f>VLOOKUP(B34,'Train Runs'!$A$13:$A$99953,1,FALSE)</f>
        <v>#N/A</v>
      </c>
    </row>
    <row r="35" spans="1:10" x14ac:dyDescent="0.25">
      <c r="A35" s="186"/>
      <c r="B35" s="43" t="str">
        <f>A35&amp;"-"&amp;IF(DAY(Variables!$A$2)&lt;10,0,"")&amp;DAY(Variables!$A$2)</f>
        <v>-13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5" s="30" t="e">
        <f>VLOOKUP(B35,'Train Runs'!$A$13:$A$99953,1,FALSE)</f>
        <v>#N/A</v>
      </c>
    </row>
    <row r="36" spans="1:10" x14ac:dyDescent="0.25">
      <c r="A36" s="186"/>
      <c r="B36" s="43" t="str">
        <f>A36&amp;"-"&amp;IF(DAY(Variables!$A$2)&lt;10,0,"")&amp;DAY(Variables!$A$2)</f>
        <v>-13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6" s="30" t="e">
        <f>VLOOKUP(B36,'Train Runs'!$A$13:$A$99953,1,FALSE)</f>
        <v>#N/A</v>
      </c>
    </row>
    <row r="37" spans="1:10" x14ac:dyDescent="0.25">
      <c r="A37" s="186"/>
      <c r="B37" s="43" t="str">
        <f>A37&amp;"-"&amp;IF(DAY(Variables!$A$2)&lt;10,0,"")&amp;DAY(Variables!$A$2)</f>
        <v>-13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7" s="30" t="e">
        <f>VLOOKUP(B37,'Train Runs'!$A$13:$A$99953,1,FALSE)</f>
        <v>#N/A</v>
      </c>
    </row>
    <row r="38" spans="1:10" x14ac:dyDescent="0.25">
      <c r="A38" s="186"/>
      <c r="B38" s="43" t="str">
        <f>A38&amp;"-"&amp;IF(DAY(Variables!$A$2)&lt;10,0,"")&amp;DAY(Variables!$A$2)</f>
        <v>-13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8" s="30" t="e">
        <f>VLOOKUP(B38,'Train Runs'!$A$13:$A$99953,1,FALSE)</f>
        <v>#N/A</v>
      </c>
    </row>
    <row r="39" spans="1:10" x14ac:dyDescent="0.25">
      <c r="A39" s="186"/>
      <c r="B39" s="43" t="str">
        <f>A39&amp;"-"&amp;IF(DAY(Variables!$A$2)&lt;10,0,"")&amp;DAY(Variables!$A$2)</f>
        <v>-13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9" s="30" t="e">
        <f>VLOOKUP(B39,'Train Runs'!$A$13:$A$99953,1,FALSE)</f>
        <v>#N/A</v>
      </c>
    </row>
    <row r="40" spans="1:10" x14ac:dyDescent="0.25">
      <c r="A40" s="186"/>
      <c r="B40" s="43" t="str">
        <f>A40&amp;"-"&amp;IF(DAY(Variables!$A$2)&lt;10,0,"")&amp;DAY(Variables!$A$2)</f>
        <v>-13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0" s="30" t="e">
        <f>VLOOKUP(B40,'Train Runs'!$A$13:$A$99953,1,FALSE)</f>
        <v>#N/A</v>
      </c>
    </row>
    <row r="41" spans="1:10" x14ac:dyDescent="0.25">
      <c r="A41" s="186"/>
      <c r="B41" s="43" t="str">
        <f>A41&amp;"-"&amp;IF(DAY(Variables!$A$2)&lt;10,0,"")&amp;DAY(Variables!$A$2)</f>
        <v>-13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1" s="30" t="e">
        <f>VLOOKUP(B41,'Train Runs'!$A$13:$A$99953,1,FALSE)</f>
        <v>#N/A</v>
      </c>
    </row>
    <row r="42" spans="1:10" x14ac:dyDescent="0.25">
      <c r="A42" s="186"/>
      <c r="B42" s="43" t="str">
        <f>A42&amp;"-"&amp;IF(DAY(Variables!$A$2)&lt;10,0,"")&amp;DAY(Variables!$A$2)</f>
        <v>-13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2" s="30" t="e">
        <f>VLOOKUP(B42,'Train Runs'!$A$13:$A$99953,1,FALSE)</f>
        <v>#N/A</v>
      </c>
    </row>
    <row r="43" spans="1:10" x14ac:dyDescent="0.25">
      <c r="A43" s="186"/>
      <c r="B43" s="43" t="str">
        <f>A43&amp;"-"&amp;IF(DAY(Variables!$A$2)&lt;10,0,"")&amp;DAY(Variables!$A$2)</f>
        <v>-13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3" s="30" t="e">
        <f>VLOOKUP(B43,'Train Runs'!$A$13:$A$99953,1,FALSE)</f>
        <v>#N/A</v>
      </c>
    </row>
    <row r="44" spans="1:10" x14ac:dyDescent="0.25">
      <c r="A44" s="186"/>
      <c r="B44" s="43" t="str">
        <f>A44&amp;"-"&amp;IF(DAY(Variables!$A$2)&lt;10,0,"")&amp;DAY(Variables!$A$2)</f>
        <v>-13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4" s="30" t="e">
        <f>VLOOKUP(B44,'Train Runs'!$A$13:$A$99953,1,FALSE)</f>
        <v>#N/A</v>
      </c>
    </row>
    <row r="45" spans="1:10" x14ac:dyDescent="0.25">
      <c r="A45" s="186"/>
      <c r="B45" s="43" t="str">
        <f>A45&amp;"-"&amp;IF(DAY(Variables!$A$2)&lt;10,0,"")&amp;DAY(Variables!$A$2)</f>
        <v>-13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5" s="30" t="e">
        <f>VLOOKUP(B45,'Train Runs'!$A$13:$A$99953,1,FALSE)</f>
        <v>#N/A</v>
      </c>
    </row>
    <row r="46" spans="1:10" x14ac:dyDescent="0.25">
      <c r="A46" s="186"/>
      <c r="B46" s="43" t="str">
        <f>A46&amp;"-"&amp;IF(DAY(Variables!$A$2)&lt;10,0,"")&amp;DAY(Variables!$A$2)</f>
        <v>-13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6" s="30" t="e">
        <f>VLOOKUP(B46,'Train Runs'!$A$13:$A$99953,1,FALSE)</f>
        <v>#N/A</v>
      </c>
    </row>
    <row r="47" spans="1:10" x14ac:dyDescent="0.25">
      <c r="A47" s="186"/>
      <c r="B47" s="43" t="str">
        <f>A47&amp;"-"&amp;IF(DAY(Variables!$A$2)&lt;10,0,"")&amp;DAY(Variables!$A$2)</f>
        <v>-13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7" s="30" t="e">
        <f>VLOOKUP(B47,'Train Runs'!$A$13:$A$99953,1,FALSE)</f>
        <v>#N/A</v>
      </c>
    </row>
    <row r="48" spans="1:10" x14ac:dyDescent="0.25">
      <c r="A48" s="186"/>
      <c r="B48" s="43" t="str">
        <f>A48&amp;"-"&amp;IF(DAY(Variables!$A$2)&lt;10,0,"")&amp;DAY(Variables!$A$2)</f>
        <v>-13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8" s="30" t="e">
        <f>VLOOKUP(B48,'Train Runs'!$A$13:$A$99953,1,FALSE)</f>
        <v>#N/A</v>
      </c>
    </row>
    <row r="49" spans="1:10" x14ac:dyDescent="0.25">
      <c r="A49" s="186"/>
      <c r="B49" s="43" t="str">
        <f>A49&amp;"-"&amp;IF(DAY(Variables!$A$2)&lt;10,0,"")&amp;DAY(Variables!$A$2)</f>
        <v>-13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9" s="30" t="e">
        <f>VLOOKUP(B49,'Train Runs'!$A$13:$A$99953,1,FALSE)</f>
        <v>#N/A</v>
      </c>
    </row>
    <row r="50" spans="1:10" x14ac:dyDescent="0.25">
      <c r="A50" s="186"/>
      <c r="B50" s="43" t="str">
        <f>A50&amp;"-"&amp;IF(DAY(Variables!$A$2)&lt;10,0,"")&amp;DAY(Variables!$A$2)</f>
        <v>-13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ref="I50:I113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0" s="30" t="e">
        <f>VLOOKUP(B50,'Train Runs'!$A$13:$A$99953,1,FALSE)</f>
        <v>#N/A</v>
      </c>
    </row>
    <row r="51" spans="1:10" x14ac:dyDescent="0.25">
      <c r="A51" s="186"/>
      <c r="B51" s="43" t="str">
        <f>A51&amp;"-"&amp;IF(DAY(Variables!$A$2)&lt;10,0,"")&amp;DAY(Variables!$A$2)</f>
        <v>-13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1" s="30" t="e">
        <f>VLOOKUP(B51,'Train Runs'!$A$13:$A$99953,1,FALSE)</f>
        <v>#N/A</v>
      </c>
    </row>
    <row r="52" spans="1:10" x14ac:dyDescent="0.25">
      <c r="A52" s="186"/>
      <c r="B52" s="43" t="str">
        <f>A52&amp;"-"&amp;IF(DAY(Variables!$A$2)&lt;10,0,"")&amp;DAY(Variables!$A$2)</f>
        <v>-13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2" s="30" t="e">
        <f>VLOOKUP(B52,'Train Runs'!$A$13:$A$99953,1,FALSE)</f>
        <v>#N/A</v>
      </c>
    </row>
    <row r="53" spans="1:10" x14ac:dyDescent="0.25">
      <c r="A53" s="186"/>
      <c r="B53" s="43" t="str">
        <f>A53&amp;"-"&amp;IF(DAY(Variables!$A$2)&lt;10,0,"")&amp;DAY(Variables!$A$2)</f>
        <v>-13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3" s="30" t="e">
        <f>VLOOKUP(B53,'Train Runs'!$A$13:$A$99953,1,FALSE)</f>
        <v>#N/A</v>
      </c>
    </row>
    <row r="54" spans="1:10" x14ac:dyDescent="0.25">
      <c r="A54" s="186"/>
      <c r="B54" s="43" t="str">
        <f>A54&amp;"-"&amp;IF(DAY(Variables!$A$2)&lt;10,0,"")&amp;DAY(Variables!$A$2)</f>
        <v>-13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4" s="30" t="e">
        <f>VLOOKUP(B54,'Train Runs'!$A$13:$A$99953,1,FALSE)</f>
        <v>#N/A</v>
      </c>
    </row>
    <row r="55" spans="1:10" x14ac:dyDescent="0.25">
      <c r="A55" s="186"/>
      <c r="B55" s="43" t="str">
        <f>A55&amp;"-"&amp;IF(DAY(Variables!$A$2)&lt;10,0,"")&amp;DAY(Variables!$A$2)</f>
        <v>-13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5" s="30" t="e">
        <f>VLOOKUP(B55,'Train Runs'!$A$13:$A$99953,1,FALSE)</f>
        <v>#N/A</v>
      </c>
    </row>
    <row r="56" spans="1:10" x14ac:dyDescent="0.25">
      <c r="A56" s="186"/>
      <c r="B56" s="43" t="str">
        <f>A56&amp;"-"&amp;IF(DAY(Variables!$A$2)&lt;10,0,"")&amp;DAY(Variables!$A$2)</f>
        <v>-13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6" s="30" t="e">
        <f>VLOOKUP(B56,'Train Runs'!$A$13:$A$99953,1,FALSE)</f>
        <v>#N/A</v>
      </c>
    </row>
    <row r="57" spans="1:10" x14ac:dyDescent="0.25">
      <c r="A57" s="186"/>
      <c r="B57" s="43" t="str">
        <f>A57&amp;"-"&amp;IF(DAY(Variables!$A$2)&lt;10,0,"")&amp;DAY(Variables!$A$2)</f>
        <v>-13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7" s="30" t="e">
        <f>VLOOKUP(B57,'Train Runs'!$A$13:$A$99953,1,FALSE)</f>
        <v>#N/A</v>
      </c>
    </row>
    <row r="58" spans="1:10" x14ac:dyDescent="0.25">
      <c r="A58" s="186"/>
      <c r="B58" s="43" t="str">
        <f>A58&amp;"-"&amp;IF(DAY(Variables!$A$2)&lt;10,0,"")&amp;DAY(Variables!$A$2)</f>
        <v>-13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8" s="30" t="e">
        <f>VLOOKUP(B58,'Train Runs'!$A$13:$A$99953,1,FALSE)</f>
        <v>#N/A</v>
      </c>
    </row>
    <row r="59" spans="1:10" x14ac:dyDescent="0.25">
      <c r="A59" s="186"/>
      <c r="B59" s="43" t="str">
        <f>A59&amp;"-"&amp;IF(DAY(Variables!$A$2)&lt;10,0,"")&amp;DAY(Variables!$A$2)</f>
        <v>-13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9" s="30" t="e">
        <f>VLOOKUP(B59,'Train Runs'!$A$13:$A$99953,1,FALSE)</f>
        <v>#N/A</v>
      </c>
    </row>
    <row r="60" spans="1:10" x14ac:dyDescent="0.25">
      <c r="A60" s="186"/>
      <c r="B60" s="43" t="str">
        <f>A60&amp;"-"&amp;IF(DAY(Variables!$A$2)&lt;10,0,"")&amp;DAY(Variables!$A$2)</f>
        <v>-13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0" s="30" t="e">
        <f>VLOOKUP(B60,'Train Runs'!$A$13:$A$99953,1,FALSE)</f>
        <v>#N/A</v>
      </c>
    </row>
    <row r="61" spans="1:10" x14ac:dyDescent="0.25">
      <c r="A61" s="186"/>
      <c r="B61" s="43" t="str">
        <f>A61&amp;"-"&amp;IF(DAY(Variables!$A$2)&lt;10,0,"")&amp;DAY(Variables!$A$2)</f>
        <v>-13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1" s="30" t="e">
        <f>VLOOKUP(B61,'Train Runs'!$A$13:$A$99953,1,FALSE)</f>
        <v>#N/A</v>
      </c>
    </row>
    <row r="62" spans="1:10" x14ac:dyDescent="0.25">
      <c r="A62" s="186"/>
      <c r="B62" s="43" t="str">
        <f>A62&amp;"-"&amp;IF(DAY(Variables!$A$2)&lt;10,0,"")&amp;DAY(Variables!$A$2)</f>
        <v>-13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2" s="30" t="e">
        <f>VLOOKUP(B62,'Train Runs'!$A$13:$A$99953,1,FALSE)</f>
        <v>#N/A</v>
      </c>
    </row>
    <row r="63" spans="1:10" x14ac:dyDescent="0.25">
      <c r="A63" s="186"/>
      <c r="B63" s="43" t="str">
        <f>A63&amp;"-"&amp;IF(DAY(Variables!$A$2)&lt;10,0,"")&amp;DAY(Variables!$A$2)</f>
        <v>-13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3" s="30" t="e">
        <f>VLOOKUP(B63,'Train Runs'!$A$13:$A$99953,1,FALSE)</f>
        <v>#N/A</v>
      </c>
    </row>
    <row r="64" spans="1:10" x14ac:dyDescent="0.25">
      <c r="A64" s="186"/>
      <c r="B64" s="43" t="str">
        <f>A64&amp;"-"&amp;IF(DAY(Variables!$A$2)&lt;10,0,"")&amp;DAY(Variables!$A$2)</f>
        <v>-13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4" s="30" t="e">
        <f>VLOOKUP(B64,'Train Runs'!$A$13:$A$99953,1,FALSE)</f>
        <v>#N/A</v>
      </c>
    </row>
    <row r="65" spans="1:10" x14ac:dyDescent="0.25">
      <c r="A65" s="186"/>
      <c r="B65" s="43" t="str">
        <f>A65&amp;"-"&amp;IF(DAY(Variables!$A$2)&lt;10,0,"")&amp;DAY(Variables!$A$2)</f>
        <v>-13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5" s="30" t="e">
        <f>VLOOKUP(B65,'Train Runs'!$A$13:$A$99953,1,FALSE)</f>
        <v>#N/A</v>
      </c>
    </row>
    <row r="66" spans="1:10" x14ac:dyDescent="0.25">
      <c r="A66" s="186"/>
      <c r="B66" s="43" t="str">
        <f>A66&amp;"-"&amp;IF(DAY(Variables!$A$2)&lt;10,0,"")&amp;DAY(Variables!$A$2)</f>
        <v>-13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6" s="30" t="e">
        <f>VLOOKUP(B66,'Train Runs'!$A$13:$A$99953,1,FALSE)</f>
        <v>#N/A</v>
      </c>
    </row>
    <row r="67" spans="1:10" x14ac:dyDescent="0.25">
      <c r="A67" s="186"/>
      <c r="B67" s="43" t="str">
        <f>A67&amp;"-"&amp;IF(DAY(Variables!$A$2)&lt;10,0,"")&amp;DAY(Variables!$A$2)</f>
        <v>-13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7" s="30" t="e">
        <f>VLOOKUP(B67,'Train Runs'!$A$13:$A$99953,1,FALSE)</f>
        <v>#N/A</v>
      </c>
    </row>
    <row r="68" spans="1:10" x14ac:dyDescent="0.25">
      <c r="A68" s="186"/>
      <c r="B68" s="43" t="str">
        <f>A68&amp;"-"&amp;IF(DAY(Variables!$A$2)&lt;10,0,"")&amp;DAY(Variables!$A$2)</f>
        <v>-13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8" s="30" t="e">
        <f>VLOOKUP(B68,'Train Runs'!$A$13:$A$99953,1,FALSE)</f>
        <v>#N/A</v>
      </c>
    </row>
    <row r="69" spans="1:10" x14ac:dyDescent="0.25">
      <c r="A69" s="186"/>
      <c r="B69" s="43" t="str">
        <f>A69&amp;"-"&amp;IF(DAY(Variables!$A$2)&lt;10,0,"")&amp;DAY(Variables!$A$2)</f>
        <v>-13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9" s="30" t="e">
        <f>VLOOKUP(B69,'Train Runs'!$A$13:$A$99953,1,FALSE)</f>
        <v>#N/A</v>
      </c>
    </row>
    <row r="70" spans="1:10" x14ac:dyDescent="0.25">
      <c r="A70" s="186"/>
      <c r="B70" s="43" t="str">
        <f>A70&amp;"-"&amp;IF(DAY(Variables!$A$2)&lt;10,0,"")&amp;DAY(Variables!$A$2)</f>
        <v>-13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0" s="30" t="e">
        <f>VLOOKUP(B70,'Train Runs'!$A$13:$A$99953,1,FALSE)</f>
        <v>#N/A</v>
      </c>
    </row>
    <row r="71" spans="1:10" x14ac:dyDescent="0.25">
      <c r="A71" s="186"/>
      <c r="B71" s="43" t="str">
        <f>A71&amp;"-"&amp;IF(DAY(Variables!$A$2)&lt;10,0,"")&amp;DAY(Variables!$A$2)</f>
        <v>-13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1" s="30" t="e">
        <f>VLOOKUP(B71,'Train Runs'!$A$13:$A$99953,1,FALSE)</f>
        <v>#N/A</v>
      </c>
    </row>
    <row r="72" spans="1:10" x14ac:dyDescent="0.25">
      <c r="A72" s="186"/>
      <c r="B72" s="43" t="str">
        <f>A72&amp;"-"&amp;IF(DAY(Variables!$A$2)&lt;10,0,"")&amp;DAY(Variables!$A$2)</f>
        <v>-13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2" s="30" t="e">
        <f>VLOOKUP(B72,'Train Runs'!$A$13:$A$99953,1,FALSE)</f>
        <v>#N/A</v>
      </c>
    </row>
    <row r="73" spans="1:10" x14ac:dyDescent="0.25">
      <c r="A73" s="186"/>
      <c r="B73" s="43" t="str">
        <f>A73&amp;"-"&amp;IF(DAY(Variables!$A$2)&lt;10,0,"")&amp;DAY(Variables!$A$2)</f>
        <v>-13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3" s="30" t="e">
        <f>VLOOKUP(B73,'Train Runs'!$A$13:$A$99953,1,FALSE)</f>
        <v>#N/A</v>
      </c>
    </row>
    <row r="74" spans="1:10" x14ac:dyDescent="0.25">
      <c r="A74" s="186"/>
      <c r="B74" s="43" t="str">
        <f>A74&amp;"-"&amp;IF(DAY(Variables!$A$2)&lt;10,0,"")&amp;DAY(Variables!$A$2)</f>
        <v>-13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4" s="30" t="e">
        <f>VLOOKUP(B74,'Train Runs'!$A$13:$A$99953,1,FALSE)</f>
        <v>#N/A</v>
      </c>
    </row>
    <row r="75" spans="1:10" x14ac:dyDescent="0.25">
      <c r="A75" s="186"/>
      <c r="B75" s="43" t="str">
        <f>A75&amp;"-"&amp;IF(DAY(Variables!$A$2)&lt;10,0,"")&amp;DAY(Variables!$A$2)</f>
        <v>-13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5" s="30" t="e">
        <f>VLOOKUP(B75,'Train Runs'!$A$13:$A$99953,1,FALSE)</f>
        <v>#N/A</v>
      </c>
    </row>
    <row r="76" spans="1:10" x14ac:dyDescent="0.25">
      <c r="A76" s="186"/>
      <c r="B76" s="43" t="str">
        <f>A76&amp;"-"&amp;IF(DAY(Variables!$A$2)&lt;10,0,"")&amp;DAY(Variables!$A$2)</f>
        <v>-13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6" s="30" t="e">
        <f>VLOOKUP(B76,'Train Runs'!$A$13:$A$99953,1,FALSE)</f>
        <v>#N/A</v>
      </c>
    </row>
    <row r="77" spans="1:10" x14ac:dyDescent="0.25">
      <c r="A77" s="186"/>
      <c r="B77" s="43" t="str">
        <f>A77&amp;"-"&amp;IF(DAY(Variables!$A$2)&lt;10,0,"")&amp;DAY(Variables!$A$2)</f>
        <v>-13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7" s="30" t="e">
        <f>VLOOKUP(B77,'Train Runs'!$A$13:$A$99953,1,FALSE)</f>
        <v>#N/A</v>
      </c>
    </row>
    <row r="78" spans="1:10" x14ac:dyDescent="0.25">
      <c r="A78" s="186"/>
      <c r="B78" s="43" t="str">
        <f>A78&amp;"-"&amp;IF(DAY(Variables!$A$2)&lt;10,0,"")&amp;DAY(Variables!$A$2)</f>
        <v>-13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8" s="30" t="e">
        <f>VLOOKUP(B78,'Train Runs'!$A$13:$A$99953,1,FALSE)</f>
        <v>#N/A</v>
      </c>
    </row>
    <row r="79" spans="1:10" x14ac:dyDescent="0.25">
      <c r="A79" s="186"/>
      <c r="B79" s="43" t="str">
        <f>A79&amp;"-"&amp;IF(DAY(Variables!$A$2)&lt;10,0,"")&amp;DAY(Variables!$A$2)</f>
        <v>-13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9" s="30" t="e">
        <f>VLOOKUP(B79,'Train Runs'!$A$13:$A$99953,1,FALSE)</f>
        <v>#N/A</v>
      </c>
    </row>
    <row r="80" spans="1:10" x14ac:dyDescent="0.25">
      <c r="A80" s="186"/>
      <c r="B80" s="43" t="str">
        <f>A80&amp;"-"&amp;IF(DAY(Variables!$A$2)&lt;10,0,"")&amp;DAY(Variables!$A$2)</f>
        <v>-13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0" s="30" t="e">
        <f>VLOOKUP(B80,'Train Runs'!$A$13:$A$99953,1,FALSE)</f>
        <v>#N/A</v>
      </c>
    </row>
    <row r="81" spans="1:10" x14ac:dyDescent="0.25">
      <c r="A81" s="186"/>
      <c r="B81" s="43" t="str">
        <f>A81&amp;"-"&amp;IF(DAY(Variables!$A$2)&lt;10,0,"")&amp;DAY(Variables!$A$2)</f>
        <v>-13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1" s="30" t="e">
        <f>VLOOKUP(B81,'Train Runs'!$A$13:$A$99953,1,FALSE)</f>
        <v>#N/A</v>
      </c>
    </row>
    <row r="82" spans="1:10" x14ac:dyDescent="0.25">
      <c r="A82" s="186"/>
      <c r="B82" s="43" t="str">
        <f>A82&amp;"-"&amp;IF(DAY(Variables!$A$2)&lt;10,0,"")&amp;DAY(Variables!$A$2)</f>
        <v>-13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2" s="30" t="e">
        <f>VLOOKUP(B82,'Train Runs'!$A$13:$A$99953,1,FALSE)</f>
        <v>#N/A</v>
      </c>
    </row>
    <row r="83" spans="1:10" x14ac:dyDescent="0.25">
      <c r="A83" s="186"/>
      <c r="B83" s="43" t="str">
        <f>A83&amp;"-"&amp;IF(DAY(Variables!$A$2)&lt;10,0,"")&amp;DAY(Variables!$A$2)</f>
        <v>-13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3" s="30" t="e">
        <f>VLOOKUP(B83,'Train Runs'!$A$13:$A$99953,1,FALSE)</f>
        <v>#N/A</v>
      </c>
    </row>
    <row r="84" spans="1:10" x14ac:dyDescent="0.25">
      <c r="A84" s="186"/>
      <c r="B84" s="43" t="str">
        <f>A84&amp;"-"&amp;IF(DAY(Variables!$A$2)&lt;10,0,"")&amp;DAY(Variables!$A$2)</f>
        <v>-13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4" s="30" t="e">
        <f>VLOOKUP(B84,'Train Runs'!$A$13:$A$99953,1,FALSE)</f>
        <v>#N/A</v>
      </c>
    </row>
    <row r="85" spans="1:10" x14ac:dyDescent="0.25">
      <c r="A85" s="186"/>
      <c r="B85" s="43" t="str">
        <f>A85&amp;"-"&amp;IF(DAY(Variables!$A$2)&lt;10,0,"")&amp;DAY(Variables!$A$2)</f>
        <v>-13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5" s="30" t="e">
        <f>VLOOKUP(B85,'Train Runs'!$A$13:$A$99953,1,FALSE)</f>
        <v>#N/A</v>
      </c>
    </row>
    <row r="86" spans="1:10" x14ac:dyDescent="0.25">
      <c r="A86" s="186"/>
      <c r="B86" s="43" t="str">
        <f>A86&amp;"-"&amp;IF(DAY(Variables!$A$2)&lt;10,0,"")&amp;DAY(Variables!$A$2)</f>
        <v>-13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6" s="30" t="e">
        <f>VLOOKUP(B86,'Train Runs'!$A$13:$A$99953,1,FALSE)</f>
        <v>#N/A</v>
      </c>
    </row>
    <row r="87" spans="1:10" x14ac:dyDescent="0.25">
      <c r="A87" s="186"/>
      <c r="B87" s="43" t="str">
        <f>A87&amp;"-"&amp;IF(DAY(Variables!$A$2)&lt;10,0,"")&amp;DAY(Variables!$A$2)</f>
        <v>-13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7" s="30" t="e">
        <f>VLOOKUP(B87,'Train Runs'!$A$13:$A$99953,1,FALSE)</f>
        <v>#N/A</v>
      </c>
    </row>
    <row r="88" spans="1:10" x14ac:dyDescent="0.25">
      <c r="A88" s="186"/>
      <c r="B88" s="43" t="str">
        <f>A88&amp;"-"&amp;IF(DAY(Variables!$A$2)&lt;10,0,"")&amp;DAY(Variables!$A$2)</f>
        <v>-13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8" s="30" t="e">
        <f>VLOOKUP(B88,'Train Runs'!$A$13:$A$99953,1,FALSE)</f>
        <v>#N/A</v>
      </c>
    </row>
    <row r="89" spans="1:10" x14ac:dyDescent="0.25">
      <c r="A89" s="186"/>
      <c r="B89" s="43" t="str">
        <f>A89&amp;"-"&amp;IF(DAY(Variables!$A$2)&lt;10,0,"")&amp;DAY(Variables!$A$2)</f>
        <v>-13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9" s="30" t="e">
        <f>VLOOKUP(B89,'Train Runs'!$A$13:$A$99953,1,FALSE)</f>
        <v>#N/A</v>
      </c>
    </row>
    <row r="90" spans="1:10" x14ac:dyDescent="0.25">
      <c r="A90" s="186"/>
      <c r="B90" s="43" t="str">
        <f>A90&amp;"-"&amp;IF(DAY(Variables!$A$2)&lt;10,0,"")&amp;DAY(Variables!$A$2)</f>
        <v>-13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0" s="30" t="e">
        <f>VLOOKUP(B90,'Train Runs'!$A$13:$A$99953,1,FALSE)</f>
        <v>#N/A</v>
      </c>
    </row>
    <row r="91" spans="1:10" x14ac:dyDescent="0.25">
      <c r="A91" s="186"/>
      <c r="B91" s="43" t="str">
        <f>A91&amp;"-"&amp;IF(DAY(Variables!$A$2)&lt;10,0,"")&amp;DAY(Variables!$A$2)</f>
        <v>-13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1" s="30" t="e">
        <f>VLOOKUP(B91,'Train Runs'!$A$13:$A$99953,1,FALSE)</f>
        <v>#N/A</v>
      </c>
    </row>
    <row r="92" spans="1:10" x14ac:dyDescent="0.25">
      <c r="A92" s="186"/>
      <c r="B92" s="43" t="str">
        <f>A92&amp;"-"&amp;IF(DAY(Variables!$A$2)&lt;10,0,"")&amp;DAY(Variables!$A$2)</f>
        <v>-13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2" s="30" t="e">
        <f>VLOOKUP(B92,'Train Runs'!$A$13:$A$99953,1,FALSE)</f>
        <v>#N/A</v>
      </c>
    </row>
    <row r="93" spans="1:10" x14ac:dyDescent="0.25">
      <c r="A93" s="186"/>
      <c r="B93" s="43" t="str">
        <f>A93&amp;"-"&amp;IF(DAY(Variables!$A$2)&lt;10,0,"")&amp;DAY(Variables!$A$2)</f>
        <v>-13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3" s="30" t="e">
        <f>VLOOKUP(B93,'Train Runs'!$A$13:$A$99953,1,FALSE)</f>
        <v>#N/A</v>
      </c>
    </row>
    <row r="94" spans="1:10" x14ac:dyDescent="0.25">
      <c r="A94" s="186"/>
      <c r="B94" s="43" t="str">
        <f>A94&amp;"-"&amp;IF(DAY(Variables!$A$2)&lt;10,0,"")&amp;DAY(Variables!$A$2)</f>
        <v>-13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4" s="30" t="e">
        <f>VLOOKUP(B94,'Train Runs'!$A$13:$A$99953,1,FALSE)</f>
        <v>#N/A</v>
      </c>
    </row>
    <row r="95" spans="1:10" x14ac:dyDescent="0.25">
      <c r="A95" s="186"/>
      <c r="B95" s="43" t="str">
        <f>A95&amp;"-"&amp;IF(DAY(Variables!$A$2)&lt;10,0,"")&amp;DAY(Variables!$A$2)</f>
        <v>-13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5" s="30" t="e">
        <f>VLOOKUP(B95,'Train Runs'!$A$13:$A$99953,1,FALSE)</f>
        <v>#N/A</v>
      </c>
    </row>
    <row r="96" spans="1:10" x14ac:dyDescent="0.25">
      <c r="A96" s="186"/>
      <c r="B96" s="43" t="str">
        <f>A96&amp;"-"&amp;IF(DAY(Variables!$A$2)&lt;10,0,"")&amp;DAY(Variables!$A$2)</f>
        <v>-13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6" s="30" t="e">
        <f>VLOOKUP(B96,'Train Runs'!$A$13:$A$99953,1,FALSE)</f>
        <v>#N/A</v>
      </c>
    </row>
    <row r="97" spans="1:10" x14ac:dyDescent="0.25">
      <c r="A97" s="186"/>
      <c r="B97" s="43" t="str">
        <f>A97&amp;"-"&amp;IF(DAY(Variables!$A$2)&lt;10,0,"")&amp;DAY(Variables!$A$2)</f>
        <v>-13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7" s="30" t="e">
        <f>VLOOKUP(B97,'Train Runs'!$A$13:$A$99953,1,FALSE)</f>
        <v>#N/A</v>
      </c>
    </row>
    <row r="98" spans="1:10" x14ac:dyDescent="0.25">
      <c r="A98" s="186"/>
      <c r="B98" s="43" t="str">
        <f>A98&amp;"-"&amp;IF(DAY(Variables!$A$2)&lt;10,0,"")&amp;DAY(Variables!$A$2)</f>
        <v>-13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8" s="30" t="e">
        <f>VLOOKUP(B98,'Train Runs'!$A$13:$A$99953,1,FALSE)</f>
        <v>#N/A</v>
      </c>
    </row>
    <row r="99" spans="1:10" x14ac:dyDescent="0.25">
      <c r="A99" s="186"/>
      <c r="B99" s="43" t="str">
        <f>A99&amp;"-"&amp;IF(DAY(Variables!$A$2)&lt;10,0,"")&amp;DAY(Variables!$A$2)</f>
        <v>-13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9" s="30" t="e">
        <f>VLOOKUP(B99,'Train Runs'!$A$13:$A$99953,1,FALSE)</f>
        <v>#N/A</v>
      </c>
    </row>
    <row r="100" spans="1:10" x14ac:dyDescent="0.25">
      <c r="A100" s="186"/>
      <c r="B100" s="43" t="str">
        <f>A100&amp;"-"&amp;IF(DAY(Variables!$A$2)&lt;10,0,"")&amp;DAY(Variables!$A$2)</f>
        <v>-13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0" s="30" t="e">
        <f>VLOOKUP(B100,'Train Runs'!$A$13:$A$99953,1,FALSE)</f>
        <v>#N/A</v>
      </c>
    </row>
    <row r="101" spans="1:10" x14ac:dyDescent="0.25">
      <c r="A101" s="186"/>
      <c r="B101" s="43" t="str">
        <f>A101&amp;"-"&amp;IF(DAY(Variables!$A$2)&lt;10,0,"")&amp;DAY(Variables!$A$2)</f>
        <v>-13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1" s="30" t="e">
        <f>VLOOKUP(B101,'Train Runs'!$A$13:$A$99953,1,FALSE)</f>
        <v>#N/A</v>
      </c>
    </row>
    <row r="102" spans="1:10" x14ac:dyDescent="0.25">
      <c r="A102" s="186"/>
      <c r="B102" s="43" t="str">
        <f>A102&amp;"-"&amp;IF(DAY(Variables!$A$2)&lt;10,0,"")&amp;DAY(Variables!$A$2)</f>
        <v>-13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2" s="30" t="e">
        <f>VLOOKUP(B102,'Train Runs'!$A$13:$A$99953,1,FALSE)</f>
        <v>#N/A</v>
      </c>
    </row>
    <row r="103" spans="1:10" x14ac:dyDescent="0.25">
      <c r="A103" s="186"/>
      <c r="B103" s="43" t="str">
        <f>A103&amp;"-"&amp;IF(DAY(Variables!$A$2)&lt;10,0,"")&amp;DAY(Variables!$A$2)</f>
        <v>-13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3" s="30" t="e">
        <f>VLOOKUP(B103,'Train Runs'!$A$13:$A$99953,1,FALSE)</f>
        <v>#N/A</v>
      </c>
    </row>
    <row r="104" spans="1:10" x14ac:dyDescent="0.25">
      <c r="A104" s="186"/>
      <c r="B104" s="43" t="str">
        <f>A104&amp;"-"&amp;IF(DAY(Variables!$A$2)&lt;10,0,"")&amp;DAY(Variables!$A$2)</f>
        <v>-13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4" s="30" t="e">
        <f>VLOOKUP(B104,'Train Runs'!$A$13:$A$99953,1,FALSE)</f>
        <v>#N/A</v>
      </c>
    </row>
    <row r="105" spans="1:10" x14ac:dyDescent="0.25">
      <c r="A105" s="186"/>
      <c r="B105" s="43" t="str">
        <f>A105&amp;"-"&amp;IF(DAY(Variables!$A$2)&lt;10,0,"")&amp;DAY(Variables!$A$2)</f>
        <v>-13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5" s="30" t="e">
        <f>VLOOKUP(B105,'Train Runs'!$A$13:$A$99953,1,FALSE)</f>
        <v>#N/A</v>
      </c>
    </row>
    <row r="106" spans="1:10" x14ac:dyDescent="0.25">
      <c r="A106" s="186"/>
      <c r="B106" s="43" t="str">
        <f>A106&amp;"-"&amp;IF(DAY(Variables!$A$2)&lt;10,0,"")&amp;DAY(Variables!$A$2)</f>
        <v>-13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6" s="30" t="e">
        <f>VLOOKUP(B106,'Train Runs'!$A$13:$A$99953,1,FALSE)</f>
        <v>#N/A</v>
      </c>
    </row>
    <row r="107" spans="1:10" x14ac:dyDescent="0.25">
      <c r="A107" s="186"/>
      <c r="B107" s="43" t="str">
        <f>A107&amp;"-"&amp;IF(DAY(Variables!$A$2)&lt;10,0,"")&amp;DAY(Variables!$A$2)</f>
        <v>-13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7" s="30" t="e">
        <f>VLOOKUP(B107,'Train Runs'!$A$13:$A$99953,1,FALSE)</f>
        <v>#N/A</v>
      </c>
    </row>
    <row r="108" spans="1:10" x14ac:dyDescent="0.25">
      <c r="A108" s="186"/>
      <c r="B108" s="43" t="str">
        <f>A108&amp;"-"&amp;IF(DAY(Variables!$A$2)&lt;10,0,"")&amp;DAY(Variables!$A$2)</f>
        <v>-13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8" s="30" t="e">
        <f>VLOOKUP(B108,'Train Runs'!$A$13:$A$99953,1,FALSE)</f>
        <v>#N/A</v>
      </c>
    </row>
    <row r="109" spans="1:10" x14ac:dyDescent="0.25">
      <c r="A109" s="186"/>
      <c r="B109" s="43" t="str">
        <f>A109&amp;"-"&amp;IF(DAY(Variables!$A$2)&lt;10,0,"")&amp;DAY(Variables!$A$2)</f>
        <v>-13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9" s="30" t="e">
        <f>VLOOKUP(B109,'Train Runs'!$A$13:$A$99953,1,FALSE)</f>
        <v>#N/A</v>
      </c>
    </row>
    <row r="110" spans="1:10" x14ac:dyDescent="0.25">
      <c r="A110" s="186"/>
      <c r="B110" s="43" t="str">
        <f>A110&amp;"-"&amp;IF(DAY(Variables!$A$2)&lt;10,0,"")&amp;DAY(Variables!$A$2)</f>
        <v>-13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0" s="30" t="e">
        <f>VLOOKUP(B110,'Train Runs'!$A$13:$A$99953,1,FALSE)</f>
        <v>#N/A</v>
      </c>
    </row>
    <row r="111" spans="1:10" x14ac:dyDescent="0.25">
      <c r="A111" s="186"/>
      <c r="B111" s="43" t="str">
        <f>A111&amp;"-"&amp;IF(DAY(Variables!$A$2)&lt;10,0,"")&amp;DAY(Variables!$A$2)</f>
        <v>-13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1" s="30" t="e">
        <f>VLOOKUP(B111,'Train Runs'!$A$13:$A$99953,1,FALSE)</f>
        <v>#N/A</v>
      </c>
    </row>
    <row r="112" spans="1:10" x14ac:dyDescent="0.25">
      <c r="A112" s="186"/>
      <c r="B112" s="43" t="str">
        <f>A112&amp;"-"&amp;IF(DAY(Variables!$A$2)&lt;10,0,"")&amp;DAY(Variables!$A$2)</f>
        <v>-13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2" s="30" t="e">
        <f>VLOOKUP(B112,'Train Runs'!$A$13:$A$99953,1,FALSE)</f>
        <v>#N/A</v>
      </c>
    </row>
    <row r="113" spans="1:10" x14ac:dyDescent="0.25">
      <c r="A113" s="186"/>
      <c r="B113" s="43" t="str">
        <f>A113&amp;"-"&amp;IF(DAY(Variables!$A$2)&lt;10,0,"")&amp;DAY(Variables!$A$2)</f>
        <v>-13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3" s="30" t="e">
        <f>VLOOKUP(B113,'Train Runs'!$A$13:$A$99953,1,FALSE)</f>
        <v>#N/A</v>
      </c>
    </row>
    <row r="114" spans="1:10" x14ac:dyDescent="0.25">
      <c r="A114" s="186"/>
      <c r="B114" s="43" t="str">
        <f>A114&amp;"-"&amp;IF(DAY(Variables!$A$2)&lt;10,0,"")&amp;DAY(Variables!$A$2)</f>
        <v>-13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ref="I114:I120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4" s="30" t="e">
        <f>VLOOKUP(B114,'Train Runs'!$A$13:$A$99953,1,FALSE)</f>
        <v>#N/A</v>
      </c>
    </row>
    <row r="115" spans="1:10" x14ac:dyDescent="0.25">
      <c r="A115" s="186"/>
      <c r="B115" s="43" t="str">
        <f>A115&amp;"-"&amp;IF(DAY(Variables!$A$2)&lt;10,0,"")&amp;DAY(Variables!$A$2)</f>
        <v>-13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5" s="30" t="e">
        <f>VLOOKUP(B115,'Train Runs'!$A$13:$A$99953,1,FALSE)</f>
        <v>#N/A</v>
      </c>
    </row>
    <row r="116" spans="1:10" x14ac:dyDescent="0.25">
      <c r="A116" s="186"/>
      <c r="B116" s="43" t="str">
        <f>A116&amp;"-"&amp;IF(DAY(Variables!$A$2)&lt;10,0,"")&amp;DAY(Variables!$A$2)</f>
        <v>-13</v>
      </c>
      <c r="C116" s="147"/>
      <c r="D116" s="165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6" s="30" t="e">
        <f>VLOOKUP(B116,'Train Runs'!$A$13:$A$99953,1,FALSE)</f>
        <v>#N/A</v>
      </c>
    </row>
    <row r="117" spans="1:10" x14ac:dyDescent="0.25">
      <c r="A117" s="186"/>
      <c r="B117" s="43" t="str">
        <f>A117&amp;"-"&amp;IF(DAY(Variables!$A$2)&lt;10,0,"")&amp;DAY(Variables!$A$2)</f>
        <v>-13</v>
      </c>
      <c r="C117" s="147"/>
      <c r="D117" s="165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7" s="30" t="e">
        <f>VLOOKUP(B117,'Train Runs'!$A$13:$A$99953,1,FALSE)</f>
        <v>#N/A</v>
      </c>
    </row>
    <row r="118" spans="1:10" x14ac:dyDescent="0.25">
      <c r="A118" s="186"/>
      <c r="B118" s="43" t="str">
        <f>A118&amp;"-"&amp;IF(DAY(Variables!$A$2)&lt;10,0,"")&amp;DAY(Variables!$A$2)</f>
        <v>-13</v>
      </c>
      <c r="C118" s="147"/>
      <c r="D118" s="165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8" s="30" t="e">
        <f>VLOOKUP(B118,'Train Runs'!$A$13:$A$99953,1,FALSE)</f>
        <v>#N/A</v>
      </c>
    </row>
    <row r="119" spans="1:10" x14ac:dyDescent="0.25">
      <c r="A119" s="186"/>
      <c r="B119" s="43" t="str">
        <f>A119&amp;"-"&amp;IF(DAY(Variables!$A$2)&lt;10,0,"")&amp;DAY(Variables!$A$2)</f>
        <v>-13</v>
      </c>
      <c r="C119" s="147"/>
      <c r="D119" s="165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9" s="30" t="e">
        <f>VLOOKUP(B119,'Train Runs'!$A$13:$A$99953,1,FALSE)</f>
        <v>#N/A</v>
      </c>
    </row>
    <row r="120" spans="1:10" x14ac:dyDescent="0.25">
      <c r="A120" s="186"/>
      <c r="B120" s="43" t="str">
        <f>A120&amp;"-"&amp;IF(DAY(Variables!$A$2)&lt;10,0,"")&amp;DAY(Variables!$A$2)</f>
        <v>-13</v>
      </c>
      <c r="C120" s="147"/>
      <c r="D120" s="165"/>
      <c r="E120" s="30"/>
      <c r="F120" s="21" t="e">
        <f>VLOOKUP(B120,'Trips&amp;Operators'!$C$2:$E$10000,3,FALSE)</f>
        <v>#N/A</v>
      </c>
      <c r="G120" s="21" t="e">
        <f>VLOOKUP(B120,'Trips&amp;Operators'!$C$1:$F$10000,4,FALSE)</f>
        <v>#N/A</v>
      </c>
      <c r="H120" s="29" t="e">
        <f>VLOOKUP(B120,'Trips&amp;Operators'!$C$1:$H$10000,5,FALSE)</f>
        <v>#N/A</v>
      </c>
      <c r="I12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20" s="30" t="e">
        <f>VLOOKUP(B120,'Train Runs'!$A$13:$A$99953,1,FALSE)</f>
        <v>#N/A</v>
      </c>
    </row>
  </sheetData>
  <autoFilter ref="A2:J120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2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203</v>
      </c>
      <c r="G1" s="8" t="s">
        <v>202</v>
      </c>
    </row>
    <row r="2" spans="1:7" x14ac:dyDescent="0.25">
      <c r="A2" s="8">
        <v>42779.04886574074</v>
      </c>
      <c r="B2" s="20" t="s">
        <v>240</v>
      </c>
      <c r="C2" s="20" t="s">
        <v>473</v>
      </c>
      <c r="D2" s="150">
        <v>2630000</v>
      </c>
      <c r="E2" s="20" t="s">
        <v>325</v>
      </c>
      <c r="F2" s="20" t="s">
        <v>326</v>
      </c>
      <c r="G2" s="8" t="str">
        <f>E2&amp;" "&amp;F2</f>
        <v>SAFIEF AEIMEN</v>
      </c>
    </row>
    <row r="3" spans="1:7" x14ac:dyDescent="0.25">
      <c r="A3" s="8">
        <v>42779.059178240743</v>
      </c>
      <c r="B3" s="20" t="s">
        <v>211</v>
      </c>
      <c r="C3" s="20" t="s">
        <v>474</v>
      </c>
      <c r="D3" s="150">
        <v>2000000</v>
      </c>
      <c r="E3" s="20" t="s">
        <v>260</v>
      </c>
      <c r="F3" s="20" t="s">
        <v>201</v>
      </c>
      <c r="G3" s="8" t="str">
        <f t="shared" ref="G3:G66" si="0">E3&amp;" "&amp;F3</f>
        <v>STAMBAUGH JAMES</v>
      </c>
    </row>
    <row r="4" spans="1:7" x14ac:dyDescent="0.25">
      <c r="A4" s="8">
        <v>42779.070347222223</v>
      </c>
      <c r="B4" s="20" t="s">
        <v>196</v>
      </c>
      <c r="C4" s="20" t="s">
        <v>475</v>
      </c>
      <c r="D4" s="150">
        <v>2230000</v>
      </c>
      <c r="E4" s="20" t="s">
        <v>437</v>
      </c>
      <c r="F4" s="20" t="s">
        <v>204</v>
      </c>
      <c r="G4" s="8" t="str">
        <f t="shared" si="0"/>
        <v>SMITH MICHAEL</v>
      </c>
    </row>
    <row r="5" spans="1:7" x14ac:dyDescent="0.25">
      <c r="A5" s="8">
        <v>42779.089942129627</v>
      </c>
      <c r="B5" s="20" t="s">
        <v>234</v>
      </c>
      <c r="C5" s="20" t="s">
        <v>476</v>
      </c>
      <c r="D5" s="150">
        <v>2000000</v>
      </c>
      <c r="E5" s="20" t="s">
        <v>260</v>
      </c>
      <c r="F5" s="20" t="s">
        <v>201</v>
      </c>
      <c r="G5" s="8" t="str">
        <f t="shared" si="0"/>
        <v>STAMBAUGH JAMES</v>
      </c>
    </row>
    <row r="6" spans="1:7" x14ac:dyDescent="0.25">
      <c r="A6" s="8">
        <v>42779.12090277778</v>
      </c>
      <c r="B6" s="20" t="s">
        <v>312</v>
      </c>
      <c r="C6" s="20" t="s">
        <v>553</v>
      </c>
      <c r="D6" s="150">
        <v>2110000</v>
      </c>
      <c r="E6" s="20" t="s">
        <v>554</v>
      </c>
      <c r="F6" s="20" t="s">
        <v>555</v>
      </c>
      <c r="G6" s="8" t="str">
        <f t="shared" si="0"/>
        <v>OUN ZACK</v>
      </c>
    </row>
    <row r="7" spans="1:7" x14ac:dyDescent="0.25">
      <c r="A7" s="8">
        <v>42779.131365740737</v>
      </c>
      <c r="B7" s="20" t="s">
        <v>335</v>
      </c>
      <c r="C7" s="20" t="s">
        <v>556</v>
      </c>
      <c r="D7" s="150">
        <v>2110000</v>
      </c>
      <c r="E7" s="20" t="s">
        <v>554</v>
      </c>
      <c r="F7" s="20" t="s">
        <v>555</v>
      </c>
      <c r="G7" s="8" t="str">
        <f t="shared" si="0"/>
        <v>OUN ZACK</v>
      </c>
    </row>
    <row r="8" spans="1:7" x14ac:dyDescent="0.25">
      <c r="A8" s="8">
        <v>42779.133229166669</v>
      </c>
      <c r="B8" s="20" t="s">
        <v>335</v>
      </c>
      <c r="C8" s="20" t="s">
        <v>556</v>
      </c>
      <c r="D8" s="150">
        <v>2110000</v>
      </c>
      <c r="E8" s="20" t="s">
        <v>554</v>
      </c>
      <c r="F8" s="20" t="s">
        <v>555</v>
      </c>
      <c r="G8" s="8" t="str">
        <f t="shared" si="0"/>
        <v>OUN ZACK</v>
      </c>
    </row>
    <row r="9" spans="1:7" ht="15.75" thickBot="1" x14ac:dyDescent="0.3">
      <c r="A9" s="24">
        <v>42779.133888888886</v>
      </c>
      <c r="B9" s="20" t="s">
        <v>335</v>
      </c>
      <c r="C9" s="20" t="s">
        <v>556</v>
      </c>
      <c r="D9" s="150">
        <v>2110000</v>
      </c>
      <c r="E9" s="20" t="s">
        <v>554</v>
      </c>
      <c r="F9" s="20" t="s">
        <v>555</v>
      </c>
      <c r="G9" s="8" t="str">
        <f t="shared" si="0"/>
        <v>OUN ZACK</v>
      </c>
    </row>
    <row r="10" spans="1:7" x14ac:dyDescent="0.25">
      <c r="A10" s="8">
        <v>42779.137442129628</v>
      </c>
      <c r="B10" s="20" t="s">
        <v>328</v>
      </c>
      <c r="C10" s="20" t="s">
        <v>557</v>
      </c>
      <c r="D10" s="150">
        <v>2010000</v>
      </c>
      <c r="E10" s="20" t="s">
        <v>462</v>
      </c>
      <c r="F10" s="20" t="s">
        <v>463</v>
      </c>
      <c r="G10" s="8" t="str">
        <f t="shared" si="0"/>
        <v>MAELZER KURT</v>
      </c>
    </row>
    <row r="11" spans="1:7" x14ac:dyDescent="0.25">
      <c r="A11" s="8">
        <v>42779.1484837963</v>
      </c>
      <c r="B11" s="20" t="s">
        <v>192</v>
      </c>
      <c r="C11" s="20" t="s">
        <v>558</v>
      </c>
      <c r="D11" s="150">
        <v>2010000</v>
      </c>
      <c r="E11" s="20" t="s">
        <v>462</v>
      </c>
      <c r="F11" s="20" t="s">
        <v>463</v>
      </c>
      <c r="G11" s="8" t="str">
        <f t="shared" si="0"/>
        <v>MAELZER KURT</v>
      </c>
    </row>
    <row r="12" spans="1:7" x14ac:dyDescent="0.25">
      <c r="A12" s="8">
        <v>42779.161527777775</v>
      </c>
      <c r="B12" s="20" t="s">
        <v>418</v>
      </c>
      <c r="C12" s="20" t="s">
        <v>559</v>
      </c>
      <c r="D12" s="150">
        <v>1110000</v>
      </c>
      <c r="E12" s="20" t="s">
        <v>560</v>
      </c>
      <c r="F12" s="20" t="s">
        <v>561</v>
      </c>
      <c r="G12" s="8" t="str">
        <f t="shared" si="0"/>
        <v>STARKS ANGELINA</v>
      </c>
    </row>
    <row r="13" spans="1:7" x14ac:dyDescent="0.25">
      <c r="A13" s="8">
        <v>42779.162824074076</v>
      </c>
      <c r="B13" s="20" t="s">
        <v>418</v>
      </c>
      <c r="C13" s="20" t="s">
        <v>559</v>
      </c>
      <c r="D13" s="150">
        <v>1110000</v>
      </c>
      <c r="E13" s="20" t="s">
        <v>560</v>
      </c>
      <c r="F13" s="20" t="s">
        <v>561</v>
      </c>
      <c r="G13" s="8" t="str">
        <f t="shared" si="0"/>
        <v>STARKS ANGELINA</v>
      </c>
    </row>
    <row r="14" spans="1:7" x14ac:dyDescent="0.25">
      <c r="A14" s="8">
        <v>42779.168576388889</v>
      </c>
      <c r="B14" s="20" t="s">
        <v>312</v>
      </c>
      <c r="C14" s="20" t="s">
        <v>562</v>
      </c>
      <c r="D14" s="150">
        <v>2110000</v>
      </c>
      <c r="E14" s="20" t="s">
        <v>554</v>
      </c>
      <c r="F14" s="20" t="s">
        <v>555</v>
      </c>
      <c r="G14" s="8" t="str">
        <f t="shared" si="0"/>
        <v>OUN ZACK</v>
      </c>
    </row>
    <row r="15" spans="1:7" x14ac:dyDescent="0.25">
      <c r="A15" s="8">
        <v>42779.174826388888</v>
      </c>
      <c r="B15" s="20" t="s">
        <v>228</v>
      </c>
      <c r="C15" s="20" t="s">
        <v>563</v>
      </c>
      <c r="D15" s="150">
        <v>940000</v>
      </c>
      <c r="E15" s="20" t="s">
        <v>564</v>
      </c>
      <c r="F15" s="20" t="s">
        <v>565</v>
      </c>
      <c r="G15" s="8" t="str">
        <f t="shared" si="0"/>
        <v>BONDS REYNALDO</v>
      </c>
    </row>
    <row r="16" spans="1:7" x14ac:dyDescent="0.25">
      <c r="A16" s="8">
        <v>42779.176087962966</v>
      </c>
      <c r="B16" s="20" t="s">
        <v>243</v>
      </c>
      <c r="C16" s="20" t="s">
        <v>566</v>
      </c>
      <c r="D16" s="150">
        <v>1110000</v>
      </c>
      <c r="E16" s="20" t="s">
        <v>560</v>
      </c>
      <c r="F16" s="20" t="s">
        <v>561</v>
      </c>
      <c r="G16" s="8" t="str">
        <f t="shared" si="0"/>
        <v>STARKS ANGELINA</v>
      </c>
    </row>
    <row r="17" spans="1:7" x14ac:dyDescent="0.25">
      <c r="A17" s="8">
        <v>42779.179108796299</v>
      </c>
      <c r="B17" s="20" t="s">
        <v>419</v>
      </c>
      <c r="C17" s="20" t="s">
        <v>567</v>
      </c>
      <c r="D17" s="150">
        <v>2020000</v>
      </c>
      <c r="E17" s="20" t="s">
        <v>431</v>
      </c>
      <c r="F17" s="20" t="s">
        <v>432</v>
      </c>
      <c r="G17" s="8" t="str">
        <f t="shared" si="0"/>
        <v>SHOOK JOHN</v>
      </c>
    </row>
    <row r="18" spans="1:7" x14ac:dyDescent="0.25">
      <c r="A18" s="8">
        <v>42779.183796296296</v>
      </c>
      <c r="B18" s="20" t="s">
        <v>229</v>
      </c>
      <c r="C18" s="20" t="s">
        <v>568</v>
      </c>
      <c r="D18" s="150">
        <v>940000</v>
      </c>
      <c r="E18" s="20" t="s">
        <v>564</v>
      </c>
      <c r="F18" s="20" t="s">
        <v>565</v>
      </c>
      <c r="G18" s="8" t="str">
        <f t="shared" si="0"/>
        <v>BONDS REYNALDO</v>
      </c>
    </row>
    <row r="19" spans="1:7" x14ac:dyDescent="0.25">
      <c r="A19" s="8">
        <v>42779.190185185187</v>
      </c>
      <c r="B19" s="20" t="s">
        <v>328</v>
      </c>
      <c r="C19" s="20" t="s">
        <v>569</v>
      </c>
      <c r="D19" s="150">
        <v>2010000</v>
      </c>
      <c r="E19" s="20" t="s">
        <v>462</v>
      </c>
      <c r="F19" s="20" t="s">
        <v>463</v>
      </c>
      <c r="G19" s="8" t="str">
        <f t="shared" si="0"/>
        <v>MAELZER KURT</v>
      </c>
    </row>
    <row r="20" spans="1:7" x14ac:dyDescent="0.25">
      <c r="A20" s="8">
        <v>42779.193969907406</v>
      </c>
      <c r="B20" s="20" t="s">
        <v>301</v>
      </c>
      <c r="C20" s="20" t="s">
        <v>570</v>
      </c>
      <c r="D20" s="150">
        <v>2020000</v>
      </c>
      <c r="E20" s="20" t="s">
        <v>431</v>
      </c>
      <c r="F20" s="20" t="s">
        <v>432</v>
      </c>
      <c r="G20" s="8" t="str">
        <f t="shared" si="0"/>
        <v>SHOOK JOHN</v>
      </c>
    </row>
    <row r="21" spans="1:7" x14ac:dyDescent="0.25">
      <c r="A21" s="8">
        <v>42779.206087962964</v>
      </c>
      <c r="B21" s="20" t="s">
        <v>335</v>
      </c>
      <c r="C21" s="20" t="s">
        <v>571</v>
      </c>
      <c r="D21" s="150">
        <v>1830000</v>
      </c>
      <c r="E21" s="20" t="s">
        <v>433</v>
      </c>
      <c r="F21" s="20" t="s">
        <v>434</v>
      </c>
      <c r="G21" s="8" t="str">
        <f t="shared" si="0"/>
        <v>YORK EDGAR</v>
      </c>
    </row>
    <row r="22" spans="1:7" x14ac:dyDescent="0.25">
      <c r="A22" s="26">
        <v>42779.207824074074</v>
      </c>
      <c r="B22" s="20" t="s">
        <v>297</v>
      </c>
      <c r="C22" s="20" t="s">
        <v>524</v>
      </c>
      <c r="D22" s="150">
        <v>1990000</v>
      </c>
      <c r="E22" s="20" t="s">
        <v>464</v>
      </c>
      <c r="F22" s="20" t="s">
        <v>465</v>
      </c>
      <c r="G22" s="8" t="str">
        <f t="shared" si="0"/>
        <v>DAVIS WENDY</v>
      </c>
    </row>
    <row r="23" spans="1:7" x14ac:dyDescent="0.25">
      <c r="A23" s="8">
        <v>42779.213796296295</v>
      </c>
      <c r="B23" s="20" t="s">
        <v>332</v>
      </c>
      <c r="C23" s="20" t="s">
        <v>572</v>
      </c>
      <c r="D23" s="150">
        <v>2110000</v>
      </c>
      <c r="E23" s="20" t="s">
        <v>554</v>
      </c>
      <c r="F23" s="20" t="s">
        <v>555</v>
      </c>
      <c r="G23" s="8" t="str">
        <f t="shared" si="0"/>
        <v>OUN ZACK</v>
      </c>
    </row>
    <row r="24" spans="1:7" x14ac:dyDescent="0.25">
      <c r="A24" s="8">
        <v>42779.21402777778</v>
      </c>
      <c r="B24" s="20" t="s">
        <v>418</v>
      </c>
      <c r="C24" s="20" t="s">
        <v>573</v>
      </c>
      <c r="D24" s="150">
        <v>1110000</v>
      </c>
      <c r="E24" s="20" t="s">
        <v>560</v>
      </c>
      <c r="F24" s="20" t="s">
        <v>561</v>
      </c>
      <c r="G24" s="8" t="str">
        <f t="shared" si="0"/>
        <v>STARKS ANGELINA</v>
      </c>
    </row>
    <row r="25" spans="1:7" x14ac:dyDescent="0.25">
      <c r="A25" s="8">
        <v>42779.216469907406</v>
      </c>
      <c r="B25" s="20" t="s">
        <v>233</v>
      </c>
      <c r="C25" s="20" t="s">
        <v>574</v>
      </c>
      <c r="D25" s="150">
        <v>1990000</v>
      </c>
      <c r="E25" s="20" t="s">
        <v>464</v>
      </c>
      <c r="F25" s="20" t="s">
        <v>465</v>
      </c>
      <c r="G25" s="8" t="str">
        <f t="shared" si="0"/>
        <v>DAVIS WENDY</v>
      </c>
    </row>
    <row r="26" spans="1:7" x14ac:dyDescent="0.25">
      <c r="A26" s="8">
        <v>42779.219421296293</v>
      </c>
      <c r="B26" s="20" t="s">
        <v>228</v>
      </c>
      <c r="C26" s="20" t="s">
        <v>575</v>
      </c>
      <c r="D26" s="150">
        <v>940000</v>
      </c>
      <c r="E26" s="20" t="s">
        <v>564</v>
      </c>
      <c r="F26" s="20" t="s">
        <v>565</v>
      </c>
      <c r="G26" s="8" t="str">
        <f t="shared" si="0"/>
        <v>BONDS REYNALDO</v>
      </c>
    </row>
    <row r="27" spans="1:7" x14ac:dyDescent="0.25">
      <c r="A27" s="8">
        <v>42779.226388888892</v>
      </c>
      <c r="B27" s="20" t="s">
        <v>192</v>
      </c>
      <c r="C27" s="20" t="s">
        <v>576</v>
      </c>
      <c r="D27" s="150">
        <v>2140000</v>
      </c>
      <c r="E27" s="20" t="s">
        <v>429</v>
      </c>
      <c r="F27" s="20" t="s">
        <v>430</v>
      </c>
      <c r="G27" s="8" t="str">
        <f t="shared" si="0"/>
        <v>ROBINSON KADDIBA</v>
      </c>
    </row>
    <row r="28" spans="1:7" x14ac:dyDescent="0.25">
      <c r="A28" s="8">
        <v>42779.226527777777</v>
      </c>
      <c r="B28" s="20" t="s">
        <v>419</v>
      </c>
      <c r="C28" s="20" t="s">
        <v>577</v>
      </c>
      <c r="D28" s="150">
        <v>2020000</v>
      </c>
      <c r="E28" s="20" t="s">
        <v>431</v>
      </c>
      <c r="F28" s="20" t="s">
        <v>432</v>
      </c>
      <c r="G28" s="8" t="str">
        <f t="shared" si="0"/>
        <v>SHOOK JOHN</v>
      </c>
    </row>
    <row r="29" spans="1:7" x14ac:dyDescent="0.25">
      <c r="A29" s="8">
        <v>42779.229861111111</v>
      </c>
      <c r="B29" s="20" t="s">
        <v>578</v>
      </c>
      <c r="C29" s="20" t="s">
        <v>579</v>
      </c>
      <c r="D29" s="150">
        <v>2040000</v>
      </c>
      <c r="E29" s="20" t="s">
        <v>333</v>
      </c>
      <c r="F29" s="20" t="s">
        <v>334</v>
      </c>
      <c r="G29" s="8" t="str">
        <f t="shared" si="0"/>
        <v>MOSES BRADLEY</v>
      </c>
    </row>
    <row r="30" spans="1:7" x14ac:dyDescent="0.25">
      <c r="A30" s="8">
        <v>42779.235648148147</v>
      </c>
      <c r="B30" s="20" t="s">
        <v>259</v>
      </c>
      <c r="C30" s="20" t="s">
        <v>580</v>
      </c>
      <c r="D30" s="150">
        <v>1830000</v>
      </c>
      <c r="E30" s="20" t="s">
        <v>433</v>
      </c>
      <c r="F30" s="20" t="s">
        <v>434</v>
      </c>
      <c r="G30" s="8" t="str">
        <f t="shared" si="0"/>
        <v>YORK EDGAR</v>
      </c>
    </row>
    <row r="31" spans="1:7" x14ac:dyDescent="0.25">
      <c r="A31" s="8">
        <v>42779.240081018521</v>
      </c>
      <c r="B31" s="20" t="s">
        <v>297</v>
      </c>
      <c r="C31" s="20" t="s">
        <v>525</v>
      </c>
      <c r="D31" s="150">
        <v>1990000</v>
      </c>
      <c r="E31" s="20" t="s">
        <v>464</v>
      </c>
      <c r="F31" s="20" t="s">
        <v>465</v>
      </c>
      <c r="G31" s="8" t="str">
        <f t="shared" si="0"/>
        <v>DAVIS WENDY</v>
      </c>
    </row>
    <row r="32" spans="1:7" x14ac:dyDescent="0.25">
      <c r="A32" s="8">
        <v>42779.24722222222</v>
      </c>
      <c r="B32" s="20" t="s">
        <v>243</v>
      </c>
      <c r="C32" s="20" t="s">
        <v>581</v>
      </c>
      <c r="D32" s="150">
        <v>1110000</v>
      </c>
      <c r="E32" s="20" t="s">
        <v>560</v>
      </c>
      <c r="F32" s="20" t="s">
        <v>561</v>
      </c>
      <c r="G32" s="8" t="str">
        <f t="shared" si="0"/>
        <v>STARKS ANGELINA</v>
      </c>
    </row>
    <row r="33" spans="1:7" x14ac:dyDescent="0.25">
      <c r="A33" s="8">
        <v>42779.253831018519</v>
      </c>
      <c r="B33" s="20" t="s">
        <v>312</v>
      </c>
      <c r="C33" s="20" t="s">
        <v>582</v>
      </c>
      <c r="D33" s="150">
        <v>2110000</v>
      </c>
      <c r="E33" s="20" t="s">
        <v>554</v>
      </c>
      <c r="F33" s="20" t="s">
        <v>555</v>
      </c>
      <c r="G33" s="8" t="str">
        <f t="shared" si="0"/>
        <v>OUN ZACK</v>
      </c>
    </row>
    <row r="34" spans="1:7" x14ac:dyDescent="0.25">
      <c r="A34" s="8">
        <v>42779.255381944444</v>
      </c>
      <c r="B34" s="20" t="s">
        <v>233</v>
      </c>
      <c r="C34" s="20" t="s">
        <v>583</v>
      </c>
      <c r="D34" s="150">
        <v>1990000</v>
      </c>
      <c r="E34" s="20" t="s">
        <v>464</v>
      </c>
      <c r="F34" s="20" t="s">
        <v>465</v>
      </c>
      <c r="G34" s="8" t="str">
        <f t="shared" si="0"/>
        <v>DAVIS WENDY</v>
      </c>
    </row>
    <row r="35" spans="1:7" x14ac:dyDescent="0.25">
      <c r="A35" s="8">
        <v>42779.256631944445</v>
      </c>
      <c r="B35" s="20" t="s">
        <v>229</v>
      </c>
      <c r="C35" s="20" t="s">
        <v>584</v>
      </c>
      <c r="D35" s="150">
        <v>940000</v>
      </c>
      <c r="E35" s="20" t="s">
        <v>564</v>
      </c>
      <c r="F35" s="20" t="s">
        <v>565</v>
      </c>
      <c r="G35" s="8" t="str">
        <f t="shared" si="0"/>
        <v>BONDS REYNALDO</v>
      </c>
    </row>
    <row r="36" spans="1:7" x14ac:dyDescent="0.25">
      <c r="A36" s="8">
        <v>42779.262118055558</v>
      </c>
      <c r="B36" s="20" t="s">
        <v>428</v>
      </c>
      <c r="C36" s="20" t="s">
        <v>585</v>
      </c>
      <c r="D36" s="150">
        <v>2140000</v>
      </c>
      <c r="E36" s="20" t="s">
        <v>429</v>
      </c>
      <c r="F36" s="20" t="s">
        <v>430</v>
      </c>
      <c r="G36" s="8" t="str">
        <f t="shared" si="0"/>
        <v>ROBINSON KADDIBA</v>
      </c>
    </row>
    <row r="37" spans="1:7" x14ac:dyDescent="0.25">
      <c r="A37" s="8">
        <v>42779.267962962964</v>
      </c>
      <c r="B37" s="20" t="s">
        <v>301</v>
      </c>
      <c r="C37" s="20" t="s">
        <v>586</v>
      </c>
      <c r="D37" s="150">
        <v>2020000</v>
      </c>
      <c r="E37" s="20" t="s">
        <v>431</v>
      </c>
      <c r="F37" s="20" t="s">
        <v>432</v>
      </c>
      <c r="G37" s="8" t="str">
        <f t="shared" si="0"/>
        <v>SHOOK JOHN</v>
      </c>
    </row>
    <row r="38" spans="1:7" x14ac:dyDescent="0.25">
      <c r="A38" s="8">
        <v>42779.275324074071</v>
      </c>
      <c r="B38" s="20" t="s">
        <v>335</v>
      </c>
      <c r="C38" s="20" t="s">
        <v>526</v>
      </c>
      <c r="D38" s="150">
        <v>1830000</v>
      </c>
      <c r="E38" s="20" t="s">
        <v>433</v>
      </c>
      <c r="F38" s="20" t="s">
        <v>434</v>
      </c>
      <c r="G38" s="8" t="str">
        <f t="shared" si="0"/>
        <v>YORK EDGAR</v>
      </c>
    </row>
    <row r="39" spans="1:7" x14ac:dyDescent="0.25">
      <c r="A39" s="8">
        <v>42779.275972222225</v>
      </c>
      <c r="B39" s="20" t="s">
        <v>328</v>
      </c>
      <c r="C39" s="20" t="s">
        <v>529</v>
      </c>
      <c r="D39" s="150">
        <v>2040000</v>
      </c>
      <c r="E39" s="20" t="s">
        <v>333</v>
      </c>
      <c r="F39" s="20" t="s">
        <v>334</v>
      </c>
      <c r="G39" s="8" t="str">
        <f t="shared" si="0"/>
        <v>MOSES BRADLEY</v>
      </c>
    </row>
    <row r="40" spans="1:7" x14ac:dyDescent="0.25">
      <c r="A40" s="8">
        <v>42779.278958333336</v>
      </c>
      <c r="B40" s="25" t="s">
        <v>220</v>
      </c>
      <c r="C40" s="20" t="s">
        <v>530</v>
      </c>
      <c r="D40" s="150">
        <v>1110000</v>
      </c>
      <c r="E40" s="20" t="s">
        <v>560</v>
      </c>
      <c r="F40" s="20" t="s">
        <v>561</v>
      </c>
      <c r="G40" s="8" t="str">
        <f t="shared" si="0"/>
        <v>STARKS ANGELINA</v>
      </c>
    </row>
    <row r="41" spans="1:7" x14ac:dyDescent="0.25">
      <c r="A41" s="8">
        <v>42779.280543981484</v>
      </c>
      <c r="B41" s="20" t="s">
        <v>297</v>
      </c>
      <c r="C41" s="20" t="s">
        <v>528</v>
      </c>
      <c r="D41" s="150">
        <v>1990000</v>
      </c>
      <c r="E41" s="20" t="s">
        <v>464</v>
      </c>
      <c r="F41" s="20" t="s">
        <v>465</v>
      </c>
      <c r="G41" s="8" t="str">
        <f t="shared" si="0"/>
        <v>DAVIS WENDY</v>
      </c>
    </row>
    <row r="42" spans="1:7" x14ac:dyDescent="0.25">
      <c r="A42" s="8">
        <v>42779.285462962966</v>
      </c>
      <c r="B42" s="20" t="s">
        <v>211</v>
      </c>
      <c r="C42" s="20" t="s">
        <v>587</v>
      </c>
      <c r="D42" s="150">
        <v>900000</v>
      </c>
      <c r="E42" s="20" t="s">
        <v>588</v>
      </c>
      <c r="F42" s="20" t="s">
        <v>589</v>
      </c>
      <c r="G42" s="8" t="str">
        <f t="shared" si="0"/>
        <v>ROCHA YAOTL</v>
      </c>
    </row>
    <row r="43" spans="1:7" x14ac:dyDescent="0.25">
      <c r="A43" s="8">
        <v>42779.287523148145</v>
      </c>
      <c r="B43" s="20" t="s">
        <v>332</v>
      </c>
      <c r="C43" s="20" t="s">
        <v>527</v>
      </c>
      <c r="D43" s="150">
        <v>2110000</v>
      </c>
      <c r="E43" s="20" t="s">
        <v>554</v>
      </c>
      <c r="F43" s="20" t="s">
        <v>555</v>
      </c>
      <c r="G43" s="8" t="str">
        <f t="shared" si="0"/>
        <v>OUN ZACK</v>
      </c>
    </row>
    <row r="44" spans="1:7" x14ac:dyDescent="0.25">
      <c r="A44" s="8">
        <v>42779.297210648147</v>
      </c>
      <c r="B44" s="20" t="s">
        <v>233</v>
      </c>
      <c r="C44" s="20" t="s">
        <v>531</v>
      </c>
      <c r="D44" s="150">
        <v>1990000</v>
      </c>
      <c r="E44" s="20" t="s">
        <v>464</v>
      </c>
      <c r="F44" s="20" t="s">
        <v>465</v>
      </c>
      <c r="G44" s="8" t="str">
        <f t="shared" si="0"/>
        <v>DAVIS WENDY</v>
      </c>
    </row>
    <row r="45" spans="1:7" x14ac:dyDescent="0.25">
      <c r="A45" s="8">
        <v>42779.297291666669</v>
      </c>
      <c r="B45" s="20" t="s">
        <v>228</v>
      </c>
      <c r="C45" s="20" t="s">
        <v>532</v>
      </c>
      <c r="D45" s="150">
        <v>940000</v>
      </c>
      <c r="E45" s="20" t="s">
        <v>564</v>
      </c>
      <c r="F45" s="20" t="s">
        <v>565</v>
      </c>
      <c r="G45" s="8" t="str">
        <f t="shared" si="0"/>
        <v>BONDS REYNALDO</v>
      </c>
    </row>
    <row r="46" spans="1:7" x14ac:dyDescent="0.25">
      <c r="A46" s="8">
        <v>42779.297731481478</v>
      </c>
      <c r="B46" s="20" t="s">
        <v>192</v>
      </c>
      <c r="C46" s="20" t="s">
        <v>590</v>
      </c>
      <c r="D46" s="150">
        <v>2140000</v>
      </c>
      <c r="E46" s="20" t="s">
        <v>429</v>
      </c>
      <c r="F46" s="20" t="s">
        <v>430</v>
      </c>
      <c r="G46" s="8" t="str">
        <f t="shared" si="0"/>
        <v>ROBINSON KADDIBA</v>
      </c>
    </row>
    <row r="47" spans="1:7" x14ac:dyDescent="0.25">
      <c r="A47" s="8">
        <v>42779.298726851855</v>
      </c>
      <c r="B47" s="20" t="s">
        <v>419</v>
      </c>
      <c r="C47" s="20" t="s">
        <v>591</v>
      </c>
      <c r="D47" s="150">
        <v>2020000</v>
      </c>
      <c r="E47" s="20" t="s">
        <v>431</v>
      </c>
      <c r="F47" s="20" t="s">
        <v>432</v>
      </c>
      <c r="G47" s="8" t="str">
        <f t="shared" si="0"/>
        <v>SHOOK JOHN</v>
      </c>
    </row>
    <row r="48" spans="1:7" x14ac:dyDescent="0.25">
      <c r="A48" s="8">
        <v>42779.304826388892</v>
      </c>
      <c r="B48" s="20" t="s">
        <v>234</v>
      </c>
      <c r="C48" s="20" t="s">
        <v>592</v>
      </c>
      <c r="D48" s="150">
        <v>900000</v>
      </c>
      <c r="E48" s="20" t="s">
        <v>588</v>
      </c>
      <c r="F48" s="20" t="s">
        <v>589</v>
      </c>
      <c r="G48" s="8" t="str">
        <f t="shared" si="0"/>
        <v>ROCHA YAOTL</v>
      </c>
    </row>
    <row r="49" spans="1:7" x14ac:dyDescent="0.25">
      <c r="A49" s="8">
        <v>42779.308379629627</v>
      </c>
      <c r="B49" s="20" t="s">
        <v>259</v>
      </c>
      <c r="C49" s="20" t="s">
        <v>593</v>
      </c>
      <c r="D49" s="150">
        <v>1830000</v>
      </c>
      <c r="E49" s="20" t="s">
        <v>433</v>
      </c>
      <c r="F49" s="20" t="s">
        <v>434</v>
      </c>
      <c r="G49" s="8" t="str">
        <f t="shared" si="0"/>
        <v>YORK EDGAR</v>
      </c>
    </row>
    <row r="50" spans="1:7" x14ac:dyDescent="0.25">
      <c r="A50" s="8">
        <v>42779.309444444443</v>
      </c>
      <c r="B50" s="20" t="s">
        <v>578</v>
      </c>
      <c r="C50" s="20" t="s">
        <v>594</v>
      </c>
      <c r="D50" s="150">
        <v>2010000</v>
      </c>
      <c r="E50" s="20" t="s">
        <v>462</v>
      </c>
      <c r="F50" s="20" t="s">
        <v>463</v>
      </c>
      <c r="G50" s="8" t="str">
        <f t="shared" si="0"/>
        <v>MAELZER KURT</v>
      </c>
    </row>
    <row r="51" spans="1:7" x14ac:dyDescent="0.25">
      <c r="A51" s="8">
        <v>42779.317337962966</v>
      </c>
      <c r="B51" s="20" t="s">
        <v>211</v>
      </c>
      <c r="C51" s="20" t="s">
        <v>595</v>
      </c>
      <c r="D51" s="150">
        <v>900000</v>
      </c>
      <c r="E51" s="20" t="s">
        <v>588</v>
      </c>
      <c r="F51" s="20" t="s">
        <v>589</v>
      </c>
      <c r="G51" s="8" t="str">
        <f t="shared" si="0"/>
        <v>ROCHA YAOTL</v>
      </c>
    </row>
    <row r="52" spans="1:7" x14ac:dyDescent="0.25">
      <c r="A52" s="8">
        <v>42779.319467592592</v>
      </c>
      <c r="B52" s="20" t="s">
        <v>243</v>
      </c>
      <c r="C52" s="20" t="s">
        <v>596</v>
      </c>
      <c r="D52" s="150">
        <v>1110000</v>
      </c>
      <c r="E52" s="20" t="s">
        <v>560</v>
      </c>
      <c r="F52" s="20" t="s">
        <v>561</v>
      </c>
      <c r="G52" s="8" t="str">
        <f t="shared" si="0"/>
        <v>STARKS ANGELINA</v>
      </c>
    </row>
    <row r="53" spans="1:7" x14ac:dyDescent="0.25">
      <c r="A53" s="8">
        <v>42779.325671296298</v>
      </c>
      <c r="B53" s="20" t="s">
        <v>297</v>
      </c>
      <c r="C53" s="20" t="s">
        <v>533</v>
      </c>
      <c r="D53" s="150">
        <v>1990000</v>
      </c>
      <c r="E53" s="20" t="s">
        <v>464</v>
      </c>
      <c r="F53" s="20" t="s">
        <v>465</v>
      </c>
      <c r="G53" s="8" t="str">
        <f t="shared" si="0"/>
        <v>DAVIS WENDY</v>
      </c>
    </row>
    <row r="54" spans="1:7" x14ac:dyDescent="0.25">
      <c r="A54" s="8">
        <v>42779.327465277776</v>
      </c>
      <c r="B54" s="20" t="s">
        <v>312</v>
      </c>
      <c r="C54" s="20" t="s">
        <v>597</v>
      </c>
      <c r="D54" s="150">
        <v>2110000</v>
      </c>
      <c r="E54" s="20" t="s">
        <v>554</v>
      </c>
      <c r="F54" s="20" t="s">
        <v>555</v>
      </c>
      <c r="G54" s="8" t="str">
        <f t="shared" si="0"/>
        <v>OUN ZACK</v>
      </c>
    </row>
    <row r="55" spans="1:7" x14ac:dyDescent="0.25">
      <c r="A55" s="8">
        <v>42779.329444444447</v>
      </c>
      <c r="B55" s="20" t="s">
        <v>229</v>
      </c>
      <c r="C55" s="20" t="s">
        <v>535</v>
      </c>
      <c r="D55" s="150">
        <v>940000</v>
      </c>
      <c r="E55" s="20" t="s">
        <v>564</v>
      </c>
      <c r="F55" s="20" t="s">
        <v>565</v>
      </c>
      <c r="G55" s="8" t="str">
        <f t="shared" si="0"/>
        <v>BONDS REYNALDO</v>
      </c>
    </row>
    <row r="56" spans="1:7" x14ac:dyDescent="0.25">
      <c r="A56" s="8">
        <v>42779.336851851855</v>
      </c>
      <c r="B56" s="20" t="s">
        <v>428</v>
      </c>
      <c r="C56" s="20" t="s">
        <v>598</v>
      </c>
      <c r="D56" s="150">
        <v>2140000</v>
      </c>
      <c r="E56" s="20" t="s">
        <v>429</v>
      </c>
      <c r="F56" s="20" t="s">
        <v>430</v>
      </c>
      <c r="G56" s="8" t="str">
        <f t="shared" si="0"/>
        <v>ROBINSON KADDIBA</v>
      </c>
    </row>
    <row r="57" spans="1:7" x14ac:dyDescent="0.25">
      <c r="A57" s="8">
        <v>42779.33834490741</v>
      </c>
      <c r="B57" s="20" t="s">
        <v>233</v>
      </c>
      <c r="C57" s="20" t="s">
        <v>534</v>
      </c>
      <c r="D57" s="150">
        <v>1990000</v>
      </c>
      <c r="E57" s="20" t="s">
        <v>464</v>
      </c>
      <c r="F57" s="20" t="s">
        <v>465</v>
      </c>
      <c r="G57" s="8" t="str">
        <f t="shared" si="0"/>
        <v>DAVIS WENDY</v>
      </c>
    </row>
    <row r="58" spans="1:7" x14ac:dyDescent="0.25">
      <c r="A58" s="8">
        <v>42779.340069444443</v>
      </c>
      <c r="B58" s="20" t="s">
        <v>301</v>
      </c>
      <c r="C58" s="20" t="s">
        <v>599</v>
      </c>
      <c r="D58" s="150">
        <v>2020000</v>
      </c>
      <c r="E58" s="20" t="s">
        <v>431</v>
      </c>
      <c r="F58" s="20" t="s">
        <v>432</v>
      </c>
      <c r="G58" s="8" t="str">
        <f t="shared" si="0"/>
        <v>SHOOK JOHN</v>
      </c>
    </row>
    <row r="59" spans="1:7" x14ac:dyDescent="0.25">
      <c r="A59" s="8">
        <v>42779.345925925925</v>
      </c>
      <c r="B59" s="20" t="s">
        <v>234</v>
      </c>
      <c r="C59" s="20" t="s">
        <v>600</v>
      </c>
      <c r="D59" s="150">
        <v>900000</v>
      </c>
      <c r="E59" s="20" t="s">
        <v>588</v>
      </c>
      <c r="F59" s="20" t="s">
        <v>589</v>
      </c>
      <c r="G59" s="8" t="str">
        <f t="shared" si="0"/>
        <v>ROCHA YAOTL</v>
      </c>
    </row>
    <row r="60" spans="1:7" x14ac:dyDescent="0.25">
      <c r="A60" s="8">
        <v>42779.347662037035</v>
      </c>
      <c r="B60" s="20" t="s">
        <v>328</v>
      </c>
      <c r="C60" s="20" t="s">
        <v>601</v>
      </c>
      <c r="D60" s="150">
        <v>2010000</v>
      </c>
      <c r="E60" s="20" t="s">
        <v>462</v>
      </c>
      <c r="F60" s="20" t="s">
        <v>463</v>
      </c>
      <c r="G60" s="8" t="str">
        <f t="shared" si="0"/>
        <v>MAELZER KURT</v>
      </c>
    </row>
    <row r="61" spans="1:7" x14ac:dyDescent="0.25">
      <c r="A61" s="8">
        <v>42779.34814814815</v>
      </c>
      <c r="B61" s="20" t="s">
        <v>335</v>
      </c>
      <c r="C61" s="20" t="s">
        <v>602</v>
      </c>
      <c r="D61" s="150">
        <v>1830000</v>
      </c>
      <c r="E61" s="20" t="s">
        <v>433</v>
      </c>
      <c r="F61" s="20" t="s">
        <v>434</v>
      </c>
      <c r="G61" s="8" t="str">
        <f t="shared" si="0"/>
        <v>YORK EDGAR</v>
      </c>
    </row>
    <row r="62" spans="1:7" x14ac:dyDescent="0.25">
      <c r="A62" s="8">
        <v>42779.351053240738</v>
      </c>
      <c r="B62" s="20" t="s">
        <v>220</v>
      </c>
      <c r="C62" s="20" t="s">
        <v>603</v>
      </c>
      <c r="D62" s="150">
        <v>1110000</v>
      </c>
      <c r="E62" s="20" t="s">
        <v>560</v>
      </c>
      <c r="F62" s="20" t="s">
        <v>561</v>
      </c>
      <c r="G62" s="8" t="str">
        <f t="shared" si="0"/>
        <v>STARKS ANGELINA</v>
      </c>
    </row>
    <row r="63" spans="1:7" x14ac:dyDescent="0.25">
      <c r="A63" s="8">
        <v>42779.353171296294</v>
      </c>
      <c r="B63" s="20" t="s">
        <v>297</v>
      </c>
      <c r="C63" s="20" t="s">
        <v>604</v>
      </c>
      <c r="D63" s="150">
        <v>1990000</v>
      </c>
      <c r="E63" s="20" t="s">
        <v>464</v>
      </c>
      <c r="F63" s="20" t="s">
        <v>465</v>
      </c>
      <c r="G63" s="8" t="str">
        <f t="shared" si="0"/>
        <v>DAVIS WENDY</v>
      </c>
    </row>
    <row r="64" spans="1:7" x14ac:dyDescent="0.25">
      <c r="A64" s="26">
        <v>42779.359155092592</v>
      </c>
      <c r="B64" s="20" t="s">
        <v>211</v>
      </c>
      <c r="C64" s="20" t="s">
        <v>605</v>
      </c>
      <c r="D64" s="150">
        <v>900000</v>
      </c>
      <c r="E64" s="20" t="s">
        <v>588</v>
      </c>
      <c r="F64" s="20" t="s">
        <v>589</v>
      </c>
      <c r="G64" s="8" t="str">
        <f t="shared" si="0"/>
        <v>ROCHA YAOTL</v>
      </c>
    </row>
    <row r="65" spans="1:7" x14ac:dyDescent="0.25">
      <c r="A65" s="8">
        <v>42779.359976851854</v>
      </c>
      <c r="B65" s="20" t="s">
        <v>332</v>
      </c>
      <c r="C65" s="20" t="s">
        <v>606</v>
      </c>
      <c r="D65" s="150">
        <v>2110000</v>
      </c>
      <c r="E65" s="20" t="s">
        <v>554</v>
      </c>
      <c r="F65" s="20" t="s">
        <v>555</v>
      </c>
      <c r="G65" s="8" t="str">
        <f t="shared" si="0"/>
        <v>OUN ZACK</v>
      </c>
    </row>
    <row r="66" spans="1:7" x14ac:dyDescent="0.25">
      <c r="A66" s="8">
        <v>42779.366898148146</v>
      </c>
      <c r="B66" s="20" t="s">
        <v>228</v>
      </c>
      <c r="C66" s="20" t="s">
        <v>607</v>
      </c>
      <c r="D66" s="150">
        <v>940000</v>
      </c>
      <c r="E66" s="20" t="s">
        <v>564</v>
      </c>
      <c r="F66" s="20" t="s">
        <v>565</v>
      </c>
      <c r="G66" s="8" t="str">
        <f t="shared" si="0"/>
        <v>BONDS REYNALDO</v>
      </c>
    </row>
    <row r="67" spans="1:7" x14ac:dyDescent="0.25">
      <c r="A67" s="8">
        <v>42779.371064814812</v>
      </c>
      <c r="B67" s="20" t="s">
        <v>419</v>
      </c>
      <c r="C67" s="20" t="s">
        <v>608</v>
      </c>
      <c r="D67" s="150">
        <v>2020000</v>
      </c>
      <c r="E67" s="20" t="s">
        <v>431</v>
      </c>
      <c r="F67" s="20" t="s">
        <v>432</v>
      </c>
      <c r="G67" s="8" t="str">
        <f t="shared" ref="G67:G130" si="1">E67&amp;" "&amp;F67</f>
        <v>SHOOK JOHN</v>
      </c>
    </row>
    <row r="68" spans="1:7" x14ac:dyDescent="0.25">
      <c r="A68" s="8">
        <v>42779.371388888889</v>
      </c>
      <c r="B68" s="20" t="s">
        <v>192</v>
      </c>
      <c r="C68" s="20" t="s">
        <v>609</v>
      </c>
      <c r="D68" s="150">
        <v>2140000</v>
      </c>
      <c r="E68" s="20" t="s">
        <v>429</v>
      </c>
      <c r="F68" s="20" t="s">
        <v>430</v>
      </c>
      <c r="G68" s="8" t="str">
        <f t="shared" si="1"/>
        <v>ROBINSON KADDIBA</v>
      </c>
    </row>
    <row r="69" spans="1:7" x14ac:dyDescent="0.25">
      <c r="A69" s="8">
        <v>42779.380219907405</v>
      </c>
      <c r="B69" s="20" t="s">
        <v>234</v>
      </c>
      <c r="C69" s="20" t="s">
        <v>610</v>
      </c>
      <c r="D69" s="150">
        <v>900000</v>
      </c>
      <c r="E69" s="20" t="s">
        <v>588</v>
      </c>
      <c r="F69" s="20" t="s">
        <v>589</v>
      </c>
      <c r="G69" s="8" t="str">
        <f t="shared" si="1"/>
        <v>ROCHA YAOTL</v>
      </c>
    </row>
    <row r="70" spans="1:7" x14ac:dyDescent="0.25">
      <c r="A70" s="8">
        <v>42779.380497685182</v>
      </c>
      <c r="B70" s="20" t="s">
        <v>578</v>
      </c>
      <c r="C70" s="20" t="s">
        <v>611</v>
      </c>
      <c r="D70" s="150">
        <v>2010000</v>
      </c>
      <c r="E70" s="20" t="s">
        <v>462</v>
      </c>
      <c r="F70" s="20" t="s">
        <v>463</v>
      </c>
      <c r="G70" s="8" t="str">
        <f t="shared" si="1"/>
        <v>MAELZER KURT</v>
      </c>
    </row>
    <row r="71" spans="1:7" x14ac:dyDescent="0.25">
      <c r="A71" s="8">
        <v>42779.380671296298</v>
      </c>
      <c r="B71" s="20" t="s">
        <v>259</v>
      </c>
      <c r="C71" s="20" t="s">
        <v>612</v>
      </c>
      <c r="D71" s="150">
        <v>1830000</v>
      </c>
      <c r="E71" s="20" t="s">
        <v>433</v>
      </c>
      <c r="F71" s="20" t="s">
        <v>434</v>
      </c>
      <c r="G71" s="8" t="str">
        <f t="shared" si="1"/>
        <v>YORK EDGAR</v>
      </c>
    </row>
    <row r="72" spans="1:7" x14ac:dyDescent="0.25">
      <c r="A72" s="8">
        <v>42779.392418981479</v>
      </c>
      <c r="B72" s="20" t="s">
        <v>243</v>
      </c>
      <c r="C72" s="20" t="s">
        <v>613</v>
      </c>
      <c r="D72" s="150">
        <v>1110000</v>
      </c>
      <c r="E72" s="20" t="s">
        <v>560</v>
      </c>
      <c r="F72" s="20" t="s">
        <v>561</v>
      </c>
      <c r="G72" s="8" t="str">
        <f t="shared" si="1"/>
        <v>STARKS ANGELINA</v>
      </c>
    </row>
    <row r="73" spans="1:7" x14ac:dyDescent="0.25">
      <c r="A73" s="8">
        <v>42779.400057870371</v>
      </c>
      <c r="B73" s="20" t="s">
        <v>312</v>
      </c>
      <c r="C73" s="20" t="s">
        <v>614</v>
      </c>
      <c r="D73" s="150">
        <v>2110000</v>
      </c>
      <c r="E73" s="20" t="s">
        <v>554</v>
      </c>
      <c r="F73" s="20" t="s">
        <v>555</v>
      </c>
      <c r="G73" s="8" t="str">
        <f t="shared" si="1"/>
        <v>OUN ZACK</v>
      </c>
    </row>
    <row r="74" spans="1:7" x14ac:dyDescent="0.25">
      <c r="A74" s="8">
        <v>42779.401180555556</v>
      </c>
      <c r="B74" s="20" t="s">
        <v>211</v>
      </c>
      <c r="C74" s="20" t="s">
        <v>536</v>
      </c>
      <c r="D74" s="150">
        <v>900000</v>
      </c>
      <c r="E74" s="20" t="s">
        <v>588</v>
      </c>
      <c r="F74" s="20" t="s">
        <v>589</v>
      </c>
      <c r="G74" s="8" t="str">
        <f t="shared" si="1"/>
        <v>ROCHA YAOTL</v>
      </c>
    </row>
    <row r="75" spans="1:7" x14ac:dyDescent="0.25">
      <c r="A75" s="8">
        <v>42779.402511574073</v>
      </c>
      <c r="B75" s="20" t="s">
        <v>229</v>
      </c>
      <c r="C75" s="20" t="s">
        <v>615</v>
      </c>
      <c r="D75" s="150">
        <v>940000</v>
      </c>
      <c r="E75" s="20" t="s">
        <v>564</v>
      </c>
      <c r="F75" s="20" t="s">
        <v>565</v>
      </c>
      <c r="G75" s="8" t="str">
        <f t="shared" si="1"/>
        <v>BONDS REYNALDO</v>
      </c>
    </row>
    <row r="76" spans="1:7" x14ac:dyDescent="0.25">
      <c r="A76" s="8">
        <v>42779.410891203705</v>
      </c>
      <c r="B76" s="20" t="s">
        <v>428</v>
      </c>
      <c r="C76" s="20" t="s">
        <v>616</v>
      </c>
      <c r="D76" s="150">
        <v>2140000</v>
      </c>
      <c r="E76" s="20" t="s">
        <v>429</v>
      </c>
      <c r="F76" s="20" t="s">
        <v>430</v>
      </c>
      <c r="G76" s="8" t="str">
        <f t="shared" si="1"/>
        <v>ROBINSON KADDIBA</v>
      </c>
    </row>
    <row r="77" spans="1:7" x14ac:dyDescent="0.25">
      <c r="A77" s="8">
        <v>42779.412523148145</v>
      </c>
      <c r="B77" s="20" t="s">
        <v>301</v>
      </c>
      <c r="C77" s="20" t="s">
        <v>617</v>
      </c>
      <c r="D77" s="150">
        <v>2020000</v>
      </c>
      <c r="E77" s="20" t="s">
        <v>431</v>
      </c>
      <c r="F77" s="20" t="s">
        <v>432</v>
      </c>
      <c r="G77" s="8" t="str">
        <f t="shared" si="1"/>
        <v>SHOOK JOHN</v>
      </c>
    </row>
    <row r="78" spans="1:7" x14ac:dyDescent="0.25">
      <c r="A78" s="8">
        <v>42779.41920138889</v>
      </c>
      <c r="B78" s="20" t="s">
        <v>328</v>
      </c>
      <c r="C78" s="20" t="s">
        <v>618</v>
      </c>
      <c r="D78" s="150">
        <v>2010000</v>
      </c>
      <c r="E78" s="20" t="s">
        <v>462</v>
      </c>
      <c r="F78" s="20" t="s">
        <v>463</v>
      </c>
      <c r="G78" s="8" t="str">
        <f t="shared" si="1"/>
        <v>MAELZER KURT</v>
      </c>
    </row>
    <row r="79" spans="1:7" x14ac:dyDescent="0.25">
      <c r="A79" s="8">
        <v>42779.423888888887</v>
      </c>
      <c r="B79" s="20" t="s">
        <v>335</v>
      </c>
      <c r="C79" s="20" t="s">
        <v>619</v>
      </c>
      <c r="D79" s="150">
        <v>1830000</v>
      </c>
      <c r="E79" s="20" t="s">
        <v>433</v>
      </c>
      <c r="F79" s="20" t="s">
        <v>434</v>
      </c>
      <c r="G79" s="8" t="str">
        <f t="shared" si="1"/>
        <v>YORK EDGAR</v>
      </c>
    </row>
    <row r="80" spans="1:7" x14ac:dyDescent="0.25">
      <c r="A80" s="8">
        <v>42779.430717592593</v>
      </c>
      <c r="B80" s="20" t="s">
        <v>234</v>
      </c>
      <c r="C80" s="20" t="s">
        <v>620</v>
      </c>
      <c r="D80" s="150">
        <v>900000</v>
      </c>
      <c r="E80" s="20" t="s">
        <v>588</v>
      </c>
      <c r="F80" s="20" t="s">
        <v>589</v>
      </c>
      <c r="G80" s="8" t="str">
        <f t="shared" si="1"/>
        <v>ROCHA YAOTL</v>
      </c>
    </row>
    <row r="81" spans="1:7" x14ac:dyDescent="0.25">
      <c r="A81" s="8">
        <v>42779.433344907404</v>
      </c>
      <c r="B81" s="20" t="s">
        <v>332</v>
      </c>
      <c r="C81" s="20" t="s">
        <v>621</v>
      </c>
      <c r="D81" s="150">
        <v>2150000</v>
      </c>
      <c r="E81" s="20" t="s">
        <v>460</v>
      </c>
      <c r="F81" s="20" t="s">
        <v>461</v>
      </c>
      <c r="G81" s="8" t="str">
        <f t="shared" si="1"/>
        <v>SWANSON BRYCE</v>
      </c>
    </row>
    <row r="82" spans="1:7" x14ac:dyDescent="0.25">
      <c r="A82" s="8">
        <v>42779.43341435185</v>
      </c>
      <c r="B82" s="20" t="s">
        <v>220</v>
      </c>
      <c r="C82" s="20" t="s">
        <v>622</v>
      </c>
      <c r="D82" s="150">
        <v>1110000</v>
      </c>
      <c r="E82" s="20" t="s">
        <v>560</v>
      </c>
      <c r="F82" s="20" t="s">
        <v>561</v>
      </c>
      <c r="G82" s="8" t="str">
        <f t="shared" si="1"/>
        <v>STARKS ANGELINA</v>
      </c>
    </row>
    <row r="83" spans="1:7" x14ac:dyDescent="0.25">
      <c r="A83" s="8">
        <v>42779.44190972222</v>
      </c>
      <c r="B83" s="20" t="s">
        <v>228</v>
      </c>
      <c r="C83" s="20" t="s">
        <v>623</v>
      </c>
      <c r="D83" s="150">
        <v>940000</v>
      </c>
      <c r="E83" s="20" t="s">
        <v>564</v>
      </c>
      <c r="F83" s="20" t="s">
        <v>565</v>
      </c>
      <c r="G83" s="8" t="str">
        <f t="shared" si="1"/>
        <v>BONDS REYNALDO</v>
      </c>
    </row>
    <row r="84" spans="1:7" x14ac:dyDescent="0.25">
      <c r="A84" s="8">
        <v>42779.442349537036</v>
      </c>
      <c r="B84" s="20" t="s">
        <v>192</v>
      </c>
      <c r="C84" s="20" t="s">
        <v>624</v>
      </c>
      <c r="D84" s="150">
        <v>2140000</v>
      </c>
      <c r="E84" s="20" t="s">
        <v>429</v>
      </c>
      <c r="F84" s="20" t="s">
        <v>430</v>
      </c>
      <c r="G84" s="8" t="str">
        <f t="shared" si="1"/>
        <v>ROBINSON KADDIBA</v>
      </c>
    </row>
    <row r="85" spans="1:7" x14ac:dyDescent="0.25">
      <c r="A85" s="8">
        <v>42779.443668981483</v>
      </c>
      <c r="B85" s="20" t="s">
        <v>211</v>
      </c>
      <c r="C85" s="20" t="s">
        <v>625</v>
      </c>
      <c r="D85" s="150">
        <v>900000</v>
      </c>
      <c r="E85" s="20" t="s">
        <v>588</v>
      </c>
      <c r="F85" s="20" t="s">
        <v>589</v>
      </c>
      <c r="G85" s="8" t="str">
        <f t="shared" si="1"/>
        <v>ROCHA YAOTL</v>
      </c>
    </row>
    <row r="86" spans="1:7" x14ac:dyDescent="0.25">
      <c r="A86" s="8">
        <v>42779.445925925924</v>
      </c>
      <c r="B86" s="20" t="s">
        <v>419</v>
      </c>
      <c r="C86" s="20" t="s">
        <v>626</v>
      </c>
      <c r="D86" s="150">
        <v>2020000</v>
      </c>
      <c r="E86" s="20" t="s">
        <v>431</v>
      </c>
      <c r="F86" s="20" t="s">
        <v>432</v>
      </c>
      <c r="G86" s="8" t="str">
        <f t="shared" si="1"/>
        <v>SHOOK JOHN</v>
      </c>
    </row>
    <row r="87" spans="1:7" x14ac:dyDescent="0.25">
      <c r="A87" s="8">
        <v>42779.45212962963</v>
      </c>
      <c r="B87" s="20" t="s">
        <v>226</v>
      </c>
      <c r="C87" s="20" t="s">
        <v>627</v>
      </c>
      <c r="D87" s="150">
        <v>2470000</v>
      </c>
      <c r="E87" s="20" t="s">
        <v>467</v>
      </c>
      <c r="F87" s="20" t="s">
        <v>468</v>
      </c>
      <c r="G87" s="8" t="str">
        <f t="shared" si="1"/>
        <v>ROMERO CHAD</v>
      </c>
    </row>
    <row r="88" spans="1:7" x14ac:dyDescent="0.25">
      <c r="A88" s="8">
        <v>42779.453067129631</v>
      </c>
      <c r="B88" s="20" t="s">
        <v>259</v>
      </c>
      <c r="C88" s="20" t="s">
        <v>537</v>
      </c>
      <c r="D88" s="150">
        <v>1830000</v>
      </c>
      <c r="E88" s="20" t="s">
        <v>433</v>
      </c>
      <c r="F88" s="20" t="s">
        <v>434</v>
      </c>
      <c r="G88" s="8" t="str">
        <f t="shared" si="1"/>
        <v>YORK EDGAR</v>
      </c>
    </row>
    <row r="89" spans="1:7" x14ac:dyDescent="0.25">
      <c r="A89" s="8">
        <v>42779.453865740739</v>
      </c>
      <c r="B89" s="20" t="s">
        <v>578</v>
      </c>
      <c r="C89" s="20" t="s">
        <v>628</v>
      </c>
      <c r="D89" s="150">
        <v>880000</v>
      </c>
      <c r="E89" s="20" t="s">
        <v>466</v>
      </c>
      <c r="F89" s="20" t="s">
        <v>204</v>
      </c>
      <c r="G89" s="8" t="str">
        <f t="shared" si="1"/>
        <v>STEWART MICHAEL</v>
      </c>
    </row>
    <row r="90" spans="1:7" x14ac:dyDescent="0.25">
      <c r="A90" s="8">
        <v>42779.465601851851</v>
      </c>
      <c r="B90" s="20" t="s">
        <v>312</v>
      </c>
      <c r="C90" s="20" t="s">
        <v>629</v>
      </c>
      <c r="D90" s="150">
        <v>2150000</v>
      </c>
      <c r="E90" s="20" t="s">
        <v>460</v>
      </c>
      <c r="F90" s="20" t="s">
        <v>461</v>
      </c>
      <c r="G90" s="8" t="str">
        <f t="shared" si="1"/>
        <v>SWANSON BRYCE</v>
      </c>
    </row>
    <row r="91" spans="1:7" x14ac:dyDescent="0.25">
      <c r="A91" s="8">
        <v>42779.466840277775</v>
      </c>
      <c r="B91" s="20" t="s">
        <v>243</v>
      </c>
      <c r="C91" s="20" t="s">
        <v>630</v>
      </c>
      <c r="D91" s="150">
        <v>920000</v>
      </c>
      <c r="E91" s="20" t="s">
        <v>464</v>
      </c>
      <c r="F91" s="20" t="s">
        <v>204</v>
      </c>
      <c r="G91" s="8" t="str">
        <f t="shared" si="1"/>
        <v>DAVIS MICHAEL</v>
      </c>
    </row>
    <row r="92" spans="1:7" x14ac:dyDescent="0.25">
      <c r="A92" s="8">
        <v>42779.470324074071</v>
      </c>
      <c r="B92" s="20" t="s">
        <v>234</v>
      </c>
      <c r="C92" s="20" t="s">
        <v>631</v>
      </c>
      <c r="D92" s="150">
        <v>900000</v>
      </c>
      <c r="E92" s="20" t="s">
        <v>588</v>
      </c>
      <c r="F92" s="20" t="s">
        <v>589</v>
      </c>
      <c r="G92" s="8" t="str">
        <f t="shared" si="1"/>
        <v>ROCHA YAOTL</v>
      </c>
    </row>
    <row r="93" spans="1:7" x14ac:dyDescent="0.25">
      <c r="A93" s="8">
        <v>42779.475659722222</v>
      </c>
      <c r="B93" s="20" t="s">
        <v>229</v>
      </c>
      <c r="C93" s="20" t="s">
        <v>632</v>
      </c>
      <c r="D93" s="150">
        <v>930000</v>
      </c>
      <c r="E93" s="20" t="s">
        <v>633</v>
      </c>
      <c r="F93" s="20" t="s">
        <v>634</v>
      </c>
      <c r="G93" s="8" t="str">
        <f t="shared" si="1"/>
        <v>CLARK KATHLEEN</v>
      </c>
    </row>
    <row r="94" spans="1:7" x14ac:dyDescent="0.25">
      <c r="A94" s="8">
        <v>42779.481585648151</v>
      </c>
      <c r="B94" s="20" t="s">
        <v>428</v>
      </c>
      <c r="C94" s="20" t="s">
        <v>635</v>
      </c>
      <c r="D94" s="150">
        <v>2140000</v>
      </c>
      <c r="E94" s="20" t="s">
        <v>429</v>
      </c>
      <c r="F94" s="20" t="s">
        <v>430</v>
      </c>
      <c r="G94" s="8" t="str">
        <f t="shared" si="1"/>
        <v>ROBINSON KADDIBA</v>
      </c>
    </row>
    <row r="95" spans="1:7" x14ac:dyDescent="0.25">
      <c r="A95" s="8">
        <v>42779.484965277778</v>
      </c>
      <c r="B95" s="20" t="s">
        <v>211</v>
      </c>
      <c r="C95" s="20" t="s">
        <v>636</v>
      </c>
      <c r="D95" s="150">
        <v>900000</v>
      </c>
      <c r="E95" s="20" t="s">
        <v>588</v>
      </c>
      <c r="F95" s="20" t="s">
        <v>589</v>
      </c>
      <c r="G95" s="8" t="str">
        <f t="shared" si="1"/>
        <v>ROCHA YAOTL</v>
      </c>
    </row>
    <row r="96" spans="1:7" x14ac:dyDescent="0.25">
      <c r="A96" s="8">
        <v>42779.485625000001</v>
      </c>
      <c r="B96" s="20" t="s">
        <v>301</v>
      </c>
      <c r="C96" s="20" t="s">
        <v>538</v>
      </c>
      <c r="D96" s="150">
        <v>2470000</v>
      </c>
      <c r="E96" s="20" t="s">
        <v>467</v>
      </c>
      <c r="F96" s="20" t="s">
        <v>468</v>
      </c>
      <c r="G96" s="8" t="str">
        <f t="shared" si="1"/>
        <v>ROMERO CHAD</v>
      </c>
    </row>
    <row r="97" spans="1:7" x14ac:dyDescent="0.25">
      <c r="A97" s="8">
        <v>42779.489675925928</v>
      </c>
      <c r="B97" s="20" t="s">
        <v>225</v>
      </c>
      <c r="C97" s="20" t="s">
        <v>637</v>
      </c>
      <c r="D97" s="150">
        <v>2020000</v>
      </c>
      <c r="E97" s="20" t="s">
        <v>431</v>
      </c>
      <c r="F97" s="20" t="s">
        <v>432</v>
      </c>
      <c r="G97" s="8" t="str">
        <f t="shared" si="1"/>
        <v>SHOOK JOHN</v>
      </c>
    </row>
    <row r="98" spans="1:7" x14ac:dyDescent="0.25">
      <c r="A98" s="8">
        <v>42779.494768518518</v>
      </c>
      <c r="B98" s="20" t="s">
        <v>335</v>
      </c>
      <c r="C98" s="20" t="s">
        <v>539</v>
      </c>
      <c r="D98" s="150">
        <v>2250000</v>
      </c>
      <c r="E98" s="20" t="s">
        <v>438</v>
      </c>
      <c r="F98" s="20" t="s">
        <v>439</v>
      </c>
      <c r="G98" s="8" t="str">
        <f t="shared" si="1"/>
        <v>CRAYTON QUNTRELL</v>
      </c>
    </row>
    <row r="99" spans="1:7" x14ac:dyDescent="0.25">
      <c r="A99" s="8">
        <v>42779.49496527778</v>
      </c>
      <c r="B99" s="20" t="s">
        <v>328</v>
      </c>
      <c r="C99" s="20" t="s">
        <v>638</v>
      </c>
      <c r="D99" s="150">
        <v>880000</v>
      </c>
      <c r="E99" s="20" t="s">
        <v>466</v>
      </c>
      <c r="F99" s="20" t="s">
        <v>204</v>
      </c>
      <c r="G99" s="8" t="str">
        <f t="shared" si="1"/>
        <v>STEWART MICHAEL</v>
      </c>
    </row>
    <row r="100" spans="1:7" x14ac:dyDescent="0.25">
      <c r="A100" s="8">
        <v>42779.506747685184</v>
      </c>
      <c r="B100" s="20" t="s">
        <v>220</v>
      </c>
      <c r="C100" s="20" t="s">
        <v>639</v>
      </c>
      <c r="D100" s="150">
        <v>920000</v>
      </c>
      <c r="E100" s="20" t="s">
        <v>464</v>
      </c>
      <c r="F100" s="20" t="s">
        <v>204</v>
      </c>
      <c r="G100" s="8" t="str">
        <f t="shared" si="1"/>
        <v>DAVIS MICHAEL</v>
      </c>
    </row>
    <row r="101" spans="1:7" x14ac:dyDescent="0.25">
      <c r="A101" s="8">
        <v>42779.508599537039</v>
      </c>
      <c r="B101" s="20" t="s">
        <v>332</v>
      </c>
      <c r="C101" s="20" t="s">
        <v>640</v>
      </c>
      <c r="D101" s="150">
        <v>1180000</v>
      </c>
      <c r="E101" s="20" t="s">
        <v>641</v>
      </c>
      <c r="F101" s="20" t="s">
        <v>642</v>
      </c>
      <c r="G101" s="8" t="str">
        <f t="shared" si="1"/>
        <v>LEVERE CRAIG</v>
      </c>
    </row>
    <row r="102" spans="1:7" x14ac:dyDescent="0.25">
      <c r="A102" s="8">
        <v>42779.513506944444</v>
      </c>
      <c r="B102" s="20" t="s">
        <v>234</v>
      </c>
      <c r="C102" s="20" t="s">
        <v>643</v>
      </c>
      <c r="D102" s="150">
        <v>900000</v>
      </c>
      <c r="E102" s="20" t="s">
        <v>588</v>
      </c>
      <c r="F102" s="20" t="s">
        <v>589</v>
      </c>
      <c r="G102" s="8" t="str">
        <f t="shared" si="1"/>
        <v>ROCHA YAOTL</v>
      </c>
    </row>
    <row r="103" spans="1:7" x14ac:dyDescent="0.25">
      <c r="A103" s="8">
        <v>42779.515648148146</v>
      </c>
      <c r="B103" s="20" t="s">
        <v>228</v>
      </c>
      <c r="C103" s="20" t="s">
        <v>644</v>
      </c>
      <c r="D103" s="150">
        <v>930000</v>
      </c>
      <c r="E103" s="20" t="s">
        <v>633</v>
      </c>
      <c r="F103" s="20" t="s">
        <v>634</v>
      </c>
      <c r="G103" s="8" t="str">
        <f t="shared" si="1"/>
        <v>CLARK KATHLEEN</v>
      </c>
    </row>
    <row r="104" spans="1:7" x14ac:dyDescent="0.25">
      <c r="A104" s="8">
        <v>42779.518148148149</v>
      </c>
      <c r="B104" s="20" t="s">
        <v>192</v>
      </c>
      <c r="C104" s="20" t="s">
        <v>645</v>
      </c>
      <c r="D104" s="150">
        <v>2030000</v>
      </c>
      <c r="E104" s="20" t="s">
        <v>435</v>
      </c>
      <c r="F104" s="20" t="s">
        <v>436</v>
      </c>
      <c r="G104" s="8" t="str">
        <f t="shared" si="1"/>
        <v>KILLION DAVID</v>
      </c>
    </row>
    <row r="105" spans="1:7" x14ac:dyDescent="0.25">
      <c r="A105" s="8">
        <v>42779.525358796294</v>
      </c>
      <c r="B105" s="20" t="s">
        <v>419</v>
      </c>
      <c r="C105" s="20" t="s">
        <v>646</v>
      </c>
      <c r="D105" s="150">
        <v>2470000</v>
      </c>
      <c r="E105" s="20" t="s">
        <v>467</v>
      </c>
      <c r="F105" s="20" t="s">
        <v>468</v>
      </c>
      <c r="G105" s="8" t="str">
        <f t="shared" si="1"/>
        <v>ROMERO CHAD</v>
      </c>
    </row>
    <row r="106" spans="1:7" x14ac:dyDescent="0.25">
      <c r="A106" s="8">
        <v>42779.525949074072</v>
      </c>
      <c r="B106" s="20" t="s">
        <v>211</v>
      </c>
      <c r="C106" s="20" t="s">
        <v>647</v>
      </c>
      <c r="D106" s="150">
        <v>900000</v>
      </c>
      <c r="E106" s="20" t="s">
        <v>588</v>
      </c>
      <c r="F106" s="20" t="s">
        <v>589</v>
      </c>
      <c r="G106" s="8" t="str">
        <f t="shared" si="1"/>
        <v>ROCHA YAOTL</v>
      </c>
    </row>
    <row r="107" spans="1:7" x14ac:dyDescent="0.25">
      <c r="A107" s="8">
        <v>42779.526967592596</v>
      </c>
      <c r="B107" s="20" t="s">
        <v>578</v>
      </c>
      <c r="C107" s="20" t="s">
        <v>638</v>
      </c>
      <c r="D107" s="150">
        <v>880000</v>
      </c>
      <c r="E107" s="20" t="s">
        <v>466</v>
      </c>
      <c r="F107" s="20" t="s">
        <v>204</v>
      </c>
      <c r="G107" s="8" t="str">
        <f t="shared" si="1"/>
        <v>STEWART MICHAEL</v>
      </c>
    </row>
    <row r="108" spans="1:7" x14ac:dyDescent="0.25">
      <c r="A108" s="8">
        <v>42779.527604166666</v>
      </c>
      <c r="B108" s="20" t="s">
        <v>578</v>
      </c>
      <c r="C108" s="20" t="s">
        <v>648</v>
      </c>
      <c r="D108" s="150">
        <v>880000</v>
      </c>
      <c r="E108" s="20" t="s">
        <v>466</v>
      </c>
      <c r="F108" s="20" t="s">
        <v>204</v>
      </c>
      <c r="G108" s="8" t="str">
        <f t="shared" si="1"/>
        <v>STEWART MICHAEL</v>
      </c>
    </row>
    <row r="109" spans="1:7" x14ac:dyDescent="0.25">
      <c r="A109" s="8">
        <v>42779.534108796295</v>
      </c>
      <c r="B109" s="20" t="s">
        <v>259</v>
      </c>
      <c r="C109" s="20" t="s">
        <v>649</v>
      </c>
      <c r="D109" s="150">
        <v>2250000</v>
      </c>
      <c r="E109" s="20" t="s">
        <v>438</v>
      </c>
      <c r="F109" s="20" t="s">
        <v>439</v>
      </c>
      <c r="G109" s="8" t="str">
        <f t="shared" si="1"/>
        <v>CRAYTON QUNTRELL</v>
      </c>
    </row>
    <row r="110" spans="1:7" x14ac:dyDescent="0.25">
      <c r="A110" s="8">
        <v>42779.539097222223</v>
      </c>
      <c r="B110" s="20" t="s">
        <v>243</v>
      </c>
      <c r="C110" s="20" t="s">
        <v>650</v>
      </c>
      <c r="D110" s="150">
        <v>920000</v>
      </c>
      <c r="E110" s="20" t="s">
        <v>464</v>
      </c>
      <c r="F110" s="20" t="s">
        <v>204</v>
      </c>
      <c r="G110" s="8" t="str">
        <f t="shared" si="1"/>
        <v>DAVIS MICHAEL</v>
      </c>
    </row>
    <row r="111" spans="1:7" x14ac:dyDescent="0.25">
      <c r="A111" s="8">
        <v>42779.544305555559</v>
      </c>
      <c r="B111" s="20" t="s">
        <v>312</v>
      </c>
      <c r="C111" s="20" t="s">
        <v>651</v>
      </c>
      <c r="D111" s="150">
        <v>1180000</v>
      </c>
      <c r="E111" s="20" t="s">
        <v>641</v>
      </c>
      <c r="F111" s="20" t="s">
        <v>642</v>
      </c>
      <c r="G111" s="8" t="str">
        <f t="shared" si="1"/>
        <v>LEVERE CRAIG</v>
      </c>
    </row>
    <row r="112" spans="1:7" x14ac:dyDescent="0.25">
      <c r="A112" s="8">
        <v>42779.548645833333</v>
      </c>
      <c r="B112" s="20" t="s">
        <v>229</v>
      </c>
      <c r="C112" s="20" t="s">
        <v>652</v>
      </c>
      <c r="D112" s="150">
        <v>930000</v>
      </c>
      <c r="E112" s="20" t="s">
        <v>633</v>
      </c>
      <c r="F112" s="20" t="s">
        <v>634</v>
      </c>
      <c r="G112" s="8" t="str">
        <f t="shared" si="1"/>
        <v>CLARK KATHLEEN</v>
      </c>
    </row>
    <row r="113" spans="1:7" x14ac:dyDescent="0.25">
      <c r="A113" s="8">
        <v>42779.553171296298</v>
      </c>
      <c r="B113" s="20" t="s">
        <v>234</v>
      </c>
      <c r="C113" s="20" t="s">
        <v>653</v>
      </c>
      <c r="D113" s="150">
        <v>1300000</v>
      </c>
      <c r="E113" s="20" t="s">
        <v>469</v>
      </c>
      <c r="F113" s="20" t="s">
        <v>470</v>
      </c>
      <c r="G113" s="8" t="str">
        <f t="shared" si="1"/>
        <v>LEVIN SCOTT</v>
      </c>
    </row>
    <row r="114" spans="1:7" x14ac:dyDescent="0.25">
      <c r="A114" s="8">
        <v>42779.554120370369</v>
      </c>
      <c r="B114" s="20" t="s">
        <v>428</v>
      </c>
      <c r="C114" s="20" t="s">
        <v>654</v>
      </c>
      <c r="D114" s="150">
        <v>2030000</v>
      </c>
      <c r="E114" s="20" t="s">
        <v>435</v>
      </c>
      <c r="F114" s="20" t="s">
        <v>436</v>
      </c>
      <c r="G114" s="8" t="str">
        <f t="shared" si="1"/>
        <v>KILLION DAVID</v>
      </c>
    </row>
    <row r="115" spans="1:7" x14ac:dyDescent="0.25">
      <c r="A115" s="8">
        <v>42779.559131944443</v>
      </c>
      <c r="B115" s="20" t="s">
        <v>301</v>
      </c>
      <c r="C115" s="20" t="s">
        <v>540</v>
      </c>
      <c r="D115" s="150">
        <v>2470000</v>
      </c>
      <c r="E115" s="20" t="s">
        <v>467</v>
      </c>
      <c r="F115" s="20" t="s">
        <v>468</v>
      </c>
      <c r="G115" s="8" t="str">
        <f t="shared" si="1"/>
        <v>ROMERO CHAD</v>
      </c>
    </row>
    <row r="116" spans="1:7" x14ac:dyDescent="0.25">
      <c r="A116" s="8">
        <v>42779.566666666666</v>
      </c>
      <c r="B116" s="20" t="s">
        <v>211</v>
      </c>
      <c r="C116" s="20" t="s">
        <v>655</v>
      </c>
      <c r="D116" s="150">
        <v>1300000</v>
      </c>
      <c r="E116" s="20" t="s">
        <v>469</v>
      </c>
      <c r="F116" s="20" t="s">
        <v>470</v>
      </c>
      <c r="G116" s="8" t="str">
        <f t="shared" si="1"/>
        <v>LEVIN SCOTT</v>
      </c>
    </row>
    <row r="117" spans="1:7" x14ac:dyDescent="0.25">
      <c r="A117" s="8">
        <v>42779.567199074074</v>
      </c>
      <c r="B117" s="20" t="s">
        <v>328</v>
      </c>
      <c r="C117" s="20" t="s">
        <v>656</v>
      </c>
      <c r="D117" s="150">
        <v>880000</v>
      </c>
      <c r="E117" s="20" t="s">
        <v>466</v>
      </c>
      <c r="F117" s="20" t="s">
        <v>204</v>
      </c>
      <c r="G117" s="8" t="str">
        <f t="shared" si="1"/>
        <v>STEWART MICHAEL</v>
      </c>
    </row>
    <row r="118" spans="1:7" x14ac:dyDescent="0.25">
      <c r="A118" s="8">
        <v>42779.567696759259</v>
      </c>
      <c r="B118" s="20" t="s">
        <v>335</v>
      </c>
      <c r="C118" s="20" t="s">
        <v>657</v>
      </c>
      <c r="D118" s="150">
        <v>2250000</v>
      </c>
      <c r="E118" s="20" t="s">
        <v>438</v>
      </c>
      <c r="F118" s="20" t="s">
        <v>439</v>
      </c>
      <c r="G118" s="8" t="str">
        <f t="shared" si="1"/>
        <v>CRAYTON QUNTRELL</v>
      </c>
    </row>
    <row r="119" spans="1:7" x14ac:dyDescent="0.25">
      <c r="A119" s="8">
        <v>42779.578761574077</v>
      </c>
      <c r="B119" s="20" t="s">
        <v>220</v>
      </c>
      <c r="C119" s="20" t="s">
        <v>658</v>
      </c>
      <c r="D119" s="150">
        <v>920000</v>
      </c>
      <c r="E119" s="20" t="s">
        <v>464</v>
      </c>
      <c r="F119" s="20" t="s">
        <v>204</v>
      </c>
      <c r="G119" s="8" t="str">
        <f t="shared" si="1"/>
        <v>DAVIS MICHAEL</v>
      </c>
    </row>
    <row r="120" spans="1:7" x14ac:dyDescent="0.25">
      <c r="A120" s="8">
        <v>42779.579641203702</v>
      </c>
      <c r="B120" s="20" t="s">
        <v>332</v>
      </c>
      <c r="C120" s="20" t="s">
        <v>659</v>
      </c>
      <c r="D120" s="150">
        <v>1180000</v>
      </c>
      <c r="E120" s="20" t="s">
        <v>641</v>
      </c>
      <c r="F120" s="20" t="s">
        <v>642</v>
      </c>
      <c r="G120" s="8" t="str">
        <f t="shared" si="1"/>
        <v>LEVERE CRAIG</v>
      </c>
    </row>
    <row r="121" spans="1:7" x14ac:dyDescent="0.25">
      <c r="A121" s="8">
        <v>42779.588055555556</v>
      </c>
      <c r="B121" s="20" t="s">
        <v>228</v>
      </c>
      <c r="C121" s="20" t="s">
        <v>660</v>
      </c>
      <c r="D121" s="150">
        <v>930000</v>
      </c>
      <c r="E121" s="20" t="s">
        <v>633</v>
      </c>
      <c r="F121" s="20" t="s">
        <v>634</v>
      </c>
      <c r="G121" s="8" t="str">
        <f t="shared" si="1"/>
        <v>CLARK KATHLEEN</v>
      </c>
    </row>
    <row r="122" spans="1:7" x14ac:dyDescent="0.25">
      <c r="A122" s="8">
        <v>42779.590081018519</v>
      </c>
      <c r="B122" s="25" t="s">
        <v>192</v>
      </c>
      <c r="C122" s="20" t="s">
        <v>661</v>
      </c>
      <c r="D122" s="150">
        <v>2030000</v>
      </c>
      <c r="E122" s="20" t="s">
        <v>435</v>
      </c>
      <c r="F122" s="20" t="s">
        <v>436</v>
      </c>
      <c r="G122" s="8" t="str">
        <f t="shared" si="1"/>
        <v>KILLION DAVID</v>
      </c>
    </row>
    <row r="123" spans="1:7" x14ac:dyDescent="0.25">
      <c r="A123" s="8">
        <v>42779.59269675926</v>
      </c>
      <c r="B123" s="20" t="s">
        <v>419</v>
      </c>
      <c r="C123" s="20" t="s">
        <v>542</v>
      </c>
      <c r="D123" s="150">
        <v>2470000</v>
      </c>
      <c r="E123" s="20" t="s">
        <v>467</v>
      </c>
      <c r="F123" s="20" t="s">
        <v>468</v>
      </c>
      <c r="G123" s="8" t="str">
        <f t="shared" si="1"/>
        <v>ROMERO CHAD</v>
      </c>
    </row>
    <row r="124" spans="1:7" x14ac:dyDescent="0.25">
      <c r="A124" s="8">
        <v>42779.596493055556</v>
      </c>
      <c r="B124" s="20" t="s">
        <v>234</v>
      </c>
      <c r="C124" s="20" t="s">
        <v>662</v>
      </c>
      <c r="D124" s="150">
        <v>1300000</v>
      </c>
      <c r="E124" s="20" t="s">
        <v>469</v>
      </c>
      <c r="F124" s="20" t="s">
        <v>470</v>
      </c>
      <c r="G124" s="8" t="str">
        <f t="shared" si="1"/>
        <v>LEVIN SCOTT</v>
      </c>
    </row>
    <row r="125" spans="1:7" x14ac:dyDescent="0.25">
      <c r="A125" s="8">
        <v>42779.600254629629</v>
      </c>
      <c r="B125" s="20" t="s">
        <v>578</v>
      </c>
      <c r="C125" s="20" t="s">
        <v>663</v>
      </c>
      <c r="D125" s="150">
        <v>880000</v>
      </c>
      <c r="E125" s="20" t="s">
        <v>466</v>
      </c>
      <c r="F125" s="20" t="s">
        <v>204</v>
      </c>
      <c r="G125" s="8" t="str">
        <f t="shared" si="1"/>
        <v>STEWART MICHAEL</v>
      </c>
    </row>
    <row r="126" spans="1:7" x14ac:dyDescent="0.25">
      <c r="A126" s="8">
        <v>42779.604155092595</v>
      </c>
      <c r="B126" s="20" t="s">
        <v>259</v>
      </c>
      <c r="C126" s="20" t="s">
        <v>664</v>
      </c>
      <c r="D126" s="150">
        <v>2250000</v>
      </c>
      <c r="E126" s="20" t="s">
        <v>438</v>
      </c>
      <c r="F126" s="20" t="s">
        <v>439</v>
      </c>
      <c r="G126" s="8" t="str">
        <f t="shared" si="1"/>
        <v>CRAYTON QUNTRELL</v>
      </c>
    </row>
    <row r="127" spans="1:7" x14ac:dyDescent="0.25">
      <c r="A127" s="8">
        <v>42779.608483796299</v>
      </c>
      <c r="B127" s="20" t="s">
        <v>211</v>
      </c>
      <c r="C127" s="20" t="s">
        <v>541</v>
      </c>
      <c r="D127" s="150">
        <v>1300000</v>
      </c>
      <c r="E127" s="20" t="s">
        <v>469</v>
      </c>
      <c r="F127" s="20" t="s">
        <v>470</v>
      </c>
      <c r="G127" s="8" t="str">
        <f t="shared" si="1"/>
        <v>LEVIN SCOTT</v>
      </c>
    </row>
    <row r="128" spans="1:7" x14ac:dyDescent="0.25">
      <c r="A128" s="8">
        <v>42779.611516203702</v>
      </c>
      <c r="B128" s="20" t="s">
        <v>243</v>
      </c>
      <c r="C128" s="20" t="s">
        <v>665</v>
      </c>
      <c r="D128" s="150">
        <v>2420000</v>
      </c>
      <c r="E128" s="20" t="s">
        <v>471</v>
      </c>
      <c r="F128" s="20" t="s">
        <v>472</v>
      </c>
      <c r="G128" s="8" t="str">
        <f t="shared" si="1"/>
        <v>HOLCOMB KAMDEN</v>
      </c>
    </row>
    <row r="129" spans="1:7" x14ac:dyDescent="0.25">
      <c r="A129" s="8">
        <v>42779.618194444447</v>
      </c>
      <c r="B129" s="20" t="s">
        <v>312</v>
      </c>
      <c r="C129" s="20" t="s">
        <v>666</v>
      </c>
      <c r="D129" s="150">
        <v>1180000</v>
      </c>
      <c r="E129" s="20" t="s">
        <v>641</v>
      </c>
      <c r="F129" s="20" t="s">
        <v>642</v>
      </c>
      <c r="G129" s="8" t="str">
        <f t="shared" si="1"/>
        <v>LEVERE CRAIG</v>
      </c>
    </row>
    <row r="130" spans="1:7" x14ac:dyDescent="0.25">
      <c r="A130" s="8">
        <v>42779.621458333335</v>
      </c>
      <c r="B130" s="20" t="s">
        <v>229</v>
      </c>
      <c r="C130" s="20" t="s">
        <v>667</v>
      </c>
      <c r="D130" s="150">
        <v>930000</v>
      </c>
      <c r="E130" s="20" t="s">
        <v>633</v>
      </c>
      <c r="F130" s="20" t="s">
        <v>634</v>
      </c>
      <c r="G130" s="8" t="str">
        <f t="shared" si="1"/>
        <v>CLARK KATHLEEN</v>
      </c>
    </row>
    <row r="131" spans="1:7" x14ac:dyDescent="0.25">
      <c r="A131" s="8">
        <v>42779.626157407409</v>
      </c>
      <c r="B131" s="20" t="s">
        <v>428</v>
      </c>
      <c r="C131" s="20" t="s">
        <v>543</v>
      </c>
      <c r="D131" s="150">
        <v>2030000</v>
      </c>
      <c r="E131" s="20" t="s">
        <v>435</v>
      </c>
      <c r="F131" s="20" t="s">
        <v>436</v>
      </c>
      <c r="G131" s="8" t="str">
        <f t="shared" ref="G131:G194" si="2">E131&amp;" "&amp;F131</f>
        <v>KILLION DAVID</v>
      </c>
    </row>
    <row r="132" spans="1:7" x14ac:dyDescent="0.25">
      <c r="A132" s="8">
        <v>42779.631365740737</v>
      </c>
      <c r="B132" s="20" t="s">
        <v>301</v>
      </c>
      <c r="C132" s="20" t="s">
        <v>668</v>
      </c>
      <c r="D132" s="150">
        <v>2470000</v>
      </c>
      <c r="E132" s="20" t="s">
        <v>467</v>
      </c>
      <c r="F132" s="20" t="s">
        <v>468</v>
      </c>
      <c r="G132" s="8" t="str">
        <f t="shared" si="2"/>
        <v>ROMERO CHAD</v>
      </c>
    </row>
    <row r="133" spans="1:7" x14ac:dyDescent="0.25">
      <c r="A133" s="8">
        <v>42779.631956018522</v>
      </c>
      <c r="B133" s="20" t="s">
        <v>234</v>
      </c>
      <c r="C133" s="20" t="s">
        <v>669</v>
      </c>
      <c r="D133" s="150">
        <v>1300000</v>
      </c>
      <c r="E133" s="20" t="s">
        <v>469</v>
      </c>
      <c r="F133" s="20" t="s">
        <v>470</v>
      </c>
      <c r="G133" s="8" t="str">
        <f t="shared" si="2"/>
        <v>LEVIN SCOTT</v>
      </c>
    </row>
    <row r="134" spans="1:7" x14ac:dyDescent="0.25">
      <c r="A134" s="8">
        <v>42779.6403125</v>
      </c>
      <c r="B134" s="20" t="s">
        <v>328</v>
      </c>
      <c r="C134" s="20" t="s">
        <v>670</v>
      </c>
      <c r="D134" s="150">
        <v>880000</v>
      </c>
      <c r="E134" s="20" t="s">
        <v>466</v>
      </c>
      <c r="F134" s="20" t="s">
        <v>204</v>
      </c>
      <c r="G134" s="8" t="str">
        <f t="shared" si="2"/>
        <v>STEWART MICHAEL</v>
      </c>
    </row>
    <row r="135" spans="1:7" x14ac:dyDescent="0.25">
      <c r="A135" s="8">
        <v>42779.641134259262</v>
      </c>
      <c r="B135" s="20" t="s">
        <v>233</v>
      </c>
      <c r="C135" s="20" t="s">
        <v>671</v>
      </c>
      <c r="D135" s="150">
        <v>2600000</v>
      </c>
      <c r="E135" s="20" t="s">
        <v>672</v>
      </c>
      <c r="F135" s="20" t="s">
        <v>436</v>
      </c>
      <c r="G135" s="8" t="str">
        <f t="shared" si="2"/>
        <v>DAVIDSON DAVID</v>
      </c>
    </row>
    <row r="136" spans="1:7" x14ac:dyDescent="0.25">
      <c r="A136" s="8">
        <v>42779.641157407408</v>
      </c>
      <c r="B136" s="20" t="s">
        <v>335</v>
      </c>
      <c r="C136" s="20" t="s">
        <v>673</v>
      </c>
      <c r="D136" s="150">
        <v>2250000</v>
      </c>
      <c r="E136" s="20" t="s">
        <v>438</v>
      </c>
      <c r="F136" s="20" t="s">
        <v>439</v>
      </c>
      <c r="G136" s="8" t="str">
        <f t="shared" si="2"/>
        <v>CRAYTON QUNTRELL</v>
      </c>
    </row>
    <row r="137" spans="1:7" x14ac:dyDescent="0.25">
      <c r="A137" s="8">
        <v>42779.649606481478</v>
      </c>
      <c r="B137" s="20" t="s">
        <v>297</v>
      </c>
      <c r="C137" s="20" t="s">
        <v>674</v>
      </c>
      <c r="D137" s="150">
        <v>2600000</v>
      </c>
      <c r="E137" s="20" t="s">
        <v>672</v>
      </c>
      <c r="F137" s="20" t="s">
        <v>436</v>
      </c>
      <c r="G137" s="8" t="str">
        <f t="shared" si="2"/>
        <v>DAVIDSON DAVID</v>
      </c>
    </row>
    <row r="138" spans="1:7" x14ac:dyDescent="0.25">
      <c r="A138" s="8">
        <v>42779.650069444448</v>
      </c>
      <c r="B138" s="20" t="s">
        <v>211</v>
      </c>
      <c r="C138" s="20" t="s">
        <v>675</v>
      </c>
      <c r="D138" s="150">
        <v>1300000</v>
      </c>
      <c r="E138" s="20" t="s">
        <v>469</v>
      </c>
      <c r="F138" s="20" t="s">
        <v>470</v>
      </c>
      <c r="G138" s="8" t="str">
        <f t="shared" si="2"/>
        <v>LEVIN SCOTT</v>
      </c>
    </row>
    <row r="139" spans="1:7" x14ac:dyDescent="0.25">
      <c r="A139" s="8">
        <v>42779.65215277778</v>
      </c>
      <c r="B139" s="20" t="s">
        <v>220</v>
      </c>
      <c r="C139" s="20" t="s">
        <v>544</v>
      </c>
      <c r="D139" s="150">
        <v>2420000</v>
      </c>
      <c r="E139" s="20" t="s">
        <v>471</v>
      </c>
      <c r="F139" s="20" t="s">
        <v>472</v>
      </c>
      <c r="G139" s="8" t="str">
        <f t="shared" si="2"/>
        <v>HOLCOMB KAMDEN</v>
      </c>
    </row>
    <row r="140" spans="1:7" x14ac:dyDescent="0.25">
      <c r="A140" s="8">
        <v>42779.652592592596</v>
      </c>
      <c r="B140" s="20" t="s">
        <v>332</v>
      </c>
      <c r="C140" s="20" t="s">
        <v>676</v>
      </c>
      <c r="D140" s="150">
        <v>1180000</v>
      </c>
      <c r="E140" s="20" t="s">
        <v>641</v>
      </c>
      <c r="F140" s="20" t="s">
        <v>642</v>
      </c>
      <c r="G140" s="8" t="str">
        <f t="shared" si="2"/>
        <v>LEVERE CRAIG</v>
      </c>
    </row>
    <row r="141" spans="1:7" x14ac:dyDescent="0.25">
      <c r="A141" s="8">
        <v>42779.660937499997</v>
      </c>
      <c r="B141" s="20" t="s">
        <v>192</v>
      </c>
      <c r="C141" s="20" t="s">
        <v>677</v>
      </c>
      <c r="D141" s="150">
        <v>2030000</v>
      </c>
      <c r="E141" s="20" t="s">
        <v>435</v>
      </c>
      <c r="F141" s="20" t="s">
        <v>436</v>
      </c>
      <c r="G141" s="8" t="str">
        <f t="shared" si="2"/>
        <v>KILLION DAVID</v>
      </c>
    </row>
    <row r="142" spans="1:7" x14ac:dyDescent="0.25">
      <c r="A142" s="8">
        <v>42779.661180555559</v>
      </c>
      <c r="B142" s="20" t="s">
        <v>228</v>
      </c>
      <c r="C142" s="20" t="s">
        <v>678</v>
      </c>
      <c r="D142" s="150">
        <v>930000</v>
      </c>
      <c r="E142" s="20" t="s">
        <v>633</v>
      </c>
      <c r="F142" s="20" t="s">
        <v>634</v>
      </c>
      <c r="G142" s="8" t="str">
        <f t="shared" si="2"/>
        <v>CLARK KATHLEEN</v>
      </c>
    </row>
    <row r="143" spans="1:7" x14ac:dyDescent="0.25">
      <c r="A143" s="8">
        <v>42779.667002314818</v>
      </c>
      <c r="B143" s="20" t="s">
        <v>419</v>
      </c>
      <c r="C143" s="20" t="s">
        <v>679</v>
      </c>
      <c r="D143" s="150">
        <v>2470000</v>
      </c>
      <c r="E143" s="20" t="s">
        <v>467</v>
      </c>
      <c r="F143" s="20" t="s">
        <v>468</v>
      </c>
      <c r="G143" s="8" t="str">
        <f t="shared" si="2"/>
        <v>ROMERO CHAD</v>
      </c>
    </row>
    <row r="144" spans="1:7" x14ac:dyDescent="0.25">
      <c r="A144" s="8">
        <v>42779.672939814816</v>
      </c>
      <c r="B144" s="20" t="s">
        <v>578</v>
      </c>
      <c r="C144" s="20" t="s">
        <v>680</v>
      </c>
      <c r="D144" s="150">
        <v>880000</v>
      </c>
      <c r="E144" s="20" t="s">
        <v>466</v>
      </c>
      <c r="F144" s="20" t="s">
        <v>204</v>
      </c>
      <c r="G144" s="8" t="str">
        <f t="shared" si="2"/>
        <v>STEWART MICHAEL</v>
      </c>
    </row>
    <row r="145" spans="1:7" x14ac:dyDescent="0.25">
      <c r="A145" s="8">
        <v>42779.673275462963</v>
      </c>
      <c r="B145" s="20" t="s">
        <v>233</v>
      </c>
      <c r="C145" s="20" t="s">
        <v>681</v>
      </c>
      <c r="D145" s="150">
        <v>2600000</v>
      </c>
      <c r="E145" s="20" t="s">
        <v>672</v>
      </c>
      <c r="F145" s="20" t="s">
        <v>436</v>
      </c>
      <c r="G145" s="8" t="str">
        <f t="shared" si="2"/>
        <v>DAVIDSON DAVID</v>
      </c>
    </row>
    <row r="146" spans="1:7" x14ac:dyDescent="0.25">
      <c r="A146" s="8">
        <v>42779.679548611108</v>
      </c>
      <c r="B146" s="20" t="s">
        <v>234</v>
      </c>
      <c r="C146" s="20" t="s">
        <v>682</v>
      </c>
      <c r="D146" s="150">
        <v>1300000</v>
      </c>
      <c r="E146" s="20" t="s">
        <v>469</v>
      </c>
      <c r="F146" s="20" t="s">
        <v>470</v>
      </c>
      <c r="G146" s="8" t="str">
        <f t="shared" si="2"/>
        <v>LEVIN SCOTT</v>
      </c>
    </row>
    <row r="147" spans="1:7" x14ac:dyDescent="0.25">
      <c r="A147" s="8">
        <v>42779.680231481485</v>
      </c>
      <c r="B147" s="20" t="s">
        <v>259</v>
      </c>
      <c r="C147" s="20" t="s">
        <v>683</v>
      </c>
      <c r="D147" s="150">
        <v>2250000</v>
      </c>
      <c r="E147" s="20" t="s">
        <v>438</v>
      </c>
      <c r="F147" s="20" t="s">
        <v>439</v>
      </c>
      <c r="G147" s="8" t="str">
        <f t="shared" si="2"/>
        <v>CRAYTON QUNTRELL</v>
      </c>
    </row>
    <row r="148" spans="1:7" x14ac:dyDescent="0.25">
      <c r="A148" s="8">
        <v>42779.684444444443</v>
      </c>
      <c r="B148" s="20" t="s">
        <v>243</v>
      </c>
      <c r="C148" s="20" t="s">
        <v>684</v>
      </c>
      <c r="D148" s="150">
        <v>920000</v>
      </c>
      <c r="E148" s="20" t="s">
        <v>464</v>
      </c>
      <c r="F148" s="20" t="s">
        <v>204</v>
      </c>
      <c r="G148" s="8" t="str">
        <f t="shared" si="2"/>
        <v>DAVIS MICHAEL</v>
      </c>
    </row>
    <row r="149" spans="1:7" x14ac:dyDescent="0.25">
      <c r="A149" s="8">
        <v>42779.68822916667</v>
      </c>
      <c r="B149" s="20" t="s">
        <v>312</v>
      </c>
      <c r="C149" s="20" t="s">
        <v>685</v>
      </c>
      <c r="D149" s="150">
        <v>1180000</v>
      </c>
      <c r="E149" s="20" t="s">
        <v>641</v>
      </c>
      <c r="F149" s="20" t="s">
        <v>642</v>
      </c>
      <c r="G149" s="8" t="str">
        <f t="shared" si="2"/>
        <v>LEVERE CRAIG</v>
      </c>
    </row>
    <row r="150" spans="1:7" x14ac:dyDescent="0.25">
      <c r="A150" s="8">
        <v>42779.691666666666</v>
      </c>
      <c r="B150" s="20" t="s">
        <v>211</v>
      </c>
      <c r="C150" s="20" t="s">
        <v>686</v>
      </c>
      <c r="D150" s="150">
        <v>1300000</v>
      </c>
      <c r="E150" s="20" t="s">
        <v>469</v>
      </c>
      <c r="F150" s="20" t="s">
        <v>470</v>
      </c>
      <c r="G150" s="8" t="str">
        <f t="shared" si="2"/>
        <v>LEVIN SCOTT</v>
      </c>
    </row>
    <row r="151" spans="1:7" x14ac:dyDescent="0.25">
      <c r="A151" s="8">
        <v>42779.692974537036</v>
      </c>
      <c r="B151" s="20" t="s">
        <v>229</v>
      </c>
      <c r="C151" s="20" t="s">
        <v>687</v>
      </c>
      <c r="D151" s="150">
        <v>930000</v>
      </c>
      <c r="E151" s="20" t="s">
        <v>633</v>
      </c>
      <c r="F151" s="20" t="s">
        <v>634</v>
      </c>
      <c r="G151" s="8" t="str">
        <f t="shared" si="2"/>
        <v>CLARK KATHLEEN</v>
      </c>
    </row>
    <row r="152" spans="1:7" x14ac:dyDescent="0.25">
      <c r="A152" s="8">
        <v>42779.695069444446</v>
      </c>
      <c r="B152" s="20" t="s">
        <v>297</v>
      </c>
      <c r="C152" s="20" t="s">
        <v>688</v>
      </c>
      <c r="D152" s="150">
        <v>2600000</v>
      </c>
      <c r="E152" s="20" t="s">
        <v>672</v>
      </c>
      <c r="F152" s="20" t="s">
        <v>436</v>
      </c>
      <c r="G152" s="8" t="str">
        <f t="shared" si="2"/>
        <v>DAVIDSON DAVID</v>
      </c>
    </row>
    <row r="153" spans="1:7" x14ac:dyDescent="0.25">
      <c r="A153" s="8">
        <v>42779.696053240739</v>
      </c>
      <c r="B153" s="20" t="s">
        <v>226</v>
      </c>
      <c r="C153" s="20" t="s">
        <v>545</v>
      </c>
      <c r="D153" s="150">
        <v>1800000</v>
      </c>
      <c r="E153" s="20" t="s">
        <v>273</v>
      </c>
      <c r="F153" s="20" t="s">
        <v>274</v>
      </c>
      <c r="G153" s="8" t="str">
        <f t="shared" si="2"/>
        <v>CHANDLER KELVIN</v>
      </c>
    </row>
    <row r="154" spans="1:7" x14ac:dyDescent="0.25">
      <c r="A154" s="8">
        <v>42779.697060185186</v>
      </c>
      <c r="B154" s="20" t="s">
        <v>226</v>
      </c>
      <c r="C154" s="20" t="s">
        <v>545</v>
      </c>
      <c r="D154" s="150">
        <v>1800000</v>
      </c>
      <c r="E154" s="20" t="s">
        <v>273</v>
      </c>
      <c r="F154" s="20" t="s">
        <v>274</v>
      </c>
      <c r="G154" s="8" t="str">
        <f t="shared" si="2"/>
        <v>CHANDLER KELVIN</v>
      </c>
    </row>
    <row r="155" spans="1:7" x14ac:dyDescent="0.25">
      <c r="A155" s="8">
        <v>42779.701817129629</v>
      </c>
      <c r="B155" s="20" t="s">
        <v>428</v>
      </c>
      <c r="C155" s="20" t="s">
        <v>689</v>
      </c>
      <c r="D155" s="150">
        <v>2030000</v>
      </c>
      <c r="E155" s="20" t="s">
        <v>435</v>
      </c>
      <c r="F155" s="20" t="s">
        <v>436</v>
      </c>
      <c r="G155" s="8" t="str">
        <f t="shared" si="2"/>
        <v>KILLION DAVID</v>
      </c>
    </row>
    <row r="156" spans="1:7" x14ac:dyDescent="0.25">
      <c r="A156" s="8">
        <v>42779.703298611108</v>
      </c>
      <c r="B156" s="20" t="s">
        <v>301</v>
      </c>
      <c r="C156" s="20" t="s">
        <v>690</v>
      </c>
      <c r="D156" s="150">
        <v>2470000</v>
      </c>
      <c r="E156" s="20" t="s">
        <v>467</v>
      </c>
      <c r="F156" s="20" t="s">
        <v>468</v>
      </c>
      <c r="G156" s="8" t="str">
        <f t="shared" si="2"/>
        <v>ROMERO CHAD</v>
      </c>
    </row>
    <row r="157" spans="1:7" x14ac:dyDescent="0.25">
      <c r="A157" s="8">
        <v>42779.712407407409</v>
      </c>
      <c r="B157" s="20" t="s">
        <v>328</v>
      </c>
      <c r="C157" s="20" t="s">
        <v>691</v>
      </c>
      <c r="D157" s="150">
        <v>880000</v>
      </c>
      <c r="E157" s="20" t="s">
        <v>466</v>
      </c>
      <c r="F157" s="20" t="s">
        <v>204</v>
      </c>
      <c r="G157" s="8" t="str">
        <f t="shared" si="2"/>
        <v>STEWART MICHAEL</v>
      </c>
    </row>
    <row r="158" spans="1:7" x14ac:dyDescent="0.25">
      <c r="A158" s="8">
        <v>42779.714594907404</v>
      </c>
      <c r="B158" s="20" t="s">
        <v>233</v>
      </c>
      <c r="C158" s="20" t="s">
        <v>692</v>
      </c>
      <c r="D158" s="150">
        <v>2600000</v>
      </c>
      <c r="E158" s="20" t="s">
        <v>672</v>
      </c>
      <c r="F158" s="20" t="s">
        <v>436</v>
      </c>
      <c r="G158" s="8" t="str">
        <f t="shared" si="2"/>
        <v>DAVIDSON DAVID</v>
      </c>
    </row>
    <row r="159" spans="1:7" x14ac:dyDescent="0.25">
      <c r="A159" s="8">
        <v>42779.716273148151</v>
      </c>
      <c r="B159" s="20" t="s">
        <v>335</v>
      </c>
      <c r="C159" s="20" t="s">
        <v>693</v>
      </c>
      <c r="D159" s="150">
        <v>1800000</v>
      </c>
      <c r="E159" s="20" t="s">
        <v>273</v>
      </c>
      <c r="F159" s="20" t="s">
        <v>274</v>
      </c>
      <c r="G159" s="8" t="str">
        <f t="shared" si="2"/>
        <v>CHANDLER KELVIN</v>
      </c>
    </row>
    <row r="160" spans="1:7" x14ac:dyDescent="0.25">
      <c r="A160" s="8">
        <v>42779.717905092592</v>
      </c>
      <c r="B160" s="20" t="s">
        <v>234</v>
      </c>
      <c r="C160" s="20" t="s">
        <v>694</v>
      </c>
      <c r="D160" s="150">
        <v>1300000</v>
      </c>
      <c r="E160" s="20" t="s">
        <v>469</v>
      </c>
      <c r="F160" s="20" t="s">
        <v>470</v>
      </c>
      <c r="G160" s="8" t="str">
        <f t="shared" si="2"/>
        <v>LEVIN SCOTT</v>
      </c>
    </row>
    <row r="161" spans="1:7" x14ac:dyDescent="0.25">
      <c r="A161" s="8">
        <v>42779.723310185182</v>
      </c>
      <c r="B161" s="20" t="s">
        <v>417</v>
      </c>
      <c r="C161" s="20" t="s">
        <v>695</v>
      </c>
      <c r="D161" s="150">
        <v>2420000</v>
      </c>
      <c r="E161" s="20" t="s">
        <v>471</v>
      </c>
      <c r="F161" s="20" t="s">
        <v>472</v>
      </c>
      <c r="G161" s="8" t="str">
        <f t="shared" si="2"/>
        <v>HOLCOMB KAMDEN</v>
      </c>
    </row>
    <row r="162" spans="1:7" x14ac:dyDescent="0.25">
      <c r="A162" s="8">
        <v>42779.724803240744</v>
      </c>
      <c r="B162" s="20" t="s">
        <v>332</v>
      </c>
      <c r="C162" s="20" t="s">
        <v>696</v>
      </c>
      <c r="D162" s="150">
        <v>2250000</v>
      </c>
      <c r="E162" s="20" t="s">
        <v>438</v>
      </c>
      <c r="F162" s="20" t="s">
        <v>439</v>
      </c>
      <c r="G162" s="8" t="str">
        <f t="shared" si="2"/>
        <v>CRAYTON QUNTRELL</v>
      </c>
    </row>
    <row r="163" spans="1:7" x14ac:dyDescent="0.25">
      <c r="A163" s="8">
        <v>42779.725011574075</v>
      </c>
      <c r="B163" s="20" t="s">
        <v>220</v>
      </c>
      <c r="C163" s="20" t="s">
        <v>546</v>
      </c>
      <c r="D163" s="150">
        <v>920000</v>
      </c>
      <c r="E163" s="20" t="s">
        <v>464</v>
      </c>
      <c r="F163" s="20" t="s">
        <v>204</v>
      </c>
      <c r="G163" s="8" t="str">
        <f t="shared" si="2"/>
        <v>DAVIS MICHAEL</v>
      </c>
    </row>
    <row r="164" spans="1:7" x14ac:dyDescent="0.25">
      <c r="A164" s="8">
        <v>42779.729027777779</v>
      </c>
      <c r="B164" s="20" t="s">
        <v>225</v>
      </c>
      <c r="C164" s="20" t="s">
        <v>697</v>
      </c>
      <c r="D164" s="150">
        <v>1180000</v>
      </c>
      <c r="E164" s="20" t="s">
        <v>641</v>
      </c>
      <c r="F164" s="20" t="s">
        <v>642</v>
      </c>
      <c r="G164" s="8" t="str">
        <f t="shared" si="2"/>
        <v>LEVERE CRAIG</v>
      </c>
    </row>
    <row r="165" spans="1:7" x14ac:dyDescent="0.25">
      <c r="A165" s="8">
        <v>42779.731446759259</v>
      </c>
      <c r="B165" s="20" t="s">
        <v>228</v>
      </c>
      <c r="C165" s="20" t="s">
        <v>698</v>
      </c>
      <c r="D165" s="150">
        <v>930000</v>
      </c>
      <c r="E165" s="20" t="s">
        <v>633</v>
      </c>
      <c r="F165" s="20" t="s">
        <v>634</v>
      </c>
      <c r="G165" s="8" t="str">
        <f t="shared" si="2"/>
        <v>CLARK KATHLEEN</v>
      </c>
    </row>
    <row r="166" spans="1:7" x14ac:dyDescent="0.25">
      <c r="A166" s="8">
        <v>42779.732361111113</v>
      </c>
      <c r="B166" s="20" t="s">
        <v>297</v>
      </c>
      <c r="C166" s="20" t="s">
        <v>699</v>
      </c>
      <c r="D166" s="150">
        <v>2600000</v>
      </c>
      <c r="E166" s="20" t="s">
        <v>672</v>
      </c>
      <c r="F166" s="20" t="s">
        <v>436</v>
      </c>
      <c r="G166" s="8" t="str">
        <f t="shared" si="2"/>
        <v>DAVIDSON DAVID</v>
      </c>
    </row>
    <row r="167" spans="1:7" x14ac:dyDescent="0.25">
      <c r="A167" s="8">
        <v>42779.733518518522</v>
      </c>
      <c r="B167" s="20" t="s">
        <v>211</v>
      </c>
      <c r="C167" s="20" t="s">
        <v>700</v>
      </c>
      <c r="D167" s="150">
        <v>1300000</v>
      </c>
      <c r="E167" s="20" t="s">
        <v>469</v>
      </c>
      <c r="F167" s="20" t="s">
        <v>470</v>
      </c>
      <c r="G167" s="8" t="str">
        <f t="shared" si="2"/>
        <v>LEVIN SCOTT</v>
      </c>
    </row>
    <row r="168" spans="1:7" x14ac:dyDescent="0.25">
      <c r="A168" s="8">
        <v>42779.734988425924</v>
      </c>
      <c r="B168" s="20" t="s">
        <v>419</v>
      </c>
      <c r="C168" s="20" t="s">
        <v>549</v>
      </c>
      <c r="D168" s="150">
        <v>2470000</v>
      </c>
      <c r="E168" s="20" t="s">
        <v>467</v>
      </c>
      <c r="F168" s="20" t="s">
        <v>468</v>
      </c>
      <c r="G168" s="8" t="str">
        <f t="shared" si="2"/>
        <v>ROMERO CHAD</v>
      </c>
    </row>
    <row r="169" spans="1:7" x14ac:dyDescent="0.25">
      <c r="A169" s="8">
        <v>42779.736793981479</v>
      </c>
      <c r="B169" s="20" t="s">
        <v>192</v>
      </c>
      <c r="C169" s="20" t="s">
        <v>701</v>
      </c>
      <c r="D169" s="150">
        <v>2230000</v>
      </c>
      <c r="E169" s="20" t="s">
        <v>437</v>
      </c>
      <c r="F169" s="20" t="s">
        <v>204</v>
      </c>
      <c r="G169" s="8" t="str">
        <f t="shared" si="2"/>
        <v>SMITH MICHAEL</v>
      </c>
    </row>
    <row r="170" spans="1:7" x14ac:dyDescent="0.25">
      <c r="A170" s="8">
        <v>42779.745636574073</v>
      </c>
      <c r="B170" s="20" t="s">
        <v>578</v>
      </c>
      <c r="C170" s="20" t="s">
        <v>702</v>
      </c>
      <c r="D170" s="150">
        <v>2030000</v>
      </c>
      <c r="E170" s="20" t="s">
        <v>435</v>
      </c>
      <c r="F170" s="20" t="s">
        <v>436</v>
      </c>
      <c r="G170" s="8" t="str">
        <f t="shared" si="2"/>
        <v>KILLION DAVID</v>
      </c>
    </row>
    <row r="171" spans="1:7" x14ac:dyDescent="0.25">
      <c r="A171" s="8">
        <v>42779.748923611114</v>
      </c>
      <c r="B171" s="20" t="s">
        <v>416</v>
      </c>
      <c r="C171" s="20" t="s">
        <v>703</v>
      </c>
      <c r="D171" s="150">
        <v>2730000</v>
      </c>
      <c r="E171" s="20" t="s">
        <v>704</v>
      </c>
      <c r="F171" s="20" t="s">
        <v>705</v>
      </c>
      <c r="G171" s="8" t="str">
        <f t="shared" si="2"/>
        <v>YANG JAN</v>
      </c>
    </row>
    <row r="172" spans="1:7" x14ac:dyDescent="0.25">
      <c r="A172" s="8">
        <v>42779.75209490741</v>
      </c>
      <c r="B172" s="20" t="s">
        <v>547</v>
      </c>
      <c r="C172" s="20" t="s">
        <v>548</v>
      </c>
      <c r="D172" s="150">
        <v>1740000</v>
      </c>
      <c r="E172" s="20" t="s">
        <v>237</v>
      </c>
      <c r="F172" s="20" t="s">
        <v>238</v>
      </c>
      <c r="G172" s="8" t="str">
        <f t="shared" si="2"/>
        <v>STORY SAMANTHA</v>
      </c>
    </row>
    <row r="173" spans="1:7" x14ac:dyDescent="0.25">
      <c r="A173" s="8">
        <v>42779.754803240743</v>
      </c>
      <c r="B173" s="20" t="s">
        <v>259</v>
      </c>
      <c r="C173" s="20" t="s">
        <v>706</v>
      </c>
      <c r="D173" s="150">
        <v>1800000</v>
      </c>
      <c r="E173" s="20" t="s">
        <v>273</v>
      </c>
      <c r="F173" s="20" t="s">
        <v>274</v>
      </c>
      <c r="G173" s="8" t="str">
        <f t="shared" si="2"/>
        <v>CHANDLER KELVIN</v>
      </c>
    </row>
    <row r="174" spans="1:7" x14ac:dyDescent="0.25">
      <c r="A174" s="8">
        <v>42779.756631944445</v>
      </c>
      <c r="B174" s="20" t="s">
        <v>233</v>
      </c>
      <c r="C174" s="20" t="s">
        <v>707</v>
      </c>
      <c r="D174" s="150">
        <v>2600000</v>
      </c>
      <c r="E174" s="20" t="s">
        <v>672</v>
      </c>
      <c r="F174" s="20" t="s">
        <v>436</v>
      </c>
      <c r="G174" s="8" t="str">
        <f t="shared" si="2"/>
        <v>DAVIDSON DAVID</v>
      </c>
    </row>
    <row r="175" spans="1:7" x14ac:dyDescent="0.25">
      <c r="A175" s="8">
        <v>42779.75917824074</v>
      </c>
      <c r="B175" s="20" t="s">
        <v>243</v>
      </c>
      <c r="C175" s="20" t="s">
        <v>708</v>
      </c>
      <c r="D175" s="150">
        <v>2000000</v>
      </c>
      <c r="E175" s="20" t="s">
        <v>260</v>
      </c>
      <c r="F175" s="20" t="s">
        <v>201</v>
      </c>
      <c r="G175" s="8" t="str">
        <f t="shared" si="2"/>
        <v>STAMBAUGH JAMES</v>
      </c>
    </row>
    <row r="176" spans="1:7" x14ac:dyDescent="0.25">
      <c r="A176" s="8">
        <v>42779.76</v>
      </c>
      <c r="B176" s="20" t="s">
        <v>234</v>
      </c>
      <c r="C176" s="20" t="s">
        <v>709</v>
      </c>
      <c r="D176" s="150">
        <v>1300000</v>
      </c>
      <c r="E176" s="20" t="s">
        <v>469</v>
      </c>
      <c r="F176" s="20" t="s">
        <v>470</v>
      </c>
      <c r="G176" s="8" t="str">
        <f t="shared" si="2"/>
        <v>LEVIN SCOTT</v>
      </c>
    </row>
    <row r="177" spans="1:7" x14ac:dyDescent="0.25">
      <c r="A177" s="8">
        <v>42779.761759259258</v>
      </c>
      <c r="B177" s="20" t="s">
        <v>312</v>
      </c>
      <c r="C177" s="20" t="s">
        <v>710</v>
      </c>
      <c r="D177" s="150">
        <v>2250000</v>
      </c>
      <c r="E177" s="20" t="s">
        <v>438</v>
      </c>
      <c r="F177" s="20" t="s">
        <v>439</v>
      </c>
      <c r="G177" s="8" t="str">
        <f t="shared" si="2"/>
        <v>CRAYTON QUNTRELL</v>
      </c>
    </row>
    <row r="178" spans="1:7" x14ac:dyDescent="0.25">
      <c r="A178" s="8">
        <v>42779.769525462965</v>
      </c>
      <c r="B178" s="20" t="s">
        <v>229</v>
      </c>
      <c r="C178" s="20" t="s">
        <v>711</v>
      </c>
      <c r="D178" s="150">
        <v>1740000</v>
      </c>
      <c r="E178" s="20" t="s">
        <v>237</v>
      </c>
      <c r="F178" s="20" t="s">
        <v>238</v>
      </c>
      <c r="G178" s="8" t="str">
        <f t="shared" si="2"/>
        <v>STORY SAMANTHA</v>
      </c>
    </row>
    <row r="179" spans="1:7" x14ac:dyDescent="0.25">
      <c r="A179" s="8">
        <v>42779.771793981483</v>
      </c>
      <c r="B179" s="20" t="s">
        <v>297</v>
      </c>
      <c r="C179" s="20" t="s">
        <v>712</v>
      </c>
      <c r="D179" s="150">
        <v>2600000</v>
      </c>
      <c r="E179" s="20" t="s">
        <v>672</v>
      </c>
      <c r="F179" s="20" t="s">
        <v>436</v>
      </c>
      <c r="G179" s="8" t="str">
        <f t="shared" si="2"/>
        <v>DAVIDSON DAVID</v>
      </c>
    </row>
    <row r="180" spans="1:7" x14ac:dyDescent="0.25">
      <c r="A180" s="8">
        <v>42779.772268518522</v>
      </c>
      <c r="B180" s="20" t="s">
        <v>428</v>
      </c>
      <c r="C180" s="20" t="s">
        <v>713</v>
      </c>
      <c r="D180" s="150">
        <v>2230000</v>
      </c>
      <c r="E180" s="20" t="s">
        <v>437</v>
      </c>
      <c r="F180" s="20" t="s">
        <v>204</v>
      </c>
      <c r="G180" s="8" t="str">
        <f t="shared" si="2"/>
        <v>SMITH MICHAEL</v>
      </c>
    </row>
    <row r="181" spans="1:7" x14ac:dyDescent="0.25">
      <c r="A181" s="8">
        <v>42779.774918981479</v>
      </c>
      <c r="B181" s="20" t="s">
        <v>301</v>
      </c>
      <c r="C181" s="20" t="s">
        <v>714</v>
      </c>
      <c r="D181" s="150">
        <v>2470000</v>
      </c>
      <c r="E181" s="20" t="s">
        <v>467</v>
      </c>
      <c r="F181" s="20" t="s">
        <v>468</v>
      </c>
      <c r="G181" s="8" t="str">
        <f t="shared" si="2"/>
        <v>ROMERO CHAD</v>
      </c>
    </row>
    <row r="182" spans="1:7" x14ac:dyDescent="0.25">
      <c r="A182" s="8">
        <v>42779.775347222225</v>
      </c>
      <c r="B182" s="20" t="s">
        <v>211</v>
      </c>
      <c r="C182" s="20" t="s">
        <v>715</v>
      </c>
      <c r="D182" s="150">
        <v>1300000</v>
      </c>
      <c r="E182" s="20" t="s">
        <v>469</v>
      </c>
      <c r="F182" s="20" t="s">
        <v>470</v>
      </c>
      <c r="G182" s="8" t="str">
        <f t="shared" si="2"/>
        <v>LEVIN SCOTT</v>
      </c>
    </row>
    <row r="183" spans="1:7" x14ac:dyDescent="0.25">
      <c r="A183" s="8">
        <v>42779.783263888887</v>
      </c>
      <c r="B183" s="20" t="s">
        <v>328</v>
      </c>
      <c r="C183" s="20" t="s">
        <v>716</v>
      </c>
      <c r="D183" s="150">
        <v>2030000</v>
      </c>
      <c r="E183" s="20" t="s">
        <v>435</v>
      </c>
      <c r="F183" s="20" t="s">
        <v>436</v>
      </c>
      <c r="G183" s="8" t="str">
        <f t="shared" si="2"/>
        <v>KILLION DAVID</v>
      </c>
    </row>
    <row r="184" spans="1:7" x14ac:dyDescent="0.25">
      <c r="A184" s="8">
        <v>42779.789594907408</v>
      </c>
      <c r="B184" s="20" t="s">
        <v>335</v>
      </c>
      <c r="C184" s="20" t="s">
        <v>717</v>
      </c>
      <c r="D184" s="150">
        <v>2630000</v>
      </c>
      <c r="E184" s="20" t="s">
        <v>325</v>
      </c>
      <c r="F184" s="20" t="s">
        <v>326</v>
      </c>
      <c r="G184" s="8" t="str">
        <f t="shared" si="2"/>
        <v>SAFIEF AEIMEN</v>
      </c>
    </row>
    <row r="185" spans="1:7" x14ac:dyDescent="0.25">
      <c r="A185" s="8">
        <v>42779.797476851854</v>
      </c>
      <c r="B185" s="20" t="s">
        <v>332</v>
      </c>
      <c r="C185" s="20" t="s">
        <v>718</v>
      </c>
      <c r="D185" s="150">
        <v>2250000</v>
      </c>
      <c r="E185" s="20" t="s">
        <v>438</v>
      </c>
      <c r="F185" s="20" t="s">
        <v>439</v>
      </c>
      <c r="G185" s="8" t="str">
        <f t="shared" si="2"/>
        <v>CRAYTON QUNTRELL</v>
      </c>
    </row>
    <row r="186" spans="1:7" x14ac:dyDescent="0.25">
      <c r="A186" s="8">
        <v>42779.797488425924</v>
      </c>
      <c r="B186" s="20" t="s">
        <v>220</v>
      </c>
      <c r="C186" s="20" t="s">
        <v>719</v>
      </c>
      <c r="D186" s="150">
        <v>2000000</v>
      </c>
      <c r="E186" s="20" t="s">
        <v>260</v>
      </c>
      <c r="F186" s="20" t="s">
        <v>201</v>
      </c>
      <c r="G186" s="8" t="str">
        <f t="shared" si="2"/>
        <v>STAMBAUGH JAMES</v>
      </c>
    </row>
    <row r="187" spans="1:7" x14ac:dyDescent="0.25">
      <c r="A187" s="8">
        <v>42779.79828703704</v>
      </c>
      <c r="B187" s="20" t="s">
        <v>233</v>
      </c>
      <c r="C187" s="20" t="s">
        <v>720</v>
      </c>
      <c r="D187" s="150">
        <v>2600000</v>
      </c>
      <c r="E187" s="20" t="s">
        <v>672</v>
      </c>
      <c r="F187" s="20" t="s">
        <v>436</v>
      </c>
      <c r="G187" s="8" t="str">
        <f t="shared" si="2"/>
        <v>DAVIDSON DAVID</v>
      </c>
    </row>
    <row r="188" spans="1:7" x14ac:dyDescent="0.25">
      <c r="A188" s="8">
        <v>42779.802731481483</v>
      </c>
      <c r="B188" s="20" t="s">
        <v>234</v>
      </c>
      <c r="C188" s="20" t="s">
        <v>721</v>
      </c>
      <c r="D188" s="150">
        <v>1300000</v>
      </c>
      <c r="E188" s="20" t="s">
        <v>469</v>
      </c>
      <c r="F188" s="20" t="s">
        <v>470</v>
      </c>
      <c r="G188" s="8" t="str">
        <f t="shared" si="2"/>
        <v>LEVIN SCOTT</v>
      </c>
    </row>
    <row r="189" spans="1:7" x14ac:dyDescent="0.25">
      <c r="A189" s="8">
        <v>42779.80709490741</v>
      </c>
      <c r="B189" s="20" t="s">
        <v>228</v>
      </c>
      <c r="C189" s="20" t="s">
        <v>722</v>
      </c>
      <c r="D189" s="150">
        <v>1740000</v>
      </c>
      <c r="E189" s="20" t="s">
        <v>237</v>
      </c>
      <c r="F189" s="20" t="s">
        <v>238</v>
      </c>
      <c r="G189" s="8" t="str">
        <f t="shared" si="2"/>
        <v>STORY SAMANTHA</v>
      </c>
    </row>
    <row r="190" spans="1:7" x14ac:dyDescent="0.25">
      <c r="A190" s="8">
        <v>42779.809039351851</v>
      </c>
      <c r="B190" s="20" t="s">
        <v>192</v>
      </c>
      <c r="C190" s="20" t="s">
        <v>723</v>
      </c>
      <c r="D190" s="150">
        <v>2620000</v>
      </c>
      <c r="E190" s="20" t="s">
        <v>724</v>
      </c>
      <c r="F190" s="20" t="s">
        <v>725</v>
      </c>
      <c r="G190" s="8" t="str">
        <f t="shared" si="2"/>
        <v>PERKINS DARREN</v>
      </c>
    </row>
    <row r="191" spans="1:7" x14ac:dyDescent="0.25">
      <c r="A191" s="8">
        <v>42779.81658564815</v>
      </c>
      <c r="B191" s="20" t="s">
        <v>211</v>
      </c>
      <c r="C191" s="20" t="s">
        <v>726</v>
      </c>
      <c r="D191" s="150">
        <v>1300000</v>
      </c>
      <c r="E191" s="20" t="s">
        <v>469</v>
      </c>
      <c r="F191" s="20" t="s">
        <v>470</v>
      </c>
      <c r="G191" s="8" t="str">
        <f t="shared" si="2"/>
        <v>LEVIN SCOTT</v>
      </c>
    </row>
    <row r="192" spans="1:7" x14ac:dyDescent="0.25">
      <c r="A192" s="8">
        <v>42779.817557870374</v>
      </c>
      <c r="B192" s="20" t="s">
        <v>578</v>
      </c>
      <c r="C192" s="20" t="s">
        <v>727</v>
      </c>
      <c r="D192" s="150">
        <v>2030000</v>
      </c>
      <c r="E192" s="20" t="s">
        <v>435</v>
      </c>
      <c r="F192" s="20" t="s">
        <v>436</v>
      </c>
      <c r="G192" s="8" t="str">
        <f t="shared" si="2"/>
        <v>KILLION DAVID</v>
      </c>
    </row>
    <row r="193" spans="1:7" x14ac:dyDescent="0.25">
      <c r="A193" s="8">
        <v>42779.820011574076</v>
      </c>
      <c r="B193" s="20" t="s">
        <v>259</v>
      </c>
      <c r="C193" s="20" t="s">
        <v>728</v>
      </c>
      <c r="D193" s="150">
        <v>2630000</v>
      </c>
      <c r="E193" s="20" t="s">
        <v>325</v>
      </c>
      <c r="F193" s="20" t="s">
        <v>326</v>
      </c>
      <c r="G193" s="8" t="str">
        <f t="shared" si="2"/>
        <v>SAFIEF AEIMEN</v>
      </c>
    </row>
    <row r="194" spans="1:7" x14ac:dyDescent="0.25">
      <c r="A194" s="8">
        <v>42779.827488425923</v>
      </c>
      <c r="B194" s="20" t="s">
        <v>243</v>
      </c>
      <c r="C194" s="20" t="s">
        <v>729</v>
      </c>
      <c r="D194" s="150">
        <v>2000000</v>
      </c>
      <c r="E194" s="20" t="s">
        <v>260</v>
      </c>
      <c r="F194" s="20" t="s">
        <v>201</v>
      </c>
      <c r="G194" s="8" t="str">
        <f t="shared" si="2"/>
        <v>STAMBAUGH JAMES</v>
      </c>
    </row>
    <row r="195" spans="1:7" x14ac:dyDescent="0.25">
      <c r="A195" s="8">
        <v>42779.843391203707</v>
      </c>
      <c r="B195" s="20" t="s">
        <v>234</v>
      </c>
      <c r="C195" s="20" t="s">
        <v>730</v>
      </c>
      <c r="D195" s="150">
        <v>1300000</v>
      </c>
      <c r="E195" s="20" t="s">
        <v>469</v>
      </c>
      <c r="F195" s="20" t="s">
        <v>470</v>
      </c>
      <c r="G195" s="8" t="str">
        <f t="shared" ref="G195:G258" si="3">E195&amp;" "&amp;F195</f>
        <v>LEVIN SCOTT</v>
      </c>
    </row>
    <row r="196" spans="1:7" x14ac:dyDescent="0.25">
      <c r="A196" s="8">
        <v>42779.845011574071</v>
      </c>
      <c r="B196" s="20" t="s">
        <v>428</v>
      </c>
      <c r="C196" s="20" t="s">
        <v>550</v>
      </c>
      <c r="D196" s="150">
        <v>2620000</v>
      </c>
      <c r="E196" s="20" t="s">
        <v>724</v>
      </c>
      <c r="F196" s="20" t="s">
        <v>725</v>
      </c>
      <c r="G196" s="8" t="str">
        <f t="shared" si="3"/>
        <v>PERKINS DARREN</v>
      </c>
    </row>
    <row r="197" spans="1:7" x14ac:dyDescent="0.25">
      <c r="A197" s="8">
        <v>42779.848495370374</v>
      </c>
      <c r="B197" s="20" t="s">
        <v>229</v>
      </c>
      <c r="C197" s="20" t="s">
        <v>731</v>
      </c>
      <c r="D197" s="150">
        <v>2610000</v>
      </c>
      <c r="E197" s="20" t="s">
        <v>732</v>
      </c>
      <c r="F197" s="20" t="s">
        <v>733</v>
      </c>
      <c r="G197" s="8" t="str">
        <f t="shared" si="3"/>
        <v>MAGEE KENYA</v>
      </c>
    </row>
    <row r="198" spans="1:7" x14ac:dyDescent="0.25">
      <c r="A198" s="8">
        <v>42779.858541666668</v>
      </c>
      <c r="B198" s="20" t="s">
        <v>211</v>
      </c>
      <c r="C198" s="20" t="s">
        <v>734</v>
      </c>
      <c r="D198" s="150">
        <v>1300000</v>
      </c>
      <c r="E198" s="20" t="s">
        <v>469</v>
      </c>
      <c r="F198" s="20" t="s">
        <v>470</v>
      </c>
      <c r="G198" s="8" t="str">
        <f t="shared" si="3"/>
        <v>LEVIN SCOTT</v>
      </c>
    </row>
    <row r="199" spans="1:7" x14ac:dyDescent="0.25">
      <c r="A199" s="8">
        <v>42779.871620370373</v>
      </c>
      <c r="B199" s="20" t="s">
        <v>220</v>
      </c>
      <c r="C199" s="20" t="s">
        <v>735</v>
      </c>
      <c r="D199" s="150">
        <v>2000000</v>
      </c>
      <c r="E199" s="20" t="s">
        <v>260</v>
      </c>
      <c r="F199" s="20" t="s">
        <v>201</v>
      </c>
      <c r="G199" s="8" t="str">
        <f t="shared" si="3"/>
        <v>STAMBAUGH JAMES</v>
      </c>
    </row>
    <row r="200" spans="1:7" x14ac:dyDescent="0.25">
      <c r="A200" s="8">
        <v>42779.873124999998</v>
      </c>
      <c r="B200" s="20" t="s">
        <v>335</v>
      </c>
      <c r="C200" s="20" t="s">
        <v>736</v>
      </c>
      <c r="D200" s="150">
        <v>1800000</v>
      </c>
      <c r="E200" s="20" t="s">
        <v>273</v>
      </c>
      <c r="F200" s="20" t="s">
        <v>274</v>
      </c>
      <c r="G200" s="8" t="str">
        <f t="shared" si="3"/>
        <v>CHANDLER KELVIN</v>
      </c>
    </row>
    <row r="201" spans="1:7" x14ac:dyDescent="0.25">
      <c r="A201" s="8">
        <v>42779.875937500001</v>
      </c>
      <c r="B201" s="20" t="s">
        <v>234</v>
      </c>
      <c r="C201" s="20" t="s">
        <v>737</v>
      </c>
      <c r="D201" s="150">
        <v>2600000</v>
      </c>
      <c r="E201" s="20" t="s">
        <v>672</v>
      </c>
      <c r="F201" s="20" t="s">
        <v>436</v>
      </c>
      <c r="G201" s="8" t="str">
        <f t="shared" si="3"/>
        <v>DAVIDSON DAVID</v>
      </c>
    </row>
    <row r="202" spans="1:7" x14ac:dyDescent="0.25">
      <c r="A202" s="26">
        <v>42779.885428240741</v>
      </c>
      <c r="B202" s="20" t="s">
        <v>192</v>
      </c>
      <c r="C202" s="20" t="s">
        <v>738</v>
      </c>
      <c r="D202" s="150">
        <v>2230000</v>
      </c>
      <c r="E202" s="20" t="s">
        <v>437</v>
      </c>
      <c r="F202" s="20" t="s">
        <v>204</v>
      </c>
      <c r="G202" s="8" t="str">
        <f t="shared" si="3"/>
        <v>SMITH MICHAEL</v>
      </c>
    </row>
    <row r="203" spans="1:7" x14ac:dyDescent="0.25">
      <c r="A203" s="8">
        <v>42779.891643518517</v>
      </c>
      <c r="B203" s="20" t="s">
        <v>228</v>
      </c>
      <c r="C203" s="20" t="s">
        <v>739</v>
      </c>
      <c r="D203" s="150">
        <v>2610000</v>
      </c>
      <c r="E203" s="20" t="s">
        <v>732</v>
      </c>
      <c r="F203" s="20" t="s">
        <v>733</v>
      </c>
      <c r="G203" s="8" t="str">
        <f t="shared" si="3"/>
        <v>MAGEE KENYA</v>
      </c>
    </row>
    <row r="204" spans="1:7" x14ac:dyDescent="0.25">
      <c r="A204" s="8">
        <v>42779.900312500002</v>
      </c>
      <c r="B204" s="20" t="s">
        <v>243</v>
      </c>
      <c r="C204" s="20" t="s">
        <v>735</v>
      </c>
      <c r="D204" s="150">
        <v>2000000</v>
      </c>
      <c r="E204" s="20" t="s">
        <v>260</v>
      </c>
      <c r="F204" s="20" t="s">
        <v>201</v>
      </c>
      <c r="G204" s="8" t="str">
        <f t="shared" si="3"/>
        <v>STAMBAUGH JAMES</v>
      </c>
    </row>
    <row r="205" spans="1:7" x14ac:dyDescent="0.25">
      <c r="A205" s="8">
        <v>42779.902511574073</v>
      </c>
      <c r="B205" s="20" t="s">
        <v>211</v>
      </c>
      <c r="C205" s="20" t="s">
        <v>740</v>
      </c>
      <c r="D205" s="150">
        <v>2600000</v>
      </c>
      <c r="E205" s="20" t="s">
        <v>672</v>
      </c>
      <c r="F205" s="20" t="s">
        <v>436</v>
      </c>
      <c r="G205" s="8" t="str">
        <f t="shared" si="3"/>
        <v>DAVIDSON DAVID</v>
      </c>
    </row>
    <row r="206" spans="1:7" x14ac:dyDescent="0.25">
      <c r="A206" s="8">
        <v>42779.905509259261</v>
      </c>
      <c r="B206" s="20" t="s">
        <v>243</v>
      </c>
      <c r="C206" s="20" t="s">
        <v>741</v>
      </c>
      <c r="D206" s="150">
        <v>2730000</v>
      </c>
      <c r="E206" s="20" t="s">
        <v>704</v>
      </c>
      <c r="F206" s="20" t="s">
        <v>705</v>
      </c>
      <c r="G206" s="8" t="str">
        <f t="shared" si="3"/>
        <v>YANG JAN</v>
      </c>
    </row>
    <row r="207" spans="1:7" x14ac:dyDescent="0.25">
      <c r="A207" s="8">
        <v>42779.912476851852</v>
      </c>
      <c r="B207" s="20" t="s">
        <v>259</v>
      </c>
      <c r="C207" s="20" t="s">
        <v>742</v>
      </c>
      <c r="D207" s="150">
        <v>1800000</v>
      </c>
      <c r="E207" s="20" t="s">
        <v>273</v>
      </c>
      <c r="F207" s="20" t="s">
        <v>274</v>
      </c>
      <c r="G207" s="8" t="str">
        <f t="shared" si="3"/>
        <v>CHANDLER KELVIN</v>
      </c>
    </row>
    <row r="208" spans="1:7" x14ac:dyDescent="0.25">
      <c r="A208" s="8">
        <v>42779.91915509259</v>
      </c>
      <c r="B208" s="20" t="s">
        <v>234</v>
      </c>
      <c r="C208" s="20" t="s">
        <v>743</v>
      </c>
      <c r="D208" s="150">
        <v>2600000</v>
      </c>
      <c r="E208" s="20" t="s">
        <v>672</v>
      </c>
      <c r="F208" s="20" t="s">
        <v>436</v>
      </c>
      <c r="G208" s="8" t="str">
        <f t="shared" si="3"/>
        <v>DAVIDSON DAVID</v>
      </c>
    </row>
    <row r="209" spans="1:7" x14ac:dyDescent="0.25">
      <c r="A209" s="8">
        <v>42779.928530092591</v>
      </c>
      <c r="B209" s="20" t="s">
        <v>428</v>
      </c>
      <c r="C209" s="20" t="s">
        <v>744</v>
      </c>
      <c r="D209" s="150">
        <v>2230000</v>
      </c>
      <c r="E209" s="20" t="s">
        <v>437</v>
      </c>
      <c r="F209" s="20" t="s">
        <v>204</v>
      </c>
      <c r="G209" s="8" t="str">
        <f t="shared" si="3"/>
        <v>SMITH MICHAEL</v>
      </c>
    </row>
    <row r="210" spans="1:7" x14ac:dyDescent="0.25">
      <c r="A210" s="8">
        <v>42779.930590277778</v>
      </c>
      <c r="B210" s="20" t="s">
        <v>229</v>
      </c>
      <c r="C210" s="20" t="s">
        <v>745</v>
      </c>
      <c r="D210" s="150">
        <v>1740000</v>
      </c>
      <c r="E210" s="20" t="s">
        <v>237</v>
      </c>
      <c r="F210" s="20" t="s">
        <v>238</v>
      </c>
      <c r="G210" s="8" t="str">
        <f t="shared" si="3"/>
        <v>STORY SAMANTHA</v>
      </c>
    </row>
    <row r="211" spans="1:7" x14ac:dyDescent="0.25">
      <c r="A211" s="8">
        <v>42779.943692129629</v>
      </c>
      <c r="B211" s="20" t="s">
        <v>211</v>
      </c>
      <c r="C211" s="20" t="s">
        <v>746</v>
      </c>
      <c r="D211" s="150">
        <v>2600000</v>
      </c>
      <c r="E211" s="20" t="s">
        <v>672</v>
      </c>
      <c r="F211" s="20" t="s">
        <v>436</v>
      </c>
      <c r="G211" s="8" t="str">
        <f t="shared" si="3"/>
        <v>DAVIDSON DAVID</v>
      </c>
    </row>
    <row r="212" spans="1:7" x14ac:dyDescent="0.25">
      <c r="A212" s="8">
        <v>42779.951111111113</v>
      </c>
      <c r="B212" s="20" t="s">
        <v>220</v>
      </c>
      <c r="C212" s="20" t="s">
        <v>747</v>
      </c>
      <c r="D212" s="150">
        <v>2730000</v>
      </c>
      <c r="E212" s="20" t="s">
        <v>704</v>
      </c>
      <c r="F212" s="20" t="s">
        <v>705</v>
      </c>
      <c r="G212" s="8" t="str">
        <f t="shared" si="3"/>
        <v>YANG JAN</v>
      </c>
    </row>
    <row r="213" spans="1:7" x14ac:dyDescent="0.25">
      <c r="A213" s="8">
        <v>42779.956076388888</v>
      </c>
      <c r="B213" s="20" t="s">
        <v>335</v>
      </c>
      <c r="C213" s="20" t="s">
        <v>748</v>
      </c>
      <c r="D213" s="150">
        <v>1800000</v>
      </c>
      <c r="E213" s="20" t="s">
        <v>273</v>
      </c>
      <c r="F213" s="20" t="s">
        <v>274</v>
      </c>
      <c r="G213" s="8" t="str">
        <f t="shared" si="3"/>
        <v>CHANDLER KELVIN</v>
      </c>
    </row>
    <row r="214" spans="1:7" x14ac:dyDescent="0.25">
      <c r="A214" s="8">
        <v>42779.967800925922</v>
      </c>
      <c r="B214" s="20" t="s">
        <v>228</v>
      </c>
      <c r="C214" s="20" t="s">
        <v>749</v>
      </c>
      <c r="D214" s="150">
        <v>1740000</v>
      </c>
      <c r="E214" s="20" t="s">
        <v>237</v>
      </c>
      <c r="F214" s="20" t="s">
        <v>238</v>
      </c>
      <c r="G214" s="8" t="str">
        <f t="shared" si="3"/>
        <v>STORY SAMANTHA</v>
      </c>
    </row>
    <row r="215" spans="1:7" x14ac:dyDescent="0.25">
      <c r="A215" s="8">
        <v>42779.968715277777</v>
      </c>
      <c r="B215" s="20" t="s">
        <v>192</v>
      </c>
      <c r="C215" s="20" t="s">
        <v>750</v>
      </c>
      <c r="D215" s="150">
        <v>2230000</v>
      </c>
      <c r="E215" s="20" t="s">
        <v>437</v>
      </c>
      <c r="F215" s="20" t="s">
        <v>204</v>
      </c>
      <c r="G215" s="8" t="str">
        <f t="shared" si="3"/>
        <v>SMITH MICHAEL</v>
      </c>
    </row>
    <row r="216" spans="1:7" x14ac:dyDescent="0.25">
      <c r="A216" s="8">
        <v>42779.984918981485</v>
      </c>
      <c r="B216" s="20" t="s">
        <v>243</v>
      </c>
      <c r="C216" s="20" t="s">
        <v>551</v>
      </c>
      <c r="D216" s="150">
        <v>2000000</v>
      </c>
      <c r="E216" s="20" t="s">
        <v>260</v>
      </c>
      <c r="F216" s="20" t="s">
        <v>201</v>
      </c>
      <c r="G216" s="8" t="str">
        <f t="shared" si="3"/>
        <v>STAMBAUGH JAMES</v>
      </c>
    </row>
    <row r="217" spans="1:7" x14ac:dyDescent="0.25">
      <c r="A217" s="8">
        <v>42779.996087962965</v>
      </c>
      <c r="B217" s="20" t="s">
        <v>259</v>
      </c>
      <c r="C217" s="20" t="s">
        <v>751</v>
      </c>
      <c r="D217" s="150">
        <v>1800000</v>
      </c>
      <c r="E217" s="20" t="s">
        <v>273</v>
      </c>
      <c r="F217" s="20" t="s">
        <v>274</v>
      </c>
      <c r="G217" s="8" t="str">
        <f t="shared" si="3"/>
        <v>CHANDLER KELVIN</v>
      </c>
    </row>
    <row r="218" spans="1:7" x14ac:dyDescent="0.25">
      <c r="A218" s="8">
        <v>42780.008217592593</v>
      </c>
      <c r="B218" s="20" t="s">
        <v>229</v>
      </c>
      <c r="C218" s="20" t="s">
        <v>752</v>
      </c>
      <c r="D218" s="150">
        <v>1740000</v>
      </c>
      <c r="E218" s="20" t="s">
        <v>237</v>
      </c>
      <c r="F218" s="20" t="s">
        <v>238</v>
      </c>
      <c r="G218" s="8" t="str">
        <f t="shared" si="3"/>
        <v>STORY SAMANTHA</v>
      </c>
    </row>
    <row r="219" spans="1:7" x14ac:dyDescent="0.25">
      <c r="A219" s="8">
        <v>42780.010671296295</v>
      </c>
      <c r="B219" s="20" t="s">
        <v>428</v>
      </c>
      <c r="C219" s="20" t="s">
        <v>753</v>
      </c>
      <c r="D219" s="150">
        <v>2230000</v>
      </c>
      <c r="E219" s="20" t="s">
        <v>437</v>
      </c>
      <c r="F219" s="20" t="s">
        <v>204</v>
      </c>
      <c r="G219" s="8" t="str">
        <f t="shared" si="3"/>
        <v>SMITH MICHAEL</v>
      </c>
    </row>
    <row r="220" spans="1:7" x14ac:dyDescent="0.25">
      <c r="A220" s="8">
        <v>42780.029143518521</v>
      </c>
      <c r="B220" s="20" t="s">
        <v>335</v>
      </c>
      <c r="C220" s="20" t="s">
        <v>754</v>
      </c>
      <c r="D220" s="150">
        <v>1800000</v>
      </c>
      <c r="E220" s="20" t="s">
        <v>273</v>
      </c>
      <c r="F220" s="20" t="s">
        <v>274</v>
      </c>
      <c r="G220" s="8" t="str">
        <f t="shared" si="3"/>
        <v>CHANDLER KELVIN</v>
      </c>
    </row>
    <row r="221" spans="1:7" x14ac:dyDescent="0.25">
      <c r="A221" s="8">
        <v>42780.038495370369</v>
      </c>
      <c r="B221" s="20" t="s">
        <v>220</v>
      </c>
      <c r="C221" s="20" t="s">
        <v>552</v>
      </c>
      <c r="D221" s="150">
        <v>2000000</v>
      </c>
      <c r="E221" s="20" t="s">
        <v>260</v>
      </c>
      <c r="F221" s="20" t="s">
        <v>201</v>
      </c>
      <c r="G221" s="8" t="str">
        <f t="shared" si="3"/>
        <v>STAMBAUGH JAMES</v>
      </c>
    </row>
    <row r="222" spans="1:7" x14ac:dyDescent="0.25">
      <c r="A222" s="8">
        <v>42780.048518518517</v>
      </c>
      <c r="B222" s="20" t="s">
        <v>192</v>
      </c>
      <c r="C222" s="20" t="s">
        <v>755</v>
      </c>
      <c r="D222" s="150">
        <v>2230000</v>
      </c>
      <c r="E222" s="20" t="s">
        <v>437</v>
      </c>
      <c r="F222" s="20" t="s">
        <v>204</v>
      </c>
      <c r="G222" s="8" t="str">
        <f t="shared" si="3"/>
        <v>SMITH MICHAEL</v>
      </c>
    </row>
    <row r="223" spans="1:7" x14ac:dyDescent="0.25">
      <c r="A223" s="8">
        <v>42780.051655092589</v>
      </c>
      <c r="B223" s="20" t="s">
        <v>228</v>
      </c>
      <c r="C223" s="20" t="s">
        <v>756</v>
      </c>
      <c r="D223" s="150">
        <v>1740000</v>
      </c>
      <c r="E223" s="20" t="s">
        <v>237</v>
      </c>
      <c r="F223" s="20" t="s">
        <v>238</v>
      </c>
      <c r="G223" s="8" t="str">
        <f t="shared" si="3"/>
        <v>STORY SAMANTHA</v>
      </c>
    </row>
    <row r="224" spans="1:7" x14ac:dyDescent="0.25">
      <c r="A224" s="8">
        <v>42780.070567129631</v>
      </c>
      <c r="B224" t="s">
        <v>243</v>
      </c>
      <c r="C224" t="s">
        <v>757</v>
      </c>
      <c r="D224" s="150">
        <v>2000000</v>
      </c>
      <c r="E224" t="s">
        <v>260</v>
      </c>
      <c r="F224" s="20" t="s">
        <v>201</v>
      </c>
      <c r="G224" s="8" t="str">
        <f t="shared" si="3"/>
        <v>STAMBAUGH JAMES</v>
      </c>
    </row>
    <row r="225" spans="1:7" x14ac:dyDescent="0.25">
      <c r="A225" s="8">
        <v>42780.089895833335</v>
      </c>
      <c r="B225" t="s">
        <v>229</v>
      </c>
      <c r="C225" t="s">
        <v>758</v>
      </c>
      <c r="D225" s="150">
        <v>1740000</v>
      </c>
      <c r="E225" t="s">
        <v>237</v>
      </c>
      <c r="F225" s="20" t="s">
        <v>238</v>
      </c>
      <c r="G225" s="8" t="str">
        <f t="shared" si="3"/>
        <v>STORY SAMANTHA</v>
      </c>
    </row>
    <row r="226" spans="1:7" x14ac:dyDescent="0.25">
      <c r="A226" s="8">
        <v>42776.046770833331</v>
      </c>
      <c r="B226" t="s">
        <v>234</v>
      </c>
      <c r="C226" t="s">
        <v>440</v>
      </c>
      <c r="D226" s="150">
        <v>2370000</v>
      </c>
      <c r="E226" t="s">
        <v>420</v>
      </c>
      <c r="F226" s="20" t="s">
        <v>421</v>
      </c>
      <c r="G226" s="8" t="str">
        <f t="shared" si="3"/>
        <v>DELGADO DIANAH</v>
      </c>
    </row>
    <row r="227" spans="1:7" x14ac:dyDescent="0.25">
      <c r="A227" s="8">
        <v>42776.047465277778</v>
      </c>
      <c r="B227" t="s">
        <v>259</v>
      </c>
      <c r="C227" t="s">
        <v>441</v>
      </c>
      <c r="D227" s="150">
        <v>2220000</v>
      </c>
      <c r="E227" t="s">
        <v>223</v>
      </c>
      <c r="F227" s="20" t="s">
        <v>224</v>
      </c>
      <c r="G227" s="8" t="str">
        <f t="shared" si="3"/>
        <v>HILLS DUSTIN</v>
      </c>
    </row>
    <row r="228" spans="1:7" x14ac:dyDescent="0.25">
      <c r="A228" s="8">
        <v>42776.069826388892</v>
      </c>
      <c r="B228" t="s">
        <v>324</v>
      </c>
      <c r="C228" t="s">
        <v>442</v>
      </c>
      <c r="D228" s="150">
        <v>2270000</v>
      </c>
      <c r="E228" t="s">
        <v>241</v>
      </c>
      <c r="F228" s="20" t="s">
        <v>242</v>
      </c>
      <c r="G228" s="8" t="str">
        <f t="shared" si="3"/>
        <v>BROWN JACOB</v>
      </c>
    </row>
    <row r="229" spans="1:7" x14ac:dyDescent="0.25">
      <c r="A229" s="8">
        <v>42776.087337962963</v>
      </c>
      <c r="B229" t="s">
        <v>335</v>
      </c>
      <c r="C229" t="s">
        <v>443</v>
      </c>
      <c r="D229" s="150">
        <v>2220000</v>
      </c>
      <c r="E229" t="s">
        <v>223</v>
      </c>
      <c r="F229" s="20" t="s">
        <v>224</v>
      </c>
      <c r="G229" s="8" t="str">
        <f t="shared" si="3"/>
        <v>HILLS DUSTIN</v>
      </c>
    </row>
    <row r="230" spans="1:7" x14ac:dyDescent="0.25">
      <c r="A230" s="8">
        <v>42774.010520833333</v>
      </c>
      <c r="B230" t="s">
        <v>327</v>
      </c>
      <c r="C230" t="s">
        <v>343</v>
      </c>
      <c r="D230" s="150">
        <v>2630000</v>
      </c>
      <c r="E230" t="s">
        <v>325</v>
      </c>
      <c r="F230" s="20" t="s">
        <v>326</v>
      </c>
      <c r="G230" s="8" t="str">
        <f t="shared" si="3"/>
        <v>SAFIEF AEIMEN</v>
      </c>
    </row>
    <row r="231" spans="1:7" x14ac:dyDescent="0.25">
      <c r="A231" s="8">
        <v>42774.031064814815</v>
      </c>
      <c r="B231" t="s">
        <v>226</v>
      </c>
      <c r="C231" t="s">
        <v>344</v>
      </c>
      <c r="D231" s="150">
        <v>1740000</v>
      </c>
      <c r="E231" t="s">
        <v>237</v>
      </c>
      <c r="F231" s="20" t="s">
        <v>238</v>
      </c>
      <c r="G231" s="8" t="str">
        <f t="shared" si="3"/>
        <v>STORY SAMANTHA</v>
      </c>
    </row>
    <row r="232" spans="1:7" x14ac:dyDescent="0.25">
      <c r="A232" s="8">
        <v>42774.03429398148</v>
      </c>
      <c r="B232" t="s">
        <v>342</v>
      </c>
      <c r="C232" t="s">
        <v>345</v>
      </c>
      <c r="D232" s="150">
        <v>1800000</v>
      </c>
      <c r="E232" t="s">
        <v>273</v>
      </c>
      <c r="F232" s="20" t="s">
        <v>274</v>
      </c>
      <c r="G232" s="8" t="str">
        <f t="shared" si="3"/>
        <v>CHANDLER KELVIN</v>
      </c>
    </row>
    <row r="233" spans="1:7" x14ac:dyDescent="0.25">
      <c r="A233" s="8">
        <v>42774.047974537039</v>
      </c>
      <c r="B233" t="s">
        <v>324</v>
      </c>
      <c r="C233" t="s">
        <v>346</v>
      </c>
      <c r="D233" s="150">
        <v>2630000</v>
      </c>
      <c r="E233" t="s">
        <v>325</v>
      </c>
      <c r="F233" s="20" t="s">
        <v>326</v>
      </c>
      <c r="G233" s="8" t="str">
        <f t="shared" si="3"/>
        <v>SAFIEF AEIMEN</v>
      </c>
    </row>
    <row r="234" spans="1:7" x14ac:dyDescent="0.25">
      <c r="A234" s="8">
        <v>42774.059432870374</v>
      </c>
      <c r="B234" t="s">
        <v>328</v>
      </c>
      <c r="C234" t="s">
        <v>341</v>
      </c>
      <c r="D234" s="150">
        <v>2000000</v>
      </c>
      <c r="E234" t="s">
        <v>260</v>
      </c>
      <c r="F234" s="20" t="s">
        <v>201</v>
      </c>
      <c r="G234" s="8" t="str">
        <f t="shared" si="3"/>
        <v>STAMBAUGH JAMES</v>
      </c>
    </row>
    <row r="235" spans="1:7" x14ac:dyDescent="0.25">
      <c r="A235" s="8">
        <v>42769.048842592594</v>
      </c>
      <c r="B235" t="s">
        <v>297</v>
      </c>
      <c r="C235" t="s">
        <v>319</v>
      </c>
      <c r="D235" s="150">
        <v>1810000</v>
      </c>
      <c r="E235" t="s">
        <v>207</v>
      </c>
      <c r="F235" s="20" t="s">
        <v>201</v>
      </c>
      <c r="G235" s="8" t="str">
        <f t="shared" si="3"/>
        <v>NEWELL JAMES</v>
      </c>
    </row>
    <row r="236" spans="1:7" x14ac:dyDescent="0.25">
      <c r="A236" s="8">
        <v>42769.05</v>
      </c>
      <c r="B236" t="s">
        <v>281</v>
      </c>
      <c r="C236" t="s">
        <v>320</v>
      </c>
      <c r="D236" s="150">
        <v>2220000</v>
      </c>
      <c r="E236" t="s">
        <v>223</v>
      </c>
      <c r="F236" s="20" t="s">
        <v>224</v>
      </c>
      <c r="G236" s="8" t="str">
        <f t="shared" si="3"/>
        <v>HILLS DUSTIN</v>
      </c>
    </row>
    <row r="237" spans="1:7" x14ac:dyDescent="0.25">
      <c r="A237" s="8">
        <v>42769.054016203707</v>
      </c>
      <c r="B237" t="s">
        <v>304</v>
      </c>
      <c r="C237" t="s">
        <v>318</v>
      </c>
      <c r="D237" s="150">
        <v>2710000</v>
      </c>
      <c r="E237" t="s">
        <v>316</v>
      </c>
      <c r="F237" s="20" t="s">
        <v>317</v>
      </c>
      <c r="G237" s="8" t="str">
        <f t="shared" si="3"/>
        <v>SIMMONS SHYHESHA</v>
      </c>
    </row>
    <row r="238" spans="1:7" x14ac:dyDescent="0.25">
      <c r="A238" s="8">
        <v>42769.068425925929</v>
      </c>
      <c r="B238" t="s">
        <v>192</v>
      </c>
      <c r="C238" t="s">
        <v>321</v>
      </c>
      <c r="D238" s="150">
        <v>2560000</v>
      </c>
      <c r="E238" t="s">
        <v>314</v>
      </c>
      <c r="F238" s="20" t="s">
        <v>315</v>
      </c>
      <c r="G238" s="8" t="str">
        <f t="shared" si="3"/>
        <v>MACDONALD THOMAS</v>
      </c>
    </row>
    <row r="239" spans="1:7" x14ac:dyDescent="0.25">
      <c r="A239" s="8">
        <v>42769.087592592594</v>
      </c>
      <c r="B239" t="s">
        <v>280</v>
      </c>
      <c r="C239" t="s">
        <v>322</v>
      </c>
      <c r="D239" s="150">
        <v>2220000</v>
      </c>
      <c r="E239" t="s">
        <v>223</v>
      </c>
      <c r="F239" s="20" t="s">
        <v>224</v>
      </c>
      <c r="G239" s="8" t="str">
        <f t="shared" si="3"/>
        <v>HILLS DUSTIN</v>
      </c>
    </row>
    <row r="240" spans="1:7" x14ac:dyDescent="0.25">
      <c r="A240" s="8">
        <v>42769.104016203702</v>
      </c>
      <c r="B240" t="s">
        <v>305</v>
      </c>
      <c r="C240" t="s">
        <v>313</v>
      </c>
      <c r="D240" s="150">
        <v>2710000</v>
      </c>
      <c r="E240" t="s">
        <v>316</v>
      </c>
      <c r="F240" s="20" t="s">
        <v>317</v>
      </c>
      <c r="G240" s="8" t="str">
        <f t="shared" si="3"/>
        <v>SIMMONS SHYHESHA</v>
      </c>
    </row>
    <row r="241" spans="1:7" x14ac:dyDescent="0.25">
      <c r="A241" s="8">
        <v>42768.067361111112</v>
      </c>
      <c r="B241" t="s">
        <v>196</v>
      </c>
      <c r="C241" t="s">
        <v>306</v>
      </c>
      <c r="D241" s="150">
        <v>1740000</v>
      </c>
      <c r="E241" t="s">
        <v>237</v>
      </c>
      <c r="F241" s="20" t="s">
        <v>238</v>
      </c>
      <c r="G241" s="8" t="str">
        <f t="shared" si="3"/>
        <v>STORY SAMANTHA</v>
      </c>
    </row>
    <row r="242" spans="1:7" x14ac:dyDescent="0.25">
      <c r="A242" s="8">
        <v>42768.078194444446</v>
      </c>
      <c r="B242" t="s">
        <v>276</v>
      </c>
      <c r="C242" t="s">
        <v>307</v>
      </c>
      <c r="D242" s="150">
        <v>2270000</v>
      </c>
      <c r="E242" t="s">
        <v>241</v>
      </c>
      <c r="F242" s="20" t="s">
        <v>242</v>
      </c>
      <c r="G242" s="8" t="str">
        <f t="shared" si="3"/>
        <v>BROWN JACOB</v>
      </c>
    </row>
    <row r="243" spans="1:7" x14ac:dyDescent="0.25">
      <c r="A243" s="8">
        <v>42768.095821759256</v>
      </c>
      <c r="B243" t="s">
        <v>225</v>
      </c>
      <c r="C243" t="s">
        <v>308</v>
      </c>
      <c r="D243" s="150">
        <v>2540000</v>
      </c>
      <c r="E243" t="s">
        <v>230</v>
      </c>
      <c r="F243" s="20" t="s">
        <v>231</v>
      </c>
      <c r="G243" s="8" t="str">
        <f t="shared" si="3"/>
        <v>MCREYNOLDS KYLE</v>
      </c>
    </row>
    <row r="244" spans="1:7" x14ac:dyDescent="0.25">
      <c r="A244" s="8">
        <v>42761.974421296298</v>
      </c>
      <c r="B244" t="s">
        <v>280</v>
      </c>
      <c r="C244" t="s">
        <v>284</v>
      </c>
      <c r="D244" s="150">
        <v>1810000</v>
      </c>
      <c r="E244" t="s">
        <v>207</v>
      </c>
      <c r="F244" s="20" t="s">
        <v>201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271</v>
      </c>
      <c r="C245" t="s">
        <v>282</v>
      </c>
      <c r="D245" s="150">
        <v>2270000</v>
      </c>
      <c r="E245" t="s">
        <v>241</v>
      </c>
      <c r="F245" s="20" t="s">
        <v>242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226</v>
      </c>
      <c r="C246" t="s">
        <v>285</v>
      </c>
      <c r="D246" s="150">
        <v>1800000</v>
      </c>
      <c r="E246" t="s">
        <v>273</v>
      </c>
      <c r="F246" s="20" t="s">
        <v>274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276</v>
      </c>
      <c r="C247" t="s">
        <v>286</v>
      </c>
      <c r="D247" s="150">
        <v>2220000</v>
      </c>
      <c r="E247" t="s">
        <v>223</v>
      </c>
      <c r="F247" s="20" t="s">
        <v>224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281</v>
      </c>
      <c r="C248" t="s">
        <v>287</v>
      </c>
      <c r="D248" s="150">
        <v>1810000</v>
      </c>
      <c r="E248" t="s">
        <v>207</v>
      </c>
      <c r="F248" s="20" t="s">
        <v>201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225</v>
      </c>
      <c r="C249" t="s">
        <v>288</v>
      </c>
      <c r="D249" s="150">
        <v>1800000</v>
      </c>
      <c r="E249" t="s">
        <v>273</v>
      </c>
      <c r="F249" s="20" t="s">
        <v>274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272</v>
      </c>
      <c r="C250" t="s">
        <v>283</v>
      </c>
      <c r="D250" s="150">
        <v>2270000</v>
      </c>
      <c r="E250" t="s">
        <v>241</v>
      </c>
      <c r="F250" s="20" t="s">
        <v>242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280</v>
      </c>
      <c r="C251" t="s">
        <v>289</v>
      </c>
      <c r="D251" s="150">
        <v>1810000</v>
      </c>
      <c r="E251" t="s">
        <v>207</v>
      </c>
      <c r="F251" s="20" t="s">
        <v>201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275</v>
      </c>
      <c r="C252" t="s">
        <v>290</v>
      </c>
      <c r="D252" s="150">
        <v>2220000</v>
      </c>
      <c r="E252" t="s">
        <v>223</v>
      </c>
      <c r="F252" s="20" t="s">
        <v>224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275</v>
      </c>
      <c r="C253" t="s">
        <v>290</v>
      </c>
      <c r="D253" s="150">
        <v>2220000</v>
      </c>
      <c r="E253" t="s">
        <v>223</v>
      </c>
      <c r="F253" s="20" t="s">
        <v>224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271</v>
      </c>
      <c r="C254" t="s">
        <v>291</v>
      </c>
      <c r="D254" s="150">
        <v>2270000</v>
      </c>
      <c r="E254" t="s">
        <v>241</v>
      </c>
      <c r="F254" s="20" t="s">
        <v>242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276</v>
      </c>
      <c r="C255" t="s">
        <v>292</v>
      </c>
      <c r="D255" s="150">
        <v>2220000</v>
      </c>
      <c r="E255" t="s">
        <v>223</v>
      </c>
      <c r="F255" s="20" t="s">
        <v>224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211</v>
      </c>
      <c r="C256" t="s">
        <v>261</v>
      </c>
      <c r="D256" s="150">
        <v>2220000</v>
      </c>
      <c r="E256" t="s">
        <v>223</v>
      </c>
      <c r="F256" s="20" t="s">
        <v>224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196</v>
      </c>
      <c r="C257" t="s">
        <v>262</v>
      </c>
      <c r="D257" s="150">
        <v>2000000</v>
      </c>
      <c r="E257" t="s">
        <v>260</v>
      </c>
      <c r="F257" s="20" t="s">
        <v>201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234</v>
      </c>
      <c r="C258" t="s">
        <v>263</v>
      </c>
      <c r="D258" s="150">
        <v>2220000</v>
      </c>
      <c r="E258" t="s">
        <v>223</v>
      </c>
      <c r="F258" s="20" t="s">
        <v>224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259</v>
      </c>
      <c r="C259" t="s">
        <v>264</v>
      </c>
      <c r="D259" s="150">
        <v>1360000</v>
      </c>
      <c r="E259" t="s">
        <v>265</v>
      </c>
      <c r="F259" s="20" t="s">
        <v>266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243</v>
      </c>
      <c r="C260" t="s">
        <v>249</v>
      </c>
      <c r="D260" s="150">
        <v>2450000</v>
      </c>
      <c r="E260" t="s">
        <v>245</v>
      </c>
      <c r="F260" s="20" t="s">
        <v>246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228</v>
      </c>
      <c r="C261" t="s">
        <v>256</v>
      </c>
      <c r="D261" s="150">
        <v>1810000</v>
      </c>
      <c r="E261" t="s">
        <v>207</v>
      </c>
      <c r="F261" s="20" t="s">
        <v>201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250</v>
      </c>
      <c r="C262" t="s">
        <v>254</v>
      </c>
      <c r="D262" s="150">
        <v>2670000</v>
      </c>
      <c r="E262" t="s">
        <v>252</v>
      </c>
      <c r="F262" s="20" t="s">
        <v>253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225</v>
      </c>
      <c r="C263" t="s">
        <v>248</v>
      </c>
      <c r="D263" s="150">
        <v>2540000</v>
      </c>
      <c r="E263" t="s">
        <v>230</v>
      </c>
      <c r="F263" s="20" t="s">
        <v>231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220</v>
      </c>
      <c r="C264" t="s">
        <v>244</v>
      </c>
      <c r="D264" s="150">
        <v>2450000</v>
      </c>
      <c r="E264" t="s">
        <v>245</v>
      </c>
      <c r="F264" s="20" t="s">
        <v>246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240</v>
      </c>
      <c r="C265" t="s">
        <v>257</v>
      </c>
      <c r="D265" s="150">
        <v>2270000</v>
      </c>
      <c r="E265" t="s">
        <v>241</v>
      </c>
      <c r="F265" s="20" t="s">
        <v>242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226</v>
      </c>
      <c r="C266" t="s">
        <v>247</v>
      </c>
      <c r="D266" s="150">
        <v>2540000</v>
      </c>
      <c r="E266" t="s">
        <v>230</v>
      </c>
      <c r="F266" s="20" t="s">
        <v>231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243</v>
      </c>
      <c r="C267" t="s">
        <v>249</v>
      </c>
      <c r="D267" s="150">
        <v>2450000</v>
      </c>
      <c r="E267" t="s">
        <v>245</v>
      </c>
      <c r="F267" s="20" t="s">
        <v>246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240</v>
      </c>
      <c r="C268" t="s">
        <v>257</v>
      </c>
      <c r="D268" s="150">
        <v>2270000</v>
      </c>
      <c r="E268" t="s">
        <v>241</v>
      </c>
      <c r="F268" s="20" t="s">
        <v>242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225</v>
      </c>
      <c r="C269" t="s">
        <v>248</v>
      </c>
      <c r="D269" s="150">
        <v>2540000</v>
      </c>
      <c r="E269" t="s">
        <v>230</v>
      </c>
      <c r="F269" s="20" t="s">
        <v>231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229</v>
      </c>
      <c r="C270" t="s">
        <v>258</v>
      </c>
      <c r="D270" s="150">
        <v>1810000</v>
      </c>
      <c r="E270" t="s">
        <v>207</v>
      </c>
      <c r="F270" s="20" t="s">
        <v>201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255</v>
      </c>
      <c r="C271" t="s">
        <v>251</v>
      </c>
      <c r="D271" s="150">
        <v>2670000</v>
      </c>
      <c r="E271" t="s">
        <v>252</v>
      </c>
      <c r="F271" s="20" t="s">
        <v>253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220</v>
      </c>
      <c r="C272" t="s">
        <v>244</v>
      </c>
      <c r="D272" s="150">
        <v>2450000</v>
      </c>
      <c r="E272" t="s">
        <v>245</v>
      </c>
      <c r="F272" s="20" t="s">
        <v>246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226</v>
      </c>
      <c r="C273" t="s">
        <v>247</v>
      </c>
      <c r="D273" s="150">
        <v>2540000</v>
      </c>
      <c r="E273" t="s">
        <v>230</v>
      </c>
      <c r="F273" s="20" t="s">
        <v>231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66" t="s">
        <v>162</v>
      </c>
      <c r="B1" s="166" t="s">
        <v>165</v>
      </c>
      <c r="C1" s="166" t="s">
        <v>158</v>
      </c>
      <c r="D1" s="148" t="s">
        <v>170</v>
      </c>
      <c r="E1" s="166" t="s">
        <v>159</v>
      </c>
      <c r="F1" s="166" t="s">
        <v>157</v>
      </c>
      <c r="G1" s="166" t="s">
        <v>155</v>
      </c>
      <c r="H1" s="166" t="s">
        <v>168</v>
      </c>
      <c r="I1" s="166" t="s">
        <v>169</v>
      </c>
      <c r="J1" s="166" t="s">
        <v>163</v>
      </c>
      <c r="K1" s="166" t="s">
        <v>161</v>
      </c>
      <c r="L1" s="166" t="s">
        <v>156</v>
      </c>
      <c r="M1" s="166" t="s">
        <v>166</v>
      </c>
      <c r="N1" s="166" t="s">
        <v>160</v>
      </c>
      <c r="O1" s="166" t="s">
        <v>167</v>
      </c>
      <c r="P1" s="166" t="s">
        <v>164</v>
      </c>
      <c r="Q1"/>
      <c r="R1"/>
    </row>
    <row r="2" spans="1:18" x14ac:dyDescent="0.25">
      <c r="A2" s="167">
        <v>34.729999999999997</v>
      </c>
      <c r="B2" s="167">
        <v>0.51</v>
      </c>
      <c r="C2" s="167">
        <v>25.86</v>
      </c>
      <c r="D2" s="8">
        <v>42779</v>
      </c>
      <c r="E2" s="167">
        <v>0.7</v>
      </c>
      <c r="F2" s="167" t="s">
        <v>267</v>
      </c>
      <c r="G2" s="167">
        <v>307.70999999999998</v>
      </c>
      <c r="H2" s="167">
        <v>0</v>
      </c>
      <c r="I2" s="167">
        <v>0</v>
      </c>
      <c r="J2" s="167">
        <v>1024.3499999999999</v>
      </c>
      <c r="K2" s="167" t="s">
        <v>269</v>
      </c>
      <c r="L2" s="167">
        <v>34.729999999999997</v>
      </c>
      <c r="M2" s="167">
        <v>1486969200</v>
      </c>
      <c r="N2" s="167">
        <v>5.4</v>
      </c>
      <c r="O2" s="167">
        <v>194</v>
      </c>
      <c r="P2" s="167">
        <v>2.4900000000000002</v>
      </c>
      <c r="Q2"/>
      <c r="R2"/>
    </row>
    <row r="3" spans="1:18" x14ac:dyDescent="0.25">
      <c r="A3" s="167">
        <v>33.700000000000003</v>
      </c>
      <c r="B3" s="167">
        <v>0.47</v>
      </c>
      <c r="C3" s="167">
        <v>25.6</v>
      </c>
      <c r="D3" s="8">
        <v>42779.041666666664</v>
      </c>
      <c r="E3" s="167">
        <v>0.72</v>
      </c>
      <c r="F3" s="167" t="s">
        <v>267</v>
      </c>
      <c r="G3" s="167">
        <v>307.06</v>
      </c>
      <c r="H3" s="167">
        <v>0</v>
      </c>
      <c r="I3" s="167">
        <v>0</v>
      </c>
      <c r="J3" s="167">
        <v>1024.05</v>
      </c>
      <c r="K3" s="167" t="s">
        <v>269</v>
      </c>
      <c r="L3" s="167">
        <v>33.700000000000003</v>
      </c>
      <c r="M3" s="167">
        <v>1486972800</v>
      </c>
      <c r="N3" s="167">
        <v>5.14</v>
      </c>
      <c r="O3" s="167">
        <v>197</v>
      </c>
      <c r="P3" s="167">
        <v>1.51</v>
      </c>
      <c r="Q3"/>
      <c r="R3"/>
    </row>
    <row r="4" spans="1:18" x14ac:dyDescent="0.25">
      <c r="A4" s="167">
        <v>32.520000000000003</v>
      </c>
      <c r="B4" s="167">
        <v>0.5</v>
      </c>
      <c r="C4" s="167">
        <v>24.83</v>
      </c>
      <c r="D4" s="8">
        <v>42779.083333333336</v>
      </c>
      <c r="E4" s="167">
        <v>0.73</v>
      </c>
      <c r="F4" s="167" t="s">
        <v>267</v>
      </c>
      <c r="G4" s="167">
        <v>306.41000000000003</v>
      </c>
      <c r="H4" s="167">
        <v>0</v>
      </c>
      <c r="I4" s="167">
        <v>0</v>
      </c>
      <c r="J4" s="167">
        <v>1023.69</v>
      </c>
      <c r="K4" s="167" t="s">
        <v>269</v>
      </c>
      <c r="L4" s="167">
        <v>32.520000000000003</v>
      </c>
      <c r="M4" s="167">
        <v>1486976400</v>
      </c>
      <c r="N4" s="167">
        <v>4.6100000000000003</v>
      </c>
      <c r="O4" s="167">
        <v>205</v>
      </c>
      <c r="P4" s="167">
        <v>1.89</v>
      </c>
      <c r="Q4"/>
      <c r="R4"/>
    </row>
    <row r="5" spans="1:18" x14ac:dyDescent="0.25">
      <c r="A5" s="167">
        <v>31.8</v>
      </c>
      <c r="B5" s="167">
        <v>0.5</v>
      </c>
      <c r="C5" s="167">
        <v>24.96</v>
      </c>
      <c r="D5" s="8">
        <v>42779.125</v>
      </c>
      <c r="E5" s="167">
        <v>0.76</v>
      </c>
      <c r="F5" s="167" t="s">
        <v>267</v>
      </c>
      <c r="G5" s="167">
        <v>306.35000000000002</v>
      </c>
      <c r="H5" s="167">
        <v>0</v>
      </c>
      <c r="I5" s="167">
        <v>0</v>
      </c>
      <c r="J5" s="167">
        <v>1023.65</v>
      </c>
      <c r="K5" s="167" t="s">
        <v>269</v>
      </c>
      <c r="L5" s="167">
        <v>31.8</v>
      </c>
      <c r="M5" s="167">
        <v>1486980000</v>
      </c>
      <c r="N5" s="167">
        <v>4.37</v>
      </c>
      <c r="O5" s="167">
        <v>226</v>
      </c>
      <c r="P5" s="167">
        <v>1.54</v>
      </c>
      <c r="Q5"/>
      <c r="R5"/>
    </row>
    <row r="6" spans="1:18" x14ac:dyDescent="0.25">
      <c r="A6" s="167">
        <v>31.28</v>
      </c>
      <c r="B6" s="167">
        <v>0.54</v>
      </c>
      <c r="C6" s="167">
        <v>25</v>
      </c>
      <c r="D6" s="8">
        <v>42779.166666666664</v>
      </c>
      <c r="E6" s="167">
        <v>0.77</v>
      </c>
      <c r="F6" s="167" t="s">
        <v>267</v>
      </c>
      <c r="G6" s="167">
        <v>306.55</v>
      </c>
      <c r="H6" s="167">
        <v>0</v>
      </c>
      <c r="I6" s="167">
        <v>0</v>
      </c>
      <c r="J6" s="167">
        <v>1023.75</v>
      </c>
      <c r="K6" s="167" t="s">
        <v>269</v>
      </c>
      <c r="L6" s="167">
        <v>31.28</v>
      </c>
      <c r="M6" s="167">
        <v>1486983600</v>
      </c>
      <c r="N6" s="167">
        <v>4.54</v>
      </c>
      <c r="O6" s="167">
        <v>208</v>
      </c>
      <c r="P6" s="167">
        <v>1.45</v>
      </c>
      <c r="Q6"/>
      <c r="R6"/>
    </row>
    <row r="7" spans="1:18" x14ac:dyDescent="0.25">
      <c r="A7" s="167">
        <v>30.76</v>
      </c>
      <c r="B7" s="167">
        <v>0.56000000000000005</v>
      </c>
      <c r="C7" s="167">
        <v>24.74</v>
      </c>
      <c r="D7" s="8">
        <v>42779.208333333336</v>
      </c>
      <c r="E7" s="167">
        <v>0.78</v>
      </c>
      <c r="F7" s="167" t="s">
        <v>267</v>
      </c>
      <c r="G7" s="167">
        <v>306.87</v>
      </c>
      <c r="H7" s="167">
        <v>0</v>
      </c>
      <c r="I7" s="167">
        <v>0</v>
      </c>
      <c r="J7" s="167">
        <v>1023.78</v>
      </c>
      <c r="K7" s="167" t="s">
        <v>269</v>
      </c>
      <c r="L7" s="167">
        <v>30.76</v>
      </c>
      <c r="M7" s="167">
        <v>1486987200</v>
      </c>
      <c r="N7" s="167">
        <v>5.91</v>
      </c>
      <c r="O7" s="167">
        <v>248</v>
      </c>
      <c r="P7" s="167">
        <v>2.14</v>
      </c>
      <c r="Q7"/>
      <c r="R7"/>
    </row>
    <row r="8" spans="1:18" x14ac:dyDescent="0.25">
      <c r="A8" s="167">
        <v>32.119999999999997</v>
      </c>
      <c r="B8" s="167">
        <v>0.59</v>
      </c>
      <c r="C8" s="167">
        <v>25.64</v>
      </c>
      <c r="D8" s="8">
        <v>42779.25</v>
      </c>
      <c r="E8" s="167">
        <v>0.77</v>
      </c>
      <c r="F8" s="167" t="s">
        <v>267</v>
      </c>
      <c r="G8" s="167">
        <v>307.32</v>
      </c>
      <c r="H8" s="167">
        <v>0</v>
      </c>
      <c r="I8" s="167">
        <v>0</v>
      </c>
      <c r="J8" s="167">
        <v>1023.77</v>
      </c>
      <c r="K8" s="167" t="s">
        <v>269</v>
      </c>
      <c r="L8" s="167">
        <v>32.119999999999997</v>
      </c>
      <c r="M8" s="167">
        <v>1486990800</v>
      </c>
      <c r="N8" s="167">
        <v>5.0599999999999996</v>
      </c>
      <c r="O8" s="167">
        <v>237</v>
      </c>
      <c r="P8" s="167">
        <v>2.29</v>
      </c>
      <c r="Q8"/>
      <c r="R8"/>
    </row>
    <row r="9" spans="1:18" x14ac:dyDescent="0.25">
      <c r="A9" s="167">
        <v>31.95</v>
      </c>
      <c r="B9" s="167">
        <v>0.61</v>
      </c>
      <c r="C9" s="167">
        <v>25.44</v>
      </c>
      <c r="D9" s="8">
        <v>42779.291666666664</v>
      </c>
      <c r="E9" s="167">
        <v>0.77</v>
      </c>
      <c r="F9" s="167" t="s">
        <v>267</v>
      </c>
      <c r="G9" s="167">
        <v>307.88</v>
      </c>
      <c r="H9" s="167">
        <v>0</v>
      </c>
      <c r="I9" s="167">
        <v>0</v>
      </c>
      <c r="J9" s="167">
        <v>1023.71</v>
      </c>
      <c r="K9" s="167" t="s">
        <v>444</v>
      </c>
      <c r="L9" s="167">
        <v>31.95</v>
      </c>
      <c r="M9" s="167">
        <v>1486994400</v>
      </c>
      <c r="N9" s="167">
        <v>4.21</v>
      </c>
      <c r="O9" s="167">
        <v>235</v>
      </c>
      <c r="P9" s="167">
        <v>1.73</v>
      </c>
      <c r="Q9"/>
      <c r="R9"/>
    </row>
    <row r="10" spans="1:18" x14ac:dyDescent="0.25">
      <c r="A10" s="167">
        <v>33.75</v>
      </c>
      <c r="B10" s="167">
        <v>0.63</v>
      </c>
      <c r="C10" s="167">
        <v>26.46</v>
      </c>
      <c r="D10" s="8">
        <v>42779.333333333336</v>
      </c>
      <c r="E10" s="167">
        <v>0.74</v>
      </c>
      <c r="F10" s="167" t="s">
        <v>268</v>
      </c>
      <c r="G10" s="167">
        <v>308.32</v>
      </c>
      <c r="H10" s="167">
        <v>0</v>
      </c>
      <c r="I10" s="167">
        <v>0</v>
      </c>
      <c r="J10" s="167">
        <v>1023.41</v>
      </c>
      <c r="K10" s="167" t="s">
        <v>444</v>
      </c>
      <c r="L10" s="167">
        <v>33.75</v>
      </c>
      <c r="M10" s="167">
        <v>1486998000</v>
      </c>
      <c r="N10" s="167">
        <v>3.97</v>
      </c>
      <c r="O10" s="167">
        <v>238</v>
      </c>
      <c r="P10" s="167">
        <v>1.58</v>
      </c>
      <c r="Q10"/>
      <c r="R10"/>
    </row>
    <row r="11" spans="1:18" x14ac:dyDescent="0.25">
      <c r="A11" s="167">
        <v>36.61</v>
      </c>
      <c r="B11" s="167">
        <v>0.64</v>
      </c>
      <c r="C11" s="167">
        <v>27.82</v>
      </c>
      <c r="D11" s="8">
        <v>42779.375</v>
      </c>
      <c r="E11" s="167">
        <v>0.7</v>
      </c>
      <c r="F11" s="167" t="s">
        <v>268</v>
      </c>
      <c r="G11" s="167">
        <v>308.58999999999997</v>
      </c>
      <c r="H11" s="167">
        <v>0</v>
      </c>
      <c r="I11" s="167">
        <v>0</v>
      </c>
      <c r="J11" s="167">
        <v>1022.72</v>
      </c>
      <c r="K11" s="167" t="s">
        <v>444</v>
      </c>
      <c r="L11" s="167">
        <v>36.61</v>
      </c>
      <c r="M11" s="167">
        <v>1487001600</v>
      </c>
      <c r="N11" s="167">
        <v>4</v>
      </c>
      <c r="O11" s="167">
        <v>234</v>
      </c>
      <c r="P11" s="167">
        <v>1.59</v>
      </c>
      <c r="Q11"/>
      <c r="R11"/>
    </row>
    <row r="12" spans="1:18" x14ac:dyDescent="0.25">
      <c r="A12" s="167">
        <v>41.14</v>
      </c>
      <c r="B12" s="167">
        <v>0.63</v>
      </c>
      <c r="C12" s="167">
        <v>29.11</v>
      </c>
      <c r="D12" s="8">
        <v>42779.416666666664</v>
      </c>
      <c r="E12" s="167">
        <v>0.62</v>
      </c>
      <c r="F12" s="167" t="s">
        <v>268</v>
      </c>
      <c r="G12" s="167">
        <v>308.74</v>
      </c>
      <c r="H12" s="167">
        <v>0</v>
      </c>
      <c r="I12" s="167">
        <v>0</v>
      </c>
      <c r="J12" s="167">
        <v>1021.76</v>
      </c>
      <c r="K12" s="167" t="s">
        <v>444</v>
      </c>
      <c r="L12" s="167">
        <v>41.14</v>
      </c>
      <c r="M12" s="167">
        <v>1487005200</v>
      </c>
      <c r="N12" s="167">
        <v>3.96</v>
      </c>
      <c r="O12" s="167">
        <v>232</v>
      </c>
      <c r="P12" s="167">
        <v>1.31</v>
      </c>
      <c r="Q12"/>
      <c r="R12"/>
    </row>
    <row r="13" spans="1:18" x14ac:dyDescent="0.25">
      <c r="A13" s="167">
        <v>44.18</v>
      </c>
      <c r="B13" s="167">
        <v>0.63</v>
      </c>
      <c r="C13" s="167">
        <v>29.02</v>
      </c>
      <c r="D13" s="8">
        <v>42779.458333333336</v>
      </c>
      <c r="E13" s="167">
        <v>0.55000000000000004</v>
      </c>
      <c r="F13" s="167" t="s">
        <v>268</v>
      </c>
      <c r="G13" s="167">
        <v>308.72000000000003</v>
      </c>
      <c r="H13" s="167">
        <v>0</v>
      </c>
      <c r="I13" s="167">
        <v>0</v>
      </c>
      <c r="J13" s="167">
        <v>1020.91</v>
      </c>
      <c r="K13" s="167" t="s">
        <v>444</v>
      </c>
      <c r="L13" s="167">
        <v>44.18</v>
      </c>
      <c r="M13" s="167">
        <v>1487008800</v>
      </c>
      <c r="N13" s="167">
        <v>3.96</v>
      </c>
      <c r="O13" s="167">
        <v>334</v>
      </c>
      <c r="P13" s="167">
        <v>0.71</v>
      </c>
      <c r="Q13"/>
      <c r="R13"/>
    </row>
    <row r="14" spans="1:18" x14ac:dyDescent="0.25">
      <c r="A14" s="167">
        <v>45.89</v>
      </c>
      <c r="B14" s="167">
        <v>0.68</v>
      </c>
      <c r="C14" s="167">
        <v>26.01</v>
      </c>
      <c r="D14" s="8">
        <v>42779.5</v>
      </c>
      <c r="E14" s="167">
        <v>0.43</v>
      </c>
      <c r="F14" s="167" t="s">
        <v>268</v>
      </c>
      <c r="G14" s="167">
        <v>308.39</v>
      </c>
      <c r="H14" s="167">
        <v>0</v>
      </c>
      <c r="I14" s="167">
        <v>0</v>
      </c>
      <c r="J14" s="167">
        <v>1020.14</v>
      </c>
      <c r="K14" s="167" t="s">
        <v>444</v>
      </c>
      <c r="L14" s="167">
        <v>47.09</v>
      </c>
      <c r="M14" s="167">
        <v>1487012400</v>
      </c>
      <c r="N14" s="167">
        <v>3.96</v>
      </c>
      <c r="O14" s="167">
        <v>12</v>
      </c>
      <c r="P14" s="167">
        <v>3.53</v>
      </c>
      <c r="Q14"/>
      <c r="R14"/>
    </row>
    <row r="15" spans="1:18" x14ac:dyDescent="0.25">
      <c r="A15" s="167">
        <v>45.89</v>
      </c>
      <c r="B15" s="167">
        <v>0.68</v>
      </c>
      <c r="C15" s="167">
        <v>20.85</v>
      </c>
      <c r="D15" s="8">
        <v>42779.541666666664</v>
      </c>
      <c r="E15" s="167">
        <v>0.33</v>
      </c>
      <c r="F15" s="167" t="s">
        <v>268</v>
      </c>
      <c r="G15" s="167">
        <v>307.88</v>
      </c>
      <c r="H15" s="167">
        <v>0</v>
      </c>
      <c r="I15" s="167">
        <v>0</v>
      </c>
      <c r="J15" s="167">
        <v>1019.44</v>
      </c>
      <c r="K15" s="167" t="s">
        <v>444</v>
      </c>
      <c r="L15" s="167">
        <v>48.41</v>
      </c>
      <c r="M15" s="167">
        <v>1487016000</v>
      </c>
      <c r="N15" s="167">
        <v>3.96</v>
      </c>
      <c r="O15" s="167">
        <v>28</v>
      </c>
      <c r="P15" s="167">
        <v>5.79</v>
      </c>
      <c r="Q15"/>
      <c r="R15"/>
    </row>
    <row r="16" spans="1:18" x14ac:dyDescent="0.25">
      <c r="A16" s="167">
        <v>45.02</v>
      </c>
      <c r="B16" s="167">
        <v>0.55000000000000004</v>
      </c>
      <c r="C16" s="167">
        <v>19.559999999999999</v>
      </c>
      <c r="D16" s="8">
        <v>42779.583333333336</v>
      </c>
      <c r="E16" s="167">
        <v>0.32</v>
      </c>
      <c r="F16" s="167" t="s">
        <v>268</v>
      </c>
      <c r="G16" s="167">
        <v>307.52</v>
      </c>
      <c r="H16" s="167">
        <v>0</v>
      </c>
      <c r="I16" s="167">
        <v>0</v>
      </c>
      <c r="J16" s="167">
        <v>1019.06</v>
      </c>
      <c r="K16" s="167" t="s">
        <v>269</v>
      </c>
      <c r="L16" s="167">
        <v>48.33</v>
      </c>
      <c r="M16" s="167">
        <v>1487019600</v>
      </c>
      <c r="N16" s="167">
        <v>5.24</v>
      </c>
      <c r="O16" s="167">
        <v>11</v>
      </c>
      <c r="P16" s="167">
        <v>7.35</v>
      </c>
      <c r="Q16"/>
      <c r="R16"/>
    </row>
    <row r="17" spans="1:18" x14ac:dyDescent="0.25">
      <c r="A17" s="167">
        <v>44.42</v>
      </c>
      <c r="B17" s="167">
        <v>0.62</v>
      </c>
      <c r="C17" s="167">
        <v>18.73</v>
      </c>
      <c r="D17" s="8">
        <v>42779.625</v>
      </c>
      <c r="E17" s="167">
        <v>0.32</v>
      </c>
      <c r="F17" s="167" t="s">
        <v>268</v>
      </c>
      <c r="G17" s="167">
        <v>307.27999999999997</v>
      </c>
      <c r="H17" s="167">
        <v>0</v>
      </c>
      <c r="I17" s="167">
        <v>0</v>
      </c>
      <c r="J17" s="167">
        <v>1019.13</v>
      </c>
      <c r="K17" s="167" t="s">
        <v>444</v>
      </c>
      <c r="L17" s="167">
        <v>47.42</v>
      </c>
      <c r="M17" s="167">
        <v>1487023200</v>
      </c>
      <c r="N17" s="167">
        <v>5.32</v>
      </c>
      <c r="O17" s="167">
        <v>11</v>
      </c>
      <c r="P17" s="167">
        <v>6.33</v>
      </c>
      <c r="Q17"/>
      <c r="R17"/>
    </row>
    <row r="18" spans="1:18" x14ac:dyDescent="0.25">
      <c r="A18" s="167">
        <v>44.88</v>
      </c>
      <c r="B18" s="167">
        <v>0.7</v>
      </c>
      <c r="C18" s="167">
        <v>17.12</v>
      </c>
      <c r="D18" s="8">
        <v>42779.666666666664</v>
      </c>
      <c r="E18" s="167">
        <v>0.3</v>
      </c>
      <c r="F18" s="167" t="s">
        <v>268</v>
      </c>
      <c r="G18" s="167">
        <v>307.18</v>
      </c>
      <c r="H18" s="167">
        <v>0</v>
      </c>
      <c r="I18" s="167">
        <v>0</v>
      </c>
      <c r="J18" s="167">
        <v>1019.54</v>
      </c>
      <c r="K18" s="167" t="s">
        <v>444</v>
      </c>
      <c r="L18" s="167">
        <v>47.1</v>
      </c>
      <c r="M18" s="167">
        <v>1487026800</v>
      </c>
      <c r="N18" s="167">
        <v>5.53</v>
      </c>
      <c r="O18" s="167">
        <v>16</v>
      </c>
      <c r="P18" s="167">
        <v>4.8899999999999997</v>
      </c>
      <c r="Q18"/>
      <c r="R18"/>
    </row>
    <row r="19" spans="1:18" x14ac:dyDescent="0.25">
      <c r="A19" s="167">
        <v>45.23</v>
      </c>
      <c r="B19" s="167">
        <v>0.86</v>
      </c>
      <c r="C19" s="167">
        <v>15.09</v>
      </c>
      <c r="D19" s="8">
        <v>42779.708333333336</v>
      </c>
      <c r="E19" s="167">
        <v>0.28000000000000003</v>
      </c>
      <c r="F19" s="167" t="s">
        <v>268</v>
      </c>
      <c r="G19" s="167">
        <v>307.68</v>
      </c>
      <c r="H19" s="167">
        <v>0</v>
      </c>
      <c r="I19" s="167">
        <v>0</v>
      </c>
      <c r="J19" s="167">
        <v>1020.13</v>
      </c>
      <c r="K19" s="167" t="s">
        <v>444</v>
      </c>
      <c r="L19" s="167">
        <v>46.43</v>
      </c>
      <c r="M19" s="167">
        <v>1487030400</v>
      </c>
      <c r="N19" s="167">
        <v>6.04</v>
      </c>
      <c r="O19" s="167">
        <v>18</v>
      </c>
      <c r="P19" s="167">
        <v>3.43</v>
      </c>
      <c r="Q19"/>
      <c r="R19"/>
    </row>
    <row r="20" spans="1:18" x14ac:dyDescent="0.25">
      <c r="A20" s="167">
        <v>42.81</v>
      </c>
      <c r="B20" s="167">
        <v>0.85</v>
      </c>
      <c r="C20" s="167">
        <v>12.37</v>
      </c>
      <c r="D20" s="8">
        <v>42779.75</v>
      </c>
      <c r="E20" s="167">
        <v>0.27</v>
      </c>
      <c r="F20" s="167" t="s">
        <v>267</v>
      </c>
      <c r="G20" s="167">
        <v>309.11</v>
      </c>
      <c r="H20" s="167">
        <v>0</v>
      </c>
      <c r="I20" s="167">
        <v>0</v>
      </c>
      <c r="J20" s="167">
        <v>1020.8</v>
      </c>
      <c r="K20" s="167" t="s">
        <v>444</v>
      </c>
      <c r="L20" s="167">
        <v>44</v>
      </c>
      <c r="M20" s="167">
        <v>1487034000</v>
      </c>
      <c r="N20" s="167">
        <v>6.75</v>
      </c>
      <c r="O20" s="167">
        <v>10</v>
      </c>
      <c r="P20" s="167">
        <v>3.07</v>
      </c>
      <c r="Q20"/>
      <c r="R20"/>
    </row>
    <row r="21" spans="1:18" x14ac:dyDescent="0.25">
      <c r="A21" s="167">
        <v>42.76</v>
      </c>
      <c r="B21" s="167">
        <v>0.71</v>
      </c>
      <c r="C21" s="167">
        <v>11.97</v>
      </c>
      <c r="D21" s="8">
        <v>42779.791666666664</v>
      </c>
      <c r="E21" s="167">
        <v>0.28000000000000003</v>
      </c>
      <c r="F21" s="167" t="s">
        <v>267</v>
      </c>
      <c r="G21" s="167">
        <v>311.13</v>
      </c>
      <c r="H21" s="167">
        <v>0</v>
      </c>
      <c r="I21" s="167">
        <v>0</v>
      </c>
      <c r="J21" s="167">
        <v>1021.73</v>
      </c>
      <c r="K21" s="167" t="s">
        <v>444</v>
      </c>
      <c r="L21" s="167">
        <v>42.76</v>
      </c>
      <c r="M21" s="167">
        <v>1487037600</v>
      </c>
      <c r="N21" s="167">
        <v>7.38</v>
      </c>
      <c r="O21" s="167">
        <v>18</v>
      </c>
      <c r="P21" s="167">
        <v>2.5099999999999998</v>
      </c>
      <c r="Q21"/>
      <c r="R21"/>
    </row>
    <row r="22" spans="1:18" x14ac:dyDescent="0.25">
      <c r="A22" s="167">
        <v>41.01</v>
      </c>
      <c r="B22" s="167">
        <v>0.63</v>
      </c>
      <c r="C22" s="167">
        <v>11.88</v>
      </c>
      <c r="D22" s="8">
        <v>42779.833333333336</v>
      </c>
      <c r="E22" s="167">
        <v>0.3</v>
      </c>
      <c r="F22" s="167" t="s">
        <v>267</v>
      </c>
      <c r="G22" s="167">
        <v>313.19</v>
      </c>
      <c r="H22" s="167">
        <v>0</v>
      </c>
      <c r="I22" s="167">
        <v>0</v>
      </c>
      <c r="J22" s="167">
        <v>1022.64</v>
      </c>
      <c r="K22" s="167" t="s">
        <v>444</v>
      </c>
      <c r="L22" s="167">
        <v>41.01</v>
      </c>
      <c r="M22" s="167">
        <v>1487041200</v>
      </c>
      <c r="N22" s="167">
        <v>6.25</v>
      </c>
      <c r="O22" s="167">
        <v>352</v>
      </c>
      <c r="P22" s="167">
        <v>2.4</v>
      </c>
      <c r="Q22"/>
      <c r="R22"/>
    </row>
    <row r="23" spans="1:18" x14ac:dyDescent="0.25">
      <c r="A23" s="167">
        <v>39.79</v>
      </c>
      <c r="B23" s="167">
        <v>0.68</v>
      </c>
      <c r="C23" s="167">
        <v>13.05</v>
      </c>
      <c r="D23" s="8">
        <v>42779.875</v>
      </c>
      <c r="E23" s="167">
        <v>0.33</v>
      </c>
      <c r="F23" s="167" t="s">
        <v>267</v>
      </c>
      <c r="G23" s="167">
        <v>315.18</v>
      </c>
      <c r="H23" s="167">
        <v>0</v>
      </c>
      <c r="I23" s="167">
        <v>0</v>
      </c>
      <c r="J23" s="167">
        <v>1023.51</v>
      </c>
      <c r="K23" s="167" t="s">
        <v>444</v>
      </c>
      <c r="L23" s="167">
        <v>39.79</v>
      </c>
      <c r="M23" s="167">
        <v>1487044800</v>
      </c>
      <c r="N23" s="167">
        <v>5.41</v>
      </c>
      <c r="O23" s="167">
        <v>339</v>
      </c>
      <c r="P23" s="167">
        <v>2.68</v>
      </c>
      <c r="Q23"/>
      <c r="R23"/>
    </row>
    <row r="24" spans="1:18" x14ac:dyDescent="0.25">
      <c r="A24" s="167">
        <v>35.26</v>
      </c>
      <c r="B24" s="167">
        <v>0.67</v>
      </c>
      <c r="C24" s="167">
        <v>12.18</v>
      </c>
      <c r="D24" s="8">
        <v>42779.916666666664</v>
      </c>
      <c r="E24" s="167">
        <v>0.35</v>
      </c>
      <c r="F24" s="167" t="s">
        <v>267</v>
      </c>
      <c r="G24" s="167">
        <v>317.2</v>
      </c>
      <c r="H24" s="167">
        <v>0</v>
      </c>
      <c r="I24" s="167">
        <v>0</v>
      </c>
      <c r="J24" s="167">
        <v>1024.3599999999999</v>
      </c>
      <c r="K24" s="167" t="s">
        <v>444</v>
      </c>
      <c r="L24" s="167">
        <v>37.28</v>
      </c>
      <c r="M24" s="167">
        <v>1487048400</v>
      </c>
      <c r="N24" s="167">
        <v>5.35</v>
      </c>
      <c r="O24" s="167">
        <v>338</v>
      </c>
      <c r="P24" s="167">
        <v>3.03</v>
      </c>
      <c r="Q24"/>
      <c r="R24"/>
    </row>
    <row r="25" spans="1:18" x14ac:dyDescent="0.25">
      <c r="A25" s="167">
        <v>37.19</v>
      </c>
      <c r="B25" s="167">
        <v>0.65</v>
      </c>
      <c r="C25" s="167">
        <v>12.56</v>
      </c>
      <c r="D25" s="8">
        <v>42779.958333333336</v>
      </c>
      <c r="E25" s="167">
        <v>0.36</v>
      </c>
      <c r="F25" s="167" t="s">
        <v>267</v>
      </c>
      <c r="G25" s="167">
        <v>319.10000000000002</v>
      </c>
      <c r="H25" s="167">
        <v>0</v>
      </c>
      <c r="I25" s="167">
        <v>0</v>
      </c>
      <c r="J25" s="167">
        <v>1025.03</v>
      </c>
      <c r="K25" s="167" t="s">
        <v>444</v>
      </c>
      <c r="L25" s="167">
        <v>37.19</v>
      </c>
      <c r="M25" s="167">
        <v>1487052000</v>
      </c>
      <c r="N25" s="167">
        <v>5.61</v>
      </c>
      <c r="O25" s="167">
        <v>348</v>
      </c>
      <c r="P25" s="167">
        <v>2.61</v>
      </c>
      <c r="Q25"/>
      <c r="R25"/>
    </row>
    <row r="26" spans="1:18" x14ac:dyDescent="0.25">
      <c r="A26" s="167">
        <v>33.14</v>
      </c>
      <c r="B26" s="167">
        <v>0.63</v>
      </c>
      <c r="C26" s="167">
        <v>13.07</v>
      </c>
      <c r="D26" s="8">
        <v>42780</v>
      </c>
      <c r="E26" s="167">
        <v>0.39</v>
      </c>
      <c r="F26" s="167" t="s">
        <v>267</v>
      </c>
      <c r="G26" s="167">
        <v>320.69</v>
      </c>
      <c r="H26" s="167">
        <v>0</v>
      </c>
      <c r="I26" s="167">
        <v>0</v>
      </c>
      <c r="J26" s="167">
        <v>1025.3800000000001</v>
      </c>
      <c r="K26" s="167" t="s">
        <v>444</v>
      </c>
      <c r="L26" s="167">
        <v>35.51</v>
      </c>
      <c r="M26" s="167">
        <v>1487055600</v>
      </c>
      <c r="N26" s="167">
        <v>5.87</v>
      </c>
      <c r="O26" s="167">
        <v>333</v>
      </c>
      <c r="P26" s="167">
        <v>3.12</v>
      </c>
      <c r="Q26"/>
      <c r="R26"/>
    </row>
    <row r="27" spans="1:18" x14ac:dyDescent="0.25">
      <c r="A27" s="167">
        <v>32.54</v>
      </c>
      <c r="B27" s="167">
        <v>0.61</v>
      </c>
      <c r="C27" s="167">
        <v>12.53</v>
      </c>
      <c r="D27" s="8">
        <v>42780.041666666664</v>
      </c>
      <c r="E27" s="167">
        <v>0.43</v>
      </c>
      <c r="F27" s="167" t="s">
        <v>267</v>
      </c>
      <c r="G27" s="167">
        <v>322.29000000000002</v>
      </c>
      <c r="H27" s="167">
        <v>0</v>
      </c>
      <c r="I27" s="167">
        <v>0</v>
      </c>
      <c r="J27" s="167">
        <v>1025.72</v>
      </c>
      <c r="K27" s="167" t="s">
        <v>444</v>
      </c>
      <c r="L27" s="167">
        <v>32.54</v>
      </c>
      <c r="M27" s="167">
        <v>1487059200</v>
      </c>
      <c r="N27" s="167">
        <v>5.62</v>
      </c>
      <c r="O27" s="167">
        <v>331</v>
      </c>
      <c r="P27" s="167">
        <v>1.17</v>
      </c>
      <c r="Q27"/>
      <c r="R27"/>
    </row>
    <row r="28" spans="1:18" x14ac:dyDescent="0.25">
      <c r="A28" s="167">
        <v>31</v>
      </c>
      <c r="B28" s="167">
        <v>0.37</v>
      </c>
      <c r="C28" s="167">
        <v>12.47</v>
      </c>
      <c r="D28" s="8">
        <v>42780.083333333336</v>
      </c>
      <c r="E28" s="167">
        <v>0.46</v>
      </c>
      <c r="F28" s="167" t="s">
        <v>267</v>
      </c>
      <c r="G28" s="167">
        <v>323.88</v>
      </c>
      <c r="H28" s="167">
        <v>0</v>
      </c>
      <c r="I28" s="167">
        <v>0</v>
      </c>
      <c r="J28" s="167">
        <v>1026.06</v>
      </c>
      <c r="K28" s="167" t="s">
        <v>269</v>
      </c>
      <c r="L28" s="167">
        <v>31</v>
      </c>
      <c r="M28" s="167">
        <v>1487062800</v>
      </c>
      <c r="N28" s="167">
        <v>3.91</v>
      </c>
      <c r="O28" s="167">
        <v>291</v>
      </c>
      <c r="P28" s="167">
        <v>1.28</v>
      </c>
      <c r="Q28"/>
      <c r="R28"/>
    </row>
    <row r="29" spans="1:18" x14ac:dyDescent="0.25">
      <c r="A29" s="167">
        <v>26.95</v>
      </c>
      <c r="B29" s="167">
        <v>0.34</v>
      </c>
      <c r="C29" s="167">
        <v>9.57</v>
      </c>
      <c r="D29" s="8">
        <v>42780.125</v>
      </c>
      <c r="E29" s="167">
        <v>0.47</v>
      </c>
      <c r="F29" s="167" t="s">
        <v>267</v>
      </c>
      <c r="G29" s="167">
        <v>326.31</v>
      </c>
      <c r="H29" s="167">
        <v>0</v>
      </c>
      <c r="I29" s="167">
        <v>0</v>
      </c>
      <c r="J29" s="167">
        <v>1026.48</v>
      </c>
      <c r="K29" s="167" t="s">
        <v>269</v>
      </c>
      <c r="L29" s="167">
        <v>26.95</v>
      </c>
      <c r="M29" s="167">
        <v>1487066400</v>
      </c>
      <c r="N29" s="167">
        <v>6.49</v>
      </c>
      <c r="O29" s="167">
        <v>281</v>
      </c>
      <c r="P29" s="167">
        <v>2.15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4"/>
  <sheetViews>
    <sheetView topLeftCell="A7" workbookViewId="0">
      <selection activeCell="C18" sqref="C18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42779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52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52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52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52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52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52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52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3" x14ac:dyDescent="0.25">
      <c r="C17" s="149" t="s">
        <v>191</v>
      </c>
      <c r="J17" s="160"/>
      <c r="K17" s="161"/>
      <c r="L17" s="161"/>
    </row>
    <row r="18" spans="3:13" x14ac:dyDescent="0.25">
      <c r="C18" t="s">
        <v>905</v>
      </c>
      <c r="J18" s="160" t="s">
        <v>85</v>
      </c>
      <c r="K18" s="161"/>
      <c r="L18" s="161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906</v>
      </c>
      <c r="J19" s="160" t="s">
        <v>86</v>
      </c>
      <c r="K19" s="161"/>
      <c r="L19" s="161"/>
      <c r="M19" s="152" t="s">
        <v>112</v>
      </c>
    </row>
    <row r="20" spans="3:13" x14ac:dyDescent="0.25">
      <c r="C20" t="s">
        <v>907</v>
      </c>
      <c r="J20" s="152" t="s">
        <v>87</v>
      </c>
      <c r="M20" s="152" t="s">
        <v>215</v>
      </c>
    </row>
    <row r="21" spans="3:13" x14ac:dyDescent="0.25">
      <c r="C21" t="s">
        <v>908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909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910</v>
      </c>
      <c r="J23" s="162" t="s">
        <v>95</v>
      </c>
      <c r="M23" s="152" t="str">
        <f>"-07"</f>
        <v>-07</v>
      </c>
    </row>
    <row r="24" spans="3:13" x14ac:dyDescent="0.25">
      <c r="C24" t="s">
        <v>911</v>
      </c>
      <c r="J24" s="152" t="s">
        <v>108</v>
      </c>
      <c r="M24" s="152" t="s">
        <v>110</v>
      </c>
    </row>
    <row r="25" spans="3:13" x14ac:dyDescent="0.25">
      <c r="C25" t="s">
        <v>912</v>
      </c>
      <c r="J25" s="152" t="s">
        <v>150</v>
      </c>
      <c r="M25" s="152" t="b">
        <v>1</v>
      </c>
    </row>
    <row r="26" spans="3:13" x14ac:dyDescent="0.25">
      <c r="C26" t="s">
        <v>523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C:\Users\stu\Documents\GitHub\eaglep3-reporting\EC\2017-02-13-refined-times.txt</v>
      </c>
    </row>
    <row r="27" spans="3:13" x14ac:dyDescent="0.25">
      <c r="C27" t="s">
        <v>913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C:\Users\stu\Documents\GitHub\eaglep3-reporting\EC\2017-02-13-Enforcements.txt</v>
      </c>
    </row>
    <row r="28" spans="3:13" x14ac:dyDescent="0.25">
      <c r="C28" t="s">
        <v>914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C:\Users\stu\Documents\GitHub\eaglep3-reporting\EC\2017-02-13-Runs-refined.txt</v>
      </c>
    </row>
    <row r="29" spans="3:13" x14ac:dyDescent="0.25">
      <c r="C29" t="s">
        <v>915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C:\Users\stu\Documents\GitHub\eaglep3-reporting\EC\2017-02-13-Trips.txt</v>
      </c>
    </row>
    <row r="30" spans="3:13" x14ac:dyDescent="0.25">
      <c r="C30" t="s">
        <v>916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C:\Users\stu\Documents\GitHub\eaglep3-reporting\EC\2017-02-13-Weather.txt</v>
      </c>
    </row>
    <row r="31" spans="3:13" x14ac:dyDescent="0.25">
      <c r="C31" t="s">
        <v>917</v>
      </c>
      <c r="J31" s="152" t="s">
        <v>213</v>
      </c>
      <c r="M31" s="152" t="s">
        <v>214</v>
      </c>
    </row>
    <row r="32" spans="3:13" x14ac:dyDescent="0.25">
      <c r="C32" t="s">
        <v>918</v>
      </c>
    </row>
    <row r="33" spans="3:3" x14ac:dyDescent="0.25">
      <c r="C33" t="s">
        <v>919</v>
      </c>
    </row>
    <row r="34" spans="3:3" x14ac:dyDescent="0.25">
      <c r="C34" t="s">
        <v>920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O17" sqref="O17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354</v>
      </c>
      <c r="B1" t="str">
        <f t="shared" ref="B1:B30" si="0">MID(A1,6,23)</f>
        <v>2017/02/07 12:00:56.685</v>
      </c>
      <c r="C1" t="e">
        <f>ABS(B1-#REF!)</f>
        <v>#REF!</v>
      </c>
    </row>
    <row r="2" spans="1:3" x14ac:dyDescent="0.25">
      <c r="A2" t="s">
        <v>355</v>
      </c>
      <c r="B2" s="20" t="str">
        <f t="shared" si="0"/>
        <v>2017/02/07 13:55:01.354</v>
      </c>
      <c r="C2">
        <f>ABS(B2-B1)</f>
        <v>7.9220706022169907E-2</v>
      </c>
    </row>
    <row r="3" spans="1:3" x14ac:dyDescent="0.25">
      <c r="A3" t="s">
        <v>356</v>
      </c>
      <c r="B3" s="20" t="str">
        <f t="shared" si="0"/>
        <v>2017/02/07 13:55:01.553</v>
      </c>
      <c r="C3" s="20">
        <f t="shared" ref="C3:C30" si="1">ABS(B3-B2)</f>
        <v>2.3032407625578344E-6</v>
      </c>
    </row>
    <row r="4" spans="1:3" x14ac:dyDescent="0.25">
      <c r="A4" t="s">
        <v>357</v>
      </c>
      <c r="B4" s="20" t="str">
        <f t="shared" si="0"/>
        <v>2017/02/07 13:55:51.548</v>
      </c>
      <c r="C4" s="20">
        <f t="shared" si="1"/>
        <v>5.7864583504851907E-4</v>
      </c>
    </row>
    <row r="5" spans="1:3" x14ac:dyDescent="0.25">
      <c r="A5" t="s">
        <v>358</v>
      </c>
      <c r="B5" s="20" t="str">
        <f t="shared" si="0"/>
        <v>2017/02/07 13:55:55.355</v>
      </c>
      <c r="C5" s="20">
        <f t="shared" si="1"/>
        <v>4.4062493543606251E-5</v>
      </c>
    </row>
    <row r="6" spans="1:3" x14ac:dyDescent="0.25">
      <c r="A6" t="s">
        <v>359</v>
      </c>
      <c r="B6" s="20" t="str">
        <f t="shared" si="0"/>
        <v>2017/02/07 14:47:08.050</v>
      </c>
      <c r="C6" s="20">
        <f t="shared" si="1"/>
        <v>3.5563599543820601E-2</v>
      </c>
    </row>
    <row r="7" spans="1:3" x14ac:dyDescent="0.25">
      <c r="A7" t="s">
        <v>360</v>
      </c>
      <c r="B7" s="20" t="str">
        <f t="shared" si="0"/>
        <v>2017/02/07 14:47:11.537</v>
      </c>
      <c r="C7" s="20">
        <f t="shared" si="1"/>
        <v>4.035879101138562E-5</v>
      </c>
    </row>
    <row r="8" spans="1:3" x14ac:dyDescent="0.25">
      <c r="A8" t="s">
        <v>361</v>
      </c>
      <c r="B8" s="20" t="str">
        <f t="shared" si="0"/>
        <v>2017/02/07 15:36:46.745</v>
      </c>
      <c r="C8" s="20">
        <f t="shared" si="1"/>
        <v>3.443527778290445E-2</v>
      </c>
    </row>
    <row r="9" spans="1:3" x14ac:dyDescent="0.25">
      <c r="A9" t="s">
        <v>362</v>
      </c>
      <c r="B9" s="20" t="str">
        <f t="shared" si="0"/>
        <v>2017/02/07 15:36:46.852</v>
      </c>
      <c r="C9" s="20">
        <f t="shared" si="1"/>
        <v>1.2384189176373184E-6</v>
      </c>
    </row>
    <row r="10" spans="1:3" x14ac:dyDescent="0.25">
      <c r="A10" t="s">
        <v>363</v>
      </c>
      <c r="B10" s="20" t="str">
        <f t="shared" si="0"/>
        <v>2017/02/07 15:36:46.859</v>
      </c>
      <c r="C10" s="20">
        <f t="shared" si="1"/>
        <v>8.1025063991546631E-8</v>
      </c>
    </row>
    <row r="11" spans="1:3" x14ac:dyDescent="0.25">
      <c r="A11" t="s">
        <v>364</v>
      </c>
      <c r="B11" s="20" t="str">
        <f t="shared" si="0"/>
        <v>2017/02/07 16:06:13.604</v>
      </c>
      <c r="C11" s="20">
        <f t="shared" si="1"/>
        <v>2.0448437498998828E-2</v>
      </c>
    </row>
    <row r="12" spans="1:3" x14ac:dyDescent="0.25">
      <c r="A12" t="s">
        <v>365</v>
      </c>
      <c r="B12" s="20" t="str">
        <f t="shared" si="0"/>
        <v>2017/02/07 16:06:14.075</v>
      </c>
      <c r="C12" s="20">
        <f t="shared" si="1"/>
        <v>5.4513875511474907E-6</v>
      </c>
    </row>
    <row r="13" spans="1:3" x14ac:dyDescent="0.25">
      <c r="A13" t="s">
        <v>366</v>
      </c>
      <c r="B13" s="20" t="str">
        <f t="shared" si="0"/>
        <v>2017/02/07 16:06:15.192</v>
      </c>
      <c r="C13" s="20">
        <f t="shared" si="1"/>
        <v>1.2928241631016135E-5</v>
      </c>
    </row>
    <row r="14" spans="1:3" x14ac:dyDescent="0.25">
      <c r="A14" t="s">
        <v>367</v>
      </c>
      <c r="B14" s="20" t="str">
        <f t="shared" si="0"/>
        <v>2017/02/07 16:30:46.483</v>
      </c>
      <c r="C14" s="20">
        <f t="shared" si="1"/>
        <v>1.7028831018251367E-2</v>
      </c>
    </row>
    <row r="15" spans="1:3" x14ac:dyDescent="0.25">
      <c r="A15" t="s">
        <v>368</v>
      </c>
      <c r="B15" s="20" t="str">
        <f t="shared" si="0"/>
        <v>2017/02/07 17:34:23.659</v>
      </c>
      <c r="C15" s="20">
        <f t="shared" si="1"/>
        <v>4.4180277778650634E-2</v>
      </c>
    </row>
    <row r="16" spans="1:3" x14ac:dyDescent="0.25">
      <c r="A16" t="s">
        <v>369</v>
      </c>
      <c r="B16" s="20" t="str">
        <f t="shared" si="0"/>
        <v>2017/02/07 17:45:09.428</v>
      </c>
      <c r="C16" s="20">
        <f t="shared" si="1"/>
        <v>7.4741782373166643E-3</v>
      </c>
    </row>
    <row r="17" spans="1:3" x14ac:dyDescent="0.25">
      <c r="A17" t="s">
        <v>370</v>
      </c>
      <c r="B17" s="20" t="str">
        <f t="shared" si="0"/>
        <v>2017/02/07 17:45:10.066</v>
      </c>
      <c r="C17" s="20">
        <f t="shared" si="1"/>
        <v>7.3842602432705462E-6</v>
      </c>
    </row>
    <row r="18" spans="1:3" x14ac:dyDescent="0.25">
      <c r="A18" t="s">
        <v>371</v>
      </c>
      <c r="B18" s="20" t="str">
        <f t="shared" si="0"/>
        <v>2017/02/07 18:34:46.658</v>
      </c>
      <c r="C18" s="20">
        <f t="shared" si="1"/>
        <v>3.4451296298357192E-2</v>
      </c>
    </row>
    <row r="19" spans="1:3" x14ac:dyDescent="0.25">
      <c r="A19" t="s">
        <v>372</v>
      </c>
      <c r="B19" s="20" t="str">
        <f t="shared" si="0"/>
        <v>2017/02/07 18:34:47.434</v>
      </c>
      <c r="C19" s="20">
        <f t="shared" si="1"/>
        <v>8.9814784587360919E-6</v>
      </c>
    </row>
    <row r="20" spans="1:3" x14ac:dyDescent="0.25">
      <c r="A20" t="s">
        <v>373</v>
      </c>
      <c r="B20" s="20" t="str">
        <f t="shared" si="0"/>
        <v>2017/02/07 18:55:06.290</v>
      </c>
      <c r="C20" s="20">
        <f t="shared" si="1"/>
        <v>1.4107129631156567E-2</v>
      </c>
    </row>
    <row r="21" spans="1:3" x14ac:dyDescent="0.25">
      <c r="A21" t="s">
        <v>374</v>
      </c>
      <c r="B21" s="20" t="str">
        <f t="shared" si="0"/>
        <v>2017/02/07 18:55:06.899</v>
      </c>
      <c r="C21" s="20">
        <f t="shared" si="1"/>
        <v>7.0486130425706506E-6</v>
      </c>
    </row>
    <row r="22" spans="1:3" x14ac:dyDescent="0.25">
      <c r="A22" t="s">
        <v>375</v>
      </c>
      <c r="B22" s="20" t="str">
        <f t="shared" si="0"/>
        <v>2017/02/07 20:05:48.057</v>
      </c>
      <c r="C22" s="20">
        <f t="shared" si="1"/>
        <v>4.9087476851127576E-2</v>
      </c>
    </row>
    <row r="23" spans="1:3" x14ac:dyDescent="0.25">
      <c r="A23" t="s">
        <v>376</v>
      </c>
      <c r="B23" s="20" t="str">
        <f t="shared" si="0"/>
        <v>2017/02/07 20:05:48.181</v>
      </c>
      <c r="C23" s="20">
        <f t="shared" si="1"/>
        <v>1.4351826393976808E-6</v>
      </c>
    </row>
    <row r="24" spans="1:3" x14ac:dyDescent="0.25">
      <c r="A24" t="s">
        <v>377</v>
      </c>
      <c r="B24" s="20" t="str">
        <f t="shared" si="0"/>
        <v>2017/02/07 20:34:23.331</v>
      </c>
      <c r="C24" s="20">
        <f t="shared" si="1"/>
        <v>1.9851273151289206E-2</v>
      </c>
    </row>
    <row r="25" spans="1:3" x14ac:dyDescent="0.25">
      <c r="A25" t="s">
        <v>378</v>
      </c>
      <c r="B25" s="20" t="str">
        <f t="shared" si="0"/>
        <v>2017/02/07 20:36:24.264</v>
      </c>
      <c r="C25" s="20">
        <f t="shared" si="1"/>
        <v>1.3996874986332841E-3</v>
      </c>
    </row>
    <row r="26" spans="1:3" x14ac:dyDescent="0.25">
      <c r="A26" t="s">
        <v>379</v>
      </c>
      <c r="B26" s="20" t="str">
        <f t="shared" si="0"/>
        <v>2017/02/07 20:36:24.468</v>
      </c>
      <c r="C26" s="20">
        <f t="shared" si="1"/>
        <v>2.3611137294210494E-6</v>
      </c>
    </row>
    <row r="27" spans="1:3" x14ac:dyDescent="0.25">
      <c r="A27" t="s">
        <v>380</v>
      </c>
      <c r="B27" s="20" t="str">
        <f t="shared" si="0"/>
        <v>2017/02/07 20:36:24.508</v>
      </c>
      <c r="C27" s="20">
        <f t="shared" si="1"/>
        <v>4.6296190703287721E-7</v>
      </c>
    </row>
    <row r="28" spans="1:3" x14ac:dyDescent="0.25">
      <c r="A28" t="s">
        <v>381</v>
      </c>
      <c r="B28" s="20" t="str">
        <f t="shared" si="0"/>
        <v>2017/02/07 22:35:57.811</v>
      </c>
      <c r="C28" s="20">
        <f t="shared" si="1"/>
        <v>8.3024340274278075E-2</v>
      </c>
    </row>
    <row r="29" spans="1:3" x14ac:dyDescent="0.25">
      <c r="A29" t="s">
        <v>382</v>
      </c>
      <c r="B29" s="20" t="str">
        <f t="shared" si="0"/>
        <v>2017/02/07 22:35:57.849</v>
      </c>
      <c r="C29" s="20">
        <f t="shared" si="1"/>
        <v>4.3981708586215973E-7</v>
      </c>
    </row>
    <row r="30" spans="1:3" x14ac:dyDescent="0.25">
      <c r="A30" t="s">
        <v>383</v>
      </c>
      <c r="B30" s="20" t="str">
        <f t="shared" si="0"/>
        <v>2017/02/07 22:35:57.963</v>
      </c>
      <c r="C30" s="20">
        <f t="shared" si="1"/>
        <v>1.319443981628865E-6</v>
      </c>
    </row>
    <row r="31" spans="1:3" x14ac:dyDescent="0.25">
      <c r="A31" t="s">
        <v>384</v>
      </c>
      <c r="B31" s="20" t="str">
        <f t="shared" ref="B31:B32" si="2">MID(A31,6,23)</f>
        <v>2017/02/07 23:09:55.846</v>
      </c>
      <c r="C31" s="20">
        <f t="shared" ref="C31:C32" si="3">ABS(B31-B30)</f>
        <v>2.3586608796904329E-2</v>
      </c>
    </row>
    <row r="32" spans="1:3" x14ac:dyDescent="0.25">
      <c r="A32" t="s">
        <v>385</v>
      </c>
      <c r="B32" s="20" t="str">
        <f t="shared" si="2"/>
        <v>2017/02/07 23:09:57.307</v>
      </c>
      <c r="C32" s="20">
        <f t="shared" si="3"/>
        <v>1.6909718397073448E-5</v>
      </c>
    </row>
    <row r="33" spans="1:3" x14ac:dyDescent="0.25">
      <c r="A33" t="s">
        <v>386</v>
      </c>
      <c r="B33" s="20" t="str">
        <f t="shared" ref="B33:B49" si="4">MID(A33,6,23)</f>
        <v>2017/02/07 23:09:58.017</v>
      </c>
      <c r="C33" s="20">
        <f t="shared" ref="C33:C49" si="5">ABS(B33-B32)</f>
        <v>8.2175974966958165E-6</v>
      </c>
    </row>
    <row r="34" spans="1:3" x14ac:dyDescent="0.25">
      <c r="A34" t="s">
        <v>387</v>
      </c>
      <c r="B34" s="20" t="str">
        <f t="shared" si="4"/>
        <v>2017/02/07 23:26:24.807</v>
      </c>
      <c r="C34" s="20">
        <f t="shared" si="5"/>
        <v>1.1421180555771571E-2</v>
      </c>
    </row>
    <row r="35" spans="1:3" x14ac:dyDescent="0.25">
      <c r="A35" t="s">
        <v>388</v>
      </c>
      <c r="B35" s="20" t="str">
        <f t="shared" si="4"/>
        <v>2017/02/07 23:26:24.850</v>
      </c>
      <c r="C35" s="20">
        <f t="shared" si="5"/>
        <v>4.9768277676776052E-7</v>
      </c>
    </row>
    <row r="36" spans="1:3" x14ac:dyDescent="0.25">
      <c r="A36" t="s">
        <v>389</v>
      </c>
      <c r="B36" s="20" t="str">
        <f t="shared" si="4"/>
        <v>2017/02/07 23:26:24.964</v>
      </c>
      <c r="C36" s="20">
        <f t="shared" si="5"/>
        <v>1.319443981628865E-6</v>
      </c>
    </row>
    <row r="37" spans="1:3" x14ac:dyDescent="0.25">
      <c r="A37" t="s">
        <v>390</v>
      </c>
      <c r="B37" s="20" t="str">
        <f t="shared" si="4"/>
        <v>2017/02/08 00:04:18.849</v>
      </c>
      <c r="C37" s="20">
        <f t="shared" si="5"/>
        <v>2.6318113428715151E-2</v>
      </c>
    </row>
    <row r="38" spans="1:3" x14ac:dyDescent="0.25">
      <c r="A38" t="s">
        <v>391</v>
      </c>
      <c r="B38" s="20" t="str">
        <f t="shared" si="4"/>
        <v>2017/02/08 00:04:19.016</v>
      </c>
      <c r="C38" s="20">
        <f t="shared" si="5"/>
        <v>1.9328654161654413E-6</v>
      </c>
    </row>
    <row r="39" spans="1:3" x14ac:dyDescent="0.25">
      <c r="A39" t="s">
        <v>392</v>
      </c>
      <c r="B39" s="20" t="str">
        <f t="shared" si="4"/>
        <v>2017/02/08 00:04:19.306</v>
      </c>
      <c r="C39" s="20">
        <f t="shared" si="5"/>
        <v>3.3564865589141846E-6</v>
      </c>
    </row>
    <row r="40" spans="1:3" x14ac:dyDescent="0.25">
      <c r="A40" t="s">
        <v>393</v>
      </c>
      <c r="B40" s="20" t="str">
        <f t="shared" si="4"/>
        <v>2017/02/08 00:05:21.847</v>
      </c>
      <c r="C40" s="20">
        <f t="shared" si="5"/>
        <v>7.2385416569886729E-4</v>
      </c>
    </row>
    <row r="41" spans="1:3" x14ac:dyDescent="0.25">
      <c r="A41" t="s">
        <v>394</v>
      </c>
      <c r="B41" s="20" t="str">
        <f t="shared" si="4"/>
        <v>2017/02/08 00:05:22.014</v>
      </c>
      <c r="C41" s="20">
        <f t="shared" si="5"/>
        <v>1.9328654161654413E-6</v>
      </c>
    </row>
    <row r="42" spans="1:3" x14ac:dyDescent="0.25">
      <c r="A42" t="s">
        <v>395</v>
      </c>
      <c r="B42" s="20" t="str">
        <f t="shared" si="4"/>
        <v>2017/02/08 00:05:22.303</v>
      </c>
      <c r="C42" s="20">
        <f t="shared" si="5"/>
        <v>3.3449105103500187E-6</v>
      </c>
    </row>
    <row r="43" spans="1:3" x14ac:dyDescent="0.25">
      <c r="A43" t="s">
        <v>396</v>
      </c>
      <c r="B43" s="20" t="str">
        <f t="shared" si="4"/>
        <v>2017/02/08 00:23:05.855</v>
      </c>
      <c r="C43" s="20">
        <f t="shared" si="5"/>
        <v>1.2309629630181007E-2</v>
      </c>
    </row>
    <row r="44" spans="1:3" x14ac:dyDescent="0.25">
      <c r="A44" t="s">
        <v>397</v>
      </c>
      <c r="B44" s="20" t="str">
        <f t="shared" si="4"/>
        <v>2017/02/08 00:23:05.963</v>
      </c>
      <c r="C44" s="20">
        <f t="shared" si="5"/>
        <v>1.2500022421590984E-6</v>
      </c>
    </row>
    <row r="45" spans="1:3" x14ac:dyDescent="0.25">
      <c r="A45" t="s">
        <v>398</v>
      </c>
      <c r="B45" s="20" t="str">
        <f t="shared" si="4"/>
        <v>2017/02/08 00:23:06.816</v>
      </c>
      <c r="C45" s="20">
        <f t="shared" si="5"/>
        <v>9.872681403066963E-6</v>
      </c>
    </row>
    <row r="46" spans="1:3" x14ac:dyDescent="0.25">
      <c r="A46" t="s">
        <v>399</v>
      </c>
      <c r="B46" s="20" t="str">
        <f t="shared" si="4"/>
        <v>2017/02/08 00:25:34.816</v>
      </c>
      <c r="C46" s="20">
        <f t="shared" si="5"/>
        <v>1.7129629632108845E-3</v>
      </c>
    </row>
    <row r="47" spans="1:3" x14ac:dyDescent="0.25">
      <c r="A47" t="s">
        <v>400</v>
      </c>
      <c r="B47" s="20" t="str">
        <f t="shared" si="4"/>
        <v>2017/02/08 00:25:34.849</v>
      </c>
      <c r="C47" s="20">
        <f t="shared" si="5"/>
        <v>3.8194411899894476E-7</v>
      </c>
    </row>
    <row r="48" spans="1:3" x14ac:dyDescent="0.25">
      <c r="A48" t="s">
        <v>401</v>
      </c>
      <c r="B48" s="20" t="str">
        <f t="shared" si="4"/>
        <v>2017/02/08 00:25:34.957</v>
      </c>
      <c r="C48" s="20">
        <f t="shared" si="5"/>
        <v>1.2500022421590984E-6</v>
      </c>
    </row>
    <row r="49" spans="1:3" x14ac:dyDescent="0.25">
      <c r="A49" t="s">
        <v>402</v>
      </c>
      <c r="B49" s="20" t="str">
        <f t="shared" si="4"/>
        <v>2017/02/08 01:15:29.705</v>
      </c>
      <c r="C49" s="20">
        <f t="shared" si="5"/>
        <v>3.4661435187445022E-2</v>
      </c>
    </row>
    <row r="50" spans="1:3" x14ac:dyDescent="0.25">
      <c r="A50" t="s">
        <v>403</v>
      </c>
      <c r="B50" s="20" t="str">
        <f t="shared" ref="B50:B54" si="6">MID(A50,6,23)</f>
        <v>2017/02/08 01:37:02.029</v>
      </c>
      <c r="C50" s="20">
        <f t="shared" ref="C50:C54" si="7">ABS(B50-B49)</f>
        <v>1.4957453699025791E-2</v>
      </c>
    </row>
    <row r="51" spans="1:3" x14ac:dyDescent="0.25">
      <c r="A51" t="s">
        <v>404</v>
      </c>
      <c r="B51" s="20" t="str">
        <f t="shared" si="6"/>
        <v>2017/02/08 02:06:00.018</v>
      </c>
      <c r="C51" s="20">
        <f t="shared" si="7"/>
        <v>2.0115613428060897E-2</v>
      </c>
    </row>
    <row r="52" spans="1:3" x14ac:dyDescent="0.25">
      <c r="A52" t="s">
        <v>405</v>
      </c>
      <c r="B52" s="20" t="str">
        <f t="shared" si="6"/>
        <v>2017/02/08 02:06:01.465</v>
      </c>
      <c r="C52" s="20">
        <f t="shared" si="7"/>
        <v>1.6747682821005583E-5</v>
      </c>
    </row>
    <row r="53" spans="1:3" x14ac:dyDescent="0.25">
      <c r="A53" t="s">
        <v>406</v>
      </c>
      <c r="B53" s="20" t="str">
        <f t="shared" si="6"/>
        <v>2017/02/08 02:06:01.888</v>
      </c>
      <c r="C53" s="20">
        <f t="shared" si="7"/>
        <v>4.8958318075165153E-6</v>
      </c>
    </row>
    <row r="54" spans="1:3" x14ac:dyDescent="0.25">
      <c r="A54" t="s">
        <v>407</v>
      </c>
      <c r="B54" s="20" t="str">
        <f t="shared" si="6"/>
        <v>2017/02/08 02:06:02.284</v>
      </c>
      <c r="C54" s="20">
        <f t="shared" si="7"/>
        <v>4.5833367039449513E-6</v>
      </c>
    </row>
    <row r="55" spans="1:3" x14ac:dyDescent="0.25">
      <c r="A55" t="s">
        <v>408</v>
      </c>
      <c r="B55" s="20" t="str">
        <f t="shared" ref="B55:B62" si="8">MID(A55,6,23)</f>
        <v>2017/02/08 02:06:41.308</v>
      </c>
      <c r="C55" s="20">
        <f t="shared" ref="C55:C62" si="9">ABS(B55-B54)</f>
        <v>4.5166666677687317E-4</v>
      </c>
    </row>
    <row r="56" spans="1:3" x14ac:dyDescent="0.25">
      <c r="A56" t="s">
        <v>409</v>
      </c>
      <c r="B56" s="20" t="str">
        <f t="shared" si="8"/>
        <v>2017/02/08 02:06:41.848</v>
      </c>
      <c r="C56" s="20">
        <f t="shared" si="9"/>
        <v>6.2499966588802636E-6</v>
      </c>
    </row>
    <row r="57" spans="1:3" x14ac:dyDescent="0.25">
      <c r="A57" t="s">
        <v>410</v>
      </c>
      <c r="B57" s="20" t="str">
        <f t="shared" si="8"/>
        <v>2017/02/08 02:06:42.018</v>
      </c>
      <c r="C57" s="20">
        <f t="shared" si="9"/>
        <v>1.9675935618579388E-6</v>
      </c>
    </row>
    <row r="58" spans="1:3" x14ac:dyDescent="0.25">
      <c r="A58" t="s">
        <v>411</v>
      </c>
      <c r="B58" s="20" t="str">
        <f t="shared" si="8"/>
        <v>2017/02/08 02:41:52.549</v>
      </c>
      <c r="C58" s="20">
        <f t="shared" si="9"/>
        <v>2.4427442134765442E-2</v>
      </c>
    </row>
    <row r="59" spans="1:3" x14ac:dyDescent="0.25">
      <c r="A59" t="s">
        <v>412</v>
      </c>
      <c r="B59" s="20" t="str">
        <f t="shared" si="8"/>
        <v>2017/02/08 02:41:52.827</v>
      </c>
      <c r="C59" s="20">
        <f t="shared" si="9"/>
        <v>3.217588528059423E-6</v>
      </c>
    </row>
    <row r="60" spans="1:3" x14ac:dyDescent="0.25">
      <c r="A60" t="s">
        <v>413</v>
      </c>
      <c r="B60" s="20" t="str">
        <f t="shared" si="8"/>
        <v>2017/02/08 02:41:53.183</v>
      </c>
      <c r="C60" s="20">
        <f t="shared" si="9"/>
        <v>4.1203747969120741E-6</v>
      </c>
    </row>
    <row r="61" spans="1:3" x14ac:dyDescent="0.25">
      <c r="A61" t="s">
        <v>414</v>
      </c>
      <c r="B61" s="20" t="str">
        <f t="shared" si="8"/>
        <v>2017/02/08 08:41:20.651</v>
      </c>
      <c r="C61" s="20">
        <f t="shared" si="9"/>
        <v>0.24962347222026438</v>
      </c>
    </row>
    <row r="62" spans="1:3" x14ac:dyDescent="0.25">
      <c r="A62" t="s">
        <v>415</v>
      </c>
      <c r="B62" s="20" t="str">
        <f t="shared" si="8"/>
        <v>2017/02/08 08:41:20.659</v>
      </c>
      <c r="C62" s="20">
        <f t="shared" si="9"/>
        <v>9.2593836598098278E-8</v>
      </c>
    </row>
    <row r="63" spans="1:3" x14ac:dyDescent="0.25">
      <c r="B63" s="20"/>
      <c r="C63" s="20"/>
    </row>
    <row r="64" spans="1:3" x14ac:dyDescent="0.25">
      <c r="B64" s="20"/>
      <c r="C64" s="20"/>
    </row>
    <row r="65" spans="2:3" x14ac:dyDescent="0.25">
      <c r="B65" s="20"/>
      <c r="C65" s="20"/>
    </row>
    <row r="66" spans="2:3" x14ac:dyDescent="0.25">
      <c r="B66" s="20"/>
      <c r="C66" s="20"/>
    </row>
    <row r="67" spans="2:3" x14ac:dyDescent="0.25">
      <c r="B67" s="20"/>
      <c r="C67" s="20"/>
    </row>
    <row r="68" spans="2:3" x14ac:dyDescent="0.25">
      <c r="B68" s="20"/>
      <c r="C68" s="20"/>
    </row>
    <row r="69" spans="2:3" x14ac:dyDescent="0.25">
      <c r="B69" s="20"/>
      <c r="C69" s="20"/>
    </row>
    <row r="70" spans="2:3" x14ac:dyDescent="0.25">
      <c r="B70" s="20"/>
      <c r="C70" s="20"/>
    </row>
    <row r="71" spans="2:3" x14ac:dyDescent="0.25">
      <c r="B71" s="20"/>
      <c r="C71" s="20"/>
    </row>
    <row r="72" spans="2:3" x14ac:dyDescent="0.25">
      <c r="B72" s="20"/>
      <c r="C72" s="20"/>
    </row>
    <row r="73" spans="2:3" x14ac:dyDescent="0.25">
      <c r="B73" s="20"/>
      <c r="C73" s="20"/>
    </row>
    <row r="74" spans="2:3" x14ac:dyDescent="0.25">
      <c r="B74" s="20"/>
      <c r="C74" s="20"/>
    </row>
    <row r="75" spans="2:3" x14ac:dyDescent="0.25">
      <c r="B75" s="20"/>
      <c r="C75" s="20"/>
    </row>
    <row r="76" spans="2:3" x14ac:dyDescent="0.25">
      <c r="B76" s="20"/>
      <c r="C76" s="20"/>
    </row>
    <row r="77" spans="2:3" x14ac:dyDescent="0.25">
      <c r="B77" s="20"/>
      <c r="C77" s="20"/>
    </row>
    <row r="78" spans="2:3" x14ac:dyDescent="0.25">
      <c r="B78" s="20"/>
      <c r="C78" s="20"/>
    </row>
    <row r="79" spans="2:3" x14ac:dyDescent="0.25">
      <c r="B79" s="20"/>
      <c r="C79" s="20"/>
    </row>
    <row r="80" spans="2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2017-02-14T15:52:38Z</dcterms:modified>
</cp:coreProperties>
</file>