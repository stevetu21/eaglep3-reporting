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Enforcements!$A$6:$AC$60</definedName>
    <definedName name="_xlnm._FilterDatabase" localSheetId="2" hidden="1">'Missing Trips'!$A$2:$J$73</definedName>
    <definedName name="_xlnm._FilterDatabase" localSheetId="0" hidden="1">'Train Runs'!$A$12:$AG$271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8" i="1" l="1"/>
  <c r="L158" i="1"/>
  <c r="M158" i="1"/>
  <c r="N158" i="1" s="1"/>
  <c r="V158" i="1"/>
  <c r="AA158" i="1"/>
  <c r="AB158" i="1"/>
  <c r="AC158" i="1"/>
  <c r="AD158" i="1"/>
  <c r="AG158" i="1" s="1"/>
  <c r="AE158" i="1"/>
  <c r="AF158" i="1"/>
  <c r="AH158" i="1"/>
  <c r="AM158" i="1"/>
  <c r="AN158" i="1"/>
  <c r="K156" i="1"/>
  <c r="L156" i="1"/>
  <c r="M156" i="1"/>
  <c r="N156" i="1" s="1"/>
  <c r="V156" i="1"/>
  <c r="AA156" i="1"/>
  <c r="AB156" i="1"/>
  <c r="AC156" i="1"/>
  <c r="AD156" i="1"/>
  <c r="AG156" i="1" s="1"/>
  <c r="AE156" i="1"/>
  <c r="AF156" i="1"/>
  <c r="AH156" i="1"/>
  <c r="AM156" i="1"/>
  <c r="AN156" i="1"/>
  <c r="K27" i="1"/>
  <c r="L27" i="1"/>
  <c r="M27" i="1"/>
  <c r="P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167" i="1"/>
  <c r="L167" i="1"/>
  <c r="M167" i="1"/>
  <c r="V167" i="1"/>
  <c r="Z167" i="1"/>
  <c r="AA167" i="1" s="1"/>
  <c r="AB167" i="1"/>
  <c r="AC167" i="1"/>
  <c r="AD167" i="1"/>
  <c r="T167" i="1" s="1"/>
  <c r="AE167" i="1"/>
  <c r="R40" i="3" s="1"/>
  <c r="AF167" i="1"/>
  <c r="AH167" i="1"/>
  <c r="AM167" i="1"/>
  <c r="AN16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S18" i="3" s="1"/>
  <c r="Y17" i="1"/>
  <c r="Z17" i="1"/>
  <c r="AB17" i="1"/>
  <c r="AC17" i="1"/>
  <c r="AD17" i="1"/>
  <c r="X17" i="1" s="1"/>
  <c r="AE17" i="1"/>
  <c r="R18" i="3" s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T25" i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AM26" i="1"/>
  <c r="AN26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R9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P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P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G46" i="1"/>
  <c r="AH46" i="1"/>
  <c r="AM46" i="1"/>
  <c r="AN46" i="1"/>
  <c r="K47" i="1"/>
  <c r="L47" i="1"/>
  <c r="M47" i="1"/>
  <c r="N47" i="1" s="1"/>
  <c r="V47" i="1"/>
  <c r="S16" i="3" s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T49" i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T50" i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S24" i="3" s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S22" i="3" s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S11" i="3" s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A58" i="1" s="1"/>
  <c r="W58" i="1" s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X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I62" i="1" s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S28" i="3" s="1"/>
  <c r="Y71" i="1"/>
  <c r="Z71" i="1"/>
  <c r="AA71" i="1" s="1"/>
  <c r="AB71" i="1"/>
  <c r="AC71" i="1"/>
  <c r="AD71" i="1"/>
  <c r="AG71" i="1" s="1"/>
  <c r="AE71" i="1"/>
  <c r="R28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S20" i="3" s="1"/>
  <c r="Y79" i="1"/>
  <c r="Z79" i="1"/>
  <c r="AB79" i="1"/>
  <c r="AC79" i="1"/>
  <c r="AD79" i="1"/>
  <c r="AG79" i="1" s="1"/>
  <c r="AE79" i="1"/>
  <c r="R20" i="3" s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R29" i="3" s="1"/>
  <c r="AF81" i="1"/>
  <c r="AH81" i="1"/>
  <c r="AM81" i="1"/>
  <c r="AN81" i="1"/>
  <c r="K82" i="1"/>
  <c r="L82" i="1"/>
  <c r="M82" i="1"/>
  <c r="N82" i="1" s="1"/>
  <c r="V82" i="1"/>
  <c r="S8" i="3" s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R12" i="3" s="1"/>
  <c r="AF85" i="1"/>
  <c r="AH85" i="1"/>
  <c r="AM85" i="1"/>
  <c r="AN85" i="1"/>
  <c r="K86" i="1"/>
  <c r="L86" i="1"/>
  <c r="M86" i="1"/>
  <c r="N86" i="1" s="1"/>
  <c r="V86" i="1"/>
  <c r="S19" i="3" s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R7" i="3" s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S30" i="3" s="1"/>
  <c r="Y95" i="1"/>
  <c r="Z95" i="1"/>
  <c r="AB95" i="1"/>
  <c r="AC95" i="1"/>
  <c r="AD95" i="1"/>
  <c r="AE95" i="1"/>
  <c r="R30" i="3" s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G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X101" i="1"/>
  <c r="Y101" i="1"/>
  <c r="Z101" i="1"/>
  <c r="AB101" i="1"/>
  <c r="AC101" i="1"/>
  <c r="AD101" i="1"/>
  <c r="T101" i="1" s="1"/>
  <c r="AE101" i="1"/>
  <c r="AF101" i="1"/>
  <c r="AG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G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AA116" i="1" s="1"/>
  <c r="Z116" i="1"/>
  <c r="AB116" i="1"/>
  <c r="AC116" i="1"/>
  <c r="AD116" i="1"/>
  <c r="AG116" i="1" s="1"/>
  <c r="AE116" i="1"/>
  <c r="AF116" i="1"/>
  <c r="AH116" i="1"/>
  <c r="AI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S27" i="3" s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R17" i="3" s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/>
  <c r="V139" i="1"/>
  <c r="Y139" i="1"/>
  <c r="Z139" i="1"/>
  <c r="AB139" i="1"/>
  <c r="AC139" i="1"/>
  <c r="AD139" i="1"/>
  <c r="X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I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R14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S31" i="3" s="1"/>
  <c r="Y153" i="1"/>
  <c r="Z153" i="1"/>
  <c r="AB153" i="1"/>
  <c r="AC153" i="1"/>
  <c r="AD153" i="1"/>
  <c r="T153" i="1" s="1"/>
  <c r="AE153" i="1"/>
  <c r="AF153" i="1"/>
  <c r="AG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65" i="1"/>
  <c r="AM165" i="1"/>
  <c r="AN165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66" i="1"/>
  <c r="AM166" i="1"/>
  <c r="AN166" i="1"/>
  <c r="K224" i="1"/>
  <c r="L224" i="1"/>
  <c r="M224" i="1"/>
  <c r="N224" i="1" s="1"/>
  <c r="V224" i="1"/>
  <c r="S48" i="3" s="1"/>
  <c r="Y224" i="1"/>
  <c r="Z224" i="1"/>
  <c r="AB224" i="1"/>
  <c r="AC224" i="1"/>
  <c r="AD224" i="1"/>
  <c r="T224" i="1" s="1"/>
  <c r="AE224" i="1"/>
  <c r="AF224" i="1"/>
  <c r="AH168" i="1"/>
  <c r="AM168" i="1"/>
  <c r="AN168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69" i="1"/>
  <c r="AM169" i="1"/>
  <c r="AN169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0" i="1"/>
  <c r="AM170" i="1"/>
  <c r="AN170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1" i="1"/>
  <c r="AM171" i="1"/>
  <c r="AN171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2" i="1"/>
  <c r="AM172" i="1"/>
  <c r="AN172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3" i="1"/>
  <c r="AM173" i="1"/>
  <c r="AN173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4" i="1"/>
  <c r="AM174" i="1"/>
  <c r="AN17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5" i="1"/>
  <c r="AM175" i="1"/>
  <c r="AN175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6" i="1"/>
  <c r="AM176" i="1"/>
  <c r="AN17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7" i="1"/>
  <c r="AM177" i="1"/>
  <c r="AN177" i="1"/>
  <c r="K234" i="1"/>
  <c r="L234" i="1"/>
  <c r="M234" i="1"/>
  <c r="N234" i="1" s="1"/>
  <c r="V234" i="1"/>
  <c r="Y234" i="1"/>
  <c r="Z234" i="1"/>
  <c r="AA234" i="1" s="1"/>
  <c r="AB234" i="1"/>
  <c r="AC234" i="1"/>
  <c r="AD234" i="1"/>
  <c r="T234" i="1" s="1"/>
  <c r="AE234" i="1"/>
  <c r="AF234" i="1"/>
  <c r="AH178" i="1"/>
  <c r="AM178" i="1"/>
  <c r="AN178" i="1"/>
  <c r="K235" i="1"/>
  <c r="L235" i="1"/>
  <c r="M235" i="1"/>
  <c r="N235" i="1" s="1"/>
  <c r="V235" i="1"/>
  <c r="S49" i="3" s="1"/>
  <c r="Y235" i="1"/>
  <c r="Z235" i="1"/>
  <c r="AB235" i="1"/>
  <c r="AC235" i="1"/>
  <c r="AD235" i="1"/>
  <c r="AE235" i="1"/>
  <c r="AF235" i="1"/>
  <c r="AH179" i="1"/>
  <c r="AM179" i="1"/>
  <c r="AN179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180" i="1"/>
  <c r="AM180" i="1"/>
  <c r="AN180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1" i="1"/>
  <c r="AM181" i="1"/>
  <c r="AN181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2" i="1"/>
  <c r="AM182" i="1"/>
  <c r="AN182" i="1"/>
  <c r="K239" i="1"/>
  <c r="L239" i="1"/>
  <c r="M239" i="1"/>
  <c r="N239" i="1"/>
  <c r="V239" i="1"/>
  <c r="S52" i="3" s="1"/>
  <c r="Y239" i="1"/>
  <c r="Z239" i="1"/>
  <c r="AB239" i="1"/>
  <c r="AC239" i="1"/>
  <c r="AD239" i="1"/>
  <c r="AG239" i="1" s="1"/>
  <c r="AE239" i="1"/>
  <c r="AF239" i="1"/>
  <c r="AH183" i="1"/>
  <c r="AM183" i="1"/>
  <c r="AN183" i="1"/>
  <c r="K240" i="1"/>
  <c r="L240" i="1"/>
  <c r="M240" i="1"/>
  <c r="N240" i="1" s="1"/>
  <c r="V240" i="1"/>
  <c r="Y240" i="1"/>
  <c r="Z240" i="1"/>
  <c r="AB240" i="1"/>
  <c r="AC240" i="1"/>
  <c r="AD240" i="1"/>
  <c r="X240" i="1" s="1"/>
  <c r="AE240" i="1"/>
  <c r="AF240" i="1"/>
  <c r="AH184" i="1"/>
  <c r="AM184" i="1"/>
  <c r="AN184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5" i="1"/>
  <c r="AM185" i="1"/>
  <c r="AN185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6" i="1"/>
  <c r="AM186" i="1"/>
  <c r="AN186" i="1"/>
  <c r="K159" i="1"/>
  <c r="L159" i="1"/>
  <c r="M159" i="1"/>
  <c r="N159" i="1" s="1"/>
  <c r="V159" i="1"/>
  <c r="Y159" i="1"/>
  <c r="Z159" i="1"/>
  <c r="AA159" i="1" s="1"/>
  <c r="AB159" i="1"/>
  <c r="AC159" i="1"/>
  <c r="AD159" i="1"/>
  <c r="AG159" i="1" s="1"/>
  <c r="AE159" i="1"/>
  <c r="AF159" i="1"/>
  <c r="AH187" i="1"/>
  <c r="AM187" i="1"/>
  <c r="AN187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188" i="1"/>
  <c r="AM188" i="1"/>
  <c r="AN18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9" i="1"/>
  <c r="AM189" i="1"/>
  <c r="AN189" i="1"/>
  <c r="K162" i="1"/>
  <c r="L162" i="1"/>
  <c r="M162" i="1"/>
  <c r="N162" i="1"/>
  <c r="V162" i="1"/>
  <c r="S43" i="3" s="1"/>
  <c r="Y162" i="1"/>
  <c r="Z162" i="1"/>
  <c r="AB162" i="1"/>
  <c r="AC162" i="1"/>
  <c r="AD162" i="1"/>
  <c r="T162" i="1" s="1"/>
  <c r="AE162" i="1"/>
  <c r="AF162" i="1"/>
  <c r="AH190" i="1"/>
  <c r="AM190" i="1"/>
  <c r="AN190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91" i="1"/>
  <c r="AM191" i="1"/>
  <c r="AN191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2" i="1"/>
  <c r="AM192" i="1"/>
  <c r="AN192" i="1"/>
  <c r="K165" i="1"/>
  <c r="L165" i="1"/>
  <c r="M165" i="1"/>
  <c r="N165" i="1" s="1"/>
  <c r="V165" i="1"/>
  <c r="S36" i="3" s="1"/>
  <c r="Y165" i="1"/>
  <c r="Z165" i="1"/>
  <c r="AA165" i="1" s="1"/>
  <c r="AB165" i="1"/>
  <c r="AC165" i="1"/>
  <c r="AD165" i="1"/>
  <c r="T165" i="1" s="1"/>
  <c r="AE165" i="1"/>
  <c r="R36" i="3" s="1"/>
  <c r="AF165" i="1"/>
  <c r="AH193" i="1"/>
  <c r="AM193" i="1"/>
  <c r="AN193" i="1"/>
  <c r="K166" i="1"/>
  <c r="L166" i="1"/>
  <c r="M166" i="1"/>
  <c r="P166" i="1" s="1"/>
  <c r="V166" i="1"/>
  <c r="S40" i="3" s="1"/>
  <c r="Y166" i="1"/>
  <c r="AA166" i="1" s="1"/>
  <c r="AB166" i="1"/>
  <c r="AC166" i="1"/>
  <c r="AD166" i="1"/>
  <c r="T166" i="1" s="1"/>
  <c r="AE166" i="1"/>
  <c r="AF166" i="1"/>
  <c r="AH194" i="1"/>
  <c r="AM194" i="1"/>
  <c r="AN194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R34" i="3" s="1"/>
  <c r="AF168" i="1"/>
  <c r="AH195" i="1"/>
  <c r="AM195" i="1"/>
  <c r="AN19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6" i="1"/>
  <c r="AM196" i="1"/>
  <c r="AN196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97" i="1"/>
  <c r="AM197" i="1"/>
  <c r="AN19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8" i="1"/>
  <c r="AM198" i="1"/>
  <c r="AN198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R37" i="3" s="1"/>
  <c r="AF171" i="1"/>
  <c r="AH199" i="1"/>
  <c r="AM199" i="1"/>
  <c r="AN19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0" i="1"/>
  <c r="AM200" i="1"/>
  <c r="AN200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R38" i="3" s="1"/>
  <c r="AF173" i="1"/>
  <c r="AH201" i="1"/>
  <c r="AM201" i="1"/>
  <c r="AN201" i="1"/>
  <c r="K174" i="1"/>
  <c r="L174" i="1"/>
  <c r="M174" i="1"/>
  <c r="N174" i="1" s="1"/>
  <c r="V174" i="1"/>
  <c r="S32" i="3" s="1"/>
  <c r="Y174" i="1"/>
  <c r="Z174" i="1"/>
  <c r="AB174" i="1"/>
  <c r="AC174" i="1"/>
  <c r="AD174" i="1"/>
  <c r="T174" i="1" s="1"/>
  <c r="AE174" i="1"/>
  <c r="AF174" i="1"/>
  <c r="AH202" i="1"/>
  <c r="AM202" i="1"/>
  <c r="AN202" i="1"/>
  <c r="K175" i="1"/>
  <c r="L175" i="1"/>
  <c r="M175" i="1"/>
  <c r="N175" i="1" s="1"/>
  <c r="V175" i="1"/>
  <c r="S33" i="3" s="1"/>
  <c r="Y175" i="1"/>
  <c r="Z175" i="1"/>
  <c r="AB175" i="1"/>
  <c r="AC175" i="1"/>
  <c r="AD175" i="1"/>
  <c r="AG175" i="1" s="1"/>
  <c r="AE175" i="1"/>
  <c r="R33" i="3" s="1"/>
  <c r="AF175" i="1"/>
  <c r="AH203" i="1"/>
  <c r="AM203" i="1"/>
  <c r="AN203" i="1"/>
  <c r="K176" i="1"/>
  <c r="L176" i="1"/>
  <c r="M176" i="1"/>
  <c r="N176" i="1" s="1"/>
  <c r="T176" i="1"/>
  <c r="V176" i="1"/>
  <c r="Y176" i="1"/>
  <c r="Z176" i="1"/>
  <c r="AB176" i="1"/>
  <c r="AC176" i="1"/>
  <c r="AD176" i="1"/>
  <c r="AE176" i="1"/>
  <c r="AF176" i="1"/>
  <c r="AH204" i="1"/>
  <c r="AM204" i="1"/>
  <c r="AN204" i="1"/>
  <c r="K177" i="1"/>
  <c r="L177" i="1"/>
  <c r="M177" i="1"/>
  <c r="N177" i="1" s="1"/>
  <c r="V177" i="1"/>
  <c r="S39" i="3" s="1"/>
  <c r="Y177" i="1"/>
  <c r="Z177" i="1"/>
  <c r="AB177" i="1"/>
  <c r="AC177" i="1"/>
  <c r="AD177" i="1"/>
  <c r="T177" i="1" s="1"/>
  <c r="AE177" i="1"/>
  <c r="AF177" i="1"/>
  <c r="AH205" i="1"/>
  <c r="AM205" i="1"/>
  <c r="AN20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6" i="1"/>
  <c r="AM206" i="1"/>
  <c r="AN206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7" i="1"/>
  <c r="AM207" i="1"/>
  <c r="AN207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208" i="1"/>
  <c r="AM208" i="1"/>
  <c r="AN208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209" i="1"/>
  <c r="AM209" i="1"/>
  <c r="AN209" i="1"/>
  <c r="K180" i="1"/>
  <c r="L180" i="1"/>
  <c r="M180" i="1"/>
  <c r="N180" i="1" s="1"/>
  <c r="V180" i="1"/>
  <c r="S42" i="3" s="1"/>
  <c r="Y180" i="1"/>
  <c r="AA180" i="1" s="1"/>
  <c r="Z180" i="1"/>
  <c r="AB180" i="1"/>
  <c r="AC180" i="1"/>
  <c r="AD180" i="1"/>
  <c r="T180" i="1" s="1"/>
  <c r="AE180" i="1"/>
  <c r="R42" i="3" s="1"/>
  <c r="AF180" i="1"/>
  <c r="AH210" i="1"/>
  <c r="AM210" i="1"/>
  <c r="AN21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11" i="1"/>
  <c r="AM211" i="1"/>
  <c r="AN21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12" i="1"/>
  <c r="AM212" i="1"/>
  <c r="AN212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213" i="1"/>
  <c r="AM213" i="1"/>
  <c r="AN213" i="1"/>
  <c r="K184" i="1"/>
  <c r="L184" i="1"/>
  <c r="M184" i="1"/>
  <c r="N184" i="1"/>
  <c r="V184" i="1"/>
  <c r="Y184" i="1"/>
  <c r="Z184" i="1"/>
  <c r="AB184" i="1"/>
  <c r="AC184" i="1"/>
  <c r="AD184" i="1"/>
  <c r="T184" i="1" s="1"/>
  <c r="AE184" i="1"/>
  <c r="AF184" i="1"/>
  <c r="AH214" i="1"/>
  <c r="AM214" i="1"/>
  <c r="AN21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15" i="1"/>
  <c r="AM215" i="1"/>
  <c r="AN21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6" i="1"/>
  <c r="AM216" i="1"/>
  <c r="AN21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7" i="1"/>
  <c r="AM217" i="1"/>
  <c r="AN21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8" i="1"/>
  <c r="AM218" i="1"/>
  <c r="AN21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9" i="1"/>
  <c r="AM219" i="1"/>
  <c r="AN21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20" i="1"/>
  <c r="AM220" i="1"/>
  <c r="AN22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1" i="1"/>
  <c r="AM221" i="1"/>
  <c r="AN221" i="1"/>
  <c r="K192" i="1"/>
  <c r="L192" i="1"/>
  <c r="M192" i="1"/>
  <c r="P192" i="1" s="1"/>
  <c r="V192" i="1"/>
  <c r="S35" i="3" s="1"/>
  <c r="Y192" i="1"/>
  <c r="Z192" i="1"/>
  <c r="AB192" i="1"/>
  <c r="AC192" i="1"/>
  <c r="AD192" i="1"/>
  <c r="T192" i="1" s="1"/>
  <c r="AE192" i="1"/>
  <c r="AF192" i="1"/>
  <c r="AH222" i="1"/>
  <c r="AM222" i="1"/>
  <c r="AN222" i="1"/>
  <c r="K193" i="1"/>
  <c r="L193" i="1"/>
  <c r="M193" i="1"/>
  <c r="V193" i="1"/>
  <c r="Y193" i="1"/>
  <c r="Z193" i="1"/>
  <c r="AB193" i="1"/>
  <c r="AC193" i="1"/>
  <c r="AD193" i="1"/>
  <c r="AG193" i="1" s="1"/>
  <c r="AE193" i="1"/>
  <c r="R35" i="3" s="1"/>
  <c r="AF193" i="1"/>
  <c r="AH223" i="1"/>
  <c r="AM223" i="1"/>
  <c r="AN223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4" i="1"/>
  <c r="AM224" i="1"/>
  <c r="AN22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5" i="1"/>
  <c r="AM225" i="1"/>
  <c r="AN22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6" i="1"/>
  <c r="AM226" i="1"/>
  <c r="AN22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27" i="1"/>
  <c r="AM227" i="1"/>
  <c r="AN22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8" i="1"/>
  <c r="AM228" i="1"/>
  <c r="AN22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9" i="1"/>
  <c r="AM229" i="1"/>
  <c r="AN22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0" i="1"/>
  <c r="AM230" i="1"/>
  <c r="AN230" i="1"/>
  <c r="K246" i="1"/>
  <c r="L246" i="1"/>
  <c r="M246" i="1"/>
  <c r="N246" i="1" s="1"/>
  <c r="V246" i="1"/>
  <c r="Y246" i="1"/>
  <c r="Z246" i="1"/>
  <c r="AA246" i="1" s="1"/>
  <c r="AB246" i="1"/>
  <c r="AC246" i="1"/>
  <c r="AD246" i="1"/>
  <c r="AG246" i="1" s="1"/>
  <c r="AE246" i="1"/>
  <c r="AF246" i="1"/>
  <c r="AH231" i="1"/>
  <c r="AM231" i="1"/>
  <c r="AN231" i="1"/>
  <c r="K201" i="1"/>
  <c r="L201" i="1"/>
  <c r="M201" i="1"/>
  <c r="N201" i="1" s="1"/>
  <c r="V201" i="1"/>
  <c r="Y201" i="1"/>
  <c r="Z201" i="1"/>
  <c r="AB201" i="1"/>
  <c r="AC201" i="1"/>
  <c r="AD201" i="1"/>
  <c r="X201" i="1" s="1"/>
  <c r="AE201" i="1"/>
  <c r="AF201" i="1"/>
  <c r="AH232" i="1"/>
  <c r="AM232" i="1"/>
  <c r="AN232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33" i="1"/>
  <c r="AM233" i="1"/>
  <c r="AN233" i="1"/>
  <c r="K203" i="1"/>
  <c r="L203" i="1"/>
  <c r="M203" i="1"/>
  <c r="N203" i="1"/>
  <c r="V203" i="1"/>
  <c r="Y203" i="1"/>
  <c r="Z203" i="1"/>
  <c r="AB203" i="1"/>
  <c r="AC203" i="1"/>
  <c r="AD203" i="1"/>
  <c r="T203" i="1" s="1"/>
  <c r="AE203" i="1"/>
  <c r="AF203" i="1"/>
  <c r="AH234" i="1"/>
  <c r="AM234" i="1"/>
  <c r="AN234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5" i="1"/>
  <c r="AM235" i="1"/>
  <c r="AN235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6" i="1"/>
  <c r="AM236" i="1"/>
  <c r="AN23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7" i="1"/>
  <c r="AM237" i="1"/>
  <c r="AN237" i="1"/>
  <c r="K207" i="1"/>
  <c r="L207" i="1"/>
  <c r="M207" i="1"/>
  <c r="N207" i="1" s="1"/>
  <c r="V207" i="1"/>
  <c r="S44" i="3" s="1"/>
  <c r="Y207" i="1"/>
  <c r="Z207" i="1"/>
  <c r="AB207" i="1"/>
  <c r="AC207" i="1"/>
  <c r="AD207" i="1"/>
  <c r="T207" i="1" s="1"/>
  <c r="AE207" i="1"/>
  <c r="AF207" i="1"/>
  <c r="AH238" i="1"/>
  <c r="AM238" i="1"/>
  <c r="AN238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39" i="1"/>
  <c r="AM239" i="1"/>
  <c r="AN239" i="1"/>
  <c r="K215" i="1"/>
  <c r="L215" i="1"/>
  <c r="M215" i="1"/>
  <c r="N215" i="1" s="1"/>
  <c r="V215" i="1"/>
  <c r="S50" i="3" s="1"/>
  <c r="Y215" i="1"/>
  <c r="Z215" i="1"/>
  <c r="AB215" i="1"/>
  <c r="AC215" i="1"/>
  <c r="AD215" i="1"/>
  <c r="AE215" i="1"/>
  <c r="AF215" i="1"/>
  <c r="AH240" i="1"/>
  <c r="AM240" i="1"/>
  <c r="AN240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41" i="1"/>
  <c r="AM241" i="1"/>
  <c r="AN241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242" i="1"/>
  <c r="AM242" i="1"/>
  <c r="AN242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43" i="1"/>
  <c r="AM243" i="1"/>
  <c r="AN243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44" i="1"/>
  <c r="AM244" i="1"/>
  <c r="AN244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45" i="1"/>
  <c r="AM245" i="1"/>
  <c r="AN245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46" i="1"/>
  <c r="AM246" i="1"/>
  <c r="AN246" i="1"/>
  <c r="M48" i="3"/>
  <c r="R48" i="3"/>
  <c r="U48" i="3"/>
  <c r="T48" i="3" s="1"/>
  <c r="V48" i="3"/>
  <c r="W48" i="3"/>
  <c r="X48" i="3"/>
  <c r="AC48" i="3"/>
  <c r="M18" i="3"/>
  <c r="U18" i="3"/>
  <c r="V18" i="3"/>
  <c r="W18" i="3"/>
  <c r="X18" i="3"/>
  <c r="M50" i="3"/>
  <c r="R50" i="3"/>
  <c r="U50" i="3"/>
  <c r="AC50" i="3" s="1"/>
  <c r="V50" i="3"/>
  <c r="W50" i="3"/>
  <c r="X50" i="3"/>
  <c r="Y50" i="3"/>
  <c r="M43" i="3"/>
  <c r="R43" i="3"/>
  <c r="U43" i="3"/>
  <c r="V43" i="3"/>
  <c r="W43" i="3"/>
  <c r="X43" i="3"/>
  <c r="M9" i="3"/>
  <c r="S9" i="3"/>
  <c r="U9" i="3"/>
  <c r="T9" i="3" s="1"/>
  <c r="V9" i="3"/>
  <c r="W9" i="3"/>
  <c r="X9" i="3"/>
  <c r="AC9" i="3"/>
  <c r="M36" i="3"/>
  <c r="U36" i="3"/>
  <c r="AD36" i="3" s="1"/>
  <c r="V36" i="3"/>
  <c r="W36" i="3"/>
  <c r="X36" i="3"/>
  <c r="M40" i="3"/>
  <c r="U40" i="3"/>
  <c r="AC40" i="3" s="1"/>
  <c r="V40" i="3"/>
  <c r="W40" i="3"/>
  <c r="Y40" i="3" s="1"/>
  <c r="X40" i="3"/>
  <c r="M34" i="3"/>
  <c r="S34" i="3"/>
  <c r="U34" i="3"/>
  <c r="AC34" i="3" s="1"/>
  <c r="V34" i="3"/>
  <c r="W34" i="3"/>
  <c r="Y34" i="3" s="1"/>
  <c r="X34" i="3"/>
  <c r="M16" i="3"/>
  <c r="R16" i="3"/>
  <c r="U16" i="3"/>
  <c r="T16" i="3" s="1"/>
  <c r="V16" i="3"/>
  <c r="W16" i="3"/>
  <c r="X16" i="3"/>
  <c r="AC16" i="3"/>
  <c r="M37" i="3"/>
  <c r="S37" i="3"/>
  <c r="U37" i="3"/>
  <c r="V37" i="3"/>
  <c r="W37" i="3"/>
  <c r="X37" i="3"/>
  <c r="M15" i="3"/>
  <c r="R15" i="3"/>
  <c r="S15" i="3"/>
  <c r="U15" i="3"/>
  <c r="AC15" i="3" s="1"/>
  <c r="V15" i="3"/>
  <c r="W15" i="3"/>
  <c r="X15" i="3"/>
  <c r="Y15" i="3"/>
  <c r="M38" i="3"/>
  <c r="S38" i="3"/>
  <c r="U38" i="3"/>
  <c r="V38" i="3"/>
  <c r="W38" i="3"/>
  <c r="X38" i="3"/>
  <c r="M22" i="3"/>
  <c r="R22" i="3"/>
  <c r="U22" i="3"/>
  <c r="T22" i="3" s="1"/>
  <c r="V22" i="3"/>
  <c r="W22" i="3"/>
  <c r="X22" i="3"/>
  <c r="AC22" i="3"/>
  <c r="M23" i="3"/>
  <c r="R23" i="3"/>
  <c r="U23" i="3"/>
  <c r="V23" i="3"/>
  <c r="AE23" i="3" s="1"/>
  <c r="W23" i="3"/>
  <c r="X23" i="3"/>
  <c r="AC23" i="3"/>
  <c r="M11" i="3"/>
  <c r="R11" i="3"/>
  <c r="U11" i="3"/>
  <c r="AC11" i="3" s="1"/>
  <c r="V11" i="3"/>
  <c r="W11" i="3"/>
  <c r="X11" i="3"/>
  <c r="M32" i="3"/>
  <c r="R32" i="3"/>
  <c r="T32" i="3"/>
  <c r="U32" i="3"/>
  <c r="AC32" i="3" s="1"/>
  <c r="V32" i="3"/>
  <c r="W32" i="3"/>
  <c r="X32" i="3"/>
  <c r="AD23" i="3"/>
  <c r="M24" i="3"/>
  <c r="R24" i="3"/>
  <c r="U24" i="3"/>
  <c r="T24" i="3" s="1"/>
  <c r="V24" i="3"/>
  <c r="W24" i="3"/>
  <c r="X24" i="3"/>
  <c r="AC24" i="3"/>
  <c r="AD24" i="3"/>
  <c r="M49" i="3"/>
  <c r="R49" i="3"/>
  <c r="U49" i="3"/>
  <c r="V49" i="3"/>
  <c r="W49" i="3"/>
  <c r="X49" i="3"/>
  <c r="M33" i="3"/>
  <c r="U33" i="3"/>
  <c r="AC33" i="3" s="1"/>
  <c r="V33" i="3"/>
  <c r="W33" i="3"/>
  <c r="Y33" i="3" s="1"/>
  <c r="X33" i="3"/>
  <c r="M39" i="3"/>
  <c r="R39" i="3"/>
  <c r="U39" i="3"/>
  <c r="AC39" i="3" s="1"/>
  <c r="V39" i="3"/>
  <c r="W39" i="3"/>
  <c r="X39" i="3"/>
  <c r="M28" i="3"/>
  <c r="U28" i="3"/>
  <c r="T28" i="3" s="1"/>
  <c r="V28" i="3"/>
  <c r="W28" i="3"/>
  <c r="X28" i="3"/>
  <c r="AC28" i="3"/>
  <c r="AD28" i="3"/>
  <c r="M41" i="3"/>
  <c r="R41" i="3"/>
  <c r="S41" i="3"/>
  <c r="U41" i="3"/>
  <c r="AD29" i="3" s="1"/>
  <c r="V41" i="3"/>
  <c r="W41" i="3"/>
  <c r="X41" i="3"/>
  <c r="M20" i="3"/>
  <c r="U20" i="3"/>
  <c r="AC20" i="3" s="1"/>
  <c r="V20" i="3"/>
  <c r="W20" i="3"/>
  <c r="X20" i="3"/>
  <c r="M29" i="3"/>
  <c r="S29" i="3"/>
  <c r="U29" i="3"/>
  <c r="AC29" i="3" s="1"/>
  <c r="V29" i="3"/>
  <c r="W29" i="3"/>
  <c r="X29" i="3"/>
  <c r="M42" i="3"/>
  <c r="U42" i="3"/>
  <c r="T42" i="3" s="1"/>
  <c r="V42" i="3"/>
  <c r="W42" i="3"/>
  <c r="X42" i="3"/>
  <c r="AC42" i="3"/>
  <c r="M12" i="3"/>
  <c r="S12" i="3"/>
  <c r="U12" i="3"/>
  <c r="V12" i="3"/>
  <c r="W12" i="3"/>
  <c r="Y12" i="3" s="1"/>
  <c r="X12" i="3"/>
  <c r="AC12" i="3"/>
  <c r="M8" i="3"/>
  <c r="R8" i="3"/>
  <c r="U8" i="3"/>
  <c r="AC8" i="3" s="1"/>
  <c r="V8" i="3"/>
  <c r="W8" i="3"/>
  <c r="X8" i="3"/>
  <c r="M25" i="3"/>
  <c r="R25" i="3"/>
  <c r="U25" i="3"/>
  <c r="AC25" i="3" s="1"/>
  <c r="V25" i="3"/>
  <c r="W25" i="3"/>
  <c r="X25" i="3"/>
  <c r="AD35" i="3"/>
  <c r="M7" i="3"/>
  <c r="S7" i="3"/>
  <c r="U7" i="3"/>
  <c r="T7" i="3" s="1"/>
  <c r="V7" i="3"/>
  <c r="W7" i="3"/>
  <c r="X7" i="3"/>
  <c r="AC7" i="3"/>
  <c r="M26" i="3"/>
  <c r="R26" i="3"/>
  <c r="U26" i="3"/>
  <c r="AD37" i="3" s="1"/>
  <c r="V26" i="3"/>
  <c r="W26" i="3"/>
  <c r="Y26" i="3" s="1"/>
  <c r="X26" i="3"/>
  <c r="M19" i="3"/>
  <c r="R19" i="3"/>
  <c r="U19" i="3"/>
  <c r="AC19" i="3" s="1"/>
  <c r="V19" i="3"/>
  <c r="W19" i="3"/>
  <c r="Y19" i="3" s="1"/>
  <c r="X19" i="3"/>
  <c r="M30" i="3"/>
  <c r="U30" i="3"/>
  <c r="AC30" i="3" s="1"/>
  <c r="V30" i="3"/>
  <c r="W30" i="3"/>
  <c r="X30" i="3"/>
  <c r="AD39" i="3"/>
  <c r="M35" i="3"/>
  <c r="U35" i="3"/>
  <c r="T35" i="3" s="1"/>
  <c r="V35" i="3"/>
  <c r="AE35" i="3" s="1"/>
  <c r="W35" i="3"/>
  <c r="X35" i="3"/>
  <c r="AC35" i="3"/>
  <c r="M45" i="3"/>
  <c r="R45" i="3"/>
  <c r="S45" i="3"/>
  <c r="U45" i="3"/>
  <c r="V45" i="3"/>
  <c r="W45" i="3"/>
  <c r="X45" i="3"/>
  <c r="Y45" i="3"/>
  <c r="M10" i="3"/>
  <c r="R10" i="3"/>
  <c r="S10" i="3"/>
  <c r="U10" i="3"/>
  <c r="AC10" i="3" s="1"/>
  <c r="V10" i="3"/>
  <c r="W10" i="3"/>
  <c r="X10" i="3"/>
  <c r="M52" i="3"/>
  <c r="R52" i="3"/>
  <c r="U52" i="3"/>
  <c r="AC52" i="3" s="1"/>
  <c r="V52" i="3"/>
  <c r="W52" i="3"/>
  <c r="X52" i="3"/>
  <c r="M17" i="3"/>
  <c r="S17" i="3"/>
  <c r="U17" i="3"/>
  <c r="T17" i="3" s="1"/>
  <c r="V17" i="3"/>
  <c r="W17" i="3"/>
  <c r="Y17" i="3" s="1"/>
  <c r="X17" i="3"/>
  <c r="AC17" i="3"/>
  <c r="M27" i="3"/>
  <c r="R27" i="3"/>
  <c r="U27" i="3"/>
  <c r="V27" i="3"/>
  <c r="W27" i="3"/>
  <c r="Y27" i="3" s="1"/>
  <c r="X27" i="3"/>
  <c r="M46" i="3"/>
  <c r="R46" i="3"/>
  <c r="S46" i="3"/>
  <c r="U46" i="3"/>
  <c r="AC46" i="3" s="1"/>
  <c r="V46" i="3"/>
  <c r="W46" i="3"/>
  <c r="X46" i="3"/>
  <c r="M47" i="3"/>
  <c r="R47" i="3"/>
  <c r="S47" i="3"/>
  <c r="U47" i="3"/>
  <c r="AC47" i="3" s="1"/>
  <c r="V47" i="3"/>
  <c r="W47" i="3"/>
  <c r="X47" i="3"/>
  <c r="AD47" i="3"/>
  <c r="M21" i="3"/>
  <c r="R21" i="3"/>
  <c r="S21" i="3"/>
  <c r="U21" i="3"/>
  <c r="T21" i="3" s="1"/>
  <c r="V21" i="3"/>
  <c r="W21" i="3"/>
  <c r="X21" i="3"/>
  <c r="AC21" i="3"/>
  <c r="M13" i="3"/>
  <c r="R13" i="3"/>
  <c r="S13" i="3"/>
  <c r="U13" i="3"/>
  <c r="AD49" i="3" s="1"/>
  <c r="V13" i="3"/>
  <c r="W13" i="3"/>
  <c r="X13" i="3"/>
  <c r="Y13" i="3"/>
  <c r="M44" i="3"/>
  <c r="R44" i="3"/>
  <c r="U44" i="3"/>
  <c r="AC44" i="3" s="1"/>
  <c r="V44" i="3"/>
  <c r="W44" i="3"/>
  <c r="X44" i="3"/>
  <c r="M14" i="3"/>
  <c r="S14" i="3"/>
  <c r="U14" i="3"/>
  <c r="AC14" i="3" s="1"/>
  <c r="V14" i="3"/>
  <c r="W14" i="3"/>
  <c r="X14" i="3"/>
  <c r="M31" i="3"/>
  <c r="R31" i="3"/>
  <c r="U31" i="3"/>
  <c r="T31" i="3" s="1"/>
  <c r="V31" i="3"/>
  <c r="W31" i="3"/>
  <c r="Y31" i="3" s="1"/>
  <c r="X31" i="3"/>
  <c r="AC31" i="3"/>
  <c r="X176" i="1" l="1"/>
  <c r="X144" i="1"/>
  <c r="AA114" i="1"/>
  <c r="AA111" i="1"/>
  <c r="AA100" i="1"/>
  <c r="AA79" i="1"/>
  <c r="X34" i="1"/>
  <c r="T33" i="1"/>
  <c r="T17" i="1"/>
  <c r="AA14" i="1"/>
  <c r="S23" i="3"/>
  <c r="AA193" i="1"/>
  <c r="S26" i="3"/>
  <c r="S25" i="3"/>
  <c r="AA203" i="1"/>
  <c r="AA196" i="1"/>
  <c r="AA188" i="1"/>
  <c r="AA245" i="1"/>
  <c r="AA179" i="1"/>
  <c r="T240" i="1"/>
  <c r="X219" i="1"/>
  <c r="T219" i="1"/>
  <c r="AA170" i="1"/>
  <c r="AA237" i="1"/>
  <c r="AA233" i="1"/>
  <c r="AA147" i="1"/>
  <c r="AA78" i="1"/>
  <c r="AA74" i="1"/>
  <c r="X55" i="1"/>
  <c r="AA53" i="1"/>
  <c r="W53" i="1" s="1"/>
  <c r="X159" i="1"/>
  <c r="W116" i="1"/>
  <c r="X143" i="1"/>
  <c r="X168" i="1"/>
  <c r="X28" i="1"/>
  <c r="AA150" i="1"/>
  <c r="X125" i="1"/>
  <c r="X109" i="1"/>
  <c r="AG108" i="1"/>
  <c r="AG90" i="1"/>
  <c r="AA67" i="1"/>
  <c r="AG36" i="1"/>
  <c r="AI36" i="1" s="1"/>
  <c r="X142" i="1"/>
  <c r="X138" i="1"/>
  <c r="X167" i="1"/>
  <c r="X27" i="1"/>
  <c r="X158" i="1"/>
  <c r="AA238" i="1"/>
  <c r="AG117" i="1"/>
  <c r="X117" i="1"/>
  <c r="AG219" i="1"/>
  <c r="U219" i="1" s="1"/>
  <c r="S219" i="1" s="1"/>
  <c r="AA184" i="1"/>
  <c r="X172" i="1"/>
  <c r="AG240" i="1"/>
  <c r="U240" i="1" s="1"/>
  <c r="S240" i="1" s="1"/>
  <c r="X239" i="1"/>
  <c r="AI141" i="1"/>
  <c r="AG140" i="1"/>
  <c r="T116" i="1"/>
  <c r="AA115" i="1"/>
  <c r="AA112" i="1"/>
  <c r="AA92" i="1"/>
  <c r="AA87" i="1"/>
  <c r="X60" i="1"/>
  <c r="AA49" i="1"/>
  <c r="AA46" i="1"/>
  <c r="W46" i="1" s="1"/>
  <c r="AA40" i="1"/>
  <c r="AG17" i="1"/>
  <c r="AI17" i="1" s="1"/>
  <c r="X145" i="1"/>
  <c r="X141" i="1"/>
  <c r="X30" i="1"/>
  <c r="X26" i="1"/>
  <c r="X161" i="1"/>
  <c r="X157" i="1"/>
  <c r="AA214" i="1"/>
  <c r="X147" i="1"/>
  <c r="AA199" i="1"/>
  <c r="AG176" i="1"/>
  <c r="U176" i="1" s="1"/>
  <c r="S176" i="1" s="1"/>
  <c r="X175" i="1"/>
  <c r="AA162" i="1"/>
  <c r="X227" i="1"/>
  <c r="AG224" i="1"/>
  <c r="U224" i="1" s="1"/>
  <c r="S224" i="1" s="1"/>
  <c r="AA213" i="1"/>
  <c r="X151" i="1"/>
  <c r="AA149" i="1"/>
  <c r="AA139" i="1"/>
  <c r="AA132" i="1"/>
  <c r="T125" i="1"/>
  <c r="AI112" i="1"/>
  <c r="AA108" i="1"/>
  <c r="W108" i="1" s="1"/>
  <c r="AA70" i="1"/>
  <c r="AA61" i="1"/>
  <c r="AA59" i="1"/>
  <c r="AI46" i="1"/>
  <c r="AG25" i="1"/>
  <c r="AI25" i="1" s="1"/>
  <c r="X140" i="1"/>
  <c r="AA27" i="1"/>
  <c r="W27" i="1" s="1"/>
  <c r="X29" i="1"/>
  <c r="X156" i="1"/>
  <c r="W158" i="1"/>
  <c r="T158" i="1"/>
  <c r="U158" i="1" s="1"/>
  <c r="S158" i="1" s="1"/>
  <c r="AI158" i="1"/>
  <c r="T156" i="1"/>
  <c r="U156" i="1" s="1"/>
  <c r="S156" i="1" s="1"/>
  <c r="AI156" i="1"/>
  <c r="W156" i="1"/>
  <c r="AI27" i="1"/>
  <c r="T27" i="1"/>
  <c r="U27" i="1" s="1"/>
  <c r="S27" i="1" s="1"/>
  <c r="AG167" i="1"/>
  <c r="AG44" i="1"/>
  <c r="AI44" i="1" s="1"/>
  <c r="T44" i="1"/>
  <c r="T40" i="1"/>
  <c r="AG40" i="1"/>
  <c r="T238" i="1"/>
  <c r="AG238" i="1"/>
  <c r="T106" i="1"/>
  <c r="AG106" i="1"/>
  <c r="AG92" i="1"/>
  <c r="AI92" i="1" s="1"/>
  <c r="X92" i="1"/>
  <c r="X68" i="1"/>
  <c r="T68" i="1"/>
  <c r="AC38" i="3"/>
  <c r="T38" i="3"/>
  <c r="AC43" i="3"/>
  <c r="AD43" i="3"/>
  <c r="T43" i="3"/>
  <c r="AG204" i="1"/>
  <c r="X204" i="1"/>
  <c r="T194" i="1"/>
  <c r="X194" i="1"/>
  <c r="AG194" i="1"/>
  <c r="T208" i="1"/>
  <c r="AG208" i="1"/>
  <c r="T93" i="1"/>
  <c r="X93" i="1"/>
  <c r="AG93" i="1"/>
  <c r="T88" i="1"/>
  <c r="X88" i="1"/>
  <c r="AG88" i="1"/>
  <c r="AI88" i="1" s="1"/>
  <c r="T205" i="1"/>
  <c r="X205" i="1"/>
  <c r="AG205" i="1"/>
  <c r="X215" i="1"/>
  <c r="T215" i="1"/>
  <c r="X190" i="1"/>
  <c r="T190" i="1"/>
  <c r="T235" i="1"/>
  <c r="X235" i="1"/>
  <c r="AG235" i="1"/>
  <c r="T144" i="1"/>
  <c r="AG144" i="1"/>
  <c r="W112" i="1"/>
  <c r="AD41" i="3"/>
  <c r="AA221" i="1"/>
  <c r="AA216" i="1"/>
  <c r="T201" i="1"/>
  <c r="AA197" i="1"/>
  <c r="W197" i="1" s="1"/>
  <c r="AA191" i="1"/>
  <c r="AA187" i="1"/>
  <c r="AA185" i="1"/>
  <c r="W185" i="1" s="1"/>
  <c r="X182" i="1"/>
  <c r="X244" i="1"/>
  <c r="AA174" i="1"/>
  <c r="AA163" i="1"/>
  <c r="W163" i="1" s="1"/>
  <c r="T160" i="1"/>
  <c r="AA242" i="1"/>
  <c r="AA230" i="1"/>
  <c r="AA121" i="1"/>
  <c r="AA110" i="1"/>
  <c r="AA86" i="1"/>
  <c r="AA66" i="1"/>
  <c r="T60" i="1"/>
  <c r="AA36" i="1"/>
  <c r="T34" i="1"/>
  <c r="AA33" i="1"/>
  <c r="W33" i="1" s="1"/>
  <c r="AA28" i="1"/>
  <c r="AA21" i="1"/>
  <c r="Y7" i="3"/>
  <c r="Y41" i="3"/>
  <c r="Y49" i="3"/>
  <c r="Y18" i="3"/>
  <c r="Y48" i="3"/>
  <c r="X84" i="1"/>
  <c r="Y44" i="3"/>
  <c r="Y38" i="3"/>
  <c r="Y43" i="3"/>
  <c r="Y35" i="3"/>
  <c r="AD33" i="3"/>
  <c r="AD32" i="3"/>
  <c r="Y23" i="3"/>
  <c r="T34" i="3"/>
  <c r="Y36" i="3"/>
  <c r="AA220" i="1"/>
  <c r="AG201" i="1"/>
  <c r="AA192" i="1"/>
  <c r="T182" i="1"/>
  <c r="T244" i="1"/>
  <c r="AA173" i="1"/>
  <c r="AA243" i="1"/>
  <c r="AA168" i="1"/>
  <c r="W168" i="1" s="1"/>
  <c r="AG164" i="1"/>
  <c r="X164" i="1"/>
  <c r="AG160" i="1"/>
  <c r="AG231" i="1"/>
  <c r="U231" i="1" s="1"/>
  <c r="S231" i="1" s="1"/>
  <c r="X231" i="1"/>
  <c r="AG228" i="1"/>
  <c r="X210" i="1"/>
  <c r="AA208" i="1"/>
  <c r="W208" i="1" s="1"/>
  <c r="AA155" i="1"/>
  <c r="W155" i="1" s="1"/>
  <c r="AA143" i="1"/>
  <c r="AG137" i="1"/>
  <c r="AA136" i="1"/>
  <c r="AA134" i="1"/>
  <c r="AA128" i="1"/>
  <c r="AG124" i="1"/>
  <c r="AI124" i="1" s="1"/>
  <c r="AG121" i="1"/>
  <c r="U121" i="1" s="1"/>
  <c r="S121" i="1" s="1"/>
  <c r="AG110" i="1"/>
  <c r="AA109" i="1"/>
  <c r="T97" i="1"/>
  <c r="X79" i="1"/>
  <c r="AG76" i="1"/>
  <c r="U76" i="1" s="1"/>
  <c r="S76" i="1" s="1"/>
  <c r="X76" i="1"/>
  <c r="AA73" i="1"/>
  <c r="AG60" i="1"/>
  <c r="U60" i="1" s="1"/>
  <c r="S60" i="1" s="1"/>
  <c r="AG56" i="1"/>
  <c r="AI56" i="1" s="1"/>
  <c r="X54" i="1"/>
  <c r="X50" i="1"/>
  <c r="AG38" i="1"/>
  <c r="AI38" i="1" s="1"/>
  <c r="X38" i="1"/>
  <c r="AG34" i="1"/>
  <c r="AI34" i="1" s="1"/>
  <c r="AA24" i="1"/>
  <c r="W24" i="1" s="1"/>
  <c r="AA15" i="1"/>
  <c r="AA207" i="1"/>
  <c r="AG198" i="1"/>
  <c r="X198" i="1"/>
  <c r="AA189" i="1"/>
  <c r="W189" i="1" s="1"/>
  <c r="AG186" i="1"/>
  <c r="X186" i="1"/>
  <c r="AA178" i="1"/>
  <c r="AG169" i="1"/>
  <c r="U169" i="1" s="1"/>
  <c r="S169" i="1" s="1"/>
  <c r="X169" i="1"/>
  <c r="X197" i="1"/>
  <c r="AA218" i="1"/>
  <c r="W218" i="1" s="1"/>
  <c r="AG215" i="1"/>
  <c r="U215" i="1" s="1"/>
  <c r="S215" i="1" s="1"/>
  <c r="AA200" i="1"/>
  <c r="AG190" i="1"/>
  <c r="X189" i="1"/>
  <c r="AA181" i="1"/>
  <c r="W181" i="1" s="1"/>
  <c r="AG244" i="1"/>
  <c r="AA171" i="1"/>
  <c r="AA161" i="1"/>
  <c r="AA241" i="1"/>
  <c r="AA239" i="1"/>
  <c r="AG234" i="1"/>
  <c r="W234" i="1" s="1"/>
  <c r="AG230" i="1"/>
  <c r="U230" i="1" s="1"/>
  <c r="S230" i="1" s="1"/>
  <c r="AA228" i="1"/>
  <c r="AA226" i="1"/>
  <c r="AG212" i="1"/>
  <c r="U212" i="1" s="1"/>
  <c r="S212" i="1" s="1"/>
  <c r="AA209" i="1"/>
  <c r="X152" i="1"/>
  <c r="AA146" i="1"/>
  <c r="AG143" i="1"/>
  <c r="U143" i="1" s="1"/>
  <c r="S143" i="1" s="1"/>
  <c r="AG132" i="1"/>
  <c r="AA130" i="1"/>
  <c r="AG128" i="1"/>
  <c r="AG126" i="1"/>
  <c r="AA125" i="1"/>
  <c r="AG122" i="1"/>
  <c r="AA120" i="1"/>
  <c r="T109" i="1"/>
  <c r="AG105" i="1"/>
  <c r="X100" i="1"/>
  <c r="AG98" i="1"/>
  <c r="AI98" i="1" s="1"/>
  <c r="AA97" i="1"/>
  <c r="AA96" i="1"/>
  <c r="W96" i="1" s="1"/>
  <c r="AG87" i="1"/>
  <c r="AI87" i="1" s="1"/>
  <c r="AA85" i="1"/>
  <c r="AG83" i="1"/>
  <c r="AI83" i="1" s="1"/>
  <c r="AA82" i="1"/>
  <c r="AA75" i="1"/>
  <c r="AG64" i="1"/>
  <c r="U64" i="1" s="1"/>
  <c r="S64" i="1" s="1"/>
  <c r="AA62" i="1"/>
  <c r="W62" i="1" s="1"/>
  <c r="AI58" i="1"/>
  <c r="T54" i="1"/>
  <c r="X47" i="1"/>
  <c r="W44" i="1"/>
  <c r="AA43" i="1"/>
  <c r="AA42" i="1"/>
  <c r="X32" i="1"/>
  <c r="T31" i="1"/>
  <c r="AG28" i="1"/>
  <c r="AA22" i="1"/>
  <c r="AA20" i="1"/>
  <c r="W20" i="1" s="1"/>
  <c r="AA19" i="1"/>
  <c r="X218" i="1"/>
  <c r="AA206" i="1"/>
  <c r="AA204" i="1"/>
  <c r="W204" i="1" s="1"/>
  <c r="AA195" i="1"/>
  <c r="AG182" i="1"/>
  <c r="AI182" i="1" s="1"/>
  <c r="X181" i="1"/>
  <c r="AA177" i="1"/>
  <c r="AA175" i="1"/>
  <c r="AG172" i="1"/>
  <c r="W238" i="1"/>
  <c r="AA231" i="1"/>
  <c r="AA229" i="1"/>
  <c r="X226" i="1"/>
  <c r="AA224" i="1"/>
  <c r="W224" i="1" s="1"/>
  <c r="AA222" i="1"/>
  <c r="X211" i="1"/>
  <c r="X155" i="1"/>
  <c r="AA153" i="1"/>
  <c r="W153" i="1" s="1"/>
  <c r="AA151" i="1"/>
  <c r="AA144" i="1"/>
  <c r="AA140" i="1"/>
  <c r="AA138" i="1"/>
  <c r="AA131" i="1"/>
  <c r="AA104" i="1"/>
  <c r="T84" i="1"/>
  <c r="X45" i="1"/>
  <c r="AA38" i="1"/>
  <c r="AA31" i="1"/>
  <c r="W31" i="1" s="1"/>
  <c r="AA30" i="1"/>
  <c r="AA225" i="1"/>
  <c r="AA212" i="1"/>
  <c r="AA210" i="1"/>
  <c r="AA154" i="1"/>
  <c r="AA141" i="1"/>
  <c r="W141" i="1" s="1"/>
  <c r="AA135" i="1"/>
  <c r="AA127" i="1"/>
  <c r="AA126" i="1"/>
  <c r="AA105" i="1"/>
  <c r="AA99" i="1"/>
  <c r="AA98" i="1"/>
  <c r="W98" i="1" s="1"/>
  <c r="AA89" i="1"/>
  <c r="W89" i="1" s="1"/>
  <c r="AA76" i="1"/>
  <c r="X72" i="1"/>
  <c r="AA69" i="1"/>
  <c r="AA65" i="1"/>
  <c r="X64" i="1"/>
  <c r="AA56" i="1"/>
  <c r="W56" i="1" s="1"/>
  <c r="AG54" i="1"/>
  <c r="AI53" i="1"/>
  <c r="AG50" i="1"/>
  <c r="AI50" i="1" s="1"/>
  <c r="X46" i="1"/>
  <c r="X39" i="1"/>
  <c r="AA23" i="1"/>
  <c r="X20" i="1"/>
  <c r="AA16" i="1"/>
  <c r="W16" i="1" s="1"/>
  <c r="AI155" i="1"/>
  <c r="AI147" i="1"/>
  <c r="W222" i="1"/>
  <c r="T226" i="1"/>
  <c r="X222" i="1"/>
  <c r="T210" i="1"/>
  <c r="T151" i="1"/>
  <c r="X136" i="1"/>
  <c r="T120" i="1"/>
  <c r="X121" i="1"/>
  <c r="AG120" i="1"/>
  <c r="T118" i="1"/>
  <c r="AG118" i="1"/>
  <c r="U87" i="1"/>
  <c r="S87" i="1" s="1"/>
  <c r="AA219" i="1"/>
  <c r="T218" i="1"/>
  <c r="X214" i="1"/>
  <c r="AA205" i="1"/>
  <c r="W205" i="1" s="1"/>
  <c r="T204" i="1"/>
  <c r="X246" i="1"/>
  <c r="AA198" i="1"/>
  <c r="W198" i="1" s="1"/>
  <c r="T197" i="1"/>
  <c r="U197" i="1" s="1"/>
  <c r="S197" i="1" s="1"/>
  <c r="X193" i="1"/>
  <c r="AA190" i="1"/>
  <c r="T189" i="1"/>
  <c r="U189" i="1" s="1"/>
  <c r="S189" i="1" s="1"/>
  <c r="X185" i="1"/>
  <c r="AA182" i="1"/>
  <c r="T181" i="1"/>
  <c r="U181" i="1" s="1"/>
  <c r="S181" i="1" s="1"/>
  <c r="X179" i="1"/>
  <c r="AA176" i="1"/>
  <c r="W176" i="1" s="1"/>
  <c r="T175" i="1"/>
  <c r="U175" i="1" s="1"/>
  <c r="S175" i="1" s="1"/>
  <c r="X171" i="1"/>
  <c r="AA169" i="1"/>
  <c r="W169" i="1" s="1"/>
  <c r="T168" i="1"/>
  <c r="X163" i="1"/>
  <c r="AA160" i="1"/>
  <c r="W160" i="1" s="1"/>
  <c r="T159" i="1"/>
  <c r="U159" i="1" s="1"/>
  <c r="S159" i="1" s="1"/>
  <c r="AA227" i="1"/>
  <c r="T227" i="1"/>
  <c r="AG226" i="1"/>
  <c r="AG223" i="1"/>
  <c r="U223" i="1" s="1"/>
  <c r="S223" i="1" s="1"/>
  <c r="X223" i="1"/>
  <c r="AA211" i="1"/>
  <c r="T211" i="1"/>
  <c r="AG210" i="1"/>
  <c r="U210" i="1" s="1"/>
  <c r="S210" i="1" s="1"/>
  <c r="AG157" i="1"/>
  <c r="U157" i="1" s="1"/>
  <c r="S157" i="1" s="1"/>
  <c r="AA152" i="1"/>
  <c r="T152" i="1"/>
  <c r="AG151" i="1"/>
  <c r="AG148" i="1"/>
  <c r="U148" i="1" s="1"/>
  <c r="S148" i="1" s="1"/>
  <c r="X148" i="1"/>
  <c r="W147" i="1"/>
  <c r="W138" i="1"/>
  <c r="U137" i="1"/>
  <c r="S137" i="1" s="1"/>
  <c r="AG136" i="1"/>
  <c r="AG133" i="1"/>
  <c r="U133" i="1" s="1"/>
  <c r="S133" i="1" s="1"/>
  <c r="X133" i="1"/>
  <c r="T130" i="1"/>
  <c r="U130" i="1" s="1"/>
  <c r="S130" i="1" s="1"/>
  <c r="AG130" i="1"/>
  <c r="AG129" i="1"/>
  <c r="AI129" i="1" s="1"/>
  <c r="X129" i="1"/>
  <c r="U124" i="1"/>
  <c r="S124" i="1" s="1"/>
  <c r="T104" i="1"/>
  <c r="X105" i="1"/>
  <c r="AG104" i="1"/>
  <c r="T102" i="1"/>
  <c r="AG102" i="1"/>
  <c r="T94" i="1"/>
  <c r="AG94" i="1"/>
  <c r="AI94" i="1" s="1"/>
  <c r="U83" i="1"/>
  <c r="S83" i="1" s="1"/>
  <c r="AI79" i="1"/>
  <c r="U234" i="1"/>
  <c r="S234" i="1" s="1"/>
  <c r="T222" i="1"/>
  <c r="U222" i="1" s="1"/>
  <c r="S222" i="1" s="1"/>
  <c r="T155" i="1"/>
  <c r="U155" i="1" s="1"/>
  <c r="S155" i="1" s="1"/>
  <c r="T147" i="1"/>
  <c r="U147" i="1" s="1"/>
  <c r="S147" i="1" s="1"/>
  <c r="AA145" i="1"/>
  <c r="W145" i="1" s="1"/>
  <c r="U140" i="1"/>
  <c r="S140" i="1" s="1"/>
  <c r="AG134" i="1"/>
  <c r="U108" i="1"/>
  <c r="S108" i="1" s="1"/>
  <c r="AI108" i="1"/>
  <c r="U96" i="1"/>
  <c r="S96" i="1" s="1"/>
  <c r="AI96" i="1"/>
  <c r="T82" i="1"/>
  <c r="X83" i="1"/>
  <c r="AG75" i="1"/>
  <c r="X75" i="1"/>
  <c r="AA215" i="1"/>
  <c r="T214" i="1"/>
  <c r="U214" i="1" s="1"/>
  <c r="S214" i="1" s="1"/>
  <c r="AA201" i="1"/>
  <c r="W201" i="1" s="1"/>
  <c r="T246" i="1"/>
  <c r="U246" i="1" s="1"/>
  <c r="S246" i="1" s="1"/>
  <c r="AA194" i="1"/>
  <c r="W194" i="1" s="1"/>
  <c r="T193" i="1"/>
  <c r="U193" i="1" s="1"/>
  <c r="AA186" i="1"/>
  <c r="W186" i="1" s="1"/>
  <c r="T185" i="1"/>
  <c r="AA244" i="1"/>
  <c r="W244" i="1" s="1"/>
  <c r="T179" i="1"/>
  <c r="U179" i="1" s="1"/>
  <c r="S179" i="1" s="1"/>
  <c r="AA172" i="1"/>
  <c r="W172" i="1" s="1"/>
  <c r="T171" i="1"/>
  <c r="AA164" i="1"/>
  <c r="T163" i="1"/>
  <c r="U163" i="1" s="1"/>
  <c r="S163" i="1" s="1"/>
  <c r="AA240" i="1"/>
  <c r="T239" i="1"/>
  <c r="X238" i="1"/>
  <c r="AA236" i="1"/>
  <c r="W236" i="1" s="1"/>
  <c r="AG232" i="1"/>
  <c r="U232" i="1" s="1"/>
  <c r="S232" i="1" s="1"/>
  <c r="X230" i="1"/>
  <c r="AG227" i="1"/>
  <c r="AI227" i="1" s="1"/>
  <c r="AA223" i="1"/>
  <c r="AG211" i="1"/>
  <c r="AA157" i="1"/>
  <c r="AG152" i="1"/>
  <c r="AA148" i="1"/>
  <c r="W148" i="1" s="1"/>
  <c r="AA142" i="1"/>
  <c r="W142" i="1" s="1"/>
  <c r="X137" i="1"/>
  <c r="AA133" i="1"/>
  <c r="W133" i="1" s="1"/>
  <c r="AA129" i="1"/>
  <c r="AA124" i="1"/>
  <c r="W124" i="1" s="1"/>
  <c r="U116" i="1"/>
  <c r="S116" i="1" s="1"/>
  <c r="T113" i="1"/>
  <c r="X113" i="1"/>
  <c r="AG113" i="1"/>
  <c r="AI113" i="1" s="1"/>
  <c r="T95" i="1"/>
  <c r="X96" i="1"/>
  <c r="W92" i="1"/>
  <c r="AA83" i="1"/>
  <c r="W83" i="1" s="1"/>
  <c r="T80" i="1"/>
  <c r="X80" i="1"/>
  <c r="AG80" i="1"/>
  <c r="AI80" i="1" s="1"/>
  <c r="T63" i="1"/>
  <c r="T32" i="1"/>
  <c r="U28" i="1"/>
  <c r="S28" i="1" s="1"/>
  <c r="T23" i="1"/>
  <c r="U23" i="1" s="1"/>
  <c r="S23" i="1" s="1"/>
  <c r="W126" i="1"/>
  <c r="W110" i="1"/>
  <c r="W105" i="1"/>
  <c r="T100" i="1"/>
  <c r="T92" i="1"/>
  <c r="U92" i="1" s="1"/>
  <c r="S92" i="1" s="1"/>
  <c r="AA91" i="1"/>
  <c r="AA90" i="1"/>
  <c r="W90" i="1" s="1"/>
  <c r="X87" i="1"/>
  <c r="W79" i="1"/>
  <c r="AA72" i="1"/>
  <c r="T71" i="1"/>
  <c r="AA68" i="1"/>
  <c r="T67" i="1"/>
  <c r="AG63" i="1"/>
  <c r="W63" i="1" s="1"/>
  <c r="T62" i="1"/>
  <c r="U62" i="1" s="1"/>
  <c r="S62" i="1" s="1"/>
  <c r="T59" i="1"/>
  <c r="AG51" i="1"/>
  <c r="X51" i="1"/>
  <c r="AA47" i="1"/>
  <c r="T47" i="1"/>
  <c r="AA45" i="1"/>
  <c r="T45" i="1"/>
  <c r="U45" i="1" s="1"/>
  <c r="S45" i="1" s="1"/>
  <c r="X44" i="1"/>
  <c r="AG42" i="1"/>
  <c r="AI42" i="1" s="1"/>
  <c r="X42" i="1"/>
  <c r="X41" i="1"/>
  <c r="AA37" i="1"/>
  <c r="T37" i="1"/>
  <c r="AA35" i="1"/>
  <c r="W35" i="1" s="1"/>
  <c r="T35" i="1"/>
  <c r="U35" i="1" s="1"/>
  <c r="S35" i="1" s="1"/>
  <c r="AA34" i="1"/>
  <c r="W34" i="1" s="1"/>
  <c r="AG32" i="1"/>
  <c r="W32" i="1" s="1"/>
  <c r="AG30" i="1"/>
  <c r="AI30" i="1" s="1"/>
  <c r="X24" i="1"/>
  <c r="T21" i="1"/>
  <c r="AA18" i="1"/>
  <c r="X16" i="1"/>
  <c r="AG125" i="1"/>
  <c r="U125" i="1" s="1"/>
  <c r="S125" i="1" s="1"/>
  <c r="AA123" i="1"/>
  <c r="AA122" i="1"/>
  <c r="AA117" i="1"/>
  <c r="W117" i="1" s="1"/>
  <c r="AG114" i="1"/>
  <c r="W114" i="1" s="1"/>
  <c r="AG109" i="1"/>
  <c r="W109" i="1" s="1"/>
  <c r="AA107" i="1"/>
  <c r="AA106" i="1"/>
  <c r="AA101" i="1"/>
  <c r="W101" i="1" s="1"/>
  <c r="AG100" i="1"/>
  <c r="AG97" i="1"/>
  <c r="W97" i="1" s="1"/>
  <c r="AA93" i="1"/>
  <c r="W93" i="1" s="1"/>
  <c r="AG84" i="1"/>
  <c r="U84" i="1" s="1"/>
  <c r="S84" i="1" s="1"/>
  <c r="T79" i="1"/>
  <c r="U79" i="1" s="1"/>
  <c r="S79" i="1" s="1"/>
  <c r="AA77" i="1"/>
  <c r="AG72" i="1"/>
  <c r="AI72" i="1" s="1"/>
  <c r="AG68" i="1"/>
  <c r="AI68" i="1" s="1"/>
  <c r="X63" i="1"/>
  <c r="AG59" i="1"/>
  <c r="T58" i="1"/>
  <c r="AA57" i="1"/>
  <c r="AA54" i="1"/>
  <c r="T53" i="1"/>
  <c r="U53" i="1" s="1"/>
  <c r="S53" i="1" s="1"/>
  <c r="AA50" i="1"/>
  <c r="W50" i="1" s="1"/>
  <c r="AA48" i="1"/>
  <c r="U46" i="1"/>
  <c r="S46" i="1" s="1"/>
  <c r="X43" i="1"/>
  <c r="AI40" i="1"/>
  <c r="AA39" i="1"/>
  <c r="X33" i="1"/>
  <c r="X31" i="1"/>
  <c r="AI28" i="1"/>
  <c r="X23" i="1"/>
  <c r="T20" i="1"/>
  <c r="U20" i="1" s="1"/>
  <c r="S20" i="1" s="1"/>
  <c r="AA119" i="1"/>
  <c r="AA118" i="1"/>
  <c r="AA113" i="1"/>
  <c r="U112" i="1"/>
  <c r="S112" i="1" s="1"/>
  <c r="AA103" i="1"/>
  <c r="AA102" i="1"/>
  <c r="AA95" i="1"/>
  <c r="AA94" i="1"/>
  <c r="W94" i="1" s="1"/>
  <c r="AA81" i="1"/>
  <c r="W76" i="1"/>
  <c r="X71" i="1"/>
  <c r="X67" i="1"/>
  <c r="U58" i="1"/>
  <c r="S58" i="1" s="1"/>
  <c r="AA52" i="1"/>
  <c r="AA51" i="1"/>
  <c r="W51" i="1" s="1"/>
  <c r="AA41" i="1"/>
  <c r="W41" i="1" s="1"/>
  <c r="T41" i="1"/>
  <c r="X40" i="1"/>
  <c r="X37" i="1"/>
  <c r="X36" i="1"/>
  <c r="X35" i="1"/>
  <c r="AA29" i="1"/>
  <c r="T29" i="1"/>
  <c r="U29" i="1" s="1"/>
  <c r="S29" i="1" s="1"/>
  <c r="AA26" i="1"/>
  <c r="T26" i="1"/>
  <c r="AA25" i="1"/>
  <c r="T24" i="1"/>
  <c r="U24" i="1" s="1"/>
  <c r="S24" i="1" s="1"/>
  <c r="AG21" i="1"/>
  <c r="AI21" i="1" s="1"/>
  <c r="AA17" i="1"/>
  <c r="W17" i="1" s="1"/>
  <c r="T16" i="1"/>
  <c r="U218" i="1"/>
  <c r="S218" i="1" s="1"/>
  <c r="U204" i="1"/>
  <c r="S204" i="1" s="1"/>
  <c r="W214" i="1"/>
  <c r="W246" i="1"/>
  <c r="W193" i="1"/>
  <c r="W179" i="1"/>
  <c r="W171" i="1"/>
  <c r="W239" i="1"/>
  <c r="U168" i="1"/>
  <c r="S168" i="1" s="1"/>
  <c r="AI239" i="1"/>
  <c r="U185" i="1"/>
  <c r="S185" i="1" s="1"/>
  <c r="AI215" i="1"/>
  <c r="U239" i="1"/>
  <c r="S239" i="1" s="1"/>
  <c r="AI219" i="1"/>
  <c r="AI223" i="1"/>
  <c r="U171" i="1"/>
  <c r="S171" i="1" s="1"/>
  <c r="W175" i="1"/>
  <c r="W159" i="1"/>
  <c r="U205" i="1"/>
  <c r="S205" i="1" s="1"/>
  <c r="U198" i="1"/>
  <c r="S198" i="1" s="1"/>
  <c r="U190" i="1"/>
  <c r="S190" i="1" s="1"/>
  <c r="U186" i="1"/>
  <c r="S186" i="1" s="1"/>
  <c r="U244" i="1"/>
  <c r="S244" i="1" s="1"/>
  <c r="U172" i="1"/>
  <c r="S172" i="1" s="1"/>
  <c r="U164" i="1"/>
  <c r="S164" i="1" s="1"/>
  <c r="U160" i="1"/>
  <c r="S160" i="1" s="1"/>
  <c r="AI149" i="1"/>
  <c r="AG220" i="1"/>
  <c r="AI220" i="1" s="1"/>
  <c r="AG216" i="1"/>
  <c r="W216" i="1" s="1"/>
  <c r="AG206" i="1"/>
  <c r="AG202" i="1"/>
  <c r="W202" i="1" s="1"/>
  <c r="AG199" i="1"/>
  <c r="AI199" i="1" s="1"/>
  <c r="AG195" i="1"/>
  <c r="W195" i="1" s="1"/>
  <c r="AG191" i="1"/>
  <c r="W191" i="1" s="1"/>
  <c r="AG187" i="1"/>
  <c r="W187" i="1" s="1"/>
  <c r="AG183" i="1"/>
  <c r="AI183" i="1" s="1"/>
  <c r="AG245" i="1"/>
  <c r="AG177" i="1"/>
  <c r="AG173" i="1"/>
  <c r="W173" i="1" s="1"/>
  <c r="AG243" i="1"/>
  <c r="AI243" i="1" s="1"/>
  <c r="AG165" i="1"/>
  <c r="AG161" i="1"/>
  <c r="AI161" i="1" s="1"/>
  <c r="AG241" i="1"/>
  <c r="AG237" i="1"/>
  <c r="AA235" i="1"/>
  <c r="T233" i="1"/>
  <c r="X233" i="1"/>
  <c r="AG233" i="1"/>
  <c r="AI176" i="1"/>
  <c r="AG221" i="1"/>
  <c r="W221" i="1" s="1"/>
  <c r="X220" i="1"/>
  <c r="AI244" i="1"/>
  <c r="AG217" i="1"/>
  <c r="W217" i="1" s="1"/>
  <c r="X216" i="1"/>
  <c r="AI240" i="1"/>
  <c r="AG207" i="1"/>
  <c r="AI207" i="1" s="1"/>
  <c r="X206" i="1"/>
  <c r="AI236" i="1"/>
  <c r="AG203" i="1"/>
  <c r="AI203" i="1" s="1"/>
  <c r="X202" i="1"/>
  <c r="AG200" i="1"/>
  <c r="W200" i="1" s="1"/>
  <c r="X199" i="1"/>
  <c r="AI228" i="1"/>
  <c r="AG196" i="1"/>
  <c r="AI196" i="1" s="1"/>
  <c r="X195" i="1"/>
  <c r="AI224" i="1"/>
  <c r="AG192" i="1"/>
  <c r="AI192" i="1" s="1"/>
  <c r="X191" i="1"/>
  <c r="AG188" i="1"/>
  <c r="AI188" i="1" s="1"/>
  <c r="X187" i="1"/>
  <c r="AG184" i="1"/>
  <c r="W184" i="1" s="1"/>
  <c r="X183" i="1"/>
  <c r="AI212" i="1"/>
  <c r="AG180" i="1"/>
  <c r="X245" i="1"/>
  <c r="AG178" i="1"/>
  <c r="AI178" i="1" s="1"/>
  <c r="X177" i="1"/>
  <c r="AI204" i="1"/>
  <c r="AG174" i="1"/>
  <c r="AI174" i="1" s="1"/>
  <c r="X173" i="1"/>
  <c r="AG170" i="1"/>
  <c r="X243" i="1"/>
  <c r="AG166" i="1"/>
  <c r="AI166" i="1" s="1"/>
  <c r="X165" i="1"/>
  <c r="AG162" i="1"/>
  <c r="AG242" i="1"/>
  <c r="X241" i="1"/>
  <c r="X237" i="1"/>
  <c r="T237" i="1"/>
  <c r="AI180" i="1"/>
  <c r="AI145" i="1"/>
  <c r="X221" i="1"/>
  <c r="X217" i="1"/>
  <c r="X207" i="1"/>
  <c r="X203" i="1"/>
  <c r="X200" i="1"/>
  <c r="X196" i="1"/>
  <c r="X192" i="1"/>
  <c r="X188" i="1"/>
  <c r="X184" i="1"/>
  <c r="X180" i="1"/>
  <c r="X178" i="1"/>
  <c r="X174" i="1"/>
  <c r="X170" i="1"/>
  <c r="X166" i="1"/>
  <c r="X162" i="1"/>
  <c r="X242" i="1"/>
  <c r="T236" i="1"/>
  <c r="U236" i="1" s="1"/>
  <c r="S236" i="1" s="1"/>
  <c r="X236" i="1"/>
  <c r="AI179" i="1"/>
  <c r="X234" i="1"/>
  <c r="AA232" i="1"/>
  <c r="W232" i="1" s="1"/>
  <c r="U228" i="1"/>
  <c r="S228" i="1" s="1"/>
  <c r="U153" i="1"/>
  <c r="S153" i="1" s="1"/>
  <c r="W149" i="1"/>
  <c r="X232" i="1"/>
  <c r="AI175" i="1"/>
  <c r="AG229" i="1"/>
  <c r="X228" i="1"/>
  <c r="AI171" i="1"/>
  <c r="AG225" i="1"/>
  <c r="X224" i="1"/>
  <c r="AG213" i="1"/>
  <c r="W213" i="1" s="1"/>
  <c r="X212" i="1"/>
  <c r="AI162" i="1"/>
  <c r="AG209" i="1"/>
  <c r="X208" i="1"/>
  <c r="AI157" i="1"/>
  <c r="AG154" i="1"/>
  <c r="X153" i="1"/>
  <c r="AI152" i="1"/>
  <c r="AG150" i="1"/>
  <c r="X149" i="1"/>
  <c r="T149" i="1"/>
  <c r="U149" i="1" s="1"/>
  <c r="S149" i="1" s="1"/>
  <c r="AI148" i="1"/>
  <c r="AG146" i="1"/>
  <c r="W146" i="1" s="1"/>
  <c r="T145" i="1"/>
  <c r="U145" i="1" s="1"/>
  <c r="S145" i="1" s="1"/>
  <c r="W144" i="1"/>
  <c r="T141" i="1"/>
  <c r="U141" i="1" s="1"/>
  <c r="S141" i="1" s="1"/>
  <c r="W140" i="1"/>
  <c r="T139" i="1"/>
  <c r="AG139" i="1"/>
  <c r="AI138" i="1"/>
  <c r="W134" i="1"/>
  <c r="X229" i="1"/>
  <c r="T229" i="1"/>
  <c r="AI172" i="1"/>
  <c r="X225" i="1"/>
  <c r="AI168" i="1"/>
  <c r="X213" i="1"/>
  <c r="AI163" i="1"/>
  <c r="X209" i="1"/>
  <c r="AI159" i="1"/>
  <c r="X154" i="1"/>
  <c r="AI153" i="1"/>
  <c r="X150" i="1"/>
  <c r="X146" i="1"/>
  <c r="AI137" i="1"/>
  <c r="AI140" i="1"/>
  <c r="AI134" i="1"/>
  <c r="T142" i="1"/>
  <c r="U142" i="1" s="1"/>
  <c r="S142" i="1" s="1"/>
  <c r="T138" i="1"/>
  <c r="U138" i="1" s="1"/>
  <c r="S138" i="1" s="1"/>
  <c r="AA137" i="1"/>
  <c r="W137" i="1" s="1"/>
  <c r="T135" i="1"/>
  <c r="X135" i="1"/>
  <c r="AG135" i="1"/>
  <c r="U134" i="1"/>
  <c r="S134" i="1" s="1"/>
  <c r="X132" i="1"/>
  <c r="X128" i="1"/>
  <c r="X124" i="1"/>
  <c r="X120" i="1"/>
  <c r="U117" i="1"/>
  <c r="S117" i="1" s="1"/>
  <c r="X116" i="1"/>
  <c r="X112" i="1"/>
  <c r="U109" i="1"/>
  <c r="S109" i="1" s="1"/>
  <c r="X108" i="1"/>
  <c r="U105" i="1"/>
  <c r="S105" i="1" s="1"/>
  <c r="X104" i="1"/>
  <c r="U101" i="1"/>
  <c r="S101" i="1" s="1"/>
  <c r="U97" i="1"/>
  <c r="S97" i="1" s="1"/>
  <c r="U93" i="1"/>
  <c r="S93" i="1" s="1"/>
  <c r="T85" i="1"/>
  <c r="X85" i="1"/>
  <c r="AG85" i="1"/>
  <c r="U71" i="1"/>
  <c r="S71" i="1" s="1"/>
  <c r="AI71" i="1"/>
  <c r="U67" i="1"/>
  <c r="S67" i="1" s="1"/>
  <c r="AI67" i="1"/>
  <c r="T65" i="1"/>
  <c r="X65" i="1"/>
  <c r="AG65" i="1"/>
  <c r="W65" i="1" s="1"/>
  <c r="X62" i="1"/>
  <c r="T61" i="1"/>
  <c r="X61" i="1"/>
  <c r="AG61" i="1"/>
  <c r="U126" i="1"/>
  <c r="S126" i="1" s="1"/>
  <c r="U122" i="1"/>
  <c r="S122" i="1" s="1"/>
  <c r="U118" i="1"/>
  <c r="S118" i="1" s="1"/>
  <c r="U110" i="1"/>
  <c r="S110" i="1" s="1"/>
  <c r="U94" i="1"/>
  <c r="S94" i="1" s="1"/>
  <c r="U90" i="1"/>
  <c r="S90" i="1" s="1"/>
  <c r="AI60" i="1"/>
  <c r="X134" i="1"/>
  <c r="AG131" i="1"/>
  <c r="X130" i="1"/>
  <c r="AG127" i="1"/>
  <c r="X126" i="1"/>
  <c r="AG123" i="1"/>
  <c r="W123" i="1" s="1"/>
  <c r="X122" i="1"/>
  <c r="AG119" i="1"/>
  <c r="X118" i="1"/>
  <c r="AI117" i="1"/>
  <c r="AG115" i="1"/>
  <c r="X114" i="1"/>
  <c r="AG111" i="1"/>
  <c r="X110" i="1"/>
  <c r="AI109" i="1"/>
  <c r="AG107" i="1"/>
  <c r="X106" i="1"/>
  <c r="AI105" i="1"/>
  <c r="AG103" i="1"/>
  <c r="X102" i="1"/>
  <c r="AI101" i="1"/>
  <c r="AG99" i="1"/>
  <c r="X98" i="1"/>
  <c r="AI97" i="1"/>
  <c r="AG95" i="1"/>
  <c r="X94" i="1"/>
  <c r="AI93" i="1"/>
  <c r="AG91" i="1"/>
  <c r="X90" i="1"/>
  <c r="AI89" i="1"/>
  <c r="AA88" i="1"/>
  <c r="W88" i="1" s="1"/>
  <c r="T86" i="1"/>
  <c r="X86" i="1"/>
  <c r="AG86" i="1"/>
  <c r="AA80" i="1"/>
  <c r="T77" i="1"/>
  <c r="X77" i="1"/>
  <c r="AG77" i="1"/>
  <c r="U72" i="1"/>
  <c r="S72" i="1" s="1"/>
  <c r="X131" i="1"/>
  <c r="AI130" i="1"/>
  <c r="X127" i="1"/>
  <c r="AI126" i="1"/>
  <c r="X123" i="1"/>
  <c r="AI122" i="1"/>
  <c r="X119" i="1"/>
  <c r="AI118" i="1"/>
  <c r="X115" i="1"/>
  <c r="X111" i="1"/>
  <c r="AI110" i="1"/>
  <c r="X107" i="1"/>
  <c r="X103" i="1"/>
  <c r="AI102" i="1"/>
  <c r="X99" i="1"/>
  <c r="X95" i="1"/>
  <c r="X91" i="1"/>
  <c r="AI90" i="1"/>
  <c r="T89" i="1"/>
  <c r="U89" i="1" s="1"/>
  <c r="S89" i="1" s="1"/>
  <c r="X89" i="1"/>
  <c r="AA84" i="1"/>
  <c r="T81" i="1"/>
  <c r="X81" i="1"/>
  <c r="AG81" i="1"/>
  <c r="AI76" i="1"/>
  <c r="U75" i="1"/>
  <c r="S75" i="1" s="1"/>
  <c r="AI75" i="1"/>
  <c r="T73" i="1"/>
  <c r="X73" i="1"/>
  <c r="AG73" i="1"/>
  <c r="W73" i="1" s="1"/>
  <c r="W72" i="1"/>
  <c r="W71" i="1"/>
  <c r="T69" i="1"/>
  <c r="X69" i="1"/>
  <c r="AG69" i="1"/>
  <c r="W67" i="1"/>
  <c r="AA64" i="1"/>
  <c r="W64" i="1" s="1"/>
  <c r="W61" i="1"/>
  <c r="AA60" i="1"/>
  <c r="X58" i="1"/>
  <c r="T57" i="1"/>
  <c r="X57" i="1"/>
  <c r="AG57" i="1"/>
  <c r="U56" i="1"/>
  <c r="S56" i="1" s="1"/>
  <c r="T55" i="1"/>
  <c r="T52" i="1"/>
  <c r="X52" i="1"/>
  <c r="AG52" i="1"/>
  <c r="W52" i="1" s="1"/>
  <c r="X53" i="1"/>
  <c r="U41" i="1"/>
  <c r="S41" i="1" s="1"/>
  <c r="AI41" i="1"/>
  <c r="AI29" i="1"/>
  <c r="AI26" i="1"/>
  <c r="U26" i="1"/>
  <c r="S26" i="1" s="1"/>
  <c r="AI23" i="1"/>
  <c r="X56" i="1"/>
  <c r="AG55" i="1"/>
  <c r="W49" i="1"/>
  <c r="W47" i="1"/>
  <c r="W45" i="1"/>
  <c r="W37" i="1"/>
  <c r="U33" i="1"/>
  <c r="S33" i="1" s="1"/>
  <c r="AI33" i="1"/>
  <c r="AI31" i="1"/>
  <c r="U31" i="1"/>
  <c r="S31" i="1" s="1"/>
  <c r="AG82" i="1"/>
  <c r="AG78" i="1"/>
  <c r="AG74" i="1"/>
  <c r="W74" i="1" s="1"/>
  <c r="AG70" i="1"/>
  <c r="W70" i="1" s="1"/>
  <c r="AG66" i="1"/>
  <c r="U49" i="1"/>
  <c r="S49" i="1" s="1"/>
  <c r="AI49" i="1"/>
  <c r="AI47" i="1"/>
  <c r="U47" i="1"/>
  <c r="S47" i="1" s="1"/>
  <c r="AI45" i="1"/>
  <c r="U37" i="1"/>
  <c r="S37" i="1" s="1"/>
  <c r="AI37" i="1"/>
  <c r="AI35" i="1"/>
  <c r="AI20" i="1"/>
  <c r="X82" i="1"/>
  <c r="X78" i="1"/>
  <c r="X74" i="1"/>
  <c r="X70" i="1"/>
  <c r="X66" i="1"/>
  <c r="AA55" i="1"/>
  <c r="W29" i="1"/>
  <c r="W26" i="1"/>
  <c r="AI24" i="1"/>
  <c r="W23" i="1"/>
  <c r="U16" i="1"/>
  <c r="S16" i="1" s="1"/>
  <c r="AI16" i="1"/>
  <c r="U50" i="1"/>
  <c r="S50" i="1" s="1"/>
  <c r="X49" i="1"/>
  <c r="U42" i="1"/>
  <c r="S42" i="1" s="1"/>
  <c r="U34" i="1"/>
  <c r="S34" i="1" s="1"/>
  <c r="U30" i="1"/>
  <c r="S30" i="1" s="1"/>
  <c r="U25" i="1"/>
  <c r="S25" i="1" s="1"/>
  <c r="U17" i="1"/>
  <c r="S17" i="1" s="1"/>
  <c r="U51" i="1"/>
  <c r="S51" i="1" s="1"/>
  <c r="AG43" i="1"/>
  <c r="W43" i="1" s="1"/>
  <c r="AG39" i="1"/>
  <c r="W39" i="1" s="1"/>
  <c r="AG22" i="1"/>
  <c r="AG18" i="1"/>
  <c r="AG14" i="1"/>
  <c r="AG48" i="1"/>
  <c r="X22" i="1"/>
  <c r="AG19" i="1"/>
  <c r="X18" i="1"/>
  <c r="AG15" i="1"/>
  <c r="AI51" i="1"/>
  <c r="X48" i="1"/>
  <c r="X19" i="1"/>
  <c r="X15" i="1"/>
  <c r="AE31" i="3"/>
  <c r="AE19" i="3"/>
  <c r="AE14" i="3"/>
  <c r="Y21" i="3"/>
  <c r="AD45" i="3"/>
  <c r="Y10" i="3"/>
  <c r="Y8" i="3"/>
  <c r="Y42" i="3"/>
  <c r="AD31" i="3"/>
  <c r="AD27" i="3"/>
  <c r="Y11" i="3"/>
  <c r="AD21" i="3"/>
  <c r="Y22" i="3"/>
  <c r="AD19" i="3"/>
  <c r="Y37" i="3"/>
  <c r="AE15" i="3"/>
  <c r="AE11" i="3"/>
  <c r="AD9" i="3"/>
  <c r="Y46" i="3"/>
  <c r="Y28" i="3"/>
  <c r="AD25" i="3"/>
  <c r="Y24" i="3"/>
  <c r="AD20" i="3"/>
  <c r="AD15" i="3"/>
  <c r="AD13" i="3"/>
  <c r="Y9" i="3"/>
  <c r="AD11" i="3"/>
  <c r="AD8" i="3"/>
  <c r="AD17" i="3"/>
  <c r="AD12" i="3"/>
  <c r="AD52" i="3"/>
  <c r="T14" i="3"/>
  <c r="AD48" i="3"/>
  <c r="T47" i="3"/>
  <c r="AD44" i="3"/>
  <c r="T52" i="3"/>
  <c r="AD40" i="3"/>
  <c r="T30" i="3"/>
  <c r="T25" i="3"/>
  <c r="T29" i="3"/>
  <c r="Y39" i="3"/>
  <c r="Y32" i="3"/>
  <c r="AE18" i="3"/>
  <c r="AD16" i="3"/>
  <c r="T50" i="3"/>
  <c r="Y14" i="3"/>
  <c r="Y52" i="3"/>
  <c r="Y30" i="3"/>
  <c r="Y25" i="3"/>
  <c r="Y29" i="3"/>
  <c r="AC41" i="3"/>
  <c r="AE27" i="3"/>
  <c r="AC49" i="3"/>
  <c r="Y47" i="3"/>
  <c r="AC13" i="3"/>
  <c r="AE47" i="3"/>
  <c r="AC27" i="3"/>
  <c r="AE43" i="3"/>
  <c r="AC45" i="3"/>
  <c r="AE39" i="3"/>
  <c r="AC26" i="3"/>
  <c r="T15" i="3"/>
  <c r="AE10" i="3"/>
  <c r="T39" i="3"/>
  <c r="Y16" i="3"/>
  <c r="T40" i="3"/>
  <c r="AC37" i="3"/>
  <c r="AC36" i="3"/>
  <c r="AC18" i="3"/>
  <c r="AE46" i="3"/>
  <c r="T46" i="3"/>
  <c r="AE42" i="3"/>
  <c r="T10" i="3"/>
  <c r="AE22" i="3"/>
  <c r="T11" i="3"/>
  <c r="AD50" i="3"/>
  <c r="AE49" i="3"/>
  <c r="T13" i="3"/>
  <c r="AD46" i="3"/>
  <c r="AE45" i="3"/>
  <c r="T27" i="3"/>
  <c r="AD42" i="3"/>
  <c r="AE41" i="3"/>
  <c r="T45" i="3"/>
  <c r="AD38" i="3"/>
  <c r="AE37" i="3"/>
  <c r="T26" i="3"/>
  <c r="AD34" i="3"/>
  <c r="AE33" i="3"/>
  <c r="T12" i="3"/>
  <c r="AD30" i="3"/>
  <c r="AE29" i="3"/>
  <c r="T41" i="3"/>
  <c r="AD26" i="3"/>
  <c r="AE25" i="3"/>
  <c r="T49" i="3"/>
  <c r="AD22" i="3"/>
  <c r="AE21" i="3"/>
  <c r="T23" i="3"/>
  <c r="AD18" i="3"/>
  <c r="AE17" i="3"/>
  <c r="T37" i="3"/>
  <c r="AD14" i="3"/>
  <c r="AE13" i="3"/>
  <c r="T36" i="3"/>
  <c r="AD10" i="3"/>
  <c r="AE9" i="3"/>
  <c r="T18" i="3"/>
  <c r="Y20" i="3"/>
  <c r="AE50" i="3"/>
  <c r="T44" i="3"/>
  <c r="AE38" i="3"/>
  <c r="T19" i="3"/>
  <c r="AE34" i="3"/>
  <c r="T8" i="3"/>
  <c r="AE30" i="3"/>
  <c r="T20" i="3"/>
  <c r="AE26" i="3"/>
  <c r="T33" i="3"/>
  <c r="AE52" i="3"/>
  <c r="AE48" i="3"/>
  <c r="AE44" i="3"/>
  <c r="AE40" i="3"/>
  <c r="AE36" i="3"/>
  <c r="AE32" i="3"/>
  <c r="AE28" i="3"/>
  <c r="AE24" i="3"/>
  <c r="AE20" i="3"/>
  <c r="AE16" i="3"/>
  <c r="AE12" i="3"/>
  <c r="AE8" i="3"/>
  <c r="R51" i="3"/>
  <c r="M51" i="3"/>
  <c r="S51" i="3"/>
  <c r="U51" i="3"/>
  <c r="V51" i="3"/>
  <c r="W51" i="3"/>
  <c r="X51" i="3"/>
  <c r="W190" i="1" l="1"/>
  <c r="W120" i="1"/>
  <c r="W128" i="1"/>
  <c r="W212" i="1"/>
  <c r="W228" i="1"/>
  <c r="U182" i="1"/>
  <c r="S182" i="1" s="1"/>
  <c r="U201" i="1"/>
  <c r="S201" i="1" s="1"/>
  <c r="W40" i="1"/>
  <c r="W87" i="1"/>
  <c r="W223" i="1"/>
  <c r="U144" i="1"/>
  <c r="S144" i="1" s="1"/>
  <c r="U238" i="1"/>
  <c r="S238" i="1" s="1"/>
  <c r="U44" i="1"/>
  <c r="S44" i="1" s="1"/>
  <c r="W103" i="1"/>
  <c r="W102" i="1"/>
  <c r="W118" i="1"/>
  <c r="U211" i="1"/>
  <c r="S211" i="1" s="1"/>
  <c r="W240" i="1"/>
  <c r="W75" i="1"/>
  <c r="U54" i="1"/>
  <c r="S54" i="1" s="1"/>
  <c r="W231" i="1"/>
  <c r="W36" i="1"/>
  <c r="U235" i="1"/>
  <c r="S235" i="1" s="1"/>
  <c r="U88" i="1"/>
  <c r="S88" i="1" s="1"/>
  <c r="U208" i="1"/>
  <c r="S208" i="1" s="1"/>
  <c r="U194" i="1"/>
  <c r="S194" i="1" s="1"/>
  <c r="U106" i="1"/>
  <c r="S106" i="1" s="1"/>
  <c r="U40" i="1"/>
  <c r="S40" i="1" s="1"/>
  <c r="W121" i="1"/>
  <c r="AI125" i="1"/>
  <c r="W241" i="1"/>
  <c r="W84" i="1"/>
  <c r="W48" i="1"/>
  <c r="U21" i="1"/>
  <c r="S21" i="1" s="1"/>
  <c r="U38" i="1"/>
  <c r="S38" i="1" s="1"/>
  <c r="W119" i="1"/>
  <c r="AI144" i="1"/>
  <c r="AI232" i="1"/>
  <c r="W177" i="1"/>
  <c r="W206" i="1"/>
  <c r="AI211" i="1"/>
  <c r="W25" i="1"/>
  <c r="U36" i="1"/>
  <c r="S36" i="1" s="1"/>
  <c r="W122" i="1"/>
  <c r="W157" i="1"/>
  <c r="U102" i="1"/>
  <c r="S102" i="1" s="1"/>
  <c r="W130" i="1"/>
  <c r="W219" i="1"/>
  <c r="AI167" i="1"/>
  <c r="U167" i="1"/>
  <c r="W167" i="1"/>
  <c r="AI191" i="1"/>
  <c r="AE51" i="3"/>
  <c r="AI54" i="1"/>
  <c r="W60" i="1"/>
  <c r="U68" i="1"/>
  <c r="S68" i="1" s="1"/>
  <c r="AI121" i="1"/>
  <c r="AI64" i="1"/>
  <c r="U98" i="1"/>
  <c r="S98" i="1" s="1"/>
  <c r="U114" i="1"/>
  <c r="S114" i="1" s="1"/>
  <c r="U113" i="1"/>
  <c r="S113" i="1" s="1"/>
  <c r="U129" i="1"/>
  <c r="S129" i="1" s="1"/>
  <c r="AI208" i="1"/>
  <c r="W235" i="1"/>
  <c r="W161" i="1"/>
  <c r="AI231" i="1"/>
  <c r="W113" i="1"/>
  <c r="W106" i="1"/>
  <c r="U152" i="1"/>
  <c r="S152" i="1" s="1"/>
  <c r="U227" i="1"/>
  <c r="S227" i="1" s="1"/>
  <c r="W164" i="1"/>
  <c r="W215" i="1"/>
  <c r="U226" i="1"/>
  <c r="S226" i="1" s="1"/>
  <c r="W55" i="1"/>
  <c r="U80" i="1"/>
  <c r="S80" i="1" s="1"/>
  <c r="W127" i="1"/>
  <c r="AI133" i="1"/>
  <c r="AI84" i="1"/>
  <c r="AI143" i="1"/>
  <c r="AI235" i="1"/>
  <c r="W38" i="1"/>
  <c r="W125" i="1"/>
  <c r="W28" i="1"/>
  <c r="W68" i="1"/>
  <c r="AI106" i="1"/>
  <c r="AI114" i="1"/>
  <c r="W80" i="1"/>
  <c r="W91" i="1"/>
  <c r="W54" i="1"/>
  <c r="W129" i="1"/>
  <c r="W143" i="1"/>
  <c r="W230" i="1"/>
  <c r="U132" i="1"/>
  <c r="S132" i="1" s="1"/>
  <c r="AI132" i="1"/>
  <c r="W21" i="1"/>
  <c r="W182" i="1"/>
  <c r="U128" i="1"/>
  <c r="S128" i="1" s="1"/>
  <c r="AI128" i="1"/>
  <c r="W132" i="1"/>
  <c r="W165" i="1"/>
  <c r="AI165" i="1"/>
  <c r="U59" i="1"/>
  <c r="S59" i="1" s="1"/>
  <c r="AI59" i="1"/>
  <c r="W59" i="1"/>
  <c r="U151" i="1"/>
  <c r="S151" i="1" s="1"/>
  <c r="AI151" i="1"/>
  <c r="W227" i="1"/>
  <c r="W151" i="1"/>
  <c r="U32" i="1"/>
  <c r="S32" i="1" s="1"/>
  <c r="AI32" i="1"/>
  <c r="W30" i="1"/>
  <c r="U104" i="1"/>
  <c r="S104" i="1" s="1"/>
  <c r="AI104" i="1"/>
  <c r="U136" i="1"/>
  <c r="S136" i="1" s="1"/>
  <c r="AI136" i="1"/>
  <c r="W104" i="1"/>
  <c r="W170" i="1"/>
  <c r="AI170" i="1"/>
  <c r="AI195" i="1"/>
  <c r="U100" i="1"/>
  <c r="S100" i="1" s="1"/>
  <c r="AI100" i="1"/>
  <c r="W100" i="1"/>
  <c r="W152" i="1"/>
  <c r="U120" i="1"/>
  <c r="S120" i="1" s="1"/>
  <c r="AI120" i="1"/>
  <c r="W210" i="1"/>
  <c r="W136" i="1"/>
  <c r="AI184" i="1"/>
  <c r="AI200" i="1"/>
  <c r="AI216" i="1"/>
  <c r="AI187" i="1"/>
  <c r="U63" i="1"/>
  <c r="S63" i="1" s="1"/>
  <c r="AI63" i="1"/>
  <c r="W42" i="1"/>
  <c r="W211" i="1"/>
  <c r="W226" i="1"/>
  <c r="AI69" i="1"/>
  <c r="U69" i="1"/>
  <c r="S69" i="1" s="1"/>
  <c r="U115" i="1"/>
  <c r="S115" i="1" s="1"/>
  <c r="AI115" i="1"/>
  <c r="AI85" i="1"/>
  <c r="U85" i="1"/>
  <c r="S85" i="1" s="1"/>
  <c r="U166" i="1"/>
  <c r="AI194" i="1"/>
  <c r="AI209" i="1"/>
  <c r="U245" i="1"/>
  <c r="S245" i="1" s="1"/>
  <c r="U19" i="1"/>
  <c r="S19" i="1" s="1"/>
  <c r="AI19" i="1"/>
  <c r="AI18" i="1"/>
  <c r="U18" i="1"/>
  <c r="S18" i="1" s="1"/>
  <c r="U66" i="1"/>
  <c r="S66" i="1" s="1"/>
  <c r="AI66" i="1"/>
  <c r="U82" i="1"/>
  <c r="S82" i="1" s="1"/>
  <c r="AI82" i="1"/>
  <c r="AI73" i="1"/>
  <c r="U73" i="1"/>
  <c r="S73" i="1" s="1"/>
  <c r="AI81" i="1"/>
  <c r="U81" i="1"/>
  <c r="S81" i="1" s="1"/>
  <c r="AI77" i="1"/>
  <c r="U77" i="1"/>
  <c r="S77" i="1" s="1"/>
  <c r="U95" i="1"/>
  <c r="S95" i="1" s="1"/>
  <c r="AI95" i="1"/>
  <c r="U111" i="1"/>
  <c r="S111" i="1" s="1"/>
  <c r="AI111" i="1"/>
  <c r="U127" i="1"/>
  <c r="S127" i="1" s="1"/>
  <c r="AI127" i="1"/>
  <c r="AI61" i="1"/>
  <c r="U61" i="1"/>
  <c r="S61" i="1" s="1"/>
  <c r="AI65" i="1"/>
  <c r="U65" i="1"/>
  <c r="S65" i="1" s="1"/>
  <c r="W82" i="1"/>
  <c r="W111" i="1"/>
  <c r="AI150" i="1"/>
  <c r="U150" i="1"/>
  <c r="S150" i="1" s="1"/>
  <c r="AI154" i="1"/>
  <c r="U154" i="1"/>
  <c r="S154" i="1" s="1"/>
  <c r="AI160" i="1"/>
  <c r="U209" i="1"/>
  <c r="S209" i="1" s="1"/>
  <c r="AI164" i="1"/>
  <c r="U213" i="1"/>
  <c r="S213" i="1" s="1"/>
  <c r="AI169" i="1"/>
  <c r="U225" i="1"/>
  <c r="S225" i="1" s="1"/>
  <c r="AI173" i="1"/>
  <c r="U229" i="1"/>
  <c r="S229" i="1" s="1"/>
  <c r="W209" i="1"/>
  <c r="U162" i="1"/>
  <c r="S162" i="1" s="1"/>
  <c r="AI190" i="1"/>
  <c r="U178" i="1"/>
  <c r="S178" i="1" s="1"/>
  <c r="AI206" i="1"/>
  <c r="U192" i="1"/>
  <c r="S192" i="1" s="1"/>
  <c r="AI222" i="1"/>
  <c r="U207" i="1"/>
  <c r="S207" i="1" s="1"/>
  <c r="AI238" i="1"/>
  <c r="U233" i="1"/>
  <c r="S233" i="1" s="1"/>
  <c r="AI177" i="1"/>
  <c r="AI181" i="1"/>
  <c r="U237" i="1"/>
  <c r="S237" i="1" s="1"/>
  <c r="AI197" i="1"/>
  <c r="U243" i="1"/>
  <c r="S243" i="1" s="1"/>
  <c r="AI213" i="1"/>
  <c r="U183" i="1"/>
  <c r="S183" i="1" s="1"/>
  <c r="AI229" i="1"/>
  <c r="U199" i="1"/>
  <c r="S199" i="1" s="1"/>
  <c r="AI245" i="1"/>
  <c r="U220" i="1"/>
  <c r="S220" i="1" s="1"/>
  <c r="W243" i="1"/>
  <c r="W183" i="1"/>
  <c r="W199" i="1"/>
  <c r="W220" i="1"/>
  <c r="W245" i="1"/>
  <c r="AI14" i="1"/>
  <c r="U14" i="1"/>
  <c r="S14" i="1" s="1"/>
  <c r="AI43" i="1"/>
  <c r="U43" i="1"/>
  <c r="S43" i="1" s="1"/>
  <c r="AI57" i="1"/>
  <c r="U57" i="1"/>
  <c r="S57" i="1" s="1"/>
  <c r="U99" i="1"/>
  <c r="S99" i="1" s="1"/>
  <c r="AI99" i="1"/>
  <c r="U135" i="1"/>
  <c r="S135" i="1" s="1"/>
  <c r="AI135" i="1"/>
  <c r="AI146" i="1"/>
  <c r="U146" i="1"/>
  <c r="S146" i="1" s="1"/>
  <c r="W135" i="1"/>
  <c r="U180" i="1"/>
  <c r="S180" i="1" s="1"/>
  <c r="AI210" i="1"/>
  <c r="U196" i="1"/>
  <c r="S196" i="1" s="1"/>
  <c r="AI226" i="1"/>
  <c r="AI193" i="1"/>
  <c r="U165" i="1"/>
  <c r="S165" i="1" s="1"/>
  <c r="AI241" i="1"/>
  <c r="U216" i="1"/>
  <c r="S216" i="1" s="1"/>
  <c r="W14" i="1"/>
  <c r="AI22" i="1"/>
  <c r="U22" i="1"/>
  <c r="S22" i="1" s="1"/>
  <c r="W19" i="1"/>
  <c r="U70" i="1"/>
  <c r="S70" i="1" s="1"/>
  <c r="AI70" i="1"/>
  <c r="W18" i="1"/>
  <c r="AI55" i="1"/>
  <c r="U55" i="1"/>
  <c r="S55" i="1" s="1"/>
  <c r="W22" i="1"/>
  <c r="U52" i="1"/>
  <c r="S52" i="1" s="1"/>
  <c r="AI52" i="1"/>
  <c r="W85" i="1"/>
  <c r="W69" i="1"/>
  <c r="W81" i="1"/>
  <c r="U91" i="1"/>
  <c r="S91" i="1" s="1"/>
  <c r="AI91" i="1"/>
  <c r="U107" i="1"/>
  <c r="S107" i="1" s="1"/>
  <c r="AI107" i="1"/>
  <c r="U123" i="1"/>
  <c r="S123" i="1" s="1"/>
  <c r="AI123" i="1"/>
  <c r="W107" i="1"/>
  <c r="U242" i="1"/>
  <c r="S242" i="1" s="1"/>
  <c r="AI186" i="1"/>
  <c r="U174" i="1"/>
  <c r="S174" i="1" s="1"/>
  <c r="AI202" i="1"/>
  <c r="U188" i="1"/>
  <c r="S188" i="1" s="1"/>
  <c r="AI218" i="1"/>
  <c r="U203" i="1"/>
  <c r="S203" i="1" s="1"/>
  <c r="AI234" i="1"/>
  <c r="W154" i="1"/>
  <c r="W229" i="1"/>
  <c r="AI185" i="1"/>
  <c r="U241" i="1"/>
  <c r="S241" i="1" s="1"/>
  <c r="AI201" i="1"/>
  <c r="U173" i="1"/>
  <c r="S173" i="1" s="1"/>
  <c r="AI217" i="1"/>
  <c r="U187" i="1"/>
  <c r="S187" i="1" s="1"/>
  <c r="AI233" i="1"/>
  <c r="U202" i="1"/>
  <c r="S202" i="1" s="1"/>
  <c r="W233" i="1"/>
  <c r="W162" i="1"/>
  <c r="W178" i="1"/>
  <c r="W192" i="1"/>
  <c r="W207" i="1"/>
  <c r="W242" i="1"/>
  <c r="W166" i="1"/>
  <c r="W174" i="1"/>
  <c r="W180" i="1"/>
  <c r="W188" i="1"/>
  <c r="W196" i="1"/>
  <c r="W203" i="1"/>
  <c r="U78" i="1"/>
  <c r="S78" i="1" s="1"/>
  <c r="AI78" i="1"/>
  <c r="U131" i="1"/>
  <c r="S131" i="1" s="1"/>
  <c r="AI131" i="1"/>
  <c r="W115" i="1"/>
  <c r="U217" i="1"/>
  <c r="S217" i="1" s="1"/>
  <c r="AI242" i="1"/>
  <c r="AI225" i="1"/>
  <c r="U195" i="1"/>
  <c r="S195" i="1" s="1"/>
  <c r="U15" i="1"/>
  <c r="S15" i="1" s="1"/>
  <c r="AI15" i="1"/>
  <c r="U48" i="1"/>
  <c r="S48" i="1" s="1"/>
  <c r="AI48" i="1"/>
  <c r="AI39" i="1"/>
  <c r="U39" i="1"/>
  <c r="S39" i="1" s="1"/>
  <c r="W15" i="1"/>
  <c r="U74" i="1"/>
  <c r="S74" i="1" s="1"/>
  <c r="AI74" i="1"/>
  <c r="W57" i="1"/>
  <c r="U86" i="1"/>
  <c r="S86" i="1" s="1"/>
  <c r="AI86" i="1"/>
  <c r="W86" i="1"/>
  <c r="U103" i="1"/>
  <c r="S103" i="1" s="1"/>
  <c r="AI103" i="1"/>
  <c r="U119" i="1"/>
  <c r="S119" i="1" s="1"/>
  <c r="AI119" i="1"/>
  <c r="W77" i="1"/>
  <c r="W95" i="1"/>
  <c r="W78" i="1"/>
  <c r="W66" i="1"/>
  <c r="W99" i="1"/>
  <c r="W131" i="1"/>
  <c r="U139" i="1"/>
  <c r="S139" i="1" s="1"/>
  <c r="W139" i="1"/>
  <c r="AI139" i="1"/>
  <c r="W150" i="1"/>
  <c r="W225" i="1"/>
  <c r="U170" i="1"/>
  <c r="S170" i="1" s="1"/>
  <c r="AI198" i="1"/>
  <c r="U184" i="1"/>
  <c r="S184" i="1" s="1"/>
  <c r="AI214" i="1"/>
  <c r="U200" i="1"/>
  <c r="S200" i="1" s="1"/>
  <c r="AI230" i="1"/>
  <c r="U221" i="1"/>
  <c r="S221" i="1" s="1"/>
  <c r="AI246" i="1"/>
  <c r="AI189" i="1"/>
  <c r="U161" i="1"/>
  <c r="S161" i="1" s="1"/>
  <c r="AI205" i="1"/>
  <c r="U177" i="1"/>
  <c r="S177" i="1" s="1"/>
  <c r="AI221" i="1"/>
  <c r="U191" i="1"/>
  <c r="S191" i="1" s="1"/>
  <c r="AI237" i="1"/>
  <c r="U206" i="1"/>
  <c r="S206" i="1" s="1"/>
  <c r="W237" i="1"/>
  <c r="AC51" i="3"/>
  <c r="AD51" i="3"/>
  <c r="Y51" i="3"/>
  <c r="T51" i="3"/>
  <c r="S166" i="1" l="1"/>
  <c r="B3" i="6"/>
  <c r="J3" i="6" s="1"/>
  <c r="B4" i="6" l="1"/>
  <c r="F3" i="6"/>
  <c r="I3" i="6"/>
  <c r="G3" i="6"/>
  <c r="G4" i="6" l="1"/>
  <c r="I4" i="6"/>
  <c r="J4" i="6"/>
  <c r="F4" i="6"/>
  <c r="B5" i="6"/>
  <c r="F5" i="6" l="1"/>
  <c r="G5" i="6"/>
  <c r="I5" i="6"/>
  <c r="J5" i="6"/>
  <c r="B6" i="6"/>
  <c r="O2" i="3"/>
  <c r="G6" i="6" l="1"/>
  <c r="I6" i="6"/>
  <c r="J6" i="6"/>
  <c r="F6" i="6"/>
  <c r="B7" i="6"/>
  <c r="M28" i="5"/>
  <c r="B8" i="6" l="1"/>
  <c r="F7" i="6"/>
  <c r="I7" i="6"/>
  <c r="G7" i="6"/>
  <c r="J7" i="6"/>
  <c r="M23" i="5"/>
  <c r="B9" i="6" l="1"/>
  <c r="G8" i="6"/>
  <c r="I8" i="6"/>
  <c r="J8" i="6"/>
  <c r="F8" i="6"/>
  <c r="AD7" i="3"/>
  <c r="AN13" i="1"/>
  <c r="F9" i="6" l="1"/>
  <c r="I9" i="6"/>
  <c r="G9" i="6"/>
  <c r="J9" i="6"/>
  <c r="B10" i="6"/>
  <c r="AE7" i="3"/>
  <c r="G10" i="6" l="1"/>
  <c r="I10" i="6"/>
  <c r="F10" i="6"/>
  <c r="J10" i="6"/>
  <c r="B11" i="6"/>
  <c r="K13" i="1"/>
  <c r="M13" i="1"/>
  <c r="N13" i="1" s="1"/>
  <c r="Y13" i="1"/>
  <c r="Z13" i="1"/>
  <c r="AB13" i="1"/>
  <c r="AC13" i="1"/>
  <c r="AD13" i="1"/>
  <c r="X14" i="1" s="1"/>
  <c r="AE13" i="1"/>
  <c r="AM13" i="1"/>
  <c r="F11" i="6" l="1"/>
  <c r="I11" i="6"/>
  <c r="G11" i="6"/>
  <c r="J11" i="6"/>
  <c r="B12" i="6"/>
  <c r="AG13" i="1"/>
  <c r="AI13" i="1" s="1"/>
  <c r="X13" i="1"/>
  <c r="AA13" i="1"/>
  <c r="T13" i="1"/>
  <c r="G12" i="6" l="1"/>
  <c r="I12" i="6"/>
  <c r="J12" i="6"/>
  <c r="F12" i="6"/>
  <c r="B13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4" i="6" l="1"/>
  <c r="F13" i="6"/>
  <c r="G13" i="6"/>
  <c r="I13" i="6"/>
  <c r="J13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4" i="6" l="1"/>
  <c r="I14" i="6"/>
  <c r="J14" i="6"/>
  <c r="F14" i="6"/>
  <c r="B15" i="6"/>
  <c r="B87" i="9"/>
  <c r="B88" i="9"/>
  <c r="B89" i="9"/>
  <c r="B90" i="9"/>
  <c r="B91" i="9"/>
  <c r="B92" i="9"/>
  <c r="B16" i="6" l="1"/>
  <c r="F15" i="6"/>
  <c r="G15" i="6"/>
  <c r="I15" i="6"/>
  <c r="J15" i="6"/>
  <c r="C88" i="9"/>
  <c r="C92" i="9"/>
  <c r="C93" i="9"/>
  <c r="C90" i="9"/>
  <c r="C89" i="9"/>
  <c r="C91" i="9"/>
  <c r="B17" i="6" l="1"/>
  <c r="G16" i="6"/>
  <c r="I16" i="6"/>
  <c r="J16" i="6"/>
  <c r="F16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7" i="6" l="1"/>
  <c r="G17" i="6"/>
  <c r="I17" i="6"/>
  <c r="J17" i="6"/>
  <c r="B18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8" i="6" l="1"/>
  <c r="F18" i="6"/>
  <c r="G18" i="6"/>
  <c r="J18" i="6"/>
  <c r="B19" i="6"/>
  <c r="B55" i="9"/>
  <c r="B56" i="9"/>
  <c r="B57" i="9"/>
  <c r="B58" i="9"/>
  <c r="B59" i="9"/>
  <c r="B60" i="9"/>
  <c r="B61" i="9"/>
  <c r="B62" i="9"/>
  <c r="C63" i="9" s="1"/>
  <c r="F19" i="6" l="1"/>
  <c r="I19" i="6"/>
  <c r="G19" i="6"/>
  <c r="J19" i="6"/>
  <c r="B20" i="6"/>
  <c r="C61" i="9"/>
  <c r="C57" i="9"/>
  <c r="C59" i="9"/>
  <c r="C62" i="9"/>
  <c r="C60" i="9"/>
  <c r="C58" i="9"/>
  <c r="C56" i="9"/>
  <c r="G20" i="6" l="1"/>
  <c r="I20" i="6"/>
  <c r="J20" i="6"/>
  <c r="F20" i="6"/>
  <c r="B21" i="6"/>
  <c r="B50" i="9"/>
  <c r="B51" i="9"/>
  <c r="B52" i="9"/>
  <c r="B53" i="9"/>
  <c r="B54" i="9"/>
  <c r="F21" i="6" l="1"/>
  <c r="G21" i="6"/>
  <c r="I21" i="6"/>
  <c r="J21" i="6"/>
  <c r="B22" i="6"/>
  <c r="C52" i="9"/>
  <c r="C54" i="9"/>
  <c r="C55" i="9"/>
  <c r="C53" i="9"/>
  <c r="C51" i="9"/>
  <c r="G22" i="6" l="1"/>
  <c r="I22" i="6"/>
  <c r="J22" i="6"/>
  <c r="F22" i="6"/>
  <c r="B23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4" i="6" l="1"/>
  <c r="F23" i="6"/>
  <c r="G23" i="6"/>
  <c r="I23" i="6"/>
  <c r="J23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4" i="6" l="1"/>
  <c r="I24" i="6"/>
  <c r="J24" i="6"/>
  <c r="F24" i="6"/>
  <c r="B25" i="6"/>
  <c r="V13" i="1"/>
  <c r="B31" i="9"/>
  <c r="B32" i="9"/>
  <c r="C33" i="9" s="1"/>
  <c r="F25" i="6" l="1"/>
  <c r="G25" i="6"/>
  <c r="I25" i="6"/>
  <c r="J25" i="6"/>
  <c r="B26" i="6"/>
  <c r="C32" i="9"/>
  <c r="G26" i="6" l="1"/>
  <c r="I26" i="6"/>
  <c r="F26" i="6"/>
  <c r="H26" i="6"/>
  <c r="J26" i="6"/>
  <c r="B27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N18" i="3" s="1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50" i="3" s="1"/>
  <c r="G39" i="4"/>
  <c r="G40" i="4"/>
  <c r="G41" i="4"/>
  <c r="G42" i="4"/>
  <c r="G43" i="4"/>
  <c r="G44" i="4"/>
  <c r="N43" i="3" s="1"/>
  <c r="G45" i="4"/>
  <c r="G46" i="4"/>
  <c r="N9" i="3" s="1"/>
  <c r="G47" i="4"/>
  <c r="G48" i="4"/>
  <c r="G49" i="4"/>
  <c r="G50" i="4"/>
  <c r="G51" i="4"/>
  <c r="G52" i="4"/>
  <c r="G53" i="4"/>
  <c r="N49" i="3" s="1"/>
  <c r="G54" i="4"/>
  <c r="G55" i="4"/>
  <c r="G56" i="4"/>
  <c r="G57" i="4"/>
  <c r="G58" i="4"/>
  <c r="N40" i="3" s="1"/>
  <c r="G59" i="4"/>
  <c r="N36" i="3" s="1"/>
  <c r="G60" i="4"/>
  <c r="G61" i="4"/>
  <c r="G62" i="4"/>
  <c r="G63" i="4"/>
  <c r="G64" i="4"/>
  <c r="G65" i="4"/>
  <c r="G66" i="4"/>
  <c r="G67" i="4"/>
  <c r="G68" i="4"/>
  <c r="N34" i="3" s="1"/>
  <c r="G69" i="4"/>
  <c r="G70" i="4"/>
  <c r="G71" i="4"/>
  <c r="G72" i="4"/>
  <c r="G73" i="4"/>
  <c r="N16" i="3" s="1"/>
  <c r="G74" i="4"/>
  <c r="G75" i="4"/>
  <c r="G76" i="4"/>
  <c r="N15" i="3" s="1"/>
  <c r="G77" i="4"/>
  <c r="G78" i="4"/>
  <c r="G79" i="4"/>
  <c r="G80" i="4"/>
  <c r="G81" i="4"/>
  <c r="G82" i="4"/>
  <c r="G83" i="4"/>
  <c r="G84" i="4"/>
  <c r="G85" i="4"/>
  <c r="G86" i="4"/>
  <c r="H4" i="6" s="1"/>
  <c r="G87" i="4"/>
  <c r="N38" i="3" s="1"/>
  <c r="G88" i="4"/>
  <c r="G89" i="4"/>
  <c r="G90" i="4"/>
  <c r="N11" i="3" s="1"/>
  <c r="G91" i="4"/>
  <c r="G92" i="4"/>
  <c r="G93" i="4"/>
  <c r="N24" i="3" s="1"/>
  <c r="G94" i="4"/>
  <c r="G95" i="4"/>
  <c r="G96" i="4"/>
  <c r="G97" i="4"/>
  <c r="N32" i="3" s="1"/>
  <c r="G98" i="4"/>
  <c r="G99" i="4"/>
  <c r="G100" i="4"/>
  <c r="G101" i="4"/>
  <c r="G102" i="4"/>
  <c r="N33" i="3" s="1"/>
  <c r="G103" i="4"/>
  <c r="G104" i="4"/>
  <c r="G105" i="4"/>
  <c r="G106" i="4"/>
  <c r="G107" i="4"/>
  <c r="G108" i="4"/>
  <c r="G109" i="4"/>
  <c r="G110" i="4"/>
  <c r="H7" i="6" s="1"/>
  <c r="G111" i="4"/>
  <c r="G112" i="4"/>
  <c r="N28" i="3" s="1"/>
  <c r="G113" i="4"/>
  <c r="N39" i="3" s="1"/>
  <c r="G114" i="4"/>
  <c r="H8" i="6" s="1"/>
  <c r="G115" i="4"/>
  <c r="G116" i="4"/>
  <c r="H9" i="6" s="1"/>
  <c r="G117" i="4"/>
  <c r="G118" i="4"/>
  <c r="G119" i="4"/>
  <c r="G120" i="4"/>
  <c r="G121" i="4"/>
  <c r="N41" i="3" s="1"/>
  <c r="G122" i="4"/>
  <c r="G123" i="4"/>
  <c r="G124" i="4"/>
  <c r="G125" i="4"/>
  <c r="G126" i="4"/>
  <c r="N20" i="3" s="1"/>
  <c r="G127" i="4"/>
  <c r="G128" i="4"/>
  <c r="G129" i="4"/>
  <c r="G130" i="4"/>
  <c r="G131" i="4"/>
  <c r="N42" i="3" s="1"/>
  <c r="G132" i="4"/>
  <c r="G133" i="4"/>
  <c r="N12" i="3" s="1"/>
  <c r="G134" i="4"/>
  <c r="G135" i="4"/>
  <c r="G136" i="4"/>
  <c r="G137" i="4"/>
  <c r="G138" i="4"/>
  <c r="G139" i="4"/>
  <c r="G140" i="4"/>
  <c r="G141" i="4"/>
  <c r="G142" i="4"/>
  <c r="G143" i="4"/>
  <c r="G144" i="4"/>
  <c r="N7" i="3" s="1"/>
  <c r="G145" i="4"/>
  <c r="N30" i="3" s="1"/>
  <c r="G146" i="4"/>
  <c r="G147" i="4"/>
  <c r="G148" i="4"/>
  <c r="H25" i="6" s="1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45" i="3" s="1"/>
  <c r="G182" i="4"/>
  <c r="G183" i="4"/>
  <c r="G184" i="4"/>
  <c r="G185" i="4"/>
  <c r="N10" i="3" s="1"/>
  <c r="G186" i="4"/>
  <c r="N35" i="3" s="1"/>
  <c r="G187" i="4"/>
  <c r="G188" i="4"/>
  <c r="G189" i="4"/>
  <c r="G190" i="4"/>
  <c r="G191" i="4"/>
  <c r="G192" i="4"/>
  <c r="N52" i="3" s="1"/>
  <c r="G193" i="4"/>
  <c r="G194" i="4"/>
  <c r="G195" i="4"/>
  <c r="G196" i="4"/>
  <c r="G197" i="4"/>
  <c r="G198" i="4"/>
  <c r="G199" i="4"/>
  <c r="G200" i="4"/>
  <c r="G201" i="4"/>
  <c r="N27" i="3" s="1"/>
  <c r="G202" i="4"/>
  <c r="G203" i="4"/>
  <c r="G204" i="4"/>
  <c r="G205" i="4"/>
  <c r="G206" i="4"/>
  <c r="G207" i="4"/>
  <c r="G208" i="4"/>
  <c r="N17" i="3" s="1"/>
  <c r="G209" i="4"/>
  <c r="G210" i="4"/>
  <c r="G211" i="4"/>
  <c r="G212" i="4"/>
  <c r="G213" i="4"/>
  <c r="G214" i="4"/>
  <c r="G215" i="4"/>
  <c r="G216" i="4"/>
  <c r="G217" i="4"/>
  <c r="G218" i="4"/>
  <c r="G219" i="4"/>
  <c r="N21" i="3" s="1"/>
  <c r="G220" i="4"/>
  <c r="G221" i="4"/>
  <c r="G222" i="4"/>
  <c r="G223" i="4"/>
  <c r="G224" i="4"/>
  <c r="G225" i="4"/>
  <c r="G226" i="4"/>
  <c r="G227" i="4"/>
  <c r="G228" i="4"/>
  <c r="G229" i="4"/>
  <c r="G230" i="4"/>
  <c r="N13" i="3" s="1"/>
  <c r="G231" i="4"/>
  <c r="G232" i="4"/>
  <c r="G233" i="4"/>
  <c r="G234" i="4"/>
  <c r="G235" i="4"/>
  <c r="G236" i="4"/>
  <c r="G237" i="4"/>
  <c r="G238" i="4"/>
  <c r="N44" i="3" s="1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N31" i="3" s="1"/>
  <c r="G254" i="4"/>
  <c r="N14" i="3" s="1"/>
  <c r="G255" i="4"/>
  <c r="G256" i="4"/>
  <c r="G257" i="4"/>
  <c r="G258" i="4"/>
  <c r="G2" i="4"/>
  <c r="N47" i="3" l="1"/>
  <c r="N46" i="3"/>
  <c r="N8" i="3"/>
  <c r="N25" i="3"/>
  <c r="N26" i="3"/>
  <c r="H17" i="6"/>
  <c r="N29" i="3"/>
  <c r="N22" i="3"/>
  <c r="N23" i="3"/>
  <c r="N51" i="3"/>
  <c r="N37" i="3"/>
  <c r="N48" i="3"/>
  <c r="H23" i="6"/>
  <c r="N19" i="3"/>
  <c r="H20" i="6"/>
  <c r="H11" i="6"/>
  <c r="H24" i="6"/>
  <c r="H18" i="6"/>
  <c r="H5" i="6"/>
  <c r="H15" i="6"/>
  <c r="H10" i="6"/>
  <c r="H3" i="6"/>
  <c r="H14" i="6"/>
  <c r="H16" i="6"/>
  <c r="H6" i="6"/>
  <c r="H13" i="6"/>
  <c r="H21" i="6"/>
  <c r="H22" i="6"/>
  <c r="H19" i="6"/>
  <c r="H12" i="6"/>
  <c r="F27" i="6"/>
  <c r="I27" i="6"/>
  <c r="G27" i="6"/>
  <c r="H27" i="6"/>
  <c r="J27" i="6"/>
  <c r="B28" i="6"/>
  <c r="L13" i="1"/>
  <c r="G28" i="6" l="1"/>
  <c r="I28" i="6"/>
  <c r="J28" i="6"/>
  <c r="F28" i="6"/>
  <c r="H28" i="6"/>
  <c r="B29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29" i="6" l="1"/>
  <c r="G29" i="6"/>
  <c r="I29" i="6"/>
  <c r="J29" i="6"/>
  <c r="H29" i="6"/>
  <c r="B30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0" i="6" l="1"/>
  <c r="H30" i="6"/>
  <c r="J30" i="6"/>
  <c r="I30" i="6"/>
  <c r="F30" i="6"/>
  <c r="B31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2" i="6" l="1"/>
  <c r="F31" i="6"/>
  <c r="G31" i="6"/>
  <c r="I31" i="6"/>
  <c r="H31" i="6"/>
  <c r="J31" i="6"/>
  <c r="M30" i="5"/>
  <c r="M29" i="5"/>
  <c r="M27" i="5"/>
  <c r="G32" i="6" l="1"/>
  <c r="I32" i="6"/>
  <c r="J32" i="6"/>
  <c r="H32" i="6"/>
  <c r="F32" i="6"/>
  <c r="B33" i="6"/>
  <c r="M26" i="5"/>
  <c r="B34" i="6" l="1"/>
  <c r="F33" i="6"/>
  <c r="G33" i="6"/>
  <c r="H33" i="6"/>
  <c r="J33" i="6"/>
  <c r="I33" i="6"/>
  <c r="AH13" i="1"/>
  <c r="J7" i="1"/>
  <c r="G34" i="6" l="1"/>
  <c r="F34" i="6"/>
  <c r="H34" i="6"/>
  <c r="J34" i="6"/>
  <c r="I34" i="6"/>
  <c r="B35" i="6"/>
  <c r="X6" i="1"/>
  <c r="W6" i="1"/>
  <c r="V6" i="1"/>
  <c r="S6" i="1"/>
  <c r="R2" i="1"/>
  <c r="I2" i="1"/>
  <c r="O6" i="1"/>
  <c r="N6" i="1"/>
  <c r="M6" i="1"/>
  <c r="J6" i="1"/>
  <c r="B36" i="6" l="1"/>
  <c r="I35" i="6"/>
  <c r="G35" i="6"/>
  <c r="H35" i="6"/>
  <c r="J35" i="6"/>
  <c r="F35" i="6"/>
  <c r="P3" i="5"/>
  <c r="G36" i="6" l="1"/>
  <c r="I36" i="6"/>
  <c r="J36" i="6"/>
  <c r="F36" i="6"/>
  <c r="H36" i="6"/>
  <c r="B37" i="6"/>
  <c r="M18" i="5"/>
  <c r="B38" i="6" l="1"/>
  <c r="F37" i="6"/>
  <c r="G37" i="6"/>
  <c r="I37" i="6"/>
  <c r="J37" i="6"/>
  <c r="H37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8" i="6" l="1"/>
  <c r="I38" i="6"/>
  <c r="J38" i="6"/>
  <c r="F38" i="6"/>
  <c r="H38" i="6"/>
  <c r="B39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0" i="6" l="1"/>
  <c r="F39" i="6"/>
  <c r="G39" i="6"/>
  <c r="I39" i="6"/>
  <c r="H39" i="6"/>
  <c r="J39" i="6"/>
  <c r="G259" i="4"/>
  <c r="G260" i="4"/>
  <c r="G261" i="4"/>
  <c r="G262" i="4"/>
  <c r="G263" i="4"/>
  <c r="G264" i="4"/>
  <c r="G265" i="4"/>
  <c r="B41" i="6" l="1"/>
  <c r="G40" i="6"/>
  <c r="I40" i="6"/>
  <c r="H40" i="6"/>
  <c r="J40" i="6"/>
  <c r="F40" i="6"/>
  <c r="M14" i="5"/>
  <c r="M13" i="5"/>
  <c r="M12" i="5"/>
  <c r="M11" i="5"/>
  <c r="M10" i="5"/>
  <c r="M9" i="5"/>
  <c r="M8" i="5"/>
  <c r="M7" i="5"/>
  <c r="M6" i="5"/>
  <c r="M5" i="5"/>
  <c r="M4" i="5"/>
  <c r="M3" i="5"/>
  <c r="F41" i="6" l="1"/>
  <c r="G41" i="6"/>
  <c r="I41" i="6"/>
  <c r="J41" i="6"/>
  <c r="H41" i="6"/>
  <c r="B42" i="6"/>
  <c r="U13" i="1"/>
  <c r="S13" i="1" s="1"/>
  <c r="O3" i="3"/>
  <c r="H42" i="6" l="1"/>
  <c r="I42" i="6"/>
  <c r="F42" i="6"/>
  <c r="G42" i="6"/>
  <c r="J42" i="6"/>
  <c r="B43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4" i="6" l="1"/>
  <c r="F44" i="6" s="1"/>
  <c r="F43" i="6"/>
  <c r="G43" i="6"/>
  <c r="I43" i="6"/>
  <c r="H43" i="6"/>
  <c r="J43" i="6"/>
  <c r="J8" i="1"/>
  <c r="J4" i="1"/>
  <c r="S8" i="1"/>
  <c r="S4" i="1"/>
  <c r="J44" i="6" l="1"/>
  <c r="I44" i="6"/>
  <c r="G44" i="6"/>
  <c r="H44" i="6"/>
  <c r="B45" i="6"/>
  <c r="S9" i="1"/>
  <c r="J9" i="1"/>
  <c r="B46" i="6" l="1"/>
  <c r="H45" i="6"/>
  <c r="J45" i="6"/>
  <c r="F45" i="6"/>
  <c r="G45" i="6"/>
  <c r="I45" i="6"/>
  <c r="S11" i="1"/>
  <c r="A11" i="1"/>
  <c r="B47" i="6" l="1"/>
  <c r="F46" i="6"/>
  <c r="I46" i="6"/>
  <c r="J46" i="6"/>
  <c r="G46" i="6"/>
  <c r="H46" i="6"/>
  <c r="B1" i="6"/>
  <c r="A5" i="3"/>
  <c r="B48" i="6" l="1"/>
  <c r="G47" i="6"/>
  <c r="H47" i="6"/>
  <c r="F47" i="6"/>
  <c r="I47" i="6"/>
  <c r="J47" i="6"/>
  <c r="G48" i="6" l="1"/>
  <c r="H48" i="6"/>
  <c r="I48" i="6"/>
  <c r="J48" i="6"/>
  <c r="F48" i="6"/>
  <c r="B49" i="6"/>
  <c r="H49" i="6" l="1"/>
  <c r="F49" i="6"/>
  <c r="G49" i="6"/>
  <c r="I49" i="6"/>
  <c r="J49" i="6"/>
  <c r="B50" i="6"/>
  <c r="B51" i="6" l="1"/>
  <c r="G50" i="6"/>
  <c r="H50" i="6"/>
  <c r="I50" i="6"/>
  <c r="J50" i="6"/>
  <c r="F50" i="6"/>
  <c r="B52" i="6" l="1"/>
  <c r="I51" i="6"/>
  <c r="G51" i="6"/>
  <c r="F51" i="6"/>
  <c r="H51" i="6"/>
  <c r="J51" i="6"/>
  <c r="G52" i="6" l="1"/>
  <c r="F52" i="6"/>
  <c r="H52" i="6"/>
  <c r="I52" i="6"/>
  <c r="J52" i="6"/>
  <c r="B53" i="6"/>
  <c r="H53" i="6" l="1"/>
  <c r="J53" i="6"/>
  <c r="F53" i="6"/>
  <c r="G53" i="6"/>
  <c r="I53" i="6"/>
  <c r="B54" i="6"/>
  <c r="B55" i="6" l="1"/>
  <c r="F54" i="6"/>
  <c r="G54" i="6"/>
  <c r="I54" i="6"/>
  <c r="H54" i="6"/>
  <c r="J54" i="6"/>
  <c r="F55" i="6" l="1"/>
  <c r="G55" i="6"/>
  <c r="J55" i="6"/>
  <c r="H55" i="6"/>
  <c r="I55" i="6"/>
  <c r="B56" i="6"/>
  <c r="G56" i="6" l="1"/>
  <c r="J56" i="6"/>
  <c r="F56" i="6"/>
  <c r="H56" i="6"/>
  <c r="I56" i="6"/>
  <c r="B57" i="6"/>
  <c r="B58" i="6" l="1"/>
  <c r="F57" i="6"/>
  <c r="G57" i="6"/>
  <c r="H57" i="6"/>
  <c r="I57" i="6"/>
  <c r="J57" i="6"/>
  <c r="B59" i="6" l="1"/>
  <c r="J58" i="6"/>
  <c r="F58" i="6"/>
  <c r="I58" i="6"/>
  <c r="G58" i="6"/>
  <c r="H58" i="6"/>
  <c r="B60" i="6" l="1"/>
  <c r="G59" i="6"/>
  <c r="H59" i="6"/>
  <c r="F59" i="6"/>
  <c r="I59" i="6"/>
  <c r="J59" i="6"/>
  <c r="G60" i="6" l="1"/>
  <c r="I60" i="6"/>
  <c r="J60" i="6"/>
  <c r="F60" i="6"/>
  <c r="H60" i="6"/>
  <c r="B61" i="6"/>
  <c r="B62" i="6" l="1"/>
  <c r="J61" i="6"/>
  <c r="F61" i="6"/>
  <c r="H61" i="6"/>
  <c r="G61" i="6"/>
  <c r="I61" i="6"/>
  <c r="B63" i="6" l="1"/>
  <c r="H62" i="6"/>
  <c r="F62" i="6"/>
  <c r="I62" i="6"/>
  <c r="J62" i="6"/>
  <c r="G62" i="6"/>
  <c r="B65" i="6" l="1"/>
  <c r="B64" i="6"/>
  <c r="G63" i="6"/>
  <c r="H63" i="6"/>
  <c r="F63" i="6"/>
  <c r="I63" i="6"/>
  <c r="J63" i="6"/>
  <c r="G64" i="6" l="1"/>
  <c r="H64" i="6"/>
  <c r="I64" i="6"/>
  <c r="J64" i="6"/>
  <c r="F64" i="6"/>
  <c r="H65" i="6"/>
  <c r="J65" i="6"/>
  <c r="G65" i="6"/>
  <c r="I65" i="6"/>
  <c r="F6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<sst xmlns="http://schemas.openxmlformats.org/spreadsheetml/2006/main" count="2995" uniqueCount="1064">
  <si>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</si>
  <si>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</si>
  <si>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</si>
  <si>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</si>
  <si>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</si>
  <si>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</si>
  <si>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</si>
  <si>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</si>
  <si>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</si>
  <si>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</si>
  <si>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</si>
  <si>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</si>
  <si>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</si>
  <si>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</si>
  <si>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</si>
  <si>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</si>
  <si>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</si>
  <si>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</si>
  <si>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</si>
  <si>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</si>
  <si>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</si>
  <si>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</si>
  <si>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</si>
  <si>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</si>
  <si>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</si>
  <si>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</si>
  <si>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</si>
  <si>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</si>
  <si>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</si>
  <si>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</si>
  <si>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</si>
  <si>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</si>
  <si>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</si>
  <si>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</si>
  <si>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</si>
  <si>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</si>
  <si>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</si>
  <si>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</si>
  <si>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</si>
  <si>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</si>
  <si>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</si>
  <si>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</si>
  <si>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</si>
  <si>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</si>
  <si>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</si>
  <si>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</si>
  <si>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</si>
  <si>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</si>
  <si>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</si>
  <si>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</si>
  <si>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</si>
  <si>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</si>
  <si>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</si>
  <si>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</si>
  <si>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</si>
  <si>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</si>
  <si>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</si>
  <si>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</si>
  <si>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</si>
  <si>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</si>
  <si>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</si>
  <si>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</si>
  <si>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</si>
  <si>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</si>
  <si>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</si>
  <si>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</si>
  <si>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</si>
  <si>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</si>
  <si>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</si>
  <si>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</si>
  <si>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</si>
  <si>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</si>
  <si>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</si>
  <si>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</si>
  <si>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</si>
  <si>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</si>
  <si>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</si>
  <si>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</si>
  <si>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</si>
  <si>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</si>
  <si>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</si>
  <si>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</si>
  <si>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</si>
  <si>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</si>
  <si>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</si>
  <si>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</si>
  <si>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</si>
  <si>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</si>
  <si>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</si>
  <si>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</si>
  <si>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</si>
  <si>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</si>
  <si>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</si>
  <si>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</si>
  <si>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</si>
  <si>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</si>
  <si>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</si>
  <si>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</si>
  <si>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</si>
  <si>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</si>
  <si>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</si>
  <si>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</si>
  <si>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</si>
  <si>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</si>
  <si>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</si>
  <si>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</si>
  <si>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</si>
  <si>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</si>
  <si>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</si>
  <si>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</si>
  <si>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</si>
  <si>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</si>
  <si>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</si>
  <si>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</si>
  <si>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</si>
  <si>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</si>
  <si>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</si>
  <si>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</si>
  <si>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</si>
  <si>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</si>
  <si>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</si>
  <si>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</si>
  <si>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</si>
  <si>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</si>
  <si>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</si>
  <si>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</si>
  <si>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</si>
  <si>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</si>
  <si>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</si>
  <si>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</si>
  <si>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</si>
  <si>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</si>
  <si>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</si>
  <si>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</si>
  <si>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</si>
  <si>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</si>
  <si>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</si>
  <si>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</si>
  <si>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</si>
  <si>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</si>
  <si>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</si>
  <si>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</si>
  <si>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</si>
  <si>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</si>
  <si>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</si>
  <si>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</si>
  <si>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</si>
  <si>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</si>
  <si>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</si>
  <si>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</si>
  <si>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</si>
  <si>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</si>
  <si>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</si>
  <si>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</si>
  <si>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</si>
  <si>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</si>
  <si>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</si>
  <si>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</si>
  <si>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</si>
  <si>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</si>
  <si>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</si>
  <si>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</si>
  <si>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</si>
  <si>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</si>
  <si>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</si>
  <si>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</si>
  <si>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</si>
  <si>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</si>
  <si>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</si>
  <si>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</si>
  <si>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</si>
  <si>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</si>
  <si>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</si>
  <si>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</si>
  <si>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</si>
  <si>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</si>
  <si>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</si>
  <si>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</si>
  <si>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</si>
  <si>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</si>
  <si>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</si>
  <si>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</si>
  <si>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</si>
  <si>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</si>
  <si>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</si>
  <si>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</si>
  <si>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</si>
  <si>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</si>
  <si>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</si>
  <si>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</si>
  <si>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</si>
  <si>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</si>
  <si>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</si>
  <si>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</si>
  <si>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</si>
  <si>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</si>
  <si>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</si>
  <si>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</si>
  <si>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</si>
  <si>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</si>
  <si>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</si>
  <si>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</si>
  <si>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</si>
  <si>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</si>
  <si>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</si>
  <si>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</si>
  <si>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</si>
  <si>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</si>
  <si>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</si>
  <si>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</si>
  <si>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</si>
  <si>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</si>
  <si>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</si>
  <si>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</si>
  <si>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</si>
  <si>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</si>
  <si>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</si>
  <si>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</si>
  <si>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</si>
  <si>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</si>
  <si>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</si>
  <si>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</si>
  <si>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</si>
  <si>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</si>
  <si>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</si>
  <si>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</si>
  <si>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</si>
  <si>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</si>
  <si>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</si>
  <si>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</si>
  <si>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</si>
  <si>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</si>
  <si>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</si>
  <si>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</si>
  <si>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</si>
  <si>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</si>
  <si>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</si>
  <si>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</si>
  <si>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</si>
  <si>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</si>
  <si>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</si>
  <si>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</si>
  <si>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</si>
  <si>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</si>
  <si>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</si>
  <si>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</si>
  <si>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</si>
  <si>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</si>
  <si>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</si>
  <si>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</si>
  <si>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</si>
  <si>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</si>
  <si>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</si>
  <si>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</si>
  <si>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</si>
  <si>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</si>
  <si>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</si>
  <si>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</si>
  <si>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</si>
  <si>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</si>
  <si>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</si>
  <si>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</si>
  <si>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</si>
  <si>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</si>
  <si>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</si>
  <si>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</si>
  <si>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</si>
  <si>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</si>
  <si>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</si>
  <si>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</si>
  <si>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</si>
  <si>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</si>
  <si>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</si>
  <si>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</si>
  <si>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</si>
  <si>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</si>
  <si>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</si>
  <si>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</si>
  <si>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</si>
  <si>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</si>
  <si>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</si>
  <si>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</si>
  <si>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</si>
  <si>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</si>
  <si>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</si>
  <si>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</si>
  <si>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</si>
  <si>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</si>
  <si>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</si>
  <si>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</si>
  <si>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</si>
  <si>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</si>
  <si>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</si>
  <si>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</si>
  <si>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</si>
  <si>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</si>
  <si>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</si>
  <si>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</si>
  <si>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</si>
  <si>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</si>
  <si>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</si>
  <si>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</si>
  <si>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</si>
  <si>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</si>
  <si>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</si>
  <si>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</si>
  <si>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</si>
  <si>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</si>
  <si>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</si>
  <si>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</si>
  <si>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</si>
  <si>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</si>
  <si>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</si>
  <si>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</si>
  <si>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</si>
  <si>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</si>
  <si>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</si>
  <si>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</si>
  <si>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</si>
  <si>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</si>
  <si>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</si>
  <si>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</si>
  <si>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</si>
  <si>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</si>
  <si>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</si>
  <si>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</si>
  <si>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</si>
  <si>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</si>
  <si>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</si>
  <si>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</si>
  <si>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</si>
  <si>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</si>
  <si>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</si>
  <si>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</si>
  <si>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</si>
  <si>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</si>
  <si>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</si>
  <si>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</si>
  <si>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</si>
  <si>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</si>
  <si>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</si>
  <si>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</si>
  <si>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</si>
  <si>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</si>
  <si>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</si>
  <si>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</si>
  <si>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</si>
  <si>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</si>
  <si>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</si>
  <si>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</si>
  <si>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</si>
  <si>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</si>
  <si>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204:145</t>
  </si>
  <si>
    <t>204:160</t>
  </si>
  <si>
    <t>204:458</t>
  </si>
  <si>
    <t>204:150</t>
  </si>
  <si>
    <t>204:149</t>
  </si>
  <si>
    <t>204:466</t>
  </si>
  <si>
    <t>204:451</t>
  </si>
  <si>
    <t>300:23346</t>
  </si>
  <si>
    <t>204:464</t>
  </si>
  <si>
    <t>204:156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</si>
  <si>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</si>
  <si>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</si>
  <si>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</si>
  <si>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</si>
  <si>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</si>
  <si>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</si>
  <si>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</si>
  <si>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</si>
  <si>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</si>
  <si>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</si>
  <si>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</si>
  <si>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</si>
  <si>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</si>
  <si>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204:136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</si>
  <si>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</si>
  <si>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</si>
  <si>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</si>
  <si>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</si>
  <si>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</si>
  <si>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</si>
  <si>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</si>
  <si>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</si>
  <si>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</si>
  <si>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</si>
  <si>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</si>
  <si>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</si>
  <si>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</si>
  <si>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</si>
  <si>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</si>
  <si>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</si>
  <si>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</si>
  <si>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</si>
  <si>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</si>
  <si>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</si>
  <si>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</si>
  <si>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</si>
  <si>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</si>
  <si>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</si>
  <si>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</si>
  <si>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</si>
  <si>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</si>
  <si>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</si>
  <si>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</si>
  <si>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</si>
  <si>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204:477</t>
  </si>
  <si>
    <t>rtdc.l.rtdc.4006:itc</t>
  </si>
  <si>
    <t>SWANSON</t>
  </si>
  <si>
    <t>BRYCE</t>
  </si>
  <si>
    <t>FORTUNATO</t>
  </si>
  <si>
    <t>FRANK</t>
  </si>
  <si>
    <t>rtdc.l.rtdc.4001:itc</t>
  </si>
  <si>
    <t>BROWN</t>
  </si>
  <si>
    <t>JACOB</t>
  </si>
  <si>
    <t>SULLIVAN</t>
  </si>
  <si>
    <t>BRANDON</t>
  </si>
  <si>
    <t>300:23304</t>
  </si>
  <si>
    <t>rtdc.l.rtdc.4002:itc</t>
  </si>
  <si>
    <t>204:154</t>
  </si>
  <si>
    <t>Early arrival</t>
  </si>
  <si>
    <t>204:233297</t>
  </si>
  <si>
    <t>204:233295</t>
  </si>
  <si>
    <t>204:232975</t>
  </si>
  <si>
    <t>204:232982</t>
  </si>
  <si>
    <t>204:233011</t>
  </si>
  <si>
    <t>204:473</t>
  </si>
  <si>
    <t>204:132</t>
  </si>
  <si>
    <t>rtdc.l.rtdc.4049:itc</t>
  </si>
  <si>
    <t>rtdc.l.rtdc.4030:itc</t>
  </si>
  <si>
    <t>rtdc.l.rtdc.4050:itc</t>
  </si>
  <si>
    <t>BONDS</t>
  </si>
  <si>
    <t>REYNALDO</t>
  </si>
  <si>
    <t>SPECTOR</t>
  </si>
  <si>
    <t>CLARK</t>
  </si>
  <si>
    <t>KATHLEEN</t>
  </si>
  <si>
    <t>THOMPSON</t>
  </si>
  <si>
    <t>LESTER</t>
  </si>
  <si>
    <t>204:469</t>
  </si>
  <si>
    <t>204:233303</t>
  </si>
  <si>
    <t>204:232993</t>
  </si>
  <si>
    <t>204:232996</t>
  </si>
  <si>
    <t>300:58954</t>
  </si>
  <si>
    <t>300:58645</t>
  </si>
  <si>
    <t>rtdc.l.rtdc.4005:itc</t>
  </si>
  <si>
    <t>rtdc.l.rtdc.4008:itc</t>
  </si>
  <si>
    <t>rtdc.l.rtdc.4007:itc</t>
  </si>
  <si>
    <t>rtdc.l.rtdc.4018:itc</t>
  </si>
  <si>
    <t>rtdc.l.rtdc.4053:itc</t>
  </si>
  <si>
    <t>rtdc.l.rtdc.4054:itc</t>
  </si>
  <si>
    <t>rtdc.l.rtdc.4059:itc</t>
  </si>
  <si>
    <t>59-16</t>
  </si>
  <si>
    <t>243-16</t>
  </si>
  <si>
    <t>STARKS</t>
  </si>
  <si>
    <t>ANGELINA</t>
  </si>
  <si>
    <t>LOZA</t>
  </si>
  <si>
    <t>FIDEL</t>
  </si>
  <si>
    <t>ROCHA</t>
  </si>
  <si>
    <t>YAOTL</t>
  </si>
  <si>
    <t>rtdc.l.rtdc.4012:itc</t>
  </si>
  <si>
    <t>rtdc.l.rtdc.4011:itc</t>
  </si>
  <si>
    <t>66-16</t>
  </si>
  <si>
    <t>rtdc.l.rtdc.4060:itc</t>
  </si>
  <si>
    <t>60-16</t>
  </si>
  <si>
    <t>239-16</t>
  </si>
  <si>
    <t>241-16</t>
  </si>
  <si>
    <t>238-16</t>
  </si>
  <si>
    <t>240-16</t>
  </si>
  <si>
    <t>315-16</t>
  </si>
  <si>
    <t>242-16</t>
  </si>
  <si>
    <t>309-16</t>
  </si>
  <si>
    <t>244-16</t>
  </si>
  <si>
    <t>311-16</t>
  </si>
  <si>
    <t>313-16</t>
  </si>
  <si>
    <t>204:233289</t>
  </si>
  <si>
    <t>204:233291</t>
  </si>
  <si>
    <t>204:471</t>
  </si>
  <si>
    <t>204:233314</t>
  </si>
  <si>
    <t>204:232992</t>
  </si>
  <si>
    <t>204:233312</t>
  </si>
  <si>
    <t>204:233000</t>
  </si>
  <si>
    <t>204:442</t>
  </si>
  <si>
    <t>204:233321</t>
  </si>
  <si>
    <t>204:233301</t>
  </si>
  <si>
    <t>300:58939</t>
  </si>
  <si>
    <t>300:58941</t>
  </si>
  <si>
    <t>204:988</t>
  </si>
  <si>
    <t>204:981</t>
  </si>
  <si>
    <t>Onboard in-route failure</t>
  </si>
  <si>
    <t>rtdc.l.rtdc.4056:itc</t>
  </si>
  <si>
    <t>rtdc.l.rtdc.4029:itc</t>
  </si>
  <si>
    <t>rtdc.l.rtdc.4024:itc</t>
  </si>
  <si>
    <t>rtdc.l.rtdc.4055:itc</t>
  </si>
  <si>
    <t>Y</t>
  </si>
  <si>
    <t>BADERTSCHER</t>
  </si>
  <si>
    <t>DIANE</t>
  </si>
  <si>
    <t>rtdc.l.rtdc.4031:itc</t>
  </si>
  <si>
    <t>GEBRETEKLE</t>
  </si>
  <si>
    <t>DAGNEW</t>
  </si>
  <si>
    <t>rtdc.l.rtdc.4032:itc</t>
  </si>
  <si>
    <t>rtdc.l.rtdc.4023:itc</t>
  </si>
  <si>
    <t>HELVIE</t>
  </si>
  <si>
    <t>ADAM</t>
  </si>
  <si>
    <t>DELGADO</t>
  </si>
  <si>
    <t>DIANAH</t>
  </si>
  <si>
    <t>204:233283</t>
  </si>
  <si>
    <t>204:233299</t>
  </si>
  <si>
    <t>204:233325</t>
  </si>
  <si>
    <t>204:129</t>
  </si>
  <si>
    <t>204:233025</t>
  </si>
  <si>
    <t>204:233353</t>
  </si>
  <si>
    <t>204:232987</t>
  </si>
  <si>
    <t>204:233306</t>
  </si>
  <si>
    <t>204:438</t>
  </si>
  <si>
    <t>204:429</t>
  </si>
  <si>
    <t>204:232979</t>
  </si>
  <si>
    <t>300:23306</t>
  </si>
  <si>
    <t>204:979</t>
  </si>
  <si>
    <t>300:58937</t>
  </si>
  <si>
    <t>300:58944</t>
  </si>
  <si>
    <t>300:58623</t>
  </si>
  <si>
    <t>204:715</t>
  </si>
  <si>
    <t>Wi-MAX data drop</t>
  </si>
  <si>
    <t>SWITCH ALIGNMENT</t>
  </si>
  <si>
    <t>Track device (7)</t>
  </si>
  <si>
    <t>rtdc.l.rtdc.4009:itc</t>
  </si>
  <si>
    <t>rtdc.l.rtdc.4010:itc</t>
  </si>
  <si>
    <t>rtdc.l.rtdc.4025:itc</t>
  </si>
  <si>
    <t>rtdc.l.rtdc.4062:itc</t>
  </si>
  <si>
    <t>ROBINSON</t>
  </si>
  <si>
    <t>KADDIBA</t>
  </si>
  <si>
    <t>MACDONALD</t>
  </si>
  <si>
    <t>rtdc.l.rtdc.4026:itc</t>
  </si>
  <si>
    <t>BRANDNER</t>
  </si>
  <si>
    <t>MELINDA</t>
  </si>
  <si>
    <t>MOSES</t>
  </si>
  <si>
    <t>BRADLEY</t>
  </si>
  <si>
    <t>WHITED</t>
  </si>
  <si>
    <t>DUSTIN</t>
  </si>
  <si>
    <t>YANG</t>
  </si>
  <si>
    <t>JAN</t>
  </si>
  <si>
    <t>rtdc.l.rtdc.4061:itc</t>
  </si>
  <si>
    <t>4061-18</t>
  </si>
  <si>
    <t>242-18</t>
  </si>
  <si>
    <t>309-18</t>
  </si>
  <si>
    <t>244-18</t>
  </si>
  <si>
    <t>4062-18</t>
  </si>
  <si>
    <t>311-18</t>
  </si>
  <si>
    <t>51-19</t>
  </si>
  <si>
    <t>precipAccumulation</t>
  </si>
  <si>
    <t>snow</t>
  </si>
  <si>
    <t>Light Snow</t>
  </si>
  <si>
    <t>204:165</t>
  </si>
  <si>
    <t>204:233304</t>
  </si>
  <si>
    <t>204:233023</t>
  </si>
  <si>
    <t>204:232963</t>
  </si>
  <si>
    <t>204:233334</t>
  </si>
  <si>
    <t>204:233288</t>
  </si>
  <si>
    <t>204:233047</t>
  </si>
  <si>
    <t>204:233318</t>
  </si>
  <si>
    <t>204:232978</t>
  </si>
  <si>
    <t>204:233346</t>
  </si>
  <si>
    <t>204:163</t>
  </si>
  <si>
    <t>204:440</t>
  </si>
  <si>
    <t>204:233013</t>
  </si>
  <si>
    <t>204:486</t>
  </si>
  <si>
    <t>204:233357</t>
  </si>
  <si>
    <t>204:233038</t>
  </si>
  <si>
    <t>204:233319</t>
  </si>
  <si>
    <t>204:233378</t>
  </si>
  <si>
    <t>204:233051</t>
  </si>
  <si>
    <t>204:232994</t>
  </si>
  <si>
    <t>204:233015</t>
  </si>
  <si>
    <t>204:232970</t>
  </si>
  <si>
    <t>204:174</t>
  </si>
  <si>
    <t>204:233144</t>
  </si>
  <si>
    <t>204:233001</t>
  </si>
  <si>
    <t>204:480</t>
  </si>
  <si>
    <t>204:233315</t>
  </si>
  <si>
    <t>204:233285</t>
  </si>
  <si>
    <t>204:232985</t>
  </si>
  <si>
    <t>204:233332</t>
  </si>
  <si>
    <t>204:3208</t>
  </si>
  <si>
    <t>300:58666</t>
  </si>
  <si>
    <t>204:673</t>
  </si>
  <si>
    <t>204:969</t>
  </si>
  <si>
    <t>300:58965</t>
  </si>
  <si>
    <t>204:708</t>
  </si>
  <si>
    <t>204:986</t>
  </si>
  <si>
    <t>204:972</t>
  </si>
  <si>
    <t>204:698</t>
  </si>
  <si>
    <t>300:58630</t>
  </si>
  <si>
    <t>204:694</t>
  </si>
  <si>
    <t>204:978</t>
  </si>
  <si>
    <t>300:58971</t>
  </si>
  <si>
    <t>300:58960</t>
  </si>
  <si>
    <t>204:699</t>
  </si>
  <si>
    <t>300:58975</t>
  </si>
  <si>
    <t>300:58651</t>
  </si>
  <si>
    <t>204:983</t>
  </si>
  <si>
    <t>300:58950</t>
  </si>
  <si>
    <t>start /low /b %USERPROFILE%\Documents\GitHub\eaglep3\Utilities\DownloadLogsFromS3.py --loco 4012 --day 2017-05-19</t>
  </si>
  <si>
    <t>CCROC/crew/equipment mismatch</t>
  </si>
  <si>
    <t>rtdc.l.rtdc.4015:itc</t>
  </si>
  <si>
    <t>302-19</t>
  </si>
  <si>
    <t>SWITCH UNKNOWN</t>
  </si>
  <si>
    <t>105-19</t>
  </si>
  <si>
    <t>902-19</t>
  </si>
  <si>
    <t>803-19</t>
  </si>
  <si>
    <t>116-19</t>
  </si>
  <si>
    <t>806-19</t>
  </si>
  <si>
    <t>807-19</t>
  </si>
  <si>
    <t>808-19</t>
  </si>
  <si>
    <t>135-19</t>
  </si>
  <si>
    <t>811-19</t>
  </si>
  <si>
    <t>rtdc.l.rtdc.4041:itc</t>
  </si>
  <si>
    <t>132-19</t>
  </si>
  <si>
    <t>813-19</t>
  </si>
  <si>
    <t>143-19</t>
  </si>
  <si>
    <t>145-19</t>
  </si>
  <si>
    <t>814-19</t>
  </si>
  <si>
    <t>140-19</t>
  </si>
  <si>
    <t>61-19</t>
  </si>
  <si>
    <t>815-19</t>
  </si>
  <si>
    <t>817-19</t>
  </si>
  <si>
    <t>159-19</t>
  </si>
  <si>
    <t>818-19</t>
  </si>
  <si>
    <t>167-19</t>
  </si>
  <si>
    <t>169-19</t>
  </si>
  <si>
    <t>820-19</t>
  </si>
  <si>
    <t>173-19</t>
  </si>
  <si>
    <t>170-19</t>
  </si>
  <si>
    <t>181-19</t>
  </si>
  <si>
    <t>174-19</t>
  </si>
  <si>
    <t>183-19</t>
  </si>
  <si>
    <t>832-19</t>
  </si>
  <si>
    <t>59-19</t>
  </si>
  <si>
    <t>rtdc.l.rtdc.4017:itc</t>
  </si>
  <si>
    <t>204-19</t>
  </si>
  <si>
    <t>70-19</t>
  </si>
  <si>
    <t>UNKNOWN LOCATION</t>
  </si>
  <si>
    <t>Other (9)</t>
  </si>
  <si>
    <t>221-19</t>
  </si>
  <si>
    <t>212-19</t>
  </si>
  <si>
    <t>80-19</t>
  </si>
  <si>
    <t>222-19</t>
  </si>
  <si>
    <t>229-19</t>
  </si>
  <si>
    <t>847-19</t>
  </si>
  <si>
    <t>238-19</t>
  </si>
  <si>
    <t>241-19</t>
  </si>
  <si>
    <t>101-19</t>
  </si>
  <si>
    <t>YANAI</t>
  </si>
  <si>
    <t>IAN</t>
  </si>
  <si>
    <t>304-19</t>
  </si>
  <si>
    <t>DAVIS</t>
  </si>
  <si>
    <t>WENDY</t>
  </si>
  <si>
    <t>103-19</t>
  </si>
  <si>
    <t>306-19</t>
  </si>
  <si>
    <t>102-19</t>
  </si>
  <si>
    <t>308-19</t>
  </si>
  <si>
    <t>52-19</t>
  </si>
  <si>
    <t>107-19</t>
  </si>
  <si>
    <t>310-19</t>
  </si>
  <si>
    <t>104-19</t>
  </si>
  <si>
    <t>56-19</t>
  </si>
  <si>
    <t>COOLAHAN</t>
  </si>
  <si>
    <t>JOHN</t>
  </si>
  <si>
    <t>54-19</t>
  </si>
  <si>
    <t>109-19</t>
  </si>
  <si>
    <t>111-19</t>
  </si>
  <si>
    <t>901-19</t>
  </si>
  <si>
    <t>106-19</t>
  </si>
  <si>
    <t>113-19</t>
  </si>
  <si>
    <t>800-19</t>
  </si>
  <si>
    <t>108-19</t>
  </si>
  <si>
    <t>801-19</t>
  </si>
  <si>
    <t>115-19</t>
  </si>
  <si>
    <t>117-19</t>
  </si>
  <si>
    <t>110-19</t>
  </si>
  <si>
    <t>112-19</t>
  </si>
  <si>
    <t>119-19</t>
  </si>
  <si>
    <t>114-19</t>
  </si>
  <si>
    <t>802-19</t>
  </si>
  <si>
    <t>121-19</t>
  </si>
  <si>
    <t>123-19</t>
  </si>
  <si>
    <t>805-19</t>
  </si>
  <si>
    <t>804-19</t>
  </si>
  <si>
    <t>118-19</t>
  </si>
  <si>
    <t>125-19</t>
  </si>
  <si>
    <t>120-19</t>
  </si>
  <si>
    <t>BEAM</t>
  </si>
  <si>
    <t>ROSS</t>
  </si>
  <si>
    <t>62-19</t>
  </si>
  <si>
    <t>127-19</t>
  </si>
  <si>
    <t>122-19</t>
  </si>
  <si>
    <t>129-19</t>
  </si>
  <si>
    <t>124-19</t>
  </si>
  <si>
    <t>131-19</t>
  </si>
  <si>
    <t>809-19</t>
  </si>
  <si>
    <t>126-19</t>
  </si>
  <si>
    <t>133-19</t>
  </si>
  <si>
    <t>128-19</t>
  </si>
  <si>
    <t>810-19</t>
  </si>
  <si>
    <t>137-19</t>
  </si>
  <si>
    <t>130-19</t>
  </si>
  <si>
    <t>139-19</t>
  </si>
  <si>
    <t>903-19</t>
  </si>
  <si>
    <t>134-19</t>
  </si>
  <si>
    <t>812-19</t>
  </si>
  <si>
    <t>141-19</t>
  </si>
  <si>
    <t>50-19</t>
  </si>
  <si>
    <t>136-19</t>
  </si>
  <si>
    <t>138-19</t>
  </si>
  <si>
    <t>rtdc.l.rtdc.4016:itc</t>
  </si>
  <si>
    <t>53-19</t>
  </si>
  <si>
    <t>58-19</t>
  </si>
  <si>
    <t>147-19</t>
  </si>
  <si>
    <t>142-19</t>
  </si>
  <si>
    <t>149-19</t>
  </si>
  <si>
    <t>55-19</t>
  </si>
  <si>
    <t>144-19</t>
  </si>
  <si>
    <t>151-19</t>
  </si>
  <si>
    <t>146-19</t>
  </si>
  <si>
    <t>148-19</t>
  </si>
  <si>
    <t>153-19</t>
  </si>
  <si>
    <t>155-19</t>
  </si>
  <si>
    <t>816-19</t>
  </si>
  <si>
    <t>150-19</t>
  </si>
  <si>
    <t>157-19</t>
  </si>
  <si>
    <t>152-19</t>
  </si>
  <si>
    <t>STEWART</t>
  </si>
  <si>
    <t>154-19</t>
  </si>
  <si>
    <t>57-19</t>
  </si>
  <si>
    <t>161-19</t>
  </si>
  <si>
    <t>ROMERO</t>
  </si>
  <si>
    <t>CHAD</t>
  </si>
  <si>
    <t>156-19</t>
  </si>
  <si>
    <t>163-19</t>
  </si>
  <si>
    <t>165-19</t>
  </si>
  <si>
    <t>BRUDER</t>
  </si>
  <si>
    <t>RICHARD</t>
  </si>
  <si>
    <t>158-19</t>
  </si>
  <si>
    <t>160-19</t>
  </si>
  <si>
    <t>162-19</t>
  </si>
  <si>
    <t>819-19</t>
  </si>
  <si>
    <t>164-19</t>
  </si>
  <si>
    <t>171-19</t>
  </si>
  <si>
    <t>166-19</t>
  </si>
  <si>
    <t>175-19</t>
  </si>
  <si>
    <t>168-19</t>
  </si>
  <si>
    <t>821-19</t>
  </si>
  <si>
    <t>177-19</t>
  </si>
  <si>
    <t>172-19</t>
  </si>
  <si>
    <t>179-19</t>
  </si>
  <si>
    <t>822-19</t>
  </si>
  <si>
    <t>176-19</t>
  </si>
  <si>
    <t>178-19</t>
  </si>
  <si>
    <t>185-19</t>
  </si>
  <si>
    <t>823-19</t>
  </si>
  <si>
    <t>180-19</t>
  </si>
  <si>
    <t>187-19</t>
  </si>
  <si>
    <t>824-19</t>
  </si>
  <si>
    <t>189-19</t>
  </si>
  <si>
    <t>182-19</t>
  </si>
  <si>
    <t>184-19</t>
  </si>
  <si>
    <t>191-19</t>
  </si>
  <si>
    <t>186-19</t>
  </si>
  <si>
    <t>193-19</t>
  </si>
  <si>
    <t>825-19</t>
  </si>
  <si>
    <t>188-19</t>
  </si>
  <si>
    <t>904-19</t>
  </si>
  <si>
    <t>195-19</t>
  </si>
  <si>
    <t>190-19</t>
  </si>
  <si>
    <t>826-19</t>
  </si>
  <si>
    <t>197-19</t>
  </si>
  <si>
    <t>827-19</t>
  </si>
  <si>
    <t>192-19</t>
  </si>
  <si>
    <t>199-19</t>
  </si>
  <si>
    <t>194-19</t>
  </si>
  <si>
    <t>828-19</t>
  </si>
  <si>
    <t>201-19</t>
  </si>
  <si>
    <t>829-19</t>
  </si>
  <si>
    <t>203-19</t>
  </si>
  <si>
    <t>196-19</t>
  </si>
  <si>
    <t>831-19</t>
  </si>
  <si>
    <t>830-19</t>
  </si>
  <si>
    <t>198-19</t>
  </si>
  <si>
    <t>HAUSER</t>
  </si>
  <si>
    <t>205-19</t>
  </si>
  <si>
    <t>200-19</t>
  </si>
  <si>
    <t>207-19</t>
  </si>
  <si>
    <t>60-19</t>
  </si>
  <si>
    <t>209-19</t>
  </si>
  <si>
    <t>202-19</t>
  </si>
  <si>
    <t>ALONZO</t>
  </si>
  <si>
    <t>MATTHEW</t>
  </si>
  <si>
    <t>833-19</t>
  </si>
  <si>
    <t>211-19</t>
  </si>
  <si>
    <t>206-19</t>
  </si>
  <si>
    <t>834-19</t>
  </si>
  <si>
    <t>DUNCAN</t>
  </si>
  <si>
    <t>SHEILA</t>
  </si>
  <si>
    <t>835-19</t>
  </si>
  <si>
    <t>HOMIK</t>
  </si>
  <si>
    <t>213-19</t>
  </si>
  <si>
    <t>SAFIEF</t>
  </si>
  <si>
    <t>AEIMEN</t>
  </si>
  <si>
    <t>208-19</t>
  </si>
  <si>
    <t>215-19</t>
  </si>
  <si>
    <t>217-19</t>
  </si>
  <si>
    <t>210-19</t>
  </si>
  <si>
    <t>836-19</t>
  </si>
  <si>
    <t>837-19</t>
  </si>
  <si>
    <t>219-19</t>
  </si>
  <si>
    <t>214-19</t>
  </si>
  <si>
    <t>839-19</t>
  </si>
  <si>
    <t>838-19</t>
  </si>
  <si>
    <t>303-19</t>
  </si>
  <si>
    <t>216-19</t>
  </si>
  <si>
    <t>218-19</t>
  </si>
  <si>
    <t>906-19</t>
  </si>
  <si>
    <t>305-19</t>
  </si>
  <si>
    <t>841-19</t>
  </si>
  <si>
    <t>220-19</t>
  </si>
  <si>
    <t>223-19</t>
  </si>
  <si>
    <t>840-19</t>
  </si>
  <si>
    <t>307-19</t>
  </si>
  <si>
    <t>81-19</t>
  </si>
  <si>
    <t>225-19</t>
  </si>
  <si>
    <t>82-19</t>
  </si>
  <si>
    <t>HOLCOMB</t>
  </si>
  <si>
    <t>KAMDEN</t>
  </si>
  <si>
    <t>224-19</t>
  </si>
  <si>
    <t>227-19</t>
  </si>
  <si>
    <t>843-19</t>
  </si>
  <si>
    <t>842-19</t>
  </si>
  <si>
    <t>226-19</t>
  </si>
  <si>
    <t>845-19</t>
  </si>
  <si>
    <t>231-19</t>
  </si>
  <si>
    <t>228-19</t>
  </si>
  <si>
    <t>84-19</t>
  </si>
  <si>
    <t>844-19</t>
  </si>
  <si>
    <t>233-19</t>
  </si>
  <si>
    <t>230-19</t>
  </si>
  <si>
    <t>232-19</t>
  </si>
  <si>
    <t>235-19</t>
  </si>
  <si>
    <t>908-19</t>
  </si>
  <si>
    <t>234-19</t>
  </si>
  <si>
    <t>237-19</t>
  </si>
  <si>
    <t>239-19</t>
  </si>
  <si>
    <t>236-19</t>
  </si>
  <si>
    <t>68-19</t>
  </si>
  <si>
    <t>240-19</t>
  </si>
  <si>
    <t>243-19</t>
  </si>
  <si>
    <t>242-19</t>
  </si>
  <si>
    <t>245-19</t>
  </si>
  <si>
    <t>309-19</t>
  </si>
  <si>
    <t>244-19</t>
  </si>
  <si>
    <t>311-19</t>
  </si>
  <si>
    <t>246-19</t>
  </si>
  <si>
    <t>313-19</t>
  </si>
  <si>
    <t>Drizzle</t>
  </si>
  <si>
    <t>partly-cloudy-night</t>
  </si>
  <si>
    <t>Mostly Cloudy</t>
  </si>
  <si>
    <t>partly-cloudy-day</t>
  </si>
  <si>
    <t>cloudy</t>
  </si>
  <si>
    <t>Overcast</t>
  </si>
  <si>
    <t>fog</t>
  </si>
  <si>
    <t>Foggy</t>
  </si>
  <si>
    <t>204:1156</t>
  </si>
  <si>
    <t>204:233336</t>
  </si>
  <si>
    <t>204:233317</t>
  </si>
  <si>
    <t>204:232989</t>
  </si>
  <si>
    <t>204:233276</t>
  </si>
  <si>
    <t>204:233006</t>
  </si>
  <si>
    <t>204:232973</t>
  </si>
  <si>
    <t>204:484</t>
  </si>
  <si>
    <t>204:233004</t>
  </si>
  <si>
    <t>204:233126</t>
  </si>
  <si>
    <t>204:1162</t>
  </si>
  <si>
    <t>204:233305</t>
  </si>
  <si>
    <t>204:467</t>
  </si>
  <si>
    <t>204:233347</t>
  </si>
  <si>
    <t>204:119</t>
  </si>
  <si>
    <t>204:19126</t>
  </si>
  <si>
    <t>204:233395</t>
  </si>
  <si>
    <t>204:233117</t>
  </si>
  <si>
    <t>204:232977</t>
  </si>
  <si>
    <t>204:86352</t>
  </si>
  <si>
    <t>204:232984</t>
  </si>
  <si>
    <t>204:1792</t>
  </si>
  <si>
    <t>204:233060</t>
  </si>
  <si>
    <t>204:232971</t>
  </si>
  <si>
    <t>204:161</t>
  </si>
  <si>
    <t>204:232991</t>
  </si>
  <si>
    <t>204:233370</t>
  </si>
  <si>
    <t>204:489</t>
  </si>
  <si>
    <t>204:233327</t>
  </si>
  <si>
    <t>204:435</t>
  </si>
  <si>
    <t>204:233418</t>
  </si>
  <si>
    <t>204:233078</t>
  </si>
  <si>
    <t>204:233389</t>
  </si>
  <si>
    <t>204:233251</t>
  </si>
  <si>
    <t>204:232932</t>
  </si>
  <si>
    <t>204:502</t>
  </si>
  <si>
    <t>204:233374</t>
  </si>
  <si>
    <t>204:233062</t>
  </si>
  <si>
    <t>204:172</t>
  </si>
  <si>
    <t>204:232990</t>
  </si>
  <si>
    <t>204:233040</t>
  </si>
  <si>
    <t>204:134</t>
  </si>
  <si>
    <t>204:233308</t>
  </si>
  <si>
    <t>204:232981</t>
  </si>
  <si>
    <t>204:233310</t>
  </si>
  <si>
    <t>204:233341</t>
  </si>
  <si>
    <t>204:233065</t>
  </si>
  <si>
    <t>204:233361</t>
  </si>
  <si>
    <t>204:232969</t>
  </si>
  <si>
    <t>204:233455</t>
  </si>
  <si>
    <t>204:233147</t>
  </si>
  <si>
    <t>204:233272</t>
  </si>
  <si>
    <t>204:191</t>
  </si>
  <si>
    <t>204:233311</t>
  </si>
  <si>
    <t>204:233330</t>
  </si>
  <si>
    <t>204:233003</t>
  </si>
  <si>
    <t>204:233345</t>
  </si>
  <si>
    <t>204:233061</t>
  </si>
  <si>
    <t>204:118</t>
  </si>
  <si>
    <t>204:233340</t>
  </si>
  <si>
    <t>204:233451</t>
  </si>
  <si>
    <t>204:513</t>
  </si>
  <si>
    <t>204:233439</t>
  </si>
  <si>
    <t>204:233130</t>
  </si>
  <si>
    <t>204:433</t>
  </si>
  <si>
    <t>204:233329</t>
  </si>
  <si>
    <t>204:114</t>
  </si>
  <si>
    <t>204:1786</t>
  </si>
  <si>
    <t>204:427</t>
  </si>
  <si>
    <t>204:233030</t>
  </si>
  <si>
    <t>204:233385</t>
  </si>
  <si>
    <t>204:233063</t>
  </si>
  <si>
    <t>204:233309</t>
  </si>
  <si>
    <t>300:23016</t>
  </si>
  <si>
    <t>204:924</t>
  </si>
  <si>
    <t>300:23019</t>
  </si>
  <si>
    <t>300:23527</t>
  </si>
  <si>
    <t>204:475</t>
  </si>
  <si>
    <t>300:23299</t>
  </si>
  <si>
    <t>300:23254</t>
  </si>
  <si>
    <t>204:2993</t>
  </si>
  <si>
    <t>204:1490</t>
  </si>
  <si>
    <t>204:3328</t>
  </si>
  <si>
    <t>300:7200</t>
  </si>
  <si>
    <t>300:23563</t>
  </si>
  <si>
    <t>204:3193</t>
  </si>
  <si>
    <t>204:3546</t>
  </si>
  <si>
    <t>300:23328</t>
  </si>
  <si>
    <t>300:23284</t>
  </si>
  <si>
    <t>204:1165</t>
  </si>
  <si>
    <t>300:23057</t>
  </si>
  <si>
    <t>204:1167</t>
  </si>
  <si>
    <t>204:372</t>
  </si>
  <si>
    <t>300:25454</t>
  </si>
  <si>
    <t>204:1203</t>
  </si>
  <si>
    <t>204:1141</t>
  </si>
  <si>
    <t>300:20184</t>
  </si>
  <si>
    <t>204:64</t>
  </si>
  <si>
    <t>204:3007</t>
  </si>
  <si>
    <t>204:1486</t>
  </si>
  <si>
    <t>204:3334</t>
  </si>
  <si>
    <t>204:1173</t>
  </si>
  <si>
    <t>300:23589</t>
  </si>
  <si>
    <t>300:5162</t>
  </si>
  <si>
    <t>204:1147</t>
  </si>
  <si>
    <t>204:5227</t>
  </si>
  <si>
    <t>300:23171</t>
  </si>
  <si>
    <t>204:871</t>
  </si>
  <si>
    <t>204:1160</t>
  </si>
  <si>
    <t>300:58672</t>
  </si>
  <si>
    <t>204:687</t>
  </si>
  <si>
    <t>204:967</t>
  </si>
  <si>
    <t>300:58984</t>
  </si>
  <si>
    <t>204:1016</t>
  </si>
  <si>
    <t>300:58926</t>
  </si>
  <si>
    <t>300:58598</t>
  </si>
  <si>
    <t>204:666</t>
  </si>
  <si>
    <t>300:58982</t>
  </si>
  <si>
    <t>204:951</t>
  </si>
  <si>
    <t>300:58641</t>
  </si>
  <si>
    <t>204:671</t>
  </si>
  <si>
    <t>204:1186</t>
  </si>
  <si>
    <t>300:58668</t>
  </si>
  <si>
    <t>204:84</t>
  </si>
  <si>
    <t>204:953</t>
  </si>
  <si>
    <t>300:58643</t>
  </si>
  <si>
    <t>204:668</t>
  </si>
  <si>
    <t>204:965</t>
  </si>
  <si>
    <t>300:58634</t>
  </si>
  <si>
    <t>204:948</t>
  </si>
  <si>
    <t>204:752</t>
  </si>
  <si>
    <t>204:1032</t>
  </si>
  <si>
    <t>300:58958</t>
  </si>
  <si>
    <t>300:23571</t>
  </si>
  <si>
    <t>300:21740</t>
  </si>
  <si>
    <t>300:22058</t>
  </si>
  <si>
    <t>204:750</t>
  </si>
  <si>
    <t>204:1044</t>
  </si>
  <si>
    <t>300:58647</t>
  </si>
  <si>
    <t>204:706</t>
  </si>
  <si>
    <t>204:1000</t>
  </si>
  <si>
    <t>300:58952</t>
  </si>
  <si>
    <t>300:58638</t>
  </si>
  <si>
    <t>204:720</t>
  </si>
  <si>
    <t>204:995</t>
  </si>
  <si>
    <t>204:997</t>
  </si>
  <si>
    <t>300:58931</t>
  </si>
  <si>
    <t>300:42760</t>
  </si>
  <si>
    <t>204:649</t>
  </si>
  <si>
    <t>300:58600</t>
  </si>
  <si>
    <t>300:57825</t>
  </si>
  <si>
    <t>204:946</t>
  </si>
  <si>
    <t>300:58626</t>
  </si>
  <si>
    <t>204:748</t>
  </si>
  <si>
    <t>300:58621</t>
  </si>
  <si>
    <t>204:680</t>
  </si>
  <si>
    <t>204:1034</t>
  </si>
  <si>
    <t>204:187923</t>
  </si>
  <si>
    <t>300:29650</t>
  </si>
  <si>
    <t>300:58988</t>
  </si>
  <si>
    <t>300:23618</t>
  </si>
  <si>
    <t>204:731</t>
  </si>
  <si>
    <t>204:388</t>
  </si>
  <si>
    <t>300:24282</t>
  </si>
  <si>
    <t>300:23196</t>
  </si>
  <si>
    <t>300:57808</t>
  </si>
  <si>
    <t>300:28750</t>
  </si>
  <si>
    <t>300:57823</t>
  </si>
  <si>
    <t>300:21558</t>
  </si>
  <si>
    <t>300:21878</t>
  </si>
  <si>
    <t>start /low /b %USERPROFILE%\Documents\GitHub\eaglep3\Utilities\DownloadLogsFromS3.py --loco 4040 --day 2017-05-19</t>
  </si>
  <si>
    <t>start /low /b %USERPROFILE%\Documents\GitHub\eaglep3\Utilities\DownloadLogsFromS3.py --loco 4041 --day 2017-05-19</t>
  </si>
  <si>
    <t>start /low /b %USERPROFILE%\Documents\GitHub\eaglep3\Utilities\DownloadLogsFromS3.py --loco 4016 --day 2017-05-19</t>
  </si>
  <si>
    <t>start /low /b %USERPROFILE%\Documents\GitHub\eaglep3\Utilities\DownloadLogsFromS3.py --loco 4029 --day 2017-05-19</t>
  </si>
  <si>
    <t>start /low /b %USERPROFILE%\Documents\GitHub\eaglep3\Utilities\DownloadLogsFromS3.py --loco 4032 --day 2017-05-19</t>
  </si>
  <si>
    <t>start /low /b %USERPROFILE%\Documents\GitHub\eaglep3\Utilities\DownloadLogsFromS3.py --loco 4023 --day 2017-05-19</t>
  </si>
  <si>
    <t>start /low /b %USERPROFILE%\Documents\GitHub\eaglep3\Utilities\DownloadLogsFromS3.py --loco 4011 --day 2017-05-19</t>
  </si>
  <si>
    <t>start /low /b %USERPROFILE%\Documents\GitHub\eaglep3\Utilities\DownloadLogsFromS3.py --loco 4017 --day 2017-05-19</t>
  </si>
  <si>
    <t>start /low /b %USERPROFILE%\Documents\GitHub\eaglep3\Utilities\DownloadLogsFromS3.py --loco 4032 --day 2017-05-20</t>
  </si>
  <si>
    <t>start /low /b %USERPROFILE%\Documents\GitHub\eaglep3\Utilities\DownloadLogsFromS3.py --loco 4053 --day 2017-05-20</t>
  </si>
  <si>
    <t>start /low /b %USERPROFILE%\Documents\GitHub\eaglep3\Utilities\DownloadLogsFromS3.py --loco 4010 --day 2017-05-19</t>
  </si>
  <si>
    <t>start /low /b %USERPROFILE%\Documents\GitHub\eaglep3\Utilities\DownloadLogsFromS3.py --loco 4018 --day 2017-05-19</t>
  </si>
  <si>
    <t>start /low /b %USERPROFILE%\Documents\GitHub\eaglep3\Utilities\DownloadLogsFromS3.py --loco 4031 --day 2017-05-20</t>
  </si>
  <si>
    <t>start /low /b %USERPROFILE%\Documents\GitHub\eaglep3\Utilities\DownloadLogsFromS3.py --loco 4031 --day 2017-05-19</t>
  </si>
  <si>
    <t>start /low /b %USERPROFILE%\Documents\GitHub\eaglep3\Utilities\DownloadLogsFromS3.py --loco 4023 --day 2017-05-20</t>
  </si>
  <si>
    <t>start /low /b %USERPROFILE%\Documents\GitHub\eaglep3\Utilities\DownloadLogsFromS3.py --loco 4024 --day 2017-05-19</t>
  </si>
  <si>
    <t>start /low /b %USERPROFILE%\Documents\GitHub\eaglep3\Utilities\DownloadLogsFromS3.py --loco 4018 --day 2017-05-20</t>
  </si>
  <si>
    <t>start /low /b %USERPROFILE%\Documents\GitHub\eaglep3\Utilities\DownloadLogsFromS3.py --loco 4001 --day 2017-05-19</t>
  </si>
  <si>
    <t>start /low /b %USERPROFILE%\Documents\GitHub\eaglep3\Utilities\DownloadLogsFromS3.py --loco 4002 --day 2017-05-19</t>
  </si>
  <si>
    <t>start /low /b %USERPROFILE%\Documents\GitHub\eaglep3\Utilities\DownloadLogsFromS3.py --loco 4002 --day 2017-05-20</t>
  </si>
  <si>
    <t>Banner without braking against speed restriction target</t>
  </si>
  <si>
    <t>Reverser handle incorrect position</t>
  </si>
  <si>
    <t>Overspeed</t>
  </si>
  <si>
    <t>DUS 28S STOP</t>
  </si>
  <si>
    <t>Wi-MAX data drop, cleared without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</si>
</sst>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topLeftCell="A177" zoomScaleNormal="100" workbookViewId="0">
      <selection activeCell="R191" sqref="A191:R19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42874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42874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COUNTIFS($N$13:$N$9319,"&gt;0",$AG$13:$AG$9319,I1)</f>
        <v>143</v>
      </c>
      <c r="K5" s="39"/>
      <c r="L5" s="39"/>
      <c r="M5" s="40">
        <f>AVERAGEIFS($N$13:$N$9319,$AG$13:$AG$9319,I1)</f>
        <v>37.81806526917287</v>
      </c>
      <c r="N5" s="38">
        <f t="array" ref="N5">MIN(IF($AG$13:$AG$9319=I1,IF(ISNUMBER($N$13:$N$9319),IF($N$13:$N$9319&gt;0,$N$13:$N$9319))))</f>
        <v>34.499999997206032</v>
      </c>
      <c r="O5" s="3">
        <f t="array" ref="O5">MAX(IF($AG$13:$AG$9319=I1,IF(ISNUMBER($N$13:$N$9319),IF($N$13:$N$9319&gt;0,$N$13:$N$9319))))</f>
        <v>45.083333342336118</v>
      </c>
      <c r="P5" s="2"/>
      <c r="R5" s="177" t="s">
        <v>17</v>
      </c>
      <c r="S5" s="199">
        <f>COUNTIFS($N$13:$N$9319,"&gt;0",$AG$13:$AG$9319,R1)</f>
        <v>45</v>
      </c>
      <c r="T5" s="179"/>
      <c r="U5" s="179"/>
      <c r="V5" s="176">
        <f>AVERAGEIFS($N$13:$N$9319,$AG$13:$AG$9319,R1)</f>
        <v>15.097037036670372</v>
      </c>
      <c r="W5" s="177">
        <f t="array" ref="W5">MIN(IF($AG$13:$AG$9319=R1,IF(ISNUMBER($N$13:$N$9319),IF($N$13:$N$9319&gt;0,$N$13:$N$9319))))</f>
        <v>12.083333329064772</v>
      </c>
      <c r="X5" s="178">
        <f t="array" ref="X5">MAX(IF($AG$13:$AG$9319=R1,IF(ISNUMBER($N$13:$N$9319),IF($N$13:$N$9319&gt;0,$N$13:$N$9319))))</f>
        <v>21.049999996321276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COUNT($O$13:$O$115)</f>
        <v>0</v>
      </c>
      <c r="K6" s="39"/>
      <c r="L6" s="39"/>
      <c r="M6" s="40">
        <f>IFERROR(AVERAGE($O$13:$O$115),0)</f>
        <v>0</v>
      </c>
      <c r="N6" s="38">
        <f>MIN($O$13:$O$115)</f>
        <v>0</v>
      </c>
      <c r="O6" s="3">
        <f>MAX($O$13:$O$115)</f>
        <v>0</v>
      </c>
      <c r="P6" s="2"/>
      <c r="R6" s="180" t="s">
        <v>43</v>
      </c>
      <c r="S6" s="199">
        <f>COUNT($O$13:$O$115)</f>
        <v>0</v>
      </c>
      <c r="T6" s="179"/>
      <c r="U6" s="179"/>
      <c r="V6" s="176">
        <f>IFERROR(AVERAGE($O$13:$O$115),0)</f>
        <v>0</v>
      </c>
      <c r="W6" s="177">
        <f>MIN($O$13:$O$115)</f>
        <v>0</v>
      </c>
      <c r="X6" s="178">
        <f>MAX($O$13:$O$115)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COUNTIFS($P$13:$P$9319,"&gt;0",$AG$13:$AG$9319,I1)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COUNTIFS($P$13:$P$9319,"&gt;0",$AG$13:$AG$9319,R1)</f>
        <v>2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143</v>
      </c>
      <c r="K8" s="39"/>
      <c r="L8" s="39"/>
      <c r="M8" s="40">
        <f>M5</f>
        <v>37.81806526917287</v>
      </c>
      <c r="N8" s="38">
        <f>N5</f>
        <v>34.499999997206032</v>
      </c>
      <c r="O8" s="3">
        <f>O5</f>
        <v>45.083333342336118</v>
      </c>
      <c r="P8" s="2"/>
      <c r="R8" s="177" t="s">
        <v>16</v>
      </c>
      <c r="S8" s="199">
        <f>S5</f>
        <v>45</v>
      </c>
      <c r="T8" s="179"/>
      <c r="U8" s="179"/>
      <c r="V8" s="176">
        <f>V5</f>
        <v>15.097037036670372</v>
      </c>
      <c r="W8" s="177">
        <f>W5</f>
        <v>12.083333329064772</v>
      </c>
      <c r="X8" s="178">
        <f>X5</f>
        <v>21.049999996321276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0.97945205479452058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0.95744680851063835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- 2017-05-19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AVERAGE(S13:S91)</f>
        <v>0.97679324894514774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348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650</v>
      </c>
      <c r="B13" s="7">
        <v>4024</v>
      </c>
      <c r="C13" s="21" t="s">
        <v>206</v>
      </c>
      <c r="D13" s="21" t="s">
        <v>869</v>
      </c>
      <c r="E13" s="13">
        <v>42874.132372685184</v>
      </c>
      <c r="F13" s="13">
        <v>42874.135567129626</v>
      </c>
      <c r="G13" s="7">
        <v>1</v>
      </c>
      <c r="H13" s="21" t="s">
        <v>870</v>
      </c>
      <c r="I13" s="13">
        <v>42874.160717592589</v>
      </c>
      <c r="J13" s="7">
        <v>0</v>
      </c>
      <c r="K13" s="92" t="str">
        <f t="shared" ref="K13:K76" si="0">IF(ISEVEN(B13),(B13-1)&amp;"/"&amp;B13,B13&amp;"/"&amp;(B13+1))</f>
        <v>4023/4024</v>
      </c>
      <c r="L13" s="21" t="str">
        <f>VLOOKUP(A13,'Trips&amp;Operators'!$C$1:$G$99999,5,FALSE)</f>
        <v>YANAI IAN</v>
      </c>
      <c r="M13" s="6">
        <f t="shared" ref="M13:M76" si="1">I13-F13</f>
        <v>2.5150462963210884E-2</v>
      </c>
      <c r="N13" s="7">
        <f t="shared" ref="N13:N26" si="2">24*60*SUM($M13:$M13)</f>
        <v>36.216666667023674</v>
      </c>
      <c r="O13" s="7"/>
      <c r="P13" s="7"/>
      <c r="Q13" s="22"/>
      <c r="R13" s="190"/>
      <c r="S13" s="196">
        <f t="shared" ref="S13:S44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-19T02:10:37-0600',mode:absolute,to:'2017-05-19T04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" s="192" t="str">
        <f t="shared" ref="W13:W76" si="6">IF(AA13&lt;IF(AG13="EC",23,5.65),"Y","N")</f>
        <v>N</v>
      </c>
      <c r="X13" s="192" t="e">
        <f t="shared" ref="X13:X25" si="7">VALUE(LEFT(AD13,4))-VALUE(LEFT(AD12,4))</f>
        <v>#VALUE!</v>
      </c>
      <c r="Y13" s="192">
        <f t="shared" ref="Y13:Y44" si="8">RIGHT(D13,LEN(D13)-4)/10000</f>
        <v>0.11559999999999999</v>
      </c>
      <c r="Z13" s="192">
        <f t="shared" ref="Z13:Z44" si="9">RIGHT(H13,LEN(H13)-4)/10000</f>
        <v>23.333600000000001</v>
      </c>
      <c r="AA13" s="192">
        <f t="shared" ref="AA13:AA76" si="10">ABS(Z13-Y13)</f>
        <v>23.218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0101-19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 &amp; aws s3 cp s3://rtdc.mdm.uploadarchive.raw/RTDC4024/ "%USERPROFILE%\AppData\Local\Temp\OnboardLogs"\RTDC4024\2017-05-20 --exclude "*" --recursive --include "*20170520*" &amp; "%USERPROFILE%\Documents\GitHub\mrs-test-scripts\Headless Mode &amp; Sideloading\WalkAndUnGZ.bat" "%USERPROFILE%\AppData\Local\Temp\OnboardLogs"\RTDC4024\2017-05-20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/stypes="app*4024*20170519*"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4024 --swversion DE.1.0.9.0 --startMP 204:1156 --initTime 2017-05-19T03:10:37 --startdatetime 2017-05-19T03:15:13 --delay 1 --endMP 204:233336 --enddatetime 2017-05-19T03:51:26 --enforcementcount 0 &gt;&gt;C:\Users\stu\Documents\GitHub\eaglep3-reporting\EC\2017-05-19-refined-times.txt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{"issue":{"subject":"","project_id":79,"tracker_id":40,"status_id":1,"priority_id":2,"assigned_to_id":23,"start_date":"2017-05-19","description":"","custom_fields":[{"id":1,"name":"Subdivision","value":"EC"},{"id":4,"name":"Milepost","value":"23.3336"},{"id":17,"name":"Train ID","value":"101-19"},{"id":16,"name":"Locomotive ID","value":"4024"},{"id":130,"name":"Impact","value":""},{"id":150,"name":"Time of Event (Mountain Time)","value":"03:51:26"},{"id":151,"name":"Denver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4024 --day 2017-05-19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09:51:26"},{"id":29,"name":"Sharepoint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658</v>
      </c>
      <c r="B14" s="7">
        <v>4023</v>
      </c>
      <c r="C14" s="21" t="s">
        <v>206</v>
      </c>
      <c r="D14" s="21" t="s">
        <v>440</v>
      </c>
      <c r="E14" s="13">
        <v>42874.165497685186</v>
      </c>
      <c r="F14" s="13">
        <v>42874.174479166664</v>
      </c>
      <c r="G14" s="7">
        <v>2</v>
      </c>
      <c r="H14" s="21" t="s">
        <v>367</v>
      </c>
      <c r="I14" s="13">
        <v>42874.201273148145</v>
      </c>
      <c r="J14" s="7">
        <v>0</v>
      </c>
      <c r="K14" s="92" t="str">
        <f t="shared" si="0"/>
        <v>4023/4024</v>
      </c>
      <c r="L14" s="21" t="str">
        <f>VLOOKUP(A14,'Trips&amp;Operators'!$C$1:$G$99999,5,FALSE)</f>
        <v>YANAI IAN</v>
      </c>
      <c r="M14" s="6">
        <f t="shared" si="1"/>
        <v>2.679398148029577E-2</v>
      </c>
      <c r="N14" s="7">
        <f t="shared" si="2"/>
        <v>38.583333331625909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-19T02:58:19-0600',mode:absolute,to:'2017-05-19T05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23.299299999999999</v>
      </c>
      <c r="Z14" s="192">
        <f t="shared" si="9"/>
        <v>1.41E-2</v>
      </c>
      <c r="AA14" s="192">
        <f t="shared" si="10"/>
        <v>23.2852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0102-19</v>
      </c>
      <c r="AE14" s="80" t="str">
        <f t="shared" si="12"/>
        <v>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 &amp; aws s3 cp s3://rtdc.mdm.uploadarchive.raw/RTDC4023/ "%USERPROFILE%\AppData\Local\Temp\OnboardLogs"\RTDC4023\2017-05-20 --exclude "*" --recursive --include "*20170520*" &amp; "%USERPROFILE%\Documents\GitHub\mrs-test-scripts\Headless Mode &amp; Sideloading\WalkAndUnGZ.bat" "%USERPROFILE%\AppData\Local\Temp\OnboardLogs"\RTDC4023\2017-05-20</v>
      </c>
      <c r="AF14" s="77" t="str">
        <f t="shared" si="13"/>
        <v>"C:\Program Files (x86)\AstroGrep\AstroGrep.exe" /e /r /s /spath="%USERPROFILE%\AppData\Local\Temp\OnboardLogs" /stypes="app*4023*20170519*"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8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4023 --swversion DE.1.0.9.0 --startMP 204:232993 --initTime 2017-05-19T03:58:19 --startdatetime 2017-05-19T04:11:15 --delay 2 --endMP 204:141 --enddatetime 2017-05-19T04:49:50 --enforcementcount 0 &gt;&gt;C:\Users\stu\Documents\GitHub\eaglep3-reporting\EC\2017-05-19-refined-times.txt</v>
      </c>
      <c r="AI14" s="99" t="str">
        <f t="shared" ref="AI14:AI78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{"issue":{"subject":"","project_id":79,"tracker_id":40,"status_id":1,"priority_id":2,"assigned_to_id":23,"start_date":"2017-05-19","description":"","custom_fields":[{"id":1,"name":"Subdivision","value":"EC"},{"id":4,"name":"Milepost","value":"0.0141"},{"id":17,"name":"Train ID","value":"102-19"},{"id":16,"name":"Locomotive ID","value":"4023"},{"id":130,"name":"Impact","value":""},{"id":150,"name":"Time of Event (Mountain Time)","value":"04:49:50"},{"id":151,"name":"Denver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8" si="21">"start /low /b "&amp;dls3logs&amp;" --loco "&amp;B14&amp;" --day "&amp;TEXT(F14,"YYYY-MM-DD")</f>
        <v>start /low /b %USERPROFILE%\Documents\GitHub\eaglep3\Utilities\DownloadLogsFromS3.py --loco 4023 --day 2017-05-19</v>
      </c>
      <c r="AN14" s="154" t="str">
        <f t="shared" ref="AN14:AN78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10:49:50"},{"id":29,"name":"Sharepoint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656</v>
      </c>
      <c r="B15" s="7">
        <v>4042</v>
      </c>
      <c r="C15" s="21" t="s">
        <v>206</v>
      </c>
      <c r="D15" s="21" t="s">
        <v>358</v>
      </c>
      <c r="E15" s="13">
        <v>42874.155162037037</v>
      </c>
      <c r="F15" s="13">
        <v>42874.156585648147</v>
      </c>
      <c r="G15" s="7">
        <v>1</v>
      </c>
      <c r="H15" s="21" t="s">
        <v>871</v>
      </c>
      <c r="I15" s="13">
        <v>42874.182430555556</v>
      </c>
      <c r="J15" s="7">
        <v>0</v>
      </c>
      <c r="K15" s="92" t="str">
        <f t="shared" si="0"/>
        <v>4041/4042</v>
      </c>
      <c r="L15" s="21" t="str">
        <f>VLOOKUP(A15,'Trips&amp;Operators'!$C$1:$G$99999,5,FALSE)</f>
        <v>DAVIS WENDY</v>
      </c>
      <c r="M15" s="6">
        <f t="shared" si="1"/>
        <v>2.584490740991896E-2</v>
      </c>
      <c r="N15" s="7">
        <f t="shared" si="2"/>
        <v>37.216666670283303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-19T02:43:26-0600',mode:absolute,to:'2017-05-19T05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4.5100000000000001E-2</v>
      </c>
      <c r="Z15" s="192">
        <f t="shared" si="9"/>
        <v>23.331700000000001</v>
      </c>
      <c r="AA15" s="192">
        <f t="shared" si="10"/>
        <v>23.2866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0103-19</v>
      </c>
      <c r="AE15" s="80" t="str">
        <f t="shared" si="12"/>
        <v>aws s3 cp s3://rtdc.mdm.uploadarchive.raw/RTDC4042/ "%USERPROFILE%\AppData\Local\Temp\OnboardLogs"\RTDC4042\2017-05-19 --exclude "*" --recursive --include "*20170519*" &amp; "%USERPROFILE%\Documents\GitHub\mrs-test-scripts\Headless Mode &amp; Sideloading\WalkAndUnGZ.bat" "%USERPROFILE%\AppData\Local\Temp\OnboardLogs"\RTDC4042\2017-05-19 &amp; aws s3 cp s3://rtdc.mdm.uploadarchive.raw/RTDC4042/ "%USERPROFILE%\AppData\Local\Temp\OnboardLogs"\RTDC4042\2017-05-20 --exclude "*" --recursive --include "*20170520*" &amp; "%USERPROFILE%\Documents\GitHub\mrs-test-scripts\Headless Mode &amp; Sideloading\WalkAndUnGZ.bat" "%USERPROFILE%\AppData\Local\Temp\OnboardLogs"\RTDC4042\2017-05-20</v>
      </c>
      <c r="AF15" s="77" t="str">
        <f t="shared" si="13"/>
        <v>"C:\Program Files (x86)\AstroGrep\AstroGrep.exe" /e /r /s /spath="%USERPROFILE%\AppData\Local\Temp\OnboardLogs" /stypes="app*4042*20170519*"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103-19 --locoid 4042 --swversion DE.1.0.9.0 --startMP 204:451 --initTime 2017-05-19T03:43:26 --startdatetime 2017-05-19T03:45:29 --delay 1 --endMP 204:233317 --enddatetime 2017-05-19T04:22:42 --enforcementcount 0 &gt;&gt;C:\Users\stu\Documents\GitHub\eaglep3-reporting\EC\2017-05-19-refined-times.txt</v>
      </c>
      <c r="AI15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{"issue":{"subject":"","project_id":79,"tracker_id":40,"status_id":1,"priority_id":2,"assigned_to_id":23,"start_date":"2017-05-19","description":"","custom_fields":[{"id":1,"name":"Subdivision","value":"EC"},{"id":4,"name":"Milepost","value":"23.3317"},{"id":17,"name":"Train ID","value":"103-19"},{"id":16,"name":"Locomotive ID","value":"4042"},{"id":130,"name":"Impact","value":""},{"id":150,"name":"Time of Event (Mountain Time)","value":"04:22:42"},{"id":151,"name":"Denver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4042 --day 2017-05-19</v>
      </c>
      <c r="AN15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10:22:42"},{"id":29,"name":"Sharepoint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663</v>
      </c>
      <c r="B16" s="7">
        <v>4041</v>
      </c>
      <c r="C16" s="21" t="s">
        <v>206</v>
      </c>
      <c r="D16" s="21" t="s">
        <v>872</v>
      </c>
      <c r="E16" s="13">
        <v>42874.191261574073</v>
      </c>
      <c r="F16" s="13">
        <v>42874.195277777777</v>
      </c>
      <c r="G16" s="7">
        <v>0</v>
      </c>
      <c r="H16" s="21" t="s">
        <v>352</v>
      </c>
      <c r="I16" s="13">
        <v>42874.223090277781</v>
      </c>
      <c r="J16" s="7">
        <v>0</v>
      </c>
      <c r="K16" s="92" t="str">
        <f t="shared" si="0"/>
        <v>4041/4042</v>
      </c>
      <c r="L16" s="21" t="str">
        <f>VLOOKUP(A16,'Trips&amp;Operators'!$C$1:$G$99999,5,FALSE)</f>
        <v>DAVIS WENDY</v>
      </c>
      <c r="M16" s="6">
        <f t="shared" si="1"/>
        <v>2.7812500004074536E-2</v>
      </c>
      <c r="N16" s="7">
        <f t="shared" si="2"/>
        <v>40.050000005867332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-19T03:35:25-0600',mode:absolute,to:'2017-05-19T06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23.2989</v>
      </c>
      <c r="Z16" s="192">
        <f t="shared" si="9"/>
        <v>1.4500000000000001E-2</v>
      </c>
      <c r="AA16" s="192">
        <f t="shared" si="10"/>
        <v>23.284399999999998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0104-19</v>
      </c>
      <c r="AE16" s="80" t="str">
        <f t="shared" si="12"/>
        <v>aws s3 cp s3://rtdc.mdm.uploadarchive.raw/RTDC4041/ "%USERPROFILE%\AppData\Local\Temp\OnboardLogs"\RTDC4041\2017-05-19 --exclude "*" --recursive --include "*20170519*" &amp; "%USERPROFILE%\Documents\GitHub\mrs-test-scripts\Headless Mode &amp; Sideloading\WalkAndUnGZ.bat" "%USERPROFILE%\AppData\Local\Temp\OnboardLogs"\RTDC4041\2017-05-19 &amp; aws s3 cp s3://rtdc.mdm.uploadarchive.raw/RTDC4041/ "%USERPROFILE%\AppData\Local\Temp\OnboardLogs"\RTDC4041\2017-05-20 --exclude "*" --recursive --include "*20170520*" &amp; "%USERPROFILE%\Documents\GitHub\mrs-test-scripts\Headless Mode &amp; Sideloading\WalkAndUnGZ.bat" "%USERPROFILE%\AppData\Local\Temp\OnboardLogs"\RTDC4041\2017-05-20</v>
      </c>
      <c r="AF16" s="77" t="str">
        <f t="shared" si="13"/>
        <v>"C:\Program Files (x86)\AstroGrep\AstroGrep.exe" /e /r /s /spath="%USERPROFILE%\AppData\Local\Temp\OnboardLogs" /stypes="app*4041*20170519*"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104-19 --locoid 4041 --swversion DE.1.0.9.0 --startMP 204:232989 --initTime 2017-05-19T04:35:25 --startdatetime 2017-05-19T04:41:12 --delay 0 --endMP 204:145 --enddatetime 2017-05-19T05:21:15 --enforcementcount 0 &gt;&gt;C:\Users\stu\Documents\GitHub\eaglep3-reporting\EC\2017-05-19-refined-times.txt</v>
      </c>
      <c r="AI16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{"issue":{"subject":"","project_id":79,"tracker_id":40,"status_id":1,"priority_id":2,"assigned_to_id":23,"start_date":"2017-05-19","description":"","custom_fields":[{"id":1,"name":"Subdivision","value":"EC"},{"id":4,"name":"Milepost","value":"0.0145"},{"id":17,"name":"Train ID","value":"104-19"},{"id":16,"name":"Locomotive ID","value":"4041"},{"id":130,"name":"Impact","value":""},{"id":150,"name":"Time of Event (Mountain Time)","value":"05:21:15"},{"id":151,"name":"Denver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4041 --day 2017-05-19</v>
      </c>
      <c r="AN16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11:21:15"},{"id":29,"name":"Sharepoint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606</v>
      </c>
      <c r="B17" s="7">
        <v>4018</v>
      </c>
      <c r="C17" s="21" t="s">
        <v>206</v>
      </c>
      <c r="D17" s="21" t="s">
        <v>351</v>
      </c>
      <c r="E17" s="13">
        <v>42874.170729166668</v>
      </c>
      <c r="F17" s="13">
        <v>42874.177372685182</v>
      </c>
      <c r="G17" s="7">
        <v>1</v>
      </c>
      <c r="H17" s="21" t="s">
        <v>479</v>
      </c>
      <c r="I17" s="13">
        <v>42874.203020833331</v>
      </c>
      <c r="J17" s="7">
        <v>0</v>
      </c>
      <c r="K17" s="92" t="str">
        <f t="shared" si="0"/>
        <v>4017/4018</v>
      </c>
      <c r="L17" s="21" t="str">
        <f>VLOOKUP(A17,'Trips&amp;Operators'!$C$1:$G$99999,5,FALSE)</f>
        <v>ROBINSON KADDIBA</v>
      </c>
      <c r="M17" s="6">
        <f t="shared" si="1"/>
        <v>2.5648148148320615E-2</v>
      </c>
      <c r="N17" s="7">
        <f t="shared" si="2"/>
        <v>36.933333333581686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-19T03:05:51-0600',mode:absolute,to:'2017-05-19T05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4.4600000000000001E-2</v>
      </c>
      <c r="Z17" s="192">
        <f t="shared" si="9"/>
        <v>23.331199999999999</v>
      </c>
      <c r="AA17" s="192">
        <f t="shared" si="10"/>
        <v>23.2866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0105-19</v>
      </c>
      <c r="AE17" s="80" t="str">
        <f t="shared" si="12"/>
        <v>aws s3 cp s3://rtdc.mdm.uploadarchive.raw/RTDC4018/ "%USERPROFILE%\AppData\Local\Temp\OnboardLogs"\RTDC4018\2017-05-19 --exclude "*" --recursive --include "*20170519*" &amp; "%USERPROFILE%\Documents\GitHub\mrs-test-scripts\Headless Mode &amp; Sideloading\WalkAndUnGZ.bat" "%USERPROFILE%\AppData\Local\Temp\OnboardLogs"\RTDC4018\2017-05-19 &amp; 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</v>
      </c>
      <c r="AF17" s="77" t="str">
        <f t="shared" si="13"/>
        <v>"C:\Program Files (x86)\AstroGrep\AstroGrep.exe" /e /r /s /spath="%USERPROFILE%\AppData\Local\Temp\OnboardLogs" /stypes="app*4018*20170519*"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105-19 --locoid 4018 --swversion DE.1.0.9.0 --startMP 204:446 --initTime 2017-05-19T04:05:51 --startdatetime 2017-05-19T04:15:25 --delay 1 --endMP 204:233312 --enddatetime 2017-05-19T04:52:21 --enforcementcount 0 &gt;&gt;C:\Users\stu\Documents\GitHub\eaglep3-reporting\EC\2017-05-19-refined-times.txt</v>
      </c>
      <c r="AI17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{"issue":{"subject":"","project_id":79,"tracker_id":40,"status_id":1,"priority_id":2,"assigned_to_id":23,"start_date":"2017-05-19","description":"","custom_fields":[{"id":1,"name":"Subdivision","value":"EC"},{"id":4,"name":"Milepost","value":"23.3312"},{"id":17,"name":"Train ID","value":"105-19"},{"id":16,"name":"Locomotive ID","value":"4018"},{"id":130,"name":"Impact","value":""},{"id":150,"name":"Time of Event (Mountain Time)","value":"04:52:21"},{"id":151,"name":"Denver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4018 --day 2017-05-19</v>
      </c>
      <c r="AN17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10:52:21"},{"id":29,"name":"Sharepoint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671</v>
      </c>
      <c r="B18" s="7">
        <v>4017</v>
      </c>
      <c r="C18" s="21" t="s">
        <v>206</v>
      </c>
      <c r="D18" s="21" t="s">
        <v>480</v>
      </c>
      <c r="E18" s="13">
        <v>42874.209652777776</v>
      </c>
      <c r="F18" s="13">
        <v>42874.216145833336</v>
      </c>
      <c r="G18" s="7">
        <v>1</v>
      </c>
      <c r="H18" s="21" t="s">
        <v>367</v>
      </c>
      <c r="I18" s="13">
        <v>42874.243043981478</v>
      </c>
      <c r="J18" s="7">
        <v>0</v>
      </c>
      <c r="K18" s="92" t="str">
        <f t="shared" si="0"/>
        <v>4017/4018</v>
      </c>
      <c r="L18" s="21" t="str">
        <f>VLOOKUP(A18,'Trips&amp;Operators'!$C$1:$G$99999,5,FALSE)</f>
        <v>ROBINSON KADDIBA</v>
      </c>
      <c r="M18" s="6">
        <f t="shared" si="1"/>
        <v>2.6898148142208811E-2</v>
      </c>
      <c r="N18" s="7">
        <f t="shared" si="2"/>
        <v>38.733333324780688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-19T04:01:54-0600',mode:absolute,to:'2017-05-19T06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23.3</v>
      </c>
      <c r="Z18" s="192">
        <f t="shared" si="9"/>
        <v>1.41E-2</v>
      </c>
      <c r="AA18" s="192">
        <f t="shared" si="10"/>
        <v>23.285900000000002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0106-19</v>
      </c>
      <c r="AE18" s="80" t="str">
        <f t="shared" si="12"/>
        <v>aws s3 cp s3://rtdc.mdm.uploadarchive.raw/RTDC4017/ "%USERPROFILE%\AppData\Local\Temp\OnboardLogs"\RTDC4017\2017-05-19 --exclude "*" --recursive --include "*20170519*" &amp; "%USERPROFILE%\Documents\GitHub\mrs-test-scripts\Headless Mode &amp; Sideloading\WalkAndUnGZ.bat" "%USERPROFILE%\AppData\Local\Temp\OnboardLogs"\RTDC4017\2017-05-19 &amp; 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</v>
      </c>
      <c r="AF18" s="77" t="str">
        <f t="shared" si="13"/>
        <v>"C:\Program Files (x86)\AstroGrep\AstroGrep.exe" /e /r /s /spath="%USERPROFILE%\AppData\Local\Temp\OnboardLogs" /stypes="app*4017*20170519*"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106-19 --locoid 4017 --swversion DE.1.0.9.0 --startMP 204:233000 --initTime 2017-05-19T05:01:54 --startdatetime 2017-05-19T05:11:15 --delay 1 --endMP 204:141 --enddatetime 2017-05-19T05:49:59 --enforcementcount 0 &gt;&gt;C:\Users\stu\Documents\GitHub\eaglep3-reporting\EC\2017-05-19-refined-times.txt</v>
      </c>
      <c r="AI18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{"issue":{"subject":"","project_id":79,"tracker_id":40,"status_id":1,"priority_id":2,"assigned_to_id":23,"start_date":"2017-05-19","description":"","custom_fields":[{"id":1,"name":"Subdivision","value":"EC"},{"id":4,"name":"Milepost","value":"0.0141"},{"id":17,"name":"Train ID","value":"106-19"},{"id":16,"name":"Locomotive ID","value":"4017"},{"id":130,"name":"Impact","value":""},{"id":150,"name":"Time of Event (Mountain Time)","value":"05:49:59"},{"id":151,"name":"Denver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4017 --day 2017-05-19</v>
      </c>
      <c r="AN18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11:49:59"},{"id":29,"name":"Sharepoint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661</v>
      </c>
      <c r="B19" s="7">
        <v>4010</v>
      </c>
      <c r="C19" s="21" t="s">
        <v>206</v>
      </c>
      <c r="D19" s="21" t="s">
        <v>202</v>
      </c>
      <c r="E19" s="13">
        <v>42874.184618055559</v>
      </c>
      <c r="F19" s="13">
        <v>42874.187673611108</v>
      </c>
      <c r="G19" s="7">
        <v>1</v>
      </c>
      <c r="H19" s="21" t="s">
        <v>873</v>
      </c>
      <c r="I19" s="13">
        <v>42874.213055555556</v>
      </c>
      <c r="J19" s="7">
        <v>0</v>
      </c>
      <c r="K19" s="92" t="str">
        <f t="shared" si="0"/>
        <v>4009/4010</v>
      </c>
      <c r="L19" s="21" t="str">
        <f>VLOOKUP(A19,'Trips&amp;Operators'!$C$1:$G$99999,5,FALSE)</f>
        <v>STARKS ANGELINA</v>
      </c>
      <c r="M19" s="6">
        <f t="shared" si="1"/>
        <v>2.5381944447872229E-2</v>
      </c>
      <c r="N19" s="7">
        <f t="shared" si="2"/>
        <v>36.55000000493601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-19T03:25:51-0600',mode:absolute,to:'2017-05-19T06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4.5699999999999998E-2</v>
      </c>
      <c r="Z19" s="192">
        <f t="shared" si="9"/>
        <v>23.3276</v>
      </c>
      <c r="AA19" s="192">
        <f t="shared" si="10"/>
        <v>23.2819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0107-19</v>
      </c>
      <c r="AE19" s="80" t="str">
        <f t="shared" si="12"/>
        <v>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 &amp; 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</v>
      </c>
      <c r="AF19" s="77" t="str">
        <f t="shared" si="13"/>
        <v>"C:\Program Files (x86)\AstroGrep\AstroGrep.exe" /e /r /s /spath="%USERPROFILE%\AppData\Local\Temp\OnboardLogs" /stypes="app*4010*20170519*"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107-19 --locoid 4010 --swversion DE.1.0.9.0 --startMP 204:457 --initTime 2017-05-19T04:25:51 --startdatetime 2017-05-19T04:30:15 --delay 1 --endMP 204:233276 --enddatetime 2017-05-19T05:06:48 --enforcementcount 0 &gt;&gt;C:\Users\stu\Documents\GitHub\eaglep3-reporting\EC\2017-05-19-refined-times.txt</v>
      </c>
      <c r="AI19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{"issue":{"subject":"","project_id":79,"tracker_id":40,"status_id":1,"priority_id":2,"assigned_to_id":23,"start_date":"2017-05-19","description":"","custom_fields":[{"id":1,"name":"Subdivision","value":"EC"},{"id":4,"name":"Milepost","value":"23.3276"},{"id":17,"name":"Train ID","value":"107-19"},{"id":16,"name":"Locomotive ID","value":"4010"},{"id":130,"name":"Impact","value":""},{"id":150,"name":"Time of Event (Mountain Time)","value":"05:06:48"},{"id":151,"name":"Denver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4010 --day 2017-05-19</v>
      </c>
      <c r="AN19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11:06:48"},{"id":29,"name":"Sharepoint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674</v>
      </c>
      <c r="B20" s="7">
        <v>4009</v>
      </c>
      <c r="C20" s="21" t="s">
        <v>206</v>
      </c>
      <c r="D20" s="21" t="s">
        <v>560</v>
      </c>
      <c r="E20" s="13">
        <v>42874.224594907406</v>
      </c>
      <c r="F20" s="13">
        <v>42874.226585648146</v>
      </c>
      <c r="G20" s="7">
        <v>2</v>
      </c>
      <c r="H20" s="21" t="s">
        <v>352</v>
      </c>
      <c r="I20" s="13">
        <v>42874.254537037035</v>
      </c>
      <c r="J20" s="7">
        <v>0</v>
      </c>
      <c r="K20" s="92" t="str">
        <f t="shared" si="0"/>
        <v>4009/4010</v>
      </c>
      <c r="L20" s="21" t="str">
        <f>VLOOKUP(A20,'Trips&amp;Operators'!$C$1:$G$99999,5,FALSE)</f>
        <v>STARKS ANGELINA</v>
      </c>
      <c r="M20" s="6">
        <f t="shared" si="1"/>
        <v>2.7951388889050577E-2</v>
      </c>
      <c r="N20" s="7">
        <f t="shared" si="2"/>
        <v>40.250000000232831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-19T04:23:25-0600',mode:absolute,to:'2017-05-19T07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23.297799999999999</v>
      </c>
      <c r="Z20" s="192">
        <f t="shared" si="9"/>
        <v>1.4500000000000001E-2</v>
      </c>
      <c r="AA20" s="192">
        <f t="shared" si="10"/>
        <v>23.283299999999997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0108-19</v>
      </c>
      <c r="AE20" s="80" t="str">
        <f t="shared" si="12"/>
        <v>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 &amp; aws s3 cp s3://rtdc.mdm.uploadarchive.raw/RTDC4009/ "%USERPROFILE%\AppData\Local\Temp\OnboardLogs"\RTDC4009\2017-05-20 --exclude "*" --recursive --include "*20170520*" &amp; "%USERPROFILE%\Documents\GitHub\mrs-test-scripts\Headless Mode &amp; Sideloading\WalkAndUnGZ.bat" "%USERPROFILE%\AppData\Local\Temp\OnboardLogs"\RTDC4009\2017-05-20</v>
      </c>
      <c r="AF20" s="77" t="str">
        <f t="shared" si="13"/>
        <v>"C:\Program Files (x86)\AstroGrep\AstroGrep.exe" /e /r /s /spath="%USERPROFILE%\AppData\Local\Temp\OnboardLogs" /stypes="app*4009*20170519*"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108-19 --locoid 4009 --swversion DE.1.0.9.0 --startMP 204:232978 --initTime 2017-05-19T05:23:25 --startdatetime 2017-05-19T05:26:17 --delay 2 --endMP 204:145 --enddatetime 2017-05-19T06:06:32 --enforcementcount 0 &gt;&gt;C:\Users\stu\Documents\GitHub\eaglep3-reporting\EC\2017-05-19-refined-times.txt</v>
      </c>
      <c r="AI20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{"issue":{"subject":"","project_id":79,"tracker_id":40,"status_id":1,"priority_id":2,"assigned_to_id":23,"start_date":"2017-05-19","description":"","custom_fields":[{"id":1,"name":"Subdivision","value":"EC"},{"id":4,"name":"Milepost","value":"0.0145"},{"id":17,"name":"Train ID","value":"108-19"},{"id":16,"name":"Locomotive ID","value":"4009"},{"id":130,"name":"Impact","value":""},{"id":150,"name":"Time of Event (Mountain Time)","value":"06:06:32"},{"id":151,"name":"Denver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4009 --day 2017-05-19</v>
      </c>
      <c r="AN20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12:06:32"},{"id":29,"name":"Sharepoint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668</v>
      </c>
      <c r="B21" s="7">
        <v>4006</v>
      </c>
      <c r="C21" s="21" t="s">
        <v>206</v>
      </c>
      <c r="D21" s="21" t="s">
        <v>362</v>
      </c>
      <c r="E21" s="13">
        <v>42874.194976851853</v>
      </c>
      <c r="F21" s="13">
        <v>42874.198113425926</v>
      </c>
      <c r="G21" s="7">
        <v>1</v>
      </c>
      <c r="H21" s="21" t="s">
        <v>482</v>
      </c>
      <c r="I21" s="13">
        <v>42874.222870370373</v>
      </c>
      <c r="J21" s="7">
        <v>0</v>
      </c>
      <c r="K21" s="92" t="str">
        <f t="shared" si="0"/>
        <v>4005/4006</v>
      </c>
      <c r="L21" s="21" t="str">
        <f>VLOOKUP(A21,'Trips&amp;Operators'!$C$1:$G$99999,5,FALSE)</f>
        <v>LOZA FIDEL</v>
      </c>
      <c r="M21" s="6">
        <f t="shared" si="1"/>
        <v>2.4756944447290152E-2</v>
      </c>
      <c r="N21" s="7">
        <f t="shared" si="2"/>
        <v>35.650000004097819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-19T03:40:46-0600',mode:absolute,to:'2017-05-19T06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4.53E-2</v>
      </c>
      <c r="Z21" s="192">
        <f t="shared" si="9"/>
        <v>23.332100000000001</v>
      </c>
      <c r="AA21" s="192">
        <f t="shared" si="10"/>
        <v>23.286799999999999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0109-19</v>
      </c>
      <c r="AE21" s="80" t="str">
        <f t="shared" si="12"/>
        <v>aws s3 cp s3://rtdc.mdm.uploadarchive.raw/RTDC4006/ "%USERPROFILE%\AppData\Local\Temp\OnboardLogs"\RTDC4006\2017-05-19 --exclude "*" --recursive --include "*20170519*" &amp; "%USERPROFILE%\Documents\GitHub\mrs-test-scripts\Headless Mode &amp; Sideloading\WalkAndUnGZ.bat" "%USERPROFILE%\AppData\Local\Temp\OnboardLogs"\RTDC4006\2017-05-19 &amp; 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</v>
      </c>
      <c r="AF21" s="77" t="str">
        <f t="shared" si="13"/>
        <v>"C:\Program Files (x86)\AstroGrep\AstroGrep.exe" /e /r /s /spath="%USERPROFILE%\AppData\Local\Temp\OnboardLogs" /stypes="app*4006*20170519*"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109-19 --locoid 4006 --swversion DE.1.0.9.0 --startMP 204:453 --initTime 2017-05-19T04:40:46 --startdatetime 2017-05-19T04:45:17 --delay 1 --endMP 204:233321 --enddatetime 2017-05-19T05:20:56 --enforcementcount 0 &gt;&gt;C:\Users\stu\Documents\GitHub\eaglep3-reporting\EC\2017-05-19-refined-times.txt</v>
      </c>
      <c r="AI21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{"issue":{"subject":"","project_id":79,"tracker_id":40,"status_id":1,"priority_id":2,"assigned_to_id":23,"start_date":"2017-05-19","description":"","custom_fields":[{"id":1,"name":"Subdivision","value":"EC"},{"id":4,"name":"Milepost","value":"23.3321"},{"id":17,"name":"Train ID","value":"109-19"},{"id":16,"name":"Locomotive ID","value":"4006"},{"id":130,"name":"Impact","value":""},{"id":150,"name":"Time of Event (Mountain Time)","value":"05:20:56"},{"id":151,"name":"Denver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4006 --day 2017-05-19</v>
      </c>
      <c r="AN21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11:20:56"},{"id":29,"name":"Sharepoint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678</v>
      </c>
      <c r="B22" s="7">
        <v>4005</v>
      </c>
      <c r="C22" s="21" t="s">
        <v>206</v>
      </c>
      <c r="D22" s="21" t="s">
        <v>874</v>
      </c>
      <c r="E22" s="13">
        <v>42874.233726851853</v>
      </c>
      <c r="F22" s="13">
        <v>42874.236990740741</v>
      </c>
      <c r="G22" s="7">
        <v>1</v>
      </c>
      <c r="H22" s="21" t="s">
        <v>197</v>
      </c>
      <c r="I22" s="13">
        <v>42874.263368055559</v>
      </c>
      <c r="J22" s="7">
        <v>0</v>
      </c>
      <c r="K22" s="92" t="str">
        <f t="shared" si="0"/>
        <v>4005/4006</v>
      </c>
      <c r="L22" s="21" t="str">
        <f>VLOOKUP(A22,'Trips&amp;Operators'!$C$1:$G$99999,5,FALSE)</f>
        <v>LOZA FIDEL</v>
      </c>
      <c r="M22" s="6">
        <f t="shared" si="1"/>
        <v>2.6377314818091691E-2</v>
      </c>
      <c r="N22" s="7">
        <f t="shared" si="2"/>
        <v>37.983333338052034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-19T04:36:34-0600',mode:absolute,to:'2017-05-19T07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23.300599999999999</v>
      </c>
      <c r="Z22" s="192">
        <f t="shared" si="9"/>
        <v>1.52E-2</v>
      </c>
      <c r="AA22" s="192">
        <f t="shared" si="10"/>
        <v>23.285399999999999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0110-19</v>
      </c>
      <c r="AE22" s="80" t="str">
        <f t="shared" si="12"/>
        <v>aws s3 cp s3://rtdc.mdm.uploadarchive.raw/RTDC4005/ "%USERPROFILE%\AppData\Local\Temp\OnboardLogs"\RTDC4005\2017-05-19 --exclude "*" --recursive --include "*20170519*" &amp; "%USERPROFILE%\Documents\GitHub\mrs-test-scripts\Headless Mode &amp; Sideloading\WalkAndUnGZ.bat" "%USERPROFILE%\AppData\Local\Temp\OnboardLogs"\RTDC4005\2017-05-19 &amp; 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</v>
      </c>
      <c r="AF22" s="77" t="str">
        <f t="shared" si="13"/>
        <v>"C:\Program Files (x86)\AstroGrep\AstroGrep.exe" /e /r /s /spath="%USERPROFILE%\AppData\Local\Temp\OnboardLogs" /stypes="app*4005*20170519*"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110-19 --locoid 4005 --swversion DE.1.0.9.0 --startMP 204:233006 --initTime 2017-05-19T05:36:34 --startdatetime 2017-05-19T05:41:16 --delay 1 --endMP 204:152 --enddatetime 2017-05-19T06:19:15 --enforcementcount 0 &gt;&gt;C:\Users\stu\Documents\GitHub\eaglep3-reporting\EC\2017-05-19-refined-times.txt</v>
      </c>
      <c r="AI22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{"issue":{"subject":"","project_id":79,"tracker_id":40,"status_id":1,"priority_id":2,"assigned_to_id":23,"start_date":"2017-05-19","description":"","custom_fields":[{"id":1,"name":"Subdivision","value":"EC"},{"id":4,"name":"Milepost","value":"0.0152"},{"id":17,"name":"Train ID","value":"110-19"},{"id":16,"name":"Locomotive ID","value":"4005"},{"id":130,"name":"Impact","value":""},{"id":150,"name":"Time of Event (Mountain Time)","value":"06:19:15"},{"id":151,"name":"Denver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4005 --day 2017-05-19</v>
      </c>
      <c r="AN22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12:19:15"},{"id":29,"name":"Sharepoint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669</v>
      </c>
      <c r="B23" s="7">
        <v>4032</v>
      </c>
      <c r="C23" s="21" t="s">
        <v>206</v>
      </c>
      <c r="D23" s="21" t="s">
        <v>358</v>
      </c>
      <c r="E23" s="13">
        <v>42874.19940972222</v>
      </c>
      <c r="F23" s="13">
        <v>42874.208587962959</v>
      </c>
      <c r="G23" s="7">
        <v>1</v>
      </c>
      <c r="H23" s="21" t="s">
        <v>483</v>
      </c>
      <c r="I23" s="13">
        <v>42874.234259259261</v>
      </c>
      <c r="J23" s="7">
        <v>0</v>
      </c>
      <c r="K23" s="92" t="str">
        <f t="shared" si="0"/>
        <v>4031/4032</v>
      </c>
      <c r="L23" s="21" t="str">
        <f>VLOOKUP(A23,'Trips&amp;Operators'!$C$1:$G$99999,5,FALSE)</f>
        <v>BONDS REYNALDO</v>
      </c>
      <c r="M23" s="6">
        <f t="shared" si="1"/>
        <v>2.567129630187992E-2</v>
      </c>
      <c r="N23" s="7">
        <f t="shared" si="2"/>
        <v>36.966666674707085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-19T03:47:09-0600',mode:absolute,to:'2017-05-19T06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4.5100000000000001E-2</v>
      </c>
      <c r="Z23" s="192">
        <f t="shared" si="9"/>
        <v>23.330100000000002</v>
      </c>
      <c r="AA23" s="192">
        <f t="shared" si="10"/>
        <v>23.285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0111-19</v>
      </c>
      <c r="AE23" s="80" t="str">
        <f t="shared" si="12"/>
        <v>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 &amp; 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</v>
      </c>
      <c r="AF23" s="77" t="str">
        <f t="shared" si="13"/>
        <v>"C:\Program Files (x86)\AstroGrep\AstroGrep.exe" /e /r /s /spath="%USERPROFILE%\AppData\Local\Temp\OnboardLogs" /stypes="app*4032*20170519*"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111-19 --locoid 4032 --swversion DE.1.0.9.0 --startMP 204:451 --initTime 2017-05-19T04:47:09 --startdatetime 2017-05-19T05:00:22 --delay 1 --endMP 204:233301 --enddatetime 2017-05-19T05:37:20 --enforcementcount 0 &gt;&gt;C:\Users\stu\Documents\GitHub\eaglep3-reporting\EC\2017-05-19-refined-times.txt</v>
      </c>
      <c r="AI23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{"issue":{"subject":"","project_id":79,"tracker_id":40,"status_id":1,"priority_id":2,"assigned_to_id":23,"start_date":"2017-05-19","description":"","custom_fields":[{"id":1,"name":"Subdivision","value":"EC"},{"id":4,"name":"Milepost","value":"23.3301"},{"id":17,"name":"Train ID","value":"111-19"},{"id":16,"name":"Locomotive ID","value":"4032"},{"id":130,"name":"Impact","value":""},{"id":150,"name":"Time of Event (Mountain Time)","value":"05:37:20"},{"id":151,"name":"Denver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4032 --day 2017-05-19</v>
      </c>
      <c r="AN23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11:37:20"},{"id":29,"name":"Sharepoint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679</v>
      </c>
      <c r="B24" s="7">
        <v>4031</v>
      </c>
      <c r="C24" s="21" t="s">
        <v>206</v>
      </c>
      <c r="D24" s="21" t="s">
        <v>875</v>
      </c>
      <c r="E24" s="13">
        <v>42874.243622685186</v>
      </c>
      <c r="F24" s="13">
        <v>42874.247384259259</v>
      </c>
      <c r="G24" s="7">
        <v>1</v>
      </c>
      <c r="H24" s="21" t="s">
        <v>367</v>
      </c>
      <c r="I24" s="13">
        <v>42874.275000000001</v>
      </c>
      <c r="J24" s="7">
        <v>0</v>
      </c>
      <c r="K24" s="92" t="str">
        <f t="shared" si="0"/>
        <v>4031/4032</v>
      </c>
      <c r="L24" s="21" t="str">
        <f>VLOOKUP(A24,'Trips&amp;Operators'!$C$1:$G$99999,5,FALSE)</f>
        <v>BONDS REYNALDO</v>
      </c>
      <c r="M24" s="6">
        <f t="shared" si="1"/>
        <v>2.7615740742476191E-2</v>
      </c>
      <c r="N24" s="7">
        <f t="shared" si="2"/>
        <v>39.766666669165716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-19T04:50:49-0600',mode:absolute,to:'2017-05-19T07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23.2973</v>
      </c>
      <c r="Z24" s="192">
        <f t="shared" si="9"/>
        <v>1.41E-2</v>
      </c>
      <c r="AA24" s="192">
        <f t="shared" si="10"/>
        <v>23.283200000000001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0112-19</v>
      </c>
      <c r="AE24" s="80" t="str">
        <f t="shared" si="12"/>
        <v>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 &amp; aws s3 cp s3://rtdc.mdm.uploadarchive.raw/RTDC4031/ "%USERPROFILE%\AppData\Local\Temp\OnboardLogs"\RTDC4031\2017-05-20 --exclude "*" --recursive --include "*20170520*" &amp; "%USERPROFILE%\Documents\GitHub\mrs-test-scripts\Headless Mode &amp; Sideloading\WalkAndUnGZ.bat" "%USERPROFILE%\AppData\Local\Temp\OnboardLogs"\RTDC4031\2017-05-20</v>
      </c>
      <c r="AF24" s="77" t="str">
        <f t="shared" si="13"/>
        <v>"C:\Program Files (x86)\AstroGrep\AstroGrep.exe" /e /r /s /spath="%USERPROFILE%\AppData\Local\Temp\OnboardLogs" /stypes="app*4031*20170519*"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112-19 --locoid 4031 --swversion DE.1.0.9.0 --startMP 204:232973 --initTime 2017-05-19T05:50:49 --startdatetime 2017-05-19T05:56:14 --delay 1 --endMP 204:141 --enddatetime 2017-05-19T06:36:00 --enforcementcount 0 &gt;&gt;C:\Users\stu\Documents\GitHub\eaglep3-reporting\EC\2017-05-19-refined-times.txt</v>
      </c>
      <c r="AI24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{"issue":{"subject":"","project_id":79,"tracker_id":40,"status_id":1,"priority_id":2,"assigned_to_id":23,"start_date":"2017-05-19","description":"","custom_fields":[{"id":1,"name":"Subdivision","value":"EC"},{"id":4,"name":"Milepost","value":"0.0141"},{"id":17,"name":"Train ID","value":"112-19"},{"id":16,"name":"Locomotive ID","value":"4031"},{"id":130,"name":"Impact","value":""},{"id":150,"name":"Time of Event (Mountain Time)","value":"06:36:00"},{"id":151,"name":"Denver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4031 --day 2017-05-19</v>
      </c>
      <c r="AN24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12:36:00"},{"id":29,"name":"Sharepoint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672</v>
      </c>
      <c r="B25" s="7">
        <v>4024</v>
      </c>
      <c r="C25" s="21" t="s">
        <v>206</v>
      </c>
      <c r="D25" s="21" t="s">
        <v>876</v>
      </c>
      <c r="E25" s="13">
        <v>42874.211319444446</v>
      </c>
      <c r="F25" s="13">
        <v>42874.218969907408</v>
      </c>
      <c r="G25" s="7">
        <v>1</v>
      </c>
      <c r="H25" s="21" t="s">
        <v>568</v>
      </c>
      <c r="I25" s="13">
        <v>42874.244814814818</v>
      </c>
      <c r="J25" s="7">
        <v>0</v>
      </c>
      <c r="K25" s="92" t="str">
        <f t="shared" si="0"/>
        <v>4023/4024</v>
      </c>
      <c r="L25" s="21" t="str">
        <f>VLOOKUP(A25,'Trips&amp;Operators'!$C$1:$G$99999,5,FALSE)</f>
        <v>BADERTSCHER DIANE</v>
      </c>
      <c r="M25" s="6">
        <f t="shared" si="1"/>
        <v>2.584490740991896E-2</v>
      </c>
      <c r="N25" s="7">
        <f t="shared" si="2"/>
        <v>37.216666670283303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-19T04:04:18-0600',mode:absolute,to:'2017-05-19T06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4.8399999999999999E-2</v>
      </c>
      <c r="Z25" s="192">
        <f t="shared" si="9"/>
        <v>23.331900000000001</v>
      </c>
      <c r="AA25" s="192">
        <f t="shared" si="10"/>
        <v>23.2835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0113-19</v>
      </c>
      <c r="AE25" s="80" t="str">
        <f t="shared" si="12"/>
        <v>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 &amp; aws s3 cp s3://rtdc.mdm.uploadarchive.raw/RTDC4024/ "%USERPROFILE%\AppData\Local\Temp\OnboardLogs"\RTDC4024\2017-05-20 --exclude "*" --recursive --include "*20170520*" &amp; "%USERPROFILE%\Documents\GitHub\mrs-test-scripts\Headless Mode &amp; Sideloading\WalkAndUnGZ.bat" "%USERPROFILE%\AppData\Local\Temp\OnboardLogs"\RTDC4024\2017-05-20</v>
      </c>
      <c r="AF25" s="77" t="str">
        <f t="shared" si="13"/>
        <v>"C:\Program Files (x86)\AstroGrep\AstroGrep.exe" /e /r /s /spath="%USERPROFILE%\AppData\Local\Temp\OnboardLogs" /stypes="app*4024*20170519*"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113-19 --locoid 4024 --swversion DE.1.0.9.0 --startMP 204:484 --initTime 2017-05-19T05:04:18 --startdatetime 2017-05-19T05:15:19 --delay 1 --endMP 204:233319 --enddatetime 2017-05-19T05:52:32 --enforcementcount 0 &gt;&gt;C:\Users\stu\Documents\GitHub\eaglep3-reporting\EC\2017-05-19-refined-times.txt</v>
      </c>
      <c r="AI25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{"issue":{"subject":"","project_id":79,"tracker_id":40,"status_id":1,"priority_id":2,"assigned_to_id":23,"start_date":"2017-05-19","description":"","custom_fields":[{"id":1,"name":"Subdivision","value":"EC"},{"id":4,"name":"Milepost","value":"23.3319"},{"id":17,"name":"Train ID","value":"113-19"},{"id":16,"name":"Locomotive ID","value":"4024"},{"id":130,"name":"Impact","value":""},{"id":150,"name":"Time of Event (Mountain Time)","value":"05:52:32"},{"id":151,"name":"Denver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4024 --day 2017-05-19</v>
      </c>
      <c r="AN25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11:52:32"},{"id":29,"name":"Sharepoint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681</v>
      </c>
      <c r="B26" s="7">
        <v>4023</v>
      </c>
      <c r="C26" s="21" t="s">
        <v>206</v>
      </c>
      <c r="D26" s="21" t="s">
        <v>877</v>
      </c>
      <c r="E26" s="13">
        <v>42874.253460648149</v>
      </c>
      <c r="F26" s="13">
        <v>42874.257928240739</v>
      </c>
      <c r="G26" s="7">
        <v>1</v>
      </c>
      <c r="H26" s="21" t="s">
        <v>508</v>
      </c>
      <c r="I26" s="13">
        <v>42874.285532407404</v>
      </c>
      <c r="J26" s="7">
        <v>0</v>
      </c>
      <c r="K26" s="92" t="str">
        <f t="shared" si="0"/>
        <v>4023/4024</v>
      </c>
      <c r="L26" s="21" t="str">
        <f>VLOOKUP(A26,'Trips&amp;Operators'!$C$1:$G$99999,5,FALSE)</f>
        <v>BADERTSCHER DIANE</v>
      </c>
      <c r="M26" s="6">
        <f t="shared" si="1"/>
        <v>2.7604166665696539E-2</v>
      </c>
      <c r="N26" s="7">
        <f t="shared" si="2"/>
        <v>39.749999998603016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-19T05:04:59-0600',mode:absolute,to:'2017-05-19T07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6" s="192" t="str">
        <f t="shared" si="6"/>
        <v>N</v>
      </c>
      <c r="X26" s="192">
        <f t="shared" ref="X26:X30" si="23">VALUE(LEFT(AD26,4))-VALUE(LEFT(AD25,4))</f>
        <v>1</v>
      </c>
      <c r="Y26" s="192">
        <f t="shared" si="8"/>
        <v>23.3004</v>
      </c>
      <c r="Z26" s="192">
        <f t="shared" si="9"/>
        <v>1.29E-2</v>
      </c>
      <c r="AA26" s="192">
        <f t="shared" si="10"/>
        <v>23.287500000000001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0114-19</v>
      </c>
      <c r="AE26" s="80" t="str">
        <f t="shared" si="12"/>
        <v>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 &amp; aws s3 cp s3://rtdc.mdm.uploadarchive.raw/RTDC4023/ "%USERPROFILE%\AppData\Local\Temp\OnboardLogs"\RTDC4023\2017-05-20 --exclude "*" --recursive --include "*20170520*" &amp; "%USERPROFILE%\Documents\GitHub\mrs-test-scripts\Headless Mode &amp; Sideloading\WalkAndUnGZ.bat" "%USERPROFILE%\AppData\Local\Temp\OnboardLogs"\RTDC4023\2017-05-20</v>
      </c>
      <c r="AF26" s="77" t="str">
        <f t="shared" si="13"/>
        <v>"C:\Program Files (x86)\AstroGrep\AstroGrep.exe" /e /r /s /spath="%USERPROFILE%\AppData\Local\Temp\OnboardLogs" /stypes="app*4023*20170519*"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114-19 --locoid 4023 --swversion DE.1.0.9.0 --startMP 204:233004 --initTime 2017-05-19T06:04:59 --startdatetime 2017-05-19T06:11:25 --delay 1 --endMP 204:129 --enddatetime 2017-05-19T06:51:10 --enforcementcount 0 &gt;&gt;C:\Users\stu\Documents\GitHub\eaglep3-reporting\EC\2017-05-19-refined-times.txt</v>
      </c>
      <c r="AI26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{"issue":{"subject":"","project_id":79,"tracker_id":40,"status_id":1,"priority_id":2,"assigned_to_id":23,"start_date":"2017-05-19","description":"","custom_fields":[{"id":1,"name":"Subdivision","value":"EC"},{"id":4,"name":"Milepost","value":"0.0129"},{"id":17,"name":"Train ID","value":"114-19"},{"id":16,"name":"Locomotive ID","value":"4023"},{"id":130,"name":"Impact","value":""},{"id":150,"name":"Time of Event (Mountain Time)","value":"06:51:10"},{"id":151,"name":"Denver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4023 --day 2017-05-19</v>
      </c>
      <c r="AN26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12:51:10"},{"id":29,"name":"Sharepoint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676</v>
      </c>
      <c r="B27" s="7">
        <v>4012</v>
      </c>
      <c r="C27" s="21" t="s">
        <v>206</v>
      </c>
      <c r="D27" s="21" t="s">
        <v>877</v>
      </c>
      <c r="E27" s="13">
        <v>42874.253460648149</v>
      </c>
      <c r="F27" s="13">
        <v>42874.232638888891</v>
      </c>
      <c r="G27" s="7">
        <v>1</v>
      </c>
      <c r="H27" s="21" t="s">
        <v>508</v>
      </c>
      <c r="I27" s="13">
        <v>42874.23333333333</v>
      </c>
      <c r="J27" s="7">
        <v>0</v>
      </c>
      <c r="K27" s="92" t="str">
        <f t="shared" si="0"/>
        <v>4011/4012</v>
      </c>
      <c r="L27" s="21" t="str">
        <f>VLOOKUP(A27,'Trips&amp;Operators'!$C$1:$G$99999,5,FALSE)</f>
        <v>ROCHA YAOTL</v>
      </c>
      <c r="M27" s="6">
        <f t="shared" si="1"/>
        <v>6.9444443943211809E-4</v>
      </c>
      <c r="N27" s="7"/>
      <c r="O27" s="7"/>
      <c r="P27" s="7">
        <f>24*60*SUM($M27:$M27)</f>
        <v>0.99999999278225005</v>
      </c>
      <c r="Q27" s="22"/>
      <c r="R27" s="190" t="s">
        <v>488</v>
      </c>
      <c r="S27" s="196">
        <f t="shared" si="3"/>
        <v>0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-19T05:04:59-0600',mode:absolute,to:'2017-05-19T06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192" t="str">
        <f t="shared" si="6"/>
        <v>N</v>
      </c>
      <c r="X27" s="192">
        <f t="shared" si="23"/>
        <v>1</v>
      </c>
      <c r="Y27" s="192">
        <f t="shared" si="8"/>
        <v>23.3004</v>
      </c>
      <c r="Z27" s="192">
        <f t="shared" si="9"/>
        <v>1.29E-2</v>
      </c>
      <c r="AA27" s="192">
        <f t="shared" si="10"/>
        <v>23.287500000000001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0115-19</v>
      </c>
      <c r="AE27" s="80" t="str">
        <f t="shared" si="12"/>
        <v>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 &amp; 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</v>
      </c>
      <c r="AF27" s="77" t="str">
        <f t="shared" si="13"/>
        <v>"C:\Program Files (x86)\AstroGrep\AstroGrep.exe" /e /r /s /spath="%USERPROFILE%\AppData\Local\Temp\OnboardLogs" /stypes="app*4012*20170519*" /stext=" 11:.+((SYSTEM_STATE.+slice.+state.+changed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ref="AH27" si="24">refinertdcruntimes&amp;" --tripid "&amp;A27&amp;" --locoid "&amp;B27&amp;" --swversion "&amp;C27&amp;" --startMP "&amp;D27&amp;" --initTime "&amp;TEXT(E27,"yyyy-mm-ddTHH:MM:SS")&amp;" --startdatetime "&amp;TEXT(F27,"yyyy-mm-ddTHH:MM:SS")&amp;" --delay "&amp;G27&amp;" --endMP "&amp;H27&amp;" --enddatetime "&amp;TEXT(I27,"yyyy-mm-ddTHH:MM:SS")&amp;" --enforcementcount "&amp;J27&amp;IF(outputrefinedruntimes," &gt;&gt;"&amp;RefinedRTDCRunTimesOutputFile,"")</f>
        <v>"%USERPROFILE%\Documents\GitHub\eaglep3\Utilities\RefineRTDCRunTimes.py" --tripid 115-19 --locoid 4012 --swversion DE.1.0.9.0 --startMP 204:233004 --initTime 2017-05-19T06:04:59 --startdatetime 2017-05-19T05:35:00 --delay 1 --endMP 204:129 --enddatetime 2017-05-19T05:36:00 --enforcementcount 0 &gt;&gt;C:\Users\stu\Documents\GitHub\eaglep3-reporting\EC\2017-05-19-refined-times.txt</v>
      </c>
      <c r="AI27" s="99" t="str">
        <f t="shared" ref="AI27" si="25">"echo {""issue"":{""subject"":"""&amp;R27&amp;""",""project_id"":79,""tracker_id"":40,""status_id"":"&amp;redmine_status&amp;",""priority_id"":"&amp;redmine_priority&amp;",""assigned_to_id"":"&amp;redmine_assignee&amp;",""start_date"":"""&amp;TEXT(I27,"YYYY-mm-dd")&amp;""",""description"":"""&amp;AJ27&amp;""",""custom_fields"":[{""id"":1,""name"":""Subdivision"",""value"":"""&amp;AG27&amp;"""},{""id"":4,""name"":""Milepost"",""value"":"""&amp;Z27&amp;"""},{""id"":17,""name"":""Train ID"",""value"":"""&amp;A27&amp;"""},{""id"":16,""name"":""Locomotive ID"",""value"":"""&amp;B27&amp;"""},{""id"":130,""name"":""Impact"",""value"":"""&amp;AK27&amp;"""},{""id"":150,""name"":""Time of Event (Mountain Time)"",""value"":"""&amp;TEXT(I27,"hh:mm:ss")&amp;"""},{""id"":151,""name"":""Denver Issue ID"",""value"":"""&amp;"""},{""id"":178,""name"":""Operational Impact"",""value"":"""&amp;redmine_op_impact&amp;"""},{""id"":179,""name"":""Denver Segment Assigned"",""value"":"""&amp;AL27&amp;"""}]}}"&amp;"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failure","project_id":79,"tracker_id":40,"status_id":1,"priority_id":2,"assigned_to_id":23,"start_date":"2017-05-19","description":"","custom_fields":[{"id":1,"name":"Subdivision","value":"EC"},{"id":4,"name":"Milepost","value":"0.0129"},{"id":17,"name":"Train ID","value":"115-19"},{"id":16,"name":"Locomotive ID","value":"4012"},{"id":130,"name":"Impact","value":""},{"id":150,"name":"Time of Event (Mountain Time)","value":"05:36:00"},{"id":151,"name":"Denver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ref="AM27" si="26">"start /low /b "&amp;dls3logs&amp;" --loco "&amp;B27&amp;" --day "&amp;TEXT(F27,"YYYY-MM-DD")</f>
        <v>start /low /b %USERPROFILE%\Documents\GitHub\eaglep3\Utilities\DownloadLogsFromS3.py --loco 4012 --day 2017-05-19</v>
      </c>
      <c r="AN27" s="154" t="str">
        <f t="shared" ref="AN27" si="27">"echo {""issue"":{""subject"":"""&amp;R27&amp;""",""project_id"":30,""tracker_id"":4,""status_id"":"&amp;redmine_status_wcr&amp;",""priority_id"":"&amp;redmine_priority_wcr&amp;",""assigned_to_id"":"&amp;redmine_assignee_wcr&amp;",""start_date"":"""&amp;TEXT(I27-utc_offset/24,"YYYY-mm-dd")&amp;""",""description"":"""&amp;AJ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11:36:00"},{"id":29,"name":"Sharepoint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</row>
    <row r="28" spans="1:91" s="1" customFormat="1" x14ac:dyDescent="0.25">
      <c r="A28" s="32" t="s">
        <v>609</v>
      </c>
      <c r="B28" s="7">
        <v>4011</v>
      </c>
      <c r="C28" s="21" t="s">
        <v>206</v>
      </c>
      <c r="D28" s="21" t="s">
        <v>878</v>
      </c>
      <c r="E28" s="13">
        <v>42874.26635416667</v>
      </c>
      <c r="F28" s="13">
        <v>42874.26834490741</v>
      </c>
      <c r="G28" s="7">
        <v>1</v>
      </c>
      <c r="H28" s="21" t="s">
        <v>879</v>
      </c>
      <c r="I28" s="13">
        <v>42874.297349537039</v>
      </c>
      <c r="J28" s="7">
        <v>0</v>
      </c>
      <c r="K28" s="92" t="str">
        <f t="shared" si="0"/>
        <v>4011/4012</v>
      </c>
      <c r="L28" s="21" t="str">
        <f>VLOOKUP(A28,'Trips&amp;Operators'!$C$1:$G$99999,5,FALSE)</f>
        <v>ROCHA YAOTL</v>
      </c>
      <c r="M28" s="6">
        <f t="shared" si="1"/>
        <v>2.9004629628616385E-2</v>
      </c>
      <c r="N28" s="7">
        <f t="shared" ref="N28:N40" si="28">24*60*SUM($M28:$M28)</f>
        <v>41.766666665207595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-19T05:23:33-0600',mode:absolute,to:'2017-05-19T08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192" t="str">
        <f t="shared" si="6"/>
        <v>N</v>
      </c>
      <c r="X28" s="192">
        <f t="shared" si="23"/>
        <v>1</v>
      </c>
      <c r="Y28" s="192">
        <f t="shared" si="8"/>
        <v>23.3126</v>
      </c>
      <c r="Z28" s="192">
        <f t="shared" si="9"/>
        <v>0.1162</v>
      </c>
      <c r="AA28" s="192">
        <f t="shared" si="10"/>
        <v>23.196400000000001</v>
      </c>
      <c r="AB28" s="57" t="str">
        <f>VLOOKUP(A28,Enforcements!$C$7:$K$13,8,0)</f>
        <v>Bulletin (2)</v>
      </c>
      <c r="AC28" s="53" t="str">
        <f>VLOOKUP(A28,Enforcements!$C$7:$E$13,3,0)</f>
        <v>GRADE CROSSING</v>
      </c>
      <c r="AD28" s="54" t="str">
        <f t="shared" si="11"/>
        <v>0116-19</v>
      </c>
      <c r="AE28" s="80" t="str">
        <f t="shared" si="12"/>
        <v>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 &amp; 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</v>
      </c>
      <c r="AF28" s="77" t="str">
        <f t="shared" si="13"/>
        <v>"C:\Program Files (x86)\AstroGrep\AstroGrep.exe" /e /r /s /spath="%USERPROFILE%\AppData\Local\Temp\OnboardLogs" /stypes="app*4011*20170519*"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116-19 --locoid 4011 --swversion DE.1.0.9.0 --startMP 204:233126 --initTime 2017-05-19T06:23:33 --startdatetime 2017-05-19T06:26:25 --delay 1 --endMP 204:1162 --enddatetime 2017-05-19T07:08:11 --enforcementcount 0 &gt;&gt;C:\Users\stu\Documents\GitHub\eaglep3-reporting\EC\2017-05-19-refined-times.txt</v>
      </c>
      <c r="AI28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{"issue":{"subject":"","project_id":79,"tracker_id":40,"status_id":1,"priority_id":2,"assigned_to_id":23,"start_date":"2017-05-19","description":"","custom_fields":[{"id":1,"name":"Subdivision","value":"EC"},{"id":4,"name":"Milepost","value":"0.1162"},{"id":17,"name":"Train ID","value":"116-19"},{"id":16,"name":"Locomotive ID","value":"4011"},{"id":130,"name":"Impact","value":""},{"id":150,"name":"Time of Event (Mountain Time)","value":"07:08:11"},{"id":151,"name":"Denver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4011 --day 2017-05-19</v>
      </c>
      <c r="AN28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13:08:11"},{"id":29,"name":"Sharepoint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677</v>
      </c>
      <c r="B29" s="7">
        <v>4042</v>
      </c>
      <c r="C29" s="21" t="s">
        <v>206</v>
      </c>
      <c r="D29" s="21" t="s">
        <v>354</v>
      </c>
      <c r="E29" s="13">
        <v>42874.230856481481</v>
      </c>
      <c r="F29" s="13">
        <v>42874.239803240744</v>
      </c>
      <c r="G29" s="7">
        <v>1</v>
      </c>
      <c r="H29" s="21" t="s">
        <v>477</v>
      </c>
      <c r="I29" s="13">
        <v>42874.265451388892</v>
      </c>
      <c r="J29" s="7">
        <v>0</v>
      </c>
      <c r="K29" s="92" t="str">
        <f t="shared" si="0"/>
        <v>4041/4042</v>
      </c>
      <c r="L29" s="21" t="str">
        <f>VLOOKUP(A29,'Trips&amp;Operators'!$C$1:$G$99999,5,FALSE)</f>
        <v>DAVIS WENDY</v>
      </c>
      <c r="M29" s="6">
        <f t="shared" si="1"/>
        <v>2.5648148148320615E-2</v>
      </c>
      <c r="N29" s="7">
        <f t="shared" si="28"/>
        <v>36.933333333581686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-19T04:32:26-0600',mode:absolute,to:'2017-05-19T07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9" s="192" t="str">
        <f t="shared" si="6"/>
        <v>N</v>
      </c>
      <c r="X29" s="192">
        <f t="shared" si="23"/>
        <v>1</v>
      </c>
      <c r="Y29" s="192">
        <f t="shared" si="8"/>
        <v>4.58E-2</v>
      </c>
      <c r="Z29" s="192">
        <f t="shared" si="9"/>
        <v>23.331399999999999</v>
      </c>
      <c r="AA29" s="192">
        <f t="shared" si="10"/>
        <v>23.285599999999999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0117-19</v>
      </c>
      <c r="AE29" s="80" t="str">
        <f t="shared" si="12"/>
        <v>aws s3 cp s3://rtdc.mdm.uploadarchive.raw/RTDC4042/ "%USERPROFILE%\AppData\Local\Temp\OnboardLogs"\RTDC4042\2017-05-19 --exclude "*" --recursive --include "*20170519*" &amp; "%USERPROFILE%\Documents\GitHub\mrs-test-scripts\Headless Mode &amp; Sideloading\WalkAndUnGZ.bat" "%USERPROFILE%\AppData\Local\Temp\OnboardLogs"\RTDC4042\2017-05-19 &amp; aws s3 cp s3://rtdc.mdm.uploadarchive.raw/RTDC4042/ "%USERPROFILE%\AppData\Local\Temp\OnboardLogs"\RTDC4042\2017-05-20 --exclude "*" --recursive --include "*20170520*" &amp; "%USERPROFILE%\Documents\GitHub\mrs-test-scripts\Headless Mode &amp; Sideloading\WalkAndUnGZ.bat" "%USERPROFILE%\AppData\Local\Temp\OnboardLogs"\RTDC4042\2017-05-20</v>
      </c>
      <c r="AF29" s="77" t="str">
        <f t="shared" si="13"/>
        <v>"C:\Program Files (x86)\AstroGrep\AstroGrep.exe" /e /r /s /spath="%USERPROFILE%\AppData\Local\Temp\OnboardLogs" /stypes="app*4042*20170519*"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117-19 --locoid 4042 --swversion DE.1.0.9.0 --startMP 204:458 --initTime 2017-05-19T05:32:26 --startdatetime 2017-05-19T05:45:19 --delay 1 --endMP 204:233314 --enddatetime 2017-05-19T06:22:15 --enforcementcount 0 &gt;&gt;C:\Users\stu\Documents\GitHub\eaglep3-reporting\EC\2017-05-19-refined-times.txt</v>
      </c>
      <c r="AI29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{"issue":{"subject":"","project_id":79,"tracker_id":40,"status_id":1,"priority_id":2,"assigned_to_id":23,"start_date":"2017-05-19","description":"","custom_fields":[{"id":1,"name":"Subdivision","value":"EC"},{"id":4,"name":"Milepost","value":"23.3314"},{"id":17,"name":"Train ID","value":"117-19"},{"id":16,"name":"Locomotive ID","value":"4042"},{"id":130,"name":"Impact","value":""},{"id":150,"name":"Time of Event (Mountain Time)","value":"06:22:15"},{"id":151,"name":"Denver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4042 --day 2017-05-19</v>
      </c>
      <c r="AN29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12:22:15"},{"id":29,"name":"Sharepoint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687</v>
      </c>
      <c r="B30" s="7">
        <v>4041</v>
      </c>
      <c r="C30" s="21" t="s">
        <v>206</v>
      </c>
      <c r="D30" s="21" t="s">
        <v>440</v>
      </c>
      <c r="E30" s="13">
        <v>42874.275520833333</v>
      </c>
      <c r="F30" s="13">
        <v>42874.278634259259</v>
      </c>
      <c r="G30" s="7">
        <v>1</v>
      </c>
      <c r="H30" s="21" t="s">
        <v>367</v>
      </c>
      <c r="I30" s="13">
        <v>42874.306111111109</v>
      </c>
      <c r="J30" s="7">
        <v>0</v>
      </c>
      <c r="K30" s="92" t="str">
        <f t="shared" si="0"/>
        <v>4041/4042</v>
      </c>
      <c r="L30" s="21" t="str">
        <f>VLOOKUP(A30,'Trips&amp;Operators'!$C$1:$G$99999,5,FALSE)</f>
        <v>DAVIS WENDY</v>
      </c>
      <c r="M30" s="6">
        <f t="shared" si="1"/>
        <v>2.7476851850224193E-2</v>
      </c>
      <c r="N30" s="7">
        <f t="shared" si="28"/>
        <v>39.566666664322838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-19T05:36:45-0600',mode:absolute,to:'2017-05-19T08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0" s="192" t="str">
        <f t="shared" si="6"/>
        <v>N</v>
      </c>
      <c r="X30" s="192">
        <f t="shared" si="23"/>
        <v>1</v>
      </c>
      <c r="Y30" s="192">
        <f t="shared" si="8"/>
        <v>23.299299999999999</v>
      </c>
      <c r="Z30" s="192">
        <f t="shared" si="9"/>
        <v>1.41E-2</v>
      </c>
      <c r="AA30" s="192">
        <f t="shared" si="10"/>
        <v>23.2852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0118-19</v>
      </c>
      <c r="AE30" s="80" t="str">
        <f t="shared" si="12"/>
        <v>aws s3 cp s3://rtdc.mdm.uploadarchive.raw/RTDC4041/ "%USERPROFILE%\AppData\Local\Temp\OnboardLogs"\RTDC4041\2017-05-19 --exclude "*" --recursive --include "*20170519*" &amp; "%USERPROFILE%\Documents\GitHub\mrs-test-scripts\Headless Mode &amp; Sideloading\WalkAndUnGZ.bat" "%USERPROFILE%\AppData\Local\Temp\OnboardLogs"\RTDC4041\2017-05-19 &amp; aws s3 cp s3://rtdc.mdm.uploadarchive.raw/RTDC4041/ "%USERPROFILE%\AppData\Local\Temp\OnboardLogs"\RTDC4041\2017-05-20 --exclude "*" --recursive --include "*20170520*" &amp; "%USERPROFILE%\Documents\GitHub\mrs-test-scripts\Headless Mode &amp; Sideloading\WalkAndUnGZ.bat" "%USERPROFILE%\AppData\Local\Temp\OnboardLogs"\RTDC4041\2017-05-20</v>
      </c>
      <c r="AF30" s="77" t="str">
        <f t="shared" si="13"/>
        <v>"C:\Program Files (x86)\AstroGrep\AstroGrep.exe" /e /r /s /spath="%USERPROFILE%\AppData\Local\Temp\OnboardLogs" /stypes="app*4041*20170519*"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118-19 --locoid 4041 --swversion DE.1.0.9.0 --startMP 204:232993 --initTime 2017-05-19T06:36:45 --startdatetime 2017-05-19T06:41:14 --delay 1 --endMP 204:141 --enddatetime 2017-05-19T07:20:48 --enforcementcount 0 &gt;&gt;C:\Users\stu\Documents\GitHub\eaglep3-reporting\EC\2017-05-19-refined-times.txt</v>
      </c>
      <c r="AI30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{"issue":{"subject":"","project_id":79,"tracker_id":40,"status_id":1,"priority_id":2,"assigned_to_id":23,"start_date":"2017-05-19","description":"","custom_fields":[{"id":1,"name":"Subdivision","value":"EC"},{"id":4,"name":"Milepost","value":"0.0141"},{"id":17,"name":"Train ID","value":"118-19"},{"id":16,"name":"Locomotive ID","value":"4041"},{"id":130,"name":"Impact","value":""},{"id":150,"name":"Time of Event (Mountain Time)","value":"07:20:48"},{"id":151,"name":"Denver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4041 --day 2017-05-19</v>
      </c>
      <c r="AN30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13:20:48"},{"id":29,"name":"Sharepoint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680</v>
      </c>
      <c r="B31" s="7">
        <v>4018</v>
      </c>
      <c r="C31" s="21" t="s">
        <v>206</v>
      </c>
      <c r="D31" s="21" t="s">
        <v>203</v>
      </c>
      <c r="E31" s="13">
        <v>42874.245879629627</v>
      </c>
      <c r="F31" s="13">
        <v>42874.250277777777</v>
      </c>
      <c r="G31" s="7">
        <v>1</v>
      </c>
      <c r="H31" s="21" t="s">
        <v>880</v>
      </c>
      <c r="I31" s="13">
        <v>42874.274930555555</v>
      </c>
      <c r="J31" s="7">
        <v>0</v>
      </c>
      <c r="K31" s="92" t="str">
        <f t="shared" si="0"/>
        <v>4017/4018</v>
      </c>
      <c r="L31" s="21" t="str">
        <f>VLOOKUP(A31,'Trips&amp;Operators'!$C$1:$G$99999,5,FALSE)</f>
        <v>ROBINSON KADDIBA</v>
      </c>
      <c r="M31" s="6">
        <f t="shared" si="1"/>
        <v>2.4652777778101154E-2</v>
      </c>
      <c r="N31" s="7">
        <f t="shared" si="28"/>
        <v>35.500000000465661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-19T04:54:04-0600',mode:absolute,to:'2017-05-19T07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192" t="str">
        <f t="shared" si="6"/>
        <v>N</v>
      </c>
      <c r="X31" s="192">
        <f t="shared" ref="X31:X62" si="29">VALUE(LEFT(AD31,4))-VALUE(LEFT(AD30,4))</f>
        <v>1</v>
      </c>
      <c r="Y31" s="192">
        <f t="shared" si="8"/>
        <v>4.5999999999999999E-2</v>
      </c>
      <c r="Z31" s="192">
        <f t="shared" si="9"/>
        <v>23.330500000000001</v>
      </c>
      <c r="AA31" s="192">
        <f t="shared" si="10"/>
        <v>23.284500000000001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0119-19</v>
      </c>
      <c r="AE31" s="80" t="str">
        <f t="shared" si="12"/>
        <v>aws s3 cp s3://rtdc.mdm.uploadarchive.raw/RTDC4018/ "%USERPROFILE%\AppData\Local\Temp\OnboardLogs"\RTDC4018\2017-05-19 --exclude "*" --recursive --include "*20170519*" &amp; "%USERPROFILE%\Documents\GitHub\mrs-test-scripts\Headless Mode &amp; Sideloading\WalkAndUnGZ.bat" "%USERPROFILE%\AppData\Local\Temp\OnboardLogs"\RTDC4018\2017-05-19 &amp; 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</v>
      </c>
      <c r="AF31" s="77" t="str">
        <f t="shared" si="13"/>
        <v>"C:\Program Files (x86)\AstroGrep\AstroGrep.exe" /e /r /s /spath="%USERPROFILE%\AppData\Local\Temp\OnboardLogs" /stypes="app*4018*20170519*"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119-19 --locoid 4018 --swversion DE.1.0.9.0 --startMP 204:460 --initTime 2017-05-19T05:54:04 --startdatetime 2017-05-19T06:00:24 --delay 1 --endMP 204:233305 --enddatetime 2017-05-19T06:35:54 --enforcementcount 0 &gt;&gt;C:\Users\stu\Documents\GitHub\eaglep3-reporting\EC\2017-05-19-refined-times.txt</v>
      </c>
      <c r="AI31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{"issue":{"subject":"","project_id":79,"tracker_id":40,"status_id":1,"priority_id":2,"assigned_to_id":23,"start_date":"2017-05-19","description":"","custom_fields":[{"id":1,"name":"Subdivision","value":"EC"},{"id":4,"name":"Milepost","value":"23.3305"},{"id":17,"name":"Train ID","value":"119-19"},{"id":16,"name":"Locomotive ID","value":"4018"},{"id":130,"name":"Impact","value":""},{"id":150,"name":"Time of Event (Mountain Time)","value":"06:35:54"},{"id":151,"name":"Denver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4018 --day 2017-05-19</v>
      </c>
      <c r="AN31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12:35:54"},{"id":29,"name":"Sharepoint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689</v>
      </c>
      <c r="B32" s="7">
        <v>4017</v>
      </c>
      <c r="C32" s="21" t="s">
        <v>206</v>
      </c>
      <c r="D32" s="21" t="s">
        <v>424</v>
      </c>
      <c r="E32" s="13">
        <v>42874.276736111111</v>
      </c>
      <c r="F32" s="13">
        <v>42874.2890625</v>
      </c>
      <c r="G32" s="7">
        <v>1</v>
      </c>
      <c r="H32" s="21" t="s">
        <v>355</v>
      </c>
      <c r="I32" s="13">
        <v>42874.316631944443</v>
      </c>
      <c r="J32" s="7">
        <v>0</v>
      </c>
      <c r="K32" s="92" t="str">
        <f t="shared" si="0"/>
        <v>4017/4018</v>
      </c>
      <c r="L32" s="21" t="str">
        <f>VLOOKUP(A32,'Trips&amp;Operators'!$C$1:$G$99999,5,FALSE)</f>
        <v>ROBINSON KADDIBA</v>
      </c>
      <c r="M32" s="6">
        <f t="shared" si="1"/>
        <v>2.7569444442633539E-2</v>
      </c>
      <c r="N32" s="7">
        <f t="shared" si="28"/>
        <v>39.699999997392297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-19T05:38:30-0600',mode:absolute,to:'2017-05-19T08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192" t="str">
        <f t="shared" si="6"/>
        <v>N</v>
      </c>
      <c r="X32" s="192">
        <f t="shared" si="29"/>
        <v>1</v>
      </c>
      <c r="Y32" s="192">
        <f t="shared" si="8"/>
        <v>23.298200000000001</v>
      </c>
      <c r="Z32" s="192">
        <f t="shared" si="9"/>
        <v>1.4999999999999999E-2</v>
      </c>
      <c r="AA32" s="192">
        <f t="shared" si="10"/>
        <v>23.283200000000001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0120-19</v>
      </c>
      <c r="AE32" s="80" t="str">
        <f t="shared" si="12"/>
        <v>aws s3 cp s3://rtdc.mdm.uploadarchive.raw/RTDC4017/ "%USERPROFILE%\AppData\Local\Temp\OnboardLogs"\RTDC4017\2017-05-19 --exclude "*" --recursive --include "*20170519*" &amp; "%USERPROFILE%\Documents\GitHub\mrs-test-scripts\Headless Mode &amp; Sideloading\WalkAndUnGZ.bat" "%USERPROFILE%\AppData\Local\Temp\OnboardLogs"\RTDC4017\2017-05-19 &amp; 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</v>
      </c>
      <c r="AF32" s="77" t="str">
        <f t="shared" si="13"/>
        <v>"C:\Program Files (x86)\AstroGrep\AstroGrep.exe" /e /r /s /spath="%USERPROFILE%\AppData\Local\Temp\OnboardLogs" /stypes="app*4017*20170519*"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120-19 --locoid 4017 --swversion DE.1.0.9.0 --startMP 204:232982 --initTime 2017-05-19T06:38:30 --startdatetime 2017-05-19T06:56:15 --delay 1 --endMP 204:150 --enddatetime 2017-05-19T07:35:57 --enforcementcount 0 &gt;&gt;C:\Users\stu\Documents\GitHub\eaglep3-reporting\EC\2017-05-19-refined-times.txt</v>
      </c>
      <c r="AI32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{"issue":{"subject":"","project_id":79,"tracker_id":40,"status_id":1,"priority_id":2,"assigned_to_id":23,"start_date":"2017-05-19","description":"","custom_fields":[{"id":1,"name":"Subdivision","value":"EC"},{"id":4,"name":"Milepost","value":"0.015"},{"id":17,"name":"Train ID","value":"120-19"},{"id":16,"name":"Locomotive ID","value":"4017"},{"id":130,"name":"Impact","value":""},{"id":150,"name":"Time of Event (Mountain Time)","value":"07:35:57"},{"id":151,"name":"Denver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4017 --day 2017-05-19</v>
      </c>
      <c r="AN32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13:35:57"},{"id":29,"name":"Sharepoint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683</v>
      </c>
      <c r="B33" s="7">
        <v>4010</v>
      </c>
      <c r="C33" s="21" t="s">
        <v>206</v>
      </c>
      <c r="D33" s="21" t="s">
        <v>476</v>
      </c>
      <c r="E33" s="13">
        <v>42874.256388888891</v>
      </c>
      <c r="F33" s="13">
        <v>42874.260578703703</v>
      </c>
      <c r="G33" s="7">
        <v>1</v>
      </c>
      <c r="H33" s="21" t="s">
        <v>479</v>
      </c>
      <c r="I33" s="13">
        <v>42874.286840277775</v>
      </c>
      <c r="J33" s="7">
        <v>0</v>
      </c>
      <c r="K33" s="92" t="str">
        <f t="shared" si="0"/>
        <v>4009/4010</v>
      </c>
      <c r="L33" s="21" t="str">
        <f>VLOOKUP(A33,'Trips&amp;Operators'!$C$1:$G$99999,5,FALSE)</f>
        <v>STARKS ANGELINA</v>
      </c>
      <c r="M33" s="6">
        <f t="shared" si="1"/>
        <v>2.626157407212304E-2</v>
      </c>
      <c r="N33" s="7">
        <f t="shared" si="28"/>
        <v>37.816666663857177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-19T05:09:12-0600',mode:absolute,to:'2017-05-19T07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3" s="192" t="str">
        <f t="shared" si="6"/>
        <v>N</v>
      </c>
      <c r="X33" s="192">
        <f t="shared" si="29"/>
        <v>1</v>
      </c>
      <c r="Y33" s="192">
        <f t="shared" si="8"/>
        <v>4.7100000000000003E-2</v>
      </c>
      <c r="Z33" s="192">
        <f t="shared" si="9"/>
        <v>23.331199999999999</v>
      </c>
      <c r="AA33" s="192">
        <f t="shared" si="10"/>
        <v>23.284099999999999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0121-19</v>
      </c>
      <c r="AE33" s="80" t="str">
        <f t="shared" si="12"/>
        <v>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 &amp; 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</v>
      </c>
      <c r="AF33" s="77" t="str">
        <f t="shared" si="13"/>
        <v>"C:\Program Files (x86)\AstroGrep\AstroGrep.exe" /e /r /s /spath="%USERPROFILE%\AppData\Local\Temp\OnboardLogs" /stypes="app*4010*20170519*"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121-19 --locoid 4010 --swversion DE.1.0.9.0 --startMP 204:471 --initTime 2017-05-19T06:09:12 --startdatetime 2017-05-19T06:15:14 --delay 1 --endMP 204:233312 --enddatetime 2017-05-19T06:53:03 --enforcementcount 0 &gt;&gt;C:\Users\stu\Documents\GitHub\eaglep3-reporting\EC\2017-05-19-refined-times.txt</v>
      </c>
      <c r="AI33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{"issue":{"subject":"","project_id":79,"tracker_id":40,"status_id":1,"priority_id":2,"assigned_to_id":23,"start_date":"2017-05-19","description":"","custom_fields":[{"id":1,"name":"Subdivision","value":"EC"},{"id":4,"name":"Milepost","value":"23.3312"},{"id":17,"name":"Train ID","value":"121-19"},{"id":16,"name":"Locomotive ID","value":"4010"},{"id":130,"name":"Impact","value":""},{"id":150,"name":"Time of Event (Mountain Time)","value":"06:53:03"},{"id":151,"name":"Denver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4010 --day 2017-05-19</v>
      </c>
      <c r="AN33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12:53:03"},{"id":29,"name":"Sharepoint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694</v>
      </c>
      <c r="B34" s="7">
        <v>4009</v>
      </c>
      <c r="C34" s="21" t="s">
        <v>206</v>
      </c>
      <c r="D34" s="21" t="s">
        <v>877</v>
      </c>
      <c r="E34" s="13">
        <v>42874.297337962962</v>
      </c>
      <c r="F34" s="13">
        <v>42874.300567129627</v>
      </c>
      <c r="G34" s="7">
        <v>1</v>
      </c>
      <c r="H34" s="21" t="s">
        <v>368</v>
      </c>
      <c r="I34" s="13">
        <v>42874.327997685185</v>
      </c>
      <c r="J34" s="7">
        <v>0</v>
      </c>
      <c r="K34" s="92" t="str">
        <f t="shared" si="0"/>
        <v>4009/4010</v>
      </c>
      <c r="L34" s="21" t="str">
        <f>VLOOKUP(A34,'Trips&amp;Operators'!$C$1:$G$99999,5,FALSE)</f>
        <v>STARKS ANGELINA</v>
      </c>
      <c r="M34" s="6">
        <f t="shared" si="1"/>
        <v>2.7430555557657499E-2</v>
      </c>
      <c r="N34" s="7">
        <f t="shared" si="28"/>
        <v>39.500000003026798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-19T06:08:10-0600',mode:absolute,to:'2017-05-19T08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4" s="192" t="str">
        <f t="shared" si="6"/>
        <v>N</v>
      </c>
      <c r="X34" s="192">
        <f t="shared" si="29"/>
        <v>1</v>
      </c>
      <c r="Y34" s="192">
        <f t="shared" si="8"/>
        <v>23.3004</v>
      </c>
      <c r="Z34" s="192">
        <f t="shared" si="9"/>
        <v>1.47E-2</v>
      </c>
      <c r="AA34" s="192">
        <f t="shared" si="10"/>
        <v>23.285699999999999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0122-19</v>
      </c>
      <c r="AE34" s="80" t="str">
        <f t="shared" si="12"/>
        <v>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 &amp; aws s3 cp s3://rtdc.mdm.uploadarchive.raw/RTDC4009/ "%USERPROFILE%\AppData\Local\Temp\OnboardLogs"\RTDC4009\2017-05-20 --exclude "*" --recursive --include "*20170520*" &amp; "%USERPROFILE%\Documents\GitHub\mrs-test-scripts\Headless Mode &amp; Sideloading\WalkAndUnGZ.bat" "%USERPROFILE%\AppData\Local\Temp\OnboardLogs"\RTDC4009\2017-05-20</v>
      </c>
      <c r="AF34" s="77" t="str">
        <f t="shared" si="13"/>
        <v>"C:\Program Files (x86)\AstroGrep\AstroGrep.exe" /e /r /s /spath="%USERPROFILE%\AppData\Local\Temp\OnboardLogs" /stypes="app*4009*20170519*"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122-19 --locoid 4009 --swversion DE.1.0.9.0 --startMP 204:233004 --initTime 2017-05-19T07:08:10 --startdatetime 2017-05-19T07:12:49 --delay 1 --endMP 204:147 --enddatetime 2017-05-19T07:52:19 --enforcementcount 0 &gt;&gt;C:\Users\stu\Documents\GitHub\eaglep3-reporting\EC\2017-05-19-refined-times.txt</v>
      </c>
      <c r="AI34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{"issue":{"subject":"","project_id":79,"tracker_id":40,"status_id":1,"priority_id":2,"assigned_to_id":23,"start_date":"2017-05-19","description":"","custom_fields":[{"id":1,"name":"Subdivision","value":"EC"},{"id":4,"name":"Milepost","value":"0.0147"},{"id":17,"name":"Train ID","value":"122-19"},{"id":16,"name":"Locomotive ID","value":"4009"},{"id":130,"name":"Impact","value":""},{"id":150,"name":"Time of Event (Mountain Time)","value":"07:52:19"},{"id":151,"name":"Denver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4009 --day 2017-05-19</v>
      </c>
      <c r="AN34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13:52:19"},{"id":29,"name":"Sharepoint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684</v>
      </c>
      <c r="B35" s="7">
        <v>4006</v>
      </c>
      <c r="C35" s="21" t="s">
        <v>206</v>
      </c>
      <c r="D35" s="21" t="s">
        <v>881</v>
      </c>
      <c r="E35" s="13">
        <v>42874.26803240741</v>
      </c>
      <c r="F35" s="13">
        <v>42874.271134259259</v>
      </c>
      <c r="G35" s="7">
        <v>2</v>
      </c>
      <c r="H35" s="21" t="s">
        <v>882</v>
      </c>
      <c r="I35" s="13">
        <v>42874.29546296296</v>
      </c>
      <c r="J35" s="7">
        <v>0</v>
      </c>
      <c r="K35" s="92" t="str">
        <f t="shared" si="0"/>
        <v>4005/4006</v>
      </c>
      <c r="L35" s="21" t="str">
        <f>VLOOKUP(A35,'Trips&amp;Operators'!$C$1:$G$99999,5,FALSE)</f>
        <v>LOZA FIDEL</v>
      </c>
      <c r="M35" s="6">
        <f t="shared" si="1"/>
        <v>2.4328703701030463E-2</v>
      </c>
      <c r="N35" s="7">
        <f t="shared" si="28"/>
        <v>35.033333329483867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-19T05:25:58-0600',mode:absolute,to:'2017-05-19T08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5" s="192" t="str">
        <f t="shared" si="6"/>
        <v>N</v>
      </c>
      <c r="X35" s="192">
        <f t="shared" si="29"/>
        <v>1</v>
      </c>
      <c r="Y35" s="192">
        <f t="shared" si="8"/>
        <v>4.6699999999999998E-2</v>
      </c>
      <c r="Z35" s="192">
        <f t="shared" si="9"/>
        <v>23.334700000000002</v>
      </c>
      <c r="AA35" s="192">
        <f t="shared" si="10"/>
        <v>23.288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0123-19</v>
      </c>
      <c r="AE35" s="80" t="str">
        <f t="shared" si="12"/>
        <v>aws s3 cp s3://rtdc.mdm.uploadarchive.raw/RTDC4006/ "%USERPROFILE%\AppData\Local\Temp\OnboardLogs"\RTDC4006\2017-05-19 --exclude "*" --recursive --include "*20170519*" &amp; "%USERPROFILE%\Documents\GitHub\mrs-test-scripts\Headless Mode &amp; Sideloading\WalkAndUnGZ.bat" "%USERPROFILE%\AppData\Local\Temp\OnboardLogs"\RTDC4006\2017-05-19 &amp; 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</v>
      </c>
      <c r="AF35" s="77" t="str">
        <f t="shared" si="13"/>
        <v>"C:\Program Files (x86)\AstroGrep\AstroGrep.exe" /e /r /s /spath="%USERPROFILE%\AppData\Local\Temp\OnboardLogs" /stypes="app*4006*20170519*"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123-19 --locoid 4006 --swversion DE.1.0.9.0 --startMP 204:467 --initTime 2017-05-19T06:25:58 --startdatetime 2017-05-19T06:30:26 --delay 2 --endMP 204:233347 --enddatetime 2017-05-19T07:05:28 --enforcementcount 0 &gt;&gt;C:\Users\stu\Documents\GitHub\eaglep3-reporting\EC\2017-05-19-refined-times.txt</v>
      </c>
      <c r="AI35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{"issue":{"subject":"","project_id":79,"tracker_id":40,"status_id":1,"priority_id":2,"assigned_to_id":23,"start_date":"2017-05-19","description":"","custom_fields":[{"id":1,"name":"Subdivision","value":"EC"},{"id":4,"name":"Milepost","value":"23.3347"},{"id":17,"name":"Train ID","value":"123-19"},{"id":16,"name":"Locomotive ID","value":"4006"},{"id":130,"name":"Impact","value":""},{"id":150,"name":"Time of Event (Mountain Time)","value":"07:05:28"},{"id":151,"name":"Denver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4006 --day 2017-05-19</v>
      </c>
      <c r="AN35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13:05:28"},{"id":29,"name":"Sharepoint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696</v>
      </c>
      <c r="B36" s="7">
        <v>4005</v>
      </c>
      <c r="C36" s="21" t="s">
        <v>206</v>
      </c>
      <c r="D36" s="21" t="s">
        <v>554</v>
      </c>
      <c r="E36" s="13">
        <v>42874.304965277777</v>
      </c>
      <c r="F36" s="13">
        <v>42874.309953703705</v>
      </c>
      <c r="G36" s="7">
        <v>2</v>
      </c>
      <c r="H36" s="21" t="s">
        <v>352</v>
      </c>
      <c r="I36" s="13">
        <v>42874.3359375</v>
      </c>
      <c r="J36" s="7">
        <v>0</v>
      </c>
      <c r="K36" s="92" t="str">
        <f t="shared" si="0"/>
        <v>4005/4006</v>
      </c>
      <c r="L36" s="21" t="str">
        <f>VLOOKUP(A36,'Trips&amp;Operators'!$C$1:$G$99999,5,FALSE)</f>
        <v>LOZA FIDEL</v>
      </c>
      <c r="M36" s="6">
        <f t="shared" si="1"/>
        <v>2.5983796294895001E-2</v>
      </c>
      <c r="N36" s="7">
        <f t="shared" si="28"/>
        <v>37.416666664648801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-19T06:19:09-0600',mode:absolute,to:'2017-05-19T09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6" s="192" t="str">
        <f t="shared" si="6"/>
        <v>N</v>
      </c>
      <c r="X36" s="192">
        <f t="shared" si="29"/>
        <v>1</v>
      </c>
      <c r="Y36" s="192">
        <f t="shared" si="8"/>
        <v>23.302299999999999</v>
      </c>
      <c r="Z36" s="192">
        <f t="shared" si="9"/>
        <v>1.4500000000000001E-2</v>
      </c>
      <c r="AA36" s="192">
        <f t="shared" si="10"/>
        <v>23.287799999999997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0124-19</v>
      </c>
      <c r="AE36" s="80" t="str">
        <f t="shared" si="12"/>
        <v>aws s3 cp s3://rtdc.mdm.uploadarchive.raw/RTDC4005/ "%USERPROFILE%\AppData\Local\Temp\OnboardLogs"\RTDC4005\2017-05-19 --exclude "*" --recursive --include "*20170519*" &amp; "%USERPROFILE%\Documents\GitHub\mrs-test-scripts\Headless Mode &amp; Sideloading\WalkAndUnGZ.bat" "%USERPROFILE%\AppData\Local\Temp\OnboardLogs"\RTDC4005\2017-05-19 &amp; 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</v>
      </c>
      <c r="AF36" s="77" t="str">
        <f t="shared" si="13"/>
        <v>"C:\Program Files (x86)\AstroGrep\AstroGrep.exe" /e /r /s /spath="%USERPROFILE%\AppData\Local\Temp\OnboardLogs" /stypes="app*4005*20170519*"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124-19 --locoid 4005 --swversion DE.1.0.9.0 --startMP 204:233023 --initTime 2017-05-19T07:19:09 --startdatetime 2017-05-19T07:26:20 --delay 2 --endMP 204:145 --enddatetime 2017-05-19T08:03:45 --enforcementcount 0 &gt;&gt;C:\Users\stu\Documents\GitHub\eaglep3-reporting\EC\2017-05-19-refined-times.txt</v>
      </c>
      <c r="AI36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{"issue":{"subject":"","project_id":79,"tracker_id":40,"status_id":1,"priority_id":2,"assigned_to_id":23,"start_date":"2017-05-19","description":"","custom_fields":[{"id":1,"name":"Subdivision","value":"EC"},{"id":4,"name":"Milepost","value":"0.0145"},{"id":17,"name":"Train ID","value":"124-19"},{"id":16,"name":"Locomotive ID","value":"4005"},{"id":130,"name":"Impact","value":""},{"id":150,"name":"Time of Event (Mountain Time)","value":"08:03:45"},{"id":151,"name":"Denver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4005 --day 2017-05-19</v>
      </c>
      <c r="AN36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688</v>
      </c>
      <c r="B37" s="7">
        <v>4032</v>
      </c>
      <c r="C37" s="21" t="s">
        <v>206</v>
      </c>
      <c r="D37" s="21" t="s">
        <v>363</v>
      </c>
      <c r="E37" s="13">
        <v>42874.276539351849</v>
      </c>
      <c r="F37" s="13">
        <v>42874.281458333331</v>
      </c>
      <c r="G37" s="7">
        <v>1</v>
      </c>
      <c r="H37" s="21" t="s">
        <v>568</v>
      </c>
      <c r="I37" s="13">
        <v>42874.306990740741</v>
      </c>
      <c r="J37" s="7">
        <v>0</v>
      </c>
      <c r="K37" s="92" t="str">
        <f t="shared" si="0"/>
        <v>4031/4032</v>
      </c>
      <c r="L37" s="21" t="str">
        <f>VLOOKUP(A37,'Trips&amp;Operators'!$C$1:$G$99999,5,FALSE)</f>
        <v>BONDS REYNALDO</v>
      </c>
      <c r="M37" s="6">
        <f t="shared" si="1"/>
        <v>2.5532407409627922E-2</v>
      </c>
      <c r="N37" s="7">
        <f t="shared" si="28"/>
        <v>36.766666669864208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-19T05:38:13-0600',mode:absolute,to:'2017-05-19T08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7" s="192" t="str">
        <f t="shared" si="6"/>
        <v>N</v>
      </c>
      <c r="X37" s="192">
        <f t="shared" si="29"/>
        <v>1</v>
      </c>
      <c r="Y37" s="192">
        <f t="shared" si="8"/>
        <v>4.4400000000000002E-2</v>
      </c>
      <c r="Z37" s="192">
        <f t="shared" si="9"/>
        <v>23.331900000000001</v>
      </c>
      <c r="AA37" s="192">
        <f t="shared" si="10"/>
        <v>23.287500000000001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0125-19</v>
      </c>
      <c r="AE37" s="80" t="str">
        <f t="shared" si="12"/>
        <v>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 &amp; 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</v>
      </c>
      <c r="AF37" s="77" t="str">
        <f t="shared" si="13"/>
        <v>"C:\Program Files (x86)\AstroGrep\AstroGrep.exe" /e /r /s /spath="%USERPROFILE%\AppData\Local\Temp\OnboardLogs" /stypes="app*4032*20170519*"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125-19 --locoid 4032 --swversion DE.1.0.9.0 --startMP 204:444 --initTime 2017-05-19T06:38:13 --startdatetime 2017-05-19T06:45:18 --delay 1 --endMP 204:233319 --enddatetime 2017-05-19T07:22:04 --enforcementcount 0 &gt;&gt;C:\Users\stu\Documents\GitHub\eaglep3-reporting\EC\2017-05-19-refined-times.txt</v>
      </c>
      <c r="AI37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{"issue":{"subject":"","project_id":79,"tracker_id":40,"status_id":1,"priority_id":2,"assigned_to_id":23,"start_date":"2017-05-19","description":"","custom_fields":[{"id":1,"name":"Subdivision","value":"EC"},{"id":4,"name":"Milepost","value":"23.3319"},{"id":17,"name":"Train ID","value":"125-19"},{"id":16,"name":"Locomotive ID","value":"4032"},{"id":130,"name":"Impact","value":""},{"id":150,"name":"Time of Event (Mountain Time)","value":"07:22:04"},{"id":151,"name":"Denver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4032 --day 2017-05-19</v>
      </c>
      <c r="AN37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13:22:04"},{"id":29,"name":"Sharepoint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699</v>
      </c>
      <c r="B38" s="7">
        <v>4031</v>
      </c>
      <c r="C38" s="21" t="s">
        <v>206</v>
      </c>
      <c r="D38" s="21" t="s">
        <v>564</v>
      </c>
      <c r="E38" s="13">
        <v>42874.316967592589</v>
      </c>
      <c r="F38" s="13">
        <v>42874.3205787037</v>
      </c>
      <c r="G38" s="7">
        <v>1</v>
      </c>
      <c r="H38" s="21" t="s">
        <v>355</v>
      </c>
      <c r="I38" s="13">
        <v>42874.348055555558</v>
      </c>
      <c r="J38" s="7">
        <v>0</v>
      </c>
      <c r="K38" s="92" t="str">
        <f t="shared" si="0"/>
        <v>4031/4032</v>
      </c>
      <c r="L38" s="21" t="str">
        <f>VLOOKUP(A38,'Trips&amp;Operators'!$C$1:$G$99999,5,FALSE)</f>
        <v>BONDS REYNALDO</v>
      </c>
      <c r="M38" s="6">
        <f t="shared" si="1"/>
        <v>2.7476851857500151E-2</v>
      </c>
      <c r="N38" s="7">
        <f t="shared" si="28"/>
        <v>39.566666674800217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-19T06:36:26-0600',mode:absolute,to:'2017-05-19T09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8" s="192" t="str">
        <f t="shared" si="6"/>
        <v>N</v>
      </c>
      <c r="X38" s="192">
        <f t="shared" si="29"/>
        <v>1</v>
      </c>
      <c r="Y38" s="192">
        <f t="shared" si="8"/>
        <v>23.301300000000001</v>
      </c>
      <c r="Z38" s="192">
        <f t="shared" si="9"/>
        <v>1.4999999999999999E-2</v>
      </c>
      <c r="AA38" s="192">
        <f t="shared" si="10"/>
        <v>23.286300000000001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0126-19</v>
      </c>
      <c r="AE38" s="80" t="str">
        <f t="shared" si="12"/>
        <v>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 &amp; aws s3 cp s3://rtdc.mdm.uploadarchive.raw/RTDC4031/ "%USERPROFILE%\AppData\Local\Temp\OnboardLogs"\RTDC4031\2017-05-20 --exclude "*" --recursive --include "*20170520*" &amp; "%USERPROFILE%\Documents\GitHub\mrs-test-scripts\Headless Mode &amp; Sideloading\WalkAndUnGZ.bat" "%USERPROFILE%\AppData\Local\Temp\OnboardLogs"\RTDC4031\2017-05-20</v>
      </c>
      <c r="AF38" s="77" t="str">
        <f t="shared" si="13"/>
        <v>"C:\Program Files (x86)\AstroGrep\AstroGrep.exe" /e /r /s /spath="%USERPROFILE%\AppData\Local\Temp\OnboardLogs" /stypes="app*4031*20170519*"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126-19 --locoid 4031 --swversion DE.1.0.9.0 --startMP 204:233013 --initTime 2017-05-19T07:36:26 --startdatetime 2017-05-19T07:41:38 --delay 1 --endMP 204:150 --enddatetime 2017-05-19T08:21:12 --enforcementcount 0 &gt;&gt;C:\Users\stu\Documents\GitHub\eaglep3-reporting\EC\2017-05-19-refined-times.txt</v>
      </c>
      <c r="AI38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{"issue":{"subject":"","project_id":79,"tracker_id":40,"status_id":1,"priority_id":2,"assigned_to_id":23,"start_date":"2017-05-19","description":"","custom_fields":[{"id":1,"name":"Subdivision","value":"EC"},{"id":4,"name":"Milepost","value":"0.015"},{"id":17,"name":"Train ID","value":"126-19"},{"id":16,"name":"Locomotive ID","value":"4031"},{"id":130,"name":"Impact","value":""},{"id":150,"name":"Time of Event (Mountain Time)","value":"08:21:12"},{"id":151,"name":"Denver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4031 --day 2017-05-19</v>
      </c>
      <c r="AN38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693</v>
      </c>
      <c r="B39" s="7">
        <v>4024</v>
      </c>
      <c r="C39" s="21" t="s">
        <v>206</v>
      </c>
      <c r="D39" s="21" t="s">
        <v>363</v>
      </c>
      <c r="E39" s="13">
        <v>42874.288032407407</v>
      </c>
      <c r="F39" s="13">
        <v>42874.291828703703</v>
      </c>
      <c r="G39" s="7">
        <v>1</v>
      </c>
      <c r="H39" s="21" t="s">
        <v>422</v>
      </c>
      <c r="I39" s="13">
        <v>42874.317175925928</v>
      </c>
      <c r="J39" s="7">
        <v>0</v>
      </c>
      <c r="K39" s="92" t="str">
        <f t="shared" si="0"/>
        <v>4023/4024</v>
      </c>
      <c r="L39" s="21" t="str">
        <f>VLOOKUP(A39,'Trips&amp;Operators'!$C$1:$G$99999,5,FALSE)</f>
        <v>BADERTSCHER DIANE</v>
      </c>
      <c r="M39" s="6">
        <f t="shared" si="1"/>
        <v>2.5347222224809229E-2</v>
      </c>
      <c r="N39" s="7">
        <f t="shared" si="28"/>
        <v>36.50000000372529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-19T05:54:46-0600',mode:absolute,to:'2017-05-19T08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9" s="192" t="str">
        <f t="shared" si="6"/>
        <v>N</v>
      </c>
      <c r="X39" s="192">
        <f t="shared" si="29"/>
        <v>1</v>
      </c>
      <c r="Y39" s="192">
        <f t="shared" si="8"/>
        <v>4.4400000000000002E-2</v>
      </c>
      <c r="Z39" s="192">
        <f t="shared" si="9"/>
        <v>23.329499999999999</v>
      </c>
      <c r="AA39" s="192">
        <f t="shared" si="10"/>
        <v>23.2851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0127-19</v>
      </c>
      <c r="AE39" s="80" t="str">
        <f t="shared" si="12"/>
        <v>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 &amp; aws s3 cp s3://rtdc.mdm.uploadarchive.raw/RTDC4024/ "%USERPROFILE%\AppData\Local\Temp\OnboardLogs"\RTDC4024\2017-05-20 --exclude "*" --recursive --include "*20170520*" &amp; "%USERPROFILE%\Documents\GitHub\mrs-test-scripts\Headless Mode &amp; Sideloading\WalkAndUnGZ.bat" "%USERPROFILE%\AppData\Local\Temp\OnboardLogs"\RTDC4024\2017-05-20</v>
      </c>
      <c r="AF39" s="77" t="str">
        <f t="shared" si="13"/>
        <v>"C:\Program Files (x86)\AstroGrep\AstroGrep.exe" /e /r /s /spath="%USERPROFILE%\AppData\Local\Temp\OnboardLogs" /stypes="app*4024*20170519*"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127-19 --locoid 4024 --swversion DE.1.0.9.0 --startMP 204:444 --initTime 2017-05-19T06:54:46 --startdatetime 2017-05-19T07:00:14 --delay 1 --endMP 204:233295 --enddatetime 2017-05-19T07:36:44 --enforcementcount 0 &gt;&gt;C:\Users\stu\Documents\GitHub\eaglep3-reporting\EC\2017-05-19-refined-times.txt</v>
      </c>
      <c r="AI39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{"issue":{"subject":"","project_id":79,"tracker_id":40,"status_id":1,"priority_id":2,"assigned_to_id":23,"start_date":"2017-05-19","description":"","custom_fields":[{"id":1,"name":"Subdivision","value":"EC"},{"id":4,"name":"Milepost","value":"23.3295"},{"id":17,"name":"Train ID","value":"127-19"},{"id":16,"name":"Locomotive ID","value":"4024"},{"id":130,"name":"Impact","value":""},{"id":150,"name":"Time of Event (Mountain Time)","value":"07:36:44"},{"id":151,"name":"Denver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4024 --day 2017-05-19</v>
      </c>
      <c r="AN39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13:36:44"},{"id":29,"name":"Sharepoint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701</v>
      </c>
      <c r="B40" s="7">
        <v>4023</v>
      </c>
      <c r="C40" s="21" t="s">
        <v>206</v>
      </c>
      <c r="D40" s="21" t="s">
        <v>560</v>
      </c>
      <c r="E40" s="13">
        <v>42874.326180555552</v>
      </c>
      <c r="F40" s="13">
        <v>42874.33084490741</v>
      </c>
      <c r="G40" s="7">
        <v>1</v>
      </c>
      <c r="H40" s="21" t="s">
        <v>883</v>
      </c>
      <c r="I40" s="13">
        <v>42874.358622685184</v>
      </c>
      <c r="J40" s="7">
        <v>0</v>
      </c>
      <c r="K40" s="92" t="str">
        <f t="shared" si="0"/>
        <v>4023/4024</v>
      </c>
      <c r="L40" s="21" t="str">
        <f>VLOOKUP(A40,'Trips&amp;Operators'!$C$1:$G$99999,5,FALSE)</f>
        <v>BADERTSCHER DIANE</v>
      </c>
      <c r="M40" s="6">
        <f t="shared" si="1"/>
        <v>2.7777777773735579E-2</v>
      </c>
      <c r="N40" s="7">
        <f t="shared" si="28"/>
        <v>39.999999994179234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-19T06:49:42-0600',mode:absolute,to:'2017-05-19T09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0" s="192" t="str">
        <f t="shared" si="6"/>
        <v>N</v>
      </c>
      <c r="X40" s="192">
        <f t="shared" si="29"/>
        <v>1</v>
      </c>
      <c r="Y40" s="192">
        <f t="shared" si="8"/>
        <v>23.297799999999999</v>
      </c>
      <c r="Z40" s="192">
        <f t="shared" si="9"/>
        <v>1.1900000000000001E-2</v>
      </c>
      <c r="AA40" s="192">
        <f t="shared" si="10"/>
        <v>23.285899999999998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0128-19</v>
      </c>
      <c r="AE40" s="80" t="str">
        <f t="shared" si="12"/>
        <v>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 &amp; aws s3 cp s3://rtdc.mdm.uploadarchive.raw/RTDC4023/ "%USERPROFILE%\AppData\Local\Temp\OnboardLogs"\RTDC4023\2017-05-20 --exclude "*" --recursive --include "*20170520*" &amp; "%USERPROFILE%\Documents\GitHub\mrs-test-scripts\Headless Mode &amp; Sideloading\WalkAndUnGZ.bat" "%USERPROFILE%\AppData\Local\Temp\OnboardLogs"\RTDC4023\2017-05-20</v>
      </c>
      <c r="AF40" s="77" t="str">
        <f t="shared" si="13"/>
        <v>"C:\Program Files (x86)\AstroGrep\AstroGrep.exe" /e /r /s /spath="%USERPROFILE%\AppData\Local\Temp\OnboardLogs" /stypes="app*4023*20170519*"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128-19 --locoid 4023 --swversion DE.1.0.9.0 --startMP 204:232978 --initTime 2017-05-19T07:49:42 --startdatetime 2017-05-19T07:56:25 --delay 1 --endMP 204:119 --enddatetime 2017-05-19T08:36:25 --enforcementcount 0 &gt;&gt;C:\Users\stu\Documents\GitHub\eaglep3-reporting\EC\2017-05-19-refined-times.txt</v>
      </c>
      <c r="AI40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{"issue":{"subject":"","project_id":79,"tracker_id":40,"status_id":1,"priority_id":2,"assigned_to_id":23,"start_date":"2017-05-19","description":"","custom_fields":[{"id":1,"name":"Subdivision","value":"EC"},{"id":4,"name":"Milepost","value":"0.0119"},{"id":17,"name":"Train ID","value":"128-19"},{"id":16,"name":"Locomotive ID","value":"4023"},{"id":130,"name":"Impact","value":""},{"id":150,"name":"Time of Event (Mountain Time)","value":"08:36:25"},{"id":151,"name":"Denver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4023 --day 2017-05-19</v>
      </c>
      <c r="AN40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695</v>
      </c>
      <c r="B41" s="7">
        <v>4040</v>
      </c>
      <c r="C41" s="21" t="s">
        <v>206</v>
      </c>
      <c r="D41" s="21" t="s">
        <v>884</v>
      </c>
      <c r="E41" s="13">
        <v>42874.308472222219</v>
      </c>
      <c r="F41" s="13">
        <v>42874.309560185182</v>
      </c>
      <c r="G41" s="7">
        <v>1</v>
      </c>
      <c r="H41" s="21" t="s">
        <v>885</v>
      </c>
      <c r="I41" s="13">
        <v>42874.335127314815</v>
      </c>
      <c r="J41" s="7">
        <v>0</v>
      </c>
      <c r="K41" s="92" t="str">
        <f t="shared" si="0"/>
        <v>4039/4040</v>
      </c>
      <c r="L41" s="21" t="str">
        <f>VLOOKUP(A41,'Trips&amp;Operators'!$C$1:$G$99999,5,FALSE)</f>
        <v>ROCHA YAOTL</v>
      </c>
      <c r="M41" s="6">
        <f t="shared" si="1"/>
        <v>2.5567129632690921E-2</v>
      </c>
      <c r="N41" s="7"/>
      <c r="O41" s="7"/>
      <c r="P41" s="7">
        <f>24*60*SUM($M41:$M41)</f>
        <v>36.816666671074927</v>
      </c>
      <c r="Q41" s="22"/>
      <c r="R41" s="190" t="s">
        <v>602</v>
      </c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-19T06:24:12-0600',mode:absolute,to:'2017-05-19T09:02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1" s="192" t="str">
        <f t="shared" si="6"/>
        <v>Y</v>
      </c>
      <c r="X41" s="192">
        <f t="shared" si="29"/>
        <v>1</v>
      </c>
      <c r="Y41" s="192">
        <f t="shared" si="8"/>
        <v>1.9126000000000001</v>
      </c>
      <c r="Z41" s="192">
        <f t="shared" si="9"/>
        <v>23.339500000000001</v>
      </c>
      <c r="AA41" s="192">
        <f t="shared" si="10"/>
        <v>21.4269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0129-19</v>
      </c>
      <c r="AE41" s="80" t="str">
        <f t="shared" si="12"/>
        <v>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 &amp; aws s3 cp s3://rtdc.mdm.uploadarchive.raw/RTDC4040/ "%USERPROFILE%\AppData\Local\Temp\OnboardLogs"\RTDC4040\2017-05-20 --exclude "*" --recursive --include "*20170520*" &amp; "%USERPROFILE%\Documents\GitHub\mrs-test-scripts\Headless Mode &amp; Sideloading\WalkAndUnGZ.bat" "%USERPROFILE%\AppData\Local\Temp\OnboardLogs"\RTDC4040\2017-05-20</v>
      </c>
      <c r="AF41" s="77" t="str">
        <f t="shared" si="13"/>
        <v>"C:\Program Files (x86)\AstroGrep\AstroGrep.exe" /e /r /s /spath="%USERPROFILE%\AppData\Local\Temp\OnboardLogs" /stypes="app*4040*20170519*" /stext=" 14:.+((SYSTEM_STATE.+slice.+state.+changed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129-19 --locoid 4040 --swversion DE.1.0.9.0 --startMP 204:19126 --initTime 2017-05-19T07:24:12 --startdatetime 2017-05-19T07:25:46 --delay 1 --endMP 204:233395 --enddatetime 2017-05-19T08:02:35 --enforcementcount 0 &gt;&gt;C:\Users\stu\Documents\GitHub\eaglep3-reporting\EC\2017-05-19-refined-times.txt</v>
      </c>
      <c r="AI41" s="99" t="str">
        <f t="shared" si="20"/>
        <v>echo {"issue":{"subject":"CCROC/crew/equipment mismatch","project_id":79,"tracker_id":40,"status_id":1,"priority_id":2,"assigned_to_id":23,"start_date":"2017-05-19","description":"","custom_fields":[{"id":1,"name":"Subdivision","value":"EC"},{"id":4,"name":"Milepost","value":"23.3395"},{"id":17,"name":"Train ID","value":"129-19"},{"id":16,"name":"Locomotive ID","value":"4040"},{"id":130,"name":"Impact","value":""},{"id":150,"name":"Time of Event (Mountain Time)","value":"08:02:35"},{"id":151,"name":"Denver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4040 --day 2017-05-19</v>
      </c>
      <c r="AN41" s="154" t="str">
        <f t="shared" si="22"/>
        <v>echo {"issue":{"subject":"CCROC/crew/equipment mismatch","project_id":30,"tracker_id":4,"status_id":1,"priority_id":1,"assigned_to_id":10,"start_date":"2017-05-19","description":"","custom_fields":[{"id":30,"name":"Category","value":"Issue"},{"id":3,"name":"Functional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14:02:35"},{"id":29,"name":"Sharepoint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704</v>
      </c>
      <c r="B42" s="7">
        <v>4039</v>
      </c>
      <c r="C42" s="21" t="s">
        <v>206</v>
      </c>
      <c r="D42" s="21" t="s">
        <v>886</v>
      </c>
      <c r="E42" s="13">
        <v>42874.341331018521</v>
      </c>
      <c r="F42" s="13">
        <v>42874.342685185184</v>
      </c>
      <c r="G42" s="7">
        <v>1</v>
      </c>
      <c r="H42" s="21" t="s">
        <v>197</v>
      </c>
      <c r="I42" s="13">
        <v>42874.368275462963</v>
      </c>
      <c r="J42" s="7">
        <v>0</v>
      </c>
      <c r="K42" s="92" t="str">
        <f t="shared" si="0"/>
        <v>4039/4040</v>
      </c>
      <c r="L42" s="21" t="str">
        <f>VLOOKUP(A42,'Trips&amp;Operators'!$C$1:$G$99999,5,FALSE)</f>
        <v>ROCHA YAOTL</v>
      </c>
      <c r="M42" s="6">
        <f t="shared" si="1"/>
        <v>2.5590277778974269E-2</v>
      </c>
      <c r="N42" s="7">
        <f>24*60*SUM($M42:$M42)</f>
        <v>36.850000001722947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-19T07:11:31-0600',mode:absolute,to:'2017-05-19T09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2" s="192" t="str">
        <f t="shared" si="6"/>
        <v>N</v>
      </c>
      <c r="X42" s="192">
        <f t="shared" si="29"/>
        <v>1</v>
      </c>
      <c r="Y42" s="192">
        <f t="shared" si="8"/>
        <v>23.311699999999998</v>
      </c>
      <c r="Z42" s="192">
        <f t="shared" si="9"/>
        <v>1.52E-2</v>
      </c>
      <c r="AA42" s="192">
        <f t="shared" si="10"/>
        <v>23.296499999999998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0130-19</v>
      </c>
      <c r="AE42" s="80" t="str">
        <f t="shared" si="12"/>
        <v>aws s3 cp s3://rtdc.mdm.uploadarchive.raw/RTDC4039/ "%USERPROFILE%\AppData\Local\Temp\OnboardLogs"\RTDC4039\2017-05-19 --exclude "*" --recursive --include "*20170519*" &amp; "%USERPROFILE%\Documents\GitHub\mrs-test-scripts\Headless Mode &amp; Sideloading\WalkAndUnGZ.bat" "%USERPROFILE%\AppData\Local\Temp\OnboardLogs"\RTDC4039\2017-05-19 &amp; aws s3 cp s3://rtdc.mdm.uploadarchive.raw/RTDC4039/ "%USERPROFILE%\AppData\Local\Temp\OnboardLogs"\RTDC4039\2017-05-20 --exclude "*" --recursive --include "*20170520*" &amp; "%USERPROFILE%\Documents\GitHub\mrs-test-scripts\Headless Mode &amp; Sideloading\WalkAndUnGZ.bat" "%USERPROFILE%\AppData\Local\Temp\OnboardLogs"\RTDC4039\2017-05-20</v>
      </c>
      <c r="AF42" s="77" t="str">
        <f t="shared" si="13"/>
        <v>"C:\Program Files (x86)\AstroGrep\AstroGrep.exe" /e /r /s /spath="%USERPROFILE%\AppData\Local\Temp\OnboardLogs" /stypes="app*4039*20170519*"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130-19 --locoid 4039 --swversion DE.1.0.9.0 --startMP 204:233117 --initTime 2017-05-19T08:11:31 --startdatetime 2017-05-19T08:13:28 --delay 1 --endMP 204:152 --enddatetime 2017-05-19T08:50:19 --enforcementcount 0 &gt;&gt;C:\Users\stu\Documents\GitHub\eaglep3-reporting\EC\2017-05-19-refined-times.txt</v>
      </c>
      <c r="AI42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{"issue":{"subject":"","project_id":79,"tracker_id":40,"status_id":1,"priority_id":2,"assigned_to_id":23,"start_date":"2017-05-19","description":"","custom_fields":[{"id":1,"name":"Subdivision","value":"EC"},{"id":4,"name":"Milepost","value":"0.0152"},{"id":17,"name":"Train ID","value":"130-19"},{"id":16,"name":"Locomotive ID","value":"4039"},{"id":130,"name":"Impact","value":""},{"id":150,"name":"Time of Event (Mountain Time)","value":"08:50:19"},{"id":151,"name":"Denver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4039 --day 2017-05-19</v>
      </c>
      <c r="AN42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697</v>
      </c>
      <c r="B43" s="7">
        <v>4042</v>
      </c>
      <c r="C43" s="21" t="s">
        <v>206</v>
      </c>
      <c r="D43" s="21" t="s">
        <v>357</v>
      </c>
      <c r="E43" s="13">
        <v>42874.310069444444</v>
      </c>
      <c r="F43" s="13">
        <v>42874.312685185185</v>
      </c>
      <c r="G43" s="7">
        <v>1</v>
      </c>
      <c r="H43" s="21" t="s">
        <v>506</v>
      </c>
      <c r="I43" s="13">
        <v>42874.338553240741</v>
      </c>
      <c r="J43" s="7">
        <v>0</v>
      </c>
      <c r="K43" s="92" t="str">
        <f t="shared" si="0"/>
        <v>4041/4042</v>
      </c>
      <c r="L43" s="21" t="str">
        <f>VLOOKUP(A43,'Trips&amp;Operators'!$C$1:$G$99999,5,FALSE)</f>
        <v>YANAI IAN</v>
      </c>
      <c r="M43" s="6">
        <f t="shared" si="1"/>
        <v>2.5868055556202307E-2</v>
      </c>
      <c r="N43" s="7">
        <f>24*60*SUM($M43:$M43)</f>
        <v>37.250000000931323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-19T06:26:30-0600',mode:absolute,to:'2017-05-19T09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192" t="str">
        <f t="shared" si="6"/>
        <v>N</v>
      </c>
      <c r="X43" s="192">
        <f t="shared" si="29"/>
        <v>1</v>
      </c>
      <c r="Y43" s="192">
        <f t="shared" si="8"/>
        <v>4.6600000000000003E-2</v>
      </c>
      <c r="Z43" s="192">
        <f t="shared" si="9"/>
        <v>23.329899999999999</v>
      </c>
      <c r="AA43" s="192">
        <f t="shared" si="10"/>
        <v>23.283299999999997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0131-19</v>
      </c>
      <c r="AE43" s="80" t="str">
        <f t="shared" si="12"/>
        <v>aws s3 cp s3://rtdc.mdm.uploadarchive.raw/RTDC4042/ "%USERPROFILE%\AppData\Local\Temp\OnboardLogs"\RTDC4042\2017-05-19 --exclude "*" --recursive --include "*20170519*" &amp; "%USERPROFILE%\Documents\GitHub\mrs-test-scripts\Headless Mode &amp; Sideloading\WalkAndUnGZ.bat" "%USERPROFILE%\AppData\Local\Temp\OnboardLogs"\RTDC4042\2017-05-19 &amp; aws s3 cp s3://rtdc.mdm.uploadarchive.raw/RTDC4042/ "%USERPROFILE%\AppData\Local\Temp\OnboardLogs"\RTDC4042\2017-05-20 --exclude "*" --recursive --include "*20170520*" &amp; "%USERPROFILE%\Documents\GitHub\mrs-test-scripts\Headless Mode &amp; Sideloading\WalkAndUnGZ.bat" "%USERPROFILE%\AppData\Local\Temp\OnboardLogs"\RTDC4042\2017-05-20</v>
      </c>
      <c r="AF43" s="77" t="str">
        <f t="shared" si="13"/>
        <v>"C:\Program Files (x86)\AstroGrep\AstroGrep.exe" /e /r /s /spath="%USERPROFILE%\AppData\Local\Temp\OnboardLogs" /stypes="app*4042*20170519*"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131-19 --locoid 4042 --swversion DE.1.0.9.0 --startMP 204:466 --initTime 2017-05-19T07:26:30 --startdatetime 2017-05-19T07:30:16 --delay 1 --endMP 204:233299 --enddatetime 2017-05-19T08:07:31 --enforcementcount 0 &gt;&gt;C:\Users\stu\Documents\GitHub\eaglep3-reporting\EC\2017-05-19-refined-times.txt</v>
      </c>
      <c r="AI43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{"issue":{"subject":"","project_id":79,"tracker_id":40,"status_id":1,"priority_id":2,"assigned_to_id":23,"start_date":"2017-05-19","description":"","custom_fields":[{"id":1,"name":"Subdivision","value":"EC"},{"id":4,"name":"Milepost","value":"23.3299"},{"id":17,"name":"Train ID","value":"131-19"},{"id":16,"name":"Locomotive ID","value":"4042"},{"id":130,"name":"Impact","value":""},{"id":150,"name":"Time of Event (Mountain Time)","value":"08:07:31"},{"id":151,"name":"Denver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4042 --day 2017-05-19</v>
      </c>
      <c r="AN43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616</v>
      </c>
      <c r="B44" s="7">
        <v>4041</v>
      </c>
      <c r="C44" s="21" t="s">
        <v>206</v>
      </c>
      <c r="D44" s="21" t="s">
        <v>887</v>
      </c>
      <c r="E44" s="13">
        <v>42874.34034722222</v>
      </c>
      <c r="F44" s="13">
        <v>42874.351539351854</v>
      </c>
      <c r="G44" s="7">
        <v>1</v>
      </c>
      <c r="H44" s="21" t="s">
        <v>888</v>
      </c>
      <c r="I44" s="13">
        <v>42874.366261574076</v>
      </c>
      <c r="J44" s="7">
        <v>0</v>
      </c>
      <c r="K44" s="92" t="str">
        <f t="shared" si="0"/>
        <v>4041/4042</v>
      </c>
      <c r="L44" s="21" t="str">
        <f>VLOOKUP(A44,'Trips&amp;Operators'!$C$1:$G$99999,5,FALSE)</f>
        <v>YANAI IAN</v>
      </c>
      <c r="M44" s="6">
        <f t="shared" si="1"/>
        <v>1.4722222222189885E-2</v>
      </c>
      <c r="N44" s="7"/>
      <c r="O44" s="7"/>
      <c r="P44" s="7">
        <f>24*60*SUM($M44:$M44)</f>
        <v>21.199999999953434</v>
      </c>
      <c r="Q44" s="22"/>
      <c r="R44" s="190" t="s">
        <v>1059</v>
      </c>
      <c r="S44" s="196">
        <f t="shared" si="3"/>
        <v>0.16666666666666666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-19T07:10:06-0600',mode:absolute,to:'2017-05-19T09:47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192" t="str">
        <f t="shared" si="6"/>
        <v>Y</v>
      </c>
      <c r="X44" s="192">
        <f t="shared" si="29"/>
        <v>1</v>
      </c>
      <c r="Y44" s="192">
        <f t="shared" si="8"/>
        <v>23.297699999999999</v>
      </c>
      <c r="Z44" s="192">
        <f t="shared" si="9"/>
        <v>8.6351999999999993</v>
      </c>
      <c r="AA44" s="192">
        <f t="shared" si="10"/>
        <v>14.6625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0132-19</v>
      </c>
      <c r="AE44" s="80" t="str">
        <f t="shared" si="12"/>
        <v>aws s3 cp s3://rtdc.mdm.uploadarchive.raw/RTDC4041/ "%USERPROFILE%\AppData\Local\Temp\OnboardLogs"\RTDC4041\2017-05-19 --exclude "*" --recursive --include "*20170519*" &amp; "%USERPROFILE%\Documents\GitHub\mrs-test-scripts\Headless Mode &amp; Sideloading\WalkAndUnGZ.bat" "%USERPROFILE%\AppData\Local\Temp\OnboardLogs"\RTDC4041\2017-05-19 &amp; aws s3 cp s3://rtdc.mdm.uploadarchive.raw/RTDC4041/ "%USERPROFILE%\AppData\Local\Temp\OnboardLogs"\RTDC4041\2017-05-20 --exclude "*" --recursive --include "*20170520*" &amp; "%USERPROFILE%\Documents\GitHub\mrs-test-scripts\Headless Mode &amp; Sideloading\WalkAndUnGZ.bat" "%USERPROFILE%\AppData\Local\Temp\OnboardLogs"\RTDC4041\2017-05-20</v>
      </c>
      <c r="AF44" s="77" t="str">
        <f t="shared" si="13"/>
        <v>"C:\Program Files (x86)\AstroGrep\AstroGrep.exe" /e /r /s /spath="%USERPROFILE%\AppData\Local\Temp\OnboardLogs" /stypes="app*4041*20170519*" /stext=" 14:.+((SYSTEM_STATE.+slice.+state.+changed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132-19 --locoid 4041 --swversion DE.1.0.9.0 --startMP 204:232977 --initTime 2017-05-19T08:10:06 --startdatetime 2017-05-19T08:26:13 --delay 1 --endMP 204:86352 --enddatetime 2017-05-19T08:47:25 --enforcementcount 0 &gt;&gt;C:\Users\stu\Documents\GitHub\eaglep3-reporting\EC\2017-05-19-refined-times.txt</v>
      </c>
      <c r="AI44" s="99" t="str">
        <f t="shared" si="20"/>
        <v>echo {"issue":{"subject":"Banner without braking against speed restriction target","project_id":79,"tracker_id":40,"status_id":1,"priority_id":2,"assigned_to_id":23,"start_date":"2017-05-19","description":"","custom_fields":[{"id":1,"name":"Subdivision","value":"EC"},{"id":4,"name":"Milepost","value":"8.6352"},{"id":17,"name":"Train ID","value":"132-19"},{"id":16,"name":"Locomotive ID","value":"4041"},{"id":130,"name":"Impact","value":""},{"id":150,"name":"Time of Event (Mountain Time)","value":"08:47:25"},{"id":151,"name":"Denver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4041 --day 2017-05-19</v>
      </c>
      <c r="AN44" s="154" t="str">
        <f t="shared" si="22"/>
        <v>echo {"issue":{"subject":"Banner without braking against speed restriction target","project_id":30,"tracker_id":4,"status_id":1,"priority_id":1,"assigned_to_id":10,"start_date":"2017-05-19","description":"","custom_fields":[{"id":30,"name":"Category","value":"Issue"},{"id":3,"name":"Functional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14:47:25"},{"id":29,"name":"Sharepoint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700</v>
      </c>
      <c r="B45" s="7">
        <v>4018</v>
      </c>
      <c r="C45" s="21" t="s">
        <v>206</v>
      </c>
      <c r="D45" s="21" t="s">
        <v>354</v>
      </c>
      <c r="E45" s="13">
        <v>42874.319050925929</v>
      </c>
      <c r="F45" s="13">
        <v>42874.323078703703</v>
      </c>
      <c r="G45" s="7">
        <v>1</v>
      </c>
      <c r="H45" s="21" t="s">
        <v>553</v>
      </c>
      <c r="I45" s="13">
        <v>42874.348460648151</v>
      </c>
      <c r="J45" s="7">
        <v>0</v>
      </c>
      <c r="K45" s="92" t="str">
        <f t="shared" si="0"/>
        <v>4017/4018</v>
      </c>
      <c r="L45" s="21" t="str">
        <f>VLOOKUP(A45,'Trips&amp;Operators'!$C$1:$G$99999,5,FALSE)</f>
        <v>ROBINSON KADDIBA</v>
      </c>
      <c r="M45" s="6">
        <f t="shared" si="1"/>
        <v>2.5381944447872229E-2</v>
      </c>
      <c r="N45" s="7">
        <f t="shared" ref="N45:N76" si="30">24*60*SUM($M45:$M45)</f>
        <v>36.55000000493601</v>
      </c>
      <c r="O45" s="7"/>
      <c r="P45" s="7"/>
      <c r="Q45" s="22"/>
      <c r="R45" s="190"/>
      <c r="S45" s="196">
        <f t="shared" ref="S45:S76" si="31">SUM(U45:U45)/IF(AG45="EC",12,1)</f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-19T06:39:26-0600',mode:absolute,to:'2017-05-19T09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5" s="192" t="str">
        <f t="shared" si="6"/>
        <v>N</v>
      </c>
      <c r="X45" s="192">
        <f t="shared" si="29"/>
        <v>1</v>
      </c>
      <c r="Y45" s="192">
        <f t="shared" ref="Y45:Y76" si="32">RIGHT(D45,LEN(D45)-4)/10000</f>
        <v>4.58E-2</v>
      </c>
      <c r="Z45" s="192">
        <f t="shared" ref="Z45:Z76" si="33">RIGHT(H45,LEN(H45)-4)/10000</f>
        <v>23.330400000000001</v>
      </c>
      <c r="AA45" s="192">
        <f t="shared" si="10"/>
        <v>23.284600000000001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0133-19</v>
      </c>
      <c r="AE45" s="80" t="str">
        <f t="shared" si="12"/>
        <v>aws s3 cp s3://rtdc.mdm.uploadarchive.raw/RTDC4018/ "%USERPROFILE%\AppData\Local\Temp\OnboardLogs"\RTDC4018\2017-05-19 --exclude "*" --recursive --include "*20170519*" &amp; "%USERPROFILE%\Documents\GitHub\mrs-test-scripts\Headless Mode &amp; Sideloading\WalkAndUnGZ.bat" "%USERPROFILE%\AppData\Local\Temp\OnboardLogs"\RTDC4018\2017-05-19 &amp; 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</v>
      </c>
      <c r="AF45" s="77" t="str">
        <f t="shared" si="13"/>
        <v>"C:\Program Files (x86)\AstroGrep\AstroGrep.exe" /e /r /s /spath="%USERPROFILE%\AppData\Local\Temp\OnboardLogs" /stypes="app*4018*20170519*"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133-19 --locoid 4018 --swversion DE.1.0.9.0 --startMP 204:458 --initTime 2017-05-19T07:39:26 --startdatetime 2017-05-19T07:45:14 --delay 1 --endMP 204:233304 --enddatetime 2017-05-19T08:21:47 --enforcementcount 0 &gt;&gt;C:\Users\stu\Documents\GitHub\eaglep3-reporting\EC\2017-05-19-refined-times.txt</v>
      </c>
      <c r="AI45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{"issue":{"subject":"","project_id":79,"tracker_id":40,"status_id":1,"priority_id":2,"assigned_to_id":23,"start_date":"2017-05-19","description":"","custom_fields":[{"id":1,"name":"Subdivision","value":"EC"},{"id":4,"name":"Milepost","value":"23.3304"},{"id":17,"name":"Train ID","value":"133-19"},{"id":16,"name":"Locomotive ID","value":"4018"},{"id":130,"name":"Impact","value":""},{"id":150,"name":"Time of Event (Mountain Time)","value":"08:21:47"},{"id":151,"name":"Denver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4018 --day 2017-05-19</v>
      </c>
      <c r="AN45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707</v>
      </c>
      <c r="B46" s="7">
        <v>4017</v>
      </c>
      <c r="C46" s="21" t="s">
        <v>206</v>
      </c>
      <c r="D46" s="21" t="s">
        <v>511</v>
      </c>
      <c r="E46" s="13">
        <v>42874.356122685182</v>
      </c>
      <c r="F46" s="13">
        <v>42874.362025462964</v>
      </c>
      <c r="G46" s="7">
        <v>1</v>
      </c>
      <c r="H46" s="21" t="s">
        <v>375</v>
      </c>
      <c r="I46" s="13">
        <v>42874.388506944444</v>
      </c>
      <c r="J46" s="7">
        <v>0</v>
      </c>
      <c r="K46" s="92" t="str">
        <f t="shared" si="0"/>
        <v>4017/4018</v>
      </c>
      <c r="L46" s="21" t="str">
        <f>VLOOKUP(A46,'Trips&amp;Operators'!$C$1:$G$99999,5,FALSE)</f>
        <v>ROBINSON KADDIBA</v>
      </c>
      <c r="M46" s="6">
        <f t="shared" si="1"/>
        <v>2.6481481480004732E-2</v>
      </c>
      <c r="N46" s="7">
        <f t="shared" si="30"/>
        <v>38.133333331206813</v>
      </c>
      <c r="O46" s="7"/>
      <c r="P46" s="7"/>
      <c r="Q46" s="22"/>
      <c r="R46" s="190"/>
      <c r="S46" s="196">
        <f t="shared" si="31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-19T07:32:49-0600',mode:absolute,to:'2017-05-19T10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6" s="192" t="str">
        <f t="shared" si="6"/>
        <v>N</v>
      </c>
      <c r="X46" s="192">
        <f t="shared" si="29"/>
        <v>1</v>
      </c>
      <c r="Y46" s="192">
        <f t="shared" si="32"/>
        <v>23.2987</v>
      </c>
      <c r="Z46" s="192">
        <f t="shared" si="33"/>
        <v>1.3599999999999999E-2</v>
      </c>
      <c r="AA46" s="192">
        <f t="shared" si="10"/>
        <v>23.2851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0134-19</v>
      </c>
      <c r="AE46" s="80" t="str">
        <f t="shared" si="12"/>
        <v>aws s3 cp s3://rtdc.mdm.uploadarchive.raw/RTDC4017/ "%USERPROFILE%\AppData\Local\Temp\OnboardLogs"\RTDC4017\2017-05-19 --exclude "*" --recursive --include "*20170519*" &amp; "%USERPROFILE%\Documents\GitHub\mrs-test-scripts\Headless Mode &amp; Sideloading\WalkAndUnGZ.bat" "%USERPROFILE%\AppData\Local\Temp\OnboardLogs"\RTDC4017\2017-05-19 &amp; 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</v>
      </c>
      <c r="AF46" s="77" t="str">
        <f t="shared" si="13"/>
        <v>"C:\Program Files (x86)\AstroGrep\AstroGrep.exe" /e /r /s /spath="%USERPROFILE%\AppData\Local\Temp\OnboardLogs" /stypes="app*4017*20170519*"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134-19 --locoid 4017 --swversion DE.1.0.9.0 --startMP 204:232987 --initTime 2017-05-19T08:32:49 --startdatetime 2017-05-19T08:41:19 --delay 1 --endMP 204:136 --enddatetime 2017-05-19T09:19:27 --enforcementcount 0 &gt;&gt;C:\Users\stu\Documents\GitHub\eaglep3-reporting\EC\2017-05-19-refined-times.txt</v>
      </c>
      <c r="AI46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{"issue":{"subject":"","project_id":79,"tracker_id":40,"status_id":1,"priority_id":2,"assigned_to_id":23,"start_date":"2017-05-19","description":"","custom_fields":[{"id":1,"name":"Subdivision","value":"EC"},{"id":4,"name":"Milepost","value":"0.0136"},{"id":17,"name":"Train ID","value":"134-19"},{"id":16,"name":"Locomotive ID","value":"4017"},{"id":130,"name":"Impact","value":""},{"id":150,"name":"Time of Event (Mountain Time)","value":"09:19:27"},{"id":151,"name":"Denver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4017 --day 2017-05-19</v>
      </c>
      <c r="AN46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15:19:27"},{"id":29,"name":"Sharepoint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613</v>
      </c>
      <c r="B47" s="7">
        <v>4010</v>
      </c>
      <c r="C47" s="21" t="s">
        <v>206</v>
      </c>
      <c r="D47" s="21" t="s">
        <v>202</v>
      </c>
      <c r="E47" s="13">
        <v>42874.331388888888</v>
      </c>
      <c r="F47" s="13">
        <v>42874.333819444444</v>
      </c>
      <c r="G47" s="7">
        <v>1</v>
      </c>
      <c r="H47" s="21" t="s">
        <v>475</v>
      </c>
      <c r="I47" s="13">
        <v>42874.359432870369</v>
      </c>
      <c r="J47" s="7">
        <v>0</v>
      </c>
      <c r="K47" s="92" t="str">
        <f t="shared" si="0"/>
        <v>4009/4010</v>
      </c>
      <c r="L47" s="21" t="str">
        <f>VLOOKUP(A47,'Trips&amp;Operators'!$C$1:$G$99999,5,FALSE)</f>
        <v>STARKS ANGELINA</v>
      </c>
      <c r="M47" s="6">
        <f t="shared" si="1"/>
        <v>2.5613425925257616E-2</v>
      </c>
      <c r="N47" s="7">
        <f t="shared" si="30"/>
        <v>36.883333332370967</v>
      </c>
      <c r="O47" s="7"/>
      <c r="P47" s="7"/>
      <c r="Q47" s="22"/>
      <c r="R47" s="190"/>
      <c r="S47" s="196">
        <f t="shared" si="31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-19T06:57:12-0600',mode:absolute,to:'2017-05-19T09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7" s="192" t="str">
        <f t="shared" si="6"/>
        <v>N</v>
      </c>
      <c r="X47" s="192">
        <f t="shared" si="29"/>
        <v>1</v>
      </c>
      <c r="Y47" s="192">
        <f t="shared" si="32"/>
        <v>4.5699999999999998E-2</v>
      </c>
      <c r="Z47" s="192">
        <f t="shared" si="33"/>
        <v>23.3291</v>
      </c>
      <c r="AA47" s="192">
        <f t="shared" si="10"/>
        <v>23.2834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0135-19</v>
      </c>
      <c r="AE47" s="80" t="str">
        <f t="shared" si="12"/>
        <v>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 &amp; 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</v>
      </c>
      <c r="AF47" s="77" t="str">
        <f t="shared" si="13"/>
        <v>"C:\Program Files (x86)\AstroGrep\AstroGrep.exe" /e /r /s /spath="%USERPROFILE%\AppData\Local\Temp\OnboardLogs" /stypes="app*4010*20170519*"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135-19 --locoid 4010 --swversion DE.1.0.9.0 --startMP 204:457 --initTime 2017-05-19T07:57:12 --startdatetime 2017-05-19T08:00:42 --delay 1 --endMP 204:233291 --enddatetime 2017-05-19T08:37:35 --enforcementcount 0 &gt;&gt;C:\Users\stu\Documents\GitHub\eaglep3-reporting\EC\2017-05-19-refined-times.txt</v>
      </c>
      <c r="AI47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{"issue":{"subject":"","project_id":79,"tracker_id":40,"status_id":1,"priority_id":2,"assigned_to_id":23,"start_date":"2017-05-19","description":"","custom_fields":[{"id":1,"name":"Subdivision","value":"EC"},{"id":4,"name":"Milepost","value":"23.3291"},{"id":17,"name":"Train ID","value":"135-19"},{"id":16,"name":"Locomotive ID","value":"4010"},{"id":130,"name":"Impact","value":""},{"id":150,"name":"Time of Event (Mountain Time)","value":"08:37:35"},{"id":151,"name":"Denver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4010 --day 2017-05-19</v>
      </c>
      <c r="AN47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711</v>
      </c>
      <c r="B48" s="7">
        <v>4009</v>
      </c>
      <c r="C48" s="21" t="s">
        <v>206</v>
      </c>
      <c r="D48" s="21" t="s">
        <v>889</v>
      </c>
      <c r="E48" s="13">
        <v>42874.370729166665</v>
      </c>
      <c r="F48" s="13">
        <v>42874.372430555559</v>
      </c>
      <c r="G48" s="7">
        <v>1</v>
      </c>
      <c r="H48" s="21" t="s">
        <v>890</v>
      </c>
      <c r="I48" s="13">
        <v>42874.399837962963</v>
      </c>
      <c r="J48" s="7">
        <v>0</v>
      </c>
      <c r="K48" s="92" t="str">
        <f t="shared" si="0"/>
        <v>4009/4010</v>
      </c>
      <c r="L48" s="21" t="str">
        <f>VLOOKUP(A48,'Trips&amp;Operators'!$C$1:$G$99999,5,FALSE)</f>
        <v>STARKS ANGELINA</v>
      </c>
      <c r="M48" s="6">
        <f t="shared" si="1"/>
        <v>2.7407407404098194E-2</v>
      </c>
      <c r="N48" s="7">
        <f t="shared" si="30"/>
        <v>39.466666661901399</v>
      </c>
      <c r="O48" s="7"/>
      <c r="P48" s="7"/>
      <c r="Q48" s="22"/>
      <c r="R48" s="190"/>
      <c r="S48" s="196">
        <f t="shared" si="31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-19T07:53:51-0600',mode:absolute,to:'2017-05-19T10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8" s="192" t="str">
        <f t="shared" si="6"/>
        <v>N</v>
      </c>
      <c r="X48" s="192">
        <f t="shared" si="29"/>
        <v>1</v>
      </c>
      <c r="Y48" s="192">
        <f t="shared" si="32"/>
        <v>23.298400000000001</v>
      </c>
      <c r="Z48" s="192">
        <f t="shared" si="33"/>
        <v>0.1792</v>
      </c>
      <c r="AA48" s="192">
        <f t="shared" si="10"/>
        <v>23.119199999999999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0136-19</v>
      </c>
      <c r="AE48" s="80" t="str">
        <f t="shared" si="12"/>
        <v>aws s3 cp s3://rtdc.mdm.uploadarchive.raw/RTDC4009/ "%USERPROFILE%\AppData\Local\Temp\OnboardLogs"\RTDC4009\2017-05-19 --exclude "*" --recursive --include "*20170519*" &amp; "%USERPROFILE%\Documents\GitHub\mrs-test-scripts\Headless Mode &amp; Sideloading\WalkAndUnGZ.bat" "%USERPROFILE%\AppData\Local\Temp\OnboardLogs"\RTDC4009\2017-05-19 &amp; aws s3 cp s3://rtdc.mdm.uploadarchive.raw/RTDC4009/ "%USERPROFILE%\AppData\Local\Temp\OnboardLogs"\RTDC4009\2017-05-20 --exclude "*" --recursive --include "*20170520*" &amp; "%USERPROFILE%\Documents\GitHub\mrs-test-scripts\Headless Mode &amp; Sideloading\WalkAndUnGZ.bat" "%USERPROFILE%\AppData\Local\Temp\OnboardLogs"\RTDC4009\2017-05-20</v>
      </c>
      <c r="AF48" s="77" t="str">
        <f t="shared" si="13"/>
        <v>"C:\Program Files (x86)\AstroGrep\AstroGrep.exe" /e /r /s /spath="%USERPROFILE%\AppData\Local\Temp\OnboardLogs" /stypes="app*4009*20170519*"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136-19 --locoid 4009 --swversion DE.1.0.9.0 --startMP 204:232984 --initTime 2017-05-19T08:53:51 --startdatetime 2017-05-19T08:56:18 --delay 1 --endMP 204:1792 --enddatetime 2017-05-19T09:35:46 --enforcementcount 0 &gt;&gt;C:\Users\stu\Documents\GitHub\eaglep3-reporting\EC\2017-05-19-refined-times.txt</v>
      </c>
      <c r="AI48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{"issue":{"subject":"","project_id":79,"tracker_id":40,"status_id":1,"priority_id":2,"assigned_to_id":23,"start_date":"2017-05-19","description":"","custom_fields":[{"id":1,"name":"Subdivision","value":"EC"},{"id":4,"name":"Milepost","value":"0.1792"},{"id":17,"name":"Train ID","value":"136-19"},{"id":16,"name":"Locomotive ID","value":"4009"},{"id":130,"name":"Impact","value":""},{"id":150,"name":"Time of Event (Mountain Time)","value":"09:35:46"},{"id":151,"name":"Denver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4009 --day 2017-05-19</v>
      </c>
      <c r="AN48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15:35:46"},{"id":29,"name":"Sharepoint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703</v>
      </c>
      <c r="B49" s="7">
        <v>4006</v>
      </c>
      <c r="C49" s="21" t="s">
        <v>206</v>
      </c>
      <c r="D49" s="21" t="s">
        <v>364</v>
      </c>
      <c r="E49" s="13">
        <v>42874.338773148149</v>
      </c>
      <c r="F49" s="13">
        <v>42874.343958333331</v>
      </c>
      <c r="G49" s="7">
        <v>1</v>
      </c>
      <c r="H49" s="21" t="s">
        <v>510</v>
      </c>
      <c r="I49" s="13">
        <v>42874.368773148148</v>
      </c>
      <c r="J49" s="7">
        <v>0</v>
      </c>
      <c r="K49" s="92" t="str">
        <f t="shared" si="0"/>
        <v>4005/4006</v>
      </c>
      <c r="L49" s="21" t="str">
        <f>VLOOKUP(A49,'Trips&amp;Operators'!$C$1:$G$99999,5,FALSE)</f>
        <v>LOZA FIDEL</v>
      </c>
      <c r="M49" s="6">
        <f t="shared" si="1"/>
        <v>2.4814814816636499E-2</v>
      </c>
      <c r="N49" s="7">
        <f t="shared" si="30"/>
        <v>35.733333335956559</v>
      </c>
      <c r="O49" s="7"/>
      <c r="P49" s="7"/>
      <c r="Q49" s="22"/>
      <c r="R49" s="190"/>
      <c r="S49" s="196">
        <f t="shared" si="31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-19T07:07:50-0600',mode:absolute,to:'2017-05-19T09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9" s="192" t="str">
        <f t="shared" si="6"/>
        <v>N</v>
      </c>
      <c r="X49" s="192">
        <f t="shared" si="29"/>
        <v>1</v>
      </c>
      <c r="Y49" s="192">
        <f t="shared" si="32"/>
        <v>4.4699999999999997E-2</v>
      </c>
      <c r="Z49" s="192">
        <f t="shared" si="33"/>
        <v>23.3353</v>
      </c>
      <c r="AA49" s="192">
        <f t="shared" si="10"/>
        <v>23.290600000000001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0137-19</v>
      </c>
      <c r="AE49" s="80" t="str">
        <f t="shared" si="12"/>
        <v>aws s3 cp s3://rtdc.mdm.uploadarchive.raw/RTDC4006/ "%USERPROFILE%\AppData\Local\Temp\OnboardLogs"\RTDC4006\2017-05-19 --exclude "*" --recursive --include "*20170519*" &amp; "%USERPROFILE%\Documents\GitHub\mrs-test-scripts\Headless Mode &amp; Sideloading\WalkAndUnGZ.bat" "%USERPROFILE%\AppData\Local\Temp\OnboardLogs"\RTDC4006\2017-05-19 &amp; 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</v>
      </c>
      <c r="AF49" s="77" t="str">
        <f t="shared" si="13"/>
        <v>"C:\Program Files (x86)\AstroGrep\AstroGrep.exe" /e /r /s /spath="%USERPROFILE%\AppData\Local\Temp\OnboardLogs" /stypes="app*4006*20170519*"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137-19 --locoid 4006 --swversion DE.1.0.9.0 --startMP 204:447 --initTime 2017-05-19T08:07:50 --startdatetime 2017-05-19T08:15:18 --delay 1 --endMP 204:233353 --enddatetime 2017-05-19T08:51:02 --enforcementcount 0 &gt;&gt;C:\Users\stu\Documents\GitHub\eaglep3-reporting\EC\2017-05-19-refined-times.txt</v>
      </c>
      <c r="AI49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{"issue":{"subject":"","project_id":79,"tracker_id":40,"status_id":1,"priority_id":2,"assigned_to_id":23,"start_date":"2017-05-19","description":"","custom_fields":[{"id":1,"name":"Subdivision","value":"EC"},{"id":4,"name":"Milepost","value":"23.3353"},{"id":17,"name":"Train ID","value":"137-19"},{"id":16,"name":"Locomotive ID","value":"4006"},{"id":130,"name":"Impact","value":""},{"id":150,"name":"Time of Event (Mountain Time)","value":"08:51:02"},{"id":151,"name":"Denver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4006 --day 2017-05-19</v>
      </c>
      <c r="AN49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712</v>
      </c>
      <c r="B50" s="7">
        <v>4005</v>
      </c>
      <c r="C50" s="21" t="s">
        <v>206</v>
      </c>
      <c r="D50" s="21" t="s">
        <v>891</v>
      </c>
      <c r="E50" s="13">
        <v>42874.378541666665</v>
      </c>
      <c r="F50" s="13">
        <v>42874.382870370369</v>
      </c>
      <c r="G50" s="7">
        <v>1</v>
      </c>
      <c r="H50" s="21" t="s">
        <v>368</v>
      </c>
      <c r="I50" s="13">
        <v>42874.408900462964</v>
      </c>
      <c r="J50" s="7">
        <v>0</v>
      </c>
      <c r="K50" s="92" t="str">
        <f t="shared" si="0"/>
        <v>4005/4006</v>
      </c>
      <c r="L50" s="21" t="str">
        <f>VLOOKUP(A50,'Trips&amp;Operators'!$C$1:$G$99999,5,FALSE)</f>
        <v>LOZA FIDEL</v>
      </c>
      <c r="M50" s="6">
        <f t="shared" si="1"/>
        <v>2.6030092594737653E-2</v>
      </c>
      <c r="N50" s="7">
        <f t="shared" si="30"/>
        <v>37.48333333642222</v>
      </c>
      <c r="O50" s="7"/>
      <c r="P50" s="7"/>
      <c r="Q50" s="22"/>
      <c r="R50" s="190"/>
      <c r="S50" s="196">
        <f t="shared" si="31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-19T08:05:06-0600',mode:absolute,to:'2017-05-19T10:48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0" s="192" t="str">
        <f t="shared" si="6"/>
        <v>N</v>
      </c>
      <c r="X50" s="192">
        <f t="shared" si="29"/>
        <v>1</v>
      </c>
      <c r="Y50" s="192">
        <f t="shared" si="32"/>
        <v>23.306000000000001</v>
      </c>
      <c r="Z50" s="192">
        <f t="shared" si="33"/>
        <v>1.47E-2</v>
      </c>
      <c r="AA50" s="192">
        <f t="shared" si="10"/>
        <v>23.2913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0138-19</v>
      </c>
      <c r="AE50" s="80" t="str">
        <f t="shared" si="12"/>
        <v>aws s3 cp s3://rtdc.mdm.uploadarchive.raw/RTDC4005/ "%USERPROFILE%\AppData\Local\Temp\OnboardLogs"\RTDC4005\2017-05-19 --exclude "*" --recursive --include "*20170519*" &amp; "%USERPROFILE%\Documents\GitHub\mrs-test-scripts\Headless Mode &amp; Sideloading\WalkAndUnGZ.bat" "%USERPROFILE%\AppData\Local\Temp\OnboardLogs"\RTDC4005\2017-05-19 &amp; 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</v>
      </c>
      <c r="AF50" s="77" t="str">
        <f t="shared" si="13"/>
        <v>"C:\Program Files (x86)\AstroGrep\AstroGrep.exe" /e /r /s /spath="%USERPROFILE%\AppData\Local\Temp\OnboardLogs" /stypes="app*4005*20170519*"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138-19 --locoid 4005 --swversion DE.1.0.9.0 --startMP 204:233060 --initTime 2017-05-19T09:05:06 --startdatetime 2017-05-19T09:11:20 --delay 1 --endMP 204:147 --enddatetime 2017-05-19T09:48:49 --enforcementcount 0 &gt;&gt;C:\Users\stu\Documents\GitHub\eaglep3-reporting\EC\2017-05-19-refined-times.txt</v>
      </c>
      <c r="AI50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{"issue":{"subject":"","project_id":79,"tracker_id":40,"status_id":1,"priority_id":2,"assigned_to_id":23,"start_date":"2017-05-19","description":"","custom_fields":[{"id":1,"name":"Subdivision","value":"EC"},{"id":4,"name":"Milepost","value":"0.0147"},{"id":17,"name":"Train ID","value":"138-19"},{"id":16,"name":"Locomotive ID","value":"4005"},{"id":130,"name":"Impact","value":""},{"id":150,"name":"Time of Event (Mountain Time)","value":"09:48:49"},{"id":151,"name":"Denver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4005 --day 2017-05-19</v>
      </c>
      <c r="AN50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15:48:49"},{"id":29,"name":"Sharepoint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705</v>
      </c>
      <c r="B51" s="7">
        <v>4032</v>
      </c>
      <c r="C51" s="21" t="s">
        <v>206</v>
      </c>
      <c r="D51" s="21" t="s">
        <v>404</v>
      </c>
      <c r="E51" s="13">
        <v>42874.350324074076</v>
      </c>
      <c r="F51" s="13">
        <v>42874.354629629626</v>
      </c>
      <c r="G51" s="7">
        <v>1</v>
      </c>
      <c r="H51" s="21" t="s">
        <v>439</v>
      </c>
      <c r="I51" s="13">
        <v>42874.379525462966</v>
      </c>
      <c r="J51" s="7">
        <v>0</v>
      </c>
      <c r="K51" s="92" t="str">
        <f t="shared" si="0"/>
        <v>4031/4032</v>
      </c>
      <c r="L51" s="21" t="str">
        <f>VLOOKUP(A51,'Trips&amp;Operators'!$C$1:$G$99999,5,FALSE)</f>
        <v>BONDS REYNALDO</v>
      </c>
      <c r="M51" s="6">
        <f t="shared" si="1"/>
        <v>2.489583333954215E-2</v>
      </c>
      <c r="N51" s="7">
        <f t="shared" si="30"/>
        <v>35.850000008940697</v>
      </c>
      <c r="O51" s="7"/>
      <c r="P51" s="7"/>
      <c r="Q51" s="22"/>
      <c r="R51" s="190"/>
      <c r="S51" s="196">
        <f t="shared" si="31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-19T07:24:28-0600',mode:absolute,to:'2017-05-19T10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1" s="192" t="str">
        <f t="shared" si="6"/>
        <v>N</v>
      </c>
      <c r="X51" s="192">
        <f t="shared" si="29"/>
        <v>1</v>
      </c>
      <c r="Y51" s="192">
        <f t="shared" si="32"/>
        <v>4.6199999999999998E-2</v>
      </c>
      <c r="Z51" s="192">
        <f t="shared" si="33"/>
        <v>23.330300000000001</v>
      </c>
      <c r="AA51" s="192">
        <f t="shared" si="10"/>
        <v>23.284100000000002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0139-19</v>
      </c>
      <c r="AE51" s="80" t="str">
        <f t="shared" si="12"/>
        <v>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 &amp; 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</v>
      </c>
      <c r="AF51" s="77" t="str">
        <f t="shared" si="13"/>
        <v>"C:\Program Files (x86)\AstroGrep\AstroGrep.exe" /e /r /s /spath="%USERPROFILE%\AppData\Local\Temp\OnboardLogs" /stypes="app*4032*20170519*"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139-19 --locoid 4032 --swversion DE.1.0.9.0 --startMP 204:462 --initTime 2017-05-19T08:24:28 --startdatetime 2017-05-19T08:30:40 --delay 1 --endMP 204:233303 --enddatetime 2017-05-19T09:06:31 --enforcementcount 0 &gt;&gt;C:\Users\stu\Documents\GitHub\eaglep3-reporting\EC\2017-05-19-refined-times.txt</v>
      </c>
      <c r="AI51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{"issue":{"subject":"","project_id":79,"tracker_id":40,"status_id":1,"priority_id":2,"assigned_to_id":23,"start_date":"2017-05-19","description":"","custom_fields":[{"id":1,"name":"Subdivision","value":"EC"},{"id":4,"name":"Milepost","value":"23.3303"},{"id":17,"name":"Train ID","value":"139-19"},{"id":16,"name":"Locomotive ID","value":"4032"},{"id":130,"name":"Impact","value":""},{"id":150,"name":"Time of Event (Mountain Time)","value":"09:06:31"},{"id":151,"name":"Denver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4032 --day 2017-05-19</v>
      </c>
      <c r="AN51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15:06:31"},{"id":29,"name":"Sharepoint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621</v>
      </c>
      <c r="B52" s="7">
        <v>4031</v>
      </c>
      <c r="C52" s="21" t="s">
        <v>206</v>
      </c>
      <c r="D52" s="21" t="s">
        <v>892</v>
      </c>
      <c r="E52" s="13">
        <v>42874.388611111113</v>
      </c>
      <c r="F52" s="13">
        <v>42874.393240740741</v>
      </c>
      <c r="G52" s="7">
        <v>1</v>
      </c>
      <c r="H52" s="21" t="s">
        <v>893</v>
      </c>
      <c r="I52" s="13">
        <v>42874.422615740739</v>
      </c>
      <c r="J52" s="7">
        <v>0</v>
      </c>
      <c r="K52" s="92" t="str">
        <f t="shared" si="0"/>
        <v>4031/4032</v>
      </c>
      <c r="L52" s="21" t="str">
        <f>VLOOKUP(A52,'Trips&amp;Operators'!$C$1:$G$99999,5,FALSE)</f>
        <v>BONDS REYNALDO</v>
      </c>
      <c r="M52" s="6">
        <f t="shared" si="1"/>
        <v>2.937499999825377E-2</v>
      </c>
      <c r="N52" s="7">
        <f t="shared" si="30"/>
        <v>42.299999997485429</v>
      </c>
      <c r="O52" s="7"/>
      <c r="P52" s="7"/>
      <c r="Q52" s="22"/>
      <c r="R52" s="190"/>
      <c r="S52" s="196">
        <f t="shared" si="31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-19T08:19:36-0600',mode:absolute,to:'2017-05-19T11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2" s="192" t="str">
        <f t="shared" si="6"/>
        <v>N</v>
      </c>
      <c r="X52" s="192">
        <f t="shared" si="29"/>
        <v>1</v>
      </c>
      <c r="Y52" s="192">
        <f t="shared" si="32"/>
        <v>23.2971</v>
      </c>
      <c r="Z52" s="192">
        <f t="shared" si="33"/>
        <v>1.61E-2</v>
      </c>
      <c r="AA52" s="192">
        <f t="shared" si="10"/>
        <v>23.280999999999999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0140-19</v>
      </c>
      <c r="AE52" s="80" t="str">
        <f t="shared" si="12"/>
        <v>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 &amp; aws s3 cp s3://rtdc.mdm.uploadarchive.raw/RTDC4031/ "%USERPROFILE%\AppData\Local\Temp\OnboardLogs"\RTDC4031\2017-05-20 --exclude "*" --recursive --include "*20170520*" &amp; "%USERPROFILE%\Documents\GitHub\mrs-test-scripts\Headless Mode &amp; Sideloading\WalkAndUnGZ.bat" "%USERPROFILE%\AppData\Local\Temp\OnboardLogs"\RTDC4031\2017-05-20</v>
      </c>
      <c r="AF52" s="77" t="str">
        <f t="shared" si="13"/>
        <v>"C:\Program Files (x86)\AstroGrep\AstroGrep.exe" /e /r /s /spath="%USERPROFILE%\AppData\Local\Temp\OnboardLogs" /stypes="app*4031*20170519*"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140-19 --locoid 4031 --swversion DE.1.0.9.0 --startMP 204:232971 --initTime 2017-05-19T09:19:36 --startdatetime 2017-05-19T09:26:16 --delay 1 --endMP 204:161 --enddatetime 2017-05-19T10:08:34 --enforcementcount 0 &gt;&gt;C:\Users\stu\Documents\GitHub\eaglep3-reporting\EC\2017-05-19-refined-times.txt</v>
      </c>
      <c r="AI52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{"issue":{"subject":"","project_id":79,"tracker_id":40,"status_id":1,"priority_id":2,"assigned_to_id":23,"start_date":"2017-05-19","description":"","custom_fields":[{"id":1,"name":"Subdivision","value":"EC"},{"id":4,"name":"Milepost","value":"0.0161"},{"id":17,"name":"Train ID","value":"140-19"},{"id":16,"name":"Locomotive ID","value":"4031"},{"id":130,"name":"Impact","value":""},{"id":150,"name":"Time of Event (Mountain Time)","value":"10:08:34"},{"id":151,"name":"Denver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4031 --day 2017-05-19</v>
      </c>
      <c r="AN52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16:08:34"},{"id":29,"name":"Sharepoint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709</v>
      </c>
      <c r="B53" s="7">
        <v>4024</v>
      </c>
      <c r="C53" s="21" t="s">
        <v>206</v>
      </c>
      <c r="D53" s="21" t="s">
        <v>202</v>
      </c>
      <c r="E53" s="13">
        <v>42874.360775462963</v>
      </c>
      <c r="F53" s="13">
        <v>42874.364756944444</v>
      </c>
      <c r="G53" s="7">
        <v>1</v>
      </c>
      <c r="H53" s="21" t="s">
        <v>479</v>
      </c>
      <c r="I53" s="13">
        <v>42874.390034722222</v>
      </c>
      <c r="J53" s="7">
        <v>0</v>
      </c>
      <c r="K53" s="92" t="str">
        <f t="shared" si="0"/>
        <v>4023/4024</v>
      </c>
      <c r="L53" s="21" t="str">
        <f>VLOOKUP(A53,'Trips&amp;Operators'!$C$1:$G$99999,5,FALSE)</f>
        <v>BADERTSCHER DIANE</v>
      </c>
      <c r="M53" s="6">
        <f t="shared" si="1"/>
        <v>2.527777777868323E-2</v>
      </c>
      <c r="N53" s="7">
        <f t="shared" si="30"/>
        <v>36.400000001303852</v>
      </c>
      <c r="O53" s="7"/>
      <c r="P53" s="7"/>
      <c r="Q53" s="22"/>
      <c r="R53" s="190"/>
      <c r="S53" s="196">
        <f t="shared" si="31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-19T07:39:31-0600',mode:absolute,to:'2017-05-19T10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3" s="192" t="str">
        <f t="shared" si="6"/>
        <v>N</v>
      </c>
      <c r="X53" s="192">
        <f t="shared" si="29"/>
        <v>1</v>
      </c>
      <c r="Y53" s="192">
        <f t="shared" si="32"/>
        <v>4.5699999999999998E-2</v>
      </c>
      <c r="Z53" s="192">
        <f t="shared" si="33"/>
        <v>23.331199999999999</v>
      </c>
      <c r="AA53" s="192">
        <f t="shared" si="10"/>
        <v>23.285499999999999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0141-19</v>
      </c>
      <c r="AE53" s="80" t="str">
        <f t="shared" si="12"/>
        <v>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 &amp; aws s3 cp s3://rtdc.mdm.uploadarchive.raw/RTDC4024/ "%USERPROFILE%\AppData\Local\Temp\OnboardLogs"\RTDC4024\2017-05-20 --exclude "*" --recursive --include "*20170520*" &amp; "%USERPROFILE%\Documents\GitHub\mrs-test-scripts\Headless Mode &amp; Sideloading\WalkAndUnGZ.bat" "%USERPROFILE%\AppData\Local\Temp\OnboardLogs"\RTDC4024\2017-05-20</v>
      </c>
      <c r="AF53" s="77" t="str">
        <f t="shared" si="13"/>
        <v>"C:\Program Files (x86)\AstroGrep\AstroGrep.exe" /e /r /s /spath="%USERPROFILE%\AppData\Local\Temp\OnboardLogs" /stypes="app*4024*20170519*"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141-19 --locoid 4024 --swversion DE.1.0.9.0 --startMP 204:457 --initTime 2017-05-19T08:39:31 --startdatetime 2017-05-19T08:45:15 --delay 1 --endMP 204:233312 --enddatetime 2017-05-19T09:21:39 --enforcementcount 0 &gt;&gt;C:\Users\stu\Documents\GitHub\eaglep3-reporting\EC\2017-05-19-refined-times.txt</v>
      </c>
      <c r="AI53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{"issue":{"subject":"","project_id":79,"tracker_id":40,"status_id":1,"priority_id":2,"assigned_to_id":23,"start_date":"2017-05-19","description":"","custom_fields":[{"id":1,"name":"Subdivision","value":"EC"},{"id":4,"name":"Milepost","value":"23.3312"},{"id":17,"name":"Train ID","value":"141-19"},{"id":16,"name":"Locomotive ID","value":"4024"},{"id":130,"name":"Impact","value":""},{"id":150,"name":"Time of Event (Mountain Time)","value":"09:21:39"},{"id":151,"name":"Denver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4024 --day 2017-05-19</v>
      </c>
      <c r="AN53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15:21:39"},{"id":29,"name":"Sharepoint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717</v>
      </c>
      <c r="B54" s="7">
        <v>4023</v>
      </c>
      <c r="C54" s="21" t="s">
        <v>206</v>
      </c>
      <c r="D54" s="21" t="s">
        <v>894</v>
      </c>
      <c r="E54" s="13">
        <v>42874.397175925929</v>
      </c>
      <c r="F54" s="13">
        <v>42874.403645833336</v>
      </c>
      <c r="G54" s="7">
        <v>1</v>
      </c>
      <c r="H54" s="21" t="s">
        <v>375</v>
      </c>
      <c r="I54" s="13">
        <v>42874.431655092594</v>
      </c>
      <c r="J54" s="7">
        <v>0</v>
      </c>
      <c r="K54" s="92" t="str">
        <f t="shared" si="0"/>
        <v>4023/4024</v>
      </c>
      <c r="L54" s="21" t="str">
        <f>VLOOKUP(A54,'Trips&amp;Operators'!$C$1:$G$99999,5,FALSE)</f>
        <v>BADERTSCHER DIANE</v>
      </c>
      <c r="M54" s="6">
        <f t="shared" si="1"/>
        <v>2.8009259258396924E-2</v>
      </c>
      <c r="N54" s="7">
        <f t="shared" si="30"/>
        <v>40.33333333209157</v>
      </c>
      <c r="O54" s="7"/>
      <c r="P54" s="7"/>
      <c r="Q54" s="22"/>
      <c r="R54" s="190"/>
      <c r="S54" s="196">
        <f t="shared" si="31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-19T08:31:56-0600',mode:absolute,to:'2017-05-19T11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4" s="192" t="str">
        <f t="shared" si="6"/>
        <v>N</v>
      </c>
      <c r="X54" s="192">
        <f t="shared" si="29"/>
        <v>1</v>
      </c>
      <c r="Y54" s="192">
        <f t="shared" si="32"/>
        <v>23.299099999999999</v>
      </c>
      <c r="Z54" s="192">
        <f t="shared" si="33"/>
        <v>1.3599999999999999E-2</v>
      </c>
      <c r="AA54" s="192">
        <f t="shared" si="10"/>
        <v>23.285499999999999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0142-19</v>
      </c>
      <c r="AE54" s="80" t="str">
        <f t="shared" si="12"/>
        <v>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 &amp; aws s3 cp s3://rtdc.mdm.uploadarchive.raw/RTDC4023/ "%USERPROFILE%\AppData\Local\Temp\OnboardLogs"\RTDC4023\2017-05-20 --exclude "*" --recursive --include "*20170520*" &amp; "%USERPROFILE%\Documents\GitHub\mrs-test-scripts\Headless Mode &amp; Sideloading\WalkAndUnGZ.bat" "%USERPROFILE%\AppData\Local\Temp\OnboardLogs"\RTDC4023\2017-05-20</v>
      </c>
      <c r="AF54" s="77" t="str">
        <f t="shared" si="13"/>
        <v>"C:\Program Files (x86)\AstroGrep\AstroGrep.exe" /e /r /s /spath="%USERPROFILE%\AppData\Local\Temp\OnboardLogs" /stypes="app*4023*20170519*"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142-19 --locoid 4023 --swversion DE.1.0.9.0 --startMP 204:232991 --initTime 2017-05-19T09:31:56 --startdatetime 2017-05-19T09:41:15 --delay 1 --endMP 204:136 --enddatetime 2017-05-19T10:21:35 --enforcementcount 0 &gt;&gt;C:\Users\stu\Documents\GitHub\eaglep3-reporting\EC\2017-05-19-refined-times.txt</v>
      </c>
      <c r="AI54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{"issue":{"subject":"","project_id":79,"tracker_id":40,"status_id":1,"priority_id":2,"assigned_to_id":23,"start_date":"2017-05-19","description":"","custom_fields":[{"id":1,"name":"Subdivision","value":"EC"},{"id":4,"name":"Milepost","value":"0.0136"},{"id":17,"name":"Train ID","value":"142-19"},{"id":16,"name":"Locomotive ID","value":"4023"},{"id":130,"name":"Impact","value":""},{"id":150,"name":"Time of Event (Mountain Time)","value":"10:21:35"},{"id":151,"name":"Denver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4023 --day 2017-05-19</v>
      </c>
      <c r="AN54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16:21:35"},{"id":29,"name":"Sharepoint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618</v>
      </c>
      <c r="B55" s="7">
        <v>4040</v>
      </c>
      <c r="C55" s="21" t="s">
        <v>206</v>
      </c>
      <c r="D55" s="21" t="s">
        <v>354</v>
      </c>
      <c r="E55" s="13">
        <v>42874.374374999999</v>
      </c>
      <c r="F55" s="13">
        <v>42874.376250000001</v>
      </c>
      <c r="G55" s="7">
        <v>1</v>
      </c>
      <c r="H55" s="21" t="s">
        <v>895</v>
      </c>
      <c r="I55" s="13">
        <v>42874.401574074072</v>
      </c>
      <c r="J55" s="7">
        <v>0</v>
      </c>
      <c r="K55" s="92" t="str">
        <f t="shared" si="0"/>
        <v>4039/4040</v>
      </c>
      <c r="L55" s="21" t="str">
        <f>VLOOKUP(A55,'Trips&amp;Operators'!$C$1:$G$99999,5,FALSE)</f>
        <v>ROCHA YAOTL</v>
      </c>
      <c r="M55" s="6">
        <f t="shared" si="1"/>
        <v>2.5324074071249925E-2</v>
      </c>
      <c r="N55" s="7">
        <f t="shared" si="30"/>
        <v>36.466666662599891</v>
      </c>
      <c r="O55" s="7"/>
      <c r="P55" s="7"/>
      <c r="Q55" s="22"/>
      <c r="R55" s="190"/>
      <c r="S55" s="196">
        <f t="shared" si="31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-19T07:59:06-0600',mode:absolute,to:'2017-05-19T10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5" s="192" t="str">
        <f t="shared" si="6"/>
        <v>N</v>
      </c>
      <c r="X55" s="192">
        <f t="shared" si="29"/>
        <v>1</v>
      </c>
      <c r="Y55" s="192">
        <f t="shared" si="32"/>
        <v>4.58E-2</v>
      </c>
      <c r="Z55" s="192">
        <f t="shared" si="33"/>
        <v>23.337</v>
      </c>
      <c r="AA55" s="192">
        <f t="shared" si="10"/>
        <v>23.2912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0143-19</v>
      </c>
      <c r="AE55" s="80" t="str">
        <f t="shared" si="12"/>
        <v>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 &amp; aws s3 cp s3://rtdc.mdm.uploadarchive.raw/RTDC4040/ "%USERPROFILE%\AppData\Local\Temp\OnboardLogs"\RTDC4040\2017-05-20 --exclude "*" --recursive --include "*20170520*" &amp; "%USERPROFILE%\Documents\GitHub\mrs-test-scripts\Headless Mode &amp; Sideloading\WalkAndUnGZ.bat" "%USERPROFILE%\AppData\Local\Temp\OnboardLogs"\RTDC4040\2017-05-20</v>
      </c>
      <c r="AF55" s="77" t="str">
        <f t="shared" si="13"/>
        <v>"C:\Program Files (x86)\AstroGrep\AstroGrep.exe" /e /r /s /spath="%USERPROFILE%\AppData\Local\Temp\OnboardLogs" /stypes="app*4040*20170519*"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143-19 --locoid 4040 --swversion DE.1.0.9.0 --startMP 204:458 --initTime 2017-05-19T08:59:06 --startdatetime 2017-05-19T09:01:48 --delay 1 --endMP 204:233370 --enddatetime 2017-05-19T09:38:16 --enforcementcount 0 &gt;&gt;C:\Users\stu\Documents\GitHub\eaglep3-reporting\EC\2017-05-19-refined-times.txt</v>
      </c>
      <c r="AI55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{"issue":{"subject":"","project_id":79,"tracker_id":40,"status_id":1,"priority_id":2,"assigned_to_id":23,"start_date":"2017-05-19","description":"","custom_fields":[{"id":1,"name":"Subdivision","value":"EC"},{"id":4,"name":"Milepost","value":"23.337"},{"id":17,"name":"Train ID","value":"143-19"},{"id":16,"name":"Locomotive ID","value":"4040"},{"id":130,"name":"Impact","value":""},{"id":150,"name":"Time of Event (Mountain Time)","value":"09:38:16"},{"id":151,"name":"Denver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4040 --day 2017-05-19</v>
      </c>
      <c r="AN55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15:38:16"},{"id":29,"name":"Sharepoint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720</v>
      </c>
      <c r="B56" s="7">
        <v>4039</v>
      </c>
      <c r="C56" s="21" t="s">
        <v>206</v>
      </c>
      <c r="D56" s="21" t="s">
        <v>570</v>
      </c>
      <c r="E56" s="13">
        <v>42874.413715277777</v>
      </c>
      <c r="F56" s="13">
        <v>42874.414872685185</v>
      </c>
      <c r="G56" s="7">
        <v>0</v>
      </c>
      <c r="H56" s="21" t="s">
        <v>353</v>
      </c>
      <c r="I56" s="13">
        <v>42874.440891203703</v>
      </c>
      <c r="J56" s="7">
        <v>0</v>
      </c>
      <c r="K56" s="92" t="str">
        <f t="shared" si="0"/>
        <v>4039/4040</v>
      </c>
      <c r="L56" s="21" t="str">
        <f>VLOOKUP(A56,'Trips&amp;Operators'!$C$1:$G$99999,5,FALSE)</f>
        <v>ROCHA YAOTL</v>
      </c>
      <c r="M56" s="6">
        <f t="shared" si="1"/>
        <v>2.6018518517958E-2</v>
      </c>
      <c r="N56" s="7">
        <f t="shared" si="30"/>
        <v>37.46666666585952</v>
      </c>
      <c r="O56" s="7"/>
      <c r="P56" s="7"/>
      <c r="Q56" s="22"/>
      <c r="R56" s="190"/>
      <c r="S56" s="196">
        <f t="shared" si="31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-19T08:55:45-0600',mode:absolute,to:'2017-05-19T11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6" s="192" t="str">
        <f t="shared" si="6"/>
        <v>N</v>
      </c>
      <c r="X56" s="192">
        <f t="shared" si="29"/>
        <v>1</v>
      </c>
      <c r="Y56" s="192">
        <f t="shared" si="32"/>
        <v>23.305099999999999</v>
      </c>
      <c r="Z56" s="192">
        <f t="shared" si="33"/>
        <v>1.6E-2</v>
      </c>
      <c r="AA56" s="192">
        <f t="shared" si="10"/>
        <v>23.289100000000001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0144-19</v>
      </c>
      <c r="AE56" s="80" t="str">
        <f t="shared" si="12"/>
        <v>aws s3 cp s3://rtdc.mdm.uploadarchive.raw/RTDC4039/ "%USERPROFILE%\AppData\Local\Temp\OnboardLogs"\RTDC4039\2017-05-19 --exclude "*" --recursive --include "*20170519*" &amp; "%USERPROFILE%\Documents\GitHub\mrs-test-scripts\Headless Mode &amp; Sideloading\WalkAndUnGZ.bat" "%USERPROFILE%\AppData\Local\Temp\OnboardLogs"\RTDC4039\2017-05-19 &amp; aws s3 cp s3://rtdc.mdm.uploadarchive.raw/RTDC4039/ "%USERPROFILE%\AppData\Local\Temp\OnboardLogs"\RTDC4039\2017-05-20 --exclude "*" --recursive --include "*20170520*" &amp; "%USERPROFILE%\Documents\GitHub\mrs-test-scripts\Headless Mode &amp; Sideloading\WalkAndUnGZ.bat" "%USERPROFILE%\AppData\Local\Temp\OnboardLogs"\RTDC4039\2017-05-20</v>
      </c>
      <c r="AF56" s="77" t="str">
        <f t="shared" si="13"/>
        <v>"C:\Program Files (x86)\AstroGrep\AstroGrep.exe" /e /r /s /spath="%USERPROFILE%\AppData\Local\Temp\OnboardLogs" /stypes="app*4039*20170519*"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144-19 --locoid 4039 --swversion DE.1.0.9.0 --startMP 204:233051 --initTime 2017-05-19T09:55:45 --startdatetime 2017-05-19T09:57:25 --delay 0 --endMP 204:160 --enddatetime 2017-05-19T10:34:53 --enforcementcount 0 &gt;&gt;C:\Users\stu\Documents\GitHub\eaglep3-reporting\EC\2017-05-19-refined-times.txt</v>
      </c>
      <c r="AI56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{"issue":{"subject":"","project_id":79,"tracker_id":40,"status_id":1,"priority_id":2,"assigned_to_id":23,"start_date":"2017-05-19","description":"","custom_fields":[{"id":1,"name":"Subdivision","value":"EC"},{"id":4,"name":"Milepost","value":"0.016"},{"id":17,"name":"Train ID","value":"144-19"},{"id":16,"name":"Locomotive ID","value":"4039"},{"id":130,"name":"Impact","value":""},{"id":150,"name":"Time of Event (Mountain Time)","value":"10:34:53"},{"id":151,"name":"Denver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4039 --day 2017-05-19</v>
      </c>
      <c r="AN56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16:34:53"},{"id":29,"name":"Sharepoint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619</v>
      </c>
      <c r="B57" s="7">
        <v>4012</v>
      </c>
      <c r="C57" s="21" t="s">
        <v>206</v>
      </c>
      <c r="D57" s="21" t="s">
        <v>896</v>
      </c>
      <c r="E57" s="13">
        <v>42874.38590277778</v>
      </c>
      <c r="F57" s="13">
        <v>42874.387256944443</v>
      </c>
      <c r="G57" s="7">
        <v>1</v>
      </c>
      <c r="H57" s="21" t="s">
        <v>897</v>
      </c>
      <c r="I57" s="13">
        <v>42874.412673611114</v>
      </c>
      <c r="J57" s="7">
        <v>0</v>
      </c>
      <c r="K57" s="92" t="str">
        <f t="shared" si="0"/>
        <v>4011/4012</v>
      </c>
      <c r="L57" s="21" t="str">
        <f>VLOOKUP(A57,'Trips&amp;Operators'!$C$1:$G$99999,5,FALSE)</f>
        <v>DAVIS WENDY</v>
      </c>
      <c r="M57" s="6">
        <f t="shared" si="1"/>
        <v>2.5416666670935228E-2</v>
      </c>
      <c r="N57" s="7">
        <f t="shared" si="30"/>
        <v>36.600000006146729</v>
      </c>
      <c r="O57" s="7"/>
      <c r="P57" s="7"/>
      <c r="Q57" s="22"/>
      <c r="R57" s="190"/>
      <c r="S57" s="196">
        <f t="shared" si="31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-19T08:15:42-0600',mode:absolute,to:'2017-05-19T10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7" s="192" t="str">
        <f t="shared" si="6"/>
        <v>N</v>
      </c>
      <c r="X57" s="192">
        <f t="shared" si="29"/>
        <v>1</v>
      </c>
      <c r="Y57" s="192">
        <f t="shared" si="32"/>
        <v>4.8899999999999999E-2</v>
      </c>
      <c r="Z57" s="192">
        <f t="shared" si="33"/>
        <v>23.332699999999999</v>
      </c>
      <c r="AA57" s="192">
        <f t="shared" si="10"/>
        <v>23.283799999999999</v>
      </c>
      <c r="AB57" s="57" t="str">
        <f>VLOOKUP(A57,Enforcements!$C$7:$K$13,8,0)</f>
        <v>Bulletin (2)</v>
      </c>
      <c r="AC57" s="53" t="str">
        <f>VLOOKUP(A57,Enforcements!$C$7:$E$13,3,0)</f>
        <v>GRADE CROSSING</v>
      </c>
      <c r="AD57" s="54" t="str">
        <f t="shared" si="11"/>
        <v>0145-19</v>
      </c>
      <c r="AE57" s="80" t="str">
        <f t="shared" si="12"/>
        <v>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 &amp; 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</v>
      </c>
      <c r="AF57" s="77" t="str">
        <f t="shared" si="13"/>
        <v>"C:\Program Files (x86)\AstroGrep\AstroGrep.exe" /e /r /s /spath="%USERPROFILE%\AppData\Local\Temp\OnboardLogs" /stypes="app*4012*20170519*"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145-19 --locoid 4012 --swversion DE.1.0.9.0 --startMP 204:489 --initTime 2017-05-19T09:15:42 --startdatetime 2017-05-19T09:17:39 --delay 1 --endMP 204:233327 --enddatetime 2017-05-19T09:54:15 --enforcementcount 0 &gt;&gt;C:\Users\stu\Documents\GitHub\eaglep3-reporting\EC\2017-05-19-refined-times.txt</v>
      </c>
      <c r="AI57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{"issue":{"subject":"","project_id":79,"tracker_id":40,"status_id":1,"priority_id":2,"assigned_to_id":23,"start_date":"2017-05-19","description":"","custom_fields":[{"id":1,"name":"Subdivision","value":"EC"},{"id":4,"name":"Milepost","value":"23.3327"},{"id":17,"name":"Train ID","value":"145-19"},{"id":16,"name":"Locomotive ID","value":"4012"},{"id":130,"name":"Impact","value":""},{"id":150,"name":"Time of Event (Mountain Time)","value":"09:54:15"},{"id":151,"name":"Denver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4012 --day 2017-05-19</v>
      </c>
      <c r="AN57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15:54:15"},{"id":29,"name":"Sharepoint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722</v>
      </c>
      <c r="B58" s="7">
        <v>4011</v>
      </c>
      <c r="C58" s="21" t="s">
        <v>206</v>
      </c>
      <c r="D58" s="21" t="s">
        <v>874</v>
      </c>
      <c r="E58" s="13">
        <v>42874.421087962961</v>
      </c>
      <c r="F58" s="13">
        <v>42874.424513888887</v>
      </c>
      <c r="G58" s="7">
        <v>1</v>
      </c>
      <c r="H58" s="21" t="s">
        <v>419</v>
      </c>
      <c r="I58" s="13">
        <v>42874.451886574076</v>
      </c>
      <c r="J58" s="7">
        <v>0</v>
      </c>
      <c r="K58" s="92" t="str">
        <f t="shared" si="0"/>
        <v>4011/4012</v>
      </c>
      <c r="L58" s="21" t="str">
        <f>VLOOKUP(A58,'Trips&amp;Operators'!$C$1:$G$99999,5,FALSE)</f>
        <v>DAVIS WENDY</v>
      </c>
      <c r="M58" s="6">
        <f t="shared" si="1"/>
        <v>2.7372685188311152E-2</v>
      </c>
      <c r="N58" s="7">
        <f t="shared" si="30"/>
        <v>39.416666671168059</v>
      </c>
      <c r="O58" s="7"/>
      <c r="P58" s="7"/>
      <c r="Q58" s="22"/>
      <c r="R58" s="190"/>
      <c r="S58" s="196">
        <f t="shared" si="31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-19T09:06:22-0600',mode:absolute,to:'2017-05-19T11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8" s="192" t="str">
        <f t="shared" si="6"/>
        <v>N</v>
      </c>
      <c r="X58" s="192">
        <f t="shared" si="29"/>
        <v>1</v>
      </c>
      <c r="Y58" s="192">
        <f t="shared" si="32"/>
        <v>23.300599999999999</v>
      </c>
      <c r="Z58" s="192">
        <f t="shared" si="33"/>
        <v>1.54E-2</v>
      </c>
      <c r="AA58" s="192">
        <f t="shared" si="10"/>
        <v>23.2852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0146-19</v>
      </c>
      <c r="AE58" s="80" t="str">
        <f t="shared" si="12"/>
        <v>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 &amp; 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</v>
      </c>
      <c r="AF58" s="77" t="str">
        <f t="shared" si="13"/>
        <v>"C:\Program Files (x86)\AstroGrep\AstroGrep.exe" /e /r /s /spath="%USERPROFILE%\AppData\Local\Temp\OnboardLogs" /stypes="app*4011*20170519*"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146-19 --locoid 4011 --swversion DE.1.0.9.0 --startMP 204:233006 --initTime 2017-05-19T10:06:22 --startdatetime 2017-05-19T10:11:18 --delay 1 --endMP 204:154 --enddatetime 2017-05-19T10:50:43 --enforcementcount 0 &gt;&gt;C:\Users\stu\Documents\GitHub\eaglep3-reporting\EC\2017-05-19-refined-times.txt</v>
      </c>
      <c r="AI58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{"issue":{"subject":"","project_id":79,"tracker_id":40,"status_id":1,"priority_id":2,"assigned_to_id":23,"start_date":"2017-05-19","description":"","custom_fields":[{"id":1,"name":"Subdivision","value":"EC"},{"id":4,"name":"Milepost","value":"0.0154"},{"id":17,"name":"Train ID","value":"146-19"},{"id":16,"name":"Locomotive ID","value":"4011"},{"id":130,"name":"Impact","value":""},{"id":150,"name":"Time of Event (Mountain Time)","value":"10:50:43"},{"id":151,"name":"Denver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4011 --day 2017-05-19</v>
      </c>
      <c r="AN58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16:50:43"},{"id":29,"name":"Sharepoint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716</v>
      </c>
      <c r="B59" s="7">
        <v>4018</v>
      </c>
      <c r="C59" s="21" t="s">
        <v>206</v>
      </c>
      <c r="D59" s="21" t="s">
        <v>881</v>
      </c>
      <c r="E59" s="13">
        <v>42874.391365740739</v>
      </c>
      <c r="F59" s="13">
        <v>42874.396006944444</v>
      </c>
      <c r="G59" s="7">
        <v>1</v>
      </c>
      <c r="H59" s="21" t="s">
        <v>880</v>
      </c>
      <c r="I59" s="13">
        <v>42874.420613425929</v>
      </c>
      <c r="J59" s="7">
        <v>0</v>
      </c>
      <c r="K59" s="92" t="str">
        <f t="shared" si="0"/>
        <v>4017/4018</v>
      </c>
      <c r="L59" s="21" t="str">
        <f>VLOOKUP(A59,'Trips&amp;Operators'!$C$1:$G$99999,5,FALSE)</f>
        <v>ROBINSON KADDIBA</v>
      </c>
      <c r="M59" s="6">
        <f t="shared" si="1"/>
        <v>2.4606481485534459E-2</v>
      </c>
      <c r="N59" s="7">
        <f t="shared" si="30"/>
        <v>35.433333339169621</v>
      </c>
      <c r="O59" s="7"/>
      <c r="P59" s="7"/>
      <c r="Q59" s="22"/>
      <c r="R59" s="190"/>
      <c r="S59" s="196">
        <f t="shared" si="31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-19T08:23:34-0600',mode:absolute,to:'2017-05-19T11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9" s="192" t="str">
        <f t="shared" si="6"/>
        <v>N</v>
      </c>
      <c r="X59" s="192">
        <f t="shared" si="29"/>
        <v>1</v>
      </c>
      <c r="Y59" s="192">
        <f t="shared" si="32"/>
        <v>4.6699999999999998E-2</v>
      </c>
      <c r="Z59" s="192">
        <f t="shared" si="33"/>
        <v>23.330500000000001</v>
      </c>
      <c r="AA59" s="192">
        <f t="shared" si="10"/>
        <v>23.283799999999999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0147-19</v>
      </c>
      <c r="AE59" s="80" t="str">
        <f t="shared" si="12"/>
        <v>aws s3 cp s3://rtdc.mdm.uploadarchive.raw/RTDC4018/ "%USERPROFILE%\AppData\Local\Temp\OnboardLogs"\RTDC4018\2017-05-19 --exclude "*" --recursive --include "*20170519*" &amp; "%USERPROFILE%\Documents\GitHub\mrs-test-scripts\Headless Mode &amp; Sideloading\WalkAndUnGZ.bat" "%USERPROFILE%\AppData\Local\Temp\OnboardLogs"\RTDC4018\2017-05-19 &amp; 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</v>
      </c>
      <c r="AF59" s="77" t="str">
        <f t="shared" si="13"/>
        <v>"C:\Program Files (x86)\AstroGrep\AstroGrep.exe" /e /r /s /spath="%USERPROFILE%\AppData\Local\Temp\OnboardLogs" /stypes="app*4018*20170519*"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147-19 --locoid 4018 --swversion DE.1.0.9.0 --startMP 204:467 --initTime 2017-05-19T09:23:34 --startdatetime 2017-05-19T09:30:15 --delay 1 --endMP 204:233305 --enddatetime 2017-05-19T10:05:41 --enforcementcount 0 &gt;&gt;C:\Users\stu\Documents\GitHub\eaglep3-reporting\EC\2017-05-19-refined-times.txt</v>
      </c>
      <c r="AI59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{"issue":{"subject":"","project_id":79,"tracker_id":40,"status_id":1,"priority_id":2,"assigned_to_id":23,"start_date":"2017-05-19","description":"","custom_fields":[{"id":1,"name":"Subdivision","value":"EC"},{"id":4,"name":"Milepost","value":"23.3305"},{"id":17,"name":"Train ID","value":"147-19"},{"id":16,"name":"Locomotive ID","value":"4018"},{"id":130,"name":"Impact","value":""},{"id":150,"name":"Time of Event (Mountain Time)","value":"10:05:41"},{"id":151,"name":"Denver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4018 --day 2017-05-19</v>
      </c>
      <c r="AN59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16:05:41"},{"id":29,"name":"Sharepoint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723</v>
      </c>
      <c r="B60" s="7">
        <v>4017</v>
      </c>
      <c r="C60" s="21" t="s">
        <v>206</v>
      </c>
      <c r="D60" s="21" t="s">
        <v>480</v>
      </c>
      <c r="E60" s="13">
        <v>42874.421770833331</v>
      </c>
      <c r="F60" s="13">
        <v>42874.434884259259</v>
      </c>
      <c r="G60" s="7">
        <v>1</v>
      </c>
      <c r="H60" s="21" t="s">
        <v>367</v>
      </c>
      <c r="I60" s="13">
        <v>42874.46197916667</v>
      </c>
      <c r="J60" s="7">
        <v>0</v>
      </c>
      <c r="K60" s="92" t="str">
        <f t="shared" si="0"/>
        <v>4017/4018</v>
      </c>
      <c r="L60" s="21" t="str">
        <f>VLOOKUP(A60,'Trips&amp;Operators'!$C$1:$G$99999,5,FALSE)</f>
        <v>ROBINSON KADDIBA</v>
      </c>
      <c r="M60" s="6">
        <f t="shared" si="1"/>
        <v>2.7094907411083113E-2</v>
      </c>
      <c r="N60" s="7">
        <f t="shared" si="30"/>
        <v>39.016666671959683</v>
      </c>
      <c r="O60" s="7"/>
      <c r="P60" s="7"/>
      <c r="Q60" s="22"/>
      <c r="R60" s="190"/>
      <c r="S60" s="196">
        <f t="shared" si="31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-19T09:07:21-0600',mode:absolute,to:'2017-05-19T12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0" s="192" t="str">
        <f t="shared" si="6"/>
        <v>N</v>
      </c>
      <c r="X60" s="192">
        <f t="shared" si="29"/>
        <v>1</v>
      </c>
      <c r="Y60" s="192">
        <f t="shared" si="32"/>
        <v>23.3</v>
      </c>
      <c r="Z60" s="192">
        <f t="shared" si="33"/>
        <v>1.41E-2</v>
      </c>
      <c r="AA60" s="192">
        <f t="shared" si="10"/>
        <v>23.285900000000002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0148-19</v>
      </c>
      <c r="AE60" s="80" t="str">
        <f t="shared" si="12"/>
        <v>aws s3 cp s3://rtdc.mdm.uploadarchive.raw/RTDC4017/ "%USERPROFILE%\AppData\Local\Temp\OnboardLogs"\RTDC4017\2017-05-19 --exclude "*" --recursive --include "*20170519*" &amp; "%USERPROFILE%\Documents\GitHub\mrs-test-scripts\Headless Mode &amp; Sideloading\WalkAndUnGZ.bat" "%USERPROFILE%\AppData\Local\Temp\OnboardLogs"\RTDC4017\2017-05-19 &amp; 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</v>
      </c>
      <c r="AF60" s="77" t="str">
        <f t="shared" si="13"/>
        <v>"C:\Program Files (x86)\AstroGrep\AstroGrep.exe" /e /r /s /spath="%USERPROFILE%\AppData\Local\Temp\OnboardLogs" /stypes="app*4017*20170519*"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148-19 --locoid 4017 --swversion DE.1.0.9.0 --startMP 204:233000 --initTime 2017-05-19T10:07:21 --startdatetime 2017-05-19T10:26:14 --delay 1 --endMP 204:141 --enddatetime 2017-05-19T11:05:15 --enforcementcount 0 &gt;&gt;C:\Users\stu\Documents\GitHub\eaglep3-reporting\EC\2017-05-19-refined-times.txt</v>
      </c>
      <c r="AI60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{"issue":{"subject":"","project_id":79,"tracker_id":40,"status_id":1,"priority_id":2,"assigned_to_id":23,"start_date":"2017-05-19","description":"","custom_fields":[{"id":1,"name":"Subdivision","value":"EC"},{"id":4,"name":"Milepost","value":"0.0141"},{"id":17,"name":"Train ID","value":"148-19"},{"id":16,"name":"Locomotive ID","value":"4017"},{"id":130,"name":"Impact","value":""},{"id":150,"name":"Time of Event (Mountain Time)","value":"11:05:15"},{"id":151,"name":"Denver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4017 --day 2017-05-19</v>
      </c>
      <c r="AN60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17:05:15"},{"id":29,"name":"Sharepoint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718</v>
      </c>
      <c r="B61" s="7">
        <v>4016</v>
      </c>
      <c r="C61" s="21" t="s">
        <v>206</v>
      </c>
      <c r="D61" s="21" t="s">
        <v>898</v>
      </c>
      <c r="E61" s="13">
        <v>42874.39912037037</v>
      </c>
      <c r="F61" s="13">
        <v>42874.406423611108</v>
      </c>
      <c r="G61" s="7">
        <v>5</v>
      </c>
      <c r="H61" s="21" t="s">
        <v>512</v>
      </c>
      <c r="I61" s="13">
        <v>42874.432280092595</v>
      </c>
      <c r="J61" s="7">
        <v>0</v>
      </c>
      <c r="K61" s="92" t="str">
        <f t="shared" si="0"/>
        <v>4015/4016</v>
      </c>
      <c r="L61" s="21" t="str">
        <f>VLOOKUP(A61,'Trips&amp;Operators'!$C$1:$G$99999,5,FALSE)</f>
        <v>GEBRETEKLE DAGNEW</v>
      </c>
      <c r="M61" s="6">
        <f t="shared" si="1"/>
        <v>2.5856481486698613E-2</v>
      </c>
      <c r="N61" s="7">
        <f t="shared" si="30"/>
        <v>37.233333340846002</v>
      </c>
      <c r="O61" s="7"/>
      <c r="P61" s="7"/>
      <c r="Q61" s="22"/>
      <c r="R61" s="190"/>
      <c r="S61" s="196">
        <f t="shared" si="31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-19T08:34:44-0600',mode:absolute,to:'2017-05-19T11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1" s="192" t="str">
        <f t="shared" si="6"/>
        <v>N</v>
      </c>
      <c r="X61" s="192">
        <f t="shared" si="29"/>
        <v>1</v>
      </c>
      <c r="Y61" s="192">
        <f t="shared" si="32"/>
        <v>4.3499999999999997E-2</v>
      </c>
      <c r="Z61" s="192">
        <f t="shared" si="33"/>
        <v>23.3306</v>
      </c>
      <c r="AA61" s="192">
        <f t="shared" si="10"/>
        <v>23.287099999999999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0149-19</v>
      </c>
      <c r="AE61" s="80" t="str">
        <f t="shared" si="12"/>
        <v>aws s3 cp s3://rtdc.mdm.uploadarchive.raw/RTDC4016/ "%USERPROFILE%\AppData\Local\Temp\OnboardLogs"\RTDC4016\2017-05-19 --exclude "*" --recursive --include "*20170519*" &amp; "%USERPROFILE%\Documents\GitHub\mrs-test-scripts\Headless Mode &amp; Sideloading\WalkAndUnGZ.bat" "%USERPROFILE%\AppData\Local\Temp\OnboardLogs"\RTDC4016\2017-05-19 &amp; aws s3 cp s3://rtdc.mdm.uploadarchive.raw/RTDC4016/ "%USERPROFILE%\AppData\Local\Temp\OnboardLogs"\RTDC4016\2017-05-20 --exclude "*" --recursive --include "*20170520*" &amp; "%USERPROFILE%\Documents\GitHub\mrs-test-scripts\Headless Mode &amp; Sideloading\WalkAndUnGZ.bat" "%USERPROFILE%\AppData\Local\Temp\OnboardLogs"\RTDC4016\2017-05-20</v>
      </c>
      <c r="AF61" s="77" t="str">
        <f t="shared" si="13"/>
        <v>"C:\Program Files (x86)\AstroGrep\AstroGrep.exe" /e /r /s /spath="%USERPROFILE%\AppData\Local\Temp\OnboardLogs" /stypes="app*4016*20170519*"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149-19 --locoid 4016 --swversion DE.1.0.9.0 --startMP 204:435 --initTime 2017-05-19T09:34:44 --startdatetime 2017-05-19T09:45:15 --delay 5 --endMP 204:233306 --enddatetime 2017-05-19T10:22:29 --enforcementcount 0 &gt;&gt;C:\Users\stu\Documents\GitHub\eaglep3-reporting\EC\2017-05-19-refined-times.txt</v>
      </c>
      <c r="AI61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{"issue":{"subject":"","project_id":79,"tracker_id":40,"status_id":1,"priority_id":2,"assigned_to_id":23,"start_date":"2017-05-19","description":"","custom_fields":[{"id":1,"name":"Subdivision","value":"EC"},{"id":4,"name":"Milepost","value":"23.3306"},{"id":17,"name":"Train ID","value":"149-19"},{"id":16,"name":"Locomotive ID","value":"4016"},{"id":130,"name":"Impact","value":""},{"id":150,"name":"Time of Event (Mountain Time)","value":"10:22:29"},{"id":151,"name":"Denver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4016 --day 2017-05-19</v>
      </c>
      <c r="AN61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16:22:29"},{"id":29,"name":"Sharepoint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727</v>
      </c>
      <c r="B62" s="7">
        <v>4015</v>
      </c>
      <c r="C62" s="21" t="s">
        <v>206</v>
      </c>
      <c r="D62" s="21" t="s">
        <v>894</v>
      </c>
      <c r="E62" s="13">
        <v>42874.443124999998</v>
      </c>
      <c r="F62" s="13">
        <v>42874.445844907408</v>
      </c>
      <c r="G62" s="7">
        <v>2</v>
      </c>
      <c r="H62" s="21" t="s">
        <v>352</v>
      </c>
      <c r="I62" s="13">
        <v>42874.472685185188</v>
      </c>
      <c r="J62" s="7">
        <v>0</v>
      </c>
      <c r="K62" s="92" t="str">
        <f t="shared" si="0"/>
        <v>4015/4016</v>
      </c>
      <c r="L62" s="21" t="str">
        <f>VLOOKUP(A62,'Trips&amp;Operators'!$C$1:$G$99999,5,FALSE)</f>
        <v>STARKS ANGELINA</v>
      </c>
      <c r="M62" s="6">
        <f t="shared" si="1"/>
        <v>2.6840277780138422E-2</v>
      </c>
      <c r="N62" s="7">
        <f t="shared" si="30"/>
        <v>38.650000003399327</v>
      </c>
      <c r="O62" s="7"/>
      <c r="P62" s="7"/>
      <c r="Q62" s="22"/>
      <c r="R62" s="190"/>
      <c r="S62" s="196">
        <f t="shared" si="31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-19T09:38:06-0600',mode:absolute,to:'2017-05-19T12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2" s="192" t="str">
        <f t="shared" si="6"/>
        <v>N</v>
      </c>
      <c r="X62" s="192">
        <f t="shared" si="29"/>
        <v>1</v>
      </c>
      <c r="Y62" s="192">
        <f t="shared" si="32"/>
        <v>23.299099999999999</v>
      </c>
      <c r="Z62" s="192">
        <f t="shared" si="33"/>
        <v>1.4500000000000001E-2</v>
      </c>
      <c r="AA62" s="192">
        <f t="shared" si="10"/>
        <v>23.284599999999998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0150-19</v>
      </c>
      <c r="AE62" s="80" t="str">
        <f t="shared" si="12"/>
        <v>aws s3 cp s3://rtdc.mdm.uploadarchive.raw/RTDC4015/ "%USERPROFILE%\AppData\Local\Temp\OnboardLogs"\RTDC4015\2017-05-19 --exclude "*" --recursive --include "*20170519*" &amp; "%USERPROFILE%\Documents\GitHub\mrs-test-scripts\Headless Mode &amp; Sideloading\WalkAndUnGZ.bat" "%USERPROFILE%\AppData\Local\Temp\OnboardLogs"\RTDC4015\2017-05-19 &amp; aws s3 cp s3://rtdc.mdm.uploadarchive.raw/RTDC4015/ "%USERPROFILE%\AppData\Local\Temp\OnboardLogs"\RTDC4015\2017-05-20 --exclude "*" --recursive --include "*20170520*" &amp; "%USERPROFILE%\Documents\GitHub\mrs-test-scripts\Headless Mode &amp; Sideloading\WalkAndUnGZ.bat" "%USERPROFILE%\AppData\Local\Temp\OnboardLogs"\RTDC4015\2017-05-20</v>
      </c>
      <c r="AF62" s="77" t="str">
        <f t="shared" si="13"/>
        <v>"C:\Program Files (x86)\AstroGrep\AstroGrep.exe" /e /r /s /spath="%USERPROFILE%\AppData\Local\Temp\OnboardLogs" /stypes="app*4015*20170519*"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150-19 --locoid 4015 --swversion DE.1.0.9.0 --startMP 204:232991 --initTime 2017-05-19T10:38:06 --startdatetime 2017-05-19T10:42:01 --delay 2 --endMP 204:145 --enddatetime 2017-05-19T11:20:40 --enforcementcount 0 &gt;&gt;C:\Users\stu\Documents\GitHub\eaglep3-reporting\EC\2017-05-19-refined-times.txt</v>
      </c>
      <c r="AI62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{"issue":{"subject":"","project_id":79,"tracker_id":40,"status_id":1,"priority_id":2,"assigned_to_id":23,"start_date":"2017-05-19","description":"","custom_fields":[{"id":1,"name":"Subdivision","value":"EC"},{"id":4,"name":"Milepost","value":"0.0145"},{"id":17,"name":"Train ID","value":"150-19"},{"id":16,"name":"Locomotive ID","value":"4015"},{"id":130,"name":"Impact","value":""},{"id":150,"name":"Time of Event (Mountain Time)","value":"11:20:40"},{"id":151,"name":"Denver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4015 --day 2017-05-19</v>
      </c>
      <c r="AN62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17:20:40"},{"id":29,"name":"Sharepoint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721</v>
      </c>
      <c r="B63" s="7">
        <v>4006</v>
      </c>
      <c r="C63" s="21" t="s">
        <v>206</v>
      </c>
      <c r="D63" s="21" t="s">
        <v>203</v>
      </c>
      <c r="E63" s="13">
        <v>42874.4140625</v>
      </c>
      <c r="F63" s="13">
        <v>42874.417199074072</v>
      </c>
      <c r="G63" s="7">
        <v>1</v>
      </c>
      <c r="H63" s="21" t="s">
        <v>899</v>
      </c>
      <c r="I63" s="13">
        <v>42874.441388888888</v>
      </c>
      <c r="J63" s="7">
        <v>0</v>
      </c>
      <c r="K63" s="92" t="str">
        <f t="shared" si="0"/>
        <v>4005/4006</v>
      </c>
      <c r="L63" s="21" t="str">
        <f>VLOOKUP(A63,'Trips&amp;Operators'!$C$1:$G$99999,5,FALSE)</f>
        <v>LOZA FIDEL</v>
      </c>
      <c r="M63" s="6">
        <f t="shared" si="1"/>
        <v>2.4189814816054422E-2</v>
      </c>
      <c r="N63" s="7">
        <f t="shared" si="30"/>
        <v>34.833333335118368</v>
      </c>
      <c r="O63" s="7"/>
      <c r="P63" s="7"/>
      <c r="Q63" s="22"/>
      <c r="R63" s="190"/>
      <c r="S63" s="196">
        <f t="shared" si="31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-19T08:56:15-0600',mode:absolute,to:'2017-05-19T11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3" s="192" t="str">
        <f t="shared" si="6"/>
        <v>N</v>
      </c>
      <c r="X63" s="192">
        <f t="shared" ref="X63:X94" si="34">VALUE(LEFT(AD63,4))-VALUE(LEFT(AD62,4))</f>
        <v>1</v>
      </c>
      <c r="Y63" s="192">
        <f t="shared" si="32"/>
        <v>4.5999999999999999E-2</v>
      </c>
      <c r="Z63" s="192">
        <f t="shared" si="33"/>
        <v>23.341799999999999</v>
      </c>
      <c r="AA63" s="192">
        <f t="shared" si="10"/>
        <v>23.2958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0151-19</v>
      </c>
      <c r="AE63" s="80" t="str">
        <f t="shared" si="12"/>
        <v>aws s3 cp s3://rtdc.mdm.uploadarchive.raw/RTDC4006/ "%USERPROFILE%\AppData\Local\Temp\OnboardLogs"\RTDC4006\2017-05-19 --exclude "*" --recursive --include "*20170519*" &amp; "%USERPROFILE%\Documents\GitHub\mrs-test-scripts\Headless Mode &amp; Sideloading\WalkAndUnGZ.bat" "%USERPROFILE%\AppData\Local\Temp\OnboardLogs"\RTDC4006\2017-05-19 &amp; 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</v>
      </c>
      <c r="AF63" s="77" t="str">
        <f t="shared" si="13"/>
        <v>"C:\Program Files (x86)\AstroGrep\AstroGrep.exe" /e /r /s /spath="%USERPROFILE%\AppData\Local\Temp\OnboardLogs" /stypes="app*4006*20170519*"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151-19 --locoid 4006 --swversion DE.1.0.9.0 --startMP 204:460 --initTime 2017-05-19T09:56:15 --startdatetime 2017-05-19T10:00:46 --delay 1 --endMP 204:233418 --enddatetime 2017-05-19T10:35:36 --enforcementcount 0 &gt;&gt;C:\Users\stu\Documents\GitHub\eaglep3-reporting\EC\2017-05-19-refined-times.txt</v>
      </c>
      <c r="AI63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{"issue":{"subject":"","project_id":79,"tracker_id":40,"status_id":1,"priority_id":2,"assigned_to_id":23,"start_date":"2017-05-19","description":"","custom_fields":[{"id":1,"name":"Subdivision","value":"EC"},{"id":4,"name":"Milepost","value":"23.3418"},{"id":17,"name":"Train ID","value":"151-19"},{"id":16,"name":"Locomotive ID","value":"4006"},{"id":130,"name":"Impact","value":""},{"id":150,"name":"Time of Event (Mountain Time)","value":"10:35:36"},{"id":151,"name":"Denver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4006 --day 2017-05-19</v>
      </c>
      <c r="AN63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16:35:36"},{"id":29,"name":"Sharepoint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729</v>
      </c>
      <c r="B64" s="7">
        <v>4005</v>
      </c>
      <c r="C64" s="21" t="s">
        <v>206</v>
      </c>
      <c r="D64" s="21" t="s">
        <v>900</v>
      </c>
      <c r="E64" s="13">
        <v>42874.448958333334</v>
      </c>
      <c r="F64" s="13">
        <v>42874.456099537034</v>
      </c>
      <c r="G64" s="7">
        <v>1</v>
      </c>
      <c r="H64" s="21" t="s">
        <v>355</v>
      </c>
      <c r="I64" s="13">
        <v>42874.482025462959</v>
      </c>
      <c r="J64" s="7">
        <v>0</v>
      </c>
      <c r="K64" s="92" t="str">
        <f t="shared" si="0"/>
        <v>4005/4006</v>
      </c>
      <c r="L64" s="21" t="str">
        <f>VLOOKUP(A64,'Trips&amp;Operators'!$C$1:$G$99999,5,FALSE)</f>
        <v>LOZA FIDEL</v>
      </c>
      <c r="M64" s="6">
        <f t="shared" si="1"/>
        <v>2.5925925925548654E-2</v>
      </c>
      <c r="N64" s="7">
        <f t="shared" si="30"/>
        <v>37.333333332790062</v>
      </c>
      <c r="O64" s="7"/>
      <c r="P64" s="7"/>
      <c r="Q64" s="22"/>
      <c r="R64" s="190"/>
      <c r="S64" s="196">
        <f t="shared" si="31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-19T09:46:30-0600',mode:absolute,to:'2017-05-19T12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4" s="192" t="str">
        <f t="shared" si="6"/>
        <v>N</v>
      </c>
      <c r="X64" s="192">
        <f t="shared" si="34"/>
        <v>1</v>
      </c>
      <c r="Y64" s="192">
        <f t="shared" si="32"/>
        <v>23.3078</v>
      </c>
      <c r="Z64" s="192">
        <f t="shared" si="33"/>
        <v>1.4999999999999999E-2</v>
      </c>
      <c r="AA64" s="192">
        <f t="shared" si="10"/>
        <v>23.2928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0152-19</v>
      </c>
      <c r="AE64" s="80" t="str">
        <f t="shared" si="12"/>
        <v>aws s3 cp s3://rtdc.mdm.uploadarchive.raw/RTDC4005/ "%USERPROFILE%\AppData\Local\Temp\OnboardLogs"\RTDC4005\2017-05-19 --exclude "*" --recursive --include "*20170519*" &amp; "%USERPROFILE%\Documents\GitHub\mrs-test-scripts\Headless Mode &amp; Sideloading\WalkAndUnGZ.bat" "%USERPROFILE%\AppData\Local\Temp\OnboardLogs"\RTDC4005\2017-05-19 &amp; 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</v>
      </c>
      <c r="AF64" s="77" t="str">
        <f t="shared" si="13"/>
        <v>"C:\Program Files (x86)\AstroGrep\AstroGrep.exe" /e /r /s /spath="%USERPROFILE%\AppData\Local\Temp\OnboardLogs" /stypes="app*4005*20170519*"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152-19 --locoid 4005 --swversion DE.1.0.9.0 --startMP 204:233078 --initTime 2017-05-19T10:46:30 --startdatetime 2017-05-19T10:56:47 --delay 1 --endMP 204:150 --enddatetime 2017-05-19T11:34:07 --enforcementcount 0 &gt;&gt;C:\Users\stu\Documents\GitHub\eaglep3-reporting\EC\2017-05-19-refined-times.txt</v>
      </c>
      <c r="AI64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{"issue":{"subject":"","project_id":79,"tracker_id":40,"status_id":1,"priority_id":2,"assigned_to_id":23,"start_date":"2017-05-19","description":"","custom_fields":[{"id":1,"name":"Subdivision","value":"EC"},{"id":4,"name":"Milepost","value":"0.015"},{"id":17,"name":"Train ID","value":"152-19"},{"id":16,"name":"Locomotive ID","value":"4005"},{"id":130,"name":"Impact","value":""},{"id":150,"name":"Time of Event (Mountain Time)","value":"11:34:07"},{"id":151,"name":"Denver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4005 --day 2017-05-19</v>
      </c>
      <c r="AN64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17:34:07"},{"id":29,"name":"Sharepoint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724</v>
      </c>
      <c r="B65" s="7">
        <v>4032</v>
      </c>
      <c r="C65" s="21" t="s">
        <v>206</v>
      </c>
      <c r="D65" s="21" t="s">
        <v>404</v>
      </c>
      <c r="E65" s="13">
        <v>42874.424074074072</v>
      </c>
      <c r="F65" s="13">
        <v>42874.42728009259</v>
      </c>
      <c r="G65" s="7">
        <v>1</v>
      </c>
      <c r="H65" s="21" t="s">
        <v>561</v>
      </c>
      <c r="I65" s="13">
        <v>42874.452696759261</v>
      </c>
      <c r="J65" s="7">
        <v>0</v>
      </c>
      <c r="K65" s="92" t="str">
        <f t="shared" si="0"/>
        <v>4031/4032</v>
      </c>
      <c r="L65" s="21" t="str">
        <f>VLOOKUP(A65,'Trips&amp;Operators'!$C$1:$G$99999,5,FALSE)</f>
        <v>BONDS REYNALDO</v>
      </c>
      <c r="M65" s="6">
        <f t="shared" si="1"/>
        <v>2.5416666670935228E-2</v>
      </c>
      <c r="N65" s="7">
        <f t="shared" si="30"/>
        <v>36.600000006146729</v>
      </c>
      <c r="O65" s="7"/>
      <c r="P65" s="7"/>
      <c r="Q65" s="22"/>
      <c r="R65" s="190"/>
      <c r="S65" s="196">
        <f t="shared" si="31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-19T09:10:40-0600',mode:absolute,to:'2017-05-19T11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5" s="192" t="str">
        <f t="shared" si="6"/>
        <v>N</v>
      </c>
      <c r="X65" s="192">
        <f t="shared" si="34"/>
        <v>1</v>
      </c>
      <c r="Y65" s="192">
        <f t="shared" si="32"/>
        <v>4.6199999999999998E-2</v>
      </c>
      <c r="Z65" s="192">
        <f t="shared" si="33"/>
        <v>23.334599999999998</v>
      </c>
      <c r="AA65" s="192">
        <f t="shared" si="10"/>
        <v>23.288399999999999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0153-19</v>
      </c>
      <c r="AE65" s="80" t="str">
        <f t="shared" si="12"/>
        <v>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 &amp; 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</v>
      </c>
      <c r="AF65" s="77" t="str">
        <f t="shared" si="13"/>
        <v>"C:\Program Files (x86)\AstroGrep\AstroGrep.exe" /e /r /s /spath="%USERPROFILE%\AppData\Local\Temp\OnboardLogs" /stypes="app*4032*20170519*"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153-19 --locoid 4032 --swversion DE.1.0.9.0 --startMP 204:462 --initTime 2017-05-19T10:10:40 --startdatetime 2017-05-19T10:15:17 --delay 1 --endMP 204:233346 --enddatetime 2017-05-19T10:51:53 --enforcementcount 0 &gt;&gt;C:\Users\stu\Documents\GitHub\eaglep3-reporting\EC\2017-05-19-refined-times.txt</v>
      </c>
      <c r="AI65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{"issue":{"subject":"","project_id":79,"tracker_id":40,"status_id":1,"priority_id":2,"assigned_to_id":23,"start_date":"2017-05-19","description":"","custom_fields":[{"id":1,"name":"Subdivision","value":"EC"},{"id":4,"name":"Milepost","value":"23.3346"},{"id":17,"name":"Train ID","value":"153-19"},{"id":16,"name":"Locomotive ID","value":"4032"},{"id":130,"name":"Impact","value":""},{"id":150,"name":"Time of Event (Mountain Time)","value":"10:51:53"},{"id":151,"name":"Denver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4032 --day 2017-05-19</v>
      </c>
      <c r="AN65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16:51:53"},{"id":29,"name":"Sharepoint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731</v>
      </c>
      <c r="B66" s="7">
        <v>4031</v>
      </c>
      <c r="C66" s="21" t="s">
        <v>206</v>
      </c>
      <c r="D66" s="21" t="s">
        <v>440</v>
      </c>
      <c r="E66" s="13">
        <v>42874.460868055554</v>
      </c>
      <c r="F66" s="13">
        <v>42874.466145833336</v>
      </c>
      <c r="G66" s="7">
        <v>1</v>
      </c>
      <c r="H66" s="21" t="s">
        <v>368</v>
      </c>
      <c r="I66" s="13">
        <v>42874.493495370371</v>
      </c>
      <c r="J66" s="7">
        <v>0</v>
      </c>
      <c r="K66" s="92" t="str">
        <f t="shared" si="0"/>
        <v>4031/4032</v>
      </c>
      <c r="L66" s="21" t="str">
        <f>VLOOKUP(A66,'Trips&amp;Operators'!$C$1:$G$99999,5,FALSE)</f>
        <v>BONDS REYNALDO</v>
      </c>
      <c r="M66" s="6">
        <f t="shared" si="1"/>
        <v>2.7349537034751847E-2</v>
      </c>
      <c r="N66" s="7">
        <f t="shared" si="30"/>
        <v>39.38333333004266</v>
      </c>
      <c r="O66" s="7"/>
      <c r="P66" s="7"/>
      <c r="Q66" s="22"/>
      <c r="R66" s="190"/>
      <c r="S66" s="196">
        <f t="shared" si="31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-19T10:03:39-0600',mode:absolute,to:'2017-05-19T12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6" s="192" t="str">
        <f t="shared" si="6"/>
        <v>N</v>
      </c>
      <c r="X66" s="192">
        <f t="shared" si="34"/>
        <v>1</v>
      </c>
      <c r="Y66" s="192">
        <f t="shared" si="32"/>
        <v>23.299299999999999</v>
      </c>
      <c r="Z66" s="192">
        <f t="shared" si="33"/>
        <v>1.47E-2</v>
      </c>
      <c r="AA66" s="192">
        <f t="shared" si="10"/>
        <v>23.284599999999998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0154-19</v>
      </c>
      <c r="AE66" s="80" t="str">
        <f t="shared" si="12"/>
        <v>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 &amp; aws s3 cp s3://rtdc.mdm.uploadarchive.raw/RTDC4031/ "%USERPROFILE%\AppData\Local\Temp\OnboardLogs"\RTDC4031\2017-05-20 --exclude "*" --recursive --include "*20170520*" &amp; "%USERPROFILE%\Documents\GitHub\mrs-test-scripts\Headless Mode &amp; Sideloading\WalkAndUnGZ.bat" "%USERPROFILE%\AppData\Local\Temp\OnboardLogs"\RTDC4031\2017-05-20</v>
      </c>
      <c r="AF66" s="77" t="str">
        <f t="shared" si="13"/>
        <v>"C:\Program Files (x86)\AstroGrep\AstroGrep.exe" /e /r /s /spath="%USERPROFILE%\AppData\Local\Temp\OnboardLogs" /stypes="app*4031*20170519*"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154-19 --locoid 4031 --swversion DE.1.0.9.0 --startMP 204:232993 --initTime 2017-05-19T11:03:39 --startdatetime 2017-05-19T11:11:15 --delay 1 --endMP 204:147 --enddatetime 2017-05-19T11:50:38 --enforcementcount 0 &gt;&gt;C:\Users\stu\Documents\GitHub\eaglep3-reporting\EC\2017-05-19-refined-times.txt</v>
      </c>
      <c r="AI66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{"issue":{"subject":"","project_id":79,"tracker_id":40,"status_id":1,"priority_id":2,"assigned_to_id":23,"start_date":"2017-05-19","description":"","custom_fields":[{"id":1,"name":"Subdivision","value":"EC"},{"id":4,"name":"Milepost","value":"0.0147"},{"id":17,"name":"Train ID","value":"154-19"},{"id":16,"name":"Locomotive ID","value":"4031"},{"id":130,"name":"Impact","value":""},{"id":150,"name":"Time of Event (Mountain Time)","value":"11:50:38"},{"id":151,"name":"Denver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4031 --day 2017-05-19</v>
      </c>
      <c r="AN66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17:50:38"},{"id":29,"name":"Sharepoint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725</v>
      </c>
      <c r="B67" s="7">
        <v>4024</v>
      </c>
      <c r="C67" s="21" t="s">
        <v>206</v>
      </c>
      <c r="D67" s="21" t="s">
        <v>563</v>
      </c>
      <c r="E67" s="13">
        <v>42874.434270833335</v>
      </c>
      <c r="F67" s="13">
        <v>42874.438287037039</v>
      </c>
      <c r="G67" s="7">
        <v>2</v>
      </c>
      <c r="H67" s="21" t="s">
        <v>483</v>
      </c>
      <c r="I67" s="13">
        <v>42874.462245370371</v>
      </c>
      <c r="J67" s="7">
        <v>0</v>
      </c>
      <c r="K67" s="92" t="str">
        <f t="shared" si="0"/>
        <v>4023/4024</v>
      </c>
      <c r="L67" s="21" t="str">
        <f>VLOOKUP(A67,'Trips&amp;Operators'!$C$1:$G$99999,5,FALSE)</f>
        <v>GEBRETEKLE DAGNEW</v>
      </c>
      <c r="M67" s="6">
        <f t="shared" si="1"/>
        <v>2.3958333331393078E-2</v>
      </c>
      <c r="N67" s="7">
        <f t="shared" si="30"/>
        <v>34.499999997206032</v>
      </c>
      <c r="O67" s="7"/>
      <c r="P67" s="7"/>
      <c r="Q67" s="22"/>
      <c r="R67" s="190"/>
      <c r="S67" s="196">
        <f t="shared" si="31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-19T09:25:21-0600',mode:absolute,to:'2017-05-19T12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7" s="192" t="str">
        <f t="shared" si="6"/>
        <v>N</v>
      </c>
      <c r="X67" s="192">
        <f t="shared" si="34"/>
        <v>1</v>
      </c>
      <c r="Y67" s="192">
        <f t="shared" si="32"/>
        <v>4.3999999999999997E-2</v>
      </c>
      <c r="Z67" s="192">
        <f t="shared" si="33"/>
        <v>23.330100000000002</v>
      </c>
      <c r="AA67" s="192">
        <f t="shared" si="10"/>
        <v>23.286100000000001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0155-19</v>
      </c>
      <c r="AE67" s="80" t="str">
        <f t="shared" si="12"/>
        <v>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 &amp; aws s3 cp s3://rtdc.mdm.uploadarchive.raw/RTDC4024/ "%USERPROFILE%\AppData\Local\Temp\OnboardLogs"\RTDC4024\2017-05-20 --exclude "*" --recursive --include "*20170520*" &amp; "%USERPROFILE%\Documents\GitHub\mrs-test-scripts\Headless Mode &amp; Sideloading\WalkAndUnGZ.bat" "%USERPROFILE%\AppData\Local\Temp\OnboardLogs"\RTDC4024\2017-05-20</v>
      </c>
      <c r="AF67" s="77" t="str">
        <f t="shared" si="13"/>
        <v>"C:\Program Files (x86)\AstroGrep\AstroGrep.exe" /e /r /s /spath="%USERPROFILE%\AppData\Local\Temp\OnboardLogs" /stypes="app*4024*20170519*"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155-19 --locoid 4024 --swversion DE.1.0.9.0 --startMP 204:440 --initTime 2017-05-19T10:25:21 --startdatetime 2017-05-19T10:31:08 --delay 2 --endMP 204:233301 --enddatetime 2017-05-19T11:05:38 --enforcementcount 0 &gt;&gt;C:\Users\stu\Documents\GitHub\eaglep3-reporting\EC\2017-05-19-refined-times.txt</v>
      </c>
      <c r="AI67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{"issue":{"subject":"","project_id":79,"tracker_id":40,"status_id":1,"priority_id":2,"assigned_to_id":23,"start_date":"2017-05-19","description":"","custom_fields":[{"id":1,"name":"Subdivision","value":"EC"},{"id":4,"name":"Milepost","value":"23.3301"},{"id":17,"name":"Train ID","value":"155-19"},{"id":16,"name":"Locomotive ID","value":"4024"},{"id":130,"name":"Impact","value":""},{"id":150,"name":"Time of Event (Mountain Time)","value":"11:05:38"},{"id":151,"name":"Denver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4024 --day 2017-05-19</v>
      </c>
      <c r="AN67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17:05:38"},{"id":29,"name":"Sharepoint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736</v>
      </c>
      <c r="B68" s="7">
        <v>4023</v>
      </c>
      <c r="C68" s="21" t="s">
        <v>206</v>
      </c>
      <c r="D68" s="21" t="s">
        <v>424</v>
      </c>
      <c r="E68" s="13">
        <v>42874.470347222225</v>
      </c>
      <c r="F68" s="13">
        <v>42874.4765625</v>
      </c>
      <c r="G68" s="7">
        <v>1</v>
      </c>
      <c r="H68" s="21" t="s">
        <v>355</v>
      </c>
      <c r="I68" s="13">
        <v>42874.502685185187</v>
      </c>
      <c r="J68" s="7">
        <v>0</v>
      </c>
      <c r="K68" s="92" t="str">
        <f t="shared" si="0"/>
        <v>4023/4024</v>
      </c>
      <c r="L68" s="21" t="str">
        <f>VLOOKUP(A68,'Trips&amp;Operators'!$C$1:$G$99999,5,FALSE)</f>
        <v>GEBRETEKLE DAGNEW</v>
      </c>
      <c r="M68" s="6">
        <f t="shared" si="1"/>
        <v>2.6122685187146999E-2</v>
      </c>
      <c r="N68" s="7">
        <f t="shared" si="30"/>
        <v>37.616666669491678</v>
      </c>
      <c r="O68" s="7"/>
      <c r="P68" s="7"/>
      <c r="Q68" s="22"/>
      <c r="R68" s="190"/>
      <c r="S68" s="196">
        <f t="shared" si="31"/>
        <v>1</v>
      </c>
      <c r="T68" s="190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-19T10:17:18-0600',mode:absolute,to:'2017-05-19T13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8" s="192" t="str">
        <f t="shared" si="6"/>
        <v>N</v>
      </c>
      <c r="X68" s="192">
        <f t="shared" si="34"/>
        <v>1</v>
      </c>
      <c r="Y68" s="192">
        <f t="shared" si="32"/>
        <v>23.298200000000001</v>
      </c>
      <c r="Z68" s="192">
        <f t="shared" si="33"/>
        <v>1.4999999999999999E-2</v>
      </c>
      <c r="AA68" s="192">
        <f t="shared" si="10"/>
        <v>23.283200000000001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0156-19</v>
      </c>
      <c r="AE68" s="80" t="str">
        <f t="shared" si="12"/>
        <v>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 &amp; aws s3 cp s3://rtdc.mdm.uploadarchive.raw/RTDC4023/ "%USERPROFILE%\AppData\Local\Temp\OnboardLogs"\RTDC4023\2017-05-20 --exclude "*" --recursive --include "*20170520*" &amp; "%USERPROFILE%\Documents\GitHub\mrs-test-scripts\Headless Mode &amp; Sideloading\WalkAndUnGZ.bat" "%USERPROFILE%\AppData\Local\Temp\OnboardLogs"\RTDC4023\2017-05-20</v>
      </c>
      <c r="AF68" s="77" t="str">
        <f t="shared" si="13"/>
        <v>"C:\Program Files (x86)\AstroGrep\AstroGrep.exe" /e /r /s /spath="%USERPROFILE%\AppData\Local\Temp\OnboardLogs" /stypes="app*4023*20170519*"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156-19 --locoid 4023 --swversion DE.1.0.9.0 --startMP 204:232982 --initTime 2017-05-19T11:17:18 --startdatetime 2017-05-19T11:26:15 --delay 1 --endMP 204:150 --enddatetime 2017-05-19T12:03:52 --enforcementcount 0 &gt;&gt;C:\Users\stu\Documents\GitHub\eaglep3-reporting\EC\2017-05-19-refined-times.txt</v>
      </c>
      <c r="AI68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{"issue":{"subject":"","project_id":79,"tracker_id":40,"status_id":1,"priority_id":2,"assigned_to_id":23,"start_date":"2017-05-19","description":"","custom_fields":[{"id":1,"name":"Subdivision","value":"EC"},{"id":4,"name":"Milepost","value":"0.015"},{"id":17,"name":"Train ID","value":"156-19"},{"id":16,"name":"Locomotive ID","value":"4023"},{"id":130,"name":"Impact","value":""},{"id":150,"name":"Time of Event (Mountain Time)","value":"12:03:52"},{"id":151,"name":"Denver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4023 --day 2017-05-19</v>
      </c>
      <c r="AN68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18:03:52"},{"id":29,"name":"Sharepoint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728</v>
      </c>
      <c r="B69" s="7">
        <v>4040</v>
      </c>
      <c r="C69" s="21" t="s">
        <v>206</v>
      </c>
      <c r="D69" s="21" t="s">
        <v>404</v>
      </c>
      <c r="E69" s="13">
        <v>42874.447314814817</v>
      </c>
      <c r="F69" s="13">
        <v>42874.448437500003</v>
      </c>
      <c r="G69" s="7">
        <v>1</v>
      </c>
      <c r="H69" s="21" t="s">
        <v>901</v>
      </c>
      <c r="I69" s="13">
        <v>42874.472997685189</v>
      </c>
      <c r="J69" s="7">
        <v>0</v>
      </c>
      <c r="K69" s="92" t="str">
        <f t="shared" si="0"/>
        <v>4039/4040</v>
      </c>
      <c r="L69" s="21" t="str">
        <f>VLOOKUP(A69,'Trips&amp;Operators'!$C$1:$G$99999,5,FALSE)</f>
        <v>ROCHA YAOTL</v>
      </c>
      <c r="M69" s="6">
        <f t="shared" si="1"/>
        <v>2.4560185185691807E-2</v>
      </c>
      <c r="N69" s="7">
        <f t="shared" si="30"/>
        <v>35.366666667396203</v>
      </c>
      <c r="O69" s="7"/>
      <c r="P69" s="7"/>
      <c r="Q69" s="22"/>
      <c r="R69" s="190"/>
      <c r="S69" s="196">
        <f t="shared" si="31"/>
        <v>1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-19T09:44:08-0600',mode:absolute,to:'2017-05-19T12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9" s="192" t="str">
        <f t="shared" si="6"/>
        <v>N</v>
      </c>
      <c r="X69" s="192">
        <f t="shared" si="34"/>
        <v>1</v>
      </c>
      <c r="Y69" s="192">
        <f t="shared" si="32"/>
        <v>4.6199999999999998E-2</v>
      </c>
      <c r="Z69" s="192">
        <f t="shared" si="33"/>
        <v>23.338899999999999</v>
      </c>
      <c r="AA69" s="192">
        <f t="shared" si="10"/>
        <v>23.2927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0157-19</v>
      </c>
      <c r="AE69" s="80" t="str">
        <f t="shared" si="12"/>
        <v>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 &amp; aws s3 cp s3://rtdc.mdm.uploadarchive.raw/RTDC4040/ "%USERPROFILE%\AppData\Local\Temp\OnboardLogs"\RTDC4040\2017-05-20 --exclude "*" --recursive --include "*20170520*" &amp; "%USERPROFILE%\Documents\GitHub\mrs-test-scripts\Headless Mode &amp; Sideloading\WalkAndUnGZ.bat" "%USERPROFILE%\AppData\Local\Temp\OnboardLogs"\RTDC4040\2017-05-20</v>
      </c>
      <c r="AF69" s="77" t="str">
        <f t="shared" si="13"/>
        <v>"C:\Program Files (x86)\AstroGrep\AstroGrep.exe" /e /r /s /spath="%USERPROFILE%\AppData\Local\Temp\OnboardLogs" /stypes="app*4040*20170519*"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157-19 --locoid 4040 --swversion DE.1.0.9.0 --startMP 204:462 --initTime 2017-05-19T10:44:08 --startdatetime 2017-05-19T10:45:45 --delay 1 --endMP 204:233389 --enddatetime 2017-05-19T11:21:07 --enforcementcount 0 &gt;&gt;C:\Users\stu\Documents\GitHub\eaglep3-reporting\EC\2017-05-19-refined-times.txt</v>
      </c>
      <c r="AI69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{"issue":{"subject":"","project_id":79,"tracker_id":40,"status_id":1,"priority_id":2,"assigned_to_id":23,"start_date":"2017-05-19","description":"","custom_fields":[{"id":1,"name":"Subdivision","value":"EC"},{"id":4,"name":"Milepost","value":"23.3389"},{"id":17,"name":"Train ID","value":"157-19"},{"id":16,"name":"Locomotive ID","value":"4040"},{"id":130,"name":"Impact","value":""},{"id":150,"name":"Time of Event (Mountain Time)","value":"11:21:07"},{"id":151,"name":"Denver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4040 --day 2017-05-19</v>
      </c>
      <c r="AN69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17:21:07"},{"id":29,"name":"Sharepoint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741</v>
      </c>
      <c r="B70" s="7">
        <v>4039</v>
      </c>
      <c r="C70" s="21" t="s">
        <v>206</v>
      </c>
      <c r="D70" s="21" t="s">
        <v>558</v>
      </c>
      <c r="E70" s="13">
        <v>42874.486377314817</v>
      </c>
      <c r="F70" s="13">
        <v>42874.487604166665</v>
      </c>
      <c r="G70" s="7">
        <v>1</v>
      </c>
      <c r="H70" s="21" t="s">
        <v>419</v>
      </c>
      <c r="I70" s="13">
        <v>42874.512824074074</v>
      </c>
      <c r="J70" s="7">
        <v>0</v>
      </c>
      <c r="K70" s="92" t="str">
        <f t="shared" si="0"/>
        <v>4039/4040</v>
      </c>
      <c r="L70" s="21" t="str">
        <f>VLOOKUP(A70,'Trips&amp;Operators'!$C$1:$G$99999,5,FALSE)</f>
        <v>ROCHA YAOTL</v>
      </c>
      <c r="M70" s="6">
        <f t="shared" si="1"/>
        <v>2.5219907409336884E-2</v>
      </c>
      <c r="N70" s="7">
        <f t="shared" si="30"/>
        <v>36.316666669445112</v>
      </c>
      <c r="O70" s="7"/>
      <c r="P70" s="7"/>
      <c r="Q70" s="22"/>
      <c r="R70" s="190"/>
      <c r="S70" s="196">
        <f t="shared" si="31"/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-19T10:40:23-0600',mode:absolute,to:'2017-05-19T13:18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0" s="192" t="str">
        <f t="shared" si="6"/>
        <v>N</v>
      </c>
      <c r="X70" s="192">
        <f t="shared" si="34"/>
        <v>1</v>
      </c>
      <c r="Y70" s="192">
        <f t="shared" si="32"/>
        <v>23.3047</v>
      </c>
      <c r="Z70" s="192">
        <f t="shared" si="33"/>
        <v>1.54E-2</v>
      </c>
      <c r="AA70" s="192">
        <f t="shared" si="10"/>
        <v>23.289300000000001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0158-19</v>
      </c>
      <c r="AE70" s="80" t="str">
        <f t="shared" si="12"/>
        <v>aws s3 cp s3://rtdc.mdm.uploadarchive.raw/RTDC4039/ "%USERPROFILE%\AppData\Local\Temp\OnboardLogs"\RTDC4039\2017-05-19 --exclude "*" --recursive --include "*20170519*" &amp; "%USERPROFILE%\Documents\GitHub\mrs-test-scripts\Headless Mode &amp; Sideloading\WalkAndUnGZ.bat" "%USERPROFILE%\AppData\Local\Temp\OnboardLogs"\RTDC4039\2017-05-19 &amp; aws s3 cp s3://rtdc.mdm.uploadarchive.raw/RTDC4039/ "%USERPROFILE%\AppData\Local\Temp\OnboardLogs"\RTDC4039\2017-05-20 --exclude "*" --recursive --include "*20170520*" &amp; "%USERPROFILE%\Documents\GitHub\mrs-test-scripts\Headless Mode &amp; Sideloading\WalkAndUnGZ.bat" "%USERPROFILE%\AppData\Local\Temp\OnboardLogs"\RTDC4039\2017-05-20</v>
      </c>
      <c r="AF70" s="77" t="str">
        <f t="shared" si="13"/>
        <v>"C:\Program Files (x86)\AstroGrep\AstroGrep.exe" /e /r /s /spath="%USERPROFILE%\AppData\Local\Temp\OnboardLogs" /stypes="app*4039*20170519*"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158-19 --locoid 4039 --swversion DE.1.0.9.0 --startMP 204:233047 --initTime 2017-05-19T11:40:23 --startdatetime 2017-05-19T11:42:09 --delay 1 --endMP 204:154 --enddatetime 2017-05-19T12:18:28 --enforcementcount 0 &gt;&gt;C:\Users\stu\Documents\GitHub\eaglep3-reporting\EC\2017-05-19-refined-times.txt</v>
      </c>
      <c r="AI70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{"issue":{"subject":"","project_id":79,"tracker_id":40,"status_id":1,"priority_id":2,"assigned_to_id":23,"start_date":"2017-05-19","description":"","custom_fields":[{"id":1,"name":"Subdivision","value":"EC"},{"id":4,"name":"Milepost","value":"0.0154"},{"id":17,"name":"Train ID","value":"158-19"},{"id":16,"name":"Locomotive ID","value":"4039"},{"id":130,"name":"Impact","value":""},{"id":150,"name":"Time of Event (Mountain Time)","value":"12:18:28"},{"id":151,"name":"Denver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4039 --day 2017-05-19</v>
      </c>
      <c r="AN70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18:18:28"},{"id":29,"name":"Sharepoint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625</v>
      </c>
      <c r="B71" s="7">
        <v>4012</v>
      </c>
      <c r="C71" s="21" t="s">
        <v>206</v>
      </c>
      <c r="D71" s="21" t="s">
        <v>351</v>
      </c>
      <c r="E71" s="13">
        <v>42874.454027777778</v>
      </c>
      <c r="F71" s="13">
        <v>42874.45857638889</v>
      </c>
      <c r="G71" s="7">
        <v>2</v>
      </c>
      <c r="H71" s="21" t="s">
        <v>902</v>
      </c>
      <c r="I71" s="13">
        <v>42874.483206018522</v>
      </c>
      <c r="J71" s="7">
        <v>0</v>
      </c>
      <c r="K71" s="92" t="str">
        <f t="shared" si="0"/>
        <v>4011/4012</v>
      </c>
      <c r="L71" s="21" t="str">
        <f>VLOOKUP(A71,'Trips&amp;Operators'!$C$1:$G$99999,5,FALSE)</f>
        <v>STEWART MICHAEL</v>
      </c>
      <c r="M71" s="6">
        <f t="shared" si="1"/>
        <v>2.4629629631817807E-2</v>
      </c>
      <c r="N71" s="7">
        <f t="shared" si="30"/>
        <v>35.466666669817641</v>
      </c>
      <c r="O71" s="7"/>
      <c r="P71" s="7"/>
      <c r="Q71" s="22"/>
      <c r="R71" s="190"/>
      <c r="S71" s="196">
        <f t="shared" si="31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-19T09:53:48-0600',mode:absolute,to:'2017-05-19T12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1" s="192" t="str">
        <f t="shared" si="6"/>
        <v>N</v>
      </c>
      <c r="X71" s="192">
        <f t="shared" si="34"/>
        <v>1</v>
      </c>
      <c r="Y71" s="192">
        <f t="shared" si="32"/>
        <v>4.4600000000000001E-2</v>
      </c>
      <c r="Z71" s="192">
        <f t="shared" si="33"/>
        <v>23.325099999999999</v>
      </c>
      <c r="AA71" s="192">
        <f t="shared" si="10"/>
        <v>23.2805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0159-19</v>
      </c>
      <c r="AE71" s="80" t="str">
        <f t="shared" si="12"/>
        <v>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 &amp; 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</v>
      </c>
      <c r="AF71" s="77" t="str">
        <f t="shared" si="13"/>
        <v>"C:\Program Files (x86)\AstroGrep\AstroGrep.exe" /e /r /s /spath="%USERPROFILE%\AppData\Local\Temp\OnboardLogs" /stypes="app*4012*20170519*"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159-19 --locoid 4012 --swversion DE.1.0.9.0 --startMP 204:446 --initTime 2017-05-19T10:53:48 --startdatetime 2017-05-19T11:00:21 --delay 2 --endMP 204:233251 --enddatetime 2017-05-19T11:35:49 --enforcementcount 0 &gt;&gt;C:\Users\stu\Documents\GitHub\eaglep3-reporting\EC\2017-05-19-refined-times.txt</v>
      </c>
      <c r="AI71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{"issue":{"subject":"","project_id":79,"tracker_id":40,"status_id":1,"priority_id":2,"assigned_to_id":23,"start_date":"2017-05-19","description":"","custom_fields":[{"id":1,"name":"Subdivision","value":"EC"},{"id":4,"name":"Milepost","value":"23.3251"},{"id":17,"name":"Train ID","value":"159-19"},{"id":16,"name":"Locomotive ID","value":"4012"},{"id":130,"name":"Impact","value":""},{"id":150,"name":"Time of Event (Mountain Time)","value":"11:35:49"},{"id":151,"name":"Denver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4012 --day 2017-05-19</v>
      </c>
      <c r="AN71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17:35:49"},{"id":29,"name":"Sharepoint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742</v>
      </c>
      <c r="B72" s="7">
        <v>4011</v>
      </c>
      <c r="C72" s="21" t="s">
        <v>206</v>
      </c>
      <c r="D72" s="21" t="s">
        <v>903</v>
      </c>
      <c r="E72" s="13">
        <v>42874.492407407408</v>
      </c>
      <c r="F72" s="13">
        <v>42874.497662037036</v>
      </c>
      <c r="G72" s="7">
        <v>1</v>
      </c>
      <c r="H72" s="21" t="s">
        <v>904</v>
      </c>
      <c r="I72" s="13">
        <v>42874.524699074071</v>
      </c>
      <c r="J72" s="7">
        <v>0</v>
      </c>
      <c r="K72" s="92" t="str">
        <f t="shared" si="0"/>
        <v>4011/4012</v>
      </c>
      <c r="L72" s="21" t="str">
        <f>VLOOKUP(A72,'Trips&amp;Operators'!$C$1:$G$99999,5,FALSE)</f>
        <v>STEWART MICHAEL</v>
      </c>
      <c r="M72" s="6">
        <f t="shared" si="1"/>
        <v>2.7037037034460809E-2</v>
      </c>
      <c r="N72" s="7">
        <f t="shared" si="30"/>
        <v>38.933333329623565</v>
      </c>
      <c r="O72" s="7"/>
      <c r="P72" s="7"/>
      <c r="Q72" s="22"/>
      <c r="R72" s="190"/>
      <c r="S72" s="196">
        <f t="shared" si="31"/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-19T10:49:04-0600',mode:absolute,to:'2017-05-19T13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2" s="192" t="str">
        <f t="shared" si="6"/>
        <v>N</v>
      </c>
      <c r="X72" s="192">
        <f t="shared" si="34"/>
        <v>1</v>
      </c>
      <c r="Y72" s="192">
        <f t="shared" si="32"/>
        <v>23.293199999999999</v>
      </c>
      <c r="Z72" s="192">
        <f t="shared" si="33"/>
        <v>5.0200000000000002E-2</v>
      </c>
      <c r="AA72" s="192">
        <f t="shared" si="10"/>
        <v>23.242999999999999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0160-19</v>
      </c>
      <c r="AE72" s="80" t="str">
        <f t="shared" si="12"/>
        <v>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 &amp; 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</v>
      </c>
      <c r="AF72" s="77" t="str">
        <f t="shared" si="13"/>
        <v>"C:\Program Files (x86)\AstroGrep\AstroGrep.exe" /e /r /s /spath="%USERPROFILE%\AppData\Local\Temp\OnboardLogs" /stypes="app*4011*20170519*"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160-19 --locoid 4011 --swversion DE.1.0.9.0 --startMP 204:232932 --initTime 2017-05-19T11:49:04 --startdatetime 2017-05-19T11:56:38 --delay 1 --endMP 204:502 --enddatetime 2017-05-19T12:35:34 --enforcementcount 0 &gt;&gt;C:\Users\stu\Documents\GitHub\eaglep3-reporting\EC\2017-05-19-refined-times.txt</v>
      </c>
      <c r="AI72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{"issue":{"subject":"","project_id":79,"tracker_id":40,"status_id":1,"priority_id":2,"assigned_to_id":23,"start_date":"2017-05-19","description":"","custom_fields":[{"id":1,"name":"Subdivision","value":"EC"},{"id":4,"name":"Milepost","value":"0.0502"},{"id":17,"name":"Train ID","value":"160-19"},{"id":16,"name":"Locomotive ID","value":"4011"},{"id":130,"name":"Impact","value":""},{"id":150,"name":"Time of Event (Mountain Time)","value":"12:35:34"},{"id":151,"name":"Denver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4011 --day 2017-05-19</v>
      </c>
      <c r="AN72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18:35:34"},{"id":29,"name":"Sharepoint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733</v>
      </c>
      <c r="B73" s="7">
        <v>4018</v>
      </c>
      <c r="C73" s="21" t="s">
        <v>206</v>
      </c>
      <c r="D73" s="21" t="s">
        <v>362</v>
      </c>
      <c r="E73" s="13">
        <v>42874.463750000003</v>
      </c>
      <c r="F73" s="13">
        <v>42874.468923611108</v>
      </c>
      <c r="G73" s="7">
        <v>1</v>
      </c>
      <c r="H73" s="21" t="s">
        <v>905</v>
      </c>
      <c r="I73" s="13">
        <v>42874.493703703702</v>
      </c>
      <c r="J73" s="7">
        <v>0</v>
      </c>
      <c r="K73" s="92" t="str">
        <f t="shared" si="0"/>
        <v>4017/4018</v>
      </c>
      <c r="L73" s="21" t="str">
        <f>VLOOKUP(A73,'Trips&amp;Operators'!$C$1:$G$99999,5,FALSE)</f>
        <v>ROMERO CHAD</v>
      </c>
      <c r="M73" s="6">
        <f t="shared" si="1"/>
        <v>2.4780092593573499E-2</v>
      </c>
      <c r="N73" s="7">
        <f t="shared" si="30"/>
        <v>35.683333334745839</v>
      </c>
      <c r="O73" s="7"/>
      <c r="P73" s="7"/>
      <c r="Q73" s="22"/>
      <c r="R73" s="190"/>
      <c r="S73" s="196">
        <f t="shared" si="31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-19T10:07:48-0600',mode:absolute,to:'2017-05-19T12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192" t="str">
        <f t="shared" si="6"/>
        <v>N</v>
      </c>
      <c r="X73" s="192">
        <f t="shared" si="34"/>
        <v>1</v>
      </c>
      <c r="Y73" s="192">
        <f t="shared" si="32"/>
        <v>4.53E-2</v>
      </c>
      <c r="Z73" s="192">
        <f t="shared" si="33"/>
        <v>23.337399999999999</v>
      </c>
      <c r="AA73" s="192">
        <f t="shared" si="10"/>
        <v>23.292099999999998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0161-19</v>
      </c>
      <c r="AE73" s="80" t="str">
        <f t="shared" si="12"/>
        <v>aws s3 cp s3://rtdc.mdm.uploadarchive.raw/RTDC4018/ "%USERPROFILE%\AppData\Local\Temp\OnboardLogs"\RTDC4018\2017-05-19 --exclude "*" --recursive --include "*20170519*" &amp; "%USERPROFILE%\Documents\GitHub\mrs-test-scripts\Headless Mode &amp; Sideloading\WalkAndUnGZ.bat" "%USERPROFILE%\AppData\Local\Temp\OnboardLogs"\RTDC4018\2017-05-19 &amp; 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</v>
      </c>
      <c r="AF73" s="77" t="str">
        <f t="shared" si="13"/>
        <v>"C:\Program Files (x86)\AstroGrep\AstroGrep.exe" /e /r /s /spath="%USERPROFILE%\AppData\Local\Temp\OnboardLogs" /stypes="app*4018*20170519*"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161-19 --locoid 4018 --swversion DE.1.0.9.0 --startMP 204:453 --initTime 2017-05-19T11:07:48 --startdatetime 2017-05-19T11:15:15 --delay 1 --endMP 204:233374 --enddatetime 2017-05-19T11:50:56 --enforcementcount 0 &gt;&gt;C:\Users\stu\Documents\GitHub\eaglep3-reporting\EC\2017-05-19-refined-times.txt</v>
      </c>
      <c r="AI73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{"issue":{"subject":"","project_id":79,"tracker_id":40,"status_id":1,"priority_id":2,"assigned_to_id":23,"start_date":"2017-05-19","description":"","custom_fields":[{"id":1,"name":"Subdivision","value":"EC"},{"id":4,"name":"Milepost","value":"23.3374"},{"id":17,"name":"Train ID","value":"161-19"},{"id":16,"name":"Locomotive ID","value":"4018"},{"id":130,"name":"Impact","value":""},{"id":150,"name":"Time of Event (Mountain Time)","value":"11:50:56"},{"id":151,"name":"Denver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4018 --day 2017-05-19</v>
      </c>
      <c r="AN73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17:50:56"},{"id":29,"name":"Sharepoint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743</v>
      </c>
      <c r="B74" s="7">
        <v>4017</v>
      </c>
      <c r="C74" s="21" t="s">
        <v>206</v>
      </c>
      <c r="D74" s="21" t="s">
        <v>906</v>
      </c>
      <c r="E74" s="13">
        <v>42874.495127314818</v>
      </c>
      <c r="F74" s="13">
        <v>42874.507893518516</v>
      </c>
      <c r="G74" s="7">
        <v>2</v>
      </c>
      <c r="H74" s="21" t="s">
        <v>197</v>
      </c>
      <c r="I74" s="13">
        <v>42874.533715277779</v>
      </c>
      <c r="J74" s="7">
        <v>0</v>
      </c>
      <c r="K74" s="92" t="str">
        <f t="shared" si="0"/>
        <v>4017/4018</v>
      </c>
      <c r="L74" s="21" t="str">
        <f>VLOOKUP(A74,'Trips&amp;Operators'!$C$1:$G$99999,5,FALSE)</f>
        <v>ROMERO CHAD</v>
      </c>
      <c r="M74" s="6">
        <f t="shared" si="1"/>
        <v>2.5821759263635613E-2</v>
      </c>
      <c r="N74" s="7">
        <f t="shared" si="30"/>
        <v>37.183333339635283</v>
      </c>
      <c r="O74" s="7"/>
      <c r="P74" s="7"/>
      <c r="Q74" s="22"/>
      <c r="R74" s="190"/>
      <c r="S74" s="196">
        <f t="shared" si="31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-19T10:52:59-0600',mode:absolute,to:'2017-05-19T13:48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4" s="192" t="str">
        <f t="shared" si="6"/>
        <v>N</v>
      </c>
      <c r="X74" s="192">
        <f t="shared" si="34"/>
        <v>1</v>
      </c>
      <c r="Y74" s="192">
        <f t="shared" si="32"/>
        <v>23.3062</v>
      </c>
      <c r="Z74" s="192">
        <f t="shared" si="33"/>
        <v>1.52E-2</v>
      </c>
      <c r="AA74" s="192">
        <f t="shared" si="10"/>
        <v>23.291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0162-19</v>
      </c>
      <c r="AE74" s="80" t="str">
        <f t="shared" si="12"/>
        <v>aws s3 cp s3://rtdc.mdm.uploadarchive.raw/RTDC4017/ "%USERPROFILE%\AppData\Local\Temp\OnboardLogs"\RTDC4017\2017-05-19 --exclude "*" --recursive --include "*20170519*" &amp; "%USERPROFILE%\Documents\GitHub\mrs-test-scripts\Headless Mode &amp; Sideloading\WalkAndUnGZ.bat" "%USERPROFILE%\AppData\Local\Temp\OnboardLogs"\RTDC4017\2017-05-19 &amp; 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</v>
      </c>
      <c r="AF74" s="77" t="str">
        <f t="shared" si="13"/>
        <v>"C:\Program Files (x86)\AstroGrep\AstroGrep.exe" /e /r /s /spath="%USERPROFILE%\AppData\Local\Temp\OnboardLogs" /stypes="app*4017*20170519*"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162-19 --locoid 4017 --swversion DE.1.0.9.0 --startMP 204:233062 --initTime 2017-05-19T11:52:59 --startdatetime 2017-05-19T12:11:22 --delay 2 --endMP 204:152 --enddatetime 2017-05-19T12:48:33 --enforcementcount 0 &gt;&gt;C:\Users\stu\Documents\GitHub\eaglep3-reporting\EC\2017-05-19-refined-times.txt</v>
      </c>
      <c r="AI74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{"issue":{"subject":"","project_id":79,"tracker_id":40,"status_id":1,"priority_id":2,"assigned_to_id":23,"start_date":"2017-05-19","description":"","custom_fields":[{"id":1,"name":"Subdivision","value":"EC"},{"id":4,"name":"Milepost","value":"0.0152"},{"id":17,"name":"Train ID","value":"162-19"},{"id":16,"name":"Locomotive ID","value":"4017"},{"id":130,"name":"Impact","value":""},{"id":150,"name":"Time of Event (Mountain Time)","value":"12:48:33"},{"id":151,"name":"Denver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4017 --day 2017-05-19</v>
      </c>
      <c r="AN74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18:48:33"},{"id":29,"name":"Sharepoint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737</v>
      </c>
      <c r="B75" s="7">
        <v>4016</v>
      </c>
      <c r="C75" s="21" t="s">
        <v>206</v>
      </c>
      <c r="D75" s="21" t="s">
        <v>404</v>
      </c>
      <c r="E75" s="13">
        <v>42874.474456018521</v>
      </c>
      <c r="F75" s="13">
        <v>42874.479328703703</v>
      </c>
      <c r="G75" s="7">
        <v>1</v>
      </c>
      <c r="H75" s="21" t="s">
        <v>405</v>
      </c>
      <c r="I75" s="13">
        <v>42874.505069444444</v>
      </c>
      <c r="J75" s="7">
        <v>0</v>
      </c>
      <c r="K75" s="92" t="str">
        <f t="shared" si="0"/>
        <v>4015/4016</v>
      </c>
      <c r="L75" s="21" t="str">
        <f>VLOOKUP(A75,'Trips&amp;Operators'!$C$1:$G$99999,5,FALSE)</f>
        <v>CLARK KATHLEEN</v>
      </c>
      <c r="M75" s="6">
        <f t="shared" si="1"/>
        <v>2.5740740740729962E-2</v>
      </c>
      <c r="N75" s="7">
        <f t="shared" si="30"/>
        <v>37.066666666651145</v>
      </c>
      <c r="O75" s="7"/>
      <c r="P75" s="7"/>
      <c r="Q75" s="22"/>
      <c r="R75" s="190"/>
      <c r="S75" s="196">
        <f t="shared" si="31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-19T10:23:13-0600',mode:absolute,to:'2017-05-19T13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5" s="192" t="str">
        <f t="shared" si="6"/>
        <v>N</v>
      </c>
      <c r="X75" s="192">
        <f t="shared" si="34"/>
        <v>1</v>
      </c>
      <c r="Y75" s="192">
        <f t="shared" si="32"/>
        <v>4.6199999999999998E-2</v>
      </c>
      <c r="Z75" s="192">
        <f t="shared" si="33"/>
        <v>23.3293</v>
      </c>
      <c r="AA75" s="192">
        <f t="shared" si="10"/>
        <v>23.283100000000001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0163-19</v>
      </c>
      <c r="AE75" s="80" t="str">
        <f t="shared" si="12"/>
        <v>aws s3 cp s3://rtdc.mdm.uploadarchive.raw/RTDC4016/ "%USERPROFILE%\AppData\Local\Temp\OnboardLogs"\RTDC4016\2017-05-19 --exclude "*" --recursive --include "*20170519*" &amp; "%USERPROFILE%\Documents\GitHub\mrs-test-scripts\Headless Mode &amp; Sideloading\WalkAndUnGZ.bat" "%USERPROFILE%\AppData\Local\Temp\OnboardLogs"\RTDC4016\2017-05-19 &amp; aws s3 cp s3://rtdc.mdm.uploadarchive.raw/RTDC4016/ "%USERPROFILE%\AppData\Local\Temp\OnboardLogs"\RTDC4016\2017-05-20 --exclude "*" --recursive --include "*20170520*" &amp; "%USERPROFILE%\Documents\GitHub\mrs-test-scripts\Headless Mode &amp; Sideloading\WalkAndUnGZ.bat" "%USERPROFILE%\AppData\Local\Temp\OnboardLogs"\RTDC4016\2017-05-20</v>
      </c>
      <c r="AF75" s="77" t="str">
        <f t="shared" si="13"/>
        <v>"C:\Program Files (x86)\AstroGrep\AstroGrep.exe" /e /r /s /spath="%USERPROFILE%\AppData\Local\Temp\OnboardLogs" /stypes="app*4016*20170519*"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163-19 --locoid 4016 --swversion DE.1.0.9.0 --startMP 204:462 --initTime 2017-05-19T11:23:13 --startdatetime 2017-05-19T11:30:14 --delay 1 --endMP 204:233293 --enddatetime 2017-05-19T12:07:18 --enforcementcount 0 &gt;&gt;C:\Users\stu\Documents\GitHub\eaglep3-reporting\EC\2017-05-19-refined-times.txt</v>
      </c>
      <c r="AI75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{"issue":{"subject":"","project_id":79,"tracker_id":40,"status_id":1,"priority_id":2,"assigned_to_id":23,"start_date":"2017-05-19","description":"","custom_fields":[{"id":1,"name":"Subdivision","value":"EC"},{"id":4,"name":"Milepost","value":"23.3293"},{"id":17,"name":"Train ID","value":"163-19"},{"id":16,"name":"Locomotive ID","value":"4016"},{"id":130,"name":"Impact","value":""},{"id":150,"name":"Time of Event (Mountain Time)","value":"12:07:18"},{"id":151,"name":"Denver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4016 --day 2017-05-19</v>
      </c>
      <c r="AN75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18:07:18"},{"id":29,"name":"Sharepoint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745</v>
      </c>
      <c r="B76" s="7">
        <v>4015</v>
      </c>
      <c r="C76" s="21" t="s">
        <v>206</v>
      </c>
      <c r="D76" s="21" t="s">
        <v>555</v>
      </c>
      <c r="E76" s="13">
        <v>42874.511493055557</v>
      </c>
      <c r="F76" s="13">
        <v>42874.518217592595</v>
      </c>
      <c r="G76" s="7">
        <v>1</v>
      </c>
      <c r="H76" s="21" t="s">
        <v>907</v>
      </c>
      <c r="I76" s="13">
        <v>42874.545902777776</v>
      </c>
      <c r="J76" s="7">
        <v>0</v>
      </c>
      <c r="K76" s="92" t="str">
        <f t="shared" si="0"/>
        <v>4015/4016</v>
      </c>
      <c r="L76" s="21" t="str">
        <f>VLOOKUP(A76,'Trips&amp;Operators'!$C$1:$G$99999,5,FALSE)</f>
        <v>CLARK KATHLEEN</v>
      </c>
      <c r="M76" s="6">
        <f t="shared" si="1"/>
        <v>2.7685185181326233E-2</v>
      </c>
      <c r="N76" s="7">
        <f t="shared" si="30"/>
        <v>39.866666661109775</v>
      </c>
      <c r="O76" s="7"/>
      <c r="P76" s="7"/>
      <c r="Q76" s="22"/>
      <c r="R76" s="190"/>
      <c r="S76" s="196">
        <f t="shared" si="31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-19T11:16:33-0600',mode:absolute,to:'2017-05-19T14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6" s="192" t="str">
        <f t="shared" si="6"/>
        <v>N</v>
      </c>
      <c r="X76" s="192">
        <f t="shared" si="34"/>
        <v>1</v>
      </c>
      <c r="Y76" s="192">
        <f t="shared" si="32"/>
        <v>23.296299999999999</v>
      </c>
      <c r="Z76" s="192">
        <f t="shared" si="33"/>
        <v>1.72E-2</v>
      </c>
      <c r="AA76" s="192">
        <f t="shared" si="10"/>
        <v>23.2791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0164-19</v>
      </c>
      <c r="AE76" s="80" t="str">
        <f t="shared" si="12"/>
        <v>aws s3 cp s3://rtdc.mdm.uploadarchive.raw/RTDC4015/ "%USERPROFILE%\AppData\Local\Temp\OnboardLogs"\RTDC4015\2017-05-19 --exclude "*" --recursive --include "*20170519*" &amp; "%USERPROFILE%\Documents\GitHub\mrs-test-scripts\Headless Mode &amp; Sideloading\WalkAndUnGZ.bat" "%USERPROFILE%\AppData\Local\Temp\OnboardLogs"\RTDC4015\2017-05-19 &amp; aws s3 cp s3://rtdc.mdm.uploadarchive.raw/RTDC4015/ "%USERPROFILE%\AppData\Local\Temp\OnboardLogs"\RTDC4015\2017-05-20 --exclude "*" --recursive --include "*20170520*" &amp; "%USERPROFILE%\Documents\GitHub\mrs-test-scripts\Headless Mode &amp; Sideloading\WalkAndUnGZ.bat" "%USERPROFILE%\AppData\Local\Temp\OnboardLogs"\RTDC4015\2017-05-20</v>
      </c>
      <c r="AF76" s="77" t="str">
        <f t="shared" si="13"/>
        <v>"C:\Program Files (x86)\AstroGrep\AstroGrep.exe" /e /r /s /spath="%USERPROFILE%\AppData\Local\Temp\OnboardLogs" /stypes="app*4015*20170519*"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164-19 --locoid 4015 --swversion DE.1.0.9.0 --startMP 204:232963 --initTime 2017-05-19T12:16:33 --startdatetime 2017-05-19T12:26:14 --delay 1 --endMP 204:172 --enddatetime 2017-05-19T13:06:06 --enforcementcount 0 &gt;&gt;C:\Users\stu\Documents\GitHub\eaglep3-reporting\EC\2017-05-19-refined-times.txt</v>
      </c>
      <c r="AI76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{"issue":{"subject":"","project_id":79,"tracker_id":40,"status_id":1,"priority_id":2,"assigned_to_id":23,"start_date":"2017-05-19","description":"","custom_fields":[{"id":1,"name":"Subdivision","value":"EC"},{"id":4,"name":"Milepost","value":"0.0172"},{"id":17,"name":"Train ID","value":"164-19"},{"id":16,"name":"Locomotive ID","value":"4015"},{"id":130,"name":"Impact","value":""},{"id":150,"name":"Time of Event (Mountain Time)","value":"13:06:06"},{"id":151,"name":"Denver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4015 --day 2017-05-19</v>
      </c>
      <c r="AN76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19:06:06"},{"id":29,"name":"Sharepoint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738</v>
      </c>
      <c r="B77" s="7">
        <v>4006</v>
      </c>
      <c r="C77" s="21" t="s">
        <v>206</v>
      </c>
      <c r="D77" s="21" t="s">
        <v>577</v>
      </c>
      <c r="E77" s="13">
        <v>42874.485659722224</v>
      </c>
      <c r="F77" s="13">
        <v>42874.489756944444</v>
      </c>
      <c r="G77" s="7">
        <v>1</v>
      </c>
      <c r="H77" s="21" t="s">
        <v>871</v>
      </c>
      <c r="I77" s="13">
        <v>42874.514664351853</v>
      </c>
      <c r="J77" s="7">
        <v>0</v>
      </c>
      <c r="K77" s="92" t="str">
        <f t="shared" ref="K77:K140" si="35">IF(ISEVEN(B77),(B77-1)&amp;"/"&amp;B77,B77&amp;"/"&amp;(B77+1))</f>
        <v>4005/4006</v>
      </c>
      <c r="L77" s="21" t="str">
        <f>VLOOKUP(A77,'Trips&amp;Operators'!$C$1:$G$99999,5,FALSE)</f>
        <v>BRUDER RICHARD</v>
      </c>
      <c r="M77" s="6">
        <f t="shared" ref="M77:M140" si="36">I77-F77</f>
        <v>2.4907407409045845E-2</v>
      </c>
      <c r="N77" s="7">
        <f t="shared" ref="N77:N108" si="37">24*60*SUM($M77:$M77)</f>
        <v>35.866666669026017</v>
      </c>
      <c r="O77" s="7"/>
      <c r="P77" s="7"/>
      <c r="Q77" s="22"/>
      <c r="R77" s="190"/>
      <c r="S77" s="196">
        <f t="shared" ref="S77:S108" si="38">SUM(U77:U77)/IF(AG77="EC",12,1)</f>
        <v>1</v>
      </c>
      <c r="T77" s="190" t="str">
        <f t="shared" ref="T77:T140" si="39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4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-19T10:39:21-0600',mode:absolute,to:'2017-05-19T13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7" s="192" t="str">
        <f t="shared" ref="W77:W140" si="41">IF(AA77&lt;IF(AG77="EC",23,5.65),"Y","N")</f>
        <v>N</v>
      </c>
      <c r="X77" s="192">
        <f t="shared" si="34"/>
        <v>1</v>
      </c>
      <c r="Y77" s="192">
        <f t="shared" ref="Y77:Y108" si="42">RIGHT(D77,LEN(D77)-4)/10000</f>
        <v>4.8000000000000001E-2</v>
      </c>
      <c r="Z77" s="192">
        <f t="shared" ref="Z77:Z108" si="43">RIGHT(H77,LEN(H77)-4)/10000</f>
        <v>23.331700000000001</v>
      </c>
      <c r="AA77" s="192">
        <f t="shared" ref="AA77:AA140" si="44">ABS(Z77-Y77)</f>
        <v>23.283700000000003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45">IF(LEN(A77)=6,"0"&amp;A77,A77)</f>
        <v>0165-19</v>
      </c>
      <c r="AE77" s="80" t="str">
        <f t="shared" ref="AE77:AE140" si="4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s3://rtdc.mdm.uploadarchive.raw/RTDC4006/ "%USERPROFILE%\AppData\Local\Temp\OnboardLogs"\RTDC4006\2017-05-19 --exclude "*" --recursive --include "*20170519*" &amp; "%USERPROFILE%\Documents\GitHub\mrs-test-scripts\Headless Mode &amp; Sideloading\WalkAndUnGZ.bat" "%USERPROFILE%\AppData\Local\Temp\OnboardLogs"\RTDC4006\2017-05-19 &amp; 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</v>
      </c>
      <c r="AF77" s="77" t="str">
        <f t="shared" ref="AF77:AF140" si="4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/stypes="app*4006*20170519*"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8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165-19 --locoid 4006 --swversion DE.1.0.9.0 --startMP 204:480 --initTime 2017-05-19T11:39:21 --startdatetime 2017-05-19T11:45:15 --delay 1 --endMP 204:233317 --enddatetime 2017-05-19T12:21:07 --enforcementcount 0 &gt;&gt;C:\Users\stu\Documents\GitHub\eaglep3-reporting\EC\2017-05-19-refined-times.txt</v>
      </c>
      <c r="AI77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{"issue":{"subject":"","project_id":79,"tracker_id":40,"status_id":1,"priority_id":2,"assigned_to_id":23,"start_date":"2017-05-19","description":"","custom_fields":[{"id":1,"name":"Subdivision","value":"EC"},{"id":4,"name":"Milepost","value":"23.3317"},{"id":17,"name":"Train ID","value":"165-19"},{"id":16,"name":"Locomotive ID","value":"4006"},{"id":130,"name":"Impact","value":""},{"id":150,"name":"Time of Event (Mountain Time)","value":"12:21:07"},{"id":151,"name":"Denver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4006 --day 2017-05-19</v>
      </c>
      <c r="AN77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18:21:07"},{"id":29,"name":"Sharepoint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747</v>
      </c>
      <c r="B78" s="7">
        <v>4005</v>
      </c>
      <c r="C78" s="21" t="s">
        <v>206</v>
      </c>
      <c r="D78" s="21" t="s">
        <v>571</v>
      </c>
      <c r="E78" s="13">
        <v>42874.524131944447</v>
      </c>
      <c r="F78" s="13">
        <v>42874.528657407405</v>
      </c>
      <c r="G78" s="7">
        <v>3</v>
      </c>
      <c r="H78" s="21" t="s">
        <v>355</v>
      </c>
      <c r="I78" s="13">
        <v>42874.5547337963</v>
      </c>
      <c r="J78" s="7">
        <v>0</v>
      </c>
      <c r="K78" s="92" t="str">
        <f t="shared" si="35"/>
        <v>4005/4006</v>
      </c>
      <c r="L78" s="21" t="str">
        <f>VLOOKUP(A78,'Trips&amp;Operators'!$C$1:$G$99999,5,FALSE)</f>
        <v>BRUDER RICHARD</v>
      </c>
      <c r="M78" s="6">
        <f t="shared" si="36"/>
        <v>2.6076388894580305E-2</v>
      </c>
      <c r="N78" s="7">
        <f t="shared" si="37"/>
        <v>37.550000008195639</v>
      </c>
      <c r="O78" s="7"/>
      <c r="P78" s="7"/>
      <c r="Q78" s="22"/>
      <c r="R78" s="190"/>
      <c r="S78" s="196">
        <f t="shared" si="38"/>
        <v>1</v>
      </c>
      <c r="T78" s="190" t="str">
        <f t="shared" si="39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40"/>
        <v>https://d0f6bd738d7f1b3e5a7ca70fe4ff75f0.us-east-1.aws.found.io/app/kibana#/discover/Steve-Slow-Train-Analysis-(2080s-and-2083s)?_g=(refreshInterval:(display:Off,pause:!f,section:0,value:0),time:(from:'2017-05-19T11:34:45-0600',mode:absolute,to:'2017-05-19T14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8" s="192" t="str">
        <f t="shared" si="41"/>
        <v>N</v>
      </c>
      <c r="X78" s="192">
        <f t="shared" si="34"/>
        <v>1</v>
      </c>
      <c r="Y78" s="192">
        <f t="shared" si="42"/>
        <v>23.299399999999999</v>
      </c>
      <c r="Z78" s="192">
        <f t="shared" si="43"/>
        <v>1.4999999999999999E-2</v>
      </c>
      <c r="AA78" s="192">
        <f t="shared" si="44"/>
        <v>23.284399999999998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45"/>
        <v>0166-19</v>
      </c>
      <c r="AE78" s="80" t="str">
        <f t="shared" si="46"/>
        <v>aws s3 cp s3://rtdc.mdm.uploadarchive.raw/RTDC4005/ "%USERPROFILE%\AppData\Local\Temp\OnboardLogs"\RTDC4005\2017-05-19 --exclude "*" --recursive --include "*20170519*" &amp; "%USERPROFILE%\Documents\GitHub\mrs-test-scripts\Headless Mode &amp; Sideloading\WalkAndUnGZ.bat" "%USERPROFILE%\AppData\Local\Temp\OnboardLogs"\RTDC4005\2017-05-19 &amp; 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</v>
      </c>
      <c r="AF78" s="77" t="str">
        <f t="shared" si="47"/>
        <v>"C:\Program Files (x86)\AstroGrep\AstroGrep.exe" /e /r /s /spath="%USERPROFILE%\AppData\Local\Temp\OnboardLogs" /stypes="app*4005*20170519*" /stext=" 19:.+((SYSTEM_STATE.+slice.+state.+changed )|(ment ac)|(multiple cpu faults)|(system.+state.+changed )|(\[timeout)|(PRM\|1\|D)|(kpr)|(kdp)|(train st.+moving)|(\|lc)|(penalty))"</v>
      </c>
      <c r="AG78" s="1" t="str">
        <f t="shared" si="48"/>
        <v>EC</v>
      </c>
      <c r="AH78" s="81" t="str">
        <f t="shared" si="19"/>
        <v>"%USERPROFILE%\Documents\GitHub\eaglep3\Utilities\RefineRTDCRunTimes.py" --tripid 166-19 --locoid 4005 --swversion DE.1.0.9.0 --startMP 204:232994 --initTime 2017-05-19T12:34:45 --startdatetime 2017-05-19T12:41:16 --delay 3 --endMP 204:150 --enddatetime 2017-05-19T13:18:49 --enforcementcount 0 &gt;&gt;C:\Users\stu\Documents\GitHub\eaglep3-reporting\EC\2017-05-19-refined-times.txt</v>
      </c>
      <c r="AI78" s="99" t="str">
        <f t="shared" si="20"/>
        <v>echo {"issue":{"subject":"","project_id":79,"tracker_id":40,"status_id":1,"priority_id":2,"assigned_to_id":23,"start_date":"2017-05-19","description":"","custom_fields":[{"id":1,"name":"Subdivision","value":"EC"},{"id":4,"name":"Milepost","value":"0.015"},{"id":17,"name":"Train ID","value":"166-19"},{"id":16,"name":"Locomotive ID","value":"4005"},{"id":130,"name":"Impact","value":""},{"id":150,"name":"Time of Event (Mountain Time)","value":"13:18:49"},{"id":151,"name":"Denver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21"/>
        <v>start /low /b %USERPROFILE%\Documents\GitHub\eaglep3\Utilities\DownloadLogsFromS3.py --loco 4005 --day 2017-05-19</v>
      </c>
      <c r="AN78" s="154" t="str">
        <f t="shared" si="2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19:18:49"},{"id":29,"name":"Sharepoint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627</v>
      </c>
      <c r="B79" s="7">
        <v>4032</v>
      </c>
      <c r="C79" s="21" t="s">
        <v>206</v>
      </c>
      <c r="D79" s="21" t="s">
        <v>513</v>
      </c>
      <c r="E79" s="13">
        <v>42874.497025462966</v>
      </c>
      <c r="F79" s="13">
        <v>42874.5003125</v>
      </c>
      <c r="G79" s="7">
        <v>1</v>
      </c>
      <c r="H79" s="21" t="s">
        <v>581</v>
      </c>
      <c r="I79" s="13">
        <v>42874.525092592594</v>
      </c>
      <c r="J79" s="7">
        <v>0</v>
      </c>
      <c r="K79" s="92" t="str">
        <f t="shared" si="35"/>
        <v>4031/4032</v>
      </c>
      <c r="L79" s="21" t="str">
        <f>VLOOKUP(A79,'Trips&amp;Operators'!$C$1:$G$99999,5,FALSE)</f>
        <v>HELVIE ADAM</v>
      </c>
      <c r="M79" s="6">
        <f t="shared" si="36"/>
        <v>2.4780092593573499E-2</v>
      </c>
      <c r="N79" s="7">
        <f t="shared" si="37"/>
        <v>35.683333334745839</v>
      </c>
      <c r="O79" s="7"/>
      <c r="P79" s="7"/>
      <c r="Q79" s="22"/>
      <c r="R79" s="190"/>
      <c r="S79" s="196">
        <f t="shared" si="38"/>
        <v>1</v>
      </c>
      <c r="T79" s="190" t="str">
        <f t="shared" si="39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40"/>
        <v>https://d0f6bd738d7f1b3e5a7ca70fe4ff75f0.us-east-1.aws.found.io/app/kibana#/discover/Steve-Slow-Train-Analysis-(2080s-and-2083s)?_g=(refreshInterval:(display:Off,pause:!f,section:0,value:0),time:(from:'2017-05-19T10:55:43-0600',mode:absolute,to:'2017-05-19T13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9" s="192" t="str">
        <f t="shared" si="41"/>
        <v>N</v>
      </c>
      <c r="X79" s="192">
        <f t="shared" si="34"/>
        <v>1</v>
      </c>
      <c r="Y79" s="192">
        <f t="shared" si="42"/>
        <v>4.3799999999999999E-2</v>
      </c>
      <c r="Z79" s="192">
        <f t="shared" si="43"/>
        <v>23.333200000000001</v>
      </c>
      <c r="AA79" s="192">
        <f t="shared" si="44"/>
        <v>23.289400000000001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45"/>
        <v>0167-19</v>
      </c>
      <c r="AE79" s="80" t="str">
        <f t="shared" si="46"/>
        <v>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 &amp; 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</v>
      </c>
      <c r="AF79" s="77" t="str">
        <f t="shared" si="47"/>
        <v>"C:\Program Files (x86)\AstroGrep\AstroGrep.exe" /e /r /s /spath="%USERPROFILE%\AppData\Local\Temp\OnboardLogs" /stypes="app*4032*20170519*" /stext=" 18:.+((SYSTEM_STATE.+slice.+state.+changed )|(ment ac)|(multiple cpu faults)|(system.+state.+changed )|(\[timeout)|(PRM\|1\|D)|(kpr)|(kdp)|(train st.+moving)|(\|lc)|(penalty))"</v>
      </c>
      <c r="AG79" s="1" t="str">
        <f t="shared" si="48"/>
        <v>EC</v>
      </c>
      <c r="AH79" s="81" t="str">
        <f t="shared" ref="AH79:AH141" si="49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167-19 --locoid 4032 --swversion DE.1.0.9.0 --startMP 204:438 --initTime 2017-05-19T11:55:43 --startdatetime 2017-05-19T12:00:27 --delay 1 --endMP 204:233332 --enddatetime 2017-05-19T12:36:08 --enforcementcount 0 &gt;&gt;C:\Users\stu\Documents\GitHub\eaglep3-reporting\EC\2017-05-19-refined-times.txt</v>
      </c>
      <c r="AI79" s="99" t="str">
        <f t="shared" ref="AI79:AI141" si="50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{"issue":{"subject":"","project_id":79,"tracker_id":40,"status_id":1,"priority_id":2,"assigned_to_id":23,"start_date":"2017-05-19","description":"","custom_fields":[{"id":1,"name":"Subdivision","value":"EC"},{"id":4,"name":"Milepost","value":"23.3332"},{"id":17,"name":"Train ID","value":"167-19"},{"id":16,"name":"Locomotive ID","value":"4032"},{"id":130,"name":"Impact","value":""},{"id":150,"name":"Time of Event (Mountain Time)","value":"12:36:08"},{"id":151,"name":"Denver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ref="AM79:AM141" si="51">"start /low /b "&amp;dls3logs&amp;" --loco "&amp;B79&amp;" --day "&amp;TEXT(F79,"YYYY-MM-DD")</f>
        <v>start /low /b %USERPROFILE%\Documents\GitHub\eaglep3\Utilities\DownloadLogsFromS3.py --loco 4032 --day 2017-05-19</v>
      </c>
      <c r="AN79" s="154" t="str">
        <f t="shared" ref="AN79:AN141" si="52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18:36:08"},{"id":29,"name":"Sharepoint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749</v>
      </c>
      <c r="B80" s="7">
        <v>4031</v>
      </c>
      <c r="C80" s="21" t="s">
        <v>206</v>
      </c>
      <c r="D80" s="21" t="s">
        <v>908</v>
      </c>
      <c r="E80" s="13">
        <v>42874.536481481482</v>
      </c>
      <c r="F80" s="13">
        <v>42874.539074074077</v>
      </c>
      <c r="G80" s="7">
        <v>1</v>
      </c>
      <c r="H80" s="21" t="s">
        <v>361</v>
      </c>
      <c r="I80" s="13">
        <v>42874.564791666664</v>
      </c>
      <c r="J80" s="7">
        <v>0</v>
      </c>
      <c r="K80" s="92" t="str">
        <f t="shared" si="35"/>
        <v>4031/4032</v>
      </c>
      <c r="L80" s="21" t="str">
        <f>VLOOKUP(A80,'Trips&amp;Operators'!$C$1:$G$99999,5,FALSE)</f>
        <v>HELVIE ADAM</v>
      </c>
      <c r="M80" s="6">
        <f t="shared" si="36"/>
        <v>2.5717592587170657E-2</v>
      </c>
      <c r="N80" s="7">
        <f t="shared" si="37"/>
        <v>37.033333325525746</v>
      </c>
      <c r="O80" s="7"/>
      <c r="P80" s="7"/>
      <c r="Q80" s="22"/>
      <c r="R80" s="190"/>
      <c r="S80" s="196">
        <f t="shared" si="38"/>
        <v>1</v>
      </c>
      <c r="T80" s="190" t="str">
        <f t="shared" si="39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40"/>
        <v>https://d0f6bd738d7f1b3e5a7ca70fe4ff75f0.us-east-1.aws.found.io/app/kibana#/discover/Steve-Slow-Train-Analysis-(2080s-and-2083s)?_g=(refreshInterval:(display:Off,pause:!f,section:0,value:0),time:(from:'2017-05-19T11:52:32-0600',mode:absolute,to:'2017-05-19T14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0" s="192" t="str">
        <f t="shared" si="41"/>
        <v>N</v>
      </c>
      <c r="X80" s="192">
        <f t="shared" si="34"/>
        <v>1</v>
      </c>
      <c r="Y80" s="192">
        <f t="shared" si="42"/>
        <v>23.298999999999999</v>
      </c>
      <c r="Z80" s="192">
        <f t="shared" si="43"/>
        <v>1.5599999999999999E-2</v>
      </c>
      <c r="AA80" s="192">
        <f t="shared" si="44"/>
        <v>23.2834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45"/>
        <v>0168-19</v>
      </c>
      <c r="AE80" s="80" t="str">
        <f t="shared" si="46"/>
        <v>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 &amp; aws s3 cp s3://rtdc.mdm.uploadarchive.raw/RTDC4031/ "%USERPROFILE%\AppData\Local\Temp\OnboardLogs"\RTDC4031\2017-05-20 --exclude "*" --recursive --include "*20170520*" &amp; "%USERPROFILE%\Documents\GitHub\mrs-test-scripts\Headless Mode &amp; Sideloading\WalkAndUnGZ.bat" "%USERPROFILE%\AppData\Local\Temp\OnboardLogs"\RTDC4031\2017-05-20</v>
      </c>
      <c r="AF80" s="77" t="str">
        <f t="shared" si="47"/>
        <v>"C:\Program Files (x86)\AstroGrep\AstroGrep.exe" /e /r /s /spath="%USERPROFILE%\AppData\Local\Temp\OnboardLogs" /stypes="app*4031*20170519*" /stext=" 19:.+((SYSTEM_STATE.+slice.+state.+changed )|(ment ac)|(multiple cpu faults)|(system.+state.+changed )|(\[timeout)|(PRM\|1\|D)|(kpr)|(kdp)|(train st.+moving)|(\|lc)|(penalty))"</v>
      </c>
      <c r="AG80" s="1" t="str">
        <f t="shared" si="48"/>
        <v>EC</v>
      </c>
      <c r="AH80" s="81" t="str">
        <f t="shared" si="49"/>
        <v>"%USERPROFILE%\Documents\GitHub\eaglep3\Utilities\RefineRTDCRunTimes.py" --tripid 168-19 --locoid 4031 --swversion DE.1.0.9.0 --startMP 204:232990 --initTime 2017-05-19T12:52:32 --startdatetime 2017-05-19T12:56:16 --delay 1 --endMP 204:156 --enddatetime 2017-05-19T13:33:18 --enforcementcount 0 &gt;&gt;C:\Users\stu\Documents\GitHub\eaglep3-reporting\EC\2017-05-19-refined-times.txt</v>
      </c>
      <c r="AI80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{"issue":{"subject":"","project_id":79,"tracker_id":40,"status_id":1,"priority_id":2,"assigned_to_id":23,"start_date":"2017-05-19","description":"","custom_fields":[{"id":1,"name":"Subdivision","value":"EC"},{"id":4,"name":"Milepost","value":"0.0156"},{"id":17,"name":"Train ID","value":"168-19"},{"id":16,"name":"Locomotive ID","value":"4031"},{"id":130,"name":"Impact","value":""},{"id":150,"name":"Time of Event (Mountain Time)","value":"13:33:18"},{"id":151,"name":"Denver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51"/>
        <v>start /low /b %USERPROFILE%\Documents\GitHub\eaglep3\Utilities\DownloadLogsFromS3.py --loco 4031 --day 2017-05-19</v>
      </c>
      <c r="AN80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19:33:18"},{"id":29,"name":"Sharepoint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628</v>
      </c>
      <c r="B81" s="7">
        <v>4024</v>
      </c>
      <c r="C81" s="21" t="s">
        <v>206</v>
      </c>
      <c r="D81" s="21" t="s">
        <v>514</v>
      </c>
      <c r="E81" s="13">
        <v>42874.50508101852</v>
      </c>
      <c r="F81" s="13">
        <v>42874.510636574072</v>
      </c>
      <c r="G81" s="7">
        <v>2</v>
      </c>
      <c r="H81" s="21" t="s">
        <v>566</v>
      </c>
      <c r="I81" s="13">
        <v>42874.535983796297</v>
      </c>
      <c r="J81" s="7">
        <v>0</v>
      </c>
      <c r="K81" s="92" t="str">
        <f t="shared" si="35"/>
        <v>4023/4024</v>
      </c>
      <c r="L81" s="21" t="str">
        <f>VLOOKUP(A81,'Trips&amp;Operators'!$C$1:$G$99999,5,FALSE)</f>
        <v>BRANDNER MELINDA</v>
      </c>
      <c r="M81" s="6">
        <f t="shared" si="36"/>
        <v>2.5347222224809229E-2</v>
      </c>
      <c r="N81" s="7">
        <f t="shared" si="37"/>
        <v>36.50000000372529</v>
      </c>
      <c r="O81" s="7"/>
      <c r="P81" s="7"/>
      <c r="Q81" s="22"/>
      <c r="R81" s="190"/>
      <c r="S81" s="196">
        <f t="shared" si="38"/>
        <v>1</v>
      </c>
      <c r="T81" s="190" t="str">
        <f t="shared" si="39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40"/>
        <v>https://d0f6bd738d7f1b3e5a7ca70fe4ff75f0.us-east-1.aws.found.io/app/kibana#/discover/Steve-Slow-Train-Analysis-(2080s-and-2083s)?_g=(refreshInterval:(display:Off,pause:!f,section:0,value:0),time:(from:'2017-05-19T11:07:19-0600',mode:absolute,to:'2017-05-19T13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1" s="192" t="str">
        <f t="shared" si="41"/>
        <v>N</v>
      </c>
      <c r="X81" s="192">
        <f t="shared" si="34"/>
        <v>1</v>
      </c>
      <c r="Y81" s="192">
        <f t="shared" si="42"/>
        <v>4.2900000000000001E-2</v>
      </c>
      <c r="Z81" s="192">
        <f t="shared" si="43"/>
        <v>23.335699999999999</v>
      </c>
      <c r="AA81" s="192">
        <f t="shared" si="44"/>
        <v>23.2928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45"/>
        <v>0169-19</v>
      </c>
      <c r="AE81" s="80" t="str">
        <f t="shared" si="46"/>
        <v>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 &amp; aws s3 cp s3://rtdc.mdm.uploadarchive.raw/RTDC4024/ "%USERPROFILE%\AppData\Local\Temp\OnboardLogs"\RTDC4024\2017-05-20 --exclude "*" --recursive --include "*20170520*" &amp; "%USERPROFILE%\Documents\GitHub\mrs-test-scripts\Headless Mode &amp; Sideloading\WalkAndUnGZ.bat" "%USERPROFILE%\AppData\Local\Temp\OnboardLogs"\RTDC4024\2017-05-20</v>
      </c>
      <c r="AF81" s="77" t="str">
        <f t="shared" si="47"/>
        <v>"C:\Program Files (x86)\AstroGrep\AstroGrep.exe" /e /r /s /spath="%USERPROFILE%\AppData\Local\Temp\OnboardLogs" /stypes="app*4024*20170519*" /stext=" 18:.+((SYSTEM_STATE.+slice.+state.+changed )|(ment ac)|(multiple cpu faults)|(system.+state.+changed )|(\[timeout)|(PRM\|1\|D)|(kpr)|(kdp)|(train st.+moving)|(\|lc)|(penalty))"</v>
      </c>
      <c r="AG81" s="1" t="str">
        <f t="shared" si="48"/>
        <v>EC</v>
      </c>
      <c r="AH81" s="81" t="str">
        <f t="shared" si="49"/>
        <v>"%USERPROFILE%\Documents\GitHub\eaglep3\Utilities\RefineRTDCRunTimes.py" --tripid 169-19 --locoid 4024 --swversion DE.1.0.9.0 --startMP 204:429 --initTime 2017-05-19T12:07:19 --startdatetime 2017-05-19T12:15:19 --delay 2 --endMP 204:233357 --enddatetime 2017-05-19T12:51:49 --enforcementcount 0 &gt;&gt;C:\Users\stu\Documents\GitHub\eaglep3-reporting\EC\2017-05-19-refined-times.txt</v>
      </c>
      <c r="AI81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{"issue":{"subject":"","project_id":79,"tracker_id":40,"status_id":1,"priority_id":2,"assigned_to_id":23,"start_date":"2017-05-19","description":"","custom_fields":[{"id":1,"name":"Subdivision","value":"EC"},{"id":4,"name":"Milepost","value":"23.3357"},{"id":17,"name":"Train ID","value":"169-19"},{"id":16,"name":"Locomotive ID","value":"4024"},{"id":130,"name":"Impact","value":""},{"id":150,"name":"Time of Event (Mountain Time)","value":"12:51:49"},{"id":151,"name":"Denver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51"/>
        <v>start /low /b %USERPROFILE%\Documents\GitHub\eaglep3\Utilities\DownloadLogsFromS3.py --loco 4024 --day 2017-05-19</v>
      </c>
      <c r="AN81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18:51:49"},{"id":29,"name":"Sharepoint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631</v>
      </c>
      <c r="B82" s="7">
        <v>4023</v>
      </c>
      <c r="C82" s="21" t="s">
        <v>206</v>
      </c>
      <c r="D82" s="21" t="s">
        <v>909</v>
      </c>
      <c r="E82" s="13">
        <v>42874.54614583333</v>
      </c>
      <c r="F82" s="13">
        <v>42874.549502314818</v>
      </c>
      <c r="G82" s="7">
        <v>1</v>
      </c>
      <c r="H82" s="21" t="s">
        <v>368</v>
      </c>
      <c r="I82" s="13">
        <v>42874.577407407407</v>
      </c>
      <c r="J82" s="7">
        <v>0</v>
      </c>
      <c r="K82" s="92" t="str">
        <f t="shared" si="35"/>
        <v>4023/4024</v>
      </c>
      <c r="L82" s="21" t="str">
        <f>VLOOKUP(A82,'Trips&amp;Operators'!$C$1:$G$99999,5,FALSE)</f>
        <v>BRANDNER MELINDA</v>
      </c>
      <c r="M82" s="6">
        <f t="shared" si="36"/>
        <v>2.7905092589207925E-2</v>
      </c>
      <c r="N82" s="7">
        <f t="shared" si="37"/>
        <v>40.183333328459412</v>
      </c>
      <c r="O82" s="7"/>
      <c r="P82" s="7"/>
      <c r="Q82" s="22"/>
      <c r="R82" s="190"/>
      <c r="S82" s="196">
        <f t="shared" si="38"/>
        <v>1</v>
      </c>
      <c r="T82" s="190" t="str">
        <f t="shared" si="39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40"/>
        <v>https://d0f6bd738d7f1b3e5a7ca70fe4ff75f0.us-east-1.aws.found.io/app/kibana#/discover/Steve-Slow-Train-Analysis-(2080s-and-2083s)?_g=(refreshInterval:(display:Off,pause:!f,section:0,value:0),time:(from:'2017-05-19T12:06:27-0600',mode:absolute,to:'2017-05-19T14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2" s="192" t="str">
        <f t="shared" si="41"/>
        <v>N</v>
      </c>
      <c r="X82" s="192">
        <f t="shared" si="34"/>
        <v>1</v>
      </c>
      <c r="Y82" s="192">
        <f t="shared" si="42"/>
        <v>23.303999999999998</v>
      </c>
      <c r="Z82" s="192">
        <f t="shared" si="43"/>
        <v>1.47E-2</v>
      </c>
      <c r="AA82" s="192">
        <f t="shared" si="44"/>
        <v>23.289299999999997</v>
      </c>
      <c r="AB82" s="57" t="str">
        <f>VLOOKUP(A82,Enforcements!$C$7:$K$13,8,0)</f>
        <v>Bulletin (2)</v>
      </c>
      <c r="AC82" s="53" t="str">
        <f>VLOOKUP(A82,Enforcements!$C$7:$E$13,3,0)</f>
        <v>GRADE CROSSING</v>
      </c>
      <c r="AD82" s="54" t="str">
        <f t="shared" si="45"/>
        <v>0170-19</v>
      </c>
      <c r="AE82" s="80" t="str">
        <f t="shared" si="46"/>
        <v>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 &amp; aws s3 cp s3://rtdc.mdm.uploadarchive.raw/RTDC4023/ "%USERPROFILE%\AppData\Local\Temp\OnboardLogs"\RTDC4023\2017-05-20 --exclude "*" --recursive --include "*20170520*" &amp; "%USERPROFILE%\Documents\GitHub\mrs-test-scripts\Headless Mode &amp; Sideloading\WalkAndUnGZ.bat" "%USERPROFILE%\AppData\Local\Temp\OnboardLogs"\RTDC4023\2017-05-20</v>
      </c>
      <c r="AF82" s="77" t="str">
        <f t="shared" si="47"/>
        <v>"C:\Program Files (x86)\AstroGrep\AstroGrep.exe" /e /r /s /spath="%USERPROFILE%\AppData\Local\Temp\OnboardLogs" /stypes="app*4023*20170519*" /stext=" 19:.+((SYSTEM_STATE.+slice.+state.+changed )|(ment ac)|(multiple cpu faults)|(system.+state.+changed )|(\[timeout)|(PRM\|1\|D)|(kpr)|(kdp)|(train st.+moving)|(\|lc)|(penalty))"</v>
      </c>
      <c r="AG82" s="1" t="str">
        <f t="shared" si="48"/>
        <v>EC</v>
      </c>
      <c r="AH82" s="81" t="str">
        <f t="shared" si="49"/>
        <v>"%USERPROFILE%\Documents\GitHub\eaglep3\Utilities\RefineRTDCRunTimes.py" --tripid 170-19 --locoid 4023 --swversion DE.1.0.9.0 --startMP 204:233040 --initTime 2017-05-19T13:06:27 --startdatetime 2017-05-19T13:11:17 --delay 1 --endMP 204:147 --enddatetime 2017-05-19T13:51:28 --enforcementcount 0 &gt;&gt;C:\Users\stu\Documents\GitHub\eaglep3-reporting\EC\2017-05-19-refined-times.txt</v>
      </c>
      <c r="AI82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{"issue":{"subject":"","project_id":79,"tracker_id":40,"status_id":1,"priority_id":2,"assigned_to_id":23,"start_date":"2017-05-19","description":"","custom_fields":[{"id":1,"name":"Subdivision","value":"EC"},{"id":4,"name":"Milepost","value":"0.0147"},{"id":17,"name":"Train ID","value":"170-19"},{"id":16,"name":"Locomotive ID","value":"4023"},{"id":130,"name":"Impact","value":""},{"id":150,"name":"Time of Event (Mountain Time)","value":"13:51:28"},{"id":151,"name":"Denver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51"/>
        <v>start /low /b %USERPROFILE%\Documents\GitHub\eaglep3\Utilities\DownloadLogsFromS3.py --loco 4023 --day 2017-05-19</v>
      </c>
      <c r="AN82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19:51:28"},{"id":29,"name":"Sharepoint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746</v>
      </c>
      <c r="B83" s="7">
        <v>4040</v>
      </c>
      <c r="C83" s="21" t="s">
        <v>206</v>
      </c>
      <c r="D83" s="21" t="s">
        <v>357</v>
      </c>
      <c r="E83" s="13">
        <v>42874.515393518515</v>
      </c>
      <c r="F83" s="13">
        <v>42874.521111111113</v>
      </c>
      <c r="G83" s="7">
        <v>1</v>
      </c>
      <c r="H83" s="21" t="s">
        <v>477</v>
      </c>
      <c r="I83" s="13">
        <v>42874.545555555553</v>
      </c>
      <c r="J83" s="7">
        <v>0</v>
      </c>
      <c r="K83" s="92" t="str">
        <f t="shared" si="35"/>
        <v>4039/4040</v>
      </c>
      <c r="L83" s="21" t="str">
        <f>VLOOKUP(A83,'Trips&amp;Operators'!$C$1:$G$99999,5,FALSE)</f>
        <v>MOSES BRADLEY</v>
      </c>
      <c r="M83" s="6">
        <f t="shared" si="36"/>
        <v>2.4444444439723156E-2</v>
      </c>
      <c r="N83" s="7">
        <f t="shared" si="37"/>
        <v>35.199999993201345</v>
      </c>
      <c r="O83" s="7"/>
      <c r="P83" s="7"/>
      <c r="Q83" s="22"/>
      <c r="R83" s="190"/>
      <c r="S83" s="196">
        <f t="shared" si="38"/>
        <v>1</v>
      </c>
      <c r="T83" s="190" t="str">
        <f t="shared" si="39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40"/>
        <v>https://d0f6bd738d7f1b3e5a7ca70fe4ff75f0.us-east-1.aws.found.io/app/kibana#/discover/Steve-Slow-Train-Analysis-(2080s-and-2083s)?_g=(refreshInterval:(display:Off,pause:!f,section:0,value:0),time:(from:'2017-05-19T11:22:10-0600',mode:absolute,to:'2017-05-19T14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3" s="192" t="str">
        <f t="shared" si="41"/>
        <v>N</v>
      </c>
      <c r="X83" s="192">
        <f t="shared" si="34"/>
        <v>1</v>
      </c>
      <c r="Y83" s="192">
        <f t="shared" si="42"/>
        <v>4.6600000000000003E-2</v>
      </c>
      <c r="Z83" s="192">
        <f t="shared" si="43"/>
        <v>23.331399999999999</v>
      </c>
      <c r="AA83" s="192">
        <f t="shared" si="44"/>
        <v>23.284799999999997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45"/>
        <v>0171-19</v>
      </c>
      <c r="AE83" s="80" t="str">
        <f t="shared" si="46"/>
        <v>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 &amp; aws s3 cp s3://rtdc.mdm.uploadarchive.raw/RTDC4040/ "%USERPROFILE%\AppData\Local\Temp\OnboardLogs"\RTDC4040\2017-05-20 --exclude "*" --recursive --include "*20170520*" &amp; "%USERPROFILE%\Documents\GitHub\mrs-test-scripts\Headless Mode &amp; Sideloading\WalkAndUnGZ.bat" "%USERPROFILE%\AppData\Local\Temp\OnboardLogs"\RTDC4040\2017-05-20</v>
      </c>
      <c r="AF83" s="77" t="str">
        <f t="shared" si="47"/>
        <v>"C:\Program Files (x86)\AstroGrep\AstroGrep.exe" /e /r /s /spath="%USERPROFILE%\AppData\Local\Temp\OnboardLogs" /stypes="app*4040*20170519*" /stext=" 19:.+((SYSTEM_STATE.+slice.+state.+changed )|(ment ac)|(multiple cpu faults)|(system.+state.+changed )|(\[timeout)|(PRM\|1\|D)|(kpr)|(kdp)|(train st.+moving)|(\|lc)|(penalty))"</v>
      </c>
      <c r="AG83" s="1" t="str">
        <f t="shared" si="48"/>
        <v>EC</v>
      </c>
      <c r="AH83" s="81" t="str">
        <f t="shared" si="49"/>
        <v>"%USERPROFILE%\Documents\GitHub\eaglep3\Utilities\RefineRTDCRunTimes.py" --tripid 171-19 --locoid 4040 --swversion DE.1.0.9.0 --startMP 204:466 --initTime 2017-05-19T12:22:10 --startdatetime 2017-05-19T12:30:24 --delay 1 --endMP 204:233314 --enddatetime 2017-05-19T13:05:36 --enforcementcount 0 &gt;&gt;C:\Users\stu\Documents\GitHub\eaglep3-reporting\EC\2017-05-19-refined-times.txt</v>
      </c>
      <c r="AI83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{"issue":{"subject":"","project_id":79,"tracker_id":40,"status_id":1,"priority_id":2,"assigned_to_id":23,"start_date":"2017-05-19","description":"","custom_fields":[{"id":1,"name":"Subdivision","value":"EC"},{"id":4,"name":"Milepost","value":"23.3314"},{"id":17,"name":"Train ID","value":"171-19"},{"id":16,"name":"Locomotive ID","value":"4040"},{"id":130,"name":"Impact","value":""},{"id":150,"name":"Time of Event (Mountain Time)","value":"13:05:36"},{"id":151,"name":"Denver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51"/>
        <v>start /low /b %USERPROFILE%\Documents\GitHub\eaglep3\Utilities\DownloadLogsFromS3.py --loco 4040 --day 2017-05-19</v>
      </c>
      <c r="AN83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19:05:36"},{"id":29,"name":"Sharepoint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752</v>
      </c>
      <c r="B84" s="7">
        <v>4039</v>
      </c>
      <c r="C84" s="21" t="s">
        <v>206</v>
      </c>
      <c r="D84" s="21" t="s">
        <v>425</v>
      </c>
      <c r="E84" s="13">
        <v>42874.555983796294</v>
      </c>
      <c r="F84" s="13">
        <v>42874.560104166667</v>
      </c>
      <c r="G84" s="7">
        <v>1</v>
      </c>
      <c r="H84" s="21" t="s">
        <v>367</v>
      </c>
      <c r="I84" s="13">
        <v>42874.586504629631</v>
      </c>
      <c r="J84" s="7">
        <v>0</v>
      </c>
      <c r="K84" s="92" t="str">
        <f t="shared" si="35"/>
        <v>4039/4040</v>
      </c>
      <c r="L84" s="21" t="str">
        <f>VLOOKUP(A84,'Trips&amp;Operators'!$C$1:$G$99999,5,FALSE)</f>
        <v>MOSES BRADLEY</v>
      </c>
      <c r="M84" s="6">
        <f t="shared" si="36"/>
        <v>2.6400462964375038E-2</v>
      </c>
      <c r="N84" s="7">
        <f t="shared" si="37"/>
        <v>38.016666668700054</v>
      </c>
      <c r="O84" s="7"/>
      <c r="P84" s="7"/>
      <c r="Q84" s="22"/>
      <c r="R84" s="190"/>
      <c r="S84" s="196">
        <f t="shared" si="38"/>
        <v>1</v>
      </c>
      <c r="T84" s="190" t="str">
        <f t="shared" si="39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40"/>
        <v>https://d0f6bd738d7f1b3e5a7ca70fe4ff75f0.us-east-1.aws.found.io/app/kibana#/discover/Steve-Slow-Train-Analysis-(2080s-and-2083s)?_g=(refreshInterval:(display:Off,pause:!f,section:0,value:0),time:(from:'2017-05-19T12:20:37-0600',mode:absolute,to:'2017-05-19T15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4" s="192" t="str">
        <f t="shared" si="41"/>
        <v>N</v>
      </c>
      <c r="X84" s="192">
        <f t="shared" si="34"/>
        <v>1</v>
      </c>
      <c r="Y84" s="192">
        <f t="shared" si="42"/>
        <v>23.301100000000002</v>
      </c>
      <c r="Z84" s="192">
        <f t="shared" si="43"/>
        <v>1.41E-2</v>
      </c>
      <c r="AA84" s="192">
        <f t="shared" si="44"/>
        <v>23.287000000000003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45"/>
        <v>0172-19</v>
      </c>
      <c r="AE84" s="80" t="str">
        <f t="shared" si="46"/>
        <v>aws s3 cp s3://rtdc.mdm.uploadarchive.raw/RTDC4039/ "%USERPROFILE%\AppData\Local\Temp\OnboardLogs"\RTDC4039\2017-05-19 --exclude "*" --recursive --include "*20170519*" &amp; "%USERPROFILE%\Documents\GitHub\mrs-test-scripts\Headless Mode &amp; Sideloading\WalkAndUnGZ.bat" "%USERPROFILE%\AppData\Local\Temp\OnboardLogs"\RTDC4039\2017-05-19 &amp; aws s3 cp s3://rtdc.mdm.uploadarchive.raw/RTDC4039/ "%USERPROFILE%\AppData\Local\Temp\OnboardLogs"\RTDC4039\2017-05-20 --exclude "*" --recursive --include "*20170520*" &amp; "%USERPROFILE%\Documents\GitHub\mrs-test-scripts\Headless Mode &amp; Sideloading\WalkAndUnGZ.bat" "%USERPROFILE%\AppData\Local\Temp\OnboardLogs"\RTDC4039\2017-05-20</v>
      </c>
      <c r="AF84" s="77" t="str">
        <f t="shared" si="47"/>
        <v>"C:\Program Files (x86)\AstroGrep\AstroGrep.exe" /e /r /s /spath="%USERPROFILE%\AppData\Local\Temp\OnboardLogs" /stypes="app*4039*20170519*" /stext=" 20:.+((SYSTEM_STATE.+slice.+state.+changed )|(ment ac)|(multiple cpu faults)|(system.+state.+changed )|(\[timeout)|(PRM\|1\|D)|(kpr)|(kdp)|(train st.+moving)|(\|lc)|(penalty))"</v>
      </c>
      <c r="AG84" s="1" t="str">
        <f t="shared" si="48"/>
        <v>EC</v>
      </c>
      <c r="AH84" s="81" t="str">
        <f t="shared" si="49"/>
        <v>"%USERPROFILE%\Documents\GitHub\eaglep3\Utilities\RefineRTDCRunTimes.py" --tripid 172-19 --locoid 4039 --swversion DE.1.0.9.0 --startMP 204:233011 --initTime 2017-05-19T13:20:37 --startdatetime 2017-05-19T13:26:33 --delay 1 --endMP 204:141 --enddatetime 2017-05-19T14:04:34 --enforcementcount 0 &gt;&gt;C:\Users\stu\Documents\GitHub\eaglep3-reporting\EC\2017-05-19-refined-times.txt</v>
      </c>
      <c r="AI84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{"issue":{"subject":"","project_id":79,"tracker_id":40,"status_id":1,"priority_id":2,"assigned_to_id":23,"start_date":"2017-05-19","description":"","custom_fields":[{"id":1,"name":"Subdivision","value":"EC"},{"id":4,"name":"Milepost","value":"0.0141"},{"id":17,"name":"Train ID","value":"172-19"},{"id":16,"name":"Locomotive ID","value":"4039"},{"id":130,"name":"Impact","value":""},{"id":150,"name":"Time of Event (Mountain Time)","value":"14:04:34"},{"id":151,"name":"Denver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51"/>
        <v>start /low /b %USERPROFILE%\Documents\GitHub\eaglep3\Utilities\DownloadLogsFromS3.py --loco 4039 --day 2017-05-19</v>
      </c>
      <c r="AN84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20:04:34"},{"id":29,"name":"Sharepoint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630</v>
      </c>
      <c r="B85" s="7">
        <v>4012</v>
      </c>
      <c r="C85" s="21" t="s">
        <v>206</v>
      </c>
      <c r="D85" s="21" t="s">
        <v>426</v>
      </c>
      <c r="E85" s="13">
        <v>42874.527997685182</v>
      </c>
      <c r="F85" s="13">
        <v>42874.5315625</v>
      </c>
      <c r="G85" s="7">
        <v>2</v>
      </c>
      <c r="H85" s="21" t="s">
        <v>568</v>
      </c>
      <c r="I85" s="13">
        <v>42874.557025462964</v>
      </c>
      <c r="J85" s="7">
        <v>0</v>
      </c>
      <c r="K85" s="92" t="str">
        <f t="shared" si="35"/>
        <v>4011/4012</v>
      </c>
      <c r="L85" s="21" t="str">
        <f>VLOOKUP(A85,'Trips&amp;Operators'!$C$1:$G$99999,5,FALSE)</f>
        <v>STEWART MICHAEL</v>
      </c>
      <c r="M85" s="6">
        <f t="shared" si="36"/>
        <v>2.5462962963501923E-2</v>
      </c>
      <c r="N85" s="7">
        <f t="shared" si="37"/>
        <v>36.666666667442769</v>
      </c>
      <c r="O85" s="7"/>
      <c r="P85" s="7"/>
      <c r="Q85" s="22"/>
      <c r="R85" s="190"/>
      <c r="S85" s="196">
        <f t="shared" si="38"/>
        <v>1</v>
      </c>
      <c r="T85" s="190" t="str">
        <f t="shared" si="39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40"/>
        <v>https://d0f6bd738d7f1b3e5a7ca70fe4ff75f0.us-east-1.aws.found.io/app/kibana#/discover/Steve-Slow-Train-Analysis-(2080s-and-2083s)?_g=(refreshInterval:(display:Off,pause:!f,section:0,value:0),time:(from:'2017-05-19T11:40:19-0600',mode:absolute,to:'2017-05-19T14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5" s="192" t="str">
        <f t="shared" si="41"/>
        <v>N</v>
      </c>
      <c r="X85" s="192">
        <f t="shared" si="34"/>
        <v>1</v>
      </c>
      <c r="Y85" s="192">
        <f t="shared" si="42"/>
        <v>4.7300000000000002E-2</v>
      </c>
      <c r="Z85" s="192">
        <f t="shared" si="43"/>
        <v>23.331900000000001</v>
      </c>
      <c r="AA85" s="192">
        <f t="shared" si="44"/>
        <v>23.284600000000001</v>
      </c>
      <c r="AB85" s="57" t="str">
        <f>VLOOKUP(A85,Enforcements!$C$7:$K$13,8,0)</f>
        <v>Bulletin (2)</v>
      </c>
      <c r="AC85" s="53" t="str">
        <f>VLOOKUP(A85,Enforcements!$C$7:$E$13,3,0)</f>
        <v>GRADE CROSSING</v>
      </c>
      <c r="AD85" s="54" t="str">
        <f t="shared" si="45"/>
        <v>0173-19</v>
      </c>
      <c r="AE85" s="80" t="str">
        <f t="shared" si="46"/>
        <v>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 &amp; 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</v>
      </c>
      <c r="AF85" s="77" t="str">
        <f t="shared" si="47"/>
        <v>"C:\Program Files (x86)\AstroGrep\AstroGrep.exe" /e /r /s /spath="%USERPROFILE%\AppData\Local\Temp\OnboardLogs" /stypes="app*4012*20170519*" /stext=" 19:.+((SYSTEM_STATE.+slice.+state.+changed )|(ment ac)|(multiple cpu faults)|(system.+state.+changed )|(\[timeout)|(PRM\|1\|D)|(kpr)|(kdp)|(train st.+moving)|(\|lc)|(penalty))"</v>
      </c>
      <c r="AG85" s="1" t="str">
        <f t="shared" si="48"/>
        <v>EC</v>
      </c>
      <c r="AH85" s="81" t="str">
        <f t="shared" si="49"/>
        <v>"%USERPROFILE%\Documents\GitHub\eaglep3\Utilities\RefineRTDCRunTimes.py" --tripid 173-19 --locoid 4012 --swversion DE.1.0.9.0 --startMP 204:473 --initTime 2017-05-19T12:40:19 --startdatetime 2017-05-19T12:45:27 --delay 2 --endMP 204:233319 --enddatetime 2017-05-19T13:22:07 --enforcementcount 0 &gt;&gt;C:\Users\stu\Documents\GitHub\eaglep3-reporting\EC\2017-05-19-refined-times.txt</v>
      </c>
      <c r="AI85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{"issue":{"subject":"","project_id":79,"tracker_id":40,"status_id":1,"priority_id":2,"assigned_to_id":23,"start_date":"2017-05-19","description":"","custom_fields":[{"id":1,"name":"Subdivision","value":"EC"},{"id":4,"name":"Milepost","value":"23.3319"},{"id":17,"name":"Train ID","value":"173-19"},{"id":16,"name":"Locomotive ID","value":"4012"},{"id":130,"name":"Impact","value":""},{"id":150,"name":"Time of Event (Mountain Time)","value":"13:22:07"},{"id":151,"name":"Denver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51"/>
        <v>start /low /b %USERPROFILE%\Documents\GitHub\eaglep3\Utilities\DownloadLogsFromS3.py --loco 4012 --day 2017-05-19</v>
      </c>
      <c r="AN85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19:22:07"},{"id":29,"name":"Sharepoint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633</v>
      </c>
      <c r="B86" s="7">
        <v>4011</v>
      </c>
      <c r="C86" s="21" t="s">
        <v>206</v>
      </c>
      <c r="D86" s="21" t="s">
        <v>480</v>
      </c>
      <c r="E86" s="13">
        <v>42874.566469907404</v>
      </c>
      <c r="F86" s="13">
        <v>42874.570428240739</v>
      </c>
      <c r="G86" s="7">
        <v>1</v>
      </c>
      <c r="H86" s="21" t="s">
        <v>910</v>
      </c>
      <c r="I86" s="13">
        <v>42874.59820601852</v>
      </c>
      <c r="J86" s="7">
        <v>0</v>
      </c>
      <c r="K86" s="92" t="str">
        <f t="shared" si="35"/>
        <v>4011/4012</v>
      </c>
      <c r="L86" s="21" t="str">
        <f>VLOOKUP(A86,'Trips&amp;Operators'!$C$1:$G$99999,5,FALSE)</f>
        <v>STEWART MICHAEL</v>
      </c>
      <c r="M86" s="6">
        <f t="shared" si="36"/>
        <v>2.7777777781011537E-2</v>
      </c>
      <c r="N86" s="7">
        <f t="shared" si="37"/>
        <v>40.000000004656613</v>
      </c>
      <c r="O86" s="7"/>
      <c r="P86" s="7"/>
      <c r="Q86" s="22"/>
      <c r="R86" s="190"/>
      <c r="S86" s="196">
        <f t="shared" si="38"/>
        <v>1</v>
      </c>
      <c r="T86" s="190" t="str">
        <f t="shared" si="39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40"/>
        <v>https://d0f6bd738d7f1b3e5a7ca70fe4ff75f0.us-east-1.aws.found.io/app/kibana#/discover/Steve-Slow-Train-Analysis-(2080s-and-2083s)?_g=(refreshInterval:(display:Off,pause:!f,section:0,value:0),time:(from:'2017-05-19T12:35:43-0600',mode:absolute,to:'2017-05-19T15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6" s="192" t="str">
        <f t="shared" si="41"/>
        <v>N</v>
      </c>
      <c r="X86" s="192">
        <f t="shared" si="34"/>
        <v>1</v>
      </c>
      <c r="Y86" s="192">
        <f t="shared" si="42"/>
        <v>23.3</v>
      </c>
      <c r="Z86" s="192">
        <f t="shared" si="43"/>
        <v>1.34E-2</v>
      </c>
      <c r="AA86" s="192">
        <f t="shared" si="44"/>
        <v>23.2866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45"/>
        <v>0174-19</v>
      </c>
      <c r="AE86" s="80" t="str">
        <f t="shared" si="46"/>
        <v>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 &amp; 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</v>
      </c>
      <c r="AF86" s="77" t="str">
        <f t="shared" si="47"/>
        <v>"C:\Program Files (x86)\AstroGrep\AstroGrep.exe" /e /r /s /spath="%USERPROFILE%\AppData\Local\Temp\OnboardLogs" /stypes="app*4011*20170519*" /stext=" 20:.+((SYSTEM_STATE.+slice.+state.+changed )|(ment ac)|(multiple cpu faults)|(system.+state.+changed )|(\[timeout)|(PRM\|1\|D)|(kpr)|(kdp)|(train st.+moving)|(\|lc)|(penalty))"</v>
      </c>
      <c r="AG86" s="1" t="str">
        <f t="shared" si="48"/>
        <v>EC</v>
      </c>
      <c r="AH86" s="81" t="str">
        <f t="shared" si="49"/>
        <v>"%USERPROFILE%\Documents\GitHub\eaglep3\Utilities\RefineRTDCRunTimes.py" --tripid 174-19 --locoid 4011 --swversion DE.1.0.9.0 --startMP 204:233000 --initTime 2017-05-19T13:35:43 --startdatetime 2017-05-19T13:41:25 --delay 1 --endMP 204:134 --enddatetime 2017-05-19T14:21:25 --enforcementcount 0 &gt;&gt;C:\Users\stu\Documents\GitHub\eaglep3-reporting\EC\2017-05-19-refined-times.txt</v>
      </c>
      <c r="AI86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{"issue":{"subject":"","project_id":79,"tracker_id":40,"status_id":1,"priority_id":2,"assigned_to_id":23,"start_date":"2017-05-19","description":"","custom_fields":[{"id":1,"name":"Subdivision","value":"EC"},{"id":4,"name":"Milepost","value":"0.0134"},{"id":17,"name":"Train ID","value":"174-19"},{"id":16,"name":"Locomotive ID","value":"4011"},{"id":130,"name":"Impact","value":""},{"id":150,"name":"Time of Event (Mountain Time)","value":"14:21:25"},{"id":151,"name":"Denver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51"/>
        <v>start /low /b %USERPROFILE%\Documents\GitHub\eaglep3\Utilities\DownloadLogsFromS3.py --loco 4011 --day 2017-05-19</v>
      </c>
      <c r="AN86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20:21:25"},{"id":29,"name":"Sharepoint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748</v>
      </c>
      <c r="B87" s="7">
        <v>4018</v>
      </c>
      <c r="C87" s="21" t="s">
        <v>206</v>
      </c>
      <c r="D87" s="21" t="s">
        <v>362</v>
      </c>
      <c r="E87" s="13">
        <v>42874.535196759258</v>
      </c>
      <c r="F87" s="13">
        <v>42874.542025462964</v>
      </c>
      <c r="G87" s="7">
        <v>1</v>
      </c>
      <c r="H87" s="21" t="s">
        <v>569</v>
      </c>
      <c r="I87" s="13">
        <v>42874.566400462965</v>
      </c>
      <c r="J87" s="7">
        <v>0</v>
      </c>
      <c r="K87" s="92" t="str">
        <f t="shared" si="35"/>
        <v>4017/4018</v>
      </c>
      <c r="L87" s="21" t="str">
        <f>VLOOKUP(A87,'Trips&amp;Operators'!$C$1:$G$99999,5,FALSE)</f>
        <v>ROMERO CHAD</v>
      </c>
      <c r="M87" s="6">
        <f t="shared" si="36"/>
        <v>2.4375000000873115E-2</v>
      </c>
      <c r="N87" s="7">
        <f t="shared" si="37"/>
        <v>35.100000001257285</v>
      </c>
      <c r="O87" s="7"/>
      <c r="P87" s="7"/>
      <c r="Q87" s="22"/>
      <c r="R87" s="190"/>
      <c r="S87" s="196">
        <f t="shared" si="38"/>
        <v>1</v>
      </c>
      <c r="T87" s="190" t="str">
        <f t="shared" si="39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40"/>
        <v>https://d0f6bd738d7f1b3e5a7ca70fe4ff75f0.us-east-1.aws.found.io/app/kibana#/discover/Steve-Slow-Train-Analysis-(2080s-and-2083s)?_g=(refreshInterval:(display:Off,pause:!f,section:0,value:0),time:(from:'2017-05-19T11:50:41-0600',mode:absolute,to:'2017-05-19T14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192" t="str">
        <f t="shared" si="41"/>
        <v>N</v>
      </c>
      <c r="X87" s="192">
        <f t="shared" si="34"/>
        <v>1</v>
      </c>
      <c r="Y87" s="192">
        <f t="shared" si="42"/>
        <v>4.53E-2</v>
      </c>
      <c r="Z87" s="192">
        <f t="shared" si="43"/>
        <v>23.337800000000001</v>
      </c>
      <c r="AA87" s="192">
        <f t="shared" si="44"/>
        <v>23.2925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45"/>
        <v>0175-19</v>
      </c>
      <c r="AE87" s="80" t="str">
        <f t="shared" si="46"/>
        <v>aws s3 cp s3://rtdc.mdm.uploadarchive.raw/RTDC4018/ "%USERPROFILE%\AppData\Local\Temp\OnboardLogs"\RTDC4018\2017-05-19 --exclude "*" --recursive --include "*20170519*" &amp; "%USERPROFILE%\Documents\GitHub\mrs-test-scripts\Headless Mode &amp; Sideloading\WalkAndUnGZ.bat" "%USERPROFILE%\AppData\Local\Temp\OnboardLogs"\RTDC4018\2017-05-19 &amp; 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</v>
      </c>
      <c r="AF87" s="77" t="str">
        <f t="shared" si="47"/>
        <v>"C:\Program Files (x86)\AstroGrep\AstroGrep.exe" /e /r /s /spath="%USERPROFILE%\AppData\Local\Temp\OnboardLogs" /stypes="app*4018*20170519*" /stext=" 19:.+((SYSTEM_STATE.+slice.+state.+changed )|(ment ac)|(multiple cpu faults)|(system.+state.+changed )|(\[timeout)|(PRM\|1\|D)|(kpr)|(kdp)|(train st.+moving)|(\|lc)|(penalty))"</v>
      </c>
      <c r="AG87" s="1" t="str">
        <f t="shared" si="48"/>
        <v>EC</v>
      </c>
      <c r="AH87" s="81" t="str">
        <f t="shared" si="49"/>
        <v>"%USERPROFILE%\Documents\GitHub\eaglep3\Utilities\RefineRTDCRunTimes.py" --tripid 175-19 --locoid 4018 --swversion DE.1.0.9.0 --startMP 204:453 --initTime 2017-05-19T12:50:41 --startdatetime 2017-05-19T13:00:31 --delay 1 --endMP 204:233378 --enddatetime 2017-05-19T13:35:37 --enforcementcount 0 &gt;&gt;C:\Users\stu\Documents\GitHub\eaglep3-reporting\EC\2017-05-19-refined-times.txt</v>
      </c>
      <c r="AI87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{"issue":{"subject":"","project_id":79,"tracker_id":40,"status_id":1,"priority_id":2,"assigned_to_id":23,"start_date":"2017-05-19","description":"","custom_fields":[{"id":1,"name":"Subdivision","value":"EC"},{"id":4,"name":"Milepost","value":"23.3378"},{"id":17,"name":"Train ID","value":"175-19"},{"id":16,"name":"Locomotive ID","value":"4018"},{"id":130,"name":"Impact","value":""},{"id":150,"name":"Time of Event (Mountain Time)","value":"13:35:37"},{"id":151,"name":"Denver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51"/>
        <v>start /low /b %USERPROFILE%\Documents\GitHub\eaglep3\Utilities\DownloadLogsFromS3.py --loco 4018 --day 2017-05-19</v>
      </c>
      <c r="AN87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19:35:37"},{"id":29,"name":"Sharepoint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755</v>
      </c>
      <c r="B88" s="7">
        <v>4017</v>
      </c>
      <c r="C88" s="21" t="s">
        <v>206</v>
      </c>
      <c r="D88" s="21" t="s">
        <v>567</v>
      </c>
      <c r="E88" s="13">
        <v>42874.567881944444</v>
      </c>
      <c r="F88" s="13">
        <v>42874.580729166664</v>
      </c>
      <c r="G88" s="7">
        <v>1</v>
      </c>
      <c r="H88" s="21" t="s">
        <v>365</v>
      </c>
      <c r="I88" s="13">
        <v>42874.606122685182</v>
      </c>
      <c r="J88" s="7">
        <v>0</v>
      </c>
      <c r="K88" s="92" t="str">
        <f t="shared" si="35"/>
        <v>4017/4018</v>
      </c>
      <c r="L88" s="21" t="str">
        <f>VLOOKUP(A88,'Trips&amp;Operators'!$C$1:$G$99999,5,FALSE)</f>
        <v>ROMERO CHAD</v>
      </c>
      <c r="M88" s="6">
        <f t="shared" si="36"/>
        <v>2.5393518517375924E-2</v>
      </c>
      <c r="N88" s="7">
        <f t="shared" si="37"/>
        <v>36.56666666502133</v>
      </c>
      <c r="O88" s="7"/>
      <c r="P88" s="7"/>
      <c r="Q88" s="22"/>
      <c r="R88" s="190"/>
      <c r="S88" s="196">
        <f t="shared" si="38"/>
        <v>1</v>
      </c>
      <c r="T88" s="190" t="str">
        <f t="shared" si="39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40"/>
        <v>https://d0f6bd738d7f1b3e5a7ca70fe4ff75f0.us-east-1.aws.found.io/app/kibana#/discover/Steve-Slow-Train-Analysis-(2080s-and-2083s)?_g=(refreshInterval:(display:Off,pause:!f,section:0,value:0),time:(from:'2017-05-19T12:37:45-0600',mode:absolute,to:'2017-05-19T15:32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192" t="str">
        <f t="shared" si="41"/>
        <v>N</v>
      </c>
      <c r="X88" s="192">
        <f t="shared" si="34"/>
        <v>1</v>
      </c>
      <c r="Y88" s="192">
        <f t="shared" si="42"/>
        <v>23.303799999999999</v>
      </c>
      <c r="Z88" s="192">
        <f t="shared" si="43"/>
        <v>1.3899999999999999E-2</v>
      </c>
      <c r="AA88" s="192">
        <f t="shared" si="44"/>
        <v>23.289899999999999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45"/>
        <v>0176-19</v>
      </c>
      <c r="AE88" s="80" t="str">
        <f t="shared" si="46"/>
        <v>aws s3 cp s3://rtdc.mdm.uploadarchive.raw/RTDC4017/ "%USERPROFILE%\AppData\Local\Temp\OnboardLogs"\RTDC4017\2017-05-19 --exclude "*" --recursive --include "*20170519*" &amp; "%USERPROFILE%\Documents\GitHub\mrs-test-scripts\Headless Mode &amp; Sideloading\WalkAndUnGZ.bat" "%USERPROFILE%\AppData\Local\Temp\OnboardLogs"\RTDC4017\2017-05-19 &amp; 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</v>
      </c>
      <c r="AF88" s="77" t="str">
        <f t="shared" si="47"/>
        <v>"C:\Program Files (x86)\AstroGrep\AstroGrep.exe" /e /r /s /spath="%USERPROFILE%\AppData\Local\Temp\OnboardLogs" /stypes="app*4017*20170519*" /stext=" 20:.+((SYSTEM_STATE.+slice.+state.+changed )|(ment ac)|(multiple cpu faults)|(system.+state.+changed )|(\[timeout)|(PRM\|1\|D)|(kpr)|(kdp)|(train st.+moving)|(\|lc)|(penalty))"</v>
      </c>
      <c r="AG88" s="1" t="str">
        <f t="shared" si="48"/>
        <v>EC</v>
      </c>
      <c r="AH88" s="81" t="str">
        <f t="shared" si="49"/>
        <v>"%USERPROFILE%\Documents\GitHub\eaglep3\Utilities\RefineRTDCRunTimes.py" --tripid 176-19 --locoid 4017 --swversion DE.1.0.9.0 --startMP 204:233038 --initTime 2017-05-19T13:37:45 --startdatetime 2017-05-19T13:56:15 --delay 1 --endMP 204:139 --enddatetime 2017-05-19T14:32:49 --enforcementcount 0 &gt;&gt;C:\Users\stu\Documents\GitHub\eaglep3-reporting\EC\2017-05-19-refined-times.txt</v>
      </c>
      <c r="AI88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{"issue":{"subject":"","project_id":79,"tracker_id":40,"status_id":1,"priority_id":2,"assigned_to_id":23,"start_date":"2017-05-19","description":"","custom_fields":[{"id":1,"name":"Subdivision","value":"EC"},{"id":4,"name":"Milepost","value":"0.0139"},{"id":17,"name":"Train ID","value":"176-19"},{"id":16,"name":"Locomotive ID","value":"4017"},{"id":130,"name":"Impact","value":""},{"id":150,"name":"Time of Event (Mountain Time)","value":"14:32:49"},{"id":151,"name":"Denver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51"/>
        <v>start /low /b %USERPROFILE%\Documents\GitHub\eaglep3\Utilities\DownloadLogsFromS3.py --loco 4017 --day 2017-05-19</v>
      </c>
      <c r="AN88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20:32:49"},{"id":29,"name":"Sharepoint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751</v>
      </c>
      <c r="B89" s="7">
        <v>4016</v>
      </c>
      <c r="C89" s="21" t="s">
        <v>206</v>
      </c>
      <c r="D89" s="21" t="s">
        <v>406</v>
      </c>
      <c r="E89" s="13">
        <v>42874.549131944441</v>
      </c>
      <c r="F89" s="13">
        <v>42874.552245370367</v>
      </c>
      <c r="G89" s="7">
        <v>0</v>
      </c>
      <c r="H89" s="21" t="s">
        <v>911</v>
      </c>
      <c r="I89" s="13">
        <v>42874.578229166669</v>
      </c>
      <c r="J89" s="7">
        <v>0</v>
      </c>
      <c r="K89" s="92" t="str">
        <f t="shared" si="35"/>
        <v>4015/4016</v>
      </c>
      <c r="L89" s="21" t="str">
        <f>VLOOKUP(A89,'Trips&amp;Operators'!$C$1:$G$99999,5,FALSE)</f>
        <v>CLARK KATHLEEN</v>
      </c>
      <c r="M89" s="6">
        <f t="shared" si="36"/>
        <v>2.5983796302170958E-2</v>
      </c>
      <c r="N89" s="7">
        <f t="shared" si="37"/>
        <v>37.41666667512618</v>
      </c>
      <c r="O89" s="7"/>
      <c r="P89" s="7"/>
      <c r="Q89" s="22"/>
      <c r="R89" s="190"/>
      <c r="S89" s="196">
        <f t="shared" si="38"/>
        <v>1</v>
      </c>
      <c r="T89" s="190" t="str">
        <f t="shared" si="39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40"/>
        <v>https://d0f6bd738d7f1b3e5a7ca70fe4ff75f0.us-east-1.aws.found.io/app/kibana#/discover/Steve-Slow-Train-Analysis-(2080s-and-2083s)?_g=(refreshInterval:(display:Off,pause:!f,section:0,value:0),time:(from:'2017-05-19T12:10:45-0600',mode:absolute,to:'2017-05-19T14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9" s="192" t="str">
        <f t="shared" si="41"/>
        <v>N</v>
      </c>
      <c r="X89" s="192">
        <f t="shared" si="34"/>
        <v>1</v>
      </c>
      <c r="Y89" s="192">
        <f t="shared" si="42"/>
        <v>4.7699999999999999E-2</v>
      </c>
      <c r="Z89" s="192">
        <f t="shared" si="43"/>
        <v>23.3308</v>
      </c>
      <c r="AA89" s="192">
        <f t="shared" si="44"/>
        <v>23.283100000000001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45"/>
        <v>0177-19</v>
      </c>
      <c r="AE89" s="80" t="str">
        <f t="shared" si="46"/>
        <v>aws s3 cp s3://rtdc.mdm.uploadarchive.raw/RTDC4016/ "%USERPROFILE%\AppData\Local\Temp\OnboardLogs"\RTDC4016\2017-05-19 --exclude "*" --recursive --include "*20170519*" &amp; "%USERPROFILE%\Documents\GitHub\mrs-test-scripts\Headless Mode &amp; Sideloading\WalkAndUnGZ.bat" "%USERPROFILE%\AppData\Local\Temp\OnboardLogs"\RTDC4016\2017-05-19 &amp; aws s3 cp s3://rtdc.mdm.uploadarchive.raw/RTDC4016/ "%USERPROFILE%\AppData\Local\Temp\OnboardLogs"\RTDC4016\2017-05-20 --exclude "*" --recursive --include "*20170520*" &amp; "%USERPROFILE%\Documents\GitHub\mrs-test-scripts\Headless Mode &amp; Sideloading\WalkAndUnGZ.bat" "%USERPROFILE%\AppData\Local\Temp\OnboardLogs"\RTDC4016\2017-05-20</v>
      </c>
      <c r="AF89" s="77" t="str">
        <f t="shared" si="47"/>
        <v>"C:\Program Files (x86)\AstroGrep\AstroGrep.exe" /e /r /s /spath="%USERPROFILE%\AppData\Local\Temp\OnboardLogs" /stypes="app*4016*20170519*" /stext=" 19:.+((SYSTEM_STATE.+slice.+state.+changed )|(ment ac)|(multiple cpu faults)|(system.+state.+changed )|(\[timeout)|(PRM\|1\|D)|(kpr)|(kdp)|(train st.+moving)|(\|lc)|(penalty))"</v>
      </c>
      <c r="AG89" s="1" t="str">
        <f t="shared" si="48"/>
        <v>EC</v>
      </c>
      <c r="AH89" s="81" t="str">
        <f t="shared" si="49"/>
        <v>"%USERPROFILE%\Documents\GitHub\eaglep3\Utilities\RefineRTDCRunTimes.py" --tripid 177-19 --locoid 4016 --swversion DE.1.0.9.0 --startMP 204:477 --initTime 2017-05-19T13:10:45 --startdatetime 2017-05-19T13:15:14 --delay 0 --endMP 204:233308 --enddatetime 2017-05-19T13:52:39 --enforcementcount 0 &gt;&gt;C:\Users\stu\Documents\GitHub\eaglep3-reporting\EC\2017-05-19-refined-times.txt</v>
      </c>
      <c r="AI89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{"issue":{"subject":"","project_id":79,"tracker_id":40,"status_id":1,"priority_id":2,"assigned_to_id":23,"start_date":"2017-05-19","description":"","custom_fields":[{"id":1,"name":"Subdivision","value":"EC"},{"id":4,"name":"Milepost","value":"23.3308"},{"id":17,"name":"Train ID","value":"177-19"},{"id":16,"name":"Locomotive ID","value":"4016"},{"id":130,"name":"Impact","value":""},{"id":150,"name":"Time of Event (Mountain Time)","value":"13:52:39"},{"id":151,"name":"Denver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51"/>
        <v>start /low /b %USERPROFILE%\Documents\GitHub\eaglep3\Utilities\DownloadLogsFromS3.py --loco 4016 --day 2017-05-19</v>
      </c>
      <c r="AN89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19:52:39"},{"id":29,"name":"Sharepoint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756</v>
      </c>
      <c r="B90" s="7">
        <v>4015</v>
      </c>
      <c r="C90" s="21" t="s">
        <v>206</v>
      </c>
      <c r="D90" s="21" t="s">
        <v>912</v>
      </c>
      <c r="E90" s="13">
        <v>42874.586030092592</v>
      </c>
      <c r="F90" s="13">
        <v>42874.591122685182</v>
      </c>
      <c r="G90" s="7">
        <v>1</v>
      </c>
      <c r="H90" s="21" t="s">
        <v>574</v>
      </c>
      <c r="I90" s="13">
        <v>42874.618761574071</v>
      </c>
      <c r="J90" s="7">
        <v>0</v>
      </c>
      <c r="K90" s="92" t="str">
        <f t="shared" si="35"/>
        <v>4015/4016</v>
      </c>
      <c r="L90" s="21" t="str">
        <f>VLOOKUP(A90,'Trips&amp;Operators'!$C$1:$G$99999,5,FALSE)</f>
        <v>CLARK KATHLEEN</v>
      </c>
      <c r="M90" s="6">
        <f t="shared" si="36"/>
        <v>2.7638888888759539E-2</v>
      </c>
      <c r="N90" s="7">
        <f t="shared" si="37"/>
        <v>39.799999999813735</v>
      </c>
      <c r="O90" s="7"/>
      <c r="P90" s="7"/>
      <c r="Q90" s="22"/>
      <c r="R90" s="190"/>
      <c r="S90" s="196">
        <f t="shared" si="38"/>
        <v>1</v>
      </c>
      <c r="T90" s="190" t="str">
        <f t="shared" si="39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40"/>
        <v>https://d0f6bd738d7f1b3e5a7ca70fe4ff75f0.us-east-1.aws.found.io/app/kibana#/discover/Steve-Slow-Train-Analysis-(2080s-and-2083s)?_g=(refreshInterval:(display:Off,pause:!f,section:0,value:0),time:(from:'2017-05-19T13:03:53-0600',mode:absolute,to:'2017-05-19T15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0" s="192" t="str">
        <f t="shared" si="41"/>
        <v>N</v>
      </c>
      <c r="X90" s="192">
        <f t="shared" si="34"/>
        <v>1</v>
      </c>
      <c r="Y90" s="192">
        <f t="shared" si="42"/>
        <v>23.298100000000002</v>
      </c>
      <c r="Z90" s="192">
        <f t="shared" si="43"/>
        <v>1.7399999999999999E-2</v>
      </c>
      <c r="AA90" s="192">
        <f t="shared" si="44"/>
        <v>23.280700000000003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45"/>
        <v>0178-19</v>
      </c>
      <c r="AE90" s="80" t="str">
        <f t="shared" si="46"/>
        <v>aws s3 cp s3://rtdc.mdm.uploadarchive.raw/RTDC4015/ "%USERPROFILE%\AppData\Local\Temp\OnboardLogs"\RTDC4015\2017-05-19 --exclude "*" --recursive --include "*20170519*" &amp; "%USERPROFILE%\Documents\GitHub\mrs-test-scripts\Headless Mode &amp; Sideloading\WalkAndUnGZ.bat" "%USERPROFILE%\AppData\Local\Temp\OnboardLogs"\RTDC4015\2017-05-19 &amp; aws s3 cp s3://rtdc.mdm.uploadarchive.raw/RTDC4015/ "%USERPROFILE%\AppData\Local\Temp\OnboardLogs"\RTDC4015\2017-05-20 --exclude "*" --recursive --include "*20170520*" &amp; "%USERPROFILE%\Documents\GitHub\mrs-test-scripts\Headless Mode &amp; Sideloading\WalkAndUnGZ.bat" "%USERPROFILE%\AppData\Local\Temp\OnboardLogs"\RTDC4015\2017-05-20</v>
      </c>
      <c r="AF90" s="77" t="str">
        <f t="shared" si="47"/>
        <v>"C:\Program Files (x86)\AstroGrep\AstroGrep.exe" /e /r /s /spath="%USERPROFILE%\AppData\Local\Temp\OnboardLogs" /stypes="app*4015*20170519*" /stext=" 20:.+((SYSTEM_STATE.+slice.+state.+changed )|(ment ac)|(multiple cpu faults)|(system.+state.+changed )|(\[timeout)|(PRM\|1\|D)|(kpr)|(kdp)|(train st.+moving)|(\|lc)|(penalty))"</v>
      </c>
      <c r="AG90" s="1" t="str">
        <f t="shared" si="48"/>
        <v>EC</v>
      </c>
      <c r="AH90" s="81" t="str">
        <f t="shared" si="49"/>
        <v>"%USERPROFILE%\Documents\GitHub\eaglep3\Utilities\RefineRTDCRunTimes.py" --tripid 178-19 --locoid 4015 --swversion DE.1.0.9.0 --startMP 204:232981 --initTime 2017-05-19T14:03:53 --startdatetime 2017-05-19T14:11:13 --delay 1 --endMP 204:174 --enddatetime 2017-05-19T14:51:01 --enforcementcount 0 &gt;&gt;C:\Users\stu\Documents\GitHub\eaglep3-reporting\EC\2017-05-19-refined-times.txt</v>
      </c>
      <c r="AI90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{"issue":{"subject":"","project_id":79,"tracker_id":40,"status_id":1,"priority_id":2,"assigned_to_id":23,"start_date":"2017-05-19","description":"","custom_fields":[{"id":1,"name":"Subdivision","value":"EC"},{"id":4,"name":"Milepost","value":"0.0174"},{"id":17,"name":"Train ID","value":"178-19"},{"id":16,"name":"Locomotive ID","value":"4015"},{"id":130,"name":"Impact","value":""},{"id":150,"name":"Time of Event (Mountain Time)","value":"14:51:01"},{"id":151,"name":"Denver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51"/>
        <v>start /low /b %USERPROFILE%\Documents\GitHub\eaglep3\Utilities\DownloadLogsFromS3.py --loco 4015 --day 2017-05-19</v>
      </c>
      <c r="AN90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20:51:01"},{"id":29,"name":"Sharepoint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753</v>
      </c>
      <c r="B91" s="7">
        <v>4006</v>
      </c>
      <c r="C91" s="21" t="s">
        <v>206</v>
      </c>
      <c r="D91" s="21" t="s">
        <v>372</v>
      </c>
      <c r="E91" s="13">
        <v>42874.557847222219</v>
      </c>
      <c r="F91" s="13">
        <v>42874.562673611108</v>
      </c>
      <c r="G91" s="7">
        <v>1</v>
      </c>
      <c r="H91" s="21" t="s">
        <v>483</v>
      </c>
      <c r="I91" s="13">
        <v>42874.587152777778</v>
      </c>
      <c r="J91" s="7">
        <v>0</v>
      </c>
      <c r="K91" s="92" t="str">
        <f t="shared" si="35"/>
        <v>4005/4006</v>
      </c>
      <c r="L91" s="21" t="str">
        <f>VLOOKUP(A91,'Trips&amp;Operators'!$C$1:$G$99999,5,FALSE)</f>
        <v>BRUDER RICHARD</v>
      </c>
      <c r="M91" s="6">
        <f t="shared" si="36"/>
        <v>2.4479166670062114E-2</v>
      </c>
      <c r="N91" s="7">
        <f t="shared" si="37"/>
        <v>35.250000004889444</v>
      </c>
      <c r="O91" s="7"/>
      <c r="P91" s="7"/>
      <c r="Q91" s="22"/>
      <c r="R91" s="190"/>
      <c r="S91" s="196">
        <f t="shared" si="38"/>
        <v>1</v>
      </c>
      <c r="T91" s="190" t="str">
        <f t="shared" si="39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40"/>
        <v>https://d0f6bd738d7f1b3e5a7ca70fe4ff75f0.us-east-1.aws.found.io/app/kibana#/discover/Steve-Slow-Train-Analysis-(2080s-and-2083s)?_g=(refreshInterval:(display:Off,pause:!f,section:0,value:0),time:(from:'2017-05-19T12:23:18-0600',mode:absolute,to:'2017-05-19T15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1" s="192" t="str">
        <f t="shared" si="41"/>
        <v>N</v>
      </c>
      <c r="X91" s="192">
        <f t="shared" si="34"/>
        <v>1</v>
      </c>
      <c r="Y91" s="192">
        <f t="shared" si="42"/>
        <v>4.5499999999999999E-2</v>
      </c>
      <c r="Z91" s="192">
        <f t="shared" si="43"/>
        <v>23.330100000000002</v>
      </c>
      <c r="AA91" s="192">
        <f t="shared" si="44"/>
        <v>23.284600000000001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45"/>
        <v>0179-19</v>
      </c>
      <c r="AE91" s="80" t="str">
        <f t="shared" si="46"/>
        <v>aws s3 cp s3://rtdc.mdm.uploadarchive.raw/RTDC4006/ "%USERPROFILE%\AppData\Local\Temp\OnboardLogs"\RTDC4006\2017-05-19 --exclude "*" --recursive --include "*20170519*" &amp; "%USERPROFILE%\Documents\GitHub\mrs-test-scripts\Headless Mode &amp; Sideloading\WalkAndUnGZ.bat" "%USERPROFILE%\AppData\Local\Temp\OnboardLogs"\RTDC4006\2017-05-19 &amp; 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</v>
      </c>
      <c r="AF91" s="77" t="str">
        <f t="shared" si="47"/>
        <v>"C:\Program Files (x86)\AstroGrep\AstroGrep.exe" /e /r /s /spath="%USERPROFILE%\AppData\Local\Temp\OnboardLogs" /stypes="app*4006*20170519*" /stext=" 20:.+((SYSTEM_STATE.+slice.+state.+changed )|(ment ac)|(multiple cpu faults)|(system.+state.+changed )|(\[timeout)|(PRM\|1\|D)|(kpr)|(kdp)|(train st.+moving)|(\|lc)|(penalty))"</v>
      </c>
      <c r="AG91" s="1" t="str">
        <f t="shared" si="48"/>
        <v>EC</v>
      </c>
      <c r="AH91" s="81" t="str">
        <f t="shared" si="49"/>
        <v>"%USERPROFILE%\Documents\GitHub\eaglep3\Utilities\RefineRTDCRunTimes.py" --tripid 179-19 --locoid 4006 --swversion DE.1.0.9.0 --startMP 204:455 --initTime 2017-05-19T13:23:18 --startdatetime 2017-05-19T13:30:15 --delay 1 --endMP 204:233301 --enddatetime 2017-05-19T14:05:30 --enforcementcount 0 &gt;&gt;C:\Users\stu\Documents\GitHub\eaglep3-reporting\EC\2017-05-19-refined-times.txt</v>
      </c>
      <c r="AI91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{"issue":{"subject":"","project_id":79,"tracker_id":40,"status_id":1,"priority_id":2,"assigned_to_id":23,"start_date":"2017-05-19","description":"","custom_fields":[{"id":1,"name":"Subdivision","value":"EC"},{"id":4,"name":"Milepost","value":"23.3301"},{"id":17,"name":"Train ID","value":"179-19"},{"id":16,"name":"Locomotive ID","value":"4006"},{"id":130,"name":"Impact","value":""},{"id":150,"name":"Time of Event (Mountain Time)","value":"14:05:30"},{"id":151,"name":"Denver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51"/>
        <v>start /low /b %USERPROFILE%\Documents\GitHub\eaglep3\Utilities\DownloadLogsFromS3.py --loco 4006 --day 2017-05-19</v>
      </c>
      <c r="AN91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20:05:30"},{"id":29,"name":"Sharepoint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759</v>
      </c>
      <c r="B92" s="7">
        <v>4005</v>
      </c>
      <c r="C92" s="21" t="s">
        <v>206</v>
      </c>
      <c r="D92" s="21" t="s">
        <v>875</v>
      </c>
      <c r="E92" s="13">
        <v>42874.596435185187</v>
      </c>
      <c r="F92" s="13">
        <v>42874.601574074077</v>
      </c>
      <c r="G92" s="7">
        <v>2</v>
      </c>
      <c r="H92" s="21" t="s">
        <v>419</v>
      </c>
      <c r="I92" s="13">
        <v>42874.628981481481</v>
      </c>
      <c r="J92" s="7">
        <v>0</v>
      </c>
      <c r="K92" s="92" t="str">
        <f t="shared" si="35"/>
        <v>4005/4006</v>
      </c>
      <c r="L92" s="21" t="str">
        <f>VLOOKUP(A92,'Trips&amp;Operators'!$C$1:$G$99999,5,FALSE)</f>
        <v>BRUDER RICHARD</v>
      </c>
      <c r="M92" s="6">
        <f t="shared" si="36"/>
        <v>2.7407407404098194E-2</v>
      </c>
      <c r="N92" s="7">
        <f t="shared" si="37"/>
        <v>39.466666661901399</v>
      </c>
      <c r="O92" s="7"/>
      <c r="P92" s="7"/>
      <c r="Q92" s="22"/>
      <c r="R92" s="190"/>
      <c r="S92" s="196">
        <f t="shared" si="38"/>
        <v>1</v>
      </c>
      <c r="T92" s="190" t="str">
        <f t="shared" si="39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40"/>
        <v>https://d0f6bd738d7f1b3e5a7ca70fe4ff75f0.us-east-1.aws.found.io/app/kibana#/discover/Steve-Slow-Train-Analysis-(2080s-and-2083s)?_g=(refreshInterval:(display:Off,pause:!f,section:0,value:0),time:(from:'2017-05-19T13:18:52-0600',mode:absolute,to:'2017-05-19T16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2" s="192" t="str">
        <f t="shared" si="41"/>
        <v>N</v>
      </c>
      <c r="X92" s="192">
        <f t="shared" si="34"/>
        <v>1</v>
      </c>
      <c r="Y92" s="192">
        <f t="shared" si="42"/>
        <v>23.2973</v>
      </c>
      <c r="Z92" s="192">
        <f t="shared" si="43"/>
        <v>1.54E-2</v>
      </c>
      <c r="AA92" s="192">
        <f t="shared" si="44"/>
        <v>23.2819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45"/>
        <v>0180-19</v>
      </c>
      <c r="AE92" s="80" t="str">
        <f t="shared" si="46"/>
        <v>aws s3 cp s3://rtdc.mdm.uploadarchive.raw/RTDC4005/ "%USERPROFILE%\AppData\Local\Temp\OnboardLogs"\RTDC4005\2017-05-19 --exclude "*" --recursive --include "*20170519*" &amp; "%USERPROFILE%\Documents\GitHub\mrs-test-scripts\Headless Mode &amp; Sideloading\WalkAndUnGZ.bat" "%USERPROFILE%\AppData\Local\Temp\OnboardLogs"\RTDC4005\2017-05-19 &amp; 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</v>
      </c>
      <c r="AF92" s="77" t="str">
        <f t="shared" si="47"/>
        <v>"C:\Program Files (x86)\AstroGrep\AstroGrep.exe" /e /r /s /spath="%USERPROFILE%\AppData\Local\Temp\OnboardLogs" /stypes="app*4005*20170519*" /stext=" 21:.+((SYSTEM_STATE.+slice.+state.+changed )|(ment ac)|(multiple cpu faults)|(system.+state.+changed )|(\[timeout)|(PRM\|1\|D)|(kpr)|(kdp)|(train st.+moving)|(\|lc)|(penalty))"</v>
      </c>
      <c r="AG92" s="1" t="str">
        <f t="shared" si="48"/>
        <v>EC</v>
      </c>
      <c r="AH92" s="81" t="str">
        <f t="shared" si="49"/>
        <v>"%USERPROFILE%\Documents\GitHub\eaglep3\Utilities\RefineRTDCRunTimes.py" --tripid 180-19 --locoid 4005 --swversion DE.1.0.9.0 --startMP 204:232973 --initTime 2017-05-19T14:18:52 --startdatetime 2017-05-19T14:26:16 --delay 2 --endMP 204:154 --enddatetime 2017-05-19T15:05:44 --enforcementcount 0 &gt;&gt;C:\Users\stu\Documents\GitHub\eaglep3-reporting\EC\2017-05-19-refined-times.txt</v>
      </c>
      <c r="AI92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{"issue":{"subject":"","project_id":79,"tracker_id":40,"status_id":1,"priority_id":2,"assigned_to_id":23,"start_date":"2017-05-19","description":"","custom_fields":[{"id":1,"name":"Subdivision","value":"EC"},{"id":4,"name":"Milepost","value":"0.0154"},{"id":17,"name":"Train ID","value":"180-19"},{"id":16,"name":"Locomotive ID","value":"4005"},{"id":130,"name":"Impact","value":""},{"id":150,"name":"Time of Event (Mountain Time)","value":"15:05:44"},{"id":151,"name":"Denver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51"/>
        <v>start /low /b %USERPROFILE%\Documents\GitHub\eaglep3\Utilities\DownloadLogsFromS3.py --loco 4005 --day 2017-05-19</v>
      </c>
      <c r="AN92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21:05:44"},{"id":29,"name":"Sharepoint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632</v>
      </c>
      <c r="B93" s="7">
        <v>4032</v>
      </c>
      <c r="C93" s="21" t="s">
        <v>206</v>
      </c>
      <c r="D93" s="21" t="s">
        <v>563</v>
      </c>
      <c r="E93" s="13">
        <v>42874.57099537037</v>
      </c>
      <c r="F93" s="13">
        <v>42874.57309027778</v>
      </c>
      <c r="G93" s="7">
        <v>1</v>
      </c>
      <c r="H93" s="21" t="s">
        <v>913</v>
      </c>
      <c r="I93" s="13">
        <v>42874.597326388888</v>
      </c>
      <c r="J93" s="7">
        <v>0</v>
      </c>
      <c r="K93" s="92" t="str">
        <f t="shared" si="35"/>
        <v>4031/4032</v>
      </c>
      <c r="L93" s="21" t="str">
        <f>VLOOKUP(A93,'Trips&amp;Operators'!$C$1:$G$99999,5,FALSE)</f>
        <v>HELVIE ADAM</v>
      </c>
      <c r="M93" s="6">
        <f t="shared" si="36"/>
        <v>2.4236111108621117E-2</v>
      </c>
      <c r="N93" s="7">
        <f t="shared" si="37"/>
        <v>34.899999996414408</v>
      </c>
      <c r="O93" s="7"/>
      <c r="P93" s="7"/>
      <c r="Q93" s="22"/>
      <c r="R93" s="190"/>
      <c r="S93" s="196">
        <f t="shared" si="38"/>
        <v>1</v>
      </c>
      <c r="T93" s="190" t="str">
        <f t="shared" si="39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40"/>
        <v>https://d0f6bd738d7f1b3e5a7ca70fe4ff75f0.us-east-1.aws.found.io/app/kibana#/discover/Steve-Slow-Train-Analysis-(2080s-and-2083s)?_g=(refreshInterval:(display:Off,pause:!f,section:0,value:0),time:(from:'2017-05-19T12:42:14-0600',mode:absolute,to:'2017-05-19T15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3" s="192" t="str">
        <f t="shared" si="41"/>
        <v>N</v>
      </c>
      <c r="X93" s="192">
        <f t="shared" si="34"/>
        <v>1</v>
      </c>
      <c r="Y93" s="192">
        <f t="shared" si="42"/>
        <v>4.3999999999999997E-2</v>
      </c>
      <c r="Z93" s="192">
        <f t="shared" si="43"/>
        <v>23.331</v>
      </c>
      <c r="AA93" s="192">
        <f t="shared" si="44"/>
        <v>23.286999999999999</v>
      </c>
      <c r="AB93" s="57" t="str">
        <f>VLOOKUP(A93,Enforcements!$C$7:$K$13,8,0)</f>
        <v>Bulletin (2)</v>
      </c>
      <c r="AC93" s="53" t="str">
        <f>VLOOKUP(A93,Enforcements!$C$7:$E$13,3,0)</f>
        <v>GRADE CROSSING</v>
      </c>
      <c r="AD93" s="54" t="str">
        <f t="shared" si="45"/>
        <v>0181-19</v>
      </c>
      <c r="AE93" s="80" t="str">
        <f t="shared" si="46"/>
        <v>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 &amp; 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</v>
      </c>
      <c r="AF93" s="77" t="str">
        <f t="shared" si="47"/>
        <v>"C:\Program Files (x86)\AstroGrep\AstroGrep.exe" /e /r /s /spath="%USERPROFILE%\AppData\Local\Temp\OnboardLogs" /stypes="app*4032*20170519*" /stext=" 20:.+((SYSTEM_STATE.+slice.+state.+changed )|(ment ac)|(multiple cpu faults)|(system.+state.+changed )|(\[timeout)|(PRM\|1\|D)|(kpr)|(kdp)|(train st.+moving)|(\|lc)|(penalty))"</v>
      </c>
      <c r="AG93" s="1" t="str">
        <f t="shared" si="48"/>
        <v>EC</v>
      </c>
      <c r="AH93" s="81" t="str">
        <f t="shared" si="49"/>
        <v>"%USERPROFILE%\Documents\GitHub\eaglep3\Utilities\RefineRTDCRunTimes.py" --tripid 181-19 --locoid 4032 --swversion DE.1.0.9.0 --startMP 204:440 --initTime 2017-05-19T13:42:14 --startdatetime 2017-05-19T13:45:15 --delay 1 --endMP 204:233310 --enddatetime 2017-05-19T14:20:09 --enforcementcount 0 &gt;&gt;C:\Users\stu\Documents\GitHub\eaglep3-reporting\EC\2017-05-19-refined-times.txt</v>
      </c>
      <c r="AI93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{"issue":{"subject":"","project_id":79,"tracker_id":40,"status_id":1,"priority_id":2,"assigned_to_id":23,"start_date":"2017-05-19","description":"","custom_fields":[{"id":1,"name":"Subdivision","value":"EC"},{"id":4,"name":"Milepost","value":"23.331"},{"id":17,"name":"Train ID","value":"181-19"},{"id":16,"name":"Locomotive ID","value":"4032"},{"id":130,"name":"Impact","value":""},{"id":150,"name":"Time of Event (Mountain Time)","value":"14:20:09"},{"id":151,"name":"Denver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51"/>
        <v>start /low /b %USERPROFILE%\Documents\GitHub\eaglep3\Utilities\DownloadLogsFromS3.py --loco 4032 --day 2017-05-19</v>
      </c>
      <c r="AN93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20:20:09"},{"id":29,"name":"Sharepoint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2" t="s">
        <v>763</v>
      </c>
      <c r="B94" s="7">
        <v>4031</v>
      </c>
      <c r="C94" s="21" t="s">
        <v>206</v>
      </c>
      <c r="D94" s="21" t="s">
        <v>872</v>
      </c>
      <c r="E94" s="13">
        <v>42874.609502314815</v>
      </c>
      <c r="F94" s="13">
        <v>42874.611956018518</v>
      </c>
      <c r="G94" s="7">
        <v>0</v>
      </c>
      <c r="H94" s="21" t="s">
        <v>361</v>
      </c>
      <c r="I94" s="13">
        <v>42874.637916666667</v>
      </c>
      <c r="J94" s="7">
        <v>0</v>
      </c>
      <c r="K94" s="92" t="str">
        <f t="shared" si="35"/>
        <v>4031/4032</v>
      </c>
      <c r="L94" s="21" t="str">
        <f>VLOOKUP(A94,'Trips&amp;Operators'!$C$1:$G$99999,5,FALSE)</f>
        <v>HELVIE ADAM</v>
      </c>
      <c r="M94" s="6">
        <f t="shared" si="36"/>
        <v>2.5960648148611654E-2</v>
      </c>
      <c r="N94" s="7">
        <f t="shared" si="37"/>
        <v>37.383333334000781</v>
      </c>
      <c r="O94" s="7"/>
      <c r="P94" s="7"/>
      <c r="Q94" s="22"/>
      <c r="R94" s="190"/>
      <c r="S94" s="196">
        <f t="shared" si="38"/>
        <v>1</v>
      </c>
      <c r="T94" s="190" t="str">
        <f t="shared" si="39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40"/>
        <v>https://d0f6bd738d7f1b3e5a7ca70fe4ff75f0.us-east-1.aws.found.io/app/kibana#/discover/Steve-Slow-Train-Analysis-(2080s-and-2083s)?_g=(refreshInterval:(display:Off,pause:!f,section:0,value:0),time:(from:'2017-05-19T13:37:41-0600',mode:absolute,to:'2017-05-19T16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4" s="192" t="str">
        <f t="shared" si="41"/>
        <v>N</v>
      </c>
      <c r="X94" s="192">
        <f t="shared" si="34"/>
        <v>1</v>
      </c>
      <c r="Y94" s="192">
        <f t="shared" si="42"/>
        <v>23.2989</v>
      </c>
      <c r="Z94" s="192">
        <f t="shared" si="43"/>
        <v>1.5599999999999999E-2</v>
      </c>
      <c r="AA94" s="192">
        <f t="shared" si="44"/>
        <v>23.283300000000001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45"/>
        <v>0182-19</v>
      </c>
      <c r="AE94" s="80" t="str">
        <f t="shared" si="46"/>
        <v>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 &amp; aws s3 cp s3://rtdc.mdm.uploadarchive.raw/RTDC4031/ "%USERPROFILE%\AppData\Local\Temp\OnboardLogs"\RTDC4031\2017-05-20 --exclude "*" --recursive --include "*20170520*" &amp; "%USERPROFILE%\Documents\GitHub\mrs-test-scripts\Headless Mode &amp; Sideloading\WalkAndUnGZ.bat" "%USERPROFILE%\AppData\Local\Temp\OnboardLogs"\RTDC4031\2017-05-20</v>
      </c>
      <c r="AF94" s="77" t="str">
        <f t="shared" si="47"/>
        <v>"C:\Program Files (x86)\AstroGrep\AstroGrep.exe" /e /r /s /spath="%USERPROFILE%\AppData\Local\Temp\OnboardLogs" /stypes="app*4031*20170519*" /stext=" 21:.+((SYSTEM_STATE.+slice.+state.+changed )|(ment ac)|(multiple cpu faults)|(system.+state.+changed )|(\[timeout)|(PRM\|1\|D)|(kpr)|(kdp)|(train st.+moving)|(\|lc)|(penalty))"</v>
      </c>
      <c r="AG94" s="1" t="str">
        <f t="shared" si="48"/>
        <v>EC</v>
      </c>
      <c r="AH94" s="81" t="str">
        <f t="shared" si="49"/>
        <v>"%USERPROFILE%\Documents\GitHub\eaglep3\Utilities\RefineRTDCRunTimes.py" --tripid 182-19 --locoid 4031 --swversion DE.1.0.9.0 --startMP 204:232989 --initTime 2017-05-19T14:37:41 --startdatetime 2017-05-19T14:41:13 --delay 0 --endMP 204:156 --enddatetime 2017-05-19T15:18:36 --enforcementcount 0 &gt;&gt;C:\Users\stu\Documents\GitHub\eaglep3-reporting\EC\2017-05-19-refined-times.txt</v>
      </c>
      <c r="AI94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{"issue":{"subject":"","project_id":79,"tracker_id":40,"status_id":1,"priority_id":2,"assigned_to_id":23,"start_date":"2017-05-19","description":"","custom_fields":[{"id":1,"name":"Subdivision","value":"EC"},{"id":4,"name":"Milepost","value":"0.0156"},{"id":17,"name":"Train ID","value":"182-19"},{"id":16,"name":"Locomotive ID","value":"4031"},{"id":130,"name":"Impact","value":""},{"id":150,"name":"Time of Event (Mountain Time)","value":"15:18:36"},{"id":151,"name":"Denver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51"/>
        <v>start /low /b %USERPROFILE%\Documents\GitHub\eaglep3\Utilities\DownloadLogsFromS3.py --loco 4031 --day 2017-05-19</v>
      </c>
      <c r="AN94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21:18:36"},{"id":29,"name":"Sharepoint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634</v>
      </c>
      <c r="B95" s="7">
        <v>4024</v>
      </c>
      <c r="C95" s="21" t="s">
        <v>206</v>
      </c>
      <c r="D95" s="21" t="s">
        <v>354</v>
      </c>
      <c r="E95" s="13">
        <v>42874.579386574071</v>
      </c>
      <c r="F95" s="13">
        <v>42874.583715277775</v>
      </c>
      <c r="G95" s="7">
        <v>1</v>
      </c>
      <c r="H95" s="21" t="s">
        <v>914</v>
      </c>
      <c r="I95" s="13">
        <v>42874.610023148147</v>
      </c>
      <c r="J95" s="7">
        <v>0</v>
      </c>
      <c r="K95" s="92" t="str">
        <f t="shared" si="35"/>
        <v>4023/4024</v>
      </c>
      <c r="L95" s="21" t="str">
        <f>VLOOKUP(A95,'Trips&amp;Operators'!$C$1:$G$99999,5,FALSE)</f>
        <v>BRANDNER MELINDA</v>
      </c>
      <c r="M95" s="6">
        <f t="shared" si="36"/>
        <v>2.6307870371965691E-2</v>
      </c>
      <c r="N95" s="7">
        <f t="shared" si="37"/>
        <v>37.883333335630596</v>
      </c>
      <c r="O95" s="7"/>
      <c r="P95" s="7"/>
      <c r="Q95" s="22"/>
      <c r="R95" s="190"/>
      <c r="S95" s="196">
        <f t="shared" si="38"/>
        <v>1</v>
      </c>
      <c r="T95" s="190" t="str">
        <f t="shared" si="39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40"/>
        <v>https://d0f6bd738d7f1b3e5a7ca70fe4ff75f0.us-east-1.aws.found.io/app/kibana#/discover/Steve-Slow-Train-Analysis-(2080s-and-2083s)?_g=(refreshInterval:(display:Off,pause:!f,section:0,value:0),time:(from:'2017-05-19T12:54:19-0600',mode:absolute,to:'2017-05-19T15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5" s="192" t="str">
        <f t="shared" si="41"/>
        <v>N</v>
      </c>
      <c r="X95" s="192">
        <f t="shared" ref="X95:X126" si="53">VALUE(LEFT(AD95,4))-VALUE(LEFT(AD94,4))</f>
        <v>1</v>
      </c>
      <c r="Y95" s="192">
        <f t="shared" si="42"/>
        <v>4.58E-2</v>
      </c>
      <c r="Z95" s="192">
        <f t="shared" si="43"/>
        <v>23.334099999999999</v>
      </c>
      <c r="AA95" s="192">
        <f t="shared" si="44"/>
        <v>23.2883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45"/>
        <v>0183-19</v>
      </c>
      <c r="AE95" s="80" t="str">
        <f t="shared" si="46"/>
        <v>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 &amp; aws s3 cp s3://rtdc.mdm.uploadarchive.raw/RTDC4024/ "%USERPROFILE%\AppData\Local\Temp\OnboardLogs"\RTDC4024\2017-05-20 --exclude "*" --recursive --include "*20170520*" &amp; "%USERPROFILE%\Documents\GitHub\mrs-test-scripts\Headless Mode &amp; Sideloading\WalkAndUnGZ.bat" "%USERPROFILE%\AppData\Local\Temp\OnboardLogs"\RTDC4024\2017-05-20</v>
      </c>
      <c r="AF95" s="77" t="str">
        <f t="shared" si="47"/>
        <v>"C:\Program Files (x86)\AstroGrep\AstroGrep.exe" /e /r /s /spath="%USERPROFILE%\AppData\Local\Temp\OnboardLogs" /stypes="app*4024*20170519*" /stext=" 20:.+((SYSTEM_STATE.+slice.+state.+changed )|(ment ac)|(multiple cpu faults)|(system.+state.+changed )|(\[timeout)|(PRM\|1\|D)|(kpr)|(kdp)|(train st.+moving)|(\|lc)|(penalty))"</v>
      </c>
      <c r="AG95" s="1" t="str">
        <f t="shared" si="48"/>
        <v>EC</v>
      </c>
      <c r="AH95" s="81" t="str">
        <f t="shared" si="49"/>
        <v>"%USERPROFILE%\Documents\GitHub\eaglep3\Utilities\RefineRTDCRunTimes.py" --tripid 183-19 --locoid 4024 --swversion DE.1.0.9.0 --startMP 204:458 --initTime 2017-05-19T13:54:19 --startdatetime 2017-05-19T14:00:33 --delay 1 --endMP 204:233341 --enddatetime 2017-05-19T14:38:26 --enforcementcount 0 &gt;&gt;C:\Users\stu\Documents\GitHub\eaglep3-reporting\EC\2017-05-19-refined-times.txt</v>
      </c>
      <c r="AI95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{"issue":{"subject":"","project_id":79,"tracker_id":40,"status_id":1,"priority_id":2,"assigned_to_id":23,"start_date":"2017-05-19","description":"","custom_fields":[{"id":1,"name":"Subdivision","value":"EC"},{"id":4,"name":"Milepost","value":"23.3341"},{"id":17,"name":"Train ID","value":"183-19"},{"id":16,"name":"Locomotive ID","value":"4024"},{"id":130,"name":"Impact","value":""},{"id":150,"name":"Time of Event (Mountain Time)","value":"14:38:26"},{"id":151,"name":"Denver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51"/>
        <v>start /low /b %USERPROFILE%\Documents\GitHub\eaglep3\Utilities\DownloadLogsFromS3.py --loco 4024 --day 2017-05-19</v>
      </c>
      <c r="AN95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20:38:26"},{"id":29,"name":"Sharepoint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764</v>
      </c>
      <c r="B96" s="7">
        <v>4023</v>
      </c>
      <c r="C96" s="21" t="s">
        <v>206</v>
      </c>
      <c r="D96" s="21" t="s">
        <v>915</v>
      </c>
      <c r="E96" s="13">
        <v>42874.618622685186</v>
      </c>
      <c r="F96" s="13">
        <v>42874.622534722221</v>
      </c>
      <c r="G96" s="7">
        <v>1</v>
      </c>
      <c r="H96" s="21" t="s">
        <v>427</v>
      </c>
      <c r="I96" s="13">
        <v>42874.650497685187</v>
      </c>
      <c r="J96" s="7">
        <v>0</v>
      </c>
      <c r="K96" s="92" t="str">
        <f t="shared" si="35"/>
        <v>4023/4024</v>
      </c>
      <c r="L96" s="21" t="str">
        <f>VLOOKUP(A96,'Trips&amp;Operators'!$C$1:$G$99999,5,FALSE)</f>
        <v>BRANDNER MELINDA</v>
      </c>
      <c r="M96" s="6">
        <f t="shared" si="36"/>
        <v>2.7962962965830229E-2</v>
      </c>
      <c r="N96" s="7">
        <f t="shared" si="37"/>
        <v>40.26666667079553</v>
      </c>
      <c r="O96" s="7"/>
      <c r="P96" s="7"/>
      <c r="Q96" s="22"/>
      <c r="R96" s="190"/>
      <c r="S96" s="196">
        <f t="shared" si="38"/>
        <v>1</v>
      </c>
      <c r="T96" s="190" t="str">
        <f t="shared" si="39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40"/>
        <v>https://d0f6bd738d7f1b3e5a7ca70fe4ff75f0.us-east-1.aws.found.io/app/kibana#/discover/Steve-Slow-Train-Analysis-(2080s-and-2083s)?_g=(refreshInterval:(display:Off,pause:!f,section:0,value:0),time:(from:'2017-05-19T13:50:49-0600',mode:absolute,to:'2017-05-19T16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6" s="192" t="str">
        <f t="shared" si="41"/>
        <v>N</v>
      </c>
      <c r="X96" s="192">
        <f t="shared" si="53"/>
        <v>1</v>
      </c>
      <c r="Y96" s="192">
        <f t="shared" si="42"/>
        <v>23.3065</v>
      </c>
      <c r="Z96" s="192">
        <f t="shared" si="43"/>
        <v>1.32E-2</v>
      </c>
      <c r="AA96" s="192">
        <f t="shared" si="44"/>
        <v>23.293299999999999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45"/>
        <v>0184-19</v>
      </c>
      <c r="AE96" s="80" t="str">
        <f t="shared" si="46"/>
        <v>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 &amp; aws s3 cp s3://rtdc.mdm.uploadarchive.raw/RTDC4023/ "%USERPROFILE%\AppData\Local\Temp\OnboardLogs"\RTDC4023\2017-05-20 --exclude "*" --recursive --include "*20170520*" &amp; "%USERPROFILE%\Documents\GitHub\mrs-test-scripts\Headless Mode &amp; Sideloading\WalkAndUnGZ.bat" "%USERPROFILE%\AppData\Local\Temp\OnboardLogs"\RTDC4023\2017-05-20</v>
      </c>
      <c r="AF96" s="77" t="str">
        <f t="shared" si="47"/>
        <v>"C:\Program Files (x86)\AstroGrep\AstroGrep.exe" /e /r /s /spath="%USERPROFILE%\AppData\Local\Temp\OnboardLogs" /stypes="app*4023*20170519*" /stext=" 21:.+((SYSTEM_STATE.+slice.+state.+changed )|(ment ac)|(multiple cpu faults)|(system.+state.+changed )|(\[timeout)|(PRM\|1\|D)|(kpr)|(kdp)|(train st.+moving)|(\|lc)|(penalty))"</v>
      </c>
      <c r="AG96" s="1" t="str">
        <f t="shared" si="48"/>
        <v>EC</v>
      </c>
      <c r="AH96" s="81" t="str">
        <f t="shared" si="49"/>
        <v>"%USERPROFILE%\Documents\GitHub\eaglep3\Utilities\RefineRTDCRunTimes.py" --tripid 184-19 --locoid 4023 --swversion DE.1.0.9.0 --startMP 204:233065 --initTime 2017-05-19T14:50:49 --startdatetime 2017-05-19T14:56:27 --delay 1 --endMP 204:132 --enddatetime 2017-05-19T15:36:43 --enforcementcount 0 &gt;&gt;C:\Users\stu\Documents\GitHub\eaglep3-reporting\EC\2017-05-19-refined-times.txt</v>
      </c>
      <c r="AI96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{"issue":{"subject":"","project_id":79,"tracker_id":40,"status_id":1,"priority_id":2,"assigned_to_id":23,"start_date":"2017-05-19","description":"","custom_fields":[{"id":1,"name":"Subdivision","value":"EC"},{"id":4,"name":"Milepost","value":"0.0132"},{"id":17,"name":"Train ID","value":"184-19"},{"id":16,"name":"Locomotive ID","value":"4023"},{"id":130,"name":"Impact","value":""},{"id":150,"name":"Time of Event (Mountain Time)","value":"15:36:43"},{"id":151,"name":"Denver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51"/>
        <v>start /low /b %USERPROFILE%\Documents\GitHub\eaglep3\Utilities\DownloadLogsFromS3.py --loco 4023 --day 2017-05-19</v>
      </c>
      <c r="AN96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21:36:43"},{"id":29,"name":"Sharepoint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757</v>
      </c>
      <c r="B97" s="7">
        <v>4040</v>
      </c>
      <c r="C97" s="21" t="s">
        <v>206</v>
      </c>
      <c r="D97" s="21" t="s">
        <v>563</v>
      </c>
      <c r="E97" s="13">
        <v>42874.590567129628</v>
      </c>
      <c r="F97" s="13">
        <v>42874.593946759262</v>
      </c>
      <c r="G97" s="7">
        <v>1</v>
      </c>
      <c r="H97" s="21" t="s">
        <v>916</v>
      </c>
      <c r="I97" s="13">
        <v>42874.618981481479</v>
      </c>
      <c r="J97" s="7">
        <v>0</v>
      </c>
      <c r="K97" s="92" t="str">
        <f t="shared" si="35"/>
        <v>4039/4040</v>
      </c>
      <c r="L97" s="21" t="str">
        <f>VLOOKUP(A97,'Trips&amp;Operators'!$C$1:$G$99999,5,FALSE)</f>
        <v>MOSES BRADLEY</v>
      </c>
      <c r="M97" s="6">
        <f t="shared" si="36"/>
        <v>2.5034722217242233E-2</v>
      </c>
      <c r="N97" s="7">
        <f t="shared" si="37"/>
        <v>36.049999992828816</v>
      </c>
      <c r="O97" s="7"/>
      <c r="P97" s="7"/>
      <c r="Q97" s="22"/>
      <c r="R97" s="190"/>
      <c r="S97" s="196">
        <f t="shared" si="38"/>
        <v>1</v>
      </c>
      <c r="T97" s="190" t="str">
        <f t="shared" si="39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40"/>
        <v>https://d0f6bd738d7f1b3e5a7ca70fe4ff75f0.us-east-1.aws.found.io/app/kibana#/discover/Steve-Slow-Train-Analysis-(2080s-and-2083s)?_g=(refreshInterval:(display:Off,pause:!f,section:0,value:0),time:(from:'2017-05-19T13:10:25-0600',mode:absolute,to:'2017-05-19T15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7" s="192" t="str">
        <f t="shared" si="41"/>
        <v>N</v>
      </c>
      <c r="X97" s="192">
        <f t="shared" si="53"/>
        <v>1</v>
      </c>
      <c r="Y97" s="192">
        <f t="shared" si="42"/>
        <v>4.3999999999999997E-2</v>
      </c>
      <c r="Z97" s="192">
        <f t="shared" si="43"/>
        <v>23.336099999999998</v>
      </c>
      <c r="AA97" s="192">
        <f t="shared" si="44"/>
        <v>23.292099999999998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45"/>
        <v>0185-19</v>
      </c>
      <c r="AE97" s="80" t="str">
        <f t="shared" si="46"/>
        <v>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 &amp; aws s3 cp s3://rtdc.mdm.uploadarchive.raw/RTDC4040/ "%USERPROFILE%\AppData\Local\Temp\OnboardLogs"\RTDC4040\2017-05-20 --exclude "*" --recursive --include "*20170520*" &amp; "%USERPROFILE%\Documents\GitHub\mrs-test-scripts\Headless Mode &amp; Sideloading\WalkAndUnGZ.bat" "%USERPROFILE%\AppData\Local\Temp\OnboardLogs"\RTDC4040\2017-05-20</v>
      </c>
      <c r="AF97" s="77" t="str">
        <f t="shared" si="47"/>
        <v>"C:\Program Files (x86)\AstroGrep\AstroGrep.exe" /e /r /s /spath="%USERPROFILE%\AppData\Local\Temp\OnboardLogs" /stypes="app*4040*20170519*" /stext=" 20:.+((SYSTEM_STATE.+slice.+state.+changed )|(ment ac)|(multiple cpu faults)|(system.+state.+changed )|(\[timeout)|(PRM\|1\|D)|(kpr)|(kdp)|(train st.+moving)|(\|lc)|(penalty))"</v>
      </c>
      <c r="AG97" s="1" t="str">
        <f t="shared" si="48"/>
        <v>EC</v>
      </c>
      <c r="AH97" s="81" t="str">
        <f t="shared" si="49"/>
        <v>"%USERPROFILE%\Documents\GitHub\eaglep3\Utilities\RefineRTDCRunTimes.py" --tripid 185-19 --locoid 4040 --swversion DE.1.0.9.0 --startMP 204:440 --initTime 2017-05-19T14:10:25 --startdatetime 2017-05-19T14:15:17 --delay 1 --endMP 204:233361 --enddatetime 2017-05-19T14:51:20 --enforcementcount 0 &gt;&gt;C:\Users\stu\Documents\GitHub\eaglep3-reporting\EC\2017-05-19-refined-times.txt</v>
      </c>
      <c r="AI97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{"issue":{"subject":"","project_id":79,"tracker_id":40,"status_id":1,"priority_id":2,"assigned_to_id":23,"start_date":"2017-05-19","description":"","custom_fields":[{"id":1,"name":"Subdivision","value":"EC"},{"id":4,"name":"Milepost","value":"23.3361"},{"id":17,"name":"Train ID","value":"185-19"},{"id":16,"name":"Locomotive ID","value":"4040"},{"id":130,"name":"Impact","value":""},{"id":150,"name":"Time of Event (Mountain Time)","value":"14:51:20"},{"id":151,"name":"Denver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51"/>
        <v>start /low /b %USERPROFILE%\Documents\GitHub\eaglep3\Utilities\DownloadLogsFromS3.py --loco 4040 --day 2017-05-19</v>
      </c>
      <c r="AN97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20:51:20"},{"id":29,"name":"Sharepoint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766</v>
      </c>
      <c r="B98" s="7">
        <v>4039</v>
      </c>
      <c r="C98" s="21" t="s">
        <v>206</v>
      </c>
      <c r="D98" s="21" t="s">
        <v>572</v>
      </c>
      <c r="E98" s="13">
        <v>42874.624965277777</v>
      </c>
      <c r="F98" s="13">
        <v>42874.632997685185</v>
      </c>
      <c r="G98" s="7">
        <v>3</v>
      </c>
      <c r="H98" s="21" t="s">
        <v>562</v>
      </c>
      <c r="I98" s="13">
        <v>42874.659861111111</v>
      </c>
      <c r="J98" s="7">
        <v>0</v>
      </c>
      <c r="K98" s="92" t="str">
        <f t="shared" si="35"/>
        <v>4039/4040</v>
      </c>
      <c r="L98" s="21" t="str">
        <f>VLOOKUP(A98,'Trips&amp;Operators'!$C$1:$G$99999,5,FALSE)</f>
        <v>MOSES BRADLEY</v>
      </c>
      <c r="M98" s="6">
        <f t="shared" si="36"/>
        <v>2.6863425926421769E-2</v>
      </c>
      <c r="N98" s="7">
        <f t="shared" si="37"/>
        <v>38.683333334047347</v>
      </c>
      <c r="O98" s="7"/>
      <c r="P98" s="7"/>
      <c r="Q98" s="22"/>
      <c r="R98" s="190"/>
      <c r="S98" s="196">
        <f t="shared" si="38"/>
        <v>1</v>
      </c>
      <c r="T98" s="190" t="str">
        <f t="shared" si="39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40"/>
        <v>https://d0f6bd738d7f1b3e5a7ca70fe4ff75f0.us-east-1.aws.found.io/app/kibana#/discover/Steve-Slow-Train-Analysis-(2080s-and-2083s)?_g=(refreshInterval:(display:Off,pause:!f,section:0,value:0),time:(from:'2017-05-19T13:59:57-0600',mode:absolute,to:'2017-05-19T16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8" s="192" t="str">
        <f t="shared" si="41"/>
        <v>N</v>
      </c>
      <c r="X98" s="192">
        <f t="shared" si="53"/>
        <v>1</v>
      </c>
      <c r="Y98" s="192">
        <f t="shared" si="42"/>
        <v>23.301500000000001</v>
      </c>
      <c r="Z98" s="192">
        <f t="shared" si="43"/>
        <v>1.6299999999999999E-2</v>
      </c>
      <c r="AA98" s="192">
        <f t="shared" si="44"/>
        <v>23.2852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45"/>
        <v>0186-19</v>
      </c>
      <c r="AE98" s="80" t="str">
        <f t="shared" si="46"/>
        <v>aws s3 cp s3://rtdc.mdm.uploadarchive.raw/RTDC4039/ "%USERPROFILE%\AppData\Local\Temp\OnboardLogs"\RTDC4039\2017-05-19 --exclude "*" --recursive --include "*20170519*" &amp; "%USERPROFILE%\Documents\GitHub\mrs-test-scripts\Headless Mode &amp; Sideloading\WalkAndUnGZ.bat" "%USERPROFILE%\AppData\Local\Temp\OnboardLogs"\RTDC4039\2017-05-19 &amp; aws s3 cp s3://rtdc.mdm.uploadarchive.raw/RTDC4039/ "%USERPROFILE%\AppData\Local\Temp\OnboardLogs"\RTDC4039\2017-05-20 --exclude "*" --recursive --include "*20170520*" &amp; "%USERPROFILE%\Documents\GitHub\mrs-test-scripts\Headless Mode &amp; Sideloading\WalkAndUnGZ.bat" "%USERPROFILE%\AppData\Local\Temp\OnboardLogs"\RTDC4039\2017-05-20</v>
      </c>
      <c r="AF98" s="77" t="str">
        <f t="shared" si="47"/>
        <v>"C:\Program Files (x86)\AstroGrep\AstroGrep.exe" /e /r /s /spath="%USERPROFILE%\AppData\Local\Temp\OnboardLogs" /stypes="app*4039*20170519*" /stext=" 21:.+((SYSTEM_STATE.+slice.+state.+changed )|(ment ac)|(multiple cpu faults)|(system.+state.+changed )|(\[timeout)|(PRM\|1\|D)|(kpr)|(kdp)|(train st.+moving)|(\|lc)|(penalty))"</v>
      </c>
      <c r="AG98" s="1" t="str">
        <f t="shared" si="48"/>
        <v>EC</v>
      </c>
      <c r="AH98" s="81" t="str">
        <f t="shared" si="49"/>
        <v>"%USERPROFILE%\Documents\GitHub\eaglep3\Utilities\RefineRTDCRunTimes.py" --tripid 186-19 --locoid 4039 --swversion DE.1.0.9.0 --startMP 204:233015 --initTime 2017-05-19T14:59:57 --startdatetime 2017-05-19T15:11:31 --delay 3 --endMP 204:163 --enddatetime 2017-05-19T15:50:12 --enforcementcount 0 &gt;&gt;C:\Users\stu\Documents\GitHub\eaglep3-reporting\EC\2017-05-19-refined-times.txt</v>
      </c>
      <c r="AI98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{"issue":{"subject":"","project_id":79,"tracker_id":40,"status_id":1,"priority_id":2,"assigned_to_id":23,"start_date":"2017-05-19","description":"","custom_fields":[{"id":1,"name":"Subdivision","value":"EC"},{"id":4,"name":"Milepost","value":"0.0163"},{"id":17,"name":"Train ID","value":"186-19"},{"id":16,"name":"Locomotive ID","value":"4039"},{"id":130,"name":"Impact","value":""},{"id":150,"name":"Time of Event (Mountain Time)","value":"15:50:12"},{"id":151,"name":"Denver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5" t="str">
        <f t="shared" si="51"/>
        <v>start /low /b %USERPROFILE%\Documents\GitHub\eaglep3\Utilities\DownloadLogsFromS3.py --loco 4039 --day 2017-05-19</v>
      </c>
      <c r="AN98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21:50:12"},{"id":29,"name":"Sharepoint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760</v>
      </c>
      <c r="B99" s="7">
        <v>4012</v>
      </c>
      <c r="C99" s="21" t="s">
        <v>206</v>
      </c>
      <c r="D99" s="21" t="s">
        <v>363</v>
      </c>
      <c r="E99" s="13">
        <v>42874.60050925926</v>
      </c>
      <c r="F99" s="13">
        <v>42874.604351851849</v>
      </c>
      <c r="G99" s="7">
        <v>1</v>
      </c>
      <c r="H99" s="21" t="s">
        <v>475</v>
      </c>
      <c r="I99" s="13">
        <v>42874.628935185188</v>
      </c>
      <c r="J99" s="7">
        <v>0</v>
      </c>
      <c r="K99" s="92" t="str">
        <f t="shared" si="35"/>
        <v>4011/4012</v>
      </c>
      <c r="L99" s="21" t="str">
        <f>VLOOKUP(A99,'Trips&amp;Operators'!$C$1:$G$99999,5,FALSE)</f>
        <v>STEWART MICHAEL</v>
      </c>
      <c r="M99" s="6">
        <f t="shared" si="36"/>
        <v>2.4583333339251112E-2</v>
      </c>
      <c r="N99" s="7">
        <f t="shared" si="37"/>
        <v>35.400000008521602</v>
      </c>
      <c r="O99" s="7"/>
      <c r="P99" s="7"/>
      <c r="Q99" s="22"/>
      <c r="R99" s="190"/>
      <c r="S99" s="196">
        <f t="shared" si="38"/>
        <v>1</v>
      </c>
      <c r="T99" s="190" t="str">
        <f t="shared" si="39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40"/>
        <v>https://d0f6bd738d7f1b3e5a7ca70fe4ff75f0.us-east-1.aws.found.io/app/kibana#/discover/Steve-Slow-Train-Analysis-(2080s-and-2083s)?_g=(refreshInterval:(display:Off,pause:!f,section:0,value:0),time:(from:'2017-05-19T13:24:44-0600',mode:absolute,to:'2017-05-19T16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9" s="192" t="str">
        <f t="shared" si="41"/>
        <v>N</v>
      </c>
      <c r="X99" s="192">
        <f t="shared" si="53"/>
        <v>1</v>
      </c>
      <c r="Y99" s="192">
        <f t="shared" si="42"/>
        <v>4.4400000000000002E-2</v>
      </c>
      <c r="Z99" s="192">
        <f t="shared" si="43"/>
        <v>23.3291</v>
      </c>
      <c r="AA99" s="192">
        <f t="shared" si="44"/>
        <v>23.284700000000001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45"/>
        <v>0187-19</v>
      </c>
      <c r="AE99" s="80" t="str">
        <f t="shared" si="46"/>
        <v>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 &amp; 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</v>
      </c>
      <c r="AF99" s="77" t="str">
        <f t="shared" si="47"/>
        <v>"C:\Program Files (x86)\AstroGrep\AstroGrep.exe" /e /r /s /spath="%USERPROFILE%\AppData\Local\Temp\OnboardLogs" /stypes="app*4012*20170519*" /stext=" 21:.+((SYSTEM_STATE.+slice.+state.+changed )|(ment ac)|(multiple cpu faults)|(system.+state.+changed )|(\[timeout)|(PRM\|1\|D)|(kpr)|(kdp)|(train st.+moving)|(\|lc)|(penalty))"</v>
      </c>
      <c r="AG99" s="1" t="str">
        <f t="shared" si="48"/>
        <v>EC</v>
      </c>
      <c r="AH99" s="81" t="str">
        <f t="shared" si="49"/>
        <v>"%USERPROFILE%\Documents\GitHub\eaglep3\Utilities\RefineRTDCRunTimes.py" --tripid 187-19 --locoid 4012 --swversion DE.1.0.9.0 --startMP 204:444 --initTime 2017-05-19T14:24:44 --startdatetime 2017-05-19T14:30:16 --delay 1 --endMP 204:233291 --enddatetime 2017-05-19T15:05:40 --enforcementcount 0 &gt;&gt;C:\Users\stu\Documents\GitHub\eaglep3-reporting\EC\2017-05-19-refined-times.txt</v>
      </c>
      <c r="AI99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{"issue":{"subject":"","project_id":79,"tracker_id":40,"status_id":1,"priority_id":2,"assigned_to_id":23,"start_date":"2017-05-19","description":"","custom_fields":[{"id":1,"name":"Subdivision","value":"EC"},{"id":4,"name":"Milepost","value":"23.3291"},{"id":17,"name":"Train ID","value":"187-19"},{"id":16,"name":"Locomotive ID","value":"4012"},{"id":130,"name":"Impact","value":""},{"id":150,"name":"Time of Event (Mountain Time)","value":"15:05:40"},{"id":151,"name":"Denver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51"/>
        <v>start /low /b %USERPROFILE%\Documents\GitHub\eaglep3\Utilities\DownloadLogsFromS3.py --loco 4012 --day 2017-05-19</v>
      </c>
      <c r="AN99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21:05:40"},{"id":29,"name":"Sharepoint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769</v>
      </c>
      <c r="B100" s="7">
        <v>4011</v>
      </c>
      <c r="C100" s="21" t="s">
        <v>206</v>
      </c>
      <c r="D100" s="21" t="s">
        <v>917</v>
      </c>
      <c r="E100" s="13">
        <v>42874.63957175926</v>
      </c>
      <c r="F100" s="13">
        <v>42874.643229166664</v>
      </c>
      <c r="G100" s="7">
        <v>2</v>
      </c>
      <c r="H100" s="21" t="s">
        <v>197</v>
      </c>
      <c r="I100" s="13">
        <v>42874.670995370368</v>
      </c>
      <c r="J100" s="7">
        <v>0</v>
      </c>
      <c r="K100" s="92" t="str">
        <f t="shared" si="35"/>
        <v>4011/4012</v>
      </c>
      <c r="L100" s="21" t="str">
        <f>VLOOKUP(A100,'Trips&amp;Operators'!$C$1:$G$99999,5,FALSE)</f>
        <v>STEWART MICHAEL</v>
      </c>
      <c r="M100" s="6">
        <f t="shared" si="36"/>
        <v>2.7766203704231884E-2</v>
      </c>
      <c r="N100" s="7">
        <f t="shared" si="37"/>
        <v>39.983333334093913</v>
      </c>
      <c r="O100" s="7"/>
      <c r="P100" s="7"/>
      <c r="Q100" s="22"/>
      <c r="R100" s="190"/>
      <c r="S100" s="196">
        <f t="shared" si="38"/>
        <v>1</v>
      </c>
      <c r="T100" s="190" t="str">
        <f t="shared" si="39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40"/>
        <v>https://d0f6bd738d7f1b3e5a7ca70fe4ff75f0.us-east-1.aws.found.io/app/kibana#/discover/Steve-Slow-Train-Analysis-(2080s-and-2083s)?_g=(refreshInterval:(display:Off,pause:!f,section:0,value:0),time:(from:'2017-05-19T14:20:59-0600',mode:absolute,to:'2017-05-19T17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0" s="192" t="str">
        <f t="shared" si="41"/>
        <v>N</v>
      </c>
      <c r="X100" s="192">
        <f t="shared" si="53"/>
        <v>1</v>
      </c>
      <c r="Y100" s="192">
        <f t="shared" si="42"/>
        <v>23.296900000000001</v>
      </c>
      <c r="Z100" s="192">
        <f t="shared" si="43"/>
        <v>1.52E-2</v>
      </c>
      <c r="AA100" s="192">
        <f t="shared" si="44"/>
        <v>23.281700000000001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45"/>
        <v>0188-19</v>
      </c>
      <c r="AE100" s="80" t="str">
        <f t="shared" si="46"/>
        <v>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 &amp; 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</v>
      </c>
      <c r="AF100" s="77" t="str">
        <f t="shared" si="47"/>
        <v>"C:\Program Files (x86)\AstroGrep\AstroGrep.exe" /e /r /s /spath="%USERPROFILE%\AppData\Local\Temp\OnboardLogs" /stypes="app*4011*20170519*" /stext=" 22:.+((SYSTEM_STATE.+slice.+state.+changed )|(ment ac)|(multiple cpu faults)|(system.+state.+changed )|(\[timeout)|(PRM\|1\|D)|(kpr)|(kdp)|(train st.+moving)|(\|lc)|(penalty))"</v>
      </c>
      <c r="AG100" s="1" t="str">
        <f t="shared" si="48"/>
        <v>EC</v>
      </c>
      <c r="AH100" s="81" t="str">
        <f t="shared" si="49"/>
        <v>"%USERPROFILE%\Documents\GitHub\eaglep3\Utilities\RefineRTDCRunTimes.py" --tripid 188-19 --locoid 4011 --swversion DE.1.0.9.0 --startMP 204:232969 --initTime 2017-05-19T15:20:59 --startdatetime 2017-05-19T15:26:15 --delay 2 --endMP 204:152 --enddatetime 2017-05-19T16:06:14 --enforcementcount 0 &gt;&gt;C:\Users\stu\Documents\GitHub\eaglep3-reporting\EC\2017-05-19-refined-times.txt</v>
      </c>
      <c r="AI100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{"issue":{"subject":"","project_id":79,"tracker_id":40,"status_id":1,"priority_id":2,"assigned_to_id":23,"start_date":"2017-05-19","description":"","custom_fields":[{"id":1,"name":"Subdivision","value":"EC"},{"id":4,"name":"Milepost","value":"0.0152"},{"id":17,"name":"Train ID","value":"188-19"},{"id":16,"name":"Locomotive ID","value":"4011"},{"id":130,"name":"Impact","value":""},{"id":150,"name":"Time of Event (Mountain Time)","value":"16:06:14"},{"id":151,"name":"Denver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51"/>
        <v>start /low /b %USERPROFILE%\Documents\GitHub\eaglep3\Utilities\DownloadLogsFromS3.py --loco 4011 --day 2017-05-19</v>
      </c>
      <c r="AN100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22:06:14"},{"id":29,"name":"Sharepoint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762</v>
      </c>
      <c r="B101" s="7">
        <v>4018</v>
      </c>
      <c r="C101" s="21" t="s">
        <v>206</v>
      </c>
      <c r="D101" s="21" t="s">
        <v>358</v>
      </c>
      <c r="E101" s="13">
        <v>42874.608043981483</v>
      </c>
      <c r="F101" s="13">
        <v>42874.614756944444</v>
      </c>
      <c r="G101" s="7">
        <v>5</v>
      </c>
      <c r="H101" s="21" t="s">
        <v>918</v>
      </c>
      <c r="I101" s="13">
        <v>42874.639907407407</v>
      </c>
      <c r="J101" s="7">
        <v>0</v>
      </c>
      <c r="K101" s="92" t="str">
        <f t="shared" si="35"/>
        <v>4017/4018</v>
      </c>
      <c r="L101" s="21" t="str">
        <f>VLOOKUP(A101,'Trips&amp;Operators'!$C$1:$G$99999,5,FALSE)</f>
        <v>DELGADO DIANAH</v>
      </c>
      <c r="M101" s="6">
        <f t="shared" si="36"/>
        <v>2.5150462963210884E-2</v>
      </c>
      <c r="N101" s="7">
        <f t="shared" si="37"/>
        <v>36.216666667023674</v>
      </c>
      <c r="O101" s="7"/>
      <c r="P101" s="7"/>
      <c r="Q101" s="22"/>
      <c r="R101" s="190"/>
      <c r="S101" s="196">
        <f t="shared" si="38"/>
        <v>1</v>
      </c>
      <c r="T101" s="190" t="str">
        <f t="shared" si="39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40"/>
        <v>https://d0f6bd738d7f1b3e5a7ca70fe4ff75f0.us-east-1.aws.found.io/app/kibana#/discover/Steve-Slow-Train-Analysis-(2080s-and-2083s)?_g=(refreshInterval:(display:Off,pause:!f,section:0,value:0),time:(from:'2017-05-19T13:35:35-0600',mode:absolute,to:'2017-05-19T16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192" t="str">
        <f t="shared" si="41"/>
        <v>N</v>
      </c>
      <c r="X101" s="192">
        <f t="shared" si="53"/>
        <v>1</v>
      </c>
      <c r="Y101" s="192">
        <f t="shared" si="42"/>
        <v>4.5100000000000001E-2</v>
      </c>
      <c r="Z101" s="192">
        <f t="shared" si="43"/>
        <v>23.345500000000001</v>
      </c>
      <c r="AA101" s="192">
        <f t="shared" si="44"/>
        <v>23.3004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45"/>
        <v>0189-19</v>
      </c>
      <c r="AE101" s="80" t="str">
        <f t="shared" si="46"/>
        <v>aws s3 cp s3://rtdc.mdm.uploadarchive.raw/RTDC4018/ "%USERPROFILE%\AppData\Local\Temp\OnboardLogs"\RTDC4018\2017-05-19 --exclude "*" --recursive --include "*20170519*" &amp; "%USERPROFILE%\Documents\GitHub\mrs-test-scripts\Headless Mode &amp; Sideloading\WalkAndUnGZ.bat" "%USERPROFILE%\AppData\Local\Temp\OnboardLogs"\RTDC4018\2017-05-19 &amp; 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</v>
      </c>
      <c r="AF101" s="77" t="str">
        <f t="shared" si="47"/>
        <v>"C:\Program Files (x86)\AstroGrep\AstroGrep.exe" /e /r /s /spath="%USERPROFILE%\AppData\Local\Temp\OnboardLogs" /stypes="app*4018*20170519*" /stext=" 21:.+((SYSTEM_STATE.+slice.+state.+changed )|(ment ac)|(multiple cpu faults)|(system.+state.+changed )|(\[timeout)|(PRM\|1\|D)|(kpr)|(kdp)|(train st.+moving)|(\|lc)|(penalty))"</v>
      </c>
      <c r="AG101" s="1" t="str">
        <f t="shared" si="48"/>
        <v>EC</v>
      </c>
      <c r="AH101" s="81" t="str">
        <f t="shared" si="49"/>
        <v>"%USERPROFILE%\Documents\GitHub\eaglep3\Utilities\RefineRTDCRunTimes.py" --tripid 189-19 --locoid 4018 --swversion DE.1.0.9.0 --startMP 204:451 --initTime 2017-05-19T14:35:35 --startdatetime 2017-05-19T14:45:15 --delay 5 --endMP 204:233455 --enddatetime 2017-05-19T15:21:28 --enforcementcount 0 &gt;&gt;C:\Users\stu\Documents\GitHub\eaglep3-reporting\EC\2017-05-19-refined-times.txt</v>
      </c>
      <c r="AI101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{"issue":{"subject":"","project_id":79,"tracker_id":40,"status_id":1,"priority_id":2,"assigned_to_id":23,"start_date":"2017-05-19","description":"","custom_fields":[{"id":1,"name":"Subdivision","value":"EC"},{"id":4,"name":"Milepost","value":"23.3455"},{"id":17,"name":"Train ID","value":"189-19"},{"id":16,"name":"Locomotive ID","value":"4018"},{"id":130,"name":"Impact","value":""},{"id":150,"name":"Time of Event (Mountain Time)","value":"15:21:28"},{"id":151,"name":"Denver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51"/>
        <v>start /low /b %USERPROFILE%\Documents\GitHub\eaglep3\Utilities\DownloadLogsFromS3.py --loco 4018 --day 2017-05-19</v>
      </c>
      <c r="AN101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21:21:28"},{"id":29,"name":"Sharepoint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772</v>
      </c>
      <c r="B102" s="7">
        <v>4017</v>
      </c>
      <c r="C102" s="21" t="s">
        <v>206</v>
      </c>
      <c r="D102" s="21" t="s">
        <v>919</v>
      </c>
      <c r="E102" s="13">
        <v>42874.648125</v>
      </c>
      <c r="F102" s="13">
        <v>42874.653749999998</v>
      </c>
      <c r="G102" s="7">
        <v>1</v>
      </c>
      <c r="H102" s="21" t="s">
        <v>361</v>
      </c>
      <c r="I102" s="13">
        <v>42874.680185185185</v>
      </c>
      <c r="J102" s="7">
        <v>0</v>
      </c>
      <c r="K102" s="92" t="str">
        <f t="shared" si="35"/>
        <v>4017/4018</v>
      </c>
      <c r="L102" s="21" t="str">
        <f>VLOOKUP(A102,'Trips&amp;Operators'!$C$1:$G$99999,5,FALSE)</f>
        <v>DELGADO DIANAH</v>
      </c>
      <c r="M102" s="6">
        <f t="shared" si="36"/>
        <v>2.6435185187438037E-2</v>
      </c>
      <c r="N102" s="7">
        <f t="shared" si="37"/>
        <v>38.066666669910774</v>
      </c>
      <c r="O102" s="7"/>
      <c r="P102" s="7"/>
      <c r="Q102" s="22"/>
      <c r="R102" s="190"/>
      <c r="S102" s="196">
        <f t="shared" si="38"/>
        <v>1</v>
      </c>
      <c r="T102" s="190" t="str">
        <f t="shared" si="39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40"/>
        <v>https://d0f6bd738d7f1b3e5a7ca70fe4ff75f0.us-east-1.aws.found.io/app/kibana#/discover/Steve-Slow-Train-Analysis-(2080s-and-2083s)?_g=(refreshInterval:(display:Off,pause:!f,section:0,value:0),time:(from:'2017-05-19T14:33:18-0600',mode:absolute,to:'2017-05-19T17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192" t="str">
        <f t="shared" si="41"/>
        <v>N</v>
      </c>
      <c r="X102" s="192">
        <f t="shared" si="53"/>
        <v>1</v>
      </c>
      <c r="Y102" s="192">
        <f t="shared" si="42"/>
        <v>23.314699999999998</v>
      </c>
      <c r="Z102" s="192">
        <f t="shared" si="43"/>
        <v>1.5599999999999999E-2</v>
      </c>
      <c r="AA102" s="192">
        <f t="shared" si="44"/>
        <v>23.299099999999999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45"/>
        <v>0190-19</v>
      </c>
      <c r="AE102" s="80" t="str">
        <f t="shared" si="46"/>
        <v>aws s3 cp s3://rtdc.mdm.uploadarchive.raw/RTDC4017/ "%USERPROFILE%\AppData\Local\Temp\OnboardLogs"\RTDC4017\2017-05-19 --exclude "*" --recursive --include "*20170519*" &amp; "%USERPROFILE%\Documents\GitHub\mrs-test-scripts\Headless Mode &amp; Sideloading\WalkAndUnGZ.bat" "%USERPROFILE%\AppData\Local\Temp\OnboardLogs"\RTDC4017\2017-05-19 &amp; 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</v>
      </c>
      <c r="AF102" s="77" t="str">
        <f t="shared" si="47"/>
        <v>"C:\Program Files (x86)\AstroGrep\AstroGrep.exe" /e /r /s /spath="%USERPROFILE%\AppData\Local\Temp\OnboardLogs" /stypes="app*4017*20170519*" /stext=" 22:.+((SYSTEM_STATE.+slice.+state.+changed )|(ment ac)|(multiple cpu faults)|(system.+state.+changed )|(\[timeout)|(PRM\|1\|D)|(kpr)|(kdp)|(train st.+moving)|(\|lc)|(penalty))"</v>
      </c>
      <c r="AG102" s="1" t="str">
        <f t="shared" si="48"/>
        <v>EC</v>
      </c>
      <c r="AH102" s="81" t="str">
        <f t="shared" si="49"/>
        <v>"%USERPROFILE%\Documents\GitHub\eaglep3\Utilities\RefineRTDCRunTimes.py" --tripid 190-19 --locoid 4017 --swversion DE.1.0.9.0 --startMP 204:233147 --initTime 2017-05-19T15:33:18 --startdatetime 2017-05-19T15:41:24 --delay 1 --endMP 204:156 --enddatetime 2017-05-19T16:19:28 --enforcementcount 0 &gt;&gt;C:\Users\stu\Documents\GitHub\eaglep3-reporting\EC\2017-05-19-refined-times.txt</v>
      </c>
      <c r="AI102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{"issue":{"subject":"","project_id":79,"tracker_id":40,"status_id":1,"priority_id":2,"assigned_to_id":23,"start_date":"2017-05-19","description":"","custom_fields":[{"id":1,"name":"Subdivision","value":"EC"},{"id":4,"name":"Milepost","value":"0.0156"},{"id":17,"name":"Train ID","value":"190-19"},{"id":16,"name":"Locomotive ID","value":"4017"},{"id":130,"name":"Impact","value":""},{"id":150,"name":"Time of Event (Mountain Time)","value":"16:19:28"},{"id":151,"name":"Denver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51"/>
        <v>start /low /b %USERPROFILE%\Documents\GitHub\eaglep3\Utilities\DownloadLogsFromS3.py --loco 4017 --day 2017-05-19</v>
      </c>
      <c r="AN102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22:19:28"},{"id":29,"name":"Sharepoint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765</v>
      </c>
      <c r="B103" s="7">
        <v>4016</v>
      </c>
      <c r="C103" s="21" t="s">
        <v>206</v>
      </c>
      <c r="D103" s="21" t="s">
        <v>577</v>
      </c>
      <c r="E103" s="13">
        <v>42874.621620370373</v>
      </c>
      <c r="F103" s="13">
        <v>42874.625162037039</v>
      </c>
      <c r="G103" s="7">
        <v>1</v>
      </c>
      <c r="H103" s="21" t="s">
        <v>920</v>
      </c>
      <c r="I103" s="13">
        <v>42874.65253472222</v>
      </c>
      <c r="J103" s="7">
        <v>0</v>
      </c>
      <c r="K103" s="92" t="str">
        <f t="shared" si="35"/>
        <v>4015/4016</v>
      </c>
      <c r="L103" s="21" t="str">
        <f>VLOOKUP(A103,'Trips&amp;Operators'!$C$1:$G$99999,5,FALSE)</f>
        <v>CLARK KATHLEEN</v>
      </c>
      <c r="M103" s="6">
        <f t="shared" si="36"/>
        <v>2.7372685181035195E-2</v>
      </c>
      <c r="N103" s="7">
        <f t="shared" si="37"/>
        <v>39.41666666069068</v>
      </c>
      <c r="O103" s="7"/>
      <c r="P103" s="7"/>
      <c r="Q103" s="22"/>
      <c r="R103" s="190"/>
      <c r="S103" s="196">
        <f t="shared" si="38"/>
        <v>1</v>
      </c>
      <c r="T103" s="190" t="str">
        <f t="shared" si="39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40"/>
        <v>https://d0f6bd738d7f1b3e5a7ca70fe4ff75f0.us-east-1.aws.found.io/app/kibana#/discover/Steve-Slow-Train-Analysis-(2080s-and-2083s)?_g=(refreshInterval:(display:Off,pause:!f,section:0,value:0),time:(from:'2017-05-19T13:55:08-0600',mode:absolute,to:'2017-05-19T16:39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3" s="192" t="str">
        <f t="shared" si="41"/>
        <v>N</v>
      </c>
      <c r="X103" s="192">
        <f t="shared" si="53"/>
        <v>1</v>
      </c>
      <c r="Y103" s="192">
        <f t="shared" si="42"/>
        <v>4.8000000000000001E-2</v>
      </c>
      <c r="Z103" s="192">
        <f t="shared" si="43"/>
        <v>23.327200000000001</v>
      </c>
      <c r="AA103" s="192">
        <f t="shared" si="44"/>
        <v>23.279200000000003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45"/>
        <v>0191-19</v>
      </c>
      <c r="AE103" s="80" t="str">
        <f t="shared" si="46"/>
        <v>aws s3 cp s3://rtdc.mdm.uploadarchive.raw/RTDC4016/ "%USERPROFILE%\AppData\Local\Temp\OnboardLogs"\RTDC4016\2017-05-19 --exclude "*" --recursive --include "*20170519*" &amp; "%USERPROFILE%\Documents\GitHub\mrs-test-scripts\Headless Mode &amp; Sideloading\WalkAndUnGZ.bat" "%USERPROFILE%\AppData\Local\Temp\OnboardLogs"\RTDC4016\2017-05-19 &amp; aws s3 cp s3://rtdc.mdm.uploadarchive.raw/RTDC4016/ "%USERPROFILE%\AppData\Local\Temp\OnboardLogs"\RTDC4016\2017-05-20 --exclude "*" --recursive --include "*20170520*" &amp; "%USERPROFILE%\Documents\GitHub\mrs-test-scripts\Headless Mode &amp; Sideloading\WalkAndUnGZ.bat" "%USERPROFILE%\AppData\Local\Temp\OnboardLogs"\RTDC4016\2017-05-20</v>
      </c>
      <c r="AF103" s="77" t="str">
        <f t="shared" si="47"/>
        <v>"C:\Program Files (x86)\AstroGrep\AstroGrep.exe" /e /r /s /spath="%USERPROFILE%\AppData\Local\Temp\OnboardLogs" /stypes="app*4016*20170519*" /stext=" 21:.+((SYSTEM_STATE.+slice.+state.+changed )|(ment ac)|(multiple cpu faults)|(system.+state.+changed )|(\[timeout)|(PRM\|1\|D)|(kpr)|(kdp)|(train st.+moving)|(\|lc)|(penalty))"</v>
      </c>
      <c r="AG103" s="1" t="str">
        <f t="shared" si="48"/>
        <v>EC</v>
      </c>
      <c r="AH103" s="81" t="str">
        <f t="shared" si="49"/>
        <v>"%USERPROFILE%\Documents\GitHub\eaglep3\Utilities\RefineRTDCRunTimes.py" --tripid 191-19 --locoid 4016 --swversion DE.1.0.9.0 --startMP 204:480 --initTime 2017-05-19T14:55:08 --startdatetime 2017-05-19T15:00:14 --delay 1 --endMP 204:233272 --enddatetime 2017-05-19T15:39:39 --enforcementcount 0 &gt;&gt;C:\Users\stu\Documents\GitHub\eaglep3-reporting\EC\2017-05-19-refined-times.txt</v>
      </c>
      <c r="AI103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{"issue":{"subject":"","project_id":79,"tracker_id":40,"status_id":1,"priority_id":2,"assigned_to_id":23,"start_date":"2017-05-19","description":"","custom_fields":[{"id":1,"name":"Subdivision","value":"EC"},{"id":4,"name":"Milepost","value":"23.3272"},{"id":17,"name":"Train ID","value":"191-19"},{"id":16,"name":"Locomotive ID","value":"4016"},{"id":130,"name":"Impact","value":""},{"id":150,"name":"Time of Event (Mountain Time)","value":"15:39:39"},{"id":151,"name":"Denver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51"/>
        <v>start /low /b %USERPROFILE%\Documents\GitHub\eaglep3\Utilities\DownloadLogsFromS3.py --loco 4016 --day 2017-05-19</v>
      </c>
      <c r="AN103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21:39:39"},{"id":29,"name":"Sharepoint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776</v>
      </c>
      <c r="B104" s="7">
        <v>4015</v>
      </c>
      <c r="C104" s="21" t="s">
        <v>206</v>
      </c>
      <c r="D104" s="21" t="s">
        <v>555</v>
      </c>
      <c r="E104" s="13">
        <v>42874.657488425924</v>
      </c>
      <c r="F104" s="13">
        <v>42874.664155092592</v>
      </c>
      <c r="G104" s="7">
        <v>1</v>
      </c>
      <c r="H104" s="21" t="s">
        <v>921</v>
      </c>
      <c r="I104" s="13">
        <v>42874.692303240743</v>
      </c>
      <c r="J104" s="7">
        <v>0</v>
      </c>
      <c r="K104" s="92" t="str">
        <f t="shared" si="35"/>
        <v>4015/4016</v>
      </c>
      <c r="L104" s="21" t="str">
        <f>VLOOKUP(A104,'Trips&amp;Operators'!$C$1:$G$99999,5,FALSE)</f>
        <v>CLARK KATHLEEN</v>
      </c>
      <c r="M104" s="6">
        <f t="shared" si="36"/>
        <v>2.8148148150648922E-2</v>
      </c>
      <c r="N104" s="7">
        <f t="shared" si="37"/>
        <v>40.533333336934447</v>
      </c>
      <c r="O104" s="7"/>
      <c r="P104" s="7"/>
      <c r="Q104" s="22"/>
      <c r="R104" s="190" t="s">
        <v>1063</v>
      </c>
      <c r="S104" s="196">
        <f t="shared" si="38"/>
        <v>1</v>
      </c>
      <c r="T104" s="190" t="str">
        <f t="shared" si="39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40"/>
        <v>https://d0f6bd738d7f1b3e5a7ca70fe4ff75f0.us-east-1.aws.found.io/app/kibana#/discover/Steve-Slow-Train-Analysis-(2080s-and-2083s)?_g=(refreshInterval:(display:Off,pause:!f,section:0,value:0),time:(from:'2017-05-19T14:46:47-0600',mode:absolute,to:'2017-05-19T17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4" s="192" t="str">
        <f t="shared" si="41"/>
        <v>N</v>
      </c>
      <c r="X104" s="192">
        <f t="shared" si="53"/>
        <v>1</v>
      </c>
      <c r="Y104" s="192">
        <f t="shared" si="42"/>
        <v>23.296299999999999</v>
      </c>
      <c r="Z104" s="192">
        <f t="shared" si="43"/>
        <v>1.9099999999999999E-2</v>
      </c>
      <c r="AA104" s="192">
        <f t="shared" si="44"/>
        <v>23.277199999999997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45"/>
        <v>0192-19</v>
      </c>
      <c r="AE104" s="80" t="str">
        <f t="shared" si="46"/>
        <v>aws s3 cp s3://rtdc.mdm.uploadarchive.raw/RTDC4015/ "%USERPROFILE%\AppData\Local\Temp\OnboardLogs"\RTDC4015\2017-05-19 --exclude "*" --recursive --include "*20170519*" &amp; "%USERPROFILE%\Documents\GitHub\mrs-test-scripts\Headless Mode &amp; Sideloading\WalkAndUnGZ.bat" "%USERPROFILE%\AppData\Local\Temp\OnboardLogs"\RTDC4015\2017-05-19 &amp; aws s3 cp s3://rtdc.mdm.uploadarchive.raw/RTDC4015/ "%USERPROFILE%\AppData\Local\Temp\OnboardLogs"\RTDC4015\2017-05-20 --exclude "*" --recursive --include "*20170520*" &amp; "%USERPROFILE%\Documents\GitHub\mrs-test-scripts\Headless Mode &amp; Sideloading\WalkAndUnGZ.bat" "%USERPROFILE%\AppData\Local\Temp\OnboardLogs"\RTDC4015\2017-05-20</v>
      </c>
      <c r="AF104" s="77" t="str">
        <f t="shared" si="47"/>
        <v>"C:\Program Files (x86)\AstroGrep\AstroGrep.exe" /e /r /s /spath="%USERPROFILE%\AppData\Local\Temp\OnboardLogs" /stypes="app*4015*20170519*" /stext=" 22:.+((SYSTEM_STATE.+slice.+state.+changed )|(ment ac)|(multiple cpu faults)|(system.+state.+changed )|(\[timeout)|(PRM\|1\|D)|(kpr)|(kdp)|(train st.+moving)|(\|lc)|(penalty))"</v>
      </c>
      <c r="AG104" s="1" t="str">
        <f t="shared" si="48"/>
        <v>EC</v>
      </c>
      <c r="AH104" s="81" t="str">
        <f t="shared" si="49"/>
        <v>"%USERPROFILE%\Documents\GitHub\eaglep3\Utilities\RefineRTDCRunTimes.py" --tripid 192-19 --locoid 4015 --swversion DE.1.0.9.0 --startMP 204:232963 --initTime 2017-05-19T15:46:47 --startdatetime 2017-05-19T15:56:23 --delay 1 --endMP 204:191 --enddatetime 2017-05-19T16:36:55 --enforcementcount 0 &gt;&gt;C:\Users\stu\Documents\GitHub\eaglep3-reporting\EC\2017-05-19-refined-times.txt</v>
      </c>
      <c r="AI104" s="99" t="str">
        <f t="shared" si="50"/>
        <v>echo {"issue":{"subject":"Wi-MAX data drop, cleared without enforcement","project_id":79,"tracker_id":40,"status_id":1,"priority_id":2,"assigned_to_id":23,"start_date":"2017-05-19","description":"","custom_fields":[{"id":1,"name":"Subdivision","value":"EC"},{"id":4,"name":"Milepost","value":"0.0191"},{"id":17,"name":"Train ID","value":"192-19"},{"id":16,"name":"Locomotive ID","value":"4015"},{"id":130,"name":"Impact","value":""},{"id":150,"name":"Time of Event (Mountain Time)","value":"16:36:55"},{"id":151,"name":"Denver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51"/>
        <v>start /low /b %USERPROFILE%\Documents\GitHub\eaglep3\Utilities\DownloadLogsFromS3.py --loco 4015 --day 2017-05-19</v>
      </c>
      <c r="AN104" s="154" t="str">
        <f t="shared" si="52"/>
        <v>echo {"issue":{"subject":"Wi-MAX data drop, cleared without enforcement","project_id":30,"tracker_id":4,"status_id":1,"priority_id":1,"assigned_to_id":10,"start_date":"2017-05-19","description":"","custom_fields":[{"id":30,"name":"Category","value":"Issue"},{"id":3,"name":"Functional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22:36:55"},{"id":29,"name":"Sharepoint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767</v>
      </c>
      <c r="B105" s="7">
        <v>4006</v>
      </c>
      <c r="C105" s="21" t="s">
        <v>206</v>
      </c>
      <c r="D105" s="21" t="s">
        <v>438</v>
      </c>
      <c r="E105" s="13">
        <v>42874.630949074075</v>
      </c>
      <c r="F105" s="13">
        <v>42874.635567129626</v>
      </c>
      <c r="G105" s="7">
        <v>1</v>
      </c>
      <c r="H105" s="21" t="s">
        <v>474</v>
      </c>
      <c r="I105" s="13">
        <v>42874.660405092596</v>
      </c>
      <c r="J105" s="7">
        <v>0</v>
      </c>
      <c r="K105" s="92" t="str">
        <f t="shared" si="35"/>
        <v>4005/4006</v>
      </c>
      <c r="L105" s="21" t="str">
        <f>VLOOKUP(A105,'Trips&amp;Operators'!$C$1:$G$99999,5,FALSE)</f>
        <v>BRUDER RICHARD</v>
      </c>
      <c r="M105" s="6">
        <f t="shared" si="36"/>
        <v>2.4837962970195804E-2</v>
      </c>
      <c r="N105" s="7">
        <f t="shared" si="37"/>
        <v>35.766666677081957</v>
      </c>
      <c r="O105" s="7"/>
      <c r="P105" s="7"/>
      <c r="Q105" s="22"/>
      <c r="R105" s="190"/>
      <c r="S105" s="196">
        <f t="shared" si="38"/>
        <v>1</v>
      </c>
      <c r="T105" s="190" t="str">
        <f t="shared" si="39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40"/>
        <v>https://d0f6bd738d7f1b3e5a7ca70fe4ff75f0.us-east-1.aws.found.io/app/kibana#/discover/Steve-Slow-Train-Analysis-(2080s-and-2083s)?_g=(refreshInterval:(display:Off,pause:!f,section:0,value:0),time:(from:'2017-05-19T14:08:34-0600',mode:absolute,to:'2017-05-19T16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5" s="192" t="str">
        <f t="shared" si="41"/>
        <v>N</v>
      </c>
      <c r="X105" s="192">
        <f t="shared" si="53"/>
        <v>1</v>
      </c>
      <c r="Y105" s="192">
        <f t="shared" si="42"/>
        <v>4.6899999999999997E-2</v>
      </c>
      <c r="Z105" s="192">
        <f t="shared" si="43"/>
        <v>23.328900000000001</v>
      </c>
      <c r="AA105" s="192">
        <f t="shared" si="44"/>
        <v>23.282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45"/>
        <v>0193-19</v>
      </c>
      <c r="AE105" s="80" t="str">
        <f t="shared" si="46"/>
        <v>aws s3 cp s3://rtdc.mdm.uploadarchive.raw/RTDC4006/ "%USERPROFILE%\AppData\Local\Temp\OnboardLogs"\RTDC4006\2017-05-19 --exclude "*" --recursive --include "*20170519*" &amp; "%USERPROFILE%\Documents\GitHub\mrs-test-scripts\Headless Mode &amp; Sideloading\WalkAndUnGZ.bat" "%USERPROFILE%\AppData\Local\Temp\OnboardLogs"\RTDC4006\2017-05-19 &amp; 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</v>
      </c>
      <c r="AF105" s="77" t="str">
        <f t="shared" si="47"/>
        <v>"C:\Program Files (x86)\AstroGrep\AstroGrep.exe" /e /r /s /spath="%USERPROFILE%\AppData\Local\Temp\OnboardLogs" /stypes="app*4006*20170519*" /stext=" 21:.+((SYSTEM_STATE.+slice.+state.+changed )|(ment ac)|(multiple cpu faults)|(system.+state.+changed )|(\[timeout)|(PRM\|1\|D)|(kpr)|(kdp)|(train st.+moving)|(\|lc)|(penalty))"</v>
      </c>
      <c r="AG105" s="1" t="str">
        <f t="shared" si="48"/>
        <v>EC</v>
      </c>
      <c r="AH105" s="81" t="str">
        <f t="shared" si="49"/>
        <v>"%USERPROFILE%\Documents\GitHub\eaglep3\Utilities\RefineRTDCRunTimes.py" --tripid 193-19 --locoid 4006 --swversion DE.1.0.9.0 --startMP 204:469 --initTime 2017-05-19T15:08:34 --startdatetime 2017-05-19T15:15:13 --delay 1 --endMP 204:233289 --enddatetime 2017-05-19T15:50:59 --enforcementcount 0 &gt;&gt;C:\Users\stu\Documents\GitHub\eaglep3-reporting\EC\2017-05-19-refined-times.txt</v>
      </c>
      <c r="AI105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{"issue":{"subject":"","project_id":79,"tracker_id":40,"status_id":1,"priority_id":2,"assigned_to_id":23,"start_date":"2017-05-19","description":"","custom_fields":[{"id":1,"name":"Subdivision","value":"EC"},{"id":4,"name":"Milepost","value":"23.3289"},{"id":17,"name":"Train ID","value":"193-19"},{"id":16,"name":"Locomotive ID","value":"4006"},{"id":130,"name":"Impact","value":""},{"id":150,"name":"Time of Event (Mountain Time)","value":"15:50:59"},{"id":151,"name":"Denver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51"/>
        <v>start /low /b %USERPROFILE%\Documents\GitHub\eaglep3\Utilities\DownloadLogsFromS3.py --loco 4006 --day 2017-05-19</v>
      </c>
      <c r="AN105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21:50:59"},{"id":29,"name":"Sharepoint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778</v>
      </c>
      <c r="B106" s="7">
        <v>4005</v>
      </c>
      <c r="C106" s="21" t="s">
        <v>206</v>
      </c>
      <c r="D106" s="21" t="s">
        <v>511</v>
      </c>
      <c r="E106" s="13">
        <v>42874.669675925928</v>
      </c>
      <c r="F106" s="13">
        <v>42874.674537037034</v>
      </c>
      <c r="G106" s="7">
        <v>1</v>
      </c>
      <c r="H106" s="21" t="s">
        <v>419</v>
      </c>
      <c r="I106" s="13">
        <v>42874.701388888891</v>
      </c>
      <c r="J106" s="7">
        <v>0</v>
      </c>
      <c r="K106" s="92" t="str">
        <f t="shared" si="35"/>
        <v>4005/4006</v>
      </c>
      <c r="L106" s="21" t="str">
        <f>VLOOKUP(A106,'Trips&amp;Operators'!$C$1:$G$99999,5,FALSE)</f>
        <v>BRUDER RICHARD</v>
      </c>
      <c r="M106" s="6">
        <f t="shared" si="36"/>
        <v>2.6851851856918074E-2</v>
      </c>
      <c r="N106" s="7">
        <f t="shared" si="37"/>
        <v>38.666666673962027</v>
      </c>
      <c r="O106" s="7"/>
      <c r="P106" s="7"/>
      <c r="Q106" s="22"/>
      <c r="R106" s="190"/>
      <c r="S106" s="196">
        <f t="shared" si="38"/>
        <v>1</v>
      </c>
      <c r="T106" s="190" t="str">
        <f t="shared" si="39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40"/>
        <v>https://d0f6bd738d7f1b3e5a7ca70fe4ff75f0.us-east-1.aws.found.io/app/kibana#/discover/Steve-Slow-Train-Analysis-(2080s-and-2083s)?_g=(refreshInterval:(display:Off,pause:!f,section:0,value:0),time:(from:'2017-05-19T15:04:20-0600',mode:absolute,to:'2017-05-19T17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6" s="192" t="str">
        <f t="shared" si="41"/>
        <v>N</v>
      </c>
      <c r="X106" s="192">
        <f t="shared" si="53"/>
        <v>1</v>
      </c>
      <c r="Y106" s="192">
        <f t="shared" si="42"/>
        <v>23.2987</v>
      </c>
      <c r="Z106" s="192">
        <f t="shared" si="43"/>
        <v>1.54E-2</v>
      </c>
      <c r="AA106" s="192">
        <f t="shared" si="44"/>
        <v>23.283300000000001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45"/>
        <v>0194-19</v>
      </c>
      <c r="AE106" s="80" t="str">
        <f t="shared" si="46"/>
        <v>aws s3 cp s3://rtdc.mdm.uploadarchive.raw/RTDC4005/ "%USERPROFILE%\AppData\Local\Temp\OnboardLogs"\RTDC4005\2017-05-19 --exclude "*" --recursive --include "*20170519*" &amp; "%USERPROFILE%\Documents\GitHub\mrs-test-scripts\Headless Mode &amp; Sideloading\WalkAndUnGZ.bat" "%USERPROFILE%\AppData\Local\Temp\OnboardLogs"\RTDC4005\2017-05-19 &amp; 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</v>
      </c>
      <c r="AF106" s="77" t="str">
        <f t="shared" si="47"/>
        <v>"C:\Program Files (x86)\AstroGrep\AstroGrep.exe" /e /r /s /spath="%USERPROFILE%\AppData\Local\Temp\OnboardLogs" /stypes="app*4005*20170519*" /stext=" 22:.+((SYSTEM_STATE.+slice.+state.+changed )|(ment ac)|(multiple cpu faults)|(system.+state.+changed )|(\[timeout)|(PRM\|1\|D)|(kpr)|(kdp)|(train st.+moving)|(\|lc)|(penalty))"</v>
      </c>
      <c r="AG106" s="1" t="str">
        <f t="shared" si="48"/>
        <v>EC</v>
      </c>
      <c r="AH106" s="81" t="str">
        <f t="shared" si="49"/>
        <v>"%USERPROFILE%\Documents\GitHub\eaglep3\Utilities\RefineRTDCRunTimes.py" --tripid 194-19 --locoid 4005 --swversion DE.1.0.9.0 --startMP 204:232987 --initTime 2017-05-19T16:04:20 --startdatetime 2017-05-19T16:11:20 --delay 1 --endMP 204:154 --enddatetime 2017-05-19T16:50:00 --enforcementcount 0 &gt;&gt;C:\Users\stu\Documents\GitHub\eaglep3-reporting\EC\2017-05-19-refined-times.txt</v>
      </c>
      <c r="AI106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{"issue":{"subject":"","project_id":79,"tracker_id":40,"status_id":1,"priority_id":2,"assigned_to_id":23,"start_date":"2017-05-19","description":"","custom_fields":[{"id":1,"name":"Subdivision","value":"EC"},{"id":4,"name":"Milepost","value":"0.0154"},{"id":17,"name":"Train ID","value":"194-19"},{"id":16,"name":"Locomotive ID","value":"4005"},{"id":130,"name":"Impact","value":""},{"id":150,"name":"Time of Event (Mountain Time)","value":"16:50:00"},{"id":151,"name":"Denver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51"/>
        <v>start /low /b %USERPROFILE%\Documents\GitHub\eaglep3\Utilities\DownloadLogsFromS3.py --loco 4005 --day 2017-05-19</v>
      </c>
      <c r="AN106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22:50:00"},{"id":29,"name":"Sharepoint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771</v>
      </c>
      <c r="B107" s="7">
        <v>4032</v>
      </c>
      <c r="C107" s="21" t="s">
        <v>206</v>
      </c>
      <c r="D107" s="21" t="s">
        <v>358</v>
      </c>
      <c r="E107" s="13">
        <v>42874.64503472222</v>
      </c>
      <c r="F107" s="13">
        <v>42874.646319444444</v>
      </c>
      <c r="G107" s="7">
        <v>1</v>
      </c>
      <c r="H107" s="21" t="s">
        <v>922</v>
      </c>
      <c r="I107" s="13">
        <v>42874.670972222222</v>
      </c>
      <c r="J107" s="7">
        <v>0</v>
      </c>
      <c r="K107" s="92" t="str">
        <f t="shared" si="35"/>
        <v>4031/4032</v>
      </c>
      <c r="L107" s="21" t="str">
        <f>VLOOKUP(A107,'Trips&amp;Operators'!$C$1:$G$99999,5,FALSE)</f>
        <v>HELVIE ADAM</v>
      </c>
      <c r="M107" s="6">
        <f t="shared" si="36"/>
        <v>2.4652777778101154E-2</v>
      </c>
      <c r="N107" s="7">
        <f t="shared" si="37"/>
        <v>35.500000000465661</v>
      </c>
      <c r="O107" s="7"/>
      <c r="P107" s="7"/>
      <c r="Q107" s="22"/>
      <c r="R107" s="190"/>
      <c r="S107" s="196">
        <f t="shared" si="38"/>
        <v>1</v>
      </c>
      <c r="T107" s="190" t="str">
        <f t="shared" si="39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40"/>
        <v>https://d0f6bd738d7f1b3e5a7ca70fe4ff75f0.us-east-1.aws.found.io/app/kibana#/discover/Steve-Slow-Train-Analysis-(2080s-and-2083s)?_g=(refreshInterval:(display:Off,pause:!f,section:0,value:0),time:(from:'2017-05-19T14:28:51-0600',mode:absolute,to:'2017-05-19T17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7" s="192" t="str">
        <f t="shared" si="41"/>
        <v>N</v>
      </c>
      <c r="X107" s="192">
        <f t="shared" si="53"/>
        <v>1</v>
      </c>
      <c r="Y107" s="192">
        <f t="shared" si="42"/>
        <v>4.5100000000000001E-2</v>
      </c>
      <c r="Z107" s="192">
        <f t="shared" si="43"/>
        <v>23.331099999999999</v>
      </c>
      <c r="AA107" s="192">
        <f t="shared" si="44"/>
        <v>23.285999999999998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45"/>
        <v>0195-19</v>
      </c>
      <c r="AE107" s="80" t="str">
        <f t="shared" si="46"/>
        <v>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 &amp; 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</v>
      </c>
      <c r="AF107" s="77" t="str">
        <f t="shared" si="47"/>
        <v>"C:\Program Files (x86)\AstroGrep\AstroGrep.exe" /e /r /s /spath="%USERPROFILE%\AppData\Local\Temp\OnboardLogs" /stypes="app*4032*20170519*" /stext=" 22:.+((SYSTEM_STATE.+slice.+state.+changed )|(ment ac)|(multiple cpu faults)|(system.+state.+changed )|(\[timeout)|(PRM\|1\|D)|(kpr)|(kdp)|(train st.+moving)|(\|lc)|(penalty))"</v>
      </c>
      <c r="AG107" s="1" t="str">
        <f t="shared" si="48"/>
        <v>EC</v>
      </c>
      <c r="AH107" s="81" t="str">
        <f t="shared" si="49"/>
        <v>"%USERPROFILE%\Documents\GitHub\eaglep3\Utilities\RefineRTDCRunTimes.py" --tripid 195-19 --locoid 4032 --swversion DE.1.0.9.0 --startMP 204:451 --initTime 2017-05-19T15:28:51 --startdatetime 2017-05-19T15:30:42 --delay 1 --endMP 204:233311 --enddatetime 2017-05-19T16:06:12 --enforcementcount 0 &gt;&gt;C:\Users\stu\Documents\GitHub\eaglep3-reporting\EC\2017-05-19-refined-times.txt</v>
      </c>
      <c r="AI107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{"issue":{"subject":"","project_id":79,"tracker_id":40,"status_id":1,"priority_id":2,"assigned_to_id":23,"start_date":"2017-05-19","description":"","custom_fields":[{"id":1,"name":"Subdivision","value":"EC"},{"id":4,"name":"Milepost","value":"23.3311"},{"id":17,"name":"Train ID","value":"195-19"},{"id":16,"name":"Locomotive ID","value":"4032"},{"id":130,"name":"Impact","value":""},{"id":150,"name":"Time of Event (Mountain Time)","value":"16:06:12"},{"id":151,"name":"Denver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51"/>
        <v>start /low /b %USERPROFILE%\Documents\GitHub\eaglep3\Utilities\DownloadLogsFromS3.py --loco 4032 --day 2017-05-19</v>
      </c>
      <c r="AN107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783</v>
      </c>
      <c r="B108" s="7">
        <v>4031</v>
      </c>
      <c r="C108" s="21" t="s">
        <v>206</v>
      </c>
      <c r="D108" s="21" t="s">
        <v>423</v>
      </c>
      <c r="E108" s="13">
        <v>42874.683611111112</v>
      </c>
      <c r="F108" s="13">
        <v>42874.684895833336</v>
      </c>
      <c r="G108" s="7">
        <v>1</v>
      </c>
      <c r="H108" s="21" t="s">
        <v>361</v>
      </c>
      <c r="I108" s="13">
        <v>42874.710289351853</v>
      </c>
      <c r="J108" s="7">
        <v>0</v>
      </c>
      <c r="K108" s="92" t="str">
        <f t="shared" si="35"/>
        <v>4031/4032</v>
      </c>
      <c r="L108" s="21" t="str">
        <f>VLOOKUP(A108,'Trips&amp;Operators'!$C$1:$G$99999,5,FALSE)</f>
        <v>HELVIE ADAM</v>
      </c>
      <c r="M108" s="6">
        <f t="shared" si="36"/>
        <v>2.5393518517375924E-2</v>
      </c>
      <c r="N108" s="7">
        <f t="shared" si="37"/>
        <v>36.56666666502133</v>
      </c>
      <c r="O108" s="7"/>
      <c r="P108" s="7"/>
      <c r="Q108" s="22"/>
      <c r="R108" s="190"/>
      <c r="S108" s="196">
        <f t="shared" si="38"/>
        <v>1</v>
      </c>
      <c r="T108" s="190" t="str">
        <f t="shared" si="39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40"/>
        <v>https://d0f6bd738d7f1b3e5a7ca70fe4ff75f0.us-east-1.aws.found.io/app/kibana#/discover/Steve-Slow-Train-Analysis-(2080s-and-2083s)?_g=(refreshInterval:(display:Off,pause:!f,section:0,value:0),time:(from:'2017-05-19T15:24:24-0600',mode:absolute,to:'2017-05-19T18:02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8" s="192" t="str">
        <f t="shared" si="41"/>
        <v>N</v>
      </c>
      <c r="X108" s="192">
        <f t="shared" si="53"/>
        <v>1</v>
      </c>
      <c r="Y108" s="192">
        <f t="shared" si="42"/>
        <v>23.297499999999999</v>
      </c>
      <c r="Z108" s="192">
        <f t="shared" si="43"/>
        <v>1.5599999999999999E-2</v>
      </c>
      <c r="AA108" s="192">
        <f t="shared" si="44"/>
        <v>23.2819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45"/>
        <v>0196-19</v>
      </c>
      <c r="AE108" s="80" t="str">
        <f t="shared" si="46"/>
        <v>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 &amp; aws s3 cp s3://rtdc.mdm.uploadarchive.raw/RTDC4031/ "%USERPROFILE%\AppData\Local\Temp\OnboardLogs"\RTDC4031\2017-05-20 --exclude "*" --recursive --include "*20170520*" &amp; "%USERPROFILE%\Documents\GitHub\mrs-test-scripts\Headless Mode &amp; Sideloading\WalkAndUnGZ.bat" "%USERPROFILE%\AppData\Local\Temp\OnboardLogs"\RTDC4031\2017-05-20</v>
      </c>
      <c r="AF108" s="77" t="str">
        <f t="shared" si="47"/>
        <v>"C:\Program Files (x86)\AstroGrep\AstroGrep.exe" /e /r /s /spath="%USERPROFILE%\AppData\Local\Temp\OnboardLogs" /stypes="app*4031*20170519*" /stext=" 23:.+((SYSTEM_STATE.+slice.+state.+changed )|(ment ac)|(multiple cpu faults)|(system.+state.+changed )|(\[timeout)|(PRM\|1\|D)|(kpr)|(kdp)|(train st.+moving)|(\|lc)|(penalty))"</v>
      </c>
      <c r="AG108" s="1" t="str">
        <f t="shared" si="48"/>
        <v>EC</v>
      </c>
      <c r="AH108" s="81" t="str">
        <f t="shared" si="49"/>
        <v>"%USERPROFILE%\Documents\GitHub\eaglep3\Utilities\RefineRTDCRunTimes.py" --tripid 196-19 --locoid 4031 --swversion DE.1.0.9.0 --startMP 204:232975 --initTime 2017-05-19T16:24:24 --startdatetime 2017-05-19T16:26:15 --delay 1 --endMP 204:156 --enddatetime 2017-05-19T17:02:49 --enforcementcount 0 &gt;&gt;C:\Users\stu\Documents\GitHub\eaglep3-reporting\EC\2017-05-19-refined-times.txt</v>
      </c>
      <c r="AI108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{"issue":{"subject":"","project_id":79,"tracker_id":40,"status_id":1,"priority_id":2,"assigned_to_id":23,"start_date":"2017-05-19","description":"","custom_fields":[{"id":1,"name":"Subdivision","value":"EC"},{"id":4,"name":"Milepost","value":"0.0156"},{"id":17,"name":"Train ID","value":"196-19"},{"id":16,"name":"Locomotive ID","value":"4031"},{"id":130,"name":"Impact","value":""},{"id":150,"name":"Time of Event (Mountain Time)","value":"17:02:49"},{"id":151,"name":"Denver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51"/>
        <v>start /low /b %USERPROFILE%\Documents\GitHub\eaglep3\Utilities\DownloadLogsFromS3.py --loco 4031 --day 2017-05-19</v>
      </c>
      <c r="AN108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23:02:49"},{"id":29,"name":"Sharepoint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774</v>
      </c>
      <c r="B109" s="7">
        <v>4024</v>
      </c>
      <c r="C109" s="21" t="s">
        <v>206</v>
      </c>
      <c r="D109" s="21" t="s">
        <v>513</v>
      </c>
      <c r="E109" s="13">
        <v>42874.652615740742</v>
      </c>
      <c r="F109" s="13">
        <v>42874.656423611108</v>
      </c>
      <c r="G109" s="7">
        <v>1</v>
      </c>
      <c r="H109" s="21" t="s">
        <v>581</v>
      </c>
      <c r="I109" s="13">
        <v>42874.682557870372</v>
      </c>
      <c r="J109" s="7">
        <v>0</v>
      </c>
      <c r="K109" s="92" t="str">
        <f t="shared" si="35"/>
        <v>4023/4024</v>
      </c>
      <c r="L109" s="21" t="str">
        <f>VLOOKUP(A109,'Trips&amp;Operators'!$C$1:$G$99999,5,FALSE)</f>
        <v>BRANDNER MELINDA</v>
      </c>
      <c r="M109" s="6">
        <f t="shared" si="36"/>
        <v>2.6134259263926651E-2</v>
      </c>
      <c r="N109" s="7">
        <f t="shared" ref="N109:N140" si="54">24*60*SUM($M109:$M109)</f>
        <v>37.633333340054378</v>
      </c>
      <c r="O109" s="7"/>
      <c r="P109" s="7"/>
      <c r="Q109" s="22"/>
      <c r="R109" s="190"/>
      <c r="S109" s="196">
        <f t="shared" ref="S109:S140" si="55">SUM(U109:U109)/IF(AG109="EC",12,1)</f>
        <v>1</v>
      </c>
      <c r="T109" s="190" t="str">
        <f t="shared" si="39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40"/>
        <v>https://d0f6bd738d7f1b3e5a7ca70fe4ff75f0.us-east-1.aws.found.io/app/kibana#/discover/Steve-Slow-Train-Analysis-(2080s-and-2083s)?_g=(refreshInterval:(display:Off,pause:!f,section:0,value:0),time:(from:'2017-05-19T14:39:46-0600',mode:absolute,to:'2017-05-19T17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9" s="192" t="str">
        <f t="shared" si="41"/>
        <v>N</v>
      </c>
      <c r="X109" s="192">
        <f t="shared" si="53"/>
        <v>1</v>
      </c>
      <c r="Y109" s="192">
        <f t="shared" ref="Y109:Y140" si="56">RIGHT(D109,LEN(D109)-4)/10000</f>
        <v>4.3799999999999999E-2</v>
      </c>
      <c r="Z109" s="192">
        <f t="shared" ref="Z109:Z140" si="57">RIGHT(H109,LEN(H109)-4)/10000</f>
        <v>23.333200000000001</v>
      </c>
      <c r="AA109" s="192">
        <f t="shared" si="44"/>
        <v>23.289400000000001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45"/>
        <v>0197-19</v>
      </c>
      <c r="AE109" s="80" t="str">
        <f t="shared" si="46"/>
        <v>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 &amp; aws s3 cp s3://rtdc.mdm.uploadarchive.raw/RTDC4024/ "%USERPROFILE%\AppData\Local\Temp\OnboardLogs"\RTDC4024\2017-05-20 --exclude "*" --recursive --include "*20170520*" &amp; "%USERPROFILE%\Documents\GitHub\mrs-test-scripts\Headless Mode &amp; Sideloading\WalkAndUnGZ.bat" "%USERPROFILE%\AppData\Local\Temp\OnboardLogs"\RTDC4024\2017-05-20</v>
      </c>
      <c r="AF109" s="77" t="str">
        <f t="shared" si="47"/>
        <v>"C:\Program Files (x86)\AstroGrep\AstroGrep.exe" /e /r /s /spath="%USERPROFILE%\AppData\Local\Temp\OnboardLogs" /stypes="app*4024*20170519*" /stext=" 22:.+((SYSTEM_STATE.+slice.+state.+changed )|(ment ac)|(multiple cpu faults)|(system.+state.+changed )|(\[timeout)|(PRM\|1\|D)|(kpr)|(kdp)|(train st.+moving)|(\|lc)|(penalty))"</v>
      </c>
      <c r="AG109" s="1" t="str">
        <f t="shared" si="48"/>
        <v>EC</v>
      </c>
      <c r="AH109" s="81" t="str">
        <f t="shared" si="49"/>
        <v>"%USERPROFILE%\Documents\GitHub\eaglep3\Utilities\RefineRTDCRunTimes.py" --tripid 197-19 --locoid 4024 --swversion DE.1.0.9.0 --startMP 204:438 --initTime 2017-05-19T15:39:46 --startdatetime 2017-05-19T15:45:15 --delay 1 --endMP 204:233332 --enddatetime 2017-05-19T16:22:53 --enforcementcount 0 &gt;&gt;C:\Users\stu\Documents\GitHub\eaglep3-reporting\EC\2017-05-19-refined-times.txt</v>
      </c>
      <c r="AI109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{"issue":{"subject":"","project_id":79,"tracker_id":40,"status_id":1,"priority_id":2,"assigned_to_id":23,"start_date":"2017-05-19","description":"","custom_fields":[{"id":1,"name":"Subdivision","value":"EC"},{"id":4,"name":"Milepost","value":"23.3332"},{"id":17,"name":"Train ID","value":"197-19"},{"id":16,"name":"Locomotive ID","value":"4024"},{"id":130,"name":"Impact","value":""},{"id":150,"name":"Time of Event (Mountain Time)","value":"16:22:53"},{"id":151,"name":"Denver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51"/>
        <v>start /low /b %USERPROFILE%\Documents\GitHub\eaglep3\Utilities\DownloadLogsFromS3.py --loco 4024 --day 2017-05-19</v>
      </c>
      <c r="AN109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22:22:53"},{"id":29,"name":"Sharepoint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786</v>
      </c>
      <c r="B110" s="7">
        <v>4023</v>
      </c>
      <c r="C110" s="21" t="s">
        <v>206</v>
      </c>
      <c r="D110" s="21" t="s">
        <v>572</v>
      </c>
      <c r="E110" s="13">
        <v>42874.691712962966</v>
      </c>
      <c r="F110" s="13">
        <v>42874.695335648146</v>
      </c>
      <c r="G110" s="7">
        <v>1</v>
      </c>
      <c r="H110" s="21" t="s">
        <v>368</v>
      </c>
      <c r="I110" s="13">
        <v>42874.723090277781</v>
      </c>
      <c r="J110" s="7">
        <v>0</v>
      </c>
      <c r="K110" s="92" t="str">
        <f t="shared" si="35"/>
        <v>4023/4024</v>
      </c>
      <c r="L110" s="21" t="str">
        <f>VLOOKUP(A110,'Trips&amp;Operators'!$C$1:$G$99999,5,FALSE)</f>
        <v>BRANDNER MELINDA</v>
      </c>
      <c r="M110" s="6">
        <f t="shared" si="36"/>
        <v>2.775462963472819E-2</v>
      </c>
      <c r="N110" s="7">
        <f t="shared" si="54"/>
        <v>39.966666674008593</v>
      </c>
      <c r="O110" s="7"/>
      <c r="P110" s="7"/>
      <c r="Q110" s="22"/>
      <c r="R110" s="190"/>
      <c r="S110" s="196">
        <f t="shared" si="55"/>
        <v>1</v>
      </c>
      <c r="T110" s="190" t="str">
        <f t="shared" si="39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40"/>
        <v>https://d0f6bd738d7f1b3e5a7ca70fe4ff75f0.us-east-1.aws.found.io/app/kibana#/discover/Steve-Slow-Train-Analysis-(2080s-and-2083s)?_g=(refreshInterval:(display:Off,pause:!f,section:0,value:0),time:(from:'2017-05-19T15:36:04-0600',mode:absolute,to:'2017-05-19T18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0" s="192" t="str">
        <f t="shared" si="41"/>
        <v>N</v>
      </c>
      <c r="X110" s="192">
        <f t="shared" si="53"/>
        <v>1</v>
      </c>
      <c r="Y110" s="192">
        <f t="shared" si="56"/>
        <v>23.301500000000001</v>
      </c>
      <c r="Z110" s="192">
        <f t="shared" si="57"/>
        <v>1.47E-2</v>
      </c>
      <c r="AA110" s="192">
        <f t="shared" si="44"/>
        <v>23.286799999999999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45"/>
        <v>0198-19</v>
      </c>
      <c r="AE110" s="80" t="str">
        <f t="shared" si="46"/>
        <v>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 &amp; aws s3 cp s3://rtdc.mdm.uploadarchive.raw/RTDC4023/ "%USERPROFILE%\AppData\Local\Temp\OnboardLogs"\RTDC4023\2017-05-20 --exclude "*" --recursive --include "*20170520*" &amp; "%USERPROFILE%\Documents\GitHub\mrs-test-scripts\Headless Mode &amp; Sideloading\WalkAndUnGZ.bat" "%USERPROFILE%\AppData\Local\Temp\OnboardLogs"\RTDC4023\2017-05-20</v>
      </c>
      <c r="AF110" s="77" t="str">
        <f t="shared" si="47"/>
        <v>"C:\Program Files (x86)\AstroGrep\AstroGrep.exe" /e /r /s /spath="%USERPROFILE%\AppData\Local\Temp\OnboardLogs" /stypes="app*4023*20170519*" /stext=" 23:.+((SYSTEM_STATE.+slice.+state.+changed )|(ment ac)|(multiple cpu faults)|(system.+state.+changed )|(\[timeout)|(PRM\|1\|D)|(kpr)|(kdp)|(train st.+moving)|(\|lc)|(penalty))"</v>
      </c>
      <c r="AG110" s="1" t="str">
        <f t="shared" si="48"/>
        <v>EC</v>
      </c>
      <c r="AH110" s="81" t="str">
        <f t="shared" si="49"/>
        <v>"%USERPROFILE%\Documents\GitHub\eaglep3\Utilities\RefineRTDCRunTimes.py" --tripid 198-19 --locoid 4023 --swversion DE.1.0.9.0 --startMP 204:233015 --initTime 2017-05-19T16:36:04 --startdatetime 2017-05-19T16:41:17 --delay 1 --endMP 204:147 --enddatetime 2017-05-19T17:21:15 --enforcementcount 0 &gt;&gt;C:\Users\stu\Documents\GitHub\eaglep3-reporting\EC\2017-05-19-refined-times.txt</v>
      </c>
      <c r="AI110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{"issue":{"subject":"","project_id":79,"tracker_id":40,"status_id":1,"priority_id":2,"assigned_to_id":23,"start_date":"2017-05-19","description":"","custom_fields":[{"id":1,"name":"Subdivision","value":"EC"},{"id":4,"name":"Milepost","value":"0.0147"},{"id":17,"name":"Train ID","value":"198-19"},{"id":16,"name":"Locomotive ID","value":"4023"},{"id":130,"name":"Impact","value":""},{"id":150,"name":"Time of Event (Mountain Time)","value":"17:21:15"},{"id":151,"name":"Denver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51"/>
        <v>start /low /b %USERPROFILE%\Documents\GitHub\eaglep3\Utilities\DownloadLogsFromS3.py --loco 4023 --day 2017-05-19</v>
      </c>
      <c r="AN110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777</v>
      </c>
      <c r="B111" s="7">
        <v>4040</v>
      </c>
      <c r="C111" s="21" t="s">
        <v>206</v>
      </c>
      <c r="D111" s="21" t="s">
        <v>438</v>
      </c>
      <c r="E111" s="13">
        <v>42874.663449074076</v>
      </c>
      <c r="F111" s="13">
        <v>42874.666932870372</v>
      </c>
      <c r="G111" s="7">
        <v>1</v>
      </c>
      <c r="H111" s="21" t="s">
        <v>923</v>
      </c>
      <c r="I111" s="13">
        <v>42874.692557870374</v>
      </c>
      <c r="J111" s="7">
        <v>0</v>
      </c>
      <c r="K111" s="92" t="str">
        <f t="shared" si="35"/>
        <v>4039/4040</v>
      </c>
      <c r="L111" s="21" t="str">
        <f>VLOOKUP(A111,'Trips&amp;Operators'!$C$1:$G$99999,5,FALSE)</f>
        <v>MOSES BRADLEY</v>
      </c>
      <c r="M111" s="6">
        <f t="shared" si="36"/>
        <v>2.5625000002037268E-2</v>
      </c>
      <c r="N111" s="7">
        <f t="shared" si="54"/>
        <v>36.900000002933666</v>
      </c>
      <c r="O111" s="7"/>
      <c r="P111" s="7"/>
      <c r="Q111" s="22"/>
      <c r="R111" s="190"/>
      <c r="S111" s="196">
        <f t="shared" si="55"/>
        <v>1</v>
      </c>
      <c r="T111" s="190" t="str">
        <f t="shared" si="39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40"/>
        <v>https://d0f6bd738d7f1b3e5a7ca70fe4ff75f0.us-east-1.aws.found.io/app/kibana#/discover/Steve-Slow-Train-Analysis-(2080s-and-2083s)?_g=(refreshInterval:(display:Off,pause:!f,section:0,value:0),time:(from:'2017-05-19T14:55:22-0600',mode:absolute,to:'2017-05-19T17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1" s="192" t="str">
        <f t="shared" si="41"/>
        <v>N</v>
      </c>
      <c r="X111" s="192">
        <f t="shared" si="53"/>
        <v>1</v>
      </c>
      <c r="Y111" s="192">
        <f t="shared" si="56"/>
        <v>4.6899999999999997E-2</v>
      </c>
      <c r="Z111" s="192">
        <f t="shared" si="57"/>
        <v>23.332999999999998</v>
      </c>
      <c r="AA111" s="192">
        <f t="shared" si="44"/>
        <v>23.286099999999998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45"/>
        <v>0199-19</v>
      </c>
      <c r="AE111" s="80" t="str">
        <f t="shared" si="46"/>
        <v>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 &amp; aws s3 cp s3://rtdc.mdm.uploadarchive.raw/RTDC4040/ "%USERPROFILE%\AppData\Local\Temp\OnboardLogs"\RTDC4040\2017-05-20 --exclude "*" --recursive --include "*20170520*" &amp; "%USERPROFILE%\Documents\GitHub\mrs-test-scripts\Headless Mode &amp; Sideloading\WalkAndUnGZ.bat" "%USERPROFILE%\AppData\Local\Temp\OnboardLogs"\RTDC4040\2017-05-20</v>
      </c>
      <c r="AF111" s="77" t="str">
        <f t="shared" si="47"/>
        <v>"C:\Program Files (x86)\AstroGrep\AstroGrep.exe" /e /r /s /spath="%USERPROFILE%\AppData\Local\Temp\OnboardLogs" /stypes="app*4040*20170519*" /stext=" 22:.+((SYSTEM_STATE.+slice.+state.+changed )|(ment ac)|(multiple cpu faults)|(system.+state.+changed )|(\[timeout)|(PRM\|1\|D)|(kpr)|(kdp)|(train st.+moving)|(\|lc)|(penalty))"</v>
      </c>
      <c r="AG111" s="1" t="str">
        <f t="shared" si="48"/>
        <v>EC</v>
      </c>
      <c r="AH111" s="81" t="str">
        <f t="shared" si="49"/>
        <v>"%USERPROFILE%\Documents\GitHub\eaglep3\Utilities\RefineRTDCRunTimes.py" --tripid 199-19 --locoid 4040 --swversion DE.1.0.9.0 --startMP 204:469 --initTime 2017-05-19T15:55:22 --startdatetime 2017-05-19T16:00:23 --delay 1 --endMP 204:233330 --enddatetime 2017-05-19T16:37:17 --enforcementcount 0 &gt;&gt;C:\Users\stu\Documents\GitHub\eaglep3-reporting\EC\2017-05-19-refined-times.txt</v>
      </c>
      <c r="AI111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{"issue":{"subject":"","project_id":79,"tracker_id":40,"status_id":1,"priority_id":2,"assigned_to_id":23,"start_date":"2017-05-19","description":"","custom_fields":[{"id":1,"name":"Subdivision","value":"EC"},{"id":4,"name":"Milepost","value":"23.333"},{"id":17,"name":"Train ID","value":"199-19"},{"id":16,"name":"Locomotive ID","value":"4040"},{"id":130,"name":"Impact","value":""},{"id":150,"name":"Time of Event (Mountain Time)","value":"16:37:17"},{"id":151,"name":"Denver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51"/>
        <v>start /low /b %USERPROFILE%\Documents\GitHub\eaglep3\Utilities\DownloadLogsFromS3.py --loco 4040 --day 2017-05-19</v>
      </c>
      <c r="AN111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22:37:17"},{"id":29,"name":"Sharepoint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789</v>
      </c>
      <c r="B112" s="7">
        <v>4039</v>
      </c>
      <c r="C112" s="21" t="s">
        <v>206</v>
      </c>
      <c r="D112" s="21" t="s">
        <v>924</v>
      </c>
      <c r="E112" s="13">
        <v>42874.702557870369</v>
      </c>
      <c r="F112" s="13">
        <v>42874.705879629626</v>
      </c>
      <c r="G112" s="7">
        <v>1</v>
      </c>
      <c r="H112" s="21" t="s">
        <v>367</v>
      </c>
      <c r="I112" s="13">
        <v>42874.732997685183</v>
      </c>
      <c r="J112" s="7">
        <v>0</v>
      </c>
      <c r="K112" s="92" t="str">
        <f t="shared" si="35"/>
        <v>4039/4040</v>
      </c>
      <c r="L112" s="21" t="str">
        <f>VLOOKUP(A112,'Trips&amp;Operators'!$C$1:$G$99999,5,FALSE)</f>
        <v>MOSES BRADLEY</v>
      </c>
      <c r="M112" s="6">
        <f t="shared" si="36"/>
        <v>2.7118055557366461E-2</v>
      </c>
      <c r="N112" s="7">
        <f t="shared" si="54"/>
        <v>39.050000002607703</v>
      </c>
      <c r="O112" s="7"/>
      <c r="P112" s="7"/>
      <c r="Q112" s="22"/>
      <c r="R112" s="190"/>
      <c r="S112" s="196">
        <f t="shared" si="55"/>
        <v>1</v>
      </c>
      <c r="T112" s="190" t="str">
        <f t="shared" si="39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40"/>
        <v>https://d0f6bd738d7f1b3e5a7ca70fe4ff75f0.us-east-1.aws.found.io/app/kibana#/discover/Steve-Slow-Train-Analysis-(2080s-and-2083s)?_g=(refreshInterval:(display:Off,pause:!f,section:0,value:0),time:(from:'2017-05-19T15:51:41-0600',mode:absolute,to:'2017-05-19T18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2" s="192" t="str">
        <f t="shared" si="41"/>
        <v>N</v>
      </c>
      <c r="X112" s="192">
        <f t="shared" si="53"/>
        <v>1</v>
      </c>
      <c r="Y112" s="192">
        <f t="shared" si="56"/>
        <v>23.3003</v>
      </c>
      <c r="Z112" s="192">
        <f t="shared" si="57"/>
        <v>1.41E-2</v>
      </c>
      <c r="AA112" s="192">
        <f t="shared" si="44"/>
        <v>23.286200000000001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45"/>
        <v>0200-19</v>
      </c>
      <c r="AE112" s="80" t="str">
        <f t="shared" si="46"/>
        <v>aws s3 cp s3://rtdc.mdm.uploadarchive.raw/RTDC4039/ "%USERPROFILE%\AppData\Local\Temp\OnboardLogs"\RTDC4039\2017-05-19 --exclude "*" --recursive --include "*20170519*" &amp; "%USERPROFILE%\Documents\GitHub\mrs-test-scripts\Headless Mode &amp; Sideloading\WalkAndUnGZ.bat" "%USERPROFILE%\AppData\Local\Temp\OnboardLogs"\RTDC4039\2017-05-19 &amp; aws s3 cp s3://rtdc.mdm.uploadarchive.raw/RTDC4039/ "%USERPROFILE%\AppData\Local\Temp\OnboardLogs"\RTDC4039\2017-05-20 --exclude "*" --recursive --include "*20170520*" &amp; "%USERPROFILE%\Documents\GitHub\mrs-test-scripts\Headless Mode &amp; Sideloading\WalkAndUnGZ.bat" "%USERPROFILE%\AppData\Local\Temp\OnboardLogs"\RTDC4039\2017-05-20</v>
      </c>
      <c r="AF112" s="77" t="str">
        <f t="shared" si="47"/>
        <v>"C:\Program Files (x86)\AstroGrep\AstroGrep.exe" /e /r /s /spath="%USERPROFILE%\AppData\Local\Temp\OnboardLogs" /stypes="app*4039*20170519*" /stext=" 23:.+((SYSTEM_STATE.+slice.+state.+changed )|(ment ac)|(multiple cpu faults)|(system.+state.+changed )|(\[timeout)|(PRM\|1\|D)|(kpr)|(kdp)|(train st.+moving)|(\|lc)|(penalty))"</v>
      </c>
      <c r="AG112" s="1" t="str">
        <f t="shared" si="48"/>
        <v>EC</v>
      </c>
      <c r="AH112" s="81" t="str">
        <f t="shared" si="49"/>
        <v>"%USERPROFILE%\Documents\GitHub\eaglep3\Utilities\RefineRTDCRunTimes.py" --tripid 200-19 --locoid 4039 --swversion DE.1.0.9.0 --startMP 204:233003 --initTime 2017-05-19T16:51:41 --startdatetime 2017-05-19T16:56:28 --delay 1 --endMP 204:141 --enddatetime 2017-05-19T17:35:31 --enforcementcount 0 &gt;&gt;C:\Users\stu\Documents\GitHub\eaglep3-reporting\EC\2017-05-19-refined-times.txt</v>
      </c>
      <c r="AI112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{"issue":{"subject":"","project_id":79,"tracker_id":40,"status_id":1,"priority_id":2,"assigned_to_id":23,"start_date":"2017-05-19","description":"","custom_fields":[{"id":1,"name":"Subdivision","value":"EC"},{"id":4,"name":"Milepost","value":"0.0141"},{"id":17,"name":"Train ID","value":"200-19"},{"id":16,"name":"Locomotive ID","value":"4039"},{"id":130,"name":"Impact","value":""},{"id":150,"name":"Time of Event (Mountain Time)","value":"17:35:31"},{"id":151,"name":"Denver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51"/>
        <v>start /low /b %USERPROFILE%\Documents\GitHub\eaglep3\Utilities\DownloadLogsFromS3.py --loco 4039 --day 2017-05-19</v>
      </c>
      <c r="AN112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780</v>
      </c>
      <c r="B113" s="7">
        <v>4012</v>
      </c>
      <c r="C113" s="21" t="s">
        <v>206</v>
      </c>
      <c r="D113" s="21" t="s">
        <v>363</v>
      </c>
      <c r="E113" s="13">
        <v>42874.67291666667</v>
      </c>
      <c r="F113" s="13">
        <v>42874.67728009259</v>
      </c>
      <c r="G113" s="7">
        <v>1</v>
      </c>
      <c r="H113" s="21" t="s">
        <v>475</v>
      </c>
      <c r="I113" s="13">
        <v>42874.70212962963</v>
      </c>
      <c r="J113" s="7">
        <v>0</v>
      </c>
      <c r="K113" s="92" t="str">
        <f t="shared" si="35"/>
        <v>4011/4012</v>
      </c>
      <c r="L113" s="21" t="str">
        <f>VLOOKUP(A113,'Trips&amp;Operators'!$C$1:$G$99999,5,FALSE)</f>
        <v>STEWART MICHAEL</v>
      </c>
      <c r="M113" s="6">
        <f t="shared" si="36"/>
        <v>2.4849537039699499E-2</v>
      </c>
      <c r="N113" s="7">
        <f t="shared" si="54"/>
        <v>35.783333337167278</v>
      </c>
      <c r="O113" s="7"/>
      <c r="P113" s="7"/>
      <c r="Q113" s="22"/>
      <c r="R113" s="190"/>
      <c r="S113" s="196">
        <f t="shared" si="55"/>
        <v>1</v>
      </c>
      <c r="T113" s="190" t="str">
        <f t="shared" si="39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40"/>
        <v>https://d0f6bd738d7f1b3e5a7ca70fe4ff75f0.us-east-1.aws.found.io/app/kibana#/discover/Steve-Slow-Train-Analysis-(2080s-and-2083s)?_g=(refreshInterval:(display:Off,pause:!f,section:0,value:0),time:(from:'2017-05-19T15:09:00-0600',mode:absolute,to:'2017-05-19T17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3" s="192" t="str">
        <f t="shared" si="41"/>
        <v>N</v>
      </c>
      <c r="X113" s="192">
        <f t="shared" si="53"/>
        <v>1</v>
      </c>
      <c r="Y113" s="192">
        <f t="shared" si="56"/>
        <v>4.4400000000000002E-2</v>
      </c>
      <c r="Z113" s="192">
        <f t="shared" si="57"/>
        <v>23.3291</v>
      </c>
      <c r="AA113" s="192">
        <f t="shared" si="44"/>
        <v>23.284700000000001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45"/>
        <v>0201-19</v>
      </c>
      <c r="AE113" s="80" t="str">
        <f t="shared" si="46"/>
        <v>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 &amp; 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</v>
      </c>
      <c r="AF113" s="77" t="str">
        <f t="shared" si="47"/>
        <v>"C:\Program Files (x86)\AstroGrep\AstroGrep.exe" /e /r /s /spath="%USERPROFILE%\AppData\Local\Temp\OnboardLogs" /stypes="app*4012*20170519*" /stext=" 22:.+((SYSTEM_STATE.+slice.+state.+changed )|(ment ac)|(multiple cpu faults)|(system.+state.+changed )|(\[timeout)|(PRM\|1\|D)|(kpr)|(kdp)|(train st.+moving)|(\|lc)|(penalty))"</v>
      </c>
      <c r="AG113" s="1" t="str">
        <f t="shared" si="48"/>
        <v>EC</v>
      </c>
      <c r="AH113" s="81" t="str">
        <f t="shared" si="49"/>
        <v>"%USERPROFILE%\Documents\GitHub\eaglep3\Utilities\RefineRTDCRunTimes.py" --tripid 201-19 --locoid 4012 --swversion DE.1.0.9.0 --startMP 204:444 --initTime 2017-05-19T16:09:00 --startdatetime 2017-05-19T16:15:17 --delay 1 --endMP 204:233291 --enddatetime 2017-05-19T16:51:04 --enforcementcount 0 &gt;&gt;C:\Users\stu\Documents\GitHub\eaglep3-reporting\EC\2017-05-19-refined-times.txt</v>
      </c>
      <c r="AI113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{"issue":{"subject":"","project_id":79,"tracker_id":40,"status_id":1,"priority_id":2,"assigned_to_id":23,"start_date":"2017-05-19","description":"","custom_fields":[{"id":1,"name":"Subdivision","value":"EC"},{"id":4,"name":"Milepost","value":"23.3291"},{"id":17,"name":"Train ID","value":"201-19"},{"id":16,"name":"Locomotive ID","value":"4012"},{"id":130,"name":"Impact","value":""},{"id":150,"name":"Time of Event (Mountain Time)","value":"16:51:04"},{"id":151,"name":"Denver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51"/>
        <v>start /low /b %USERPROFILE%\Documents\GitHub\eaglep3\Utilities\DownloadLogsFromS3.py --loco 4012 --day 2017-05-19</v>
      </c>
      <c r="AN113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22:51:04"},{"id":29,"name":"Sharepoint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793</v>
      </c>
      <c r="B114" s="7">
        <v>4011</v>
      </c>
      <c r="C114" s="21" t="s">
        <v>206</v>
      </c>
      <c r="D114" s="21" t="s">
        <v>515</v>
      </c>
      <c r="E114" s="13">
        <v>42874.714363425926</v>
      </c>
      <c r="F114" s="13">
        <v>42874.716307870367</v>
      </c>
      <c r="G114" s="7">
        <v>1</v>
      </c>
      <c r="H114" s="21" t="s">
        <v>353</v>
      </c>
      <c r="I114" s="13">
        <v>42874.743518518517</v>
      </c>
      <c r="J114" s="7">
        <v>0</v>
      </c>
      <c r="K114" s="92" t="str">
        <f t="shared" si="35"/>
        <v>4011/4012</v>
      </c>
      <c r="L114" s="21" t="str">
        <f>VLOOKUP(A114,'Trips&amp;Operators'!$C$1:$G$99999,5,FALSE)</f>
        <v>STEWART MICHAEL</v>
      </c>
      <c r="M114" s="6">
        <f t="shared" si="36"/>
        <v>2.7210648149775807E-2</v>
      </c>
      <c r="N114" s="7">
        <f t="shared" si="54"/>
        <v>39.183333335677162</v>
      </c>
      <c r="O114" s="7"/>
      <c r="P114" s="7"/>
      <c r="Q114" s="22"/>
      <c r="R114" s="190"/>
      <c r="S114" s="196">
        <f t="shared" si="55"/>
        <v>1</v>
      </c>
      <c r="T114" s="190" t="str">
        <f t="shared" si="39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40"/>
        <v>https://d0f6bd738d7f1b3e5a7ca70fe4ff75f0.us-east-1.aws.found.io/app/kibana#/discover/Steve-Slow-Train-Analysis-(2080s-and-2083s)?_g=(refreshInterval:(display:Off,pause:!f,section:0,value:0),time:(from:'2017-05-19T16:08:41-0600',mode:absolute,to:'2017-05-19T18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4" s="192" t="str">
        <f t="shared" si="41"/>
        <v>N</v>
      </c>
      <c r="X114" s="192">
        <f t="shared" si="53"/>
        <v>1</v>
      </c>
      <c r="Y114" s="192">
        <f t="shared" si="56"/>
        <v>23.297899999999998</v>
      </c>
      <c r="Z114" s="192">
        <f t="shared" si="57"/>
        <v>1.6E-2</v>
      </c>
      <c r="AA114" s="192">
        <f t="shared" si="44"/>
        <v>23.2819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45"/>
        <v>0202-19</v>
      </c>
      <c r="AE114" s="80" t="str">
        <f t="shared" si="46"/>
        <v>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 &amp; 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</v>
      </c>
      <c r="AF114" s="77" t="str">
        <f t="shared" si="47"/>
        <v>"C:\Program Files (x86)\AstroGrep\AstroGrep.exe" /e /r /s /spath="%USERPROFILE%\AppData\Local\Temp\OnboardLogs" /stypes="app*4011*20170519*" /stext=" 23:.+((SYSTEM_STATE.+slice.+state.+changed )|(ment ac)|(multiple cpu faults)|(system.+state.+changed )|(\[timeout)|(PRM\|1\|D)|(kpr)|(kdp)|(train st.+moving)|(\|lc)|(penalty))"</v>
      </c>
      <c r="AG114" s="1" t="str">
        <f t="shared" si="48"/>
        <v>EC</v>
      </c>
      <c r="AH114" s="81" t="str">
        <f t="shared" si="49"/>
        <v>"%USERPROFILE%\Documents\GitHub\eaglep3\Utilities\RefineRTDCRunTimes.py" --tripid 202-19 --locoid 4011 --swversion DE.1.0.9.0 --startMP 204:232979 --initTime 2017-05-19T17:08:41 --startdatetime 2017-05-19T17:11:29 --delay 1 --endMP 204:160 --enddatetime 2017-05-19T17:50:40 --enforcementcount 0 &gt;&gt;C:\Users\stu\Documents\GitHub\eaglep3-reporting\EC\2017-05-19-refined-times.txt</v>
      </c>
      <c r="AI114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{"issue":{"subject":"","project_id":79,"tracker_id":40,"status_id":1,"priority_id":2,"assigned_to_id":23,"start_date":"2017-05-19","description":"","custom_fields":[{"id":1,"name":"Subdivision","value":"EC"},{"id":4,"name":"Milepost","value":"0.016"},{"id":17,"name":"Train ID","value":"202-19"},{"id":16,"name":"Locomotive ID","value":"4011"},{"id":130,"name":"Impact","value":""},{"id":150,"name":"Time of Event (Mountain Time)","value":"17:50:40"},{"id":151,"name":"Denver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51"/>
        <v>start /low /b %USERPROFILE%\Documents\GitHub\eaglep3\Utilities\DownloadLogsFromS3.py --loco 4011 --day 2017-05-19</v>
      </c>
      <c r="AN114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782</v>
      </c>
      <c r="B115" s="7">
        <v>4018</v>
      </c>
      <c r="C115" s="21" t="s">
        <v>206</v>
      </c>
      <c r="D115" s="21" t="s">
        <v>347</v>
      </c>
      <c r="E115" s="13">
        <v>42874.682442129626</v>
      </c>
      <c r="F115" s="13">
        <v>42874.687650462962</v>
      </c>
      <c r="G115" s="7">
        <v>1</v>
      </c>
      <c r="H115" s="21" t="s">
        <v>925</v>
      </c>
      <c r="I115" s="13">
        <v>42874.713148148148</v>
      </c>
      <c r="J115" s="7">
        <v>0</v>
      </c>
      <c r="K115" s="92" t="str">
        <f t="shared" si="35"/>
        <v>4017/4018</v>
      </c>
      <c r="L115" s="21" t="str">
        <f>VLOOKUP(A115,'Trips&amp;Operators'!$C$1:$G$99999,5,FALSE)</f>
        <v>ROMERO CHAD</v>
      </c>
      <c r="M115" s="6">
        <f t="shared" si="36"/>
        <v>2.5497685186564922E-2</v>
      </c>
      <c r="N115" s="7">
        <f t="shared" si="54"/>
        <v>36.716666668653488</v>
      </c>
      <c r="O115" s="7"/>
      <c r="P115" s="7"/>
      <c r="Q115" s="22"/>
      <c r="R115" s="190"/>
      <c r="S115" s="196">
        <f t="shared" si="55"/>
        <v>1</v>
      </c>
      <c r="T115" s="190" t="str">
        <f t="shared" si="39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40"/>
        <v>https://d0f6bd738d7f1b3e5a7ca70fe4ff75f0.us-east-1.aws.found.io/app/kibana#/discover/Steve-Slow-Train-Analysis-(2080s-and-2083s)?_g=(refreshInterval:(display:Off,pause:!f,section:0,value:0),time:(from:'2017-05-19T15:22:43-0600',mode:absolute,to:'2017-05-19T18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192" t="str">
        <f t="shared" si="41"/>
        <v>N</v>
      </c>
      <c r="X115" s="192">
        <f t="shared" si="53"/>
        <v>1</v>
      </c>
      <c r="Y115" s="192">
        <f t="shared" si="56"/>
        <v>4.4900000000000002E-2</v>
      </c>
      <c r="Z115" s="192">
        <f t="shared" si="57"/>
        <v>23.334499999999998</v>
      </c>
      <c r="AA115" s="192">
        <f t="shared" si="44"/>
        <v>23.2896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45"/>
        <v>0203-19</v>
      </c>
      <c r="AE115" s="80" t="str">
        <f t="shared" si="46"/>
        <v>aws s3 cp s3://rtdc.mdm.uploadarchive.raw/RTDC4018/ "%USERPROFILE%\AppData\Local\Temp\OnboardLogs"\RTDC4018\2017-05-19 --exclude "*" --recursive --include "*20170519*" &amp; "%USERPROFILE%\Documents\GitHub\mrs-test-scripts\Headless Mode &amp; Sideloading\WalkAndUnGZ.bat" "%USERPROFILE%\AppData\Local\Temp\OnboardLogs"\RTDC4018\2017-05-19 &amp; 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</v>
      </c>
      <c r="AF115" s="77" t="str">
        <f t="shared" si="47"/>
        <v>"C:\Program Files (x86)\AstroGrep\AstroGrep.exe" /e /r /s /spath="%USERPROFILE%\AppData\Local\Temp\OnboardLogs" /stypes="app*4018*20170519*" /stext=" 23:.+((SYSTEM_STATE.+slice.+state.+changed )|(ment ac)|(multiple cpu faults)|(system.+state.+changed )|(\[timeout)|(PRM\|1\|D)|(kpr)|(kdp)|(train st.+moving)|(\|lc)|(penalty))"</v>
      </c>
      <c r="AG115" s="1" t="str">
        <f t="shared" si="48"/>
        <v>EC</v>
      </c>
      <c r="AH115" s="81" t="str">
        <f t="shared" si="49"/>
        <v>"%USERPROFILE%\Documents\GitHub\eaglep3\Utilities\RefineRTDCRunTimes.py" --tripid 203-19 --locoid 4018 --swversion DE.1.0.9.0 --startMP 204:449 --initTime 2017-05-19T16:22:43 --startdatetime 2017-05-19T16:30:13 --delay 1 --endMP 204:233345 --enddatetime 2017-05-19T17:06:56 --enforcementcount 0 &gt;&gt;C:\Users\stu\Documents\GitHub\eaglep3-reporting\EC\2017-05-19-refined-times.txt</v>
      </c>
      <c r="AI115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{"issue":{"subject":"","project_id":79,"tracker_id":40,"status_id":1,"priority_id":2,"assigned_to_id":23,"start_date":"2017-05-19","description":"","custom_fields":[{"id":1,"name":"Subdivision","value":"EC"},{"id":4,"name":"Milepost","value":"23.3345"},{"id":17,"name":"Train ID","value":"203-19"},{"id":16,"name":"Locomotive ID","value":"4018"},{"id":130,"name":"Impact","value":""},{"id":150,"name":"Time of Event (Mountain Time)","value":"17:06:56"},{"id":151,"name":"Denver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51"/>
        <v>start /low /b %USERPROFILE%\Documents\GitHub\eaglep3\Utilities\DownloadLogsFromS3.py --loco 4018 --day 2017-05-19</v>
      </c>
      <c r="AN115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638</v>
      </c>
      <c r="B116" s="7">
        <v>4017</v>
      </c>
      <c r="C116" s="21" t="s">
        <v>206</v>
      </c>
      <c r="D116" s="21" t="s">
        <v>926</v>
      </c>
      <c r="E116" s="13">
        <v>42874.714606481481</v>
      </c>
      <c r="F116" s="13">
        <v>42874.726724537039</v>
      </c>
      <c r="G116" s="7">
        <v>1</v>
      </c>
      <c r="H116" s="21" t="s">
        <v>927</v>
      </c>
      <c r="I116" s="13">
        <v>42874.752106481479</v>
      </c>
      <c r="J116" s="7">
        <v>0</v>
      </c>
      <c r="K116" s="92" t="str">
        <f t="shared" si="35"/>
        <v>4017/4018</v>
      </c>
      <c r="L116" s="21" t="str">
        <f>VLOOKUP(A116,'Trips&amp;Operators'!$C$1:$G$99999,5,FALSE)</f>
        <v>ROMERO CHAD</v>
      </c>
      <c r="M116" s="6">
        <f t="shared" si="36"/>
        <v>2.5381944440596271E-2</v>
      </c>
      <c r="N116" s="7">
        <f t="shared" si="54"/>
        <v>36.549999994458631</v>
      </c>
      <c r="O116" s="7"/>
      <c r="P116" s="7"/>
      <c r="Q116" s="22"/>
      <c r="R116" s="190"/>
      <c r="S116" s="196">
        <f t="shared" si="55"/>
        <v>1</v>
      </c>
      <c r="T116" s="190" t="str">
        <f t="shared" si="39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40"/>
        <v>https://d0f6bd738d7f1b3e5a7ca70fe4ff75f0.us-east-1.aws.found.io/app/kibana#/discover/Steve-Slow-Train-Analysis-(2080s-and-2083s)?_g=(refreshInterval:(display:Off,pause:!f,section:0,value:0),time:(from:'2017-05-19T16:09:02-0600',mode:absolute,to:'2017-05-19T19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192" t="str">
        <f t="shared" si="41"/>
        <v>N</v>
      </c>
      <c r="X116" s="192">
        <f t="shared" si="53"/>
        <v>1</v>
      </c>
      <c r="Y116" s="192">
        <f t="shared" si="56"/>
        <v>23.306100000000001</v>
      </c>
      <c r="Z116" s="192">
        <f t="shared" si="57"/>
        <v>1.18E-2</v>
      </c>
      <c r="AA116" s="192">
        <f t="shared" si="44"/>
        <v>23.2943</v>
      </c>
      <c r="AB116" s="57" t="str">
        <f>VLOOKUP(A116,Enforcements!$C$7:$K$13,8,0)</f>
        <v>Bulletin (2)</v>
      </c>
      <c r="AC116" s="53" t="str">
        <f>VLOOKUP(A116,Enforcements!$C$7:$E$13,3,0)</f>
        <v>GRADE CROSSING</v>
      </c>
      <c r="AD116" s="54" t="str">
        <f t="shared" si="45"/>
        <v>0204-19</v>
      </c>
      <c r="AE116" s="80" t="str">
        <f t="shared" si="46"/>
        <v>aws s3 cp s3://rtdc.mdm.uploadarchive.raw/RTDC4017/ "%USERPROFILE%\AppData\Local\Temp\OnboardLogs"\RTDC4017\2017-05-19 --exclude "*" --recursive --include "*20170519*" &amp; "%USERPROFILE%\Documents\GitHub\mrs-test-scripts\Headless Mode &amp; Sideloading\WalkAndUnGZ.bat" "%USERPROFILE%\AppData\Local\Temp\OnboardLogs"\RTDC4017\2017-05-19 &amp; 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</v>
      </c>
      <c r="AF116" s="77" t="str">
        <f t="shared" si="47"/>
        <v>"C:\Program Files (x86)\AstroGrep\AstroGrep.exe" /e /r /s /spath="%USERPROFILE%\AppData\Local\Temp\OnboardLogs" /stypes="app*4017*20170520*" /stext=" 00:.+((SYSTEM_STATE.+slice.+state.+changed )|(ment ac)|(multiple cpu faults)|(system.+state.+changed )|(\[timeout)|(PRM\|1\|D)|(kpr)|(kdp)|(train st.+moving)|(\|lc)|(penalty))"</v>
      </c>
      <c r="AG116" s="1" t="str">
        <f t="shared" si="48"/>
        <v>EC</v>
      </c>
      <c r="AH116" s="81" t="str">
        <f t="shared" si="49"/>
        <v>"%USERPROFILE%\Documents\GitHub\eaglep3\Utilities\RefineRTDCRunTimes.py" --tripid 204-19 --locoid 4017 --swversion DE.1.0.9.0 --startMP 204:233061 --initTime 2017-05-19T17:09:02 --startdatetime 2017-05-19T17:26:29 --delay 1 --endMP 204:118 --enddatetime 2017-05-19T18:03:02 --enforcementcount 0 &gt;&gt;C:\Users\stu\Documents\GitHub\eaglep3-reporting\EC\2017-05-19-refined-times.txt</v>
      </c>
      <c r="AI116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{"issue":{"subject":"","project_id":79,"tracker_id":40,"status_id":1,"priority_id":2,"assigned_to_id":23,"start_date":"2017-05-19","description":"","custom_fields":[{"id":1,"name":"Subdivision","value":"EC"},{"id":4,"name":"Milepost","value":"0.0118"},{"id":17,"name":"Train ID","value":"204-19"},{"id":16,"name":"Locomotive ID","value":"4017"},{"id":130,"name":"Impact","value":""},{"id":150,"name":"Time of Event (Mountain Time)","value":"18:03:02"},{"id":151,"name":"Denver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51"/>
        <v>start /low /b %USERPROFILE%\Documents\GitHub\eaglep3\Utilities\DownloadLogsFromS3.py --loco 4017 --day 2017-05-19</v>
      </c>
      <c r="AN116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00:03:02"},{"id":29,"name":"Sharepoint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788</v>
      </c>
      <c r="B117" s="7">
        <v>4016</v>
      </c>
      <c r="C117" s="21" t="s">
        <v>206</v>
      </c>
      <c r="D117" s="21" t="s">
        <v>565</v>
      </c>
      <c r="E117" s="13">
        <v>42874.695706018516</v>
      </c>
      <c r="F117" s="13">
        <v>42874.698078703703</v>
      </c>
      <c r="G117" s="7">
        <v>1</v>
      </c>
      <c r="H117" s="21" t="s">
        <v>579</v>
      </c>
      <c r="I117" s="13">
        <v>42874.724456018521</v>
      </c>
      <c r="J117" s="7">
        <v>0</v>
      </c>
      <c r="K117" s="92" t="str">
        <f t="shared" si="35"/>
        <v>4015/4016</v>
      </c>
      <c r="L117" s="21" t="str">
        <f>VLOOKUP(A117,'Trips&amp;Operators'!$C$1:$G$99999,5,FALSE)</f>
        <v>CLARK KATHLEEN</v>
      </c>
      <c r="M117" s="6">
        <f t="shared" si="36"/>
        <v>2.6377314818091691E-2</v>
      </c>
      <c r="N117" s="7">
        <f t="shared" si="54"/>
        <v>37.983333338052034</v>
      </c>
      <c r="O117" s="7"/>
      <c r="P117" s="7"/>
      <c r="Q117" s="22"/>
      <c r="R117" s="190"/>
      <c r="S117" s="196">
        <f t="shared" si="55"/>
        <v>1</v>
      </c>
      <c r="T117" s="190" t="str">
        <f t="shared" si="39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40"/>
        <v>https://d0f6bd738d7f1b3e5a7ca70fe4ff75f0.us-east-1.aws.found.io/app/kibana#/discover/Steve-Slow-Train-Analysis-(2080s-and-2083s)?_g=(refreshInterval:(display:Off,pause:!f,section:0,value:0),time:(from:'2017-05-19T15:41:49-0600',mode:absolute,to:'2017-05-19T18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7" s="192" t="str">
        <f t="shared" si="41"/>
        <v>N</v>
      </c>
      <c r="X117" s="192">
        <f t="shared" si="53"/>
        <v>1</v>
      </c>
      <c r="Y117" s="192">
        <f t="shared" si="56"/>
        <v>4.8599999999999997E-2</v>
      </c>
      <c r="Z117" s="192">
        <f t="shared" si="57"/>
        <v>23.328499999999998</v>
      </c>
      <c r="AA117" s="192">
        <f t="shared" si="44"/>
        <v>23.279899999999998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45"/>
        <v>0205-19</v>
      </c>
      <c r="AE117" s="80" t="str">
        <f t="shared" si="46"/>
        <v>aws s3 cp s3://rtdc.mdm.uploadarchive.raw/RTDC4016/ "%USERPROFILE%\AppData\Local\Temp\OnboardLogs"\RTDC4016\2017-05-19 --exclude "*" --recursive --include "*20170519*" &amp; "%USERPROFILE%\Documents\GitHub\mrs-test-scripts\Headless Mode &amp; Sideloading\WalkAndUnGZ.bat" "%USERPROFILE%\AppData\Local\Temp\OnboardLogs"\RTDC4016\2017-05-19 &amp; aws s3 cp s3://rtdc.mdm.uploadarchive.raw/RTDC4016/ "%USERPROFILE%\AppData\Local\Temp\OnboardLogs"\RTDC4016\2017-05-20 --exclude "*" --recursive --include "*20170520*" &amp; "%USERPROFILE%\Documents\GitHub\mrs-test-scripts\Headless Mode &amp; Sideloading\WalkAndUnGZ.bat" "%USERPROFILE%\AppData\Local\Temp\OnboardLogs"\RTDC4016\2017-05-20</v>
      </c>
      <c r="AF117" s="77" t="str">
        <f t="shared" si="47"/>
        <v>"C:\Program Files (x86)\AstroGrep\AstroGrep.exe" /e /r /s /spath="%USERPROFILE%\AppData\Local\Temp\OnboardLogs" /stypes="app*4016*20170519*" /stext=" 23:.+((SYSTEM_STATE.+slice.+state.+changed )|(ment ac)|(multiple cpu faults)|(system.+state.+changed )|(\[timeout)|(PRM\|1\|D)|(kpr)|(kdp)|(train st.+moving)|(\|lc)|(penalty))"</v>
      </c>
      <c r="AG117" s="1" t="str">
        <f t="shared" si="48"/>
        <v>EC</v>
      </c>
      <c r="AH117" s="81" t="str">
        <f t="shared" si="49"/>
        <v>"%USERPROFILE%\Documents\GitHub\eaglep3\Utilities\RefineRTDCRunTimes.py" --tripid 205-19 --locoid 4016 --swversion DE.1.0.9.0 --startMP 204:486 --initTime 2017-05-19T16:41:49 --startdatetime 2017-05-19T16:45:14 --delay 1 --endMP 204:233285 --enddatetime 2017-05-19T17:23:13 --enforcementcount 0 &gt;&gt;C:\Users\stu\Documents\GitHub\eaglep3-reporting\EC\2017-05-19-refined-times.txt</v>
      </c>
      <c r="AI117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{"issue":{"subject":"","project_id":79,"tracker_id":40,"status_id":1,"priority_id":2,"assigned_to_id":23,"start_date":"2017-05-19","description":"","custom_fields":[{"id":1,"name":"Subdivision","value":"EC"},{"id":4,"name":"Milepost","value":"23.3285"},{"id":17,"name":"Train ID","value":"205-19"},{"id":16,"name":"Locomotive ID","value":"4016"},{"id":130,"name":"Impact","value":""},{"id":150,"name":"Time of Event (Mountain Time)","value":"17:23:13"},{"id":151,"name":"Denver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51"/>
        <v>start /low /b %USERPROFILE%\Documents\GitHub\eaglep3\Utilities\DownloadLogsFromS3.py --loco 4016 --day 2017-05-19</v>
      </c>
      <c r="AN117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798</v>
      </c>
      <c r="B118" s="7">
        <v>4015</v>
      </c>
      <c r="C118" s="21" t="s">
        <v>206</v>
      </c>
      <c r="D118" s="21" t="s">
        <v>573</v>
      </c>
      <c r="E118" s="13">
        <v>42874.732592592591</v>
      </c>
      <c r="F118" s="13">
        <v>42874.736979166664</v>
      </c>
      <c r="G118" s="7">
        <v>1</v>
      </c>
      <c r="H118" s="21" t="s">
        <v>907</v>
      </c>
      <c r="I118" s="13">
        <v>42874.764745370368</v>
      </c>
      <c r="J118" s="7">
        <v>0</v>
      </c>
      <c r="K118" s="92" t="str">
        <f t="shared" si="35"/>
        <v>4015/4016</v>
      </c>
      <c r="L118" s="21" t="str">
        <f>VLOOKUP(A118,'Trips&amp;Operators'!$C$1:$G$99999,5,FALSE)</f>
        <v>CLARK KATHLEEN</v>
      </c>
      <c r="M118" s="6">
        <f t="shared" si="36"/>
        <v>2.7766203704231884E-2</v>
      </c>
      <c r="N118" s="7">
        <f t="shared" si="54"/>
        <v>39.983333334093913</v>
      </c>
      <c r="O118" s="7"/>
      <c r="P118" s="7"/>
      <c r="Q118" s="22"/>
      <c r="R118" s="190"/>
      <c r="S118" s="196">
        <f t="shared" si="55"/>
        <v>1</v>
      </c>
      <c r="T118" s="190" t="str">
        <f t="shared" si="39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40"/>
        <v>https://d0f6bd738d7f1b3e5a7ca70fe4ff75f0.us-east-1.aws.found.io/app/kibana#/discover/Steve-Slow-Train-Analysis-(2080s-and-2083s)?_g=(refreshInterval:(display:Off,pause:!f,section:0,value:0),time:(from:'2017-05-19T16:34:56-0600',mode:absolute,to:'2017-05-19T19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8" s="192" t="str">
        <f t="shared" si="41"/>
        <v>N</v>
      </c>
      <c r="X118" s="192">
        <f t="shared" si="53"/>
        <v>1</v>
      </c>
      <c r="Y118" s="192">
        <f t="shared" si="56"/>
        <v>23.297000000000001</v>
      </c>
      <c r="Z118" s="192">
        <f t="shared" si="57"/>
        <v>1.72E-2</v>
      </c>
      <c r="AA118" s="192">
        <f t="shared" si="44"/>
        <v>23.279800000000002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45"/>
        <v>0206-19</v>
      </c>
      <c r="AE118" s="80" t="str">
        <f t="shared" si="46"/>
        <v>aws s3 cp s3://rtdc.mdm.uploadarchive.raw/RTDC4015/ "%USERPROFILE%\AppData\Local\Temp\OnboardLogs"\RTDC4015\2017-05-19 --exclude "*" --recursive --include "*20170519*" &amp; "%USERPROFILE%\Documents\GitHub\mrs-test-scripts\Headless Mode &amp; Sideloading\WalkAndUnGZ.bat" "%USERPROFILE%\AppData\Local\Temp\OnboardLogs"\RTDC4015\2017-05-19 &amp; aws s3 cp s3://rtdc.mdm.uploadarchive.raw/RTDC4015/ "%USERPROFILE%\AppData\Local\Temp\OnboardLogs"\RTDC4015\2017-05-20 --exclude "*" --recursive --include "*20170520*" &amp; "%USERPROFILE%\Documents\GitHub\mrs-test-scripts\Headless Mode &amp; Sideloading\WalkAndUnGZ.bat" "%USERPROFILE%\AppData\Local\Temp\OnboardLogs"\RTDC4015\2017-05-20</v>
      </c>
      <c r="AF118" s="77" t="str">
        <f t="shared" si="47"/>
        <v>"C:\Program Files (x86)\AstroGrep\AstroGrep.exe" /e /r /s /spath="%USERPROFILE%\AppData\Local\Temp\OnboardLogs" /stypes="app*4015*20170520*" /stext=" 00:.+((SYSTEM_STATE.+slice.+state.+changed )|(ment ac)|(multiple cpu faults)|(system.+state.+changed )|(\[timeout)|(PRM\|1\|D)|(kpr)|(kdp)|(train st.+moving)|(\|lc)|(penalty))"</v>
      </c>
      <c r="AG118" s="1" t="str">
        <f t="shared" si="48"/>
        <v>EC</v>
      </c>
      <c r="AH118" s="81" t="str">
        <f t="shared" si="49"/>
        <v>"%USERPROFILE%\Documents\GitHub\eaglep3\Utilities\RefineRTDCRunTimes.py" --tripid 206-19 --locoid 4015 --swversion DE.1.0.9.0 --startMP 204:232970 --initTime 2017-05-19T17:34:56 --startdatetime 2017-05-19T17:41:15 --delay 1 --endMP 204:172 --enddatetime 2017-05-19T18:21:14 --enforcementcount 0 &gt;&gt;C:\Users\stu\Documents\GitHub\eaglep3-reporting\EC\2017-05-19-refined-times.txt</v>
      </c>
      <c r="AI118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{"issue":{"subject":"","project_id":79,"tracker_id":40,"status_id":1,"priority_id":2,"assigned_to_id":23,"start_date":"2017-05-19","description":"","custom_fields":[{"id":1,"name":"Subdivision","value":"EC"},{"id":4,"name":"Milepost","value":"0.0172"},{"id":17,"name":"Train ID","value":"206-19"},{"id":16,"name":"Locomotive ID","value":"4015"},{"id":130,"name":"Impact","value":""},{"id":150,"name":"Time of Event (Mountain Time)","value":"18:21:14"},{"id":151,"name":"Denver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51"/>
        <v>start /low /b %USERPROFILE%\Documents\GitHub\eaglep3\Utilities\DownloadLogsFromS3.py --loco 4015 --day 2017-05-19</v>
      </c>
      <c r="AN118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00:21:14"},{"id":29,"name":"Sharepoint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790</v>
      </c>
      <c r="B119" s="7">
        <v>4006</v>
      </c>
      <c r="C119" s="21" t="s">
        <v>206</v>
      </c>
      <c r="D119" s="21" t="s">
        <v>354</v>
      </c>
      <c r="E119" s="13">
        <v>42874.703310185185</v>
      </c>
      <c r="F119" s="13">
        <v>42874.708506944444</v>
      </c>
      <c r="G119" s="7">
        <v>1</v>
      </c>
      <c r="H119" s="21" t="s">
        <v>880</v>
      </c>
      <c r="I119" s="13">
        <v>42874.734039351853</v>
      </c>
      <c r="J119" s="7">
        <v>0</v>
      </c>
      <c r="K119" s="92" t="str">
        <f t="shared" si="35"/>
        <v>4005/4006</v>
      </c>
      <c r="L119" s="21" t="str">
        <f>VLOOKUP(A119,'Trips&amp;Operators'!$C$1:$G$99999,5,FALSE)</f>
        <v>BRUDER RICHARD</v>
      </c>
      <c r="M119" s="6">
        <f t="shared" si="36"/>
        <v>2.5532407409627922E-2</v>
      </c>
      <c r="N119" s="7">
        <f t="shared" si="54"/>
        <v>36.766666669864208</v>
      </c>
      <c r="O119" s="7"/>
      <c r="P119" s="7"/>
      <c r="Q119" s="22"/>
      <c r="R119" s="190"/>
      <c r="S119" s="196">
        <f t="shared" si="55"/>
        <v>1</v>
      </c>
      <c r="T119" s="190" t="str">
        <f t="shared" si="39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40"/>
        <v>https://d0f6bd738d7f1b3e5a7ca70fe4ff75f0.us-east-1.aws.found.io/app/kibana#/discover/Steve-Slow-Train-Analysis-(2080s-and-2083s)?_g=(refreshInterval:(display:Off,pause:!f,section:0,value:0),time:(from:'2017-05-19T15:52:46-0600',mode:absolute,to:'2017-05-19T18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9" s="192" t="str">
        <f t="shared" si="41"/>
        <v>N</v>
      </c>
      <c r="X119" s="192">
        <f t="shared" si="53"/>
        <v>1</v>
      </c>
      <c r="Y119" s="192">
        <f t="shared" si="56"/>
        <v>4.58E-2</v>
      </c>
      <c r="Z119" s="192">
        <f t="shared" si="57"/>
        <v>23.330500000000001</v>
      </c>
      <c r="AA119" s="192">
        <f t="shared" si="44"/>
        <v>23.284700000000001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45"/>
        <v>0207-19</v>
      </c>
      <c r="AE119" s="80" t="str">
        <f t="shared" si="46"/>
        <v>aws s3 cp s3://rtdc.mdm.uploadarchive.raw/RTDC4006/ "%USERPROFILE%\AppData\Local\Temp\OnboardLogs"\RTDC4006\2017-05-19 --exclude "*" --recursive --include "*20170519*" &amp; "%USERPROFILE%\Documents\GitHub\mrs-test-scripts\Headless Mode &amp; Sideloading\WalkAndUnGZ.bat" "%USERPROFILE%\AppData\Local\Temp\OnboardLogs"\RTDC4006\2017-05-19 &amp; 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</v>
      </c>
      <c r="AF119" s="77" t="str">
        <f t="shared" si="47"/>
        <v>"C:\Program Files (x86)\AstroGrep\AstroGrep.exe" /e /r /s /spath="%USERPROFILE%\AppData\Local\Temp\OnboardLogs" /stypes="app*4006*20170519*" /stext=" 23:.+((SYSTEM_STATE.+slice.+state.+changed )|(ment ac)|(multiple cpu faults)|(system.+state.+changed )|(\[timeout)|(PRM\|1\|D)|(kpr)|(kdp)|(train st.+moving)|(\|lc)|(penalty))"</v>
      </c>
      <c r="AG119" s="1" t="str">
        <f t="shared" si="48"/>
        <v>EC</v>
      </c>
      <c r="AH119" s="81" t="str">
        <f t="shared" si="49"/>
        <v>"%USERPROFILE%\Documents\GitHub\eaglep3\Utilities\RefineRTDCRunTimes.py" --tripid 207-19 --locoid 4006 --swversion DE.1.0.9.0 --startMP 204:458 --initTime 2017-05-19T16:52:46 --startdatetime 2017-05-19T17:00:15 --delay 1 --endMP 204:233305 --enddatetime 2017-05-19T17:37:01 --enforcementcount 0 &gt;&gt;C:\Users\stu\Documents\GitHub\eaglep3-reporting\EC\2017-05-19-refined-times.txt</v>
      </c>
      <c r="AI119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{"issue":{"subject":"","project_id":79,"tracker_id":40,"status_id":1,"priority_id":2,"assigned_to_id":23,"start_date":"2017-05-19","description":"","custom_fields":[{"id":1,"name":"Subdivision","value":"EC"},{"id":4,"name":"Milepost","value":"23.3305"},{"id":17,"name":"Train ID","value":"207-19"},{"id":16,"name":"Locomotive ID","value":"4006"},{"id":130,"name":"Impact","value":""},{"id":150,"name":"Time of Event (Mountain Time)","value":"17:37:01"},{"id":151,"name":"Denver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51"/>
        <v>start /low /b %USERPROFILE%\Documents\GitHub\eaglep3\Utilities\DownloadLogsFromS3.py --loco 4006 --day 2017-05-19</v>
      </c>
      <c r="AN119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807</v>
      </c>
      <c r="B120" s="7">
        <v>4005</v>
      </c>
      <c r="C120" s="21" t="s">
        <v>206</v>
      </c>
      <c r="D120" s="21" t="s">
        <v>908</v>
      </c>
      <c r="E120" s="13">
        <v>42874.743888888886</v>
      </c>
      <c r="F120" s="13">
        <v>42874.747430555559</v>
      </c>
      <c r="G120" s="7">
        <v>1</v>
      </c>
      <c r="H120" s="21" t="s">
        <v>356</v>
      </c>
      <c r="I120" s="13">
        <v>42874.773611111108</v>
      </c>
      <c r="J120" s="7">
        <v>0</v>
      </c>
      <c r="K120" s="92" t="str">
        <f t="shared" si="35"/>
        <v>4005/4006</v>
      </c>
      <c r="L120" s="21" t="str">
        <f>VLOOKUP(A120,'Trips&amp;Operators'!$C$1:$G$99999,5,FALSE)</f>
        <v>BRUDER RICHARD</v>
      </c>
      <c r="M120" s="6">
        <f t="shared" si="36"/>
        <v>2.6180555549217388E-2</v>
      </c>
      <c r="N120" s="7">
        <f t="shared" si="54"/>
        <v>37.699999990873039</v>
      </c>
      <c r="O120" s="7"/>
      <c r="P120" s="7"/>
      <c r="Q120" s="22"/>
      <c r="R120" s="190"/>
      <c r="S120" s="196">
        <f t="shared" si="55"/>
        <v>1</v>
      </c>
      <c r="T120" s="190" t="str">
        <f t="shared" si="39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40"/>
        <v>https://d0f6bd738d7f1b3e5a7ca70fe4ff75f0.us-east-1.aws.found.io/app/kibana#/discover/Steve-Slow-Train-Analysis-(2080s-and-2083s)?_g=(refreshInterval:(display:Off,pause:!f,section:0,value:0),time:(from:'2017-05-19T16:51:12-0600',mode:absolute,to:'2017-05-19T19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0" s="192" t="str">
        <f t="shared" si="41"/>
        <v>N</v>
      </c>
      <c r="X120" s="192">
        <f t="shared" si="53"/>
        <v>1</v>
      </c>
      <c r="Y120" s="192">
        <f t="shared" si="56"/>
        <v>23.298999999999999</v>
      </c>
      <c r="Z120" s="192">
        <f t="shared" si="57"/>
        <v>1.49E-2</v>
      </c>
      <c r="AA120" s="192">
        <f t="shared" si="44"/>
        <v>23.284099999999999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45"/>
        <v>0208-19</v>
      </c>
      <c r="AE120" s="80" t="str">
        <f t="shared" si="46"/>
        <v>aws s3 cp s3://rtdc.mdm.uploadarchive.raw/RTDC4005/ "%USERPROFILE%\AppData\Local\Temp\OnboardLogs"\RTDC4005\2017-05-19 --exclude "*" --recursive --include "*20170519*" &amp; "%USERPROFILE%\Documents\GitHub\mrs-test-scripts\Headless Mode &amp; Sideloading\WalkAndUnGZ.bat" "%USERPROFILE%\AppData\Local\Temp\OnboardLogs"\RTDC4005\2017-05-19 &amp; 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</v>
      </c>
      <c r="AF120" s="77" t="str">
        <f t="shared" si="47"/>
        <v>"C:\Program Files (x86)\AstroGrep\AstroGrep.exe" /e /r /s /spath="%USERPROFILE%\AppData\Local\Temp\OnboardLogs" /stypes="app*4005*20170520*" /stext=" 00:.+((SYSTEM_STATE.+slice.+state.+changed )|(ment ac)|(multiple cpu faults)|(system.+state.+changed )|(\[timeout)|(PRM\|1\|D)|(kpr)|(kdp)|(train st.+moving)|(\|lc)|(penalty))"</v>
      </c>
      <c r="AG120" s="1" t="str">
        <f t="shared" si="48"/>
        <v>EC</v>
      </c>
      <c r="AH120" s="81" t="str">
        <f t="shared" si="49"/>
        <v>"%USERPROFILE%\Documents\GitHub\eaglep3\Utilities\RefineRTDCRunTimes.py" --tripid 208-19 --locoid 4005 --swversion DE.1.0.9.0 --startMP 204:232990 --initTime 2017-05-19T17:51:12 --startdatetime 2017-05-19T17:56:18 --delay 1 --endMP 204:149 --enddatetime 2017-05-19T18:34:00 --enforcementcount 0 &gt;&gt;C:\Users\stu\Documents\GitHub\eaglep3-reporting\EC\2017-05-19-refined-times.txt</v>
      </c>
      <c r="AI120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{"issue":{"subject":"","project_id":79,"tracker_id":40,"status_id":1,"priority_id":2,"assigned_to_id":23,"start_date":"2017-05-19","description":"","custom_fields":[{"id":1,"name":"Subdivision","value":"EC"},{"id":4,"name":"Milepost","value":"0.0149"},{"id":17,"name":"Train ID","value":"208-19"},{"id":16,"name":"Locomotive ID","value":"4005"},{"id":130,"name":"Impact","value":""},{"id":150,"name":"Time of Event (Mountain Time)","value":"18:34:00"},{"id":151,"name":"Denver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51"/>
        <v>start /low /b %USERPROFILE%\Documents\GitHub\eaglep3\Utilities\DownloadLogsFromS3.py --loco 4005 --day 2017-05-19</v>
      </c>
      <c r="AN120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00:34:00"},{"id":29,"name":"Sharepoint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792</v>
      </c>
      <c r="B121" s="7">
        <v>4032</v>
      </c>
      <c r="C121" s="21" t="s">
        <v>206</v>
      </c>
      <c r="D121" s="21" t="s">
        <v>351</v>
      </c>
      <c r="E121" s="13">
        <v>42874.713495370372</v>
      </c>
      <c r="F121" s="13">
        <v>42874.718935185185</v>
      </c>
      <c r="G121" s="7">
        <v>2</v>
      </c>
      <c r="H121" s="21" t="s">
        <v>578</v>
      </c>
      <c r="I121" s="13">
        <v>42874.743506944447</v>
      </c>
      <c r="J121" s="7">
        <v>0</v>
      </c>
      <c r="K121" s="92" t="str">
        <f t="shared" si="35"/>
        <v>4031/4032</v>
      </c>
      <c r="L121" s="21" t="str">
        <f>VLOOKUP(A121,'Trips&amp;Operators'!$C$1:$G$99999,5,FALSE)</f>
        <v>HELVIE ADAM</v>
      </c>
      <c r="M121" s="6">
        <f t="shared" si="36"/>
        <v>2.457175926247146E-2</v>
      </c>
      <c r="N121" s="7">
        <f t="shared" si="54"/>
        <v>35.383333337958902</v>
      </c>
      <c r="O121" s="7"/>
      <c r="P121" s="7"/>
      <c r="Q121" s="22"/>
      <c r="R121" s="190"/>
      <c r="S121" s="196">
        <f t="shared" si="55"/>
        <v>1</v>
      </c>
      <c r="T121" s="190" t="str">
        <f t="shared" si="39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40"/>
        <v>https://d0f6bd738d7f1b3e5a7ca70fe4ff75f0.us-east-1.aws.found.io/app/kibana#/discover/Steve-Slow-Train-Analysis-(2080s-and-2083s)?_g=(refreshInterval:(display:Off,pause:!f,section:0,value:0),time:(from:'2017-05-19T16:07:26-0600',mode:absolute,to:'2017-05-19T18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1" s="192" t="str">
        <f t="shared" si="41"/>
        <v>N</v>
      </c>
      <c r="X121" s="192">
        <f t="shared" si="53"/>
        <v>1</v>
      </c>
      <c r="Y121" s="192">
        <f t="shared" si="56"/>
        <v>4.4600000000000001E-2</v>
      </c>
      <c r="Z121" s="192">
        <f t="shared" si="57"/>
        <v>23.331499999999998</v>
      </c>
      <c r="AA121" s="192">
        <f t="shared" si="44"/>
        <v>23.286899999999999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45"/>
        <v>0209-19</v>
      </c>
      <c r="AE121" s="80" t="str">
        <f t="shared" si="46"/>
        <v>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 &amp; 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</v>
      </c>
      <c r="AF121" s="77" t="str">
        <f t="shared" si="47"/>
        <v>"C:\Program Files (x86)\AstroGrep\AstroGrep.exe" /e /r /s /spath="%USERPROFILE%\AppData\Local\Temp\OnboardLogs" /stypes="app*4032*20170519*" /stext=" 23:.+((SYSTEM_STATE.+slice.+state.+changed )|(ment ac)|(multiple cpu faults)|(system.+state.+changed )|(\[timeout)|(PRM\|1\|D)|(kpr)|(kdp)|(train st.+moving)|(\|lc)|(penalty))"</v>
      </c>
      <c r="AG121" s="1" t="str">
        <f t="shared" si="48"/>
        <v>EC</v>
      </c>
      <c r="AH121" s="81" t="str">
        <f t="shared" si="49"/>
        <v>"%USERPROFILE%\Documents\GitHub\eaglep3\Utilities\RefineRTDCRunTimes.py" --tripid 209-19 --locoid 4032 --swversion DE.1.0.9.0 --startMP 204:446 --initTime 2017-05-19T17:07:26 --startdatetime 2017-05-19T17:15:16 --delay 2 --endMP 204:233315 --enddatetime 2017-05-19T17:50:39 --enforcementcount 0 &gt;&gt;C:\Users\stu\Documents\GitHub\eaglep3-reporting\EC\2017-05-19-refined-times.txt</v>
      </c>
      <c r="AI121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{"issue":{"subject":"","project_id":79,"tracker_id":40,"status_id":1,"priority_id":2,"assigned_to_id":23,"start_date":"2017-05-19","description":"","custom_fields":[{"id":1,"name":"Subdivision","value":"EC"},{"id":4,"name":"Milepost","value":"23.3315"},{"id":17,"name":"Train ID","value":"209-19"},{"id":16,"name":"Locomotive ID","value":"4032"},{"id":130,"name":"Impact","value":""},{"id":150,"name":"Time of Event (Mountain Time)","value":"17:50:39"},{"id":151,"name":"Denver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51"/>
        <v>start /low /b %USERPROFILE%\Documents\GitHub\eaglep3\Utilities\DownloadLogsFromS3.py --loco 4032 --day 2017-05-19</v>
      </c>
      <c r="AN121" s="154" t="str">
        <f t="shared" si="52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810</v>
      </c>
      <c r="B122" s="7">
        <v>4031</v>
      </c>
      <c r="C122" s="21" t="s">
        <v>206</v>
      </c>
      <c r="D122" s="21" t="s">
        <v>480</v>
      </c>
      <c r="E122" s="13">
        <v>42874.75640046296</v>
      </c>
      <c r="F122" s="13">
        <v>42874.757986111108</v>
      </c>
      <c r="G122" s="7">
        <v>1</v>
      </c>
      <c r="H122" s="21" t="s">
        <v>552</v>
      </c>
      <c r="I122" s="13">
        <v>42874.783645833333</v>
      </c>
      <c r="J122" s="7">
        <v>0</v>
      </c>
      <c r="K122" s="92" t="str">
        <f t="shared" si="35"/>
        <v>4031/4032</v>
      </c>
      <c r="L122" s="21" t="str">
        <f>VLOOKUP(A122,'Trips&amp;Operators'!$C$1:$G$99999,5,FALSE)</f>
        <v>HELVIE ADAM</v>
      </c>
      <c r="M122" s="6">
        <f t="shared" si="36"/>
        <v>2.5659722225100268E-2</v>
      </c>
      <c r="N122" s="7">
        <f t="shared" si="54"/>
        <v>36.950000004144385</v>
      </c>
      <c r="O122" s="7"/>
      <c r="P122" s="7"/>
      <c r="Q122" s="22"/>
      <c r="R122" s="190"/>
      <c r="S122" s="196">
        <f t="shared" si="55"/>
        <v>1</v>
      </c>
      <c r="T122" s="190" t="str">
        <f t="shared" si="39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40"/>
        <v>https://d0f6bd738d7f1b3e5a7ca70fe4ff75f0.us-east-1.aws.found.io/app/kibana#/discover/Steve-Slow-Train-Analysis-(2080s-and-2083s)?_g=(refreshInterval:(display:Off,pause:!f,section:0,value:0),time:(from:'2017-05-19T17:09:13-0600',mode:absolute,to:'2017-05-19T19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2" s="192" t="str">
        <f t="shared" si="41"/>
        <v>N</v>
      </c>
      <c r="X122" s="192">
        <f t="shared" si="53"/>
        <v>1</v>
      </c>
      <c r="Y122" s="192">
        <f t="shared" si="56"/>
        <v>23.3</v>
      </c>
      <c r="Z122" s="192">
        <f t="shared" si="57"/>
        <v>1.6500000000000001E-2</v>
      </c>
      <c r="AA122" s="192">
        <f t="shared" si="44"/>
        <v>23.2835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45"/>
        <v>0210-19</v>
      </c>
      <c r="AE122" s="80" t="str">
        <f t="shared" si="46"/>
        <v>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 &amp; aws s3 cp s3://rtdc.mdm.uploadarchive.raw/RTDC4031/ "%USERPROFILE%\AppData\Local\Temp\OnboardLogs"\RTDC4031\2017-05-20 --exclude "*" --recursive --include "*20170520*" &amp; "%USERPROFILE%\Documents\GitHub\mrs-test-scripts\Headless Mode &amp; Sideloading\WalkAndUnGZ.bat" "%USERPROFILE%\AppData\Local\Temp\OnboardLogs"\RTDC4031\2017-05-20</v>
      </c>
      <c r="AF122" s="77" t="str">
        <f t="shared" si="47"/>
        <v>"C:\Program Files (x86)\AstroGrep\AstroGrep.exe" /e /r /s /spath="%USERPROFILE%\AppData\Local\Temp\OnboardLogs" /stypes="app*4031*20170520*" /stext=" 00:.+((SYSTEM_STATE.+slice.+state.+changed )|(ment ac)|(multiple cpu faults)|(system.+state.+changed )|(\[timeout)|(PRM\|1\|D)|(kpr)|(kdp)|(train st.+moving)|(\|lc)|(penalty))"</v>
      </c>
      <c r="AG122" s="1" t="str">
        <f t="shared" si="48"/>
        <v>EC</v>
      </c>
      <c r="AH122" s="81" t="str">
        <f t="shared" si="49"/>
        <v>"%USERPROFILE%\Documents\GitHub\eaglep3\Utilities\RefineRTDCRunTimes.py" --tripid 210-19 --locoid 4031 --swversion DE.1.0.9.0 --startMP 204:233000 --initTime 2017-05-19T18:09:13 --startdatetime 2017-05-19T18:11:30 --delay 1 --endMP 204:165 --enddatetime 2017-05-19T18:48:27 --enforcementcount 0 &gt;&gt;C:\Users\stu\Documents\GitHub\eaglep3-reporting\EC\2017-05-19-refined-times.txt</v>
      </c>
      <c r="AI122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{"issue":{"subject":"","project_id":79,"tracker_id":40,"status_id":1,"priority_id":2,"assigned_to_id":23,"start_date":"2017-05-19","description":"","custom_fields":[{"id":1,"name":"Subdivision","value":"EC"},{"id":4,"name":"Milepost","value":"0.0165"},{"id":17,"name":"Train ID","value":"210-19"},{"id":16,"name":"Locomotive ID","value":"4031"},{"id":130,"name":"Impact","value":""},{"id":150,"name":"Time of Event (Mountain Time)","value":"18:48:27"},{"id":151,"name":"Denver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51"/>
        <v>start /low /b %USERPROFILE%\Documents\GitHub\eaglep3\Utilities\DownloadLogsFromS3.py --loco 4031 --day 2017-05-19</v>
      </c>
      <c r="AN122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00:48:27"},{"id":29,"name":"Sharepoint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797</v>
      </c>
      <c r="B123" s="7">
        <v>4024</v>
      </c>
      <c r="C123" s="21" t="s">
        <v>206</v>
      </c>
      <c r="D123" s="21" t="s">
        <v>360</v>
      </c>
      <c r="E123" s="13">
        <v>42874.725497685184</v>
      </c>
      <c r="F123" s="13">
        <v>42874.729375000003</v>
      </c>
      <c r="G123" s="7">
        <v>1</v>
      </c>
      <c r="H123" s="21" t="s">
        <v>556</v>
      </c>
      <c r="I123" s="13">
        <v>42874.755787037036</v>
      </c>
      <c r="J123" s="7">
        <v>0</v>
      </c>
      <c r="K123" s="92" t="str">
        <f t="shared" si="35"/>
        <v>4023/4024</v>
      </c>
      <c r="L123" s="21" t="str">
        <f>VLOOKUP(A123,'Trips&amp;Operators'!$C$1:$G$99999,5,FALSE)</f>
        <v>BRANDNER MELINDA</v>
      </c>
      <c r="M123" s="6">
        <f t="shared" si="36"/>
        <v>2.6412037033878732E-2</v>
      </c>
      <c r="N123" s="7">
        <f t="shared" si="54"/>
        <v>38.033333328785375</v>
      </c>
      <c r="O123" s="7"/>
      <c r="P123" s="7"/>
      <c r="Q123" s="22"/>
      <c r="R123" s="190"/>
      <c r="S123" s="196">
        <f t="shared" si="55"/>
        <v>1</v>
      </c>
      <c r="T123" s="190" t="str">
        <f t="shared" si="39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40"/>
        <v>https://d0f6bd738d7f1b3e5a7ca70fe4ff75f0.us-east-1.aws.found.io/app/kibana#/discover/Steve-Slow-Train-Analysis-(2080s-and-2083s)?_g=(refreshInterval:(display:Off,pause:!f,section:0,value:0),time:(from:'2017-05-19T16:24:43-0600',mode:absolute,to:'2017-05-19T19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3" s="192" t="str">
        <f t="shared" si="41"/>
        <v>N</v>
      </c>
      <c r="X123" s="192">
        <f t="shared" si="53"/>
        <v>1</v>
      </c>
      <c r="Y123" s="192">
        <f t="shared" si="56"/>
        <v>4.6399999999999997E-2</v>
      </c>
      <c r="Z123" s="192">
        <f t="shared" si="57"/>
        <v>23.333400000000001</v>
      </c>
      <c r="AA123" s="192">
        <f t="shared" si="44"/>
        <v>23.287000000000003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45"/>
        <v>0211-19</v>
      </c>
      <c r="AE123" s="80" t="str">
        <f t="shared" si="46"/>
        <v>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 &amp; aws s3 cp s3://rtdc.mdm.uploadarchive.raw/RTDC4024/ "%USERPROFILE%\AppData\Local\Temp\OnboardLogs"\RTDC4024\2017-05-20 --exclude "*" --recursive --include "*20170520*" &amp; "%USERPROFILE%\Documents\GitHub\mrs-test-scripts\Headless Mode &amp; Sideloading\WalkAndUnGZ.bat" "%USERPROFILE%\AppData\Local\Temp\OnboardLogs"\RTDC4024\2017-05-20</v>
      </c>
      <c r="AF123" s="77" t="str">
        <f t="shared" si="47"/>
        <v>"C:\Program Files (x86)\AstroGrep\AstroGrep.exe" /e /r /s /spath="%USERPROFILE%\AppData\Local\Temp\OnboardLogs" /stypes="app*4024*20170520*" /stext=" 00:.+((SYSTEM_STATE.+slice.+state.+changed )|(ment ac)|(multiple cpu faults)|(system.+state.+changed )|(\[timeout)|(PRM\|1\|D)|(kpr)|(kdp)|(train st.+moving)|(\|lc)|(penalty))"</v>
      </c>
      <c r="AG123" s="1" t="str">
        <f t="shared" si="48"/>
        <v>EC</v>
      </c>
      <c r="AH123" s="81" t="str">
        <f t="shared" si="49"/>
        <v>"%USERPROFILE%\Documents\GitHub\eaglep3\Utilities\RefineRTDCRunTimes.py" --tripid 211-19 --locoid 4024 --swversion DE.1.0.9.0 --startMP 204:464 --initTime 2017-05-19T17:24:43 --startdatetime 2017-05-19T17:30:18 --delay 1 --endMP 204:233334 --enddatetime 2017-05-19T18:08:20 --enforcementcount 0 &gt;&gt;C:\Users\stu\Documents\GitHub\eaglep3-reporting\EC\2017-05-19-refined-times.txt</v>
      </c>
      <c r="AI123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{"issue":{"subject":"","project_id":79,"tracker_id":40,"status_id":1,"priority_id":2,"assigned_to_id":23,"start_date":"2017-05-19","description":"","custom_fields":[{"id":1,"name":"Subdivision","value":"EC"},{"id":4,"name":"Milepost","value":"23.3334"},{"id":17,"name":"Train ID","value":"211-19"},{"id":16,"name":"Locomotive ID","value":"4024"},{"id":130,"name":"Impact","value":""},{"id":150,"name":"Time of Event (Mountain Time)","value":"18:08:20"},{"id":151,"name":"Denver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51"/>
        <v>start /low /b %USERPROFILE%\Documents\GitHub\eaglep3\Utilities\DownloadLogsFromS3.py --loco 4024 --day 2017-05-19</v>
      </c>
      <c r="AN123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00:08:20"},{"id":29,"name":"Sharepoint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643</v>
      </c>
      <c r="B124" s="7">
        <v>4023</v>
      </c>
      <c r="C124" s="21" t="s">
        <v>206</v>
      </c>
      <c r="D124" s="21" t="s">
        <v>478</v>
      </c>
      <c r="E124" s="13">
        <v>42874.764363425929</v>
      </c>
      <c r="F124" s="13">
        <v>42874.768229166664</v>
      </c>
      <c r="G124" s="7">
        <v>1</v>
      </c>
      <c r="H124" s="21" t="s">
        <v>427</v>
      </c>
      <c r="I124" s="13">
        <v>42874.796284722222</v>
      </c>
      <c r="J124" s="7">
        <v>0</v>
      </c>
      <c r="K124" s="92" t="str">
        <f t="shared" si="35"/>
        <v>4023/4024</v>
      </c>
      <c r="L124" s="21" t="str">
        <f>VLOOKUP(A124,'Trips&amp;Operators'!$C$1:$G$99999,5,FALSE)</f>
        <v>BRANDNER MELINDA</v>
      </c>
      <c r="M124" s="6">
        <f t="shared" si="36"/>
        <v>2.8055555558239575E-2</v>
      </c>
      <c r="N124" s="7">
        <f t="shared" si="54"/>
        <v>40.400000003864989</v>
      </c>
      <c r="O124" s="7"/>
      <c r="P124" s="7"/>
      <c r="Q124" s="22"/>
      <c r="R124" s="190"/>
      <c r="S124" s="196">
        <f t="shared" si="55"/>
        <v>1</v>
      </c>
      <c r="T124" s="190" t="str">
        <f t="shared" si="39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40"/>
        <v>https://d0f6bd738d7f1b3e5a7ca70fe4ff75f0.us-east-1.aws.found.io/app/kibana#/discover/Steve-Slow-Train-Analysis-(2080s-and-2083s)?_g=(refreshInterval:(display:Off,pause:!f,section:0,value:0),time:(from:'2017-05-19T17:20:41-0600',mode:absolute,to:'2017-05-19T20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4" s="192" t="str">
        <f t="shared" si="41"/>
        <v>N</v>
      </c>
      <c r="X124" s="192">
        <f t="shared" si="53"/>
        <v>1</v>
      </c>
      <c r="Y124" s="192">
        <f t="shared" si="56"/>
        <v>23.299199999999999</v>
      </c>
      <c r="Z124" s="192">
        <f t="shared" si="57"/>
        <v>1.32E-2</v>
      </c>
      <c r="AA124" s="192">
        <f t="shared" si="44"/>
        <v>23.285999999999998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45"/>
        <v>0212-19</v>
      </c>
      <c r="AE124" s="80" t="str">
        <f t="shared" si="46"/>
        <v>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 &amp; aws s3 cp s3://rtdc.mdm.uploadarchive.raw/RTDC4023/ "%USERPROFILE%\AppData\Local\Temp\OnboardLogs"\RTDC4023\2017-05-20 --exclude "*" --recursive --include "*20170520*" &amp; "%USERPROFILE%\Documents\GitHub\mrs-test-scripts\Headless Mode &amp; Sideloading\WalkAndUnGZ.bat" "%USERPROFILE%\AppData\Local\Temp\OnboardLogs"\RTDC4023\2017-05-20</v>
      </c>
      <c r="AF124" s="77" t="str">
        <f t="shared" si="47"/>
        <v>"C:\Program Files (x86)\AstroGrep\AstroGrep.exe" /e /r /s /spath="%USERPROFILE%\AppData\Local\Temp\OnboardLogs" /stypes="app*4023*20170520*" /stext=" 01:.+((SYSTEM_STATE.+slice.+state.+changed )|(ment ac)|(multiple cpu faults)|(system.+state.+changed )|(\[timeout)|(PRM\|1\|D)|(kpr)|(kdp)|(train st.+moving)|(\|lc)|(penalty))"</v>
      </c>
      <c r="AG124" s="1" t="str">
        <f t="shared" si="48"/>
        <v>EC</v>
      </c>
      <c r="AH124" s="81" t="str">
        <f t="shared" si="49"/>
        <v>"%USERPROFILE%\Documents\GitHub\eaglep3\Utilities\RefineRTDCRunTimes.py" --tripid 212-19 --locoid 4023 --swversion DE.1.0.9.0 --startMP 204:232992 --initTime 2017-05-19T18:20:41 --startdatetime 2017-05-19T18:26:15 --delay 1 --endMP 204:132 --enddatetime 2017-05-19T19:06:39 --enforcementcount 0 &gt;&gt;C:\Users\stu\Documents\GitHub\eaglep3-reporting\EC\2017-05-19-refined-times.txt</v>
      </c>
      <c r="AI124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{"issue":{"subject":"","project_id":79,"tracker_id":40,"status_id":1,"priority_id":2,"assigned_to_id":23,"start_date":"2017-05-19","description":"","custom_fields":[{"id":1,"name":"Subdivision","value":"EC"},{"id":4,"name":"Milepost","value":"0.0132"},{"id":17,"name":"Train ID","value":"212-19"},{"id":16,"name":"Locomotive ID","value":"4023"},{"id":130,"name":"Impact","value":""},{"id":150,"name":"Time of Event (Mountain Time)","value":"19:06:39"},{"id":151,"name":"Denver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51"/>
        <v>start /low /b %USERPROFILE%\Documents\GitHub\eaglep3\Utilities\DownloadLogsFromS3.py --loco 4023 --day 2017-05-19</v>
      </c>
      <c r="AN124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01:06:39"},{"id":29,"name":"Sharepoint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804</v>
      </c>
      <c r="B125" s="7">
        <v>4040</v>
      </c>
      <c r="C125" s="21" t="s">
        <v>206</v>
      </c>
      <c r="D125" s="21" t="s">
        <v>360</v>
      </c>
      <c r="E125" s="13">
        <v>42874.738287037035</v>
      </c>
      <c r="F125" s="13">
        <v>42874.740034722221</v>
      </c>
      <c r="G125" s="7">
        <v>1</v>
      </c>
      <c r="H125" s="21" t="s">
        <v>928</v>
      </c>
      <c r="I125" s="13">
        <v>42874.764965277776</v>
      </c>
      <c r="J125" s="7">
        <v>0</v>
      </c>
      <c r="K125" s="92" t="str">
        <f t="shared" si="35"/>
        <v>4039/4040</v>
      </c>
      <c r="L125" s="21" t="str">
        <f>VLOOKUP(A125,'Trips&amp;Operators'!$C$1:$G$99999,5,FALSE)</f>
        <v>SAFIEF AEIMEN</v>
      </c>
      <c r="M125" s="6">
        <f t="shared" si="36"/>
        <v>2.4930555555329192E-2</v>
      </c>
      <c r="N125" s="7">
        <f t="shared" si="54"/>
        <v>35.899999999674037</v>
      </c>
      <c r="O125" s="7"/>
      <c r="P125" s="7"/>
      <c r="Q125" s="22"/>
      <c r="R125" s="190"/>
      <c r="S125" s="196">
        <f t="shared" si="55"/>
        <v>1</v>
      </c>
      <c r="T125" s="190" t="str">
        <f t="shared" si="39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40"/>
        <v>https://d0f6bd738d7f1b3e5a7ca70fe4ff75f0.us-east-1.aws.found.io/app/kibana#/discover/Steve-Slow-Train-Analysis-(2080s-and-2083s)?_g=(refreshInterval:(display:Off,pause:!f,section:0,value:0),time:(from:'2017-05-19T16:43:08-0600',mode:absolute,to:'2017-05-19T19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5" s="192" t="str">
        <f t="shared" si="41"/>
        <v>N</v>
      </c>
      <c r="X125" s="192">
        <f t="shared" si="53"/>
        <v>1</v>
      </c>
      <c r="Y125" s="192">
        <f t="shared" si="56"/>
        <v>4.6399999999999997E-2</v>
      </c>
      <c r="Z125" s="192">
        <f t="shared" si="57"/>
        <v>23.334</v>
      </c>
      <c r="AA125" s="192">
        <f t="shared" si="44"/>
        <v>23.287600000000001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45"/>
        <v>0213-19</v>
      </c>
      <c r="AE125" s="80" t="str">
        <f t="shared" si="46"/>
        <v>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 &amp; aws s3 cp s3://rtdc.mdm.uploadarchive.raw/RTDC4040/ "%USERPROFILE%\AppData\Local\Temp\OnboardLogs"\RTDC4040\2017-05-20 --exclude "*" --recursive --include "*20170520*" &amp; "%USERPROFILE%\Documents\GitHub\mrs-test-scripts\Headless Mode &amp; Sideloading\WalkAndUnGZ.bat" "%USERPROFILE%\AppData\Local\Temp\OnboardLogs"\RTDC4040\2017-05-20</v>
      </c>
      <c r="AF125" s="77" t="str">
        <f t="shared" si="47"/>
        <v>"C:\Program Files (x86)\AstroGrep\AstroGrep.exe" /e /r /s /spath="%USERPROFILE%\AppData\Local\Temp\OnboardLogs" /stypes="app*4040*20170520*" /stext=" 00:.+((SYSTEM_STATE.+slice.+state.+changed )|(ment ac)|(multiple cpu faults)|(system.+state.+changed )|(\[timeout)|(PRM\|1\|D)|(kpr)|(kdp)|(train st.+moving)|(\|lc)|(penalty))"</v>
      </c>
      <c r="AG125" s="1" t="str">
        <f t="shared" si="48"/>
        <v>EC</v>
      </c>
      <c r="AH125" s="81" t="str">
        <f t="shared" si="49"/>
        <v>"%USERPROFILE%\Documents\GitHub\eaglep3\Utilities\RefineRTDCRunTimes.py" --tripid 213-19 --locoid 4040 --swversion DE.1.0.9.0 --startMP 204:464 --initTime 2017-05-19T17:43:08 --startdatetime 2017-05-19T17:45:39 --delay 1 --endMP 204:233340 --enddatetime 2017-05-19T18:21:33 --enforcementcount 0 &gt;&gt;C:\Users\stu\Documents\GitHub\eaglep3-reporting\EC\2017-05-19-refined-times.txt</v>
      </c>
      <c r="AI125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{"issue":{"subject":"","project_id":79,"tracker_id":40,"status_id":1,"priority_id":2,"assigned_to_id":23,"start_date":"2017-05-19","description":"","custom_fields":[{"id":1,"name":"Subdivision","value":"EC"},{"id":4,"name":"Milepost","value":"23.334"},{"id":17,"name":"Train ID","value":"213-19"},{"id":16,"name":"Locomotive ID","value":"4040"},{"id":130,"name":"Impact","value":""},{"id":150,"name":"Time of Event (Mountain Time)","value":"18:21:33"},{"id":151,"name":"Denver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51"/>
        <v>start /low /b %USERPROFILE%\Documents\GitHub\eaglep3\Utilities\DownloadLogsFromS3.py --loco 4040 --day 2017-05-19</v>
      </c>
      <c r="AN125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00:21:33"},{"id":29,"name":"Sharepoint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814</v>
      </c>
      <c r="B126" s="7">
        <v>4039</v>
      </c>
      <c r="C126" s="21" t="s">
        <v>206</v>
      </c>
      <c r="D126" s="21" t="s">
        <v>480</v>
      </c>
      <c r="E126" s="13">
        <v>42874.770474537036</v>
      </c>
      <c r="F126" s="13">
        <v>42874.778865740744</v>
      </c>
      <c r="G126" s="7">
        <v>2</v>
      </c>
      <c r="H126" s="21" t="s">
        <v>921</v>
      </c>
      <c r="I126" s="13">
        <v>42874.805706018517</v>
      </c>
      <c r="J126" s="7">
        <v>0</v>
      </c>
      <c r="K126" s="92" t="str">
        <f t="shared" si="35"/>
        <v>4039/4040</v>
      </c>
      <c r="L126" s="21" t="str">
        <f>VLOOKUP(A126,'Trips&amp;Operators'!$C$1:$G$99999,5,FALSE)</f>
        <v>SAFIEF AEIMEN</v>
      </c>
      <c r="M126" s="6">
        <f t="shared" si="36"/>
        <v>2.6840277772862464E-2</v>
      </c>
      <c r="N126" s="7">
        <f t="shared" si="54"/>
        <v>38.649999992921948</v>
      </c>
      <c r="O126" s="7"/>
      <c r="P126" s="7"/>
      <c r="Q126" s="22"/>
      <c r="R126" s="190"/>
      <c r="S126" s="196">
        <f t="shared" si="55"/>
        <v>1</v>
      </c>
      <c r="T126" s="190" t="str">
        <f t="shared" si="39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40"/>
        <v>https://d0f6bd738d7f1b3e5a7ca70fe4ff75f0.us-east-1.aws.found.io/app/kibana#/discover/Steve-Slow-Train-Analysis-(2080s-and-2083s)?_g=(refreshInterval:(display:Off,pause:!f,section:0,value:0),time:(from:'2017-05-19T17:29:29-0600',mode:absolute,to:'2017-05-19T20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6" s="192" t="str">
        <f t="shared" si="41"/>
        <v>N</v>
      </c>
      <c r="X126" s="192">
        <f t="shared" si="53"/>
        <v>1</v>
      </c>
      <c r="Y126" s="192">
        <f t="shared" si="56"/>
        <v>23.3</v>
      </c>
      <c r="Z126" s="192">
        <f t="shared" si="57"/>
        <v>1.9099999999999999E-2</v>
      </c>
      <c r="AA126" s="192">
        <f t="shared" si="44"/>
        <v>23.280899999999999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45"/>
        <v>0214-19</v>
      </c>
      <c r="AE126" s="80" t="str">
        <f t="shared" si="46"/>
        <v>aws s3 cp s3://rtdc.mdm.uploadarchive.raw/RTDC4039/ "%USERPROFILE%\AppData\Local\Temp\OnboardLogs"\RTDC4039\2017-05-19 --exclude "*" --recursive --include "*20170519*" &amp; "%USERPROFILE%\Documents\GitHub\mrs-test-scripts\Headless Mode &amp; Sideloading\WalkAndUnGZ.bat" "%USERPROFILE%\AppData\Local\Temp\OnboardLogs"\RTDC4039\2017-05-19 &amp; aws s3 cp s3://rtdc.mdm.uploadarchive.raw/RTDC4039/ "%USERPROFILE%\AppData\Local\Temp\OnboardLogs"\RTDC4039\2017-05-20 --exclude "*" --recursive --include "*20170520*" &amp; "%USERPROFILE%\Documents\GitHub\mrs-test-scripts\Headless Mode &amp; Sideloading\WalkAndUnGZ.bat" "%USERPROFILE%\AppData\Local\Temp\OnboardLogs"\RTDC4039\2017-05-20</v>
      </c>
      <c r="AF126" s="77" t="str">
        <f t="shared" si="47"/>
        <v>"C:\Program Files (x86)\AstroGrep\AstroGrep.exe" /e /r /s /spath="%USERPROFILE%\AppData\Local\Temp\OnboardLogs" /stypes="app*4039*20170520*" /stext=" 01:.+((SYSTEM_STATE.+slice.+state.+changed )|(ment ac)|(multiple cpu faults)|(system.+state.+changed )|(\[timeout)|(PRM\|1\|D)|(kpr)|(kdp)|(train st.+moving)|(\|lc)|(penalty))"</v>
      </c>
      <c r="AG126" s="1" t="str">
        <f t="shared" si="48"/>
        <v>EC</v>
      </c>
      <c r="AH126" s="81" t="str">
        <f t="shared" si="49"/>
        <v>"%USERPROFILE%\Documents\GitHub\eaglep3\Utilities\RefineRTDCRunTimes.py" --tripid 214-19 --locoid 4039 --swversion DE.1.0.9.0 --startMP 204:233000 --initTime 2017-05-19T18:29:29 --startdatetime 2017-05-19T18:41:34 --delay 2 --endMP 204:191 --enddatetime 2017-05-19T19:20:13 --enforcementcount 0 &gt;&gt;C:\Users\stu\Documents\GitHub\eaglep3-reporting\EC\2017-05-19-refined-times.txt</v>
      </c>
      <c r="AI126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{"issue":{"subject":"","project_id":79,"tracker_id":40,"status_id":1,"priority_id":2,"assigned_to_id":23,"start_date":"2017-05-19","description":"","custom_fields":[{"id":1,"name":"Subdivision","value":"EC"},{"id":4,"name":"Milepost","value":"0.0191"},{"id":17,"name":"Train ID","value":"214-19"},{"id":16,"name":"Locomotive ID","value":"4039"},{"id":130,"name":"Impact","value":""},{"id":150,"name":"Time of Event (Mountain Time)","value":"19:20:13"},{"id":151,"name":"Denver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51"/>
        <v>start /low /b %USERPROFILE%\Documents\GitHub\eaglep3\Utilities\DownloadLogsFromS3.py --loco 4039 --day 2017-05-19</v>
      </c>
      <c r="AN126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01:20:13"},{"id":29,"name":"Sharepoint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808</v>
      </c>
      <c r="B127" s="7">
        <v>4012</v>
      </c>
      <c r="C127" s="21" t="s">
        <v>206</v>
      </c>
      <c r="D127" s="21" t="s">
        <v>881</v>
      </c>
      <c r="E127" s="13">
        <v>42874.747210648151</v>
      </c>
      <c r="F127" s="13">
        <v>42874.750231481485</v>
      </c>
      <c r="G127" s="7">
        <v>1</v>
      </c>
      <c r="H127" s="21" t="s">
        <v>483</v>
      </c>
      <c r="I127" s="13">
        <v>42874.775706018518</v>
      </c>
      <c r="J127" s="7">
        <v>0</v>
      </c>
      <c r="K127" s="92" t="str">
        <f t="shared" si="35"/>
        <v>4011/4012</v>
      </c>
      <c r="L127" s="21" t="str">
        <f>VLOOKUP(A127,'Trips&amp;Operators'!$C$1:$G$99999,5,FALSE)</f>
        <v>MOSES BRADLEY</v>
      </c>
      <c r="M127" s="6">
        <f t="shared" si="36"/>
        <v>2.5474537033005618E-2</v>
      </c>
      <c r="N127" s="7">
        <f t="shared" si="54"/>
        <v>36.683333327528089</v>
      </c>
      <c r="O127" s="7"/>
      <c r="P127" s="7"/>
      <c r="Q127" s="22"/>
      <c r="R127" s="190"/>
      <c r="S127" s="196">
        <f t="shared" si="55"/>
        <v>1</v>
      </c>
      <c r="T127" s="190" t="str">
        <f t="shared" si="39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40"/>
        <v>https://d0f6bd738d7f1b3e5a7ca70fe4ff75f0.us-east-1.aws.found.io/app/kibana#/discover/Steve-Slow-Train-Analysis-(2080s-and-2083s)?_g=(refreshInterval:(display:Off,pause:!f,section:0,value:0),time:(from:'2017-05-19T16:55:59-0600',mode:absolute,to:'2017-05-19T19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7" s="192" t="str">
        <f t="shared" si="41"/>
        <v>N</v>
      </c>
      <c r="X127" s="192">
        <f t="shared" ref="X127:X137" si="58">VALUE(LEFT(AD127,4))-VALUE(LEFT(AD126,4))</f>
        <v>1</v>
      </c>
      <c r="Y127" s="192">
        <f t="shared" si="56"/>
        <v>4.6699999999999998E-2</v>
      </c>
      <c r="Z127" s="192">
        <f t="shared" si="57"/>
        <v>23.330100000000002</v>
      </c>
      <c r="AA127" s="192">
        <f t="shared" si="44"/>
        <v>23.2834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45"/>
        <v>0215-19</v>
      </c>
      <c r="AE127" s="80" t="str">
        <f t="shared" si="46"/>
        <v>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 &amp; 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</v>
      </c>
      <c r="AF127" s="77" t="str">
        <f t="shared" si="47"/>
        <v>"C:\Program Files (x86)\AstroGrep\AstroGrep.exe" /e /r /s /spath="%USERPROFILE%\AppData\Local\Temp\OnboardLogs" /stypes="app*4012*20170520*" /stext=" 00:.+((SYSTEM_STATE.+slice.+state.+changed )|(ment ac)|(multiple cpu faults)|(system.+state.+changed )|(\[timeout)|(PRM\|1\|D)|(kpr)|(kdp)|(train st.+moving)|(\|lc)|(penalty))"</v>
      </c>
      <c r="AG127" s="1" t="str">
        <f t="shared" si="48"/>
        <v>EC</v>
      </c>
      <c r="AH127" s="81" t="str">
        <f t="shared" si="49"/>
        <v>"%USERPROFILE%\Documents\GitHub\eaglep3\Utilities\RefineRTDCRunTimes.py" --tripid 215-19 --locoid 4012 --swversion DE.1.0.9.0 --startMP 204:467 --initTime 2017-05-19T17:55:59 --startdatetime 2017-05-19T18:00:20 --delay 1 --endMP 204:233301 --enddatetime 2017-05-19T18:37:01 --enforcementcount 0 &gt;&gt;C:\Users\stu\Documents\GitHub\eaglep3-reporting\EC\2017-05-19-refined-times.txt</v>
      </c>
      <c r="AI127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{"issue":{"subject":"","project_id":79,"tracker_id":40,"status_id":1,"priority_id":2,"assigned_to_id":23,"start_date":"2017-05-19","description":"","custom_fields":[{"id":1,"name":"Subdivision","value":"EC"},{"id":4,"name":"Milepost","value":"23.3301"},{"id":17,"name":"Train ID","value":"215-19"},{"id":16,"name":"Locomotive ID","value":"4012"},{"id":130,"name":"Impact","value":""},{"id":150,"name":"Time of Event (Mountain Time)","value":"18:37:01"},{"id":151,"name":"Denver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51"/>
        <v>start /low /b %USERPROFILE%\Documents\GitHub\eaglep3\Utilities\DownloadLogsFromS3.py --loco 4012 --day 2017-05-19</v>
      </c>
      <c r="AN127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00:37:01"},{"id":29,"name":"Sharepoint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818</v>
      </c>
      <c r="B128" s="7">
        <v>4011</v>
      </c>
      <c r="C128" s="21" t="s">
        <v>206</v>
      </c>
      <c r="D128" s="21" t="s">
        <v>478</v>
      </c>
      <c r="E128" s="13">
        <v>42874.786180555559</v>
      </c>
      <c r="F128" s="13">
        <v>42874.789155092592</v>
      </c>
      <c r="G128" s="7">
        <v>1</v>
      </c>
      <c r="H128" s="21" t="s">
        <v>893</v>
      </c>
      <c r="I128" s="13">
        <v>42874.816979166666</v>
      </c>
      <c r="J128" s="7">
        <v>0</v>
      </c>
      <c r="K128" s="92" t="str">
        <f t="shared" si="35"/>
        <v>4011/4012</v>
      </c>
      <c r="L128" s="21" t="str">
        <f>VLOOKUP(A128,'Trips&amp;Operators'!$C$1:$G$99999,5,FALSE)</f>
        <v>MOSES BRADLEY</v>
      </c>
      <c r="M128" s="6">
        <f t="shared" si="36"/>
        <v>2.7824074073578231E-2</v>
      </c>
      <c r="N128" s="7">
        <f t="shared" si="54"/>
        <v>40.066666665952653</v>
      </c>
      <c r="O128" s="7"/>
      <c r="P128" s="7"/>
      <c r="Q128" s="22"/>
      <c r="R128" s="190"/>
      <c r="S128" s="196">
        <f t="shared" si="55"/>
        <v>1</v>
      </c>
      <c r="T128" s="190" t="str">
        <f t="shared" si="39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40"/>
        <v>https://d0f6bd738d7f1b3e5a7ca70fe4ff75f0.us-east-1.aws.found.io/app/kibana#/discover/Steve-Slow-Train-Analysis-(2080s-and-2083s)?_g=(refreshInterval:(display:Off,pause:!f,section:0,value:0),time:(from:'2017-05-19T17:52:06-0600',mode:absolute,to:'2017-05-19T20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8" s="192" t="str">
        <f t="shared" si="41"/>
        <v>N</v>
      </c>
      <c r="X128" s="192">
        <f t="shared" si="58"/>
        <v>1</v>
      </c>
      <c r="Y128" s="192">
        <f t="shared" si="56"/>
        <v>23.299199999999999</v>
      </c>
      <c r="Z128" s="192">
        <f t="shared" si="57"/>
        <v>1.61E-2</v>
      </c>
      <c r="AA128" s="192">
        <f t="shared" si="44"/>
        <v>23.283099999999997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45"/>
        <v>0216-19</v>
      </c>
      <c r="AE128" s="80" t="str">
        <f t="shared" si="46"/>
        <v>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 &amp; 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</v>
      </c>
      <c r="AF128" s="77" t="str">
        <f t="shared" si="47"/>
        <v>"C:\Program Files (x86)\AstroGrep\AstroGrep.exe" /e /r /s /spath="%USERPROFILE%\AppData\Local\Temp\OnboardLogs" /stypes="app*4011*20170520*" /stext=" 01:.+((SYSTEM_STATE.+slice.+state.+changed )|(ment ac)|(multiple cpu faults)|(system.+state.+changed )|(\[timeout)|(PRM\|1\|D)|(kpr)|(kdp)|(train st.+moving)|(\|lc)|(penalty))"</v>
      </c>
      <c r="AG128" s="1" t="str">
        <f t="shared" si="48"/>
        <v>EC</v>
      </c>
      <c r="AH128" s="81" t="str">
        <f t="shared" si="49"/>
        <v>"%USERPROFILE%\Documents\GitHub\eaglep3\Utilities\RefineRTDCRunTimes.py" --tripid 216-19 --locoid 4011 --swversion DE.1.0.9.0 --startMP 204:232992 --initTime 2017-05-19T18:52:06 --startdatetime 2017-05-19T18:56:23 --delay 1 --endMP 204:161 --enddatetime 2017-05-19T19:36:27 --enforcementcount 0 &gt;&gt;C:\Users\stu\Documents\GitHub\eaglep3-reporting\EC\2017-05-19-refined-times.txt</v>
      </c>
      <c r="AI128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{"issue":{"subject":"","project_id":79,"tracker_id":40,"status_id":1,"priority_id":2,"assigned_to_id":23,"start_date":"2017-05-19","description":"","custom_fields":[{"id":1,"name":"Subdivision","value":"EC"},{"id":4,"name":"Milepost","value":"0.0161"},{"id":17,"name":"Train ID","value":"216-19"},{"id":16,"name":"Locomotive ID","value":"4011"},{"id":130,"name":"Impact","value":""},{"id":150,"name":"Time of Event (Mountain Time)","value":"19:36:27"},{"id":151,"name":"Denver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51"/>
        <v>start /low /b %USERPROFILE%\Documents\GitHub\eaglep3\Utilities\DownloadLogsFromS3.py --loco 4011 --day 2017-05-19</v>
      </c>
      <c r="AN128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01:36:27"},{"id":29,"name":"Sharepoint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809</v>
      </c>
      <c r="B129" s="7">
        <v>4018</v>
      </c>
      <c r="C129" s="21" t="s">
        <v>206</v>
      </c>
      <c r="D129" s="21" t="s">
        <v>203</v>
      </c>
      <c r="E129" s="13">
        <v>42874.75503472222</v>
      </c>
      <c r="F129" s="13">
        <v>42874.76116898148</v>
      </c>
      <c r="G129" s="7">
        <v>1</v>
      </c>
      <c r="H129" s="21" t="s">
        <v>929</v>
      </c>
      <c r="I129" s="13">
        <v>42874.785729166666</v>
      </c>
      <c r="J129" s="7">
        <v>0</v>
      </c>
      <c r="K129" s="92" t="str">
        <f t="shared" si="35"/>
        <v>4017/4018</v>
      </c>
      <c r="L129" s="21" t="str">
        <f>VLOOKUP(A129,'Trips&amp;Operators'!$C$1:$G$99999,5,FALSE)</f>
        <v>LAMAR NEKESHA</v>
      </c>
      <c r="M129" s="6">
        <f t="shared" si="36"/>
        <v>2.4560185185691807E-2</v>
      </c>
      <c r="N129" s="7">
        <f t="shared" si="54"/>
        <v>35.366666667396203</v>
      </c>
      <c r="O129" s="7"/>
      <c r="P129" s="7"/>
      <c r="Q129" s="22"/>
      <c r="R129" s="190"/>
      <c r="S129" s="196">
        <f t="shared" si="55"/>
        <v>1</v>
      </c>
      <c r="T129" s="190" t="str">
        <f t="shared" si="39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40"/>
        <v>https://d0f6bd738d7f1b3e5a7ca70fe4ff75f0.us-east-1.aws.found.io/app/kibana#/discover/Steve-Slow-Train-Analysis-(2080s-and-2083s)?_g=(refreshInterval:(display:Off,pause:!f,section:0,value:0),time:(from:'2017-05-19T17:07:15-0600',mode:absolute,to:'2017-05-19T19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192" t="str">
        <f t="shared" si="41"/>
        <v>N</v>
      </c>
      <c r="X129" s="192">
        <f t="shared" si="58"/>
        <v>1</v>
      </c>
      <c r="Y129" s="192">
        <f t="shared" si="56"/>
        <v>4.5999999999999999E-2</v>
      </c>
      <c r="Z129" s="192">
        <f t="shared" si="57"/>
        <v>23.345099999999999</v>
      </c>
      <c r="AA129" s="192">
        <f t="shared" si="44"/>
        <v>23.299099999999999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45"/>
        <v>0217-19</v>
      </c>
      <c r="AE129" s="80" t="str">
        <f t="shared" si="46"/>
        <v>aws s3 cp s3://rtdc.mdm.uploadarchive.raw/RTDC4018/ "%USERPROFILE%\AppData\Local\Temp\OnboardLogs"\RTDC4018\2017-05-19 --exclude "*" --recursive --include "*20170519*" &amp; "%USERPROFILE%\Documents\GitHub\mrs-test-scripts\Headless Mode &amp; Sideloading\WalkAndUnGZ.bat" "%USERPROFILE%\AppData\Local\Temp\OnboardLogs"\RTDC4018\2017-05-19 &amp; 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</v>
      </c>
      <c r="AF129" s="77" t="str">
        <f t="shared" si="47"/>
        <v>"C:\Program Files (x86)\AstroGrep\AstroGrep.exe" /e /r /s /spath="%USERPROFILE%\AppData\Local\Temp\OnboardLogs" /stypes="app*4018*20170520*" /stext=" 00:.+((SYSTEM_STATE.+slice.+state.+changed )|(ment ac)|(multiple cpu faults)|(system.+state.+changed )|(\[timeout)|(PRM\|1\|D)|(kpr)|(kdp)|(train st.+moving)|(\|lc)|(penalty))"</v>
      </c>
      <c r="AG129" s="1" t="str">
        <f t="shared" si="48"/>
        <v>EC</v>
      </c>
      <c r="AH129" s="81" t="str">
        <f t="shared" si="49"/>
        <v>"%USERPROFILE%\Documents\GitHub\eaglep3\Utilities\RefineRTDCRunTimes.py" --tripid 217-19 --locoid 4018 --swversion DE.1.0.9.0 --startMP 204:460 --initTime 2017-05-19T18:07:15 --startdatetime 2017-05-19T18:16:05 --delay 1 --endMP 204:233451 --enddatetime 2017-05-19T18:51:27 --enforcementcount 0 &gt;&gt;C:\Users\stu\Documents\GitHub\eaglep3-reporting\EC\2017-05-19-refined-times.txt</v>
      </c>
      <c r="AI129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{"issue":{"subject":"","project_id":79,"tracker_id":40,"status_id":1,"priority_id":2,"assigned_to_id":23,"start_date":"2017-05-19","description":"","custom_fields":[{"id":1,"name":"Subdivision","value":"EC"},{"id":4,"name":"Milepost","value":"23.3451"},{"id":17,"name":"Train ID","value":"217-19"},{"id":16,"name":"Locomotive ID","value":"4018"},{"id":130,"name":"Impact","value":""},{"id":150,"name":"Time of Event (Mountain Time)","value":"18:51:27"},{"id":151,"name":"Denver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51"/>
        <v>start /low /b %USERPROFILE%\Documents\GitHub\eaglep3\Utilities\DownloadLogsFromS3.py --loco 4018 --day 2017-05-19</v>
      </c>
      <c r="AN129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00:51:27"},{"id":29,"name":"Sharepoint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819</v>
      </c>
      <c r="B130" s="7">
        <v>4017</v>
      </c>
      <c r="C130" s="21" t="s">
        <v>206</v>
      </c>
      <c r="D130" s="21" t="s">
        <v>575</v>
      </c>
      <c r="E130" s="13">
        <v>42874.795659722222</v>
      </c>
      <c r="F130" s="13">
        <v>42874.799780092595</v>
      </c>
      <c r="G130" s="7">
        <v>1</v>
      </c>
      <c r="H130" s="21" t="s">
        <v>927</v>
      </c>
      <c r="I130" s="13">
        <v>42874.825613425928</v>
      </c>
      <c r="J130" s="7">
        <v>0</v>
      </c>
      <c r="K130" s="92" t="str">
        <f t="shared" si="35"/>
        <v>4017/4018</v>
      </c>
      <c r="L130" s="21" t="str">
        <f>VLOOKUP(A130,'Trips&amp;Operators'!$C$1:$G$99999,5,FALSE)</f>
        <v>LAMAR NEKESHA</v>
      </c>
      <c r="M130" s="6">
        <f t="shared" si="36"/>
        <v>2.5833333333139308E-2</v>
      </c>
      <c r="N130" s="7">
        <f t="shared" si="54"/>
        <v>37.199999999720603</v>
      </c>
      <c r="O130" s="7"/>
      <c r="P130" s="7"/>
      <c r="Q130" s="22"/>
      <c r="R130" s="190"/>
      <c r="S130" s="196">
        <f t="shared" si="55"/>
        <v>1</v>
      </c>
      <c r="T130" s="190" t="str">
        <f t="shared" si="39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40"/>
        <v>https://d0f6bd738d7f1b3e5a7ca70fe4ff75f0.us-east-1.aws.found.io/app/kibana#/discover/Steve-Slow-Train-Analysis-(2080s-and-2083s)?_g=(refreshInterval:(display:Off,pause:!f,section:0,value:0),time:(from:'2017-05-19T18:05:45-0600',mode:absolute,to:'2017-05-19T20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192" t="str">
        <f t="shared" si="41"/>
        <v>N</v>
      </c>
      <c r="X130" s="192">
        <f t="shared" si="58"/>
        <v>1</v>
      </c>
      <c r="Y130" s="192">
        <f t="shared" si="56"/>
        <v>23.314399999999999</v>
      </c>
      <c r="Z130" s="192">
        <f t="shared" si="57"/>
        <v>1.18E-2</v>
      </c>
      <c r="AA130" s="192">
        <f t="shared" si="44"/>
        <v>23.302599999999998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45"/>
        <v>0218-19</v>
      </c>
      <c r="AE130" s="80" t="str">
        <f t="shared" si="46"/>
        <v>aws s3 cp s3://rtdc.mdm.uploadarchive.raw/RTDC4017/ "%USERPROFILE%\AppData\Local\Temp\OnboardLogs"\RTDC4017\2017-05-19 --exclude "*" --recursive --include "*20170519*" &amp; "%USERPROFILE%\Documents\GitHub\mrs-test-scripts\Headless Mode &amp; Sideloading\WalkAndUnGZ.bat" "%USERPROFILE%\AppData\Local\Temp\OnboardLogs"\RTDC4017\2017-05-19 &amp; 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</v>
      </c>
      <c r="AF130" s="77" t="str">
        <f t="shared" si="47"/>
        <v>"C:\Program Files (x86)\AstroGrep\AstroGrep.exe" /e /r /s /spath="%USERPROFILE%\AppData\Local\Temp\OnboardLogs" /stypes="app*4017*20170520*" /stext=" 01:.+((SYSTEM_STATE.+slice.+state.+changed )|(ment ac)|(multiple cpu faults)|(system.+state.+changed )|(\[timeout)|(PRM\|1\|D)|(kpr)|(kdp)|(train st.+moving)|(\|lc)|(penalty))"</v>
      </c>
      <c r="AG130" s="1" t="str">
        <f t="shared" si="48"/>
        <v>EC</v>
      </c>
      <c r="AH130" s="81" t="str">
        <f t="shared" si="49"/>
        <v>"%USERPROFILE%\Documents\GitHub\eaglep3\Utilities\RefineRTDCRunTimes.py" --tripid 218-19 --locoid 4017 --swversion DE.1.0.9.0 --startMP 204:233144 --initTime 2017-05-19T19:05:45 --startdatetime 2017-05-19T19:11:41 --delay 1 --endMP 204:118 --enddatetime 2017-05-19T19:48:53 --enforcementcount 0 &gt;&gt;C:\Users\stu\Documents\GitHub\eaglep3-reporting\EC\2017-05-19-refined-times.txt</v>
      </c>
      <c r="AI130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{"issue":{"subject":"","project_id":79,"tracker_id":40,"status_id":1,"priority_id":2,"assigned_to_id":23,"start_date":"2017-05-19","description":"","custom_fields":[{"id":1,"name":"Subdivision","value":"EC"},{"id":4,"name":"Milepost","value":"0.0118"},{"id":17,"name":"Train ID","value":"218-19"},{"id":16,"name":"Locomotive ID","value":"4017"},{"id":130,"name":"Impact","value":""},{"id":150,"name":"Time of Event (Mountain Time)","value":"19:48:53"},{"id":151,"name":"Denver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51"/>
        <v>start /low /b %USERPROFILE%\Documents\GitHub\eaglep3\Utilities\DownloadLogsFromS3.py --loco 4017 --day 2017-05-19</v>
      </c>
      <c r="AN130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01:48:53"},{"id":29,"name":"Sharepoint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813</v>
      </c>
      <c r="B131" s="7">
        <v>4016</v>
      </c>
      <c r="C131" s="21" t="s">
        <v>206</v>
      </c>
      <c r="D131" s="21" t="s">
        <v>930</v>
      </c>
      <c r="E131" s="13">
        <v>42874.767858796295</v>
      </c>
      <c r="F131" s="13">
        <v>42874.770995370367</v>
      </c>
      <c r="G131" s="7">
        <v>1</v>
      </c>
      <c r="H131" s="21" t="s">
        <v>931</v>
      </c>
      <c r="I131" s="13">
        <v>42874.797754629632</v>
      </c>
      <c r="J131" s="7">
        <v>0</v>
      </c>
      <c r="K131" s="92" t="str">
        <f t="shared" si="35"/>
        <v>4015/4016</v>
      </c>
      <c r="L131" s="21" t="str">
        <f>VLOOKUP(A131,'Trips&amp;Operators'!$C$1:$G$99999,5,FALSE)</f>
        <v>SWANSON BRYCE</v>
      </c>
      <c r="M131" s="6">
        <f t="shared" si="36"/>
        <v>2.6759259264508728E-2</v>
      </c>
      <c r="N131" s="7">
        <f t="shared" si="54"/>
        <v>38.533333340892568</v>
      </c>
      <c r="O131" s="7"/>
      <c r="P131" s="7"/>
      <c r="Q131" s="22"/>
      <c r="R131" s="190"/>
      <c r="S131" s="196">
        <f t="shared" si="55"/>
        <v>1</v>
      </c>
      <c r="T131" s="190" t="str">
        <f t="shared" si="39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40"/>
        <v>https://d0f6bd738d7f1b3e5a7ca70fe4ff75f0.us-east-1.aws.found.io/app/kibana#/discover/Steve-Slow-Train-Analysis-(2080s-and-2083s)?_g=(refreshInterval:(display:Off,pause:!f,section:0,value:0),time:(from:'2017-05-19T17:25:43-0600',mode:absolute,to:'2017-05-19T20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1" s="192" t="str">
        <f t="shared" si="41"/>
        <v>N</v>
      </c>
      <c r="X131" s="192">
        <f t="shared" si="58"/>
        <v>1</v>
      </c>
      <c r="Y131" s="192">
        <f t="shared" si="56"/>
        <v>5.1299999999999998E-2</v>
      </c>
      <c r="Z131" s="192">
        <f t="shared" si="57"/>
        <v>23.343900000000001</v>
      </c>
      <c r="AA131" s="192">
        <f t="shared" si="44"/>
        <v>23.2926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45"/>
        <v>0219-19</v>
      </c>
      <c r="AE131" s="80" t="str">
        <f t="shared" si="46"/>
        <v>aws s3 cp s3://rtdc.mdm.uploadarchive.raw/RTDC4016/ "%USERPROFILE%\AppData\Local\Temp\OnboardLogs"\RTDC4016\2017-05-19 --exclude "*" --recursive --include "*20170519*" &amp; "%USERPROFILE%\Documents\GitHub\mrs-test-scripts\Headless Mode &amp; Sideloading\WalkAndUnGZ.bat" "%USERPROFILE%\AppData\Local\Temp\OnboardLogs"\RTDC4016\2017-05-19 &amp; aws s3 cp s3://rtdc.mdm.uploadarchive.raw/RTDC4016/ "%USERPROFILE%\AppData\Local\Temp\OnboardLogs"\RTDC4016\2017-05-20 --exclude "*" --recursive --include "*20170520*" &amp; "%USERPROFILE%\Documents\GitHub\mrs-test-scripts\Headless Mode &amp; Sideloading\WalkAndUnGZ.bat" "%USERPROFILE%\AppData\Local\Temp\OnboardLogs"\RTDC4016\2017-05-20</v>
      </c>
      <c r="AF131" s="77" t="str">
        <f t="shared" si="47"/>
        <v>"C:\Program Files (x86)\AstroGrep\AstroGrep.exe" /e /r /s /spath="%USERPROFILE%\AppData\Local\Temp\OnboardLogs" /stypes="app*4016*20170520*" /stext=" 01:.+((SYSTEM_STATE.+slice.+state.+changed )|(ment ac)|(multiple cpu faults)|(system.+state.+changed )|(\[timeout)|(PRM\|1\|D)|(kpr)|(kdp)|(train st.+moving)|(\|lc)|(penalty))"</v>
      </c>
      <c r="AG131" s="1" t="str">
        <f t="shared" si="48"/>
        <v>EC</v>
      </c>
      <c r="AH131" s="81" t="str">
        <f t="shared" si="49"/>
        <v>"%USERPROFILE%\Documents\GitHub\eaglep3\Utilities\RefineRTDCRunTimes.py" --tripid 219-19 --locoid 4016 --swversion DE.1.0.9.0 --startMP 204:513 --initTime 2017-05-19T18:25:43 --startdatetime 2017-05-19T18:30:14 --delay 1 --endMP 204:233439 --enddatetime 2017-05-19T19:08:46 --enforcementcount 0 &gt;&gt;C:\Users\stu\Documents\GitHub\eaglep3-reporting\EC\2017-05-19-refined-times.txt</v>
      </c>
      <c r="AI131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{"issue":{"subject":"","project_id":79,"tracker_id":40,"status_id":1,"priority_id":2,"assigned_to_id":23,"start_date":"2017-05-19","description":"","custom_fields":[{"id":1,"name":"Subdivision","value":"EC"},{"id":4,"name":"Milepost","value":"23.3439"},{"id":17,"name":"Train ID","value":"219-19"},{"id":16,"name":"Locomotive ID","value":"4016"},{"id":130,"name":"Impact","value":""},{"id":150,"name":"Time of Event (Mountain Time)","value":"19:08:46"},{"id":151,"name":"Denver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51"/>
        <v>start /low /b %USERPROFILE%\Documents\GitHub\eaglep3\Utilities\DownloadLogsFromS3.py --loco 4016 --day 2017-05-19</v>
      </c>
      <c r="AN131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01:08:46"},{"id":29,"name":"Sharepoint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823</v>
      </c>
      <c r="B132" s="7">
        <v>4015</v>
      </c>
      <c r="C132" s="21" t="s">
        <v>206</v>
      </c>
      <c r="D132" s="21" t="s">
        <v>932</v>
      </c>
      <c r="E132" s="13">
        <v>42874.807870370372</v>
      </c>
      <c r="F132" s="13">
        <v>42874.809942129628</v>
      </c>
      <c r="G132" s="7">
        <v>1</v>
      </c>
      <c r="H132" s="21" t="s">
        <v>356</v>
      </c>
      <c r="I132" s="13">
        <v>42874.837465277778</v>
      </c>
      <c r="J132" s="7">
        <v>0</v>
      </c>
      <c r="K132" s="92" t="str">
        <f t="shared" si="35"/>
        <v>4015/4016</v>
      </c>
      <c r="L132" s="21" t="str">
        <f>VLOOKUP(A132,'Trips&amp;Operators'!$C$1:$G$99999,5,FALSE)</f>
        <v>SWANSON BRYCE</v>
      </c>
      <c r="M132" s="6">
        <f t="shared" si="36"/>
        <v>2.7523148150066845E-2</v>
      </c>
      <c r="N132" s="7">
        <f t="shared" si="54"/>
        <v>39.633333336096257</v>
      </c>
      <c r="O132" s="7"/>
      <c r="P132" s="7"/>
      <c r="Q132" s="22"/>
      <c r="R132" s="190"/>
      <c r="S132" s="196">
        <f t="shared" si="55"/>
        <v>1</v>
      </c>
      <c r="T132" s="190" t="str">
        <f t="shared" si="39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40"/>
        <v>https://d0f6bd738d7f1b3e5a7ca70fe4ff75f0.us-east-1.aws.found.io/app/kibana#/discover/Steve-Slow-Train-Analysis-(2080s-and-2083s)?_g=(refreshInterval:(display:Off,pause:!f,section:0,value:0),time:(from:'2017-05-19T18:23:20-0600',mode:absolute,to:'2017-05-19T21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2" s="192" t="str">
        <f t="shared" si="41"/>
        <v>N</v>
      </c>
      <c r="X132" s="192">
        <f t="shared" si="58"/>
        <v>1</v>
      </c>
      <c r="Y132" s="192">
        <f t="shared" si="56"/>
        <v>23.312999999999999</v>
      </c>
      <c r="Z132" s="192">
        <f t="shared" si="57"/>
        <v>1.49E-2</v>
      </c>
      <c r="AA132" s="192">
        <f t="shared" si="44"/>
        <v>23.298099999999998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45"/>
        <v>0220-19</v>
      </c>
      <c r="AE132" s="80" t="str">
        <f t="shared" si="46"/>
        <v>aws s3 cp s3://rtdc.mdm.uploadarchive.raw/RTDC4015/ "%USERPROFILE%\AppData\Local\Temp\OnboardLogs"\RTDC4015\2017-05-19 --exclude "*" --recursive --include "*20170519*" &amp; "%USERPROFILE%\Documents\GitHub\mrs-test-scripts\Headless Mode &amp; Sideloading\WalkAndUnGZ.bat" "%USERPROFILE%\AppData\Local\Temp\OnboardLogs"\RTDC4015\2017-05-19 &amp; aws s3 cp s3://rtdc.mdm.uploadarchive.raw/RTDC4015/ "%USERPROFILE%\AppData\Local\Temp\OnboardLogs"\RTDC4015\2017-05-20 --exclude "*" --recursive --include "*20170520*" &amp; "%USERPROFILE%\Documents\GitHub\mrs-test-scripts\Headless Mode &amp; Sideloading\WalkAndUnGZ.bat" "%USERPROFILE%\AppData\Local\Temp\OnboardLogs"\RTDC4015\2017-05-20</v>
      </c>
      <c r="AF132" s="77" t="str">
        <f t="shared" si="47"/>
        <v>"C:\Program Files (x86)\AstroGrep\AstroGrep.exe" /e /r /s /spath="%USERPROFILE%\AppData\Local\Temp\OnboardLogs" /stypes="app*4015*20170520*" /stext=" 02:.+((SYSTEM_STATE.+slice.+state.+changed )|(ment ac)|(multiple cpu faults)|(system.+state.+changed )|(\[timeout)|(PRM\|1\|D)|(kpr)|(kdp)|(train st.+moving)|(\|lc)|(penalty))"</v>
      </c>
      <c r="AG132" s="1" t="str">
        <f t="shared" si="48"/>
        <v>EC</v>
      </c>
      <c r="AH132" s="81" t="str">
        <f t="shared" si="49"/>
        <v>"%USERPROFILE%\Documents\GitHub\eaglep3\Utilities\RefineRTDCRunTimes.py" --tripid 220-19 --locoid 4015 --swversion DE.1.0.9.0 --startMP 204:233130 --initTime 2017-05-19T19:23:20 --startdatetime 2017-05-19T19:26:19 --delay 1 --endMP 204:149 --enddatetime 2017-05-19T20:05:57 --enforcementcount 0 &gt;&gt;C:\Users\stu\Documents\GitHub\eaglep3-reporting\EC\2017-05-19-refined-times.txt</v>
      </c>
      <c r="AI132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{"issue":{"subject":"","project_id":79,"tracker_id":40,"status_id":1,"priority_id":2,"assigned_to_id":23,"start_date":"2017-05-19","description":"","custom_fields":[{"id":1,"name":"Subdivision","value":"EC"},{"id":4,"name":"Milepost","value":"0.0149"},{"id":17,"name":"Train ID","value":"220-19"},{"id":16,"name":"Locomotive ID","value":"4015"},{"id":130,"name":"Impact","value":""},{"id":150,"name":"Time of Event (Mountain Time)","value":"20:05:57"},{"id":151,"name":"Denver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51"/>
        <v>start /low /b %USERPROFILE%\Documents\GitHub\eaglep3\Utilities\DownloadLogsFromS3.py --loco 4015 --day 2017-05-19</v>
      </c>
      <c r="AN132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02:05:57"},{"id":29,"name":"Sharepoint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642</v>
      </c>
      <c r="B133" s="7">
        <v>4032</v>
      </c>
      <c r="C133" s="21" t="s">
        <v>206</v>
      </c>
      <c r="D133" s="21" t="s">
        <v>896</v>
      </c>
      <c r="E133" s="13">
        <v>42874.786886574075</v>
      </c>
      <c r="F133" s="13">
        <v>42874.791817129626</v>
      </c>
      <c r="G133" s="7">
        <v>2</v>
      </c>
      <c r="H133" s="21" t="s">
        <v>507</v>
      </c>
      <c r="I133" s="13">
        <v>42874.817349537036</v>
      </c>
      <c r="J133" s="7">
        <v>0</v>
      </c>
      <c r="K133" s="92" t="str">
        <f t="shared" si="35"/>
        <v>4031/4032</v>
      </c>
      <c r="L133" s="21" t="str">
        <f>VLOOKUP(A133,'Trips&amp;Operators'!$C$1:$G$99999,5,FALSE)</f>
        <v>BROWN JACOB</v>
      </c>
      <c r="M133" s="6">
        <f t="shared" si="36"/>
        <v>2.5532407409627922E-2</v>
      </c>
      <c r="N133" s="7">
        <f t="shared" si="54"/>
        <v>36.766666669864208</v>
      </c>
      <c r="O133" s="7"/>
      <c r="P133" s="7"/>
      <c r="Q133" s="22"/>
      <c r="R133" s="190"/>
      <c r="S133" s="196">
        <f t="shared" si="55"/>
        <v>1</v>
      </c>
      <c r="T133" s="190" t="str">
        <f t="shared" si="39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40"/>
        <v>https://d0f6bd738d7f1b3e5a7ca70fe4ff75f0.us-east-1.aws.found.io/app/kibana#/discover/Steve-Slow-Train-Analysis-(2080s-and-2083s)?_g=(refreshInterval:(display:Off,pause:!f,section:0,value:0),time:(from:'2017-05-19T17:53:07-0600',mode:absolute,to:'2017-05-19T20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3" s="192" t="str">
        <f t="shared" si="41"/>
        <v>N</v>
      </c>
      <c r="X133" s="192">
        <f t="shared" si="58"/>
        <v>1</v>
      </c>
      <c r="Y133" s="192">
        <f t="shared" si="56"/>
        <v>4.8899999999999999E-2</v>
      </c>
      <c r="Z133" s="192">
        <f t="shared" si="57"/>
        <v>23.3325</v>
      </c>
      <c r="AA133" s="192">
        <f t="shared" si="44"/>
        <v>23.2836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45"/>
        <v>0221-19</v>
      </c>
      <c r="AE133" s="80" t="str">
        <f t="shared" si="46"/>
        <v>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 &amp; 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</v>
      </c>
      <c r="AF133" s="77" t="str">
        <f t="shared" si="47"/>
        <v>"C:\Program Files (x86)\AstroGrep\AstroGrep.exe" /e /r /s /spath="%USERPROFILE%\AppData\Local\Temp\OnboardLogs" /stypes="app*4032*20170520*" /stext=" 01:.+((SYSTEM_STATE.+slice.+state.+changed )|(ment ac)|(multiple cpu faults)|(system.+state.+changed )|(\[timeout)|(PRM\|1\|D)|(kpr)|(kdp)|(train st.+moving)|(\|lc)|(penalty))"</v>
      </c>
      <c r="AG133" s="1" t="str">
        <f t="shared" si="48"/>
        <v>EC</v>
      </c>
      <c r="AH133" s="81" t="str">
        <f t="shared" si="49"/>
        <v>"%USERPROFILE%\Documents\GitHub\eaglep3\Utilities\RefineRTDCRunTimes.py" --tripid 221-19 --locoid 4032 --swversion DE.1.0.9.0 --startMP 204:489 --initTime 2017-05-19T18:53:07 --startdatetime 2017-05-19T19:00:13 --delay 2 --endMP 204:233325 --enddatetime 2017-05-19T19:36:59 --enforcementcount 0 &gt;&gt;C:\Users\stu\Documents\GitHub\eaglep3-reporting\EC\2017-05-19-refined-times.txt</v>
      </c>
      <c r="AI133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{"issue":{"subject":"","project_id":79,"tracker_id":40,"status_id":1,"priority_id":2,"assigned_to_id":23,"start_date":"2017-05-19","description":"","custom_fields":[{"id":1,"name":"Subdivision","value":"EC"},{"id":4,"name":"Milepost","value":"23.3325"},{"id":17,"name":"Train ID","value":"221-19"},{"id":16,"name":"Locomotive ID","value":"4032"},{"id":130,"name":"Impact","value":""},{"id":150,"name":"Time of Event (Mountain Time)","value":"19:36:59"},{"id":151,"name":"Denver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51"/>
        <v>start /low /b %USERPROFILE%\Documents\GitHub\eaglep3\Utilities\DownloadLogsFromS3.py --loco 4032 --day 2017-05-19</v>
      </c>
      <c r="AN133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01:36:59"},{"id":29,"name":"Sharepoint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645</v>
      </c>
      <c r="B134" s="7">
        <v>4031</v>
      </c>
      <c r="C134" s="21" t="s">
        <v>206</v>
      </c>
      <c r="D134" s="21" t="s">
        <v>441</v>
      </c>
      <c r="E134" s="13">
        <v>42874.827615740738</v>
      </c>
      <c r="F134" s="13">
        <v>42874.830706018518</v>
      </c>
      <c r="G134" s="7">
        <v>1</v>
      </c>
      <c r="H134" s="21" t="s">
        <v>361</v>
      </c>
      <c r="I134" s="13">
        <v>42874.858553240738</v>
      </c>
      <c r="J134" s="7">
        <v>0</v>
      </c>
      <c r="K134" s="92" t="str">
        <f t="shared" si="35"/>
        <v>4031/4032</v>
      </c>
      <c r="L134" s="21" t="str">
        <f>VLOOKUP(A134,'Trips&amp;Operators'!$C$1:$G$99999,5,FALSE)</f>
        <v>BROWN JACOB</v>
      </c>
      <c r="M134" s="6">
        <f t="shared" si="36"/>
        <v>2.7847222219861578E-2</v>
      </c>
      <c r="N134" s="7">
        <f t="shared" si="54"/>
        <v>40.099999996600673</v>
      </c>
      <c r="O134" s="7"/>
      <c r="P134" s="7"/>
      <c r="Q134" s="22"/>
      <c r="R134" s="190"/>
      <c r="S134" s="196">
        <f t="shared" si="55"/>
        <v>1</v>
      </c>
      <c r="T134" s="190" t="str">
        <f t="shared" si="39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40"/>
        <v>https://d0f6bd738d7f1b3e5a7ca70fe4ff75f0.us-east-1.aws.found.io/app/kibana#/discover/Steve-Slow-Train-Analysis-(2080s-and-2083s)?_g=(refreshInterval:(display:Off,pause:!f,section:0,value:0),time:(from:'2017-05-19T18:51:46-0600',mode:absolute,to:'2017-05-19T21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4" s="192" t="str">
        <f t="shared" si="41"/>
        <v>N</v>
      </c>
      <c r="X134" s="192">
        <f t="shared" si="58"/>
        <v>1</v>
      </c>
      <c r="Y134" s="192">
        <f t="shared" si="56"/>
        <v>23.299600000000002</v>
      </c>
      <c r="Z134" s="192">
        <f t="shared" si="57"/>
        <v>1.5599999999999999E-2</v>
      </c>
      <c r="AA134" s="192">
        <f t="shared" si="44"/>
        <v>23.284000000000002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45"/>
        <v>0222-19</v>
      </c>
      <c r="AE134" s="80" t="str">
        <f t="shared" si="46"/>
        <v>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 &amp; aws s3 cp s3://rtdc.mdm.uploadarchive.raw/RTDC4031/ "%USERPROFILE%\AppData\Local\Temp\OnboardLogs"\RTDC4031\2017-05-20 --exclude "*" --recursive --include "*20170520*" &amp; "%USERPROFILE%\Documents\GitHub\mrs-test-scripts\Headless Mode &amp; Sideloading\WalkAndUnGZ.bat" "%USERPROFILE%\AppData\Local\Temp\OnboardLogs"\RTDC4031\2017-05-20</v>
      </c>
      <c r="AF134" s="77" t="str">
        <f t="shared" si="47"/>
        <v>"C:\Program Files (x86)\AstroGrep\AstroGrep.exe" /e /r /s /spath="%USERPROFILE%\AppData\Local\Temp\OnboardLogs" /stypes="app*4031*20170520*" /stext=" 02:.+((SYSTEM_STATE.+slice.+state.+changed )|(ment ac)|(multiple cpu faults)|(system.+state.+changed )|(\[timeout)|(PRM\|1\|D)|(kpr)|(kdp)|(train st.+moving)|(\|lc)|(penalty))"</v>
      </c>
      <c r="AG134" s="1" t="str">
        <f t="shared" si="48"/>
        <v>EC</v>
      </c>
      <c r="AH134" s="81" t="str">
        <f t="shared" si="49"/>
        <v>"%USERPROFILE%\Documents\GitHub\eaglep3\Utilities\RefineRTDCRunTimes.py" --tripid 222-19 --locoid 4031 --swversion DE.1.0.9.0 --startMP 204:232996 --initTime 2017-05-19T19:51:46 --startdatetime 2017-05-19T19:56:13 --delay 1 --endMP 204:156 --enddatetime 2017-05-19T20:36:19 --enforcementcount 0 &gt;&gt;C:\Users\stu\Documents\GitHub\eaglep3-reporting\EC\2017-05-19-refined-times.txt</v>
      </c>
      <c r="AI134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{"issue":{"subject":"","project_id":79,"tracker_id":40,"status_id":1,"priority_id":2,"assigned_to_id":23,"start_date":"2017-05-19","description":"","custom_fields":[{"id":1,"name":"Subdivision","value":"EC"},{"id":4,"name":"Milepost","value":"0.0156"},{"id":17,"name":"Train ID","value":"222-19"},{"id":16,"name":"Locomotive ID","value":"4031"},{"id":130,"name":"Impact","value":""},{"id":150,"name":"Time of Event (Mountain Time)","value":"20:36:19"},{"id":151,"name":"Denver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51"/>
        <v>start /low /b %USERPROFILE%\Documents\GitHub\eaglep3\Utilities\DownloadLogsFromS3.py --loco 4031 --day 2017-05-19</v>
      </c>
      <c r="AN134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02:36:19"},{"id":29,"name":"Sharepoint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824</v>
      </c>
      <c r="B135" s="7">
        <v>4040</v>
      </c>
      <c r="C135" s="21" t="s">
        <v>206</v>
      </c>
      <c r="D135" s="21" t="s">
        <v>481</v>
      </c>
      <c r="E135" s="13">
        <v>42874.810381944444</v>
      </c>
      <c r="F135" s="13">
        <v>42874.812708333331</v>
      </c>
      <c r="G135" s="7">
        <v>1</v>
      </c>
      <c r="H135" s="21" t="s">
        <v>559</v>
      </c>
      <c r="I135" s="13">
        <v>42874.837199074071</v>
      </c>
      <c r="J135" s="7">
        <v>0</v>
      </c>
      <c r="K135" s="92" t="str">
        <f t="shared" si="35"/>
        <v>4039/4040</v>
      </c>
      <c r="L135" s="21" t="str">
        <f>VLOOKUP(A135,'Trips&amp;Operators'!$C$1:$G$99999,5,FALSE)</f>
        <v>SAFIEF AEIMEN</v>
      </c>
      <c r="M135" s="6">
        <f t="shared" si="36"/>
        <v>2.4490740739565808E-2</v>
      </c>
      <c r="N135" s="7">
        <f t="shared" si="54"/>
        <v>35.266666664974764</v>
      </c>
      <c r="O135" s="7"/>
      <c r="P135" s="7"/>
      <c r="Q135" s="22"/>
      <c r="R135" s="190"/>
      <c r="S135" s="196">
        <f t="shared" si="55"/>
        <v>1</v>
      </c>
      <c r="T135" s="190" t="str">
        <f t="shared" si="39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40"/>
        <v>https://d0f6bd738d7f1b3e5a7ca70fe4ff75f0.us-east-1.aws.found.io/app/kibana#/discover/Steve-Slow-Train-Analysis-(2080s-and-2083s)?_g=(refreshInterval:(display:Off,pause:!f,section:0,value:0),time:(from:'2017-05-19T18:26:57-0600',mode:absolute,to:'2017-05-19T21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5" s="192" t="str">
        <f t="shared" si="41"/>
        <v>N</v>
      </c>
      <c r="X135" s="192">
        <f t="shared" si="58"/>
        <v>1</v>
      </c>
      <c r="Y135" s="192">
        <f t="shared" si="56"/>
        <v>4.4200000000000003E-2</v>
      </c>
      <c r="Z135" s="192">
        <f t="shared" si="57"/>
        <v>23.331800000000001</v>
      </c>
      <c r="AA135" s="192">
        <f t="shared" si="44"/>
        <v>23.287600000000001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45"/>
        <v>0223-19</v>
      </c>
      <c r="AE135" s="80" t="str">
        <f t="shared" si="46"/>
        <v>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 &amp; aws s3 cp s3://rtdc.mdm.uploadarchive.raw/RTDC4040/ "%USERPROFILE%\AppData\Local\Temp\OnboardLogs"\RTDC4040\2017-05-20 --exclude "*" --recursive --include "*20170520*" &amp; "%USERPROFILE%\Documents\GitHub\mrs-test-scripts\Headless Mode &amp; Sideloading\WalkAndUnGZ.bat" "%USERPROFILE%\AppData\Local\Temp\OnboardLogs"\RTDC4040\2017-05-20</v>
      </c>
      <c r="AF135" s="77" t="str">
        <f t="shared" si="47"/>
        <v>"C:\Program Files (x86)\AstroGrep\AstroGrep.exe" /e /r /s /spath="%USERPROFILE%\AppData\Local\Temp\OnboardLogs" /stypes="app*4040*20170520*" /stext=" 02:.+((SYSTEM_STATE.+slice.+state.+changed )|(ment ac)|(multiple cpu faults)|(system.+state.+changed )|(\[timeout)|(PRM\|1\|D)|(kpr)|(kdp)|(train st.+moving)|(\|lc)|(penalty))"</v>
      </c>
      <c r="AG135" s="1" t="str">
        <f t="shared" si="48"/>
        <v>EC</v>
      </c>
      <c r="AH135" s="81" t="str">
        <f t="shared" si="49"/>
        <v>"%USERPROFILE%\Documents\GitHub\eaglep3\Utilities\RefineRTDCRunTimes.py" --tripid 223-19 --locoid 4040 --swversion DE.1.0.9.0 --startMP 204:442 --initTime 2017-05-19T19:26:57 --startdatetime 2017-05-19T19:30:18 --delay 1 --endMP 204:233318 --enddatetime 2017-05-19T20:05:34 --enforcementcount 0 &gt;&gt;C:\Users\stu\Documents\GitHub\eaglep3-reporting\EC\2017-05-19-refined-times.txt</v>
      </c>
      <c r="AI135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{"issue":{"subject":"","project_id":79,"tracker_id":40,"status_id":1,"priority_id":2,"assigned_to_id":23,"start_date":"2017-05-19","description":"","custom_fields":[{"id":1,"name":"Subdivision","value":"EC"},{"id":4,"name":"Milepost","value":"23.3318"},{"id":17,"name":"Train ID","value":"223-19"},{"id":16,"name":"Locomotive ID","value":"4040"},{"id":130,"name":"Impact","value":""},{"id":150,"name":"Time of Event (Mountain Time)","value":"20:05:34"},{"id":151,"name":"Denver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51"/>
        <v>start /low /b %USERPROFILE%\Documents\GitHub\eaglep3\Utilities\DownloadLogsFromS3.py --loco 4040 --day 2017-05-19</v>
      </c>
      <c r="AN135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02:05:34"},{"id":29,"name":"Sharepoint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832</v>
      </c>
      <c r="B136" s="7">
        <v>4039</v>
      </c>
      <c r="C136" s="21" t="s">
        <v>206</v>
      </c>
      <c r="D136" s="21" t="s">
        <v>576</v>
      </c>
      <c r="E136" s="13">
        <v>42874.840601851851</v>
      </c>
      <c r="F136" s="13">
        <v>42874.851736111108</v>
      </c>
      <c r="G136" s="7">
        <v>1</v>
      </c>
      <c r="H136" s="21" t="s">
        <v>352</v>
      </c>
      <c r="I136" s="13">
        <v>42874.878437500003</v>
      </c>
      <c r="J136" s="7">
        <v>0</v>
      </c>
      <c r="K136" s="92" t="str">
        <f t="shared" si="35"/>
        <v>4039/4040</v>
      </c>
      <c r="L136" s="21" t="str">
        <f>VLOOKUP(A136,'Trips&amp;Operators'!$C$1:$G$99999,5,FALSE)</f>
        <v>SAFIEF AEIMEN</v>
      </c>
      <c r="M136" s="6">
        <f t="shared" si="36"/>
        <v>2.6701388895162381E-2</v>
      </c>
      <c r="N136" s="7">
        <f t="shared" si="54"/>
        <v>38.450000009033829</v>
      </c>
      <c r="O136" s="7"/>
      <c r="P136" s="7"/>
      <c r="Q136" s="22"/>
      <c r="R136" s="190"/>
      <c r="S136" s="196">
        <f t="shared" si="55"/>
        <v>1</v>
      </c>
      <c r="T136" s="190" t="str">
        <f t="shared" si="39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40"/>
        <v>https://d0f6bd738d7f1b3e5a7ca70fe4ff75f0.us-east-1.aws.found.io/app/kibana#/discover/Steve-Slow-Train-Analysis-(2080s-and-2083s)?_g=(refreshInterval:(display:Off,pause:!f,section:0,value:0),time:(from:'2017-05-19T19:10:28-0600',mode:absolute,to:'2017-05-19T22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6" s="192" t="str">
        <f t="shared" si="41"/>
        <v>N</v>
      </c>
      <c r="X136" s="192">
        <f t="shared" si="58"/>
        <v>1</v>
      </c>
      <c r="Y136" s="192">
        <f t="shared" si="56"/>
        <v>23.3001</v>
      </c>
      <c r="Z136" s="192">
        <f t="shared" si="57"/>
        <v>1.4500000000000001E-2</v>
      </c>
      <c r="AA136" s="192">
        <f t="shared" si="44"/>
        <v>23.285599999999999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45"/>
        <v>0224-19</v>
      </c>
      <c r="AE136" s="80" t="str">
        <f t="shared" si="46"/>
        <v>aws s3 cp s3://rtdc.mdm.uploadarchive.raw/RTDC4039/ "%USERPROFILE%\AppData\Local\Temp\OnboardLogs"\RTDC4039\2017-05-19 --exclude "*" --recursive --include "*20170519*" &amp; "%USERPROFILE%\Documents\GitHub\mrs-test-scripts\Headless Mode &amp; Sideloading\WalkAndUnGZ.bat" "%USERPROFILE%\AppData\Local\Temp\OnboardLogs"\RTDC4039\2017-05-19 &amp; aws s3 cp s3://rtdc.mdm.uploadarchive.raw/RTDC4039/ "%USERPROFILE%\AppData\Local\Temp\OnboardLogs"\RTDC4039\2017-05-20 --exclude "*" --recursive --include "*20170520*" &amp; "%USERPROFILE%\Documents\GitHub\mrs-test-scripts\Headless Mode &amp; Sideloading\WalkAndUnGZ.bat" "%USERPROFILE%\AppData\Local\Temp\OnboardLogs"\RTDC4039\2017-05-20</v>
      </c>
      <c r="AF136" s="77" t="str">
        <f t="shared" si="47"/>
        <v>"C:\Program Files (x86)\AstroGrep\AstroGrep.exe" /e /r /s /spath="%USERPROFILE%\AppData\Local\Temp\OnboardLogs" /stypes="app*4039*20170520*" /stext=" 03:.+((SYSTEM_STATE.+slice.+state.+changed )|(ment ac)|(multiple cpu faults)|(system.+state.+changed )|(\[timeout)|(PRM\|1\|D)|(kpr)|(kdp)|(train st.+moving)|(\|lc)|(penalty))"</v>
      </c>
      <c r="AG136" s="1" t="str">
        <f t="shared" si="48"/>
        <v>EC</v>
      </c>
      <c r="AH136" s="81" t="str">
        <f t="shared" si="49"/>
        <v>"%USERPROFILE%\Documents\GitHub\eaglep3\Utilities\RefineRTDCRunTimes.py" --tripid 224-19 --locoid 4039 --swversion DE.1.0.9.0 --startMP 204:233001 --initTime 2017-05-19T20:10:28 --startdatetime 2017-05-19T20:26:30 --delay 1 --endMP 204:145 --enddatetime 2017-05-19T21:04:57 --enforcementcount 0 &gt;&gt;C:\Users\stu\Documents\GitHub\eaglep3-reporting\EC\2017-05-19-refined-times.txt</v>
      </c>
      <c r="AI136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{"issue":{"subject":"","project_id":79,"tracker_id":40,"status_id":1,"priority_id":2,"assigned_to_id":23,"start_date":"2017-05-19","description":"","custom_fields":[{"id":1,"name":"Subdivision","value":"EC"},{"id":4,"name":"Milepost","value":"0.0145"},{"id":17,"name":"Train ID","value":"224-19"},{"id":16,"name":"Locomotive ID","value":"4039"},{"id":130,"name":"Impact","value":""},{"id":150,"name":"Time of Event (Mountain Time)","value":"21:04:57"},{"id":151,"name":"Denver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51"/>
        <v>start /low /b %USERPROFILE%\Documents\GitHub\eaglep3\Utilities\DownloadLogsFromS3.py --loco 4039 --day 2017-05-19</v>
      </c>
      <c r="AN136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03:04:57"},{"id":29,"name":"Sharepoint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828</v>
      </c>
      <c r="B137" s="7">
        <v>4018</v>
      </c>
      <c r="C137" s="21" t="s">
        <v>206</v>
      </c>
      <c r="D137" s="21" t="s">
        <v>933</v>
      </c>
      <c r="E137" s="13">
        <v>42874.828865740739</v>
      </c>
      <c r="F137" s="13">
        <v>42874.83357638889</v>
      </c>
      <c r="G137" s="7">
        <v>2</v>
      </c>
      <c r="H137" s="21" t="s">
        <v>934</v>
      </c>
      <c r="I137" s="13">
        <v>42874.858530092592</v>
      </c>
      <c r="J137" s="7">
        <v>0</v>
      </c>
      <c r="K137" s="92" t="str">
        <f t="shared" si="35"/>
        <v>4017/4018</v>
      </c>
      <c r="L137" s="21" t="str">
        <f>VLOOKUP(A137,'Trips&amp;Operators'!$C$1:$G$99999,5,FALSE)</f>
        <v>LAMAR NEKESHA</v>
      </c>
      <c r="M137" s="6">
        <f t="shared" si="36"/>
        <v>2.495370370161254E-2</v>
      </c>
      <c r="N137" s="7">
        <f t="shared" si="54"/>
        <v>35.933333330322057</v>
      </c>
      <c r="O137" s="7"/>
      <c r="P137" s="7"/>
      <c r="Q137" s="22"/>
      <c r="R137" s="190"/>
      <c r="S137" s="196">
        <f t="shared" si="55"/>
        <v>1</v>
      </c>
      <c r="T137" s="190" t="str">
        <f t="shared" si="39"/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40"/>
        <v>https://d0f6bd738d7f1b3e5a7ca70fe4ff75f0.us-east-1.aws.found.io/app/kibana#/discover/Steve-Slow-Train-Analysis-(2080s-and-2083s)?_g=(refreshInterval:(display:Off,pause:!f,section:0,value:0),time:(from:'2017-05-19T18:53:34-0600',mode:absolute,to:'2017-05-19T21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7" s="192" t="str">
        <f t="shared" si="41"/>
        <v>N</v>
      </c>
      <c r="X137" s="192">
        <f t="shared" si="58"/>
        <v>1</v>
      </c>
      <c r="Y137" s="192">
        <f t="shared" si="56"/>
        <v>4.3299999999999998E-2</v>
      </c>
      <c r="Z137" s="192">
        <f t="shared" si="57"/>
        <v>23.332899999999999</v>
      </c>
      <c r="AA137" s="192">
        <f t="shared" si="44"/>
        <v>23.2896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45"/>
        <v>0225-19</v>
      </c>
      <c r="AE137" s="80" t="str">
        <f t="shared" si="46"/>
        <v>aws s3 cp s3://rtdc.mdm.uploadarchive.raw/RTDC4018/ "%USERPROFILE%\AppData\Local\Temp\OnboardLogs"\RTDC4018\2017-05-19 --exclude "*" --recursive --include "*20170519*" &amp; "%USERPROFILE%\Documents\GitHub\mrs-test-scripts\Headless Mode &amp; Sideloading\WalkAndUnGZ.bat" "%USERPROFILE%\AppData\Local\Temp\OnboardLogs"\RTDC4018\2017-05-19 &amp; 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</v>
      </c>
      <c r="AF137" s="77" t="str">
        <f t="shared" si="47"/>
        <v>"C:\Program Files (x86)\AstroGrep\AstroGrep.exe" /e /r /s /spath="%USERPROFILE%\AppData\Local\Temp\OnboardLogs" /stypes="app*4018*20170520*" /stext=" 02:.+((SYSTEM_STATE.+slice.+state.+changed )|(ment ac)|(multiple cpu faults)|(system.+state.+changed )|(\[timeout)|(PRM\|1\|D)|(kpr)|(kdp)|(train st.+moving)|(\|lc)|(penalty))"</v>
      </c>
      <c r="AG137" s="1" t="str">
        <f t="shared" si="48"/>
        <v>EC</v>
      </c>
      <c r="AH137" s="81" t="str">
        <f t="shared" si="49"/>
        <v>"%USERPROFILE%\Documents\GitHub\eaglep3\Utilities\RefineRTDCRunTimes.py" --tripid 225-19 --locoid 4018 --swversion DE.1.0.9.0 --startMP 204:433 --initTime 2017-05-19T19:53:34 --startdatetime 2017-05-19T20:00:21 --delay 2 --endMP 204:233329 --enddatetime 2017-05-19T20:36:17 --enforcementcount 0 &gt;&gt;C:\Users\stu\Documents\GitHub\eaglep3-reporting\EC\2017-05-19-refined-times.txt</v>
      </c>
      <c r="AI137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{"issue":{"subject":"","project_id":79,"tracker_id":40,"status_id":1,"priority_id":2,"assigned_to_id":23,"start_date":"2017-05-19","description":"","custom_fields":[{"id":1,"name":"Subdivision","value":"EC"},{"id":4,"name":"Milepost","value":"23.3329"},{"id":17,"name":"Train ID","value":"225-19"},{"id":16,"name":"Locomotive ID","value":"4018"},{"id":130,"name":"Impact","value":""},{"id":150,"name":"Time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51"/>
        <v>start /low /b %USERPROFILE%\Documents\GitHub\eaglep3\Utilities\DownloadLogsFromS3.py --loco 4018 --day 2017-05-19</v>
      </c>
      <c r="AN137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02:36:17"},{"id":29,"name":"Sharepoint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836</v>
      </c>
      <c r="B138" s="7">
        <v>4017</v>
      </c>
      <c r="C138" s="21" t="s">
        <v>206</v>
      </c>
      <c r="D138" s="21" t="s">
        <v>509</v>
      </c>
      <c r="E138" s="13">
        <v>42874.866365740738</v>
      </c>
      <c r="F138" s="13">
        <v>42874.872604166667</v>
      </c>
      <c r="G138" s="7">
        <v>1</v>
      </c>
      <c r="H138" s="21" t="s">
        <v>935</v>
      </c>
      <c r="I138" s="13">
        <v>42874.900208333333</v>
      </c>
      <c r="J138" s="7">
        <v>0</v>
      </c>
      <c r="K138" s="92" t="str">
        <f t="shared" si="35"/>
        <v>4017/4018</v>
      </c>
      <c r="L138" s="21" t="str">
        <f>VLOOKUP(A138,'Trips&amp;Operators'!$C$1:$G$99999,5,FALSE)</f>
        <v>LAMAR NEKESHA</v>
      </c>
      <c r="M138" s="6">
        <f t="shared" si="36"/>
        <v>2.7604166665696539E-2</v>
      </c>
      <c r="N138" s="7">
        <f t="shared" si="54"/>
        <v>39.749999998603016</v>
      </c>
      <c r="O138" s="7"/>
      <c r="P138" s="7"/>
      <c r="Q138" s="22"/>
      <c r="R138" s="190"/>
      <c r="S138" s="196">
        <f t="shared" si="55"/>
        <v>1</v>
      </c>
      <c r="T138" s="190" t="str">
        <f t="shared" si="39"/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40"/>
        <v>https://d0f6bd738d7f1b3e5a7ca70fe4ff75f0.us-east-1.aws.found.io/app/kibana#/discover/Steve-Slow-Train-Analysis-(2080s-and-2083s)?_g=(refreshInterval:(display:Off,pause:!f,section:0,value:0),time:(from:'2017-05-19T19:47:34-0600',mode:absolute,to:'2017-05-19T22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8" s="192" t="str">
        <f t="shared" si="41"/>
        <v>N</v>
      </c>
      <c r="X138" s="192">
        <f t="shared" ref="X138:X145" si="59">VALUE(LEFT(AD138,4))-VALUE(LEFT(AD137,4))</f>
        <v>1</v>
      </c>
      <c r="Y138" s="192">
        <f t="shared" si="56"/>
        <v>23.302499999999998</v>
      </c>
      <c r="Z138" s="192">
        <f t="shared" si="57"/>
        <v>1.14E-2</v>
      </c>
      <c r="AA138" s="192">
        <f t="shared" si="44"/>
        <v>23.2911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45"/>
        <v>0226-19</v>
      </c>
      <c r="AE138" s="80" t="str">
        <f t="shared" si="46"/>
        <v>aws s3 cp s3://rtdc.mdm.uploadarchive.raw/RTDC4017/ "%USERPROFILE%\AppData\Local\Temp\OnboardLogs"\RTDC4017\2017-05-19 --exclude "*" --recursive --include "*20170519*" &amp; "%USERPROFILE%\Documents\GitHub\mrs-test-scripts\Headless Mode &amp; Sideloading\WalkAndUnGZ.bat" "%USERPROFILE%\AppData\Local\Temp\OnboardLogs"\RTDC4017\2017-05-19 &amp; 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</v>
      </c>
      <c r="AF138" s="77" t="str">
        <f t="shared" si="47"/>
        <v>"C:\Program Files (x86)\AstroGrep\AstroGrep.exe" /e /r /s /spath="%USERPROFILE%\AppData\Local\Temp\OnboardLogs" /stypes="app*4017*20170520*" /stext=" 03:.+((SYSTEM_STATE.+slice.+state.+changed )|(ment ac)|(multiple cpu faults)|(system.+state.+changed )|(\[timeout)|(PRM\|1\|D)|(kpr)|(kdp)|(train st.+moving)|(\|lc)|(penalty))"</v>
      </c>
      <c r="AG138" s="1" t="str">
        <f t="shared" si="48"/>
        <v>EC</v>
      </c>
      <c r="AH138" s="81" t="str">
        <f t="shared" si="49"/>
        <v>"%USERPROFILE%\Documents\GitHub\eaglep3\Utilities\RefineRTDCRunTimes.py" --tripid 226-19 --locoid 4017 --swversion DE.1.0.9.0 --startMP 204:233025 --initTime 2017-05-19T20:47:34 --startdatetime 2017-05-19T20:56:33 --delay 1 --endMP 204:114 --enddatetime 2017-05-19T21:36:18 --enforcementcount 0 &gt;&gt;C:\Users\stu\Documents\GitHub\eaglep3-reporting\EC\2017-05-19-refined-times.txt</v>
      </c>
      <c r="AI138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{"issue":{"subject":"","project_id":79,"tracker_id":40,"status_id":1,"priority_id":2,"assigned_to_id":23,"start_date":"2017-05-19","description":"","custom_fields":[{"id":1,"name":"Subdivision","value":"EC"},{"id":4,"name":"Milepost","value":"0.0114"},{"id":17,"name":"Train ID","value":"226-19"},{"id":16,"name":"Locomotive ID","value":"4017"},{"id":130,"name":"Impact","value":""},{"id":150,"name":"Time of Event (Mountain Time)","value":"21:36:18"},{"id":151,"name":"Denver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51"/>
        <v>start /low /b %USERPROFILE%\Documents\GitHub\eaglep3\Utilities\DownloadLogsFromS3.py --loco 4017 --day 2017-05-19</v>
      </c>
      <c r="AN138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03:36:18"},{"id":29,"name":"Sharepoint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833</v>
      </c>
      <c r="B139" s="7">
        <v>4016</v>
      </c>
      <c r="C139" s="21" t="s">
        <v>206</v>
      </c>
      <c r="D139" s="21" t="s">
        <v>202</v>
      </c>
      <c r="E139" s="13">
        <v>42874.848611111112</v>
      </c>
      <c r="F139" s="13">
        <v>42874.854525462964</v>
      </c>
      <c r="G139" s="7">
        <v>1</v>
      </c>
      <c r="H139" s="21" t="s">
        <v>557</v>
      </c>
      <c r="I139" s="13">
        <v>42874.880729166667</v>
      </c>
      <c r="J139" s="7">
        <v>0</v>
      </c>
      <c r="K139" s="92" t="str">
        <f t="shared" si="35"/>
        <v>4015/4016</v>
      </c>
      <c r="L139" s="21" t="str">
        <f>VLOOKUP(A139,'Trips&amp;Operators'!$C$1:$G$99999,5,FALSE)</f>
        <v>SWANSON BRYCE</v>
      </c>
      <c r="M139" s="6">
        <f t="shared" si="36"/>
        <v>2.6203703702776693E-2</v>
      </c>
      <c r="N139" s="7">
        <f t="shared" si="54"/>
        <v>37.733333331998438</v>
      </c>
      <c r="O139" s="7"/>
      <c r="P139" s="7"/>
      <c r="Q139" s="22"/>
      <c r="R139" s="190"/>
      <c r="S139" s="196">
        <f t="shared" si="55"/>
        <v>1</v>
      </c>
      <c r="T139" s="190" t="str">
        <f t="shared" si="39"/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40"/>
        <v>https://d0f6bd738d7f1b3e5a7ca70fe4ff75f0.us-east-1.aws.found.io/app/kibana#/discover/Steve-Slow-Train-Analysis-(2080s-and-2083s)?_g=(refreshInterval:(display:Off,pause:!f,section:0,value:0),time:(from:'2017-05-19T19:22:00-0600',mode:absolute,to:'2017-05-19T22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9" s="192" t="str">
        <f t="shared" si="41"/>
        <v>N</v>
      </c>
      <c r="X139" s="192">
        <f t="shared" si="59"/>
        <v>1</v>
      </c>
      <c r="Y139" s="192">
        <f t="shared" si="56"/>
        <v>4.5699999999999998E-2</v>
      </c>
      <c r="Z139" s="192">
        <f t="shared" si="57"/>
        <v>23.328800000000001</v>
      </c>
      <c r="AA139" s="192">
        <f t="shared" si="44"/>
        <v>23.283100000000001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45"/>
        <v>0227-19</v>
      </c>
      <c r="AE139" s="80" t="str">
        <f t="shared" si="46"/>
        <v>aws s3 cp s3://rtdc.mdm.uploadarchive.raw/RTDC4016/ "%USERPROFILE%\AppData\Local\Temp\OnboardLogs"\RTDC4016\2017-05-19 --exclude "*" --recursive --include "*20170519*" &amp; "%USERPROFILE%\Documents\GitHub\mrs-test-scripts\Headless Mode &amp; Sideloading\WalkAndUnGZ.bat" "%USERPROFILE%\AppData\Local\Temp\OnboardLogs"\RTDC4016\2017-05-19 &amp; aws s3 cp s3://rtdc.mdm.uploadarchive.raw/RTDC4016/ "%USERPROFILE%\AppData\Local\Temp\OnboardLogs"\RTDC4016\2017-05-20 --exclude "*" --recursive --include "*20170520*" &amp; "%USERPROFILE%\Documents\GitHub\mrs-test-scripts\Headless Mode &amp; Sideloading\WalkAndUnGZ.bat" "%USERPROFILE%\AppData\Local\Temp\OnboardLogs"\RTDC4016\2017-05-20</v>
      </c>
      <c r="AF139" s="77" t="str">
        <f t="shared" si="47"/>
        <v>"C:\Program Files (x86)\AstroGrep\AstroGrep.exe" /e /r /s /spath="%USERPROFILE%\AppData\Local\Temp\OnboardLogs" /stypes="app*4016*20170520*" /stext=" 03:.+((SYSTEM_STATE.+slice.+state.+changed )|(ment ac)|(multiple cpu faults)|(system.+state.+changed )|(\[timeout)|(PRM\|1\|D)|(kpr)|(kdp)|(train st.+moving)|(\|lc)|(penalty))"</v>
      </c>
      <c r="AG139" s="1" t="str">
        <f t="shared" si="48"/>
        <v>EC</v>
      </c>
      <c r="AH139" s="81" t="str">
        <f t="shared" si="49"/>
        <v>"%USERPROFILE%\Documents\GitHub\eaglep3\Utilities\RefineRTDCRunTimes.py" --tripid 227-19 --locoid 4016 --swversion DE.1.0.9.0 --startMP 204:457 --initTime 2017-05-19T20:22:00 --startdatetime 2017-05-19T20:30:31 --delay 1 --endMP 204:233288 --enddatetime 2017-05-19T21:08:15 --enforcementcount 0 &gt;&gt;C:\Users\stu\Documents\GitHub\eaglep3-reporting\EC\2017-05-19-refined-times.txt</v>
      </c>
      <c r="AI139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{"issue":{"subject":"","project_id":79,"tracker_id":40,"status_id":1,"priority_id":2,"assigned_to_id":23,"start_date":"2017-05-19","description":"","custom_fields":[{"id":1,"name":"Subdivision","value":"EC"},{"id":4,"name":"Milepost","value":"23.3288"},{"id":17,"name":"Train ID","value":"227-19"},{"id":16,"name":"Locomotive ID","value":"4016"},{"id":130,"name":"Impact","value":""},{"id":150,"name":"Time of Event (Mountain Time)","value":"21:08:15"},{"id":151,"name":"Denver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51"/>
        <v>start /low /b %USERPROFILE%\Documents\GitHub\eaglep3\Utilities\DownloadLogsFromS3.py --loco 4016 --day 2017-05-19</v>
      </c>
      <c r="AN139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03:08:15"},{"id":29,"name":"Sharepoint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839</v>
      </c>
      <c r="B140" s="7">
        <v>4015</v>
      </c>
      <c r="C140" s="21" t="s">
        <v>206</v>
      </c>
      <c r="D140" s="21" t="s">
        <v>423</v>
      </c>
      <c r="E140" s="13">
        <v>42874.88826388889</v>
      </c>
      <c r="F140" s="13">
        <v>42874.893368055556</v>
      </c>
      <c r="G140" s="7">
        <v>2</v>
      </c>
      <c r="H140" s="21" t="s">
        <v>356</v>
      </c>
      <c r="I140" s="13">
        <v>42874.92287037037</v>
      </c>
      <c r="J140" s="7">
        <v>0</v>
      </c>
      <c r="K140" s="92" t="str">
        <f t="shared" si="35"/>
        <v>4015/4016</v>
      </c>
      <c r="L140" s="21" t="str">
        <f>VLOOKUP(A140,'Trips&amp;Operators'!$C$1:$G$99999,5,FALSE)</f>
        <v>THOMPSON LESTER</v>
      </c>
      <c r="M140" s="6">
        <f t="shared" si="36"/>
        <v>2.9502314813726116E-2</v>
      </c>
      <c r="N140" s="7">
        <f t="shared" si="54"/>
        <v>42.483333331765607</v>
      </c>
      <c r="O140" s="7"/>
      <c r="P140" s="7"/>
      <c r="Q140" s="22"/>
      <c r="R140" s="190"/>
      <c r="S140" s="196">
        <f t="shared" si="55"/>
        <v>1</v>
      </c>
      <c r="T140" s="190" t="str">
        <f t="shared" si="39"/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40"/>
        <v>https://d0f6bd738d7f1b3e5a7ca70fe4ff75f0.us-east-1.aws.found.io/app/kibana#/discover/Steve-Slow-Train-Analysis-(2080s-and-2083s)?_g=(refreshInterval:(display:Off,pause:!f,section:0,value:0),time:(from:'2017-05-19T20:19:06-0600',mode:absolute,to:'2017-05-19T23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0" s="192" t="str">
        <f t="shared" si="41"/>
        <v>N</v>
      </c>
      <c r="X140" s="192">
        <f t="shared" si="59"/>
        <v>1</v>
      </c>
      <c r="Y140" s="192">
        <f t="shared" si="56"/>
        <v>23.297499999999999</v>
      </c>
      <c r="Z140" s="192">
        <f t="shared" si="57"/>
        <v>1.49E-2</v>
      </c>
      <c r="AA140" s="192">
        <f t="shared" si="44"/>
        <v>23.282599999999999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45"/>
        <v>0228-19</v>
      </c>
      <c r="AE140" s="80" t="str">
        <f t="shared" si="46"/>
        <v>aws s3 cp s3://rtdc.mdm.uploadarchive.raw/RTDC4015/ "%USERPROFILE%\AppData\Local\Temp\OnboardLogs"\RTDC4015\2017-05-19 --exclude "*" --recursive --include "*20170519*" &amp; "%USERPROFILE%\Documents\GitHub\mrs-test-scripts\Headless Mode &amp; Sideloading\WalkAndUnGZ.bat" "%USERPROFILE%\AppData\Local\Temp\OnboardLogs"\RTDC4015\2017-05-19 &amp; aws s3 cp s3://rtdc.mdm.uploadarchive.raw/RTDC4015/ "%USERPROFILE%\AppData\Local\Temp\OnboardLogs"\RTDC4015\2017-05-20 --exclude "*" --recursive --include "*20170520*" &amp; "%USERPROFILE%\Documents\GitHub\mrs-test-scripts\Headless Mode &amp; Sideloading\WalkAndUnGZ.bat" "%USERPROFILE%\AppData\Local\Temp\OnboardLogs"\RTDC4015\2017-05-20</v>
      </c>
      <c r="AF140" s="77" t="str">
        <f t="shared" si="47"/>
        <v>"C:\Program Files (x86)\AstroGrep\AstroGrep.exe" /e /r /s /spath="%USERPROFILE%\AppData\Local\Temp\OnboardLogs" /stypes="app*4015*20170520*" /stext=" 04:.+((SYSTEM_STATE.+slice.+state.+changed )|(ment ac)|(multiple cpu faults)|(system.+state.+changed )|(\[timeout)|(PRM\|1\|D)|(kpr)|(kdp)|(train st.+moving)|(\|lc)|(penalty))"</v>
      </c>
      <c r="AG140" s="1" t="str">
        <f t="shared" si="48"/>
        <v>EC</v>
      </c>
      <c r="AH140" s="81" t="str">
        <f t="shared" si="49"/>
        <v>"%USERPROFILE%\Documents\GitHub\eaglep3\Utilities\RefineRTDCRunTimes.py" --tripid 228-19 --locoid 4015 --swversion DE.1.0.9.0 --startMP 204:232975 --initTime 2017-05-19T21:19:06 --startdatetime 2017-05-19T21:26:27 --delay 2 --endMP 204:149 --enddatetime 2017-05-19T22:08:56 --enforcementcount 0 &gt;&gt;C:\Users\stu\Documents\GitHub\eaglep3-reporting\EC\2017-05-19-refined-times.txt</v>
      </c>
      <c r="AI140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{"issue":{"subject":"","project_id":79,"tracker_id":40,"status_id":1,"priority_id":2,"assigned_to_id":23,"start_date":"2017-05-19","description":"","custom_fields":[{"id":1,"name":"Subdivision","value":"EC"},{"id":4,"name":"Milepost","value":"0.0149"},{"id":17,"name":"Train ID","value":"228-19"},{"id":16,"name":"Locomotive ID","value":"4015"},{"id":130,"name":"Impact","value":""},{"id":150,"name":"Time of Event (Mountain Time)","value":"22:08:56"},{"id":151,"name":"Denver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51"/>
        <v>start /low /b %USERPROFILE%\Documents\GitHub\eaglep3\Utilities\DownloadLogsFromS3.py --loco 4015 --day 2017-05-19</v>
      </c>
      <c r="AN140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04:08:56"},{"id":29,"name":"Sharepoint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646</v>
      </c>
      <c r="B141" s="7">
        <v>4032</v>
      </c>
      <c r="C141" s="21" t="s">
        <v>206</v>
      </c>
      <c r="D141" s="21" t="s">
        <v>357</v>
      </c>
      <c r="E141" s="13">
        <v>42874.871446759258</v>
      </c>
      <c r="F141" s="13">
        <v>42874.875185185185</v>
      </c>
      <c r="G141" s="7">
        <v>1</v>
      </c>
      <c r="H141" s="21" t="s">
        <v>439</v>
      </c>
      <c r="I141" s="13">
        <v>42874.901736111111</v>
      </c>
      <c r="J141" s="7">
        <v>0</v>
      </c>
      <c r="K141" s="92" t="str">
        <f t="shared" ref="K141:K204" si="60">IF(ISEVEN(B141),(B141-1)&amp;"/"&amp;B141,B141&amp;"/"&amp;(B141+1))</f>
        <v>4031/4032</v>
      </c>
      <c r="L141" s="21" t="str">
        <f>VLOOKUP(A141,'Trips&amp;Operators'!$C$1:$G$99999,5,FALSE)</f>
        <v>BROWN JACOB</v>
      </c>
      <c r="M141" s="6">
        <f t="shared" ref="M141:M204" si="61">I141-F141</f>
        <v>2.6550925926130731E-2</v>
      </c>
      <c r="N141" s="7">
        <f t="shared" ref="N141:N165" si="62">24*60*SUM($M141:$M141)</f>
        <v>38.233333333628252</v>
      </c>
      <c r="O141" s="7"/>
      <c r="P141" s="7"/>
      <c r="Q141" s="22"/>
      <c r="R141" s="190"/>
      <c r="S141" s="196">
        <f t="shared" ref="S141:S165" si="63">SUM(U141:U141)/IF(AG141="EC",12,1)</f>
        <v>1</v>
      </c>
      <c r="T141" s="190" t="str">
        <f t="shared" ref="T141:T204" si="64"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-19T19:54:53-0600',mode:absolute,to:'2017-05-19T22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1" s="192" t="str">
        <f t="shared" ref="W141:W204" si="66">IF(AA141&lt;IF(AG141="EC",23,5.65),"Y","N")</f>
        <v>N</v>
      </c>
      <c r="X141" s="192">
        <f t="shared" si="59"/>
        <v>1</v>
      </c>
      <c r="Y141" s="192">
        <f t="shared" ref="Y141:Y155" si="67">RIGHT(D141,LEN(D141)-4)/10000</f>
        <v>4.6600000000000003E-2</v>
      </c>
      <c r="Z141" s="192">
        <f t="shared" ref="Z141:Z155" si="68">RIGHT(H141,LEN(H141)-4)/10000</f>
        <v>23.330300000000001</v>
      </c>
      <c r="AA141" s="192">
        <f t="shared" ref="AA141:AA204" si="69">ABS(Z141-Y141)</f>
        <v>23.2837</v>
      </c>
      <c r="AB141" s="57" t="str">
        <f>VLOOKUP(A141,Enforcements!$C$7:$K$13,8,0)</f>
        <v>Bulletin (2)</v>
      </c>
      <c r="AC141" s="53" t="str">
        <f>VLOOKUP(A141,Enforcements!$C$7:$E$13,3,0)</f>
        <v>GRADE CROSSING</v>
      </c>
      <c r="AD141" s="54" t="str">
        <f t="shared" ref="AD141:AD204" si="70">IF(LEN(A141)=6,"0"&amp;A141,A141)</f>
        <v>0229-19</v>
      </c>
      <c r="AE141" s="80" t="str">
        <f t="shared" ref="AE141:AE204" si="7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 &amp; 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</v>
      </c>
      <c r="AF141" s="77" t="str">
        <f t="shared" ref="AF141:AF204" si="72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/stypes="app*4032*20170520*"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73">IFERROR(IF(VALUE(LEFT(AD141,2))&lt;=2,"EC",IF(OR(VALUE(LEFT(AD141,2))=8,VALUE(LEFT(AD141,2))=18),"NW","Other")),"Other")</f>
        <v>EC</v>
      </c>
      <c r="AH141" s="81" t="str">
        <f t="shared" si="49"/>
        <v>"%USERPROFILE%\Documents\GitHub\eaglep3\Utilities\RefineRTDCRunTimes.py" --tripid 229-19 --locoid 4032 --swversion DE.1.0.9.0 --startMP 204:466 --initTime 2017-05-19T20:54:53 --startdatetime 2017-05-19T21:00:16 --delay 1 --endMP 204:233303 --enddatetime 2017-05-19T21:38:30 --enforcementcount 0 &gt;&gt;C:\Users\stu\Documents\GitHub\eaglep3-reporting\EC\2017-05-19-refined-times.txt</v>
      </c>
      <c r="AI141" s="99" t="str">
        <f t="shared" si="50"/>
        <v>echo {"issue":{"subject":"","project_id":79,"tracker_id":40,"status_id":1,"priority_id":2,"assigned_to_id":23,"start_date":"2017-05-19","description":"","custom_fields":[{"id":1,"name":"Subdivision","value":"EC"},{"id":4,"name":"Milepost","value":"23.3303"},{"id":17,"name":"Train ID","value":"229-19"},{"id":16,"name":"Locomotive ID","value":"4032"},{"id":130,"name":"Impact","value":""},{"id":150,"name":"Time of Event (Mountain Time)","value":"21:38:30"},{"id":151,"name":"Denver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51"/>
        <v>start /low /b %USERPROFILE%\Documents\GitHub\eaglep3\Utilities\DownloadLogsFromS3.py --loco 4032 --day 2017-05-19</v>
      </c>
      <c r="AN141" s="154" t="str">
        <f t="shared" si="5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03:38:30"},{"id":29,"name":"Sharepoint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843</v>
      </c>
      <c r="B142" s="7">
        <v>4031</v>
      </c>
      <c r="C142" s="21" t="s">
        <v>206</v>
      </c>
      <c r="D142" s="21" t="s">
        <v>889</v>
      </c>
      <c r="E142" s="13">
        <v>42874.911053240743</v>
      </c>
      <c r="F142" s="13">
        <v>42874.9140162037</v>
      </c>
      <c r="G142" s="7">
        <v>1</v>
      </c>
      <c r="H142" s="21" t="s">
        <v>936</v>
      </c>
      <c r="I142" s="13">
        <v>42874.945324074077</v>
      </c>
      <c r="J142" s="7">
        <v>0</v>
      </c>
      <c r="K142" s="92" t="str">
        <f t="shared" si="60"/>
        <v>4031/4032</v>
      </c>
      <c r="L142" s="21" t="str">
        <f>VLOOKUP(A142,'Trips&amp;Operators'!$C$1:$G$99999,5,FALSE)</f>
        <v>BROWN JACOB</v>
      </c>
      <c r="M142" s="6">
        <f t="shared" si="61"/>
        <v>3.1307870376622304E-2</v>
      </c>
      <c r="N142" s="7">
        <f t="shared" si="62"/>
        <v>45.083333342336118</v>
      </c>
      <c r="O142" s="7"/>
      <c r="P142" s="7"/>
      <c r="Q142" s="22"/>
      <c r="R142" s="190"/>
      <c r="S142" s="196">
        <f t="shared" si="63"/>
        <v>1</v>
      </c>
      <c r="T142" s="190" t="str">
        <f t="shared" si="64"/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65"/>
        <v>https://d0f6bd738d7f1b3e5a7ca70fe4ff75f0.us-east-1.aws.found.io/app/kibana#/discover/Steve-Slow-Train-Analysis-(2080s-and-2083s)?_g=(refreshInterval:(display:Off,pause:!f,section:0,value:0),time:(from:'2017-05-19T20:51:55-0600',mode:absolute,to:'2017-05-19T23:41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2" s="192" t="str">
        <f t="shared" si="66"/>
        <v>N</v>
      </c>
      <c r="X142" s="192">
        <f t="shared" si="59"/>
        <v>1</v>
      </c>
      <c r="Y142" s="192">
        <f t="shared" si="67"/>
        <v>23.298400000000001</v>
      </c>
      <c r="Z142" s="192">
        <f t="shared" si="68"/>
        <v>0.17860000000000001</v>
      </c>
      <c r="AA142" s="192">
        <f t="shared" si="69"/>
        <v>23.119800000000001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70"/>
        <v>0230-19</v>
      </c>
      <c r="AE142" s="80" t="str">
        <f t="shared" si="71"/>
        <v>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 &amp; aws s3 cp s3://rtdc.mdm.uploadarchive.raw/RTDC4031/ "%USERPROFILE%\AppData\Local\Temp\OnboardLogs"\RTDC4031\2017-05-20 --exclude "*" --recursive --include "*20170520*" &amp; "%USERPROFILE%\Documents\GitHub\mrs-test-scripts\Headless Mode &amp; Sideloading\WalkAndUnGZ.bat" "%USERPROFILE%\AppData\Local\Temp\OnboardLogs"\RTDC4031\2017-05-20</v>
      </c>
      <c r="AF142" s="77" t="str">
        <f t="shared" si="72"/>
        <v>"C:\Program Files (x86)\AstroGrep\AstroGrep.exe" /e /r /s /spath="%USERPROFILE%\AppData\Local\Temp\OnboardLogs" /stypes="app*4031*20170520*" /stext=" 04:.+((SYSTEM_STATE.+slice.+state.+changed )|(ment ac)|(multiple cpu faults)|(system.+state.+changed )|(\[timeout)|(PRM\|1\|D)|(kpr)|(kdp)|(train st.+moving)|(\|lc)|(penalty))"</v>
      </c>
      <c r="AG142" s="1" t="str">
        <f t="shared" si="73"/>
        <v>EC</v>
      </c>
      <c r="AH142" s="81" t="str">
        <f t="shared" ref="AH142:AH208" si="7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230-19 --locoid 4031 --swversion DE.1.0.9.0 --startMP 204:232984 --initTime 2017-05-19T21:51:55 --startdatetime 2017-05-19T21:56:11 --delay 1 --endMP 204:1786 --enddatetime 2017-05-19T22:41:16 --enforcementcount 0 &gt;&gt;C:\Users\stu\Documents\GitHub\eaglep3-reporting\EC\2017-05-19-refined-times.txt</v>
      </c>
      <c r="AI142" s="99" t="str">
        <f t="shared" ref="AI142:AI208" si="7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{"issue":{"subject":"","project_id":79,"tracker_id":40,"status_id":1,"priority_id":2,"assigned_to_id":23,"start_date":"2017-05-19","description":"","custom_fields":[{"id":1,"name":"Subdivision","value":"EC"},{"id":4,"name":"Milepost","value":"0.1786"},{"id":17,"name":"Train ID","value":"230-19"},{"id":16,"name":"Locomotive ID","value":"4031"},{"id":130,"name":"Impact","value":""},{"id":150,"name":"Time of Event (Mountain Time)","value":"22:41:16"},{"id":151,"name":"Denver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8" si="76">"start /low /b "&amp;dls3logs&amp;" --loco "&amp;B142&amp;" --day "&amp;TEXT(F142,"YYYY-MM-DD")</f>
        <v>start /low /b %USERPROFILE%\Documents\GitHub\eaglep3\Utilities\DownloadLogsFromS3.py --loco 4031 --day 2017-05-19</v>
      </c>
      <c r="AN142" s="154" t="str">
        <f t="shared" ref="AN142:AN208" si="77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04:41:16"},{"id":29,"name":"Sharepoint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838</v>
      </c>
      <c r="B143" s="7">
        <v>4040</v>
      </c>
      <c r="C143" s="21" t="s">
        <v>206</v>
      </c>
      <c r="D143" s="21" t="s">
        <v>351</v>
      </c>
      <c r="E143" s="13">
        <v>42874.884270833332</v>
      </c>
      <c r="F143" s="13">
        <v>42874.896053240744</v>
      </c>
      <c r="G143" s="7">
        <v>2</v>
      </c>
      <c r="H143" s="21" t="s">
        <v>477</v>
      </c>
      <c r="I143" s="13">
        <v>42874.922430555554</v>
      </c>
      <c r="J143" s="7">
        <v>0</v>
      </c>
      <c r="K143" s="92" t="str">
        <f t="shared" si="60"/>
        <v>4039/4040</v>
      </c>
      <c r="L143" s="21" t="str">
        <f>VLOOKUP(A143,'Trips&amp;Operators'!$C$1:$G$99999,5,FALSE)</f>
        <v>SAFIEF AEIMEN</v>
      </c>
      <c r="M143" s="6">
        <f t="shared" si="61"/>
        <v>2.6377314810815733E-2</v>
      </c>
      <c r="N143" s="7">
        <f t="shared" si="62"/>
        <v>37.983333327574655</v>
      </c>
      <c r="O143" s="7"/>
      <c r="P143" s="7"/>
      <c r="Q143" s="22"/>
      <c r="R143" s="190"/>
      <c r="S143" s="196">
        <f t="shared" si="63"/>
        <v>1</v>
      </c>
      <c r="T143" s="190" t="str">
        <f t="shared" si="64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65"/>
        <v>https://d0f6bd738d7f1b3e5a7ca70fe4ff75f0.us-east-1.aws.found.io/app/kibana#/discover/Steve-Slow-Train-Analysis-(2080s-and-2083s)?_g=(refreshInterval:(display:Off,pause:!f,section:0,value:0),time:(from:'2017-05-19T20:13:21-0600',mode:absolute,to:'2017-05-19T23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3" s="192" t="str">
        <f t="shared" si="66"/>
        <v>N</v>
      </c>
      <c r="X143" s="192">
        <f t="shared" si="59"/>
        <v>1</v>
      </c>
      <c r="Y143" s="192">
        <f t="shared" si="67"/>
        <v>4.4600000000000001E-2</v>
      </c>
      <c r="Z143" s="192">
        <f t="shared" si="68"/>
        <v>23.331399999999999</v>
      </c>
      <c r="AA143" s="192">
        <f t="shared" si="69"/>
        <v>23.286799999999999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70"/>
        <v>0231-19</v>
      </c>
      <c r="AE143" s="80" t="str">
        <f t="shared" si="71"/>
        <v>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 &amp; aws s3 cp s3://rtdc.mdm.uploadarchive.raw/RTDC4040/ "%USERPROFILE%\AppData\Local\Temp\OnboardLogs"\RTDC4040\2017-05-20 --exclude "*" --recursive --include "*20170520*" &amp; "%USERPROFILE%\Documents\GitHub\mrs-test-scripts\Headless Mode &amp; Sideloading\WalkAndUnGZ.bat" "%USERPROFILE%\AppData\Local\Temp\OnboardLogs"\RTDC4040\2017-05-20</v>
      </c>
      <c r="AF143" s="77" t="str">
        <f t="shared" si="72"/>
        <v>"C:\Program Files (x86)\AstroGrep\AstroGrep.exe" /e /r /s /spath="%USERPROFILE%\AppData\Local\Temp\OnboardLogs" /stypes="app*4040*20170520*" /stext=" 04:.+((SYSTEM_STATE.+slice.+state.+changed )|(ment ac)|(multiple cpu faults)|(system.+state.+changed )|(\[timeout)|(PRM\|1\|D)|(kpr)|(kdp)|(train st.+moving)|(\|lc)|(penalty))"</v>
      </c>
      <c r="AG143" s="1" t="str">
        <f t="shared" si="73"/>
        <v>EC</v>
      </c>
      <c r="AH143" s="81" t="str">
        <f t="shared" si="74"/>
        <v>"%USERPROFILE%\Documents\GitHub\eaglep3\Utilities\RefineRTDCRunTimes.py" --tripid 231-19 --locoid 4040 --swversion DE.1.0.9.0 --startMP 204:446 --initTime 2017-05-19T21:13:21 --startdatetime 2017-05-19T21:30:19 --delay 2 --endMP 204:233314 --enddatetime 2017-05-19T22:08:18 --enforcementcount 0 &gt;&gt;C:\Users\stu\Documents\GitHub\eaglep3-reporting\EC\2017-05-19-refined-times.txt</v>
      </c>
      <c r="AI143" s="99" t="str">
        <f t="shared" si="75"/>
        <v>echo {"issue":{"subject":"","project_id":79,"tracker_id":40,"status_id":1,"priority_id":2,"assigned_to_id":23,"start_date":"2017-05-19","description":"","custom_fields":[{"id":1,"name":"Subdivision","value":"EC"},{"id":4,"name":"Milepost","value":"23.3314"},{"id":17,"name":"Train ID","value":"231-19"},{"id":16,"name":"Locomotive ID","value":"4040"},{"id":130,"name":"Impact","value":""},{"id":150,"name":"Time of Event (Mountain Time)","value":"22:08:18"},{"id":151,"name":"Denver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76"/>
        <v>start /low /b %USERPROFILE%\Documents\GitHub\eaglep3\Utilities\DownloadLogsFromS3.py --loco 4040 --day 2017-05-19</v>
      </c>
      <c r="AN143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04:08:18"},{"id":29,"name":"Sharepoint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844</v>
      </c>
      <c r="B144" s="7">
        <v>4039</v>
      </c>
      <c r="C144" s="21" t="s">
        <v>206</v>
      </c>
      <c r="D144" s="21" t="s">
        <v>571</v>
      </c>
      <c r="E144" s="13">
        <v>42874.926747685182</v>
      </c>
      <c r="F144" s="13">
        <v>42874.935034722221</v>
      </c>
      <c r="G144" s="7">
        <v>2</v>
      </c>
      <c r="H144" s="21" t="s">
        <v>198</v>
      </c>
      <c r="I144" s="13">
        <v>42874.96502314815</v>
      </c>
      <c r="J144" s="7">
        <v>0</v>
      </c>
      <c r="K144" s="92" t="str">
        <f t="shared" si="60"/>
        <v>4039/4040</v>
      </c>
      <c r="L144" s="21" t="str">
        <f>VLOOKUP(A144,'Trips&amp;Operators'!$C$1:$G$99999,5,FALSE)</f>
        <v>SAFIEF AEIMEN</v>
      </c>
      <c r="M144" s="6">
        <f t="shared" si="61"/>
        <v>2.9988425929332152E-2</v>
      </c>
      <c r="N144" s="7">
        <f t="shared" si="62"/>
        <v>43.183333338238299</v>
      </c>
      <c r="O144" s="7"/>
      <c r="P144" s="7"/>
      <c r="Q144" s="22"/>
      <c r="R144" s="190"/>
      <c r="S144" s="196">
        <f t="shared" si="63"/>
        <v>1</v>
      </c>
      <c r="T144" s="190" t="str">
        <f t="shared" si="64"/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65"/>
        <v>https://d0f6bd738d7f1b3e5a7ca70fe4ff75f0.us-east-1.aws.found.io/app/kibana#/discover/Steve-Slow-Train-Analysis-(2080s-and-2083s)?_g=(refreshInterval:(display:Off,pause:!f,section:0,value:0),time:(from:'2017-05-19T21:14:31-0600',mode:absolute,to:'2017-05-20T00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4" s="192" t="str">
        <f t="shared" si="66"/>
        <v>N</v>
      </c>
      <c r="X144" s="192">
        <f t="shared" si="59"/>
        <v>1</v>
      </c>
      <c r="Y144" s="192">
        <f t="shared" si="67"/>
        <v>23.299399999999999</v>
      </c>
      <c r="Z144" s="192">
        <f t="shared" si="68"/>
        <v>1.5800000000000002E-2</v>
      </c>
      <c r="AA144" s="192">
        <f t="shared" si="69"/>
        <v>23.2836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70"/>
        <v>0232-19</v>
      </c>
      <c r="AE144" s="80" t="str">
        <f t="shared" si="71"/>
        <v>aws s3 cp s3://rtdc.mdm.uploadarchive.raw/RTDC4039/ "%USERPROFILE%\AppData\Local\Temp\OnboardLogs"\RTDC4039\2017-05-19 --exclude "*" --recursive --include "*20170519*" &amp; "%USERPROFILE%\Documents\GitHub\mrs-test-scripts\Headless Mode &amp; Sideloading\WalkAndUnGZ.bat" "%USERPROFILE%\AppData\Local\Temp\OnboardLogs"\RTDC4039\2017-05-19 &amp; aws s3 cp s3://rtdc.mdm.uploadarchive.raw/RTDC4039/ "%USERPROFILE%\AppData\Local\Temp\OnboardLogs"\RTDC4039\2017-05-20 --exclude "*" --recursive --include "*20170520*" &amp; "%USERPROFILE%\Documents\GitHub\mrs-test-scripts\Headless Mode &amp; Sideloading\WalkAndUnGZ.bat" "%USERPROFILE%\AppData\Local\Temp\OnboardLogs"\RTDC4039\2017-05-20</v>
      </c>
      <c r="AF144" s="77" t="str">
        <f t="shared" si="72"/>
        <v>"C:\Program Files (x86)\AstroGrep\AstroGrep.exe" /e /r /s /spath="%USERPROFILE%\AppData\Local\Temp\OnboardLogs" /stypes="app*4039*20170520*" /stext=" 05:.+((SYSTEM_STATE.+slice.+state.+changed )|(ment ac)|(multiple cpu faults)|(system.+state.+changed )|(\[timeout)|(PRM\|1\|D)|(kpr)|(kdp)|(train st.+moving)|(\|lc)|(penalty))"</v>
      </c>
      <c r="AG144" s="1" t="str">
        <f t="shared" si="73"/>
        <v>EC</v>
      </c>
      <c r="AH144" s="81" t="str">
        <f t="shared" si="74"/>
        <v>"%USERPROFILE%\Documents\GitHub\eaglep3\Utilities\RefineRTDCRunTimes.py" --tripid 232-19 --locoid 4039 --swversion DE.1.0.9.0 --startMP 204:232994 --initTime 2017-05-19T22:14:31 --startdatetime 2017-05-19T22:26:27 --delay 2 --endMP 204:158 --enddatetime 2017-05-19T23:09:38 --enforcementcount 0 &gt;&gt;C:\Users\stu\Documents\GitHub\eaglep3-reporting\EC\2017-05-19-refined-times.txt</v>
      </c>
      <c r="AI144" s="99" t="str">
        <f t="shared" si="75"/>
        <v>echo {"issue":{"subject":"","project_id":79,"tracker_id":40,"status_id":1,"priority_id":2,"assigned_to_id":23,"start_date":"2017-05-19","description":"","custom_fields":[{"id":1,"name":"Subdivision","value":"EC"},{"id":4,"name":"Milepost","value":"0.0158"},{"id":17,"name":"Train ID","value":"232-19"},{"id":16,"name":"Locomotive ID","value":"4039"},{"id":130,"name":"Impact","value":""},{"id":150,"name":"Time of Event (Mountain Time)","value":"23:09:38"},{"id":151,"name":"Denver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76"/>
        <v>start /low /b %USERPROFILE%\Documents\GitHub\eaglep3\Utilities\DownloadLogsFromS3.py --loco 4039 --day 2017-05-19</v>
      </c>
      <c r="AN144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05:09:38"},{"id":29,"name":"Sharepoint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842</v>
      </c>
      <c r="B145" s="7">
        <v>4018</v>
      </c>
      <c r="C145" s="21" t="s">
        <v>206</v>
      </c>
      <c r="D145" s="21" t="s">
        <v>937</v>
      </c>
      <c r="E145" s="13">
        <v>42874.910115740742</v>
      </c>
      <c r="F145" s="13">
        <v>42874.91684027778</v>
      </c>
      <c r="G145" s="7">
        <v>1</v>
      </c>
      <c r="H145" s="21" t="s">
        <v>421</v>
      </c>
      <c r="I145" s="13">
        <v>42874.941967592589</v>
      </c>
      <c r="J145" s="7">
        <v>0</v>
      </c>
      <c r="K145" s="92" t="str">
        <f t="shared" si="60"/>
        <v>4017/4018</v>
      </c>
      <c r="L145" s="21" t="str">
        <f>VLOOKUP(A145,'Trips&amp;Operators'!$C$1:$G$99999,5,FALSE)</f>
        <v>LAMAR NEKESHA</v>
      </c>
      <c r="M145" s="6">
        <f t="shared" si="61"/>
        <v>2.512731480965158E-2</v>
      </c>
      <c r="N145" s="7">
        <f t="shared" si="62"/>
        <v>36.183333325898275</v>
      </c>
      <c r="O145" s="7"/>
      <c r="P145" s="7"/>
      <c r="Q145" s="22"/>
      <c r="R145" s="190"/>
      <c r="S145" s="196">
        <f t="shared" si="63"/>
        <v>1</v>
      </c>
      <c r="T145" s="190" t="str">
        <f t="shared" si="64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65"/>
        <v>https://d0f6bd738d7f1b3e5a7ca70fe4ff75f0.us-east-1.aws.found.io/app/kibana#/discover/Steve-Slow-Train-Analysis-(2080s-and-2083s)?_g=(refreshInterval:(display:Off,pause:!f,section:0,value:0),time:(from:'2017-05-19T20:50:34-0600',mode:absolute,to:'2017-05-19T23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5" s="192" t="str">
        <f t="shared" si="66"/>
        <v>N</v>
      </c>
      <c r="X145" s="192">
        <f t="shared" si="59"/>
        <v>1</v>
      </c>
      <c r="Y145" s="192">
        <f t="shared" si="67"/>
        <v>4.2700000000000002E-2</v>
      </c>
      <c r="Z145" s="192">
        <f t="shared" si="68"/>
        <v>23.329699999999999</v>
      </c>
      <c r="AA145" s="192">
        <f t="shared" si="69"/>
        <v>23.286999999999999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70"/>
        <v>0233-19</v>
      </c>
      <c r="AE145" s="80" t="str">
        <f t="shared" si="71"/>
        <v>aws s3 cp s3://rtdc.mdm.uploadarchive.raw/RTDC4018/ "%USERPROFILE%\AppData\Local\Temp\OnboardLogs"\RTDC4018\2017-05-19 --exclude "*" --recursive --include "*20170519*" &amp; "%USERPROFILE%\Documents\GitHub\mrs-test-scripts\Headless Mode &amp; Sideloading\WalkAndUnGZ.bat" "%USERPROFILE%\AppData\Local\Temp\OnboardLogs"\RTDC4018\2017-05-19 &amp; 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</v>
      </c>
      <c r="AF145" s="77" t="str">
        <f t="shared" si="72"/>
        <v>"C:\Program Files (x86)\AstroGrep\AstroGrep.exe" /e /r /s /spath="%USERPROFILE%\AppData\Local\Temp\OnboardLogs" /stypes="app*4018*20170520*" /stext=" 04:.+((SYSTEM_STATE.+slice.+state.+changed )|(ment ac)|(multiple cpu faults)|(system.+state.+changed )|(\[timeout)|(PRM\|1\|D)|(kpr)|(kdp)|(train st.+moving)|(\|lc)|(penalty))"</v>
      </c>
      <c r="AG145" s="1" t="str">
        <f t="shared" si="73"/>
        <v>EC</v>
      </c>
      <c r="AH145" s="81" t="str">
        <f t="shared" si="74"/>
        <v>"%USERPROFILE%\Documents\GitHub\eaglep3\Utilities\RefineRTDCRunTimes.py" --tripid 233-19 --locoid 4018 --swversion DE.1.0.9.0 --startMP 204:427 --initTime 2017-05-19T21:50:34 --startdatetime 2017-05-19T22:00:15 --delay 1 --endMP 204:233297 --enddatetime 2017-05-19T22:36:26 --enforcementcount 0 &gt;&gt;C:\Users\stu\Documents\GitHub\eaglep3-reporting\EC\2017-05-19-refined-times.txt</v>
      </c>
      <c r="AI145" s="99" t="str">
        <f t="shared" si="75"/>
        <v>echo {"issue":{"subject":"","project_id":79,"tracker_id":40,"status_id":1,"priority_id":2,"assigned_to_id":23,"start_date":"2017-05-19","description":"","custom_fields":[{"id":1,"name":"Subdivision","value":"EC"},{"id":4,"name":"Milepost","value":"23.3297"},{"id":17,"name":"Train ID","value":"233-19"},{"id":16,"name":"Locomotive ID","value":"4018"},{"id":130,"name":"Impact","value":""},{"id":150,"name":"Time of Event (Mountain Time)","value":"22:36:26"},{"id":151,"name":"Denver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76"/>
        <v>start /low /b %USERPROFILE%\Documents\GitHub\eaglep3\Utilities\DownloadLogsFromS3.py --loco 4018 --day 2017-05-19</v>
      </c>
      <c r="AN145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04:36:26"},{"id":29,"name":"Sharepoint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2" t="s">
        <v>847</v>
      </c>
      <c r="B146" s="7">
        <v>4017</v>
      </c>
      <c r="C146" s="21" t="s">
        <v>206</v>
      </c>
      <c r="D146" s="21" t="s">
        <v>478</v>
      </c>
      <c r="E146" s="13">
        <v>42874.948101851849</v>
      </c>
      <c r="F146" s="13">
        <v>42874.955717592595</v>
      </c>
      <c r="G146" s="7">
        <v>1</v>
      </c>
      <c r="H146" s="21" t="s">
        <v>356</v>
      </c>
      <c r="I146" s="13">
        <v>42874.986585648148</v>
      </c>
      <c r="J146" s="7">
        <v>0</v>
      </c>
      <c r="K146" s="92" t="str">
        <f t="shared" si="60"/>
        <v>4017/4018</v>
      </c>
      <c r="L146" s="21" t="str">
        <f>VLOOKUP(A146,'Trips&amp;Operators'!$C$1:$G$99999,5,FALSE)</f>
        <v>LAMAR NEKESHA</v>
      </c>
      <c r="M146" s="6">
        <f t="shared" si="61"/>
        <v>3.0868055553582963E-2</v>
      </c>
      <c r="N146" s="7">
        <f t="shared" si="62"/>
        <v>44.449999997159466</v>
      </c>
      <c r="O146" s="7"/>
      <c r="P146" s="7"/>
      <c r="Q146" s="22"/>
      <c r="R146" s="190"/>
      <c r="S146" s="196">
        <f t="shared" si="63"/>
        <v>1</v>
      </c>
      <c r="T146" s="190" t="str">
        <f t="shared" si="64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65"/>
        <v>https://d0f6bd738d7f1b3e5a7ca70fe4ff75f0.us-east-1.aws.found.io/app/kibana#/discover/Steve-Slow-Train-Analysis-(2080s-and-2083s)?_g=(refreshInterval:(display:Off,pause:!f,section:0,value:0),time:(from:'2017-05-19T21:45:16-0600',mode:absolute,to:'2017-05-20T00:40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6" s="192" t="str">
        <f t="shared" si="66"/>
        <v>N</v>
      </c>
      <c r="X146" s="192">
        <f t="shared" ref="X146:X155" si="78">VALUE(LEFT(AD146,4))-VALUE(LEFT(AD145,4))</f>
        <v>1</v>
      </c>
      <c r="Y146" s="192">
        <f t="shared" si="67"/>
        <v>23.299199999999999</v>
      </c>
      <c r="Z146" s="192">
        <f t="shared" si="68"/>
        <v>1.49E-2</v>
      </c>
      <c r="AA146" s="192">
        <f t="shared" si="69"/>
        <v>23.284299999999998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70"/>
        <v>0234-19</v>
      </c>
      <c r="AE146" s="80" t="str">
        <f t="shared" si="71"/>
        <v>aws s3 cp s3://rtdc.mdm.uploadarchive.raw/RTDC4017/ "%USERPROFILE%\AppData\Local\Temp\OnboardLogs"\RTDC4017\2017-05-19 --exclude "*" --recursive --include "*20170519*" &amp; "%USERPROFILE%\Documents\GitHub\mrs-test-scripts\Headless Mode &amp; Sideloading\WalkAndUnGZ.bat" "%USERPROFILE%\AppData\Local\Temp\OnboardLogs"\RTDC4017\2017-05-19 &amp; 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</v>
      </c>
      <c r="AF146" s="77" t="str">
        <f t="shared" si="72"/>
        <v>"C:\Program Files (x86)\AstroGrep\AstroGrep.exe" /e /r /s /spath="%USERPROFILE%\AppData\Local\Temp\OnboardLogs" /stypes="app*4017*20170520*" /stext=" 05:.+((SYSTEM_STATE.+slice.+state.+changed )|(ment ac)|(multiple cpu faults)|(system.+state.+changed )|(\[timeout)|(PRM\|1\|D)|(kpr)|(kdp)|(train st.+moving)|(\|lc)|(penalty))"</v>
      </c>
      <c r="AG146" s="1" t="str">
        <f t="shared" si="73"/>
        <v>EC</v>
      </c>
      <c r="AH146" s="81" t="str">
        <f t="shared" si="74"/>
        <v>"%USERPROFILE%\Documents\GitHub\eaglep3\Utilities\RefineRTDCRunTimes.py" --tripid 234-19 --locoid 4017 --swversion DE.1.0.9.0 --startMP 204:232992 --initTime 2017-05-19T22:45:16 --startdatetime 2017-05-19T22:56:14 --delay 1 --endMP 204:149 --enddatetime 2017-05-19T23:40:41 --enforcementcount 0 &gt;&gt;C:\Users\stu\Documents\GitHub\eaglep3-reporting\EC\2017-05-19-refined-times.txt</v>
      </c>
      <c r="AI146" s="99" t="str">
        <f t="shared" si="75"/>
        <v>echo {"issue":{"subject":"","project_id":79,"tracker_id":40,"status_id":1,"priority_id":2,"assigned_to_id":23,"start_date":"2017-05-19","description":"","custom_fields":[{"id":1,"name":"Subdivision","value":"EC"},{"id":4,"name":"Milepost","value":"0.0149"},{"id":17,"name":"Train ID","value":"234-19"},{"id":16,"name":"Locomotive ID","value":"4017"},{"id":130,"name":"Impact","value":""},{"id":150,"name":"Time of Event (Mountain Time)","value":"23:40:41"},{"id":151,"name":"Denver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76"/>
        <v>start /low /b %USERPROFILE%\Documents\GitHub\eaglep3\Utilities\DownloadLogsFromS3.py --loco 4017 --day 2017-05-19</v>
      </c>
      <c r="AN146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05:40:41"},{"id":29,"name":"Sharepoint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2" t="s">
        <v>845</v>
      </c>
      <c r="B147" s="7">
        <v>4016</v>
      </c>
      <c r="C147" s="21" t="s">
        <v>206</v>
      </c>
      <c r="D147" s="21" t="s">
        <v>203</v>
      </c>
      <c r="E147" s="13">
        <v>42874.935150462959</v>
      </c>
      <c r="F147" s="13">
        <v>42874.939456018517</v>
      </c>
      <c r="G147" s="7">
        <v>1</v>
      </c>
      <c r="H147" s="21" t="s">
        <v>422</v>
      </c>
      <c r="I147" s="13">
        <v>42874.966493055559</v>
      </c>
      <c r="J147" s="7">
        <v>0</v>
      </c>
      <c r="K147" s="92" t="str">
        <f t="shared" si="60"/>
        <v>4015/4016</v>
      </c>
      <c r="L147" s="21" t="str">
        <f>VLOOKUP(A147,'Trips&amp;Operators'!$C$1:$G$99999,5,FALSE)</f>
        <v>THOMPSON LESTER</v>
      </c>
      <c r="M147" s="6">
        <f t="shared" si="61"/>
        <v>2.7037037041736767E-2</v>
      </c>
      <c r="N147" s="7">
        <f t="shared" si="62"/>
        <v>38.933333340100944</v>
      </c>
      <c r="O147" s="7"/>
      <c r="P147" s="7"/>
      <c r="Q147" s="22"/>
      <c r="R147" s="190"/>
      <c r="S147" s="196">
        <f t="shared" si="63"/>
        <v>1</v>
      </c>
      <c r="T147" s="190" t="str">
        <f t="shared" si="64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65"/>
        <v>https://d0f6bd738d7f1b3e5a7ca70fe4ff75f0.us-east-1.aws.found.io/app/kibana#/discover/Steve-Slow-Train-Analysis-(2080s-and-2083s)?_g=(refreshInterval:(display:Off,pause:!f,section:0,value:0),time:(from:'2017-05-19T21:26:37-0600',mode:absolute,to:'2017-05-20T00:11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7" s="192" t="str">
        <f t="shared" si="66"/>
        <v>N</v>
      </c>
      <c r="X147" s="192">
        <f t="shared" si="78"/>
        <v>1</v>
      </c>
      <c r="Y147" s="192">
        <f t="shared" si="67"/>
        <v>4.5999999999999999E-2</v>
      </c>
      <c r="Z147" s="192">
        <f t="shared" si="68"/>
        <v>23.329499999999999</v>
      </c>
      <c r="AA147" s="192">
        <f t="shared" si="69"/>
        <v>23.2835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70"/>
        <v>0235-19</v>
      </c>
      <c r="AE147" s="80" t="str">
        <f t="shared" si="71"/>
        <v>aws s3 cp s3://rtdc.mdm.uploadarchive.raw/RTDC4016/ "%USERPROFILE%\AppData\Local\Temp\OnboardLogs"\RTDC4016\2017-05-19 --exclude "*" --recursive --include "*20170519*" &amp; "%USERPROFILE%\Documents\GitHub\mrs-test-scripts\Headless Mode &amp; Sideloading\WalkAndUnGZ.bat" "%USERPROFILE%\AppData\Local\Temp\OnboardLogs"\RTDC4016\2017-05-19 &amp; aws s3 cp s3://rtdc.mdm.uploadarchive.raw/RTDC4016/ "%USERPROFILE%\AppData\Local\Temp\OnboardLogs"\RTDC4016\2017-05-20 --exclude "*" --recursive --include "*20170520*" &amp; "%USERPROFILE%\Documents\GitHub\mrs-test-scripts\Headless Mode &amp; Sideloading\WalkAndUnGZ.bat" "%USERPROFILE%\AppData\Local\Temp\OnboardLogs"\RTDC4016\2017-05-20</v>
      </c>
      <c r="AF147" s="77" t="str">
        <f t="shared" si="72"/>
        <v>"C:\Program Files (x86)\AstroGrep\AstroGrep.exe" /e /r /s /spath="%USERPROFILE%\AppData\Local\Temp\OnboardLogs" /stypes="app*4016*20170520*" /stext=" 05:.+((SYSTEM_STATE.+slice.+state.+changed )|(ment ac)|(multiple cpu faults)|(system.+state.+changed )|(\[timeout)|(PRM\|1\|D)|(kpr)|(kdp)|(train st.+moving)|(\|lc)|(penalty))"</v>
      </c>
      <c r="AG147" s="1" t="str">
        <f t="shared" si="73"/>
        <v>EC</v>
      </c>
      <c r="AH147" s="81" t="str">
        <f t="shared" si="74"/>
        <v>"%USERPROFILE%\Documents\GitHub\eaglep3\Utilities\RefineRTDCRunTimes.py" --tripid 235-19 --locoid 4016 --swversion DE.1.0.9.0 --startMP 204:460 --initTime 2017-05-19T22:26:37 --startdatetime 2017-05-19T22:32:49 --delay 1 --endMP 204:233295 --enddatetime 2017-05-19T23:11:45 --enforcementcount 0 &gt;&gt;C:\Users\stu\Documents\GitHub\eaglep3-reporting\EC\2017-05-19-refined-times.txt</v>
      </c>
      <c r="AI147" s="99" t="str">
        <f t="shared" si="75"/>
        <v>echo {"issue":{"subject":"","project_id":79,"tracker_id":40,"status_id":1,"priority_id":2,"assigned_to_id":23,"start_date":"2017-05-19","description":"","custom_fields":[{"id":1,"name":"Subdivision","value":"EC"},{"id":4,"name":"Milepost","value":"23.3295"},{"id":17,"name":"Train ID","value":"235-19"},{"id":16,"name":"Locomotive ID","value":"4016"},{"id":130,"name":"Impact","value":""},{"id":150,"name":"Time of Event (Mountain Time)","value":"23:11:45"},{"id":151,"name":"Denver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76"/>
        <v>start /low /b %USERPROFILE%\Documents\GitHub\eaglep3\Utilities\DownloadLogsFromS3.py --loco 4016 --day 2017-05-19</v>
      </c>
      <c r="AN147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05:11:45"},{"id":29,"name":"Sharepoint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2" t="s">
        <v>850</v>
      </c>
      <c r="B148" s="7">
        <v>4015</v>
      </c>
      <c r="C148" s="21" t="s">
        <v>206</v>
      </c>
      <c r="D148" s="21" t="s">
        <v>515</v>
      </c>
      <c r="E148" s="13">
        <v>42874.973356481481</v>
      </c>
      <c r="F148" s="13">
        <v>42874.976770833331</v>
      </c>
      <c r="G148" s="7">
        <v>1</v>
      </c>
      <c r="H148" s="21" t="s">
        <v>361</v>
      </c>
      <c r="I148" s="13">
        <v>42875.006655092591</v>
      </c>
      <c r="J148" s="7">
        <v>0</v>
      </c>
      <c r="K148" s="92" t="str">
        <f t="shared" si="60"/>
        <v>4015/4016</v>
      </c>
      <c r="L148" s="21" t="str">
        <f>VLOOKUP(A148,'Trips&amp;Operators'!$C$1:$G$99999,5,FALSE)</f>
        <v>THOMPSON LESTER</v>
      </c>
      <c r="M148" s="6">
        <f t="shared" si="61"/>
        <v>2.9884259260143153E-2</v>
      </c>
      <c r="N148" s="7">
        <f t="shared" si="62"/>
        <v>43.033333334606141</v>
      </c>
      <c r="O148" s="7"/>
      <c r="P148" s="7"/>
      <c r="Q148" s="22"/>
      <c r="R148" s="190"/>
      <c r="S148" s="196">
        <f t="shared" si="63"/>
        <v>1</v>
      </c>
      <c r="T148" s="190" t="str">
        <f t="shared" si="64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65"/>
        <v>https://d0f6bd738d7f1b3e5a7ca70fe4ff75f0.us-east-1.aws.found.io/app/kibana#/discover/Steve-Slow-Train-Analysis-(2080s-and-2083s)?_g=(refreshInterval:(display:Off,pause:!f,section:0,value:0),time:(from:'2017-05-19T22:21:38-0600',mode:absolute,to:'2017-05-20T01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8" s="192" t="str">
        <f t="shared" si="66"/>
        <v>N</v>
      </c>
      <c r="X148" s="192">
        <f t="shared" si="78"/>
        <v>1</v>
      </c>
      <c r="Y148" s="192">
        <f t="shared" si="67"/>
        <v>23.297899999999998</v>
      </c>
      <c r="Z148" s="192">
        <f t="shared" si="68"/>
        <v>1.5599999999999999E-2</v>
      </c>
      <c r="AA148" s="192">
        <f t="shared" si="69"/>
        <v>23.282299999999999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70"/>
        <v>0236-19</v>
      </c>
      <c r="AE148" s="80" t="str">
        <f t="shared" si="71"/>
        <v>aws s3 cp s3://rtdc.mdm.uploadarchive.raw/RTDC4015/ "%USERPROFILE%\AppData\Local\Temp\OnboardLogs"\RTDC4015\2017-05-19 --exclude "*" --recursive --include "*20170519*" &amp; "%USERPROFILE%\Documents\GitHub\mrs-test-scripts\Headless Mode &amp; Sideloading\WalkAndUnGZ.bat" "%USERPROFILE%\AppData\Local\Temp\OnboardLogs"\RTDC4015\2017-05-19 &amp; aws s3 cp s3://rtdc.mdm.uploadarchive.raw/RTDC4015/ "%USERPROFILE%\AppData\Local\Temp\OnboardLogs"\RTDC4015\2017-05-20 --exclude "*" --recursive --include "*20170520*" &amp; "%USERPROFILE%\Documents\GitHub\mrs-test-scripts\Headless Mode &amp; Sideloading\WalkAndUnGZ.bat" "%USERPROFILE%\AppData\Local\Temp\OnboardLogs"\RTDC4015\2017-05-20</v>
      </c>
      <c r="AF148" s="77" t="str">
        <f t="shared" si="72"/>
        <v>"C:\Program Files (x86)\AstroGrep\AstroGrep.exe" /e /r /s /spath="%USERPROFILE%\AppData\Local\Temp\OnboardLogs" /stypes="app*4015*20170520*" /stext=" 06:.+((SYSTEM_STATE.+slice.+state.+changed )|(ment ac)|(multiple cpu faults)|(system.+state.+changed )|(\[timeout)|(PRM\|1\|D)|(kpr)|(kdp)|(train st.+moving)|(\|lc)|(penalty))"</v>
      </c>
      <c r="AG148" s="1" t="str">
        <f t="shared" si="73"/>
        <v>EC</v>
      </c>
      <c r="AH148" s="81" t="str">
        <f t="shared" si="74"/>
        <v>"%USERPROFILE%\Documents\GitHub\eaglep3\Utilities\RefineRTDCRunTimes.py" --tripid 236-19 --locoid 4015 --swversion DE.1.0.9.0 --startMP 204:232979 --initTime 2017-05-19T23:21:38 --startdatetime 2017-05-19T23:26:33 --delay 1 --endMP 204:156 --enddatetime 2017-05-20T00:09:35 --enforcementcount 0 &gt;&gt;C:\Users\stu\Documents\GitHub\eaglep3-reporting\EC\2017-05-19-refined-times.txt</v>
      </c>
      <c r="AI148" s="99" t="str">
        <f t="shared" si="75"/>
        <v>echo {"issue":{"subject":"","project_id":79,"tracker_id":40,"status_id":1,"priority_id":2,"assigned_to_id":23,"start_date":"2017-05-20","description":"","custom_fields":[{"id":1,"name":"Subdivision","value":"EC"},{"id":4,"name":"Milepost","value":"0.0156"},{"id":17,"name":"Train ID","value":"236-19"},{"id":16,"name":"Locomotive ID","value":"4015"},{"id":130,"name":"Impact","value":""},{"id":150,"name":"Time of Event (Mountain Time)","value":"00:09:35"},{"id":151,"name":"Denver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76"/>
        <v>start /low /b %USERPROFILE%\Documents\GitHub\eaglep3\Utilities\DownloadLogsFromS3.py --loco 4015 --day 2017-05-19</v>
      </c>
      <c r="AN148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06:09:35"},{"id":29,"name":"Sharepoint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x14ac:dyDescent="0.25">
      <c r="A149" s="32" t="s">
        <v>848</v>
      </c>
      <c r="B149" s="7">
        <v>4054</v>
      </c>
      <c r="C149" s="21" t="s">
        <v>206</v>
      </c>
      <c r="D149" s="21" t="s">
        <v>563</v>
      </c>
      <c r="E149" s="13">
        <v>42874.950833333336</v>
      </c>
      <c r="F149" s="13">
        <v>42874.958622685182</v>
      </c>
      <c r="G149" s="7">
        <v>1</v>
      </c>
      <c r="H149" s="21" t="s">
        <v>880</v>
      </c>
      <c r="I149" s="13">
        <v>42874.984525462962</v>
      </c>
      <c r="J149" s="7">
        <v>0</v>
      </c>
      <c r="K149" s="92" t="str">
        <f t="shared" si="60"/>
        <v>4053/4054</v>
      </c>
      <c r="L149" s="21" t="str">
        <f>VLOOKUP(A149,'Trips&amp;Operators'!$C$1:$G$99999,5,FALSE)</f>
        <v>BROWN JACOB</v>
      </c>
      <c r="M149" s="6">
        <f t="shared" si="61"/>
        <v>2.5902777779265307E-2</v>
      </c>
      <c r="N149" s="7">
        <f t="shared" si="62"/>
        <v>37.300000002142042</v>
      </c>
      <c r="O149" s="7"/>
      <c r="P149" s="7"/>
      <c r="Q149" s="22"/>
      <c r="R149" s="190"/>
      <c r="S149" s="196">
        <f t="shared" si="63"/>
        <v>1</v>
      </c>
      <c r="T149" s="190" t="str">
        <f t="shared" si="64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65"/>
        <v>https://d0f6bd738d7f1b3e5a7ca70fe4ff75f0.us-east-1.aws.found.io/app/kibana#/discover/Steve-Slow-Train-Analysis-(2080s-and-2083s)?_g=(refreshInterval:(display:Off,pause:!f,section:0,value:0),time:(from:'2017-05-19T21:49:12-0600',mode:absolute,to:'2017-05-20T00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9" s="192" t="str">
        <f t="shared" si="66"/>
        <v>N</v>
      </c>
      <c r="X149" s="192">
        <f t="shared" si="78"/>
        <v>1</v>
      </c>
      <c r="Y149" s="192">
        <f t="shared" si="67"/>
        <v>4.3999999999999997E-2</v>
      </c>
      <c r="Z149" s="192">
        <f t="shared" si="68"/>
        <v>23.330500000000001</v>
      </c>
      <c r="AA149" s="192">
        <f t="shared" si="69"/>
        <v>23.2865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70"/>
        <v>0237-19</v>
      </c>
      <c r="AE149" s="80" t="str">
        <f t="shared" si="71"/>
        <v>aws s3 cp s3://rtdc.mdm.uploadarchive.raw/RTDC4054/ "%USERPROFILE%\AppData\Local\Temp\OnboardLogs"\RTDC4054\2017-05-19 --exclude "*" --recursive --include "*20170519*" &amp; "%USERPROFILE%\Documents\GitHub\mrs-test-scripts\Headless Mode &amp; Sideloading\WalkAndUnGZ.bat" "%USERPROFILE%\AppData\Local\Temp\OnboardLogs"\RTDC4054\2017-05-19 &amp; aws s3 cp s3://rtdc.mdm.uploadarchive.raw/RTDC4054/ "%USERPROFILE%\AppData\Local\Temp\OnboardLogs"\RTDC4054\2017-05-20 --exclude "*" --recursive --include "*20170520*" &amp; "%USERPROFILE%\Documents\GitHub\mrs-test-scripts\Headless Mode &amp; Sideloading\WalkAndUnGZ.bat" "%USERPROFILE%\AppData\Local\Temp\OnboardLogs"\RTDC4054\2017-05-20</v>
      </c>
      <c r="AF149" s="77" t="str">
        <f t="shared" si="72"/>
        <v>"C:\Program Files (x86)\AstroGrep\AstroGrep.exe" /e /r /s /spath="%USERPROFILE%\AppData\Local\Temp\OnboardLogs" /stypes="app*4054*20170520*" /stext=" 05:.+((SYSTEM_STATE.+slice.+state.+changed )|(ment ac)|(multiple cpu faults)|(system.+state.+changed )|(\[timeout)|(PRM\|1\|D)|(kpr)|(kdp)|(train st.+moving)|(\|lc)|(penalty))"</v>
      </c>
      <c r="AG149" s="1" t="str">
        <f t="shared" si="73"/>
        <v>EC</v>
      </c>
      <c r="AH149" s="81" t="str">
        <f t="shared" si="74"/>
        <v>"%USERPROFILE%\Documents\GitHub\eaglep3\Utilities\RefineRTDCRunTimes.py" --tripid 237-19 --locoid 4054 --swversion DE.1.0.9.0 --startMP 204:440 --initTime 2017-05-19T22:49:12 --startdatetime 2017-05-19T23:00:25 --delay 1 --endMP 204:233305 --enddatetime 2017-05-19T23:37:43 --enforcementcount 0 &gt;&gt;C:\Users\stu\Documents\GitHub\eaglep3-reporting\EC\2017-05-19-refined-times.txt</v>
      </c>
      <c r="AI149" s="99" t="str">
        <f t="shared" si="75"/>
        <v>echo {"issue":{"subject":"","project_id":79,"tracker_id":40,"status_id":1,"priority_id":2,"assigned_to_id":23,"start_date":"2017-05-19","description":"","custom_fields":[{"id":1,"name":"Subdivision","value":"EC"},{"id":4,"name":"Milepost","value":"23.3305"},{"id":17,"name":"Train ID","value":"237-19"},{"id":16,"name":"Locomotive ID","value":"4054"},{"id":130,"name":"Impact","value":""},{"id":150,"name":"Time of Event (Mountain Time)","value":"23:37:43"},{"id":151,"name":"Denver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76"/>
        <v>start /low /b %USERPROFILE%\Documents\GitHub\eaglep3\Utilities\DownloadLogsFromS3.py --loco 4054 --day 2017-05-19</v>
      </c>
      <c r="AN149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05:37:43"},{"id":29,"name":"Sharepoint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648</v>
      </c>
      <c r="B150" s="7">
        <v>4053</v>
      </c>
      <c r="C150" s="21" t="s">
        <v>206</v>
      </c>
      <c r="D150" s="21" t="s">
        <v>478</v>
      </c>
      <c r="E150" s="13">
        <v>42874.992754629631</v>
      </c>
      <c r="F150" s="13">
        <v>42874.998217592591</v>
      </c>
      <c r="G150" s="7">
        <v>1</v>
      </c>
      <c r="H150" s="21" t="s">
        <v>361</v>
      </c>
      <c r="I150" s="13">
        <v>42875.026956018519</v>
      </c>
      <c r="J150" s="7">
        <v>0</v>
      </c>
      <c r="K150" s="92" t="str">
        <f t="shared" si="60"/>
        <v>4053/4054</v>
      </c>
      <c r="L150" s="21" t="str">
        <f>VLOOKUP(A150,'Trips&amp;Operators'!$C$1:$G$99999,5,FALSE)</f>
        <v>BROWN JACOB</v>
      </c>
      <c r="M150" s="6">
        <f t="shared" si="61"/>
        <v>2.8738425928167999E-2</v>
      </c>
      <c r="N150" s="7">
        <f t="shared" si="62"/>
        <v>41.383333336561918</v>
      </c>
      <c r="O150" s="7"/>
      <c r="P150" s="7"/>
      <c r="Q150" s="22"/>
      <c r="R150" s="190"/>
      <c r="S150" s="196">
        <f t="shared" si="63"/>
        <v>1</v>
      </c>
      <c r="T150" s="190" t="str">
        <f t="shared" si="64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65"/>
        <v>https://d0f6bd738d7f1b3e5a7ca70fe4ff75f0.us-east-1.aws.found.io/app/kibana#/discover/Steve-Slow-Train-Analysis-(2080s-and-2083s)?_g=(refreshInterval:(display:Off,pause:!f,section:0,value:0),time:(from:'2017-05-19T22:49:34-0600',mode:absolute,to:'2017-05-20T01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0" s="192" t="str">
        <f t="shared" si="66"/>
        <v>N</v>
      </c>
      <c r="X150" s="192">
        <f t="shared" si="78"/>
        <v>1</v>
      </c>
      <c r="Y150" s="192">
        <f t="shared" si="67"/>
        <v>23.299199999999999</v>
      </c>
      <c r="Z150" s="192">
        <f t="shared" si="68"/>
        <v>1.5599999999999999E-2</v>
      </c>
      <c r="AA150" s="192">
        <f t="shared" si="69"/>
        <v>23.2836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70"/>
        <v>0238-19</v>
      </c>
      <c r="AE150" s="80" t="str">
        <f t="shared" si="71"/>
        <v>aws s3 cp s3://rtdc.mdm.uploadarchive.raw/RTDC4053/ "%USERPROFILE%\AppData\Local\Temp\OnboardLogs"\RTDC4053\2017-05-19 --exclude "*" --recursive --include "*20170519*" &amp; "%USERPROFILE%\Documents\GitHub\mrs-test-scripts\Headless Mode &amp; Sideloading\WalkAndUnGZ.bat" "%USERPROFILE%\AppData\Local\Temp\OnboardLogs"\RTDC4053\2017-05-19 &amp; aws s3 cp s3://rtdc.mdm.uploadarchive.raw/RTDC4053/ "%USERPROFILE%\AppData\Local\Temp\OnboardLogs"\RTDC4053\2017-05-20 --exclude "*" --recursive --include "*20170520*" &amp; "%USERPROFILE%\Documents\GitHub\mrs-test-scripts\Headless Mode &amp; Sideloading\WalkAndUnGZ.bat" "%USERPROFILE%\AppData\Local\Temp\OnboardLogs"\RTDC4053\2017-05-20</v>
      </c>
      <c r="AF150" s="77" t="str">
        <f t="shared" si="72"/>
        <v>"C:\Program Files (x86)\AstroGrep\AstroGrep.exe" /e /r /s /spath="%USERPROFILE%\AppData\Local\Temp\OnboardLogs" /stypes="app*4053*20170520*" /stext=" 06:.+((SYSTEM_STATE.+slice.+state.+changed )|(ment ac)|(multiple cpu faults)|(system.+state.+changed )|(\[timeout)|(PRM\|1\|D)|(kpr)|(kdp)|(train st.+moving)|(\|lc)|(penalty))"</v>
      </c>
      <c r="AG150" s="1" t="str">
        <f t="shared" si="73"/>
        <v>EC</v>
      </c>
      <c r="AH150" s="81" t="str">
        <f t="shared" si="74"/>
        <v>"%USERPROFILE%\Documents\GitHub\eaglep3\Utilities\RefineRTDCRunTimes.py" --tripid 238-19 --locoid 4053 --swversion DE.1.0.9.0 --startMP 204:232992 --initTime 2017-05-19T23:49:34 --startdatetime 2017-05-19T23:57:26 --delay 1 --endMP 204:156 --enddatetime 2017-05-20T00:38:49 --enforcementcount 0 &gt;&gt;C:\Users\stu\Documents\GitHub\eaglep3-reporting\EC\2017-05-19-refined-times.txt</v>
      </c>
      <c r="AI150" s="99" t="str">
        <f t="shared" si="75"/>
        <v>echo {"issue":{"subject":"","project_id":79,"tracker_id":40,"status_id":1,"priority_id":2,"assigned_to_id":23,"start_date":"2017-05-20","description":"","custom_fields":[{"id":1,"name":"Subdivision","value":"EC"},{"id":4,"name":"Milepost","value":"0.0156"},{"id":17,"name":"Train ID","value":"238-19"},{"id":16,"name":"Locomotive ID","value":"4053"},{"id":130,"name":"Impact","value":""},{"id":150,"name":"Time of Event (Mountain Time)","value":"00:38:49"},{"id":151,"name":"Denver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76"/>
        <v>start /low /b %USERPROFILE%\Documents\GitHub\eaglep3\Utilities\DownloadLogsFromS3.py --loco 4053 --day 2017-05-19</v>
      </c>
      <c r="AN150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06:38:49"},{"id":29,"name":"Sharepoint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849</v>
      </c>
      <c r="B151" s="7">
        <v>4040</v>
      </c>
      <c r="C151" s="21" t="s">
        <v>206</v>
      </c>
      <c r="D151" s="21" t="s">
        <v>404</v>
      </c>
      <c r="E151" s="13">
        <v>42874.968194444446</v>
      </c>
      <c r="F151" s="13">
        <v>42874.979375000003</v>
      </c>
      <c r="G151" s="7">
        <v>1</v>
      </c>
      <c r="H151" s="21" t="s">
        <v>870</v>
      </c>
      <c r="I151" s="13">
        <v>42875.004618055558</v>
      </c>
      <c r="J151" s="7">
        <v>0</v>
      </c>
      <c r="K151" s="92" t="str">
        <f t="shared" si="60"/>
        <v>4039/4040</v>
      </c>
      <c r="L151" s="21" t="str">
        <f>VLOOKUP(A151,'Trips&amp;Operators'!$C$1:$G$99999,5,FALSE)</f>
        <v>SAFIEF AEIMEN</v>
      </c>
      <c r="M151" s="6">
        <f t="shared" si="61"/>
        <v>2.5243055555620231E-2</v>
      </c>
      <c r="N151" s="7">
        <f t="shared" si="62"/>
        <v>36.350000000093132</v>
      </c>
      <c r="O151" s="7"/>
      <c r="P151" s="7"/>
      <c r="Q151" s="22"/>
      <c r="R151" s="190"/>
      <c r="S151" s="196">
        <f t="shared" si="63"/>
        <v>1</v>
      </c>
      <c r="T151" s="190" t="str">
        <f t="shared" si="64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65"/>
        <v>https://d0f6bd738d7f1b3e5a7ca70fe4ff75f0.us-east-1.aws.found.io/app/kibana#/discover/Steve-Slow-Train-Analysis-(2080s-and-2083s)?_g=(refreshInterval:(display:Off,pause:!f,section:0,value:0),time:(from:'2017-05-19T22:14:12-0600',mode:absolute,to:'2017-05-20T01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1" s="192" t="str">
        <f t="shared" si="66"/>
        <v>N</v>
      </c>
      <c r="X151" s="192">
        <f t="shared" si="78"/>
        <v>1</v>
      </c>
      <c r="Y151" s="192">
        <f t="shared" si="67"/>
        <v>4.6199999999999998E-2</v>
      </c>
      <c r="Z151" s="192">
        <f t="shared" si="68"/>
        <v>23.333600000000001</v>
      </c>
      <c r="AA151" s="192">
        <f t="shared" si="69"/>
        <v>23.287400000000002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70"/>
        <v>0239-19</v>
      </c>
      <c r="AE151" s="80" t="str">
        <f t="shared" si="71"/>
        <v>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 &amp; aws s3 cp s3://rtdc.mdm.uploadarchive.raw/RTDC4040/ "%USERPROFILE%\AppData\Local\Temp\OnboardLogs"\RTDC4040\2017-05-20 --exclude "*" --recursive --include "*20170520*" &amp; "%USERPROFILE%\Documents\GitHub\mrs-test-scripts\Headless Mode &amp; Sideloading\WalkAndUnGZ.bat" "%USERPROFILE%\AppData\Local\Temp\OnboardLogs"\RTDC4040\2017-05-20</v>
      </c>
      <c r="AF151" s="77" t="str">
        <f t="shared" si="72"/>
        <v>"C:\Program Files (x86)\AstroGrep\AstroGrep.exe" /e /r /s /spath="%USERPROFILE%\AppData\Local\Temp\OnboardLogs" /stypes="app*4040*20170520*" /stext=" 06:.+((SYSTEM_STATE.+slice.+state.+changed )|(ment ac)|(multiple cpu faults)|(system.+state.+changed )|(\[timeout)|(PRM\|1\|D)|(kpr)|(kdp)|(train st.+moving)|(\|lc)|(penalty))"</v>
      </c>
      <c r="AG151" s="1" t="str">
        <f t="shared" si="73"/>
        <v>EC</v>
      </c>
      <c r="AH151" s="81" t="str">
        <f t="shared" si="74"/>
        <v>"%USERPROFILE%\Documents\GitHub\eaglep3\Utilities\RefineRTDCRunTimes.py" --tripid 239-19 --locoid 4040 --swversion DE.1.0.9.0 --startMP 204:462 --initTime 2017-05-19T23:14:12 --startdatetime 2017-05-19T23:30:18 --delay 1 --endMP 204:233336 --enddatetime 2017-05-20T00:06:39 --enforcementcount 0 &gt;&gt;C:\Users\stu\Documents\GitHub\eaglep3-reporting\EC\2017-05-19-refined-times.txt</v>
      </c>
      <c r="AI151" s="99" t="str">
        <f t="shared" si="75"/>
        <v>echo {"issue":{"subject":"","project_id":79,"tracker_id":40,"status_id":1,"priority_id":2,"assigned_to_id":23,"start_date":"2017-05-20","description":"","custom_fields":[{"id":1,"name":"Subdivision","value":"EC"},{"id":4,"name":"Milepost","value":"23.3336"},{"id":17,"name":"Train ID","value":"239-19"},{"id":16,"name":"Locomotive ID","value":"4040"},{"id":130,"name":"Impact","value":""},{"id":150,"name":"Time of Event (Mountain Time)","value":"00:06:39"},{"id":151,"name":"Denver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76"/>
        <v>start /low /b %USERPROFILE%\Documents\GitHub\eaglep3\Utilities\DownloadLogsFromS3.py --loco 4040 --day 2017-05-19</v>
      </c>
      <c r="AN151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06:06:39"},{"id":29,"name":"Sharepoint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2" t="s">
        <v>852</v>
      </c>
      <c r="B152" s="7">
        <v>4039</v>
      </c>
      <c r="C152" s="21" t="s">
        <v>206</v>
      </c>
      <c r="D152" s="21" t="s">
        <v>938</v>
      </c>
      <c r="E152" s="13">
        <v>42875.009884259256</v>
      </c>
      <c r="F152" s="13">
        <v>42875.018321759257</v>
      </c>
      <c r="G152" s="7">
        <v>2</v>
      </c>
      <c r="H152" s="21" t="s">
        <v>352</v>
      </c>
      <c r="I152" s="13">
        <v>42875.044988425929</v>
      </c>
      <c r="J152" s="7">
        <v>0</v>
      </c>
      <c r="K152" s="92" t="str">
        <f t="shared" si="60"/>
        <v>4039/4040</v>
      </c>
      <c r="L152" s="21" t="str">
        <f>VLOOKUP(A152,'Trips&amp;Operators'!$C$1:$G$99999,5,FALSE)</f>
        <v>SAFIEF AEIMEN</v>
      </c>
      <c r="M152" s="6">
        <f t="shared" si="61"/>
        <v>2.6666666672099382E-2</v>
      </c>
      <c r="N152" s="7">
        <f t="shared" si="62"/>
        <v>38.40000000782311</v>
      </c>
      <c r="O152" s="7"/>
      <c r="P152" s="7"/>
      <c r="Q152" s="22"/>
      <c r="R152" s="190"/>
      <c r="S152" s="196">
        <f t="shared" si="63"/>
        <v>1</v>
      </c>
      <c r="T152" s="190" t="str">
        <f t="shared" si="64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65"/>
        <v>https://d0f6bd738d7f1b3e5a7ca70fe4ff75f0.us-east-1.aws.found.io/app/kibana#/discover/Steve-Slow-Train-Analysis-(2080s-and-2083s)?_g=(refreshInterval:(display:Off,pause:!f,section:0,value:0),time:(from:'2017-05-19T23:14:14-0600',mode:absolute,to:'2017-05-20T02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2" s="192" t="str">
        <f t="shared" si="66"/>
        <v>N</v>
      </c>
      <c r="X152" s="192">
        <f t="shared" si="78"/>
        <v>1</v>
      </c>
      <c r="Y152" s="192">
        <f t="shared" si="67"/>
        <v>23.303000000000001</v>
      </c>
      <c r="Z152" s="192">
        <f t="shared" si="68"/>
        <v>1.4500000000000001E-2</v>
      </c>
      <c r="AA152" s="192">
        <f t="shared" si="69"/>
        <v>23.288499999999999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70"/>
        <v>0240-19</v>
      </c>
      <c r="AE152" s="80" t="str">
        <f t="shared" si="71"/>
        <v>aws s3 cp s3://rtdc.mdm.uploadarchive.raw/RTDC4039/ "%USERPROFILE%\AppData\Local\Temp\OnboardLogs"\RTDC4039\2017-05-20 --exclude "*" --recursive --include "*20170520*" &amp; "%USERPROFILE%\Documents\GitHub\mrs-test-scripts\Headless Mode &amp; Sideloading\WalkAndUnGZ.bat" "%USERPROFILE%\AppData\Local\Temp\OnboardLogs"\RTDC4039\2017-05-20 &amp; aws s3 cp s3://rtdc.mdm.uploadarchive.raw/RTDC4039/ "%USERPROFILE%\AppData\Local\Temp\OnboardLogs"\RTDC4039\2017-05-21 --exclude "*" --recursive --include "*20170521*" &amp; "%USERPROFILE%\Documents\GitHub\mrs-test-scripts\Headless Mode &amp; Sideloading\WalkAndUnGZ.bat" "%USERPROFILE%\AppData\Local\Temp\OnboardLogs"\RTDC4039\2017-05-21</v>
      </c>
      <c r="AF152" s="77" t="str">
        <f t="shared" si="72"/>
        <v>"C:\Program Files (x86)\AstroGrep\AstroGrep.exe" /e /r /s /spath="%USERPROFILE%\AppData\Local\Temp\OnboardLogs" /stypes="app*4039*20170520*" /stext=" 07:.+((SYSTEM_STATE.+slice.+state.+changed )|(ment ac)|(multiple cpu faults)|(system.+state.+changed )|(\[timeout)|(PRM\|1\|D)|(kpr)|(kdp)|(train st.+moving)|(\|lc)|(penalty))"</v>
      </c>
      <c r="AG152" s="1" t="str">
        <f t="shared" si="73"/>
        <v>EC</v>
      </c>
      <c r="AH152" s="81" t="str">
        <f t="shared" si="74"/>
        <v>"%USERPROFILE%\Documents\GitHub\eaglep3\Utilities\RefineRTDCRunTimes.py" --tripid 240-19 --locoid 4039 --swversion DE.1.0.9.0 --startMP 204:233030 --initTime 2017-05-20T00:14:14 --startdatetime 2017-05-20T00:26:23 --delay 2 --endMP 204:145 --enddatetime 2017-05-20T01:04:47 --enforcementcount 0 &gt;&gt;C:\Users\stu\Documents\GitHub\eaglep3-reporting\EC\2017-05-19-refined-times.txt</v>
      </c>
      <c r="AI152" s="99" t="str">
        <f t="shared" si="75"/>
        <v>echo {"issue":{"subject":"","project_id":79,"tracker_id":40,"status_id":1,"priority_id":2,"assigned_to_id":23,"start_date":"2017-05-20","description":"","custom_fields":[{"id":1,"name":"Subdivision","value":"EC"},{"id":4,"name":"Milepost","value":"0.0145"},{"id":17,"name":"Train ID","value":"240-19"},{"id":16,"name":"Locomotive ID","value":"4039"},{"id":130,"name":"Impact","value":""},{"id":150,"name":"Time of Event (Mountain Time)","value":"01:04:47"},{"id":151,"name":"Denver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76"/>
        <v>start /low /b %USERPROFILE%\Documents\GitHub\eaglep3\Utilities\DownloadLogsFromS3.py --loco 4039 --day 2017-05-20</v>
      </c>
      <c r="AN152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07:04:47"},{"id":29,"name":"Sharepoint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649</v>
      </c>
      <c r="B153" s="7">
        <v>4018</v>
      </c>
      <c r="C153" s="21" t="s">
        <v>206</v>
      </c>
      <c r="D153" s="21" t="s">
        <v>347</v>
      </c>
      <c r="E153" s="13">
        <v>42874.987824074073</v>
      </c>
      <c r="F153" s="13">
        <v>42875.000335648147</v>
      </c>
      <c r="G153" s="7">
        <v>1</v>
      </c>
      <c r="H153" s="21" t="s">
        <v>939</v>
      </c>
      <c r="I153" s="13">
        <v>42875.024606481478</v>
      </c>
      <c r="J153" s="7">
        <v>0</v>
      </c>
      <c r="K153" s="92" t="str">
        <f t="shared" si="60"/>
        <v>4017/4018</v>
      </c>
      <c r="L153" s="21" t="str">
        <f>VLOOKUP(A153,'Trips&amp;Operators'!$C$1:$G$99999,5,FALSE)</f>
        <v>LAMAR NEKESHA</v>
      </c>
      <c r="M153" s="6">
        <f t="shared" si="61"/>
        <v>2.4270833331684116E-2</v>
      </c>
      <c r="N153" s="7">
        <f t="shared" si="62"/>
        <v>34.949999997625127</v>
      </c>
      <c r="O153" s="7"/>
      <c r="P153" s="7"/>
      <c r="Q153" s="22"/>
      <c r="R153" s="190"/>
      <c r="S153" s="196">
        <f t="shared" si="63"/>
        <v>1</v>
      </c>
      <c r="T153" s="190" t="str">
        <f t="shared" si="64"/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65"/>
        <v>https://d0f6bd738d7f1b3e5a7ca70fe4ff75f0.us-east-1.aws.found.io/app/kibana#/discover/Steve-Slow-Train-Analysis-(2080s-and-2083s)?_g=(refreshInterval:(display:Off,pause:!f,section:0,value:0),time:(from:'2017-05-19T22:42:28-0600',mode:absolute,to:'2017-05-20T01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3" s="192" t="str">
        <f t="shared" si="66"/>
        <v>N</v>
      </c>
      <c r="X153" s="192">
        <f t="shared" si="78"/>
        <v>1</v>
      </c>
      <c r="Y153" s="192">
        <f t="shared" si="67"/>
        <v>4.4900000000000002E-2</v>
      </c>
      <c r="Z153" s="192">
        <f t="shared" si="68"/>
        <v>23.3385</v>
      </c>
      <c r="AA153" s="192">
        <f t="shared" si="69"/>
        <v>23.293600000000001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70"/>
        <v>0241-19</v>
      </c>
      <c r="AE153" s="80" t="str">
        <f t="shared" si="71"/>
        <v>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 &amp; aws s3 cp s3://rtdc.mdm.uploadarchive.raw/RTDC4018/ "%USERPROFILE%\AppData\Local\Temp\OnboardLogs"\RTDC4018\2017-05-21 --exclude "*" --recursive --include "*20170521*" &amp; "%USERPROFILE%\Documents\GitHub\mrs-test-scripts\Headless Mode &amp; Sideloading\WalkAndUnGZ.bat" "%USERPROFILE%\AppData\Local\Temp\OnboardLogs"\RTDC4018\2017-05-21</v>
      </c>
      <c r="AF153" s="77" t="str">
        <f t="shared" si="72"/>
        <v>"C:\Program Files (x86)\AstroGrep\AstroGrep.exe" /e /r /s /spath="%USERPROFILE%\AppData\Local\Temp\OnboardLogs" /stypes="app*4018*20170520*" /stext=" 06:.+((SYSTEM_STATE.+slice.+state.+changed )|(ment ac)|(multiple cpu faults)|(system.+state.+changed )|(\[timeout)|(PRM\|1\|D)|(kpr)|(kdp)|(train st.+moving)|(\|lc)|(penalty))"</v>
      </c>
      <c r="AG153" s="1" t="str">
        <f t="shared" si="73"/>
        <v>EC</v>
      </c>
      <c r="AH153" s="81" t="str">
        <f t="shared" si="74"/>
        <v>"%USERPROFILE%\Documents\GitHub\eaglep3\Utilities\RefineRTDCRunTimes.py" --tripid 241-19 --locoid 4018 --swversion DE.1.0.9.0 --startMP 204:449 --initTime 2017-05-19T23:42:28 --startdatetime 2017-05-20T00:00:29 --delay 1 --endMP 204:233385 --enddatetime 2017-05-20T00:35:26 --enforcementcount 0 &gt;&gt;C:\Users\stu\Documents\GitHub\eaglep3-reporting\EC\2017-05-19-refined-times.txt</v>
      </c>
      <c r="AI153" s="99" t="str">
        <f t="shared" si="75"/>
        <v>echo {"issue":{"subject":"","project_id":79,"tracker_id":40,"status_id":1,"priority_id":2,"assigned_to_id":23,"start_date":"2017-05-20","description":"","custom_fields":[{"id":1,"name":"Subdivision","value":"EC"},{"id":4,"name":"Milepost","value":"23.3385"},{"id":17,"name":"Train ID","value":"241-19"},{"id":16,"name":"Locomotive ID","value":"4018"},{"id":130,"name":"Impact","value":""},{"id":150,"name":"Time of Event (Mountain Time)","value":"00:35:26"},{"id":151,"name":"Denver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76"/>
        <v>start /low /b %USERPROFILE%\Documents\GitHub\eaglep3\Utilities\DownloadLogsFromS3.py --loco 4018 --day 2017-05-20</v>
      </c>
      <c r="AN153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06:35:26"},{"id":29,"name":"Sharepoint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854</v>
      </c>
      <c r="B154" s="7">
        <v>4017</v>
      </c>
      <c r="C154" s="21" t="s">
        <v>206</v>
      </c>
      <c r="D154" s="21" t="s">
        <v>940</v>
      </c>
      <c r="E154" s="13">
        <v>42875.03324074074</v>
      </c>
      <c r="F154" s="13">
        <v>42875.039155092592</v>
      </c>
      <c r="G154" s="7">
        <v>2</v>
      </c>
      <c r="H154" s="21" t="s">
        <v>419</v>
      </c>
      <c r="I154" s="13">
        <v>42875.065000000002</v>
      </c>
      <c r="J154" s="7">
        <v>0</v>
      </c>
      <c r="K154" s="92" t="str">
        <f t="shared" si="60"/>
        <v>4017/4018</v>
      </c>
      <c r="L154" s="21" t="str">
        <f>VLOOKUP(A154,'Trips&amp;Operators'!$C$1:$G$99999,5,FALSE)</f>
        <v>LAMAR NEKESHA</v>
      </c>
      <c r="M154" s="6">
        <f t="shared" si="61"/>
        <v>2.584490740991896E-2</v>
      </c>
      <c r="N154" s="7">
        <f t="shared" si="62"/>
        <v>37.216666670283303</v>
      </c>
      <c r="O154" s="7"/>
      <c r="P154" s="7"/>
      <c r="Q154" s="22"/>
      <c r="R154" s="190"/>
      <c r="S154" s="196">
        <f t="shared" si="63"/>
        <v>1</v>
      </c>
      <c r="T154" s="190" t="str">
        <f t="shared" si="64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65"/>
        <v>https://d0f6bd738d7f1b3e5a7ca70fe4ff75f0.us-east-1.aws.found.io/app/kibana#/discover/Steve-Slow-Train-Analysis-(2080s-and-2083s)?_g=(refreshInterval:(display:Off,pause:!f,section:0,value:0),time:(from:'2017-05-19T23:47:52-0600',mode:absolute,to:'2017-05-20T02:33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4" s="192" t="str">
        <f t="shared" si="66"/>
        <v>N</v>
      </c>
      <c r="X154" s="192">
        <f t="shared" si="78"/>
        <v>1</v>
      </c>
      <c r="Y154" s="192">
        <f t="shared" si="67"/>
        <v>23.3063</v>
      </c>
      <c r="Z154" s="192">
        <f t="shared" si="68"/>
        <v>1.54E-2</v>
      </c>
      <c r="AA154" s="192">
        <f t="shared" si="69"/>
        <v>23.290900000000001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70"/>
        <v>0242-19</v>
      </c>
      <c r="AE154" s="80" t="str">
        <f t="shared" si="71"/>
        <v>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 &amp; aws s3 cp s3://rtdc.mdm.uploadarchive.raw/RTDC4017/ "%USERPROFILE%\AppData\Local\Temp\OnboardLogs"\RTDC4017\2017-05-21 --exclude "*" --recursive --include "*20170521*" &amp; "%USERPROFILE%\Documents\GitHub\mrs-test-scripts\Headless Mode &amp; Sideloading\WalkAndUnGZ.bat" "%USERPROFILE%\AppData\Local\Temp\OnboardLogs"\RTDC4017\2017-05-21</v>
      </c>
      <c r="AF154" s="77" t="str">
        <f t="shared" si="72"/>
        <v>"C:\Program Files (x86)\AstroGrep\AstroGrep.exe" /e /r /s /spath="%USERPROFILE%\AppData\Local\Temp\OnboardLogs" /stypes="app*4017*20170520*" /stext=" 07:.+((SYSTEM_STATE.+slice.+state.+changed )|(ment ac)|(multiple cpu faults)|(system.+state.+changed )|(\[timeout)|(PRM\|1\|D)|(kpr)|(kdp)|(train st.+moving)|(\|lc)|(penalty))"</v>
      </c>
      <c r="AG154" s="1" t="str">
        <f t="shared" si="73"/>
        <v>EC</v>
      </c>
      <c r="AH154" s="81" t="str">
        <f t="shared" si="74"/>
        <v>"%USERPROFILE%\Documents\GitHub\eaglep3\Utilities\RefineRTDCRunTimes.py" --tripid 242-19 --locoid 4017 --swversion DE.1.0.9.0 --startMP 204:233063 --initTime 2017-05-20T00:47:52 --startdatetime 2017-05-20T00:56:23 --delay 2 --endMP 204:154 --enddatetime 2017-05-20T01:33:36 --enforcementcount 0 &gt;&gt;C:\Users\stu\Documents\GitHub\eaglep3-reporting\EC\2017-05-19-refined-times.txt</v>
      </c>
      <c r="AI154" s="99" t="str">
        <f t="shared" si="75"/>
        <v>echo {"issue":{"subject":"","project_id":79,"tracker_id":40,"status_id":1,"priority_id":2,"assigned_to_id":23,"start_date":"2017-05-20","description":"","custom_fields":[{"id":1,"name":"Subdivision","value":"EC"},{"id":4,"name":"Milepost","value":"0.0154"},{"id":17,"name":"Train ID","value":"242-19"},{"id":16,"name":"Locomotive ID","value":"4017"},{"id":130,"name":"Impact","value":""},{"id":150,"name":"Time of Event (Mountain Time)","value":"01:33:36"},{"id":151,"name":"Denver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76"/>
        <v>start /low /b %USERPROFILE%\Documents\GitHub\eaglep3\Utilities\DownloadLogsFromS3.py --loco 4017 --day 2017-05-20</v>
      </c>
      <c r="AN154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07:33:36"},{"id":29,"name":"Sharepoint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853</v>
      </c>
      <c r="B155" s="7">
        <v>4016</v>
      </c>
      <c r="C155" s="21" t="s">
        <v>206</v>
      </c>
      <c r="D155" s="21" t="s">
        <v>933</v>
      </c>
      <c r="E155" s="13">
        <v>42875.008645833332</v>
      </c>
      <c r="F155" s="13">
        <v>42875.020983796298</v>
      </c>
      <c r="G155" s="7">
        <v>4</v>
      </c>
      <c r="H155" s="21" t="s">
        <v>505</v>
      </c>
      <c r="I155" s="13">
        <v>42875.046469907407</v>
      </c>
      <c r="J155" s="7">
        <v>0</v>
      </c>
      <c r="K155" s="92" t="str">
        <f t="shared" si="60"/>
        <v>4015/4016</v>
      </c>
      <c r="L155" s="21" t="str">
        <f>VLOOKUP(A155,'Trips&amp;Operators'!$C$1:$G$99999,5,FALSE)</f>
        <v>SWANSON BRYCE</v>
      </c>
      <c r="M155" s="6">
        <f t="shared" si="61"/>
        <v>2.548611110978527E-2</v>
      </c>
      <c r="N155" s="7">
        <f t="shared" si="62"/>
        <v>36.699999998090789</v>
      </c>
      <c r="O155" s="7"/>
      <c r="P155" s="7"/>
      <c r="Q155" s="22"/>
      <c r="R155" s="190"/>
      <c r="S155" s="196">
        <f t="shared" si="63"/>
        <v>1</v>
      </c>
      <c r="T155" s="190" t="str">
        <f t="shared" si="64"/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65"/>
        <v>https://d0f6bd738d7f1b3e5a7ca70fe4ff75f0.us-east-1.aws.found.io/app/kibana#/discover/Steve-Slow-Train-Analysis-(2080s-and-2083s)?_g=(refreshInterval:(display:Off,pause:!f,section:0,value:0),time:(from:'2017-05-19T23:12:27-0600',mode:absolute,to:'2017-05-20T02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5" s="192" t="str">
        <f t="shared" si="66"/>
        <v>N</v>
      </c>
      <c r="X155" s="192">
        <f t="shared" si="78"/>
        <v>1</v>
      </c>
      <c r="Y155" s="192">
        <f t="shared" si="67"/>
        <v>4.3299999999999998E-2</v>
      </c>
      <c r="Z155" s="192">
        <f t="shared" si="68"/>
        <v>23.328299999999999</v>
      </c>
      <c r="AA155" s="192">
        <f t="shared" si="69"/>
        <v>23.285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70"/>
        <v>0243-19</v>
      </c>
      <c r="AE155" s="80" t="str">
        <f t="shared" si="71"/>
        <v>aws s3 cp s3://rtdc.mdm.uploadarchive.raw/RTDC4016/ "%USERPROFILE%\AppData\Local\Temp\OnboardLogs"\RTDC4016\2017-05-20 --exclude "*" --recursive --include "*20170520*" &amp; "%USERPROFILE%\Documents\GitHub\mrs-test-scripts\Headless Mode &amp; Sideloading\WalkAndUnGZ.bat" "%USERPROFILE%\AppData\Local\Temp\OnboardLogs"\RTDC4016\2017-05-20 &amp; aws s3 cp s3://rtdc.mdm.uploadarchive.raw/RTDC4016/ "%USERPROFILE%\AppData\Local\Temp\OnboardLogs"\RTDC4016\2017-05-21 --exclude "*" --recursive --include "*20170521*" &amp; "%USERPROFILE%\Documents\GitHub\mrs-test-scripts\Headless Mode &amp; Sideloading\WalkAndUnGZ.bat" "%USERPROFILE%\AppData\Local\Temp\OnboardLogs"\RTDC4016\2017-05-21</v>
      </c>
      <c r="AF155" s="77" t="str">
        <f t="shared" si="72"/>
        <v>"C:\Program Files (x86)\AstroGrep\AstroGrep.exe" /e /r /s /spath="%USERPROFILE%\AppData\Local\Temp\OnboardLogs" /stypes="app*4016*20170520*" /stext=" 07:.+((SYSTEM_STATE.+slice.+state.+changed )|(ment ac)|(multiple cpu faults)|(system.+state.+changed )|(\[timeout)|(PRM\|1\|D)|(kpr)|(kdp)|(train st.+moving)|(\|lc)|(penalty))"</v>
      </c>
      <c r="AG155" s="1" t="str">
        <f t="shared" si="73"/>
        <v>EC</v>
      </c>
      <c r="AH155" s="81" t="str">
        <f t="shared" si="74"/>
        <v>"%USERPROFILE%\Documents\GitHub\eaglep3\Utilities\RefineRTDCRunTimes.py" --tripid 243-19 --locoid 4016 --swversion DE.1.0.9.0 --startMP 204:433 --initTime 2017-05-20T00:12:27 --startdatetime 2017-05-20T00:30:13 --delay 4 --endMP 204:233283 --enddatetime 2017-05-20T01:06:55 --enforcementcount 0 &gt;&gt;C:\Users\stu\Documents\GitHub\eaglep3-reporting\EC\2017-05-19-refined-times.txt</v>
      </c>
      <c r="AI155" s="99" t="str">
        <f t="shared" si="75"/>
        <v>echo {"issue":{"subject":"","project_id":79,"tracker_id":40,"status_id":1,"priority_id":2,"assigned_to_id":23,"start_date":"2017-05-20","description":"","custom_fields":[{"id":1,"name":"Subdivision","value":"EC"},{"id":4,"name":"Milepost","value":"23.3283"},{"id":17,"name":"Train ID","value":"243-19"},{"id":16,"name":"Locomotive ID","value":"4016"},{"id":130,"name":"Impact","value":""},{"id":150,"name":"Time of Event (Mountain Time)","value":"01:06:55"},{"id":151,"name":"Denver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76"/>
        <v>start /low /b %USERPROFILE%\Documents\GitHub\eaglep3\Utilities\DownloadLogsFromS3.py --loco 4016 --day 2017-05-20</v>
      </c>
      <c r="AN155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07:06:55"},{"id":29,"name":"Sharepoint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857</v>
      </c>
      <c r="B156" s="7">
        <v>4015</v>
      </c>
      <c r="C156" s="21" t="s">
        <v>206</v>
      </c>
      <c r="D156" s="21" t="s">
        <v>933</v>
      </c>
      <c r="E156" s="13">
        <v>42875.008645833332</v>
      </c>
      <c r="F156" s="13">
        <v>42875.059907407405</v>
      </c>
      <c r="G156" s="7">
        <v>4</v>
      </c>
      <c r="H156" s="21" t="s">
        <v>505</v>
      </c>
      <c r="I156" s="13">
        <v>42875.087187500001</v>
      </c>
      <c r="J156" s="7">
        <v>0</v>
      </c>
      <c r="K156" s="92" t="str">
        <f t="shared" si="60"/>
        <v>4015/4016</v>
      </c>
      <c r="L156" s="21" t="str">
        <f>VLOOKUP(A156,'Trips&amp;Operators'!$C$1:$G$99999,5,FALSE)</f>
        <v>SWANSON BRYCE</v>
      </c>
      <c r="M156" s="6">
        <f t="shared" si="61"/>
        <v>2.7280092595901806E-2</v>
      </c>
      <c r="N156" s="7">
        <f t="shared" si="62"/>
        <v>39.283333338098601</v>
      </c>
      <c r="O156" s="7"/>
      <c r="P156" s="7"/>
      <c r="Q156" s="22"/>
      <c r="R156" s="190"/>
      <c r="S156" s="196">
        <f t="shared" si="63"/>
        <v>1</v>
      </c>
      <c r="T156" s="190" t="str">
        <f t="shared" si="64"/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65"/>
        <v>https://d0f6bd738d7f1b3e5a7ca70fe4ff75f0.us-east-1.aws.found.io/app/kibana#/discover/Steve-Slow-Train-Analysis-(2080s-and-2083s)?_g=(refreshInterval:(display:Off,pause:!f,section:0,value:0),time:(from:'2017-05-19T23:12:27-0600',mode:absolute,to:'2017-05-20T03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6" s="192" t="str">
        <f t="shared" si="66"/>
        <v>N</v>
      </c>
      <c r="X156" s="192">
        <f t="shared" ref="X156:X161" si="79">VALUE(LEFT(AD156,4))-VALUE(LEFT(AD155,4))</f>
        <v>1</v>
      </c>
      <c r="Y156" s="192">
        <v>23.3063</v>
      </c>
      <c r="Z156" s="192">
        <v>1.54E-2</v>
      </c>
      <c r="AA156" s="192">
        <f t="shared" si="69"/>
        <v>23.290900000000001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70"/>
        <v>0244-19</v>
      </c>
      <c r="AE156" s="80" t="str">
        <f t="shared" si="71"/>
        <v>aws s3 cp s3://rtdc.mdm.uploadarchive.raw/RTDC4015/ "%USERPROFILE%\AppData\Local\Temp\OnboardLogs"\RTDC4015\2017-05-20 --exclude "*" --recursive --include "*20170520*" &amp; "%USERPROFILE%\Documents\GitHub\mrs-test-scripts\Headless Mode &amp; Sideloading\WalkAndUnGZ.bat" "%USERPROFILE%\AppData\Local\Temp\OnboardLogs"\RTDC4015\2017-05-20 &amp; aws s3 cp s3://rtdc.mdm.uploadarchive.raw/RTDC4015/ "%USERPROFILE%\AppData\Local\Temp\OnboardLogs"\RTDC4015\2017-05-21 --exclude "*" --recursive --include "*20170521*" &amp; "%USERPROFILE%\Documents\GitHub\mrs-test-scripts\Headless Mode &amp; Sideloading\WalkAndUnGZ.bat" "%USERPROFILE%\AppData\Local\Temp\OnboardLogs"\RTDC4015\2017-05-21</v>
      </c>
      <c r="AF156" s="77" t="str">
        <f t="shared" si="72"/>
        <v>"C:\Program Files (x86)\AstroGrep\AstroGrep.exe" /e /r /s /spath="%USERPROFILE%\AppData\Local\Temp\OnboardLogs" /stypes="app*4015*20170520*" /stext=" 08:.+((SYSTEM_STATE.+slice.+state.+changed )|(ment ac)|(multiple cpu faults)|(system.+state.+changed )|(\[timeout)|(PRM\|1\|D)|(kpr)|(kdp)|(train st.+moving)|(\|lc)|(penalty))"</v>
      </c>
      <c r="AG156" s="1" t="str">
        <f t="shared" si="73"/>
        <v>EC</v>
      </c>
      <c r="AH156" s="81" t="str">
        <f t="shared" ref="AH156" si="80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244-19 --locoid 4015 --swversion DE.1.0.9.0 --startMP 204:433 --initTime 2017-05-20T00:12:27 --startdatetime 2017-05-20T01:26:16 --delay 4 --endMP 204:233283 --enddatetime 2017-05-20T02:05:33 --enforcementcount 0 &gt;&gt;C:\Users\stu\Documents\GitHub\eaglep3-reporting\EC\2017-05-19-refined-times.txt</v>
      </c>
      <c r="AI156" s="99" t="str">
        <f t="shared" ref="AI156" si="81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{"issue":{"subject":"","project_id":79,"tracker_id":40,"status_id":1,"priority_id":2,"assigned_to_id":23,"start_date":"2017-05-20","description":"","custom_fields":[{"id":1,"name":"Subdivision","value":"EC"},{"id":4,"name":"Milepost","value":"0.0154"},{"id":17,"name":"Train ID","value":"244-19"},{"id":16,"name":"Locomotive ID","value":"4015"},{"id":130,"name":"Impact","value":""},{"id":150,"name":"Time of Event (Mountain Time)","value":"02:05:33"},{"id":151,"name":"Denver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ref="AM156" si="82">"start /low /b "&amp;dls3logs&amp;" --loco "&amp;B156&amp;" --day "&amp;TEXT(F156,"YYYY-MM-DD")</f>
        <v>start /low /b %USERPROFILE%\Documents\GitHub\eaglep3\Utilities\DownloadLogsFromS3.py --loco 4015 --day 2017-05-20</v>
      </c>
      <c r="AN156" s="154" t="str">
        <f t="shared" ref="AN156" si="83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08:05:33"},{"id":29,"name":"Sharepoint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2" t="s">
        <v>855</v>
      </c>
      <c r="B157" s="7">
        <v>4054</v>
      </c>
      <c r="C157" s="21" t="s">
        <v>206</v>
      </c>
      <c r="D157" s="21" t="s">
        <v>363</v>
      </c>
      <c r="E157" s="13">
        <v>42875.037604166668</v>
      </c>
      <c r="F157" s="13">
        <v>42875.041828703703</v>
      </c>
      <c r="G157" s="7">
        <v>1</v>
      </c>
      <c r="H157" s="21" t="s">
        <v>941</v>
      </c>
      <c r="I157" s="13">
        <v>42875.066793981481</v>
      </c>
      <c r="J157" s="7">
        <v>0</v>
      </c>
      <c r="K157" s="92" t="str">
        <f t="shared" si="60"/>
        <v>4053/4054</v>
      </c>
      <c r="L157" s="21" t="str">
        <f>VLOOKUP(A157,'Trips&amp;Operators'!$C$1:$G$99999,5,FALSE)</f>
        <v>BROWN JACOB</v>
      </c>
      <c r="M157" s="6">
        <f t="shared" si="61"/>
        <v>2.4965277778392192E-2</v>
      </c>
      <c r="N157" s="7">
        <f t="shared" si="62"/>
        <v>35.950000000884756</v>
      </c>
      <c r="O157" s="7"/>
      <c r="P157" s="7"/>
      <c r="Q157" s="22"/>
      <c r="R157" s="190"/>
      <c r="S157" s="196">
        <f t="shared" si="63"/>
        <v>1</v>
      </c>
      <c r="T157" s="190" t="str">
        <f t="shared" si="64"/>
        <v>NorthBound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65"/>
        <v>https://d0f6bd738d7f1b3e5a7ca70fe4ff75f0.us-east-1.aws.found.io/app/kibana#/discover/Steve-Slow-Train-Analysis-(2080s-and-2083s)?_g=(refreshInterval:(display:Off,pause:!f,section:0,value:0),time:(from:'2017-05-19T23:54:09-0600',mode:absolute,to:'2017-05-20T02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7" s="192" t="str">
        <f t="shared" si="66"/>
        <v>N</v>
      </c>
      <c r="X157" s="192">
        <f t="shared" si="79"/>
        <v>1</v>
      </c>
      <c r="Y157" s="192">
        <f>RIGHT(D157,LEN(D157)-4)/10000</f>
        <v>4.4400000000000002E-2</v>
      </c>
      <c r="Z157" s="192">
        <f>RIGHT(H157,LEN(H157)-4)/10000</f>
        <v>23.3309</v>
      </c>
      <c r="AA157" s="192">
        <f t="shared" si="69"/>
        <v>23.2865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70"/>
        <v>0245-19</v>
      </c>
      <c r="AE157" s="80" t="str">
        <f t="shared" si="71"/>
        <v>aws s3 cp s3://rtdc.mdm.uploadarchive.raw/RTDC4054/ "%USERPROFILE%\AppData\Local\Temp\OnboardLogs"\RTDC4054\2017-05-20 --exclude "*" --recursive --include "*20170520*" &amp; "%USERPROFILE%\Documents\GitHub\mrs-test-scripts\Headless Mode &amp; Sideloading\WalkAndUnGZ.bat" "%USERPROFILE%\AppData\Local\Temp\OnboardLogs"\RTDC4054\2017-05-20 &amp; 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</v>
      </c>
      <c r="AF157" s="77" t="str">
        <f t="shared" si="72"/>
        <v>"C:\Program Files (x86)\AstroGrep\AstroGrep.exe" /e /r /s /spath="%USERPROFILE%\AppData\Local\Temp\OnboardLogs" /stypes="app*4054*20170520*" /stext=" 07:.+((SYSTEM_STATE.+slice.+state.+changed )|(ment ac)|(multiple cpu faults)|(system.+state.+changed )|(\[timeout)|(PRM\|1\|D)|(kpr)|(kdp)|(train st.+moving)|(\|lc)|(penalty))"</v>
      </c>
      <c r="AG157" s="1" t="str">
        <f t="shared" si="73"/>
        <v>EC</v>
      </c>
      <c r="AH157" s="81" t="str">
        <f t="shared" si="74"/>
        <v>"%USERPROFILE%\Documents\GitHub\eaglep3\Utilities\RefineRTDCRunTimes.py" --tripid 245-19 --locoid 4054 --swversion DE.1.0.9.0 --startMP 204:444 --initTime 2017-05-20T00:54:09 --startdatetime 2017-05-20T01:00:14 --delay 1 --endMP 204:233309 --enddatetime 2017-05-20T01:36:11 --enforcementcount 0 &gt;&gt;C:\Users\stu\Documents\GitHub\eaglep3-reporting\EC\2017-05-19-refined-times.txt</v>
      </c>
      <c r="AI157" s="99" t="str">
        <f t="shared" si="75"/>
        <v>echo {"issue":{"subject":"","project_id":79,"tracker_id":40,"status_id":1,"priority_id":2,"assigned_to_id":23,"start_date":"2017-05-20","description":"","custom_fields":[{"id":1,"name":"Subdivision","value":"EC"},{"id":4,"name":"Milepost","value":"23.3309"},{"id":17,"name":"Train ID","value":"245-19"},{"id":16,"name":"Locomotive ID","value":"4054"},{"id":130,"name":"Impact","value":""},{"id":150,"name":"Time of Event (Mountain Time)","value":"01:36:11"},{"id":151,"name":"Denver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76"/>
        <v>start /low /b %USERPROFILE%\Documents\GitHub\eaglep3\Utilities\DownloadLogsFromS3.py --loco 4054 --day 2017-05-20</v>
      </c>
      <c r="AN157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07:36:11"},{"id":29,"name":"Sharepoint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859</v>
      </c>
      <c r="B158" s="7">
        <v>4053</v>
      </c>
      <c r="C158" s="21" t="s">
        <v>206</v>
      </c>
      <c r="D158" s="21" t="s">
        <v>363</v>
      </c>
      <c r="E158" s="13">
        <v>42875.037604166668</v>
      </c>
      <c r="F158" s="13">
        <v>42875.083101851851</v>
      </c>
      <c r="G158" s="7">
        <v>1</v>
      </c>
      <c r="H158" s="21" t="s">
        <v>941</v>
      </c>
      <c r="I158" s="13">
        <v>42875.107187499998</v>
      </c>
      <c r="J158" s="7">
        <v>0</v>
      </c>
      <c r="K158" s="92" t="str">
        <f t="shared" si="60"/>
        <v>4053/4054</v>
      </c>
      <c r="L158" s="21" t="str">
        <f>VLOOKUP(A158,'Trips&amp;Operators'!$C$1:$G$99999,5,FALSE)</f>
        <v>BROWN JACOB</v>
      </c>
      <c r="M158" s="6">
        <f t="shared" si="61"/>
        <v>2.4085648146865424E-2</v>
      </c>
      <c r="N158" s="7">
        <f t="shared" si="62"/>
        <v>34.68333333148621</v>
      </c>
      <c r="O158" s="7"/>
      <c r="P158" s="7"/>
      <c r="Q158" s="22"/>
      <c r="R158" s="190"/>
      <c r="S158" s="196">
        <f t="shared" si="63"/>
        <v>1</v>
      </c>
      <c r="T158" s="190" t="str">
        <f t="shared" si="64"/>
        <v>Southbound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65"/>
        <v>https://d0f6bd738d7f1b3e5a7ca70fe4ff75f0.us-east-1.aws.found.io/app/kibana#/discover/Steve-Slow-Train-Analysis-(2080s-and-2083s)?_g=(refreshInterval:(display:Off,pause:!f,section:0,value:0),time:(from:'2017-05-19T23:54:09-0600',mode:absolute,to:'2017-05-20T03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8" s="192" t="str">
        <f t="shared" si="66"/>
        <v>N</v>
      </c>
      <c r="X158" s="192">
        <f t="shared" si="79"/>
        <v>1</v>
      </c>
      <c r="Y158" s="192">
        <v>23.3063</v>
      </c>
      <c r="Z158" s="192">
        <v>0.18</v>
      </c>
      <c r="AA158" s="192">
        <f t="shared" si="69"/>
        <v>23.126300000000001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70"/>
        <v>0246-19</v>
      </c>
      <c r="AE158" s="80" t="str">
        <f t="shared" si="71"/>
        <v>aws s3 cp s3://rtdc.mdm.uploadarchive.raw/RTDC4053/ "%USERPROFILE%\AppData\Local\Temp\OnboardLogs"\RTDC4053\2017-05-20 --exclude "*" --recursive --include "*20170520*" &amp; "%USERPROFILE%\Documents\GitHub\mrs-test-scripts\Headless Mode &amp; Sideloading\WalkAndUnGZ.bat" "%USERPROFILE%\AppData\Local\Temp\OnboardLogs"\RTDC4053\2017-05-20 &amp; 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</v>
      </c>
      <c r="AF158" s="77" t="str">
        <f t="shared" si="72"/>
        <v>"C:\Program Files (x86)\AstroGrep\AstroGrep.exe" /e /r /s /spath="%USERPROFILE%\AppData\Local\Temp\OnboardLogs" /stypes="app*4053*20170520*" /stext=" 08:.+((SYSTEM_STATE.+slice.+state.+changed )|(ment ac)|(multiple cpu faults)|(system.+state.+changed )|(\[timeout)|(PRM\|1\|D)|(kpr)|(kdp)|(train st.+moving)|(\|lc)|(penalty))"</v>
      </c>
      <c r="AG158" s="1" t="str">
        <f t="shared" si="73"/>
        <v>EC</v>
      </c>
      <c r="AH158" s="81" t="str">
        <f t="shared" ref="AH158" si="84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246-19 --locoid 4053 --swversion DE.1.0.9.0 --startMP 204:444 --initTime 2017-05-20T00:54:09 --startdatetime 2017-05-20T01:59:40 --delay 1 --endMP 204:233309 --enddatetime 2017-05-20T02:34:21 --enforcementcount 0 &gt;&gt;C:\Users\stu\Documents\GitHub\eaglep3-reporting\EC\2017-05-19-refined-times.txt</v>
      </c>
      <c r="AI158" s="99" t="str">
        <f t="shared" ref="AI158" si="85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{"issue":{"subject":"","project_id":79,"tracker_id":40,"status_id":1,"priority_id":2,"assigned_to_id":23,"start_date":"2017-05-20","description":"","custom_fields":[{"id":1,"name":"Subdivision","value":"EC"},{"id":4,"name":"Milepost","value":"0.18"},{"id":17,"name":"Train ID","value":"246-19"},{"id":16,"name":"Locomotive ID","value":"4053"},{"id":130,"name":"Impact","value":""},{"id":150,"name":"Time of Event (Mountain Time)","value":"02:34:21"},{"id":151,"name":"Denver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ref="AM158" si="86">"start /low /b "&amp;dls3logs&amp;" --loco "&amp;B158&amp;" --day "&amp;TEXT(F158,"YYYY-MM-DD")</f>
        <v>start /low /b %USERPROFILE%\Documents\GitHub\eaglep3\Utilities\DownloadLogsFromS3.py --loco 4053 --day 2017-05-20</v>
      </c>
      <c r="AN158" s="154" t="str">
        <f t="shared" ref="AN158" si="87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08:34:21"},{"id":29,"name":"Sharepoint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673</v>
      </c>
      <c r="B159" s="7">
        <v>4029</v>
      </c>
      <c r="C159" s="21" t="s">
        <v>206</v>
      </c>
      <c r="D159" s="21" t="s">
        <v>978</v>
      </c>
      <c r="E159" s="13">
        <v>42874.215694444443</v>
      </c>
      <c r="F159" s="13">
        <v>42874.216979166667</v>
      </c>
      <c r="G159" s="7">
        <v>1</v>
      </c>
      <c r="H159" s="21" t="s">
        <v>979</v>
      </c>
      <c r="I159" s="13">
        <v>42874.225370370368</v>
      </c>
      <c r="J159" s="7">
        <v>0</v>
      </c>
      <c r="K159" s="92" t="str">
        <f t="shared" si="60"/>
        <v>4029/4030</v>
      </c>
      <c r="L159" s="21" t="str">
        <f>VLOOKUP(A159,'Trips&amp;Operators'!$C$1:$G$99999,5,FALSE)</f>
        <v>GEBRETEKLE DAGNEW</v>
      </c>
      <c r="M159" s="6">
        <f t="shared" si="61"/>
        <v>8.3912037007394247E-3</v>
      </c>
      <c r="N159" s="7">
        <f t="shared" si="62"/>
        <v>12.083333329064772</v>
      </c>
      <c r="O159" s="7"/>
      <c r="P159" s="7"/>
      <c r="Q159" s="22"/>
      <c r="R159" s="190"/>
      <c r="S159" s="196">
        <f t="shared" si="63"/>
        <v>1</v>
      </c>
      <c r="T159" s="190" t="str">
        <f t="shared" si="64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65"/>
        <v>https://d0f6bd738d7f1b3e5a7ca70fe4ff75f0.us-east-1.aws.found.io/app/kibana#/discover/Steve-Slow-Train-Analysis-(2080s-and-2083s)?_g=(refreshInterval:(display:Off,pause:!f,section:0,value:0),time:(from:'2017-05-19T04:10:36-0600',mode:absolute,to:'2017-05-19T06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9" s="192" t="str">
        <f t="shared" si="66"/>
        <v>N</v>
      </c>
      <c r="X159" s="192">
        <f t="shared" si="79"/>
        <v>554</v>
      </c>
      <c r="Y159" s="192">
        <f t="shared" ref="Y159:Y166" si="88">RIGHT(D159,LEN(D159)-4)/10000</f>
        <v>5.8672000000000004</v>
      </c>
      <c r="Z159" s="192">
        <f t="shared" ref="Z159:Z165" si="89">RIGHT(H159,LEN(H159)-4)/10000</f>
        <v>6.8699999999999997E-2</v>
      </c>
      <c r="AA159" s="192">
        <f t="shared" si="69"/>
        <v>5.7985000000000007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70"/>
        <v>0800-19</v>
      </c>
      <c r="AE159" s="80" t="str">
        <f t="shared" si="71"/>
        <v>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 &amp; aws s3 cp s3://rtdc.mdm.uploadarchive.raw/RTDC4029/ "%USERPROFILE%\AppData\Local\Temp\OnboardLogs"\RTDC4029\2017-05-20 --exclude "*" --recursive --include "*20170520*" &amp; "%USERPROFILE%\Documents\GitHub\mrs-test-scripts\Headless Mode &amp; Sideloading\WalkAndUnGZ.bat" "%USERPROFILE%\AppData\Local\Temp\OnboardLogs"\RTDC4029\2017-05-20</v>
      </c>
      <c r="AF159" s="77" t="str">
        <f t="shared" si="72"/>
        <v>"C:\Program Files (x86)\AstroGrep\AstroGrep.exe" /e /r /s /spath="%USERPROFILE%\AppData\Local\Temp\OnboardLogs" /stypes="app*4029*20170519*" /stext=" 11:.+((SYSTEM_STATE.+slice.+state.+changed )|(ment ac)|(multiple cpu faults)|(system.+state.+changed )|(\[timeout)|(PRM\|1\|D)|(kpr)|(kdp)|(train st.+moving)|(\|lc)|(penalty))"</v>
      </c>
      <c r="AG159" s="1" t="str">
        <f t="shared" si="73"/>
        <v>NW</v>
      </c>
      <c r="AH159" s="81" t="str">
        <f t="shared" si="74"/>
        <v>"%USERPROFILE%\Documents\GitHub\eaglep3\Utilities\RefineRTDCRunTimes.py" --tripid 800-19 --locoid 4029 --swversion DE.1.0.9.0 --startMP 300:58672 --initTime 2017-05-19T05:10:36 --startdatetime 2017-05-19T05:12:27 --delay 1 --endMP 204:687 --enddatetime 2017-05-19T05:24:32 --enforcementcount 0 &gt;&gt;C:\Users\stu\Documents\GitHub\eaglep3-reporting\EC\2017-05-19-refined-times.txt</v>
      </c>
      <c r="AI159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{"issue":{"subject":"","project_id":79,"tracker_id":40,"status_id":1,"priority_id":2,"assigned_to_id":23,"start_date":"2017-05-19","description":"","custom_fields":[{"id":1,"name":"Subdivision","value":"NW"},{"id":4,"name":"Milepost","value":"0.0687"},{"id":17,"name":"Train ID","value":"800-19"},{"id":16,"name":"Locomotive ID","value":"4029"},{"id":130,"name":"Impact","value":""},{"id":150,"name":"Time of Event (Mountain Time)","value":"05:24:32"},{"id":151,"name":"Denver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76"/>
        <v>start /low /b %USERPROFILE%\Documents\GitHub\eaglep3\Utilities\DownloadLogsFromS3.py --loco 4029 --day 2017-05-19</v>
      </c>
      <c r="AN159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11:24:32"},{"id":29,"name":"Sharepoint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675</v>
      </c>
      <c r="B160" s="7">
        <v>4030</v>
      </c>
      <c r="C160" s="21" t="s">
        <v>206</v>
      </c>
      <c r="D160" s="21" t="s">
        <v>980</v>
      </c>
      <c r="E160" s="13">
        <v>42874.227199074077</v>
      </c>
      <c r="F160" s="13">
        <v>42874.243923611109</v>
      </c>
      <c r="G160" s="7">
        <v>1</v>
      </c>
      <c r="H160" s="21" t="s">
        <v>981</v>
      </c>
      <c r="I160" s="13">
        <v>42874.252939814818</v>
      </c>
      <c r="J160" s="7">
        <v>0</v>
      </c>
      <c r="K160" s="92" t="str">
        <f t="shared" si="60"/>
        <v>4029/4030</v>
      </c>
      <c r="L160" s="21" t="str">
        <f>VLOOKUP(A160,'Trips&amp;Operators'!$C$1:$G$99999,5,FALSE)</f>
        <v>GEBRETEKLE DAGNEW</v>
      </c>
      <c r="M160" s="6">
        <f t="shared" si="61"/>
        <v>9.0162037085974589E-3</v>
      </c>
      <c r="N160" s="7">
        <f t="shared" si="62"/>
        <v>12.983333340380341</v>
      </c>
      <c r="O160" s="7"/>
      <c r="P160" s="7"/>
      <c r="Q160" s="22"/>
      <c r="R160" s="190"/>
      <c r="S160" s="196">
        <f t="shared" si="63"/>
        <v>1</v>
      </c>
      <c r="T160" s="190" t="str">
        <f t="shared" si="64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65"/>
        <v>https://d0f6bd738d7f1b3e5a7ca70fe4ff75f0.us-east-1.aws.found.io/app/kibana#/discover/Steve-Slow-Train-Analysis-(2080s-and-2083s)?_g=(refreshInterval:(display:Off,pause:!f,section:0,value:0),time:(from:'2017-05-19T04:27:10-0600',mode:absolute,to:'2017-05-19T07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0" s="192" t="str">
        <f t="shared" si="66"/>
        <v>N</v>
      </c>
      <c r="X160" s="192">
        <f t="shared" si="79"/>
        <v>1</v>
      </c>
      <c r="Y160" s="192">
        <f t="shared" si="88"/>
        <v>9.6699999999999994E-2</v>
      </c>
      <c r="Z160" s="192">
        <f t="shared" si="89"/>
        <v>5.8983999999999996</v>
      </c>
      <c r="AA160" s="192">
        <f t="shared" si="69"/>
        <v>5.8016999999999994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70"/>
        <v>0801-19</v>
      </c>
      <c r="AE160" s="80" t="str">
        <f t="shared" si="71"/>
        <v>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 &amp; aws s3 cp s3://rtdc.mdm.uploadarchive.raw/RTDC4030/ "%USERPROFILE%\AppData\Local\Temp\OnboardLogs"\RTDC4030\2017-05-20 --exclude "*" --recursive --include "*20170520*" &amp; "%USERPROFILE%\Documents\GitHub\mrs-test-scripts\Headless Mode &amp; Sideloading\WalkAndUnGZ.bat" "%USERPROFILE%\AppData\Local\Temp\OnboardLogs"\RTDC4030\2017-05-20</v>
      </c>
      <c r="AF160" s="77" t="str">
        <f t="shared" si="72"/>
        <v>"C:\Program Files (x86)\AstroGrep\AstroGrep.exe" /e /r /s /spath="%USERPROFILE%\AppData\Local\Temp\OnboardLogs" /stypes="app*4030*20170519*" /stext=" 12:.+((SYSTEM_STATE.+slice.+state.+changed )|(ment ac)|(multiple cpu faults)|(system.+state.+changed )|(\[timeout)|(PRM\|1\|D)|(kpr)|(kdp)|(train st.+moving)|(\|lc)|(penalty))"</v>
      </c>
      <c r="AG160" s="1" t="str">
        <f t="shared" si="73"/>
        <v>NW</v>
      </c>
      <c r="AH160" s="81" t="str">
        <f t="shared" si="74"/>
        <v>"%USERPROFILE%\Documents\GitHub\eaglep3\Utilities\RefineRTDCRunTimes.py" --tripid 801-19 --locoid 4030 --swversion DE.1.0.9.0 --startMP 204:967 --initTime 2017-05-19T05:27:10 --startdatetime 2017-05-19T05:51:15 --delay 1 --endMP 300:58984 --enddatetime 2017-05-19T06:04:14 --enforcementcount 0 &gt;&gt;C:\Users\stu\Documents\GitHub\eaglep3-reporting\EC\2017-05-19-refined-times.txt</v>
      </c>
      <c r="AI160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{"issue":{"subject":"","project_id":79,"tracker_id":40,"status_id":1,"priority_id":2,"assigned_to_id":23,"start_date":"2017-05-19","description":"","custom_fields":[{"id":1,"name":"Subdivision","value":"NW"},{"id":4,"name":"Milepost","value":"5.8984"},{"id":17,"name":"Train ID","value":"801-19"},{"id":16,"name":"Locomotive ID","value":"4030"},{"id":130,"name":"Impact","value":""},{"id":150,"name":"Time of Event (Mountain Time)","value":"06:04:14"},{"id":151,"name":"Denver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76"/>
        <v>start /low /b %USERPROFILE%\Documents\GitHub\eaglep3\Utilities\DownloadLogsFromS3.py --loco 4030 --day 2017-05-19</v>
      </c>
      <c r="AN160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12:04:14"},{"id":29,"name":"Sharepoint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682</v>
      </c>
      <c r="B161" s="7">
        <v>4029</v>
      </c>
      <c r="C161" s="21" t="s">
        <v>206</v>
      </c>
      <c r="D161" s="21" t="s">
        <v>583</v>
      </c>
      <c r="E161" s="13">
        <v>42874.254224537035</v>
      </c>
      <c r="F161" s="13">
        <v>42874.255578703705</v>
      </c>
      <c r="G161" s="7">
        <v>1</v>
      </c>
      <c r="H161" s="21" t="s">
        <v>592</v>
      </c>
      <c r="I161" s="13">
        <v>42874.267442129632</v>
      </c>
      <c r="J161" s="7">
        <v>0</v>
      </c>
      <c r="K161" s="92" t="str">
        <f t="shared" si="60"/>
        <v>4029/4030</v>
      </c>
      <c r="L161" s="21" t="str">
        <f>VLOOKUP(A161,'Trips&amp;Operators'!$C$1:$G$99999,5,FALSE)</f>
        <v>GEBRETEKLE DAGNEW</v>
      </c>
      <c r="M161" s="6">
        <f t="shared" si="61"/>
        <v>1.1863425927003846E-2</v>
      </c>
      <c r="N161" s="7">
        <f t="shared" si="62"/>
        <v>17.083333334885538</v>
      </c>
      <c r="O161" s="7"/>
      <c r="P161" s="7"/>
      <c r="Q161" s="22"/>
      <c r="R161" s="190"/>
      <c r="S161" s="196">
        <f t="shared" si="63"/>
        <v>1</v>
      </c>
      <c r="T161" s="190" t="str">
        <f t="shared" si="64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65"/>
        <v>https://d0f6bd738d7f1b3e5a7ca70fe4ff75f0.us-east-1.aws.found.io/app/kibana#/discover/Steve-Slow-Train-Analysis-(2080s-and-2083s)?_g=(refreshInterval:(display:Off,pause:!f,section:0,value:0),time:(from:'2017-05-19T05:06:05-0600',mode:absolute,to:'2017-05-19T07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192" t="str">
        <f t="shared" si="66"/>
        <v>N</v>
      </c>
      <c r="X161" s="192">
        <f t="shared" si="79"/>
        <v>1</v>
      </c>
      <c r="Y161" s="192">
        <f t="shared" si="88"/>
        <v>5.8666</v>
      </c>
      <c r="Z161" s="192">
        <f t="shared" si="89"/>
        <v>6.9400000000000003E-2</v>
      </c>
      <c r="AA161" s="192">
        <f t="shared" si="69"/>
        <v>5.7972000000000001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70"/>
        <v>0802-19</v>
      </c>
      <c r="AE161" s="80" t="str">
        <f t="shared" si="71"/>
        <v>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 &amp; aws s3 cp s3://rtdc.mdm.uploadarchive.raw/RTDC4029/ "%USERPROFILE%\AppData\Local\Temp\OnboardLogs"\RTDC4029\2017-05-20 --exclude "*" --recursive --include "*20170520*" &amp; "%USERPROFILE%\Documents\GitHub\mrs-test-scripts\Headless Mode &amp; Sideloading\WalkAndUnGZ.bat" "%USERPROFILE%\AppData\Local\Temp\OnboardLogs"\RTDC4029\2017-05-20</v>
      </c>
      <c r="AF161" s="77" t="str">
        <f t="shared" si="72"/>
        <v>"C:\Program Files (x86)\AstroGrep\AstroGrep.exe" /e /r /s /spath="%USERPROFILE%\AppData\Local\Temp\OnboardLogs" /stypes="app*4029*20170519*" /stext=" 12:.+((SYSTEM_STATE.+slice.+state.+changed )|(ment ac)|(multiple cpu faults)|(system.+state.+changed )|(\[timeout)|(PRM\|1\|D)|(kpr)|(kdp)|(train st.+moving)|(\|lc)|(penalty))"</v>
      </c>
      <c r="AG161" s="1" t="str">
        <f t="shared" si="73"/>
        <v>NW</v>
      </c>
      <c r="AH161" s="81" t="str">
        <f t="shared" si="74"/>
        <v>"%USERPROFILE%\Documents\GitHub\eaglep3\Utilities\RefineRTDCRunTimes.py" --tripid 802-19 --locoid 4029 --swversion DE.1.0.9.0 --startMP 300:58666 --initTime 2017-05-19T06:06:05 --startdatetime 2017-05-19T06:08:02 --delay 1 --endMP 204:694 --enddatetime 2017-05-19T06:25:07 --enforcementcount 0 &gt;&gt;C:\Users\stu\Documents\GitHub\eaglep3-reporting\EC\2017-05-19-refined-times.txt</v>
      </c>
      <c r="AI161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{"issue":{"subject":"","project_id":79,"tracker_id":40,"status_id":1,"priority_id":2,"assigned_to_id":23,"start_date":"2017-05-19","description":"","custom_fields":[{"id":1,"name":"Subdivision","value":"NW"},{"id":4,"name":"Milepost","value":"0.0694"},{"id":17,"name":"Train ID","value":"802-19"},{"id":16,"name":"Locomotive ID","value":"4029"},{"id":130,"name":"Impact","value":""},{"id":150,"name":"Time of Event (Mountain Time)","value":"06:25:07"},{"id":151,"name":"Denver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76"/>
        <v>start /low /b %USERPROFILE%\Documents\GitHub\eaglep3\Utilities\DownloadLogsFromS3.py --loco 4029 --day 2017-05-19</v>
      </c>
      <c r="AN161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12:25:07"},{"id":29,"name":"Sharepoint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608</v>
      </c>
      <c r="B162" s="7">
        <v>4002</v>
      </c>
      <c r="C162" s="21" t="s">
        <v>206</v>
      </c>
      <c r="D162" s="21" t="s">
        <v>982</v>
      </c>
      <c r="E162" s="13">
        <v>42874.25582175926</v>
      </c>
      <c r="F162" s="13">
        <v>42874.264872685184</v>
      </c>
      <c r="G162" s="7">
        <v>1</v>
      </c>
      <c r="H162" s="21" t="s">
        <v>983</v>
      </c>
      <c r="I162" s="13">
        <v>42874.2737037037</v>
      </c>
      <c r="J162" s="7">
        <v>0</v>
      </c>
      <c r="K162" s="92" t="str">
        <f t="shared" si="60"/>
        <v>4001/4002</v>
      </c>
      <c r="L162" s="21" t="str">
        <f>VLOOKUP(A162,'Trips&amp;Operators'!$C$1:$G$99999,5,FALSE)</f>
        <v>MACDONALD THOMAS</v>
      </c>
      <c r="M162" s="6">
        <f t="shared" si="61"/>
        <v>8.8310185165028088E-3</v>
      </c>
      <c r="N162" s="7">
        <f t="shared" si="62"/>
        <v>12.716666663764045</v>
      </c>
      <c r="O162" s="7"/>
      <c r="P162" s="7"/>
      <c r="Q162" s="22"/>
      <c r="R162" s="190"/>
      <c r="S162" s="196">
        <f t="shared" si="63"/>
        <v>1</v>
      </c>
      <c r="T162" s="190" t="str">
        <f t="shared" si="64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65"/>
        <v>https://d0f6bd738d7f1b3e5a7ca70fe4ff75f0.us-east-1.aws.found.io/app/kibana#/discover/Steve-Slow-Train-Analysis-(2080s-and-2083s)?_g=(refreshInterval:(display:Off,pause:!f,section:0,value:0),time:(from:'2017-05-19T05:08:23-0600',mode:absolute,to:'2017-05-19T07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2" s="192" t="str">
        <f t="shared" si="66"/>
        <v>N</v>
      </c>
      <c r="X162" s="192">
        <f>VALUE(LEFT(AD162,4))-VALUE(LEFT(AD161,4))</f>
        <v>1</v>
      </c>
      <c r="Y162" s="192">
        <f t="shared" si="88"/>
        <v>0.1016</v>
      </c>
      <c r="Z162" s="192">
        <f t="shared" si="89"/>
        <v>5.8925999999999998</v>
      </c>
      <c r="AA162" s="192">
        <f t="shared" si="69"/>
        <v>5.7909999999999995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70"/>
        <v>0803-19</v>
      </c>
      <c r="AE162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162" s="77" t="str">
        <f t="shared" si="72"/>
        <v>"C:\Program Files (x86)\AstroGrep\AstroGrep.exe" /e /r /s /spath="%USERPROFILE%\AppData\Local\Temp\OnboardLogs" /stypes="app*4002*20170519*" /stext=" 12:.+((SYSTEM_STATE.+slice.+state.+changed )|(ment ac)|(multiple cpu faults)|(system.+state.+changed )|(\[timeout)|(PRM\|1\|D)|(kpr)|(kdp)|(train st.+moving)|(\|lc)|(penalty))"</v>
      </c>
      <c r="AG162" s="1" t="str">
        <f t="shared" si="73"/>
        <v>NW</v>
      </c>
      <c r="AH162" s="81" t="str">
        <f t="shared" si="74"/>
        <v>"%USERPROFILE%\Documents\GitHub\eaglep3\Utilities\RefineRTDCRunTimes.py" --tripid 803-19 --locoid 4002 --swversion DE.1.0.9.0 --startMP 204:1016 --initTime 2017-05-19T06:08:23 --startdatetime 2017-05-19T06:21:25 --delay 1 --endMP 300:58926 --enddatetime 2017-05-19T06:34:08 --enforcementcount 0 &gt;&gt;C:\Users\stu\Documents\GitHub\eaglep3-reporting\EC\2017-05-19-refined-times.txt</v>
      </c>
      <c r="AI162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{"issue":{"subject":"","project_id":79,"tracker_id":40,"status_id":1,"priority_id":2,"assigned_to_id":23,"start_date":"2017-05-19","description":"","custom_fields":[{"id":1,"name":"Subdivision","value":"NW"},{"id":4,"name":"Milepost","value":"5.8926"},{"id":17,"name":"Train ID","value":"803-19"},{"id":16,"name":"Locomotive ID","value":"4002"},{"id":130,"name":"Impact","value":""},{"id":150,"name":"Time of Event (Mountain Time)","value":"06:34:08"},{"id":151,"name":"Denver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76"/>
        <v>start /low /b %USERPROFILE%\Documents\GitHub\eaglep3\Utilities\DownloadLogsFromS3.py --loco 4002 --day 2017-05-19</v>
      </c>
      <c r="AN162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12:34:08"},{"id":29,"name":"Sharepoint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686</v>
      </c>
      <c r="B163" s="7">
        <v>4001</v>
      </c>
      <c r="C163" s="21" t="s">
        <v>206</v>
      </c>
      <c r="D163" s="21" t="s">
        <v>984</v>
      </c>
      <c r="E163" s="13">
        <v>42874.274398148147</v>
      </c>
      <c r="F163" s="13">
        <v>42874.275752314818</v>
      </c>
      <c r="G163" s="7">
        <v>1</v>
      </c>
      <c r="H163" s="21" t="s">
        <v>985</v>
      </c>
      <c r="I163" s="13">
        <v>42874.288263888891</v>
      </c>
      <c r="J163" s="7">
        <v>0</v>
      </c>
      <c r="K163" s="92" t="str">
        <f t="shared" si="60"/>
        <v>4001/4002</v>
      </c>
      <c r="L163" s="21" t="str">
        <f>VLOOKUP(A163,'Trips&amp;Operators'!$C$1:$G$99999,5,FALSE)</f>
        <v>MACDONALD THOMAS</v>
      </c>
      <c r="M163" s="6">
        <f t="shared" si="61"/>
        <v>1.2511574073869269E-2</v>
      </c>
      <c r="N163" s="7">
        <f t="shared" si="62"/>
        <v>18.016666666371748</v>
      </c>
      <c r="O163" s="7"/>
      <c r="P163" s="7"/>
      <c r="Q163" s="22"/>
      <c r="R163" s="190"/>
      <c r="S163" s="196">
        <f t="shared" si="63"/>
        <v>1</v>
      </c>
      <c r="T163" s="190" t="str">
        <f t="shared" si="64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65"/>
        <v>https://d0f6bd738d7f1b3e5a7ca70fe4ff75f0.us-east-1.aws.found.io/app/kibana#/discover/Steve-Slow-Train-Analysis-(2080s-and-2083s)?_g=(refreshInterval:(display:Off,pause:!f,section:0,value:0),time:(from:'2017-05-19T05:35:08-0600',mode:absolute,to:'2017-05-19T07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3" s="192" t="str">
        <f t="shared" si="66"/>
        <v>N</v>
      </c>
      <c r="X163" s="192">
        <f>VALUE(LEFT(AD163,4))-VALUE(LEFT(AD162,4))</f>
        <v>1</v>
      </c>
      <c r="Y163" s="192">
        <f t="shared" si="88"/>
        <v>5.8597999999999999</v>
      </c>
      <c r="Z163" s="192">
        <f t="shared" si="89"/>
        <v>6.6600000000000006E-2</v>
      </c>
      <c r="AA163" s="192">
        <f t="shared" si="69"/>
        <v>5.7931999999999997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70"/>
        <v>0804-19</v>
      </c>
      <c r="AE163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163" s="77" t="str">
        <f t="shared" si="72"/>
        <v>"C:\Program Files (x86)\AstroGrep\AstroGrep.exe" /e /r /s /spath="%USERPROFILE%\AppData\Local\Temp\OnboardLogs" /stypes="app*4001*20170519*" /stext=" 12:.+((SYSTEM_STATE.+slice.+state.+changed )|(ment ac)|(multiple cpu faults)|(system.+state.+changed )|(\[timeout)|(PRM\|1\|D)|(kpr)|(kdp)|(train st.+moving)|(\|lc)|(penalty))"</v>
      </c>
      <c r="AG163" s="1" t="str">
        <f t="shared" si="73"/>
        <v>NW</v>
      </c>
      <c r="AH163" s="81" t="str">
        <f t="shared" si="74"/>
        <v>"%USERPROFILE%\Documents\GitHub\eaglep3\Utilities\RefineRTDCRunTimes.py" --tripid 804-19 --locoid 4001 --swversion DE.1.0.9.0 --startMP 300:58598 --initTime 2017-05-19T06:35:08 --startdatetime 2017-05-19T06:37:05 --delay 1 --endMP 204:666 --enddatetime 2017-05-19T06:55:06 --enforcementcount 0 &gt;&gt;C:\Users\stu\Documents\GitHub\eaglep3-reporting\EC\2017-05-19-refined-times.txt</v>
      </c>
      <c r="AI163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{"issue":{"subject":"","project_id":79,"tracker_id":40,"status_id":1,"priority_id":2,"assigned_to_id":23,"start_date":"2017-05-19","description":"","custom_fields":[{"id":1,"name":"Subdivision","value":"NW"},{"id":4,"name":"Milepost","value":"0.0666"},{"id":17,"name":"Train ID","value":"804-19"},{"id":16,"name":"Locomotive ID","value":"4001"},{"id":130,"name":"Impact","value":""},{"id":150,"name":"Time of Event (Mountain Time)","value":"06:55:06"},{"id":151,"name":"Denver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76"/>
        <v>start /low /b %USERPROFILE%\Documents\GitHub\eaglep3\Utilities\DownloadLogsFromS3.py --loco 4001 --day 2017-05-19</v>
      </c>
      <c r="AN163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12:55:06"},{"id":29,"name":"Sharepoint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685</v>
      </c>
      <c r="B164" s="7">
        <v>4030</v>
      </c>
      <c r="C164" s="21" t="s">
        <v>206</v>
      </c>
      <c r="D164" s="21" t="s">
        <v>517</v>
      </c>
      <c r="E164" s="13">
        <v>42874.268923611111</v>
      </c>
      <c r="F164" s="13">
        <v>42874.285578703704</v>
      </c>
      <c r="G164" s="7">
        <v>1</v>
      </c>
      <c r="H164" s="21" t="s">
        <v>986</v>
      </c>
      <c r="I164" s="13">
        <v>42874.294432870367</v>
      </c>
      <c r="J164" s="7">
        <v>0</v>
      </c>
      <c r="K164" s="92" t="str">
        <f t="shared" si="60"/>
        <v>4029/4030</v>
      </c>
      <c r="L164" s="21" t="str">
        <f>VLOOKUP(A164,'Trips&amp;Operators'!$C$1:$G$99999,5,FALSE)</f>
        <v>GEBRETEKLE DAGNEW</v>
      </c>
      <c r="M164" s="6">
        <f t="shared" si="61"/>
        <v>8.8541666627861559E-3</v>
      </c>
      <c r="N164" s="7">
        <f t="shared" si="62"/>
        <v>12.749999994412065</v>
      </c>
      <c r="O164" s="7"/>
      <c r="P164" s="7"/>
      <c r="Q164" s="22"/>
      <c r="R164" s="190"/>
      <c r="S164" s="196">
        <f t="shared" si="63"/>
        <v>1</v>
      </c>
      <c r="T164" s="190" t="str">
        <f t="shared" si="64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65"/>
        <v>https://d0f6bd738d7f1b3e5a7ca70fe4ff75f0.us-east-1.aws.found.io/app/kibana#/discover/Steve-Slow-Train-Analysis-(2080s-and-2083s)?_g=(refreshInterval:(display:Off,pause:!f,section:0,value:0),time:(from:'2017-05-19T05:27:15-0600',mode:absolute,to:'2017-05-19T08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4" s="192" t="str">
        <f t="shared" si="66"/>
        <v>N</v>
      </c>
      <c r="X164" s="192">
        <f>VALUE(LEFT(AD164,4))-VALUE(LEFT(AD163,4))</f>
        <v>1</v>
      </c>
      <c r="Y164" s="192">
        <f t="shared" si="88"/>
        <v>9.7900000000000001E-2</v>
      </c>
      <c r="Z164" s="192">
        <f t="shared" si="89"/>
        <v>5.8982000000000001</v>
      </c>
      <c r="AA164" s="192">
        <f t="shared" si="69"/>
        <v>5.8003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70"/>
        <v>0805-19</v>
      </c>
      <c r="AE164" s="80" t="str">
        <f t="shared" si="71"/>
        <v>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 &amp; aws s3 cp s3://rtdc.mdm.uploadarchive.raw/RTDC4030/ "%USERPROFILE%\AppData\Local\Temp\OnboardLogs"\RTDC4030\2017-05-20 --exclude "*" --recursive --include "*20170520*" &amp; "%USERPROFILE%\Documents\GitHub\mrs-test-scripts\Headless Mode &amp; Sideloading\WalkAndUnGZ.bat" "%USERPROFILE%\AppData\Local\Temp\OnboardLogs"\RTDC4030\2017-05-20</v>
      </c>
      <c r="AF164" s="77" t="str">
        <f t="shared" si="72"/>
        <v>"C:\Program Files (x86)\AstroGrep\AstroGrep.exe" /e /r /s /spath="%USERPROFILE%\AppData\Local\Temp\OnboardLogs" /stypes="app*4030*20170519*" /stext=" 13:.+((SYSTEM_STATE.+slice.+state.+changed )|(ment ac)|(multiple cpu faults)|(system.+state.+changed )|(\[timeout)|(PRM\|1\|D)|(kpr)|(kdp)|(train st.+moving)|(\|lc)|(penalty))"</v>
      </c>
      <c r="AG164" s="1" t="str">
        <f t="shared" si="73"/>
        <v>NW</v>
      </c>
      <c r="AH164" s="81" t="str">
        <f t="shared" si="74"/>
        <v>"%USERPROFILE%\Documents\GitHub\eaglep3\Utilities\RefineRTDCRunTimes.py" --tripid 805-19 --locoid 4030 --swversion DE.1.0.9.0 --startMP 204:979 --initTime 2017-05-19T06:27:15 --startdatetime 2017-05-19T06:51:14 --delay 1 --endMP 300:58982 --enddatetime 2017-05-19T07:03:59 --enforcementcount 0 &gt;&gt;C:\Users\stu\Documents\GitHub\eaglep3-reporting\EC\2017-05-19-refined-times.txt</v>
      </c>
      <c r="AI164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{"issue":{"subject":"","project_id":79,"tracker_id":40,"status_id":1,"priority_id":2,"assigned_to_id":23,"start_date":"2017-05-19","description":"","custom_fields":[{"id":1,"name":"Subdivision","value":"NW"},{"id":4,"name":"Milepost","value":"5.8982"},{"id":17,"name":"Train ID","value":"805-19"},{"id":16,"name":"Locomotive ID","value":"4030"},{"id":130,"name":"Impact","value":""},{"id":150,"name":"Time of Event (Mountain Time)","value":"07:03:59"},{"id":151,"name":"Denver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76"/>
        <v>start /low /b %USERPROFILE%\Documents\GitHub\eaglep3\Utilities\DownloadLogsFromS3.py --loco 4030 --day 2017-05-19</v>
      </c>
      <c r="AN164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13:03:59"},{"id":29,"name":"Sharepoint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610</v>
      </c>
      <c r="B165" s="7">
        <v>4029</v>
      </c>
      <c r="C165" s="21" t="s">
        <v>206</v>
      </c>
      <c r="D165" s="21" t="s">
        <v>583</v>
      </c>
      <c r="E165" s="13">
        <v>42874.295520833337</v>
      </c>
      <c r="F165" s="13">
        <v>42874.297037037039</v>
      </c>
      <c r="G165" s="7">
        <v>1</v>
      </c>
      <c r="H165" s="21" t="s">
        <v>584</v>
      </c>
      <c r="I165" s="13">
        <v>42874.309560185182</v>
      </c>
      <c r="J165" s="7">
        <v>0</v>
      </c>
      <c r="K165" s="92" t="str">
        <f t="shared" si="60"/>
        <v>4029/4030</v>
      </c>
      <c r="L165" s="21" t="str">
        <f>VLOOKUP(A165,'Trips&amp;Operators'!$C$1:$G$99999,5,FALSE)</f>
        <v>GEBRETEKLE DAGNEW</v>
      </c>
      <c r="M165" s="6">
        <f t="shared" si="61"/>
        <v>1.2523148143372964E-2</v>
      </c>
      <c r="N165" s="7">
        <f t="shared" si="62"/>
        <v>18.033333326457068</v>
      </c>
      <c r="O165" s="7"/>
      <c r="P165" s="7"/>
      <c r="Q165" s="22"/>
      <c r="R165" s="190"/>
      <c r="S165" s="196">
        <f t="shared" si="63"/>
        <v>1</v>
      </c>
      <c r="T165" s="190" t="str">
        <f t="shared" si="64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65"/>
        <v>https://d0f6bd738d7f1b3e5a7ca70fe4ff75f0.us-east-1.aws.found.io/app/kibana#/discover/Steve-Slow-Train-Analysis-(2080s-and-2083s)?_g=(refreshInterval:(display:Off,pause:!f,section:0,value:0),time:(from:'2017-05-19T06:05:33-0600',mode:absolute,to:'2017-05-19T08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5" s="192" t="str">
        <f t="shared" si="66"/>
        <v>N</v>
      </c>
      <c r="X165" s="192">
        <f>VALUE(LEFT(AD165,4))-VALUE(LEFT(AD164,4))</f>
        <v>1</v>
      </c>
      <c r="Y165" s="192">
        <f t="shared" si="88"/>
        <v>5.8666</v>
      </c>
      <c r="Z165" s="192">
        <f t="shared" si="89"/>
        <v>6.7299999999999999E-2</v>
      </c>
      <c r="AA165" s="192">
        <f t="shared" si="69"/>
        <v>5.7992999999999997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70"/>
        <v>0806-19</v>
      </c>
      <c r="AE165" s="80" t="str">
        <f t="shared" si="71"/>
        <v>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 &amp; aws s3 cp s3://rtdc.mdm.uploadarchive.raw/RTDC4029/ "%USERPROFILE%\AppData\Local\Temp\OnboardLogs"\RTDC4029\2017-05-20 --exclude "*" --recursive --include "*20170520*" &amp; "%USERPROFILE%\Documents\GitHub\mrs-test-scripts\Headless Mode &amp; Sideloading\WalkAndUnGZ.bat" "%USERPROFILE%\AppData\Local\Temp\OnboardLogs"\RTDC4029\2017-05-20</v>
      </c>
      <c r="AF165" s="77" t="str">
        <f t="shared" si="72"/>
        <v>"C:\Program Files (x86)\AstroGrep\AstroGrep.exe" /e /r /s /spath="%USERPROFILE%\AppData\Local\Temp\OnboardLogs" /stypes="app*4029*20170519*" /stext=" 13:.+((SYSTEM_STATE.+slice.+state.+changed )|(ment ac)|(multiple cpu faults)|(system.+state.+changed )|(\[timeout)|(PRM\|1\|D)|(kpr)|(kdp)|(train st.+moving)|(\|lc)|(penalty))"</v>
      </c>
      <c r="AG165" s="1" t="str">
        <f t="shared" si="73"/>
        <v>NW</v>
      </c>
      <c r="AH165" s="81" t="str">
        <f t="shared" si="74"/>
        <v>"%USERPROFILE%\Documents\GitHub\eaglep3\Utilities\RefineRTDCRunTimes.py" --tripid 806-19 --locoid 4029 --swversion DE.1.0.9.0 --startMP 300:58666 --initTime 2017-05-19T07:05:33 --startdatetime 2017-05-19T07:07:44 --delay 1 --endMP 204:673 --enddatetime 2017-05-19T07:25:46 --enforcementcount 0 &gt;&gt;C:\Users\stu\Documents\GitHub\eaglep3-reporting\EC\2017-05-19-refined-times.txt</v>
      </c>
      <c r="AI165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{"issue":{"subject":"","project_id":79,"tracker_id":40,"status_id":1,"priority_id":2,"assigned_to_id":23,"start_date":"2017-05-19","description":"","custom_fields":[{"id":1,"name":"Subdivision","value":"NW"},{"id":4,"name":"Milepost","value":"0.0673"},{"id":17,"name":"Train ID","value":"806-19"},{"id":16,"name":"Locomotive ID","value":"4029"},{"id":130,"name":"Impact","value":""},{"id":150,"name":"Time of Event (Mountain Time)","value":"07:25:46"},{"id":151,"name":"Denver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76"/>
        <v>start /low /b %USERPROFILE%\Documents\GitHub\eaglep3\Utilities\DownloadLogsFromS3.py --loco 4029 --day 2017-05-19</v>
      </c>
      <c r="AN165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13:25:46"},{"id":29,"name":"Sharepoint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611</v>
      </c>
      <c r="B166" s="7">
        <v>4002</v>
      </c>
      <c r="C166" s="21" t="s">
        <v>206</v>
      </c>
      <c r="D166" s="21" t="s">
        <v>987</v>
      </c>
      <c r="E166" s="13">
        <v>42874.289351851854</v>
      </c>
      <c r="F166" s="13">
        <v>42874.306597222225</v>
      </c>
      <c r="G166" s="7">
        <v>4</v>
      </c>
      <c r="H166" s="21" t="s">
        <v>595</v>
      </c>
      <c r="I166" s="13">
        <v>42874.310034722221</v>
      </c>
      <c r="J166" s="7">
        <v>0</v>
      </c>
      <c r="K166" s="92" t="str">
        <f t="shared" si="60"/>
        <v>4001/4002</v>
      </c>
      <c r="L166" s="21" t="str">
        <f>VLOOKUP(A166,'Trips&amp;Operators'!$C$1:$G$99999,5,FALSE)</f>
        <v>MACDONALD THOMAS</v>
      </c>
      <c r="M166" s="6">
        <f t="shared" si="61"/>
        <v>3.4374999959254637E-3</v>
      </c>
      <c r="N166" s="7"/>
      <c r="O166" s="7"/>
      <c r="P166" s="7">
        <f>24*60*SUM($M166:$M167)</f>
        <v>13.516666662180796</v>
      </c>
      <c r="Q166" s="22"/>
      <c r="R166" s="190" t="s">
        <v>522</v>
      </c>
      <c r="S166" s="196">
        <f>SUM(U166:U167)/IF(AG166="EC",12,1)</f>
        <v>1</v>
      </c>
      <c r="T166" s="190" t="str">
        <f t="shared" si="64"/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65"/>
        <v>https://d0f6bd738d7f1b3e5a7ca70fe4ff75f0.us-east-1.aws.found.io/app/kibana#/discover/Steve-Slow-Train-Analysis-(2080s-and-2083s)?_g=(refreshInterval:(display:Off,pause:!f,section:0,value:0),time:(from:'2017-05-19T05:56:40-0600',mode:absolute,to:'2017-05-19T08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6" s="192" t="str">
        <f t="shared" si="66"/>
        <v>Y</v>
      </c>
      <c r="X166" s="192">
        <f>VALUE(LEFT(AD166,4))-VALUE(LEFT(AD165,4))</f>
        <v>1</v>
      </c>
      <c r="Y166" s="192">
        <f t="shared" si="88"/>
        <v>9.5100000000000004E-2</v>
      </c>
      <c r="Z166" s="192">
        <v>2.2400000000000002</v>
      </c>
      <c r="AA166" s="192">
        <f t="shared" si="69"/>
        <v>2.1449000000000003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70"/>
        <v>0807-19</v>
      </c>
      <c r="AE166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166" s="77" t="str">
        <f t="shared" si="72"/>
        <v>"C:\Program Files (x86)\AstroGrep\AstroGrep.exe" /e /r /s /spath="%USERPROFILE%\AppData\Local\Temp\OnboardLogs" /stypes="app*4002*20170519*" /stext=" 13:.+((SYSTEM_STATE.+slice.+state.+changed )|(ment ac)|(multiple cpu faults)|(system.+state.+changed )|(\[timeout)|(PRM\|1\|D)|(kpr)|(kdp)|(train st.+moving)|(\|lc)|(penalty))"</v>
      </c>
      <c r="AG166" s="1" t="str">
        <f t="shared" si="73"/>
        <v>NW</v>
      </c>
      <c r="AH166" s="81" t="str">
        <f t="shared" si="74"/>
        <v>"%USERPROFILE%\Documents\GitHub\eaglep3\Utilities\RefineRTDCRunTimes.py" --tripid 807-19 --locoid 4002 --swversion DE.1.0.9.0 --startMP 204:951 --initTime 2017-05-19T06:56:40 --startdatetime 2017-05-19T07:21:30 --delay 4 --endMP 300:58960 --enddatetime 2017-05-19T07:26:27 --enforcementcount 0 &gt;&gt;C:\Users\stu\Documents\GitHub\eaglep3-reporting\EC\2017-05-19-refined-times.txt</v>
      </c>
      <c r="AI166" s="99" t="str">
        <f t="shared" si="75"/>
        <v>echo {"issue":{"subject":"Wi-MAX data drop","project_id":79,"tracker_id":40,"status_id":1,"priority_id":2,"assigned_to_id":23,"start_date":"2017-05-19","description":"","custom_fields":[{"id":1,"name":"Subdivision","value":"NW"},{"id":4,"name":"Milepost","value":"2.24"},{"id":17,"name":"Train ID","value":"807-19"},{"id":16,"name":"Locomotive ID","value":"4002"},{"id":130,"name":"Impact","value":""},{"id":150,"name":"Time of Event (Mountain Time)","value":"07:26:27"},{"id":151,"name":"Denver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76"/>
        <v>start /low /b %USERPROFILE%\Documents\GitHub\eaglep3\Utilities\DownloadLogsFromS3.py --loco 4002 --day 2017-05-19</v>
      </c>
      <c r="AN166" s="154" t="str">
        <f t="shared" si="77"/>
        <v>echo {"issue":{"subject":"Wi-MAX data drop","project_id":30,"tracker_id":4,"status_id":1,"priority_id":1,"assigned_to_id":10,"start_date":"2017-05-19","description":"","custom_fields":[{"id":30,"name":"Category","value":"Issue"},{"id":3,"name":"Functional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13:26:27"},{"id":29,"name":"Sharepoint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611</v>
      </c>
      <c r="B167" s="7">
        <v>4002</v>
      </c>
      <c r="C167" s="21" t="s">
        <v>206</v>
      </c>
      <c r="D167" s="21" t="s">
        <v>987</v>
      </c>
      <c r="E167" s="13">
        <v>42874.289351851854</v>
      </c>
      <c r="F167" s="13">
        <v>42874.310844907406</v>
      </c>
      <c r="G167" s="7">
        <v>4</v>
      </c>
      <c r="H167" s="21" t="s">
        <v>595</v>
      </c>
      <c r="I167" s="13">
        <v>42874.316793981481</v>
      </c>
      <c r="J167" s="7">
        <v>0</v>
      </c>
      <c r="K167" s="92" t="str">
        <f t="shared" si="60"/>
        <v>4001/4002</v>
      </c>
      <c r="L167" s="21" t="str">
        <f>VLOOKUP(A167,'Trips&amp;Operators'!$C$1:$G$99999,5,FALSE)</f>
        <v>MACDONALD THOMAS</v>
      </c>
      <c r="M167" s="6">
        <f t="shared" si="61"/>
        <v>5.9490740750334226E-3</v>
      </c>
      <c r="N167" s="7"/>
      <c r="O167" s="7"/>
      <c r="P167" s="7"/>
      <c r="Q167" s="22"/>
      <c r="R167" s="190"/>
      <c r="S167" s="196"/>
      <c r="T167" s="190" t="str">
        <f t="shared" si="64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0</v>
      </c>
      <c r="V167" s="191" t="str">
        <f t="shared" si="65"/>
        <v>https://d0f6bd738d7f1b3e5a7ca70fe4ff75f0.us-east-1.aws.found.io/app/kibana#/discover/Steve-Slow-Train-Analysis-(2080s-and-2083s)?_g=(refreshInterval:(display:Off,pause:!f,section:0,value:0),time:(from:'2017-05-19T05:56:40-0600',mode:absolute,to:'2017-05-19T08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7" s="192" t="str">
        <f t="shared" si="66"/>
        <v>Y</v>
      </c>
      <c r="X167" s="192">
        <f t="shared" ref="X167:X168" si="90">VALUE(LEFT(AD167,4))-VALUE(LEFT(AD166,4))</f>
        <v>0</v>
      </c>
      <c r="Y167" s="192">
        <v>2.42</v>
      </c>
      <c r="Z167" s="192">
        <f t="shared" ref="Z167:Z198" si="91">RIGHT(H167,LEN(H167)-4)/10000</f>
        <v>5.8959999999999999</v>
      </c>
      <c r="AA167" s="192">
        <f t="shared" si="69"/>
        <v>3.476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70"/>
        <v>0807-19</v>
      </c>
      <c r="AE167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167" s="77" t="str">
        <f t="shared" si="72"/>
        <v>"C:\Program Files (x86)\AstroGrep\AstroGrep.exe" /e /r /s /spath="%USERPROFILE%\AppData\Local\Temp\OnboardLogs" /stypes="app*4002*20170519*" /stext=" 13:.+((SYSTEM_STATE.+slice.+state.+changed )|(ment ac)|(multiple cpu faults)|(system.+state.+changed )|(\[timeout)|(PRM\|1\|D)|(kpr)|(kdp)|(train st.+moving)|(\|lc)|(penalty))"</v>
      </c>
      <c r="AG167" s="1" t="str">
        <f t="shared" si="73"/>
        <v>NW</v>
      </c>
      <c r="AH167" s="81" t="str">
        <f t="shared" ref="AH167" si="92">refinertdcruntimes&amp;" --tripid "&amp;A167&amp;" --locoid "&amp;B167&amp;" --swversion "&amp;C167&amp;" --startMP "&amp;D167&amp;" --initTime "&amp;TEXT(E167,"yyyy-mm-ddTHH:MM:SS")&amp;" --startdatetime "&amp;TEXT(F167,"yyyy-mm-ddTHH:MM:SS")&amp;" --delay "&amp;G167&amp;" --endMP "&amp;H167&amp;" --enddatetime "&amp;TEXT(I167,"yyyy-mm-ddTHH:MM:SS")&amp;" --enforcementcount "&amp;J167&amp;IF(outputrefinedruntimes," &gt;&gt;"&amp;RefinedRTDCRunTimesOutputFile,"")</f>
        <v>"%USERPROFILE%\Documents\GitHub\eaglep3\Utilities\RefineRTDCRunTimes.py" --tripid 807-19 --locoid 4002 --swversion DE.1.0.9.0 --startMP 204:951 --initTime 2017-05-19T06:56:40 --startdatetime 2017-05-19T07:27:37 --delay 4 --endMP 300:58960 --enddatetime 2017-05-19T07:36:11 --enforcementcount 0 &gt;&gt;C:\Users\stu\Documents\GitHub\eaglep3-reporting\EC\2017-05-19-refined-times.txt</v>
      </c>
      <c r="AI167" s="99" t="str">
        <f t="shared" ref="AI167" si="93">"echo {""issue"":{""subject"":"""&amp;R167&amp;""",""project_id"":79,""tracker_id"":40,""status_id"":"&amp;redmine_status&amp;",""priority_id"":"&amp;redmine_priority&amp;",""assigned_to_id"":"&amp;redmine_assignee&amp;",""start_date"":"""&amp;TEXT(I167,"YYYY-mm-dd")&amp;""",""description"":"""&amp;AJ167&amp;""",""custom_fields"":[{""id"":1,""name"":""Subdivision"",""value"":"""&amp;AG167&amp;"""},{""id"":4,""name"":""Milepost"",""value"":"""&amp;Z167&amp;"""},{""id"":17,""name"":""Train ID"",""value"":"""&amp;A167&amp;"""},{""id"":16,""name"":""Locomotive ID"",""value"":"""&amp;B167&amp;"""},{""id"":130,""name"":""Impact"",""value"":"""&amp;AK167&amp;"""},{""id"":150,""name"":""Time of Event (Mountain Time)"",""value"":"""&amp;TEXT(I167,"hh:mm:ss")&amp;"""},{""id"":151,""name"":""Denver Issue ID"",""value"":"""&amp;"""},{""id"":178,""name"":""Operational Impact"",""value"":"""&amp;redmine_op_impact&amp;"""},{""id"":179,""name"":""Denver Segment Assigned"",""value"":"""&amp;AL167&amp;"""}]}}"&amp;"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{"issue":{"subject":"","project_id":79,"tracker_id":40,"status_id":1,"priority_id":2,"assigned_to_id":23,"start_date":"2017-05-19","description":"","custom_fields":[{"id":1,"name":"Subdivision","value":"NW"},{"id":4,"name":"Milepost","value":"5.896"},{"id":17,"name":"Train ID","value":"807-19"},{"id":16,"name":"Locomotive ID","value":"4002"},{"id":130,"name":"Impact","value":""},{"id":150,"name":"Time of Event (Mountain Time)","value":"07:36:11"},{"id":151,"name":"Denver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ref="AM167" si="94">"start /low /b "&amp;dls3logs&amp;" --loco "&amp;B167&amp;" --day "&amp;TEXT(F167,"YYYY-MM-DD")</f>
        <v>start /low /b %USERPROFILE%\Documents\GitHub\eaglep3\Utilities\DownloadLogsFromS3.py --loco 4002 --day 2017-05-19</v>
      </c>
      <c r="AN167" s="154" t="str">
        <f t="shared" ref="AN167" si="95">"echo {""issue"":{""subject"":"""&amp;R167&amp;""",""project_id"":30,""tracker_id"":4,""status_id"":"&amp;redmine_status_wcr&amp;",""priority_id"":"&amp;redmine_priority_wcr&amp;",""assigned_to_id"":"&amp;redmine_assignee_wcr&amp;",""start_date"":"""&amp;TEXT(I167-utc_offset/24,"YYYY-mm-dd")&amp;""",""description"":"""&amp;AJ167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13:36:11"},{"id":29,"name":"Sharepoint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612</v>
      </c>
      <c r="B168" s="7">
        <v>4001</v>
      </c>
      <c r="C168" s="21" t="s">
        <v>206</v>
      </c>
      <c r="D168" s="21" t="s">
        <v>988</v>
      </c>
      <c r="E168" s="13">
        <v>42874.317847222221</v>
      </c>
      <c r="F168" s="13">
        <v>42874.319768518515</v>
      </c>
      <c r="G168" s="7">
        <v>2</v>
      </c>
      <c r="H168" s="21" t="s">
        <v>989</v>
      </c>
      <c r="I168" s="13">
        <v>42874.330428240741</v>
      </c>
      <c r="J168" s="7">
        <v>0</v>
      </c>
      <c r="K168" s="92" t="str">
        <f t="shared" si="60"/>
        <v>4001/4002</v>
      </c>
      <c r="L168" s="21" t="str">
        <f>VLOOKUP(A168,'Trips&amp;Operators'!$C$1:$G$99999,5,FALSE)</f>
        <v>MACDONALD THOMAS</v>
      </c>
      <c r="M168" s="6">
        <f t="shared" si="61"/>
        <v>1.0659722225682344E-2</v>
      </c>
      <c r="N168" s="7">
        <f t="shared" ref="N168:N191" si="96">24*60*SUM($M168:$M168)</f>
        <v>15.350000004982576</v>
      </c>
      <c r="O168" s="7"/>
      <c r="P168" s="7"/>
      <c r="Q168" s="22"/>
      <c r="R168" s="190"/>
      <c r="S168" s="196">
        <f t="shared" ref="S168:S192" si="97">SUM(U168:U168)/IF(AG168="EC",12,1)</f>
        <v>1</v>
      </c>
      <c r="T168" s="190" t="str">
        <f t="shared" si="64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65"/>
        <v>https://d0f6bd738d7f1b3e5a7ca70fe4ff75f0.us-east-1.aws.found.io/app/kibana#/discover/Steve-Slow-Train-Analysis-(2080s-and-2083s)?_g=(refreshInterval:(display:Off,pause:!f,section:0,value:0),time:(from:'2017-05-19T06:37:42-0600',mode:absolute,to:'2017-05-19T08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8" s="192" t="str">
        <f t="shared" si="66"/>
        <v>N</v>
      </c>
      <c r="X168" s="192">
        <f t="shared" si="90"/>
        <v>1</v>
      </c>
      <c r="Y168" s="192">
        <f t="shared" ref="Y168:Y199" si="98">RIGHT(D168,LEN(D168)-4)/10000</f>
        <v>5.8640999999999996</v>
      </c>
      <c r="Z168" s="192">
        <f t="shared" si="91"/>
        <v>6.7100000000000007E-2</v>
      </c>
      <c r="AA168" s="192">
        <f t="shared" si="69"/>
        <v>5.7969999999999997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70"/>
        <v>0808-19</v>
      </c>
      <c r="AE168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168" s="77" t="str">
        <f t="shared" si="72"/>
        <v>"C:\Program Files (x86)\AstroGrep\AstroGrep.exe" /e /r /s /spath="%USERPROFILE%\AppData\Local\Temp\OnboardLogs" /stypes="app*4001*20170519*" /stext=" 13:.+((SYSTEM_STATE.+slice.+state.+changed )|(ment ac)|(multiple cpu faults)|(system.+state.+changed )|(\[timeout)|(PRM\|1\|D)|(kpr)|(kdp)|(train st.+moving)|(\|lc)|(penalty))"</v>
      </c>
      <c r="AG168" s="1" t="str">
        <f t="shared" si="73"/>
        <v>NW</v>
      </c>
      <c r="AH168" s="81" t="str">
        <f t="shared" si="74"/>
        <v>"%USERPROFILE%\Documents\GitHub\eaglep3\Utilities\RefineRTDCRunTimes.py" --tripid 808-19 --locoid 4001 --swversion DE.1.0.9.0 --startMP 300:58641 --initTime 2017-05-19T07:37:42 --startdatetime 2017-05-19T07:40:28 --delay 2 --endMP 204:671 --enddatetime 2017-05-19T07:55:49 --enforcementcount 0 &gt;&gt;C:\Users\stu\Documents\GitHub\eaglep3-reporting\EC\2017-05-19-refined-times.txt</v>
      </c>
      <c r="AI168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{"issue":{"subject":"","project_id":79,"tracker_id":40,"status_id":1,"priority_id":2,"assigned_to_id":23,"start_date":"2017-05-19","description":"","custom_fields":[{"id":1,"name":"Subdivision","value":"NW"},{"id":4,"name":"Milepost","value":"0.0671"},{"id":17,"name":"Train ID","value":"808-19"},{"id":16,"name":"Locomotive ID","value":"4001"},{"id":130,"name":"Impact","value":""},{"id":150,"name":"Time of Event (Mountain Time)","value":"07:55:49"},{"id":151,"name":"Denver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76"/>
        <v>start /low /b %USERPROFILE%\Documents\GitHub\eaglep3\Utilities\DownloadLogsFromS3.py --loco 4001 --day 2017-05-19</v>
      </c>
      <c r="AN168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698</v>
      </c>
      <c r="B169" s="7">
        <v>4030</v>
      </c>
      <c r="C169" s="21" t="s">
        <v>206</v>
      </c>
      <c r="D169" s="21" t="s">
        <v>593</v>
      </c>
      <c r="E169" s="13">
        <v>42874.311643518522</v>
      </c>
      <c r="F169" s="13">
        <v>42874.327245370368</v>
      </c>
      <c r="G169" s="7">
        <v>1</v>
      </c>
      <c r="H169" s="21" t="s">
        <v>597</v>
      </c>
      <c r="I169" s="13">
        <v>42874.335717592592</v>
      </c>
      <c r="J169" s="7">
        <v>0</v>
      </c>
      <c r="K169" s="92" t="str">
        <f t="shared" si="60"/>
        <v>4029/4030</v>
      </c>
      <c r="L169" s="21" t="str">
        <f>VLOOKUP(A169,'Trips&amp;Operators'!$C$1:$G$99999,5,FALSE)</f>
        <v>GEBRETEKLE DAGNEW</v>
      </c>
      <c r="M169" s="6">
        <f t="shared" si="61"/>
        <v>8.4722222236450762E-3</v>
      </c>
      <c r="N169" s="7">
        <f t="shared" si="96"/>
        <v>12.20000000204891</v>
      </c>
      <c r="O169" s="7"/>
      <c r="P169" s="7"/>
      <c r="Q169" s="22"/>
      <c r="R169" s="190"/>
      <c r="S169" s="196">
        <f t="shared" si="97"/>
        <v>1</v>
      </c>
      <c r="T169" s="190" t="str">
        <f t="shared" si="64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65"/>
        <v>https://d0f6bd738d7f1b3e5a7ca70fe4ff75f0.us-east-1.aws.found.io/app/kibana#/discover/Steve-Slow-Train-Analysis-(2080s-and-2083s)?_g=(refreshInterval:(display:Off,pause:!f,section:0,value:0),time:(from:'2017-05-19T06:28:46-0600',mode:absolute,to:'2017-05-19T09:03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9" s="192" t="str">
        <f t="shared" si="66"/>
        <v>N</v>
      </c>
      <c r="X169" s="192">
        <f t="shared" ref="X169:X200" si="99">VALUE(LEFT(AD169,4))-VALUE(LEFT(AD168,4))</f>
        <v>1</v>
      </c>
      <c r="Y169" s="192">
        <f t="shared" si="98"/>
        <v>9.7799999999999998E-2</v>
      </c>
      <c r="Z169" s="192">
        <f t="shared" si="91"/>
        <v>5.8975</v>
      </c>
      <c r="AA169" s="192">
        <f t="shared" si="69"/>
        <v>5.7996999999999996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70"/>
        <v>0809-19</v>
      </c>
      <c r="AE169" s="80" t="str">
        <f t="shared" si="71"/>
        <v>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 &amp; aws s3 cp s3://rtdc.mdm.uploadarchive.raw/RTDC4030/ "%USERPROFILE%\AppData\Local\Temp\OnboardLogs"\RTDC4030\2017-05-20 --exclude "*" --recursive --include "*20170520*" &amp; "%USERPROFILE%\Documents\GitHub\mrs-test-scripts\Headless Mode &amp; Sideloading\WalkAndUnGZ.bat" "%USERPROFILE%\AppData\Local\Temp\OnboardLogs"\RTDC4030\2017-05-20</v>
      </c>
      <c r="AF169" s="77" t="str">
        <f t="shared" si="72"/>
        <v>"C:\Program Files (x86)\AstroGrep\AstroGrep.exe" /e /r /s /spath="%USERPROFILE%\AppData\Local\Temp\OnboardLogs" /stypes="app*4030*20170519*" /stext=" 14:.+((SYSTEM_STATE.+slice.+state.+changed )|(ment ac)|(multiple cpu faults)|(system.+state.+changed )|(\[timeout)|(PRM\|1\|D)|(kpr)|(kdp)|(train st.+moving)|(\|lc)|(penalty))"</v>
      </c>
      <c r="AG169" s="1" t="str">
        <f t="shared" si="73"/>
        <v>NW</v>
      </c>
      <c r="AH169" s="81" t="str">
        <f t="shared" si="74"/>
        <v>"%USERPROFILE%\Documents\GitHub\eaglep3\Utilities\RefineRTDCRunTimes.py" --tripid 809-19 --locoid 4030 --swversion DE.1.0.9.0 --startMP 204:978 --initTime 2017-05-19T07:28:46 --startdatetime 2017-05-19T07:51:14 --delay 1 --endMP 300:58975 --enddatetime 2017-05-19T08:03:26 --enforcementcount 0 &gt;&gt;C:\Users\stu\Documents\GitHub\eaglep3-reporting\EC\2017-05-19-refined-times.txt</v>
      </c>
      <c r="AI169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{"issue":{"subject":"","project_id":79,"tracker_id":40,"status_id":1,"priority_id":2,"assigned_to_id":23,"start_date":"2017-05-19","description":"","custom_fields":[{"id":1,"name":"Subdivision","value":"NW"},{"id":4,"name":"Milepost","value":"5.8975"},{"id":17,"name":"Train ID","value":"809-19"},{"id":16,"name":"Locomotive ID","value":"4030"},{"id":130,"name":"Impact","value":""},{"id":150,"name":"Time of Event (Mountain Time)","value":"08:03:26"},{"id":151,"name":"Denver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76"/>
        <v>start /low /b %USERPROFILE%\Documents\GitHub\eaglep3\Utilities\DownloadLogsFromS3.py --loco 4030 --day 2017-05-19</v>
      </c>
      <c r="AN169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14:03:26"},{"id":29,"name":"Sharepoint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702</v>
      </c>
      <c r="B170" s="7">
        <v>4029</v>
      </c>
      <c r="C170" s="21" t="s">
        <v>206</v>
      </c>
      <c r="D170" s="21" t="s">
        <v>991</v>
      </c>
      <c r="E170" s="13">
        <v>42874.336689814816</v>
      </c>
      <c r="F170" s="13">
        <v>42874.33792824074</v>
      </c>
      <c r="G170" s="7">
        <v>1</v>
      </c>
      <c r="H170" s="21" t="s">
        <v>992</v>
      </c>
      <c r="I170" s="13">
        <v>42874.350219907406</v>
      </c>
      <c r="J170" s="7">
        <v>0</v>
      </c>
      <c r="K170" s="92" t="str">
        <f t="shared" si="60"/>
        <v>4029/4030</v>
      </c>
      <c r="L170" s="21" t="str">
        <f>VLOOKUP(A170,'Trips&amp;Operators'!$C$1:$G$99999,5,FALSE)</f>
        <v>GEBRETEKLE DAGNEW</v>
      </c>
      <c r="M170" s="6">
        <f t="shared" si="61"/>
        <v>1.2291666665987577E-2</v>
      </c>
      <c r="N170" s="7">
        <f t="shared" si="96"/>
        <v>17.699999999022111</v>
      </c>
      <c r="O170" s="7"/>
      <c r="P170" s="7"/>
      <c r="Q170" s="22"/>
      <c r="R170" s="190"/>
      <c r="S170" s="196">
        <f t="shared" si="97"/>
        <v>1</v>
      </c>
      <c r="T170" s="190" t="str">
        <f t="shared" si="64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65"/>
        <v>https://d0f6bd738d7f1b3e5a7ca70fe4ff75f0.us-east-1.aws.found.io/app/kibana#/discover/Steve-Slow-Train-Analysis-(2080s-and-2083s)?_g=(refreshInterval:(display:Off,pause:!f,section:0,value:0),time:(from:'2017-05-19T07:04:50-0600',mode:absolute,to:'2017-05-19T09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0" s="192" t="str">
        <f t="shared" si="66"/>
        <v>N</v>
      </c>
      <c r="X170" s="192">
        <f t="shared" si="99"/>
        <v>1</v>
      </c>
      <c r="Y170" s="192">
        <f t="shared" si="98"/>
        <v>5.8667999999999996</v>
      </c>
      <c r="Z170" s="192">
        <f t="shared" si="91"/>
        <v>8.3999999999999995E-3</v>
      </c>
      <c r="AA170" s="192">
        <f t="shared" si="69"/>
        <v>5.8583999999999996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70"/>
        <v>0810-19</v>
      </c>
      <c r="AE170" s="80" t="str">
        <f t="shared" si="71"/>
        <v>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 &amp; aws s3 cp s3://rtdc.mdm.uploadarchive.raw/RTDC4029/ "%USERPROFILE%\AppData\Local\Temp\OnboardLogs"\RTDC4029\2017-05-20 --exclude "*" --recursive --include "*20170520*" &amp; "%USERPROFILE%\Documents\GitHub\mrs-test-scripts\Headless Mode &amp; Sideloading\WalkAndUnGZ.bat" "%USERPROFILE%\AppData\Local\Temp\OnboardLogs"\RTDC4029\2017-05-20</v>
      </c>
      <c r="AF170" s="77" t="str">
        <f t="shared" si="72"/>
        <v>"C:\Program Files (x86)\AstroGrep\AstroGrep.exe" /e /r /s /spath="%USERPROFILE%\AppData\Local\Temp\OnboardLogs" /stypes="app*4029*20170519*" /stext=" 14:.+((SYSTEM_STATE.+slice.+state.+changed )|(ment ac)|(multiple cpu faults)|(system.+state.+changed )|(\[timeout)|(PRM\|1\|D)|(kpr)|(kdp)|(train st.+moving)|(\|lc)|(penalty))"</v>
      </c>
      <c r="AG170" s="1" t="str">
        <f t="shared" si="73"/>
        <v>NW</v>
      </c>
      <c r="AH170" s="81" t="str">
        <f t="shared" si="74"/>
        <v>"%USERPROFILE%\Documents\GitHub\eaglep3\Utilities\RefineRTDCRunTimes.py" --tripid 810-19 --locoid 4029 --swversion DE.1.0.9.0 --startMP 300:58668 --initTime 2017-05-19T08:04:50 --startdatetime 2017-05-19T08:06:37 --delay 1 --endMP 204:84 --enddatetime 2017-05-19T08:24:19 --enforcementcount 0 &gt;&gt;C:\Users\stu\Documents\GitHub\eaglep3-reporting\EC\2017-05-19-refined-times.txt</v>
      </c>
      <c r="AI170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{"issue":{"subject":"","project_id":79,"tracker_id":40,"status_id":1,"priority_id":2,"assigned_to_id":23,"start_date":"2017-05-19","description":"","custom_fields":[{"id":1,"name":"Subdivision","value":"NW"},{"id":4,"name":"Milepost","value":"0.0084"},{"id":17,"name":"Train ID","value":"810-19"},{"id":16,"name":"Locomotive ID","value":"4029"},{"id":130,"name":"Impact","value":""},{"id":150,"name":"Time of Event (Mountain Time)","value":"08:24:19"},{"id":151,"name":"Denver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76"/>
        <v>start /low /b %USERPROFILE%\Documents\GitHub\eaglep3\Utilities\DownloadLogsFromS3.py --loco 4029 --day 2017-05-19</v>
      </c>
      <c r="AN170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614</v>
      </c>
      <c r="B171" s="7">
        <v>4002</v>
      </c>
      <c r="C171" s="21" t="s">
        <v>206</v>
      </c>
      <c r="D171" s="21" t="s">
        <v>993</v>
      </c>
      <c r="E171" s="13">
        <v>42874.331331018519</v>
      </c>
      <c r="F171" s="13">
        <v>42874.348067129627</v>
      </c>
      <c r="G171" s="7">
        <v>0</v>
      </c>
      <c r="H171" s="21" t="s">
        <v>442</v>
      </c>
      <c r="I171" s="13">
        <v>42874.357303240744</v>
      </c>
      <c r="J171" s="7">
        <v>0</v>
      </c>
      <c r="K171" s="92" t="str">
        <f t="shared" si="60"/>
        <v>4001/4002</v>
      </c>
      <c r="L171" s="21" t="str">
        <f>VLOOKUP(A171,'Trips&amp;Operators'!$C$1:$G$99999,5,FALSE)</f>
        <v>MACDONALD THOMAS</v>
      </c>
      <c r="M171" s="6">
        <f t="shared" si="61"/>
        <v>9.236111116479151E-3</v>
      </c>
      <c r="N171" s="7">
        <f t="shared" si="96"/>
        <v>13.300000007729977</v>
      </c>
      <c r="O171" s="7"/>
      <c r="P171" s="7"/>
      <c r="Q171" s="22"/>
      <c r="R171" s="190"/>
      <c r="S171" s="196">
        <f t="shared" si="97"/>
        <v>1</v>
      </c>
      <c r="T171" s="190" t="str">
        <f t="shared" si="64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65"/>
        <v>https://d0f6bd738d7f1b3e5a7ca70fe4ff75f0.us-east-1.aws.found.io/app/kibana#/discover/Steve-Slow-Train-Analysis-(2080s-and-2083s)?_g=(refreshInterval:(display:Off,pause:!f,section:0,value:0),time:(from:'2017-05-19T06:57:07-0600',mode:absolute,to:'2017-05-19T09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1" s="192" t="str">
        <f t="shared" si="66"/>
        <v>N</v>
      </c>
      <c r="X171" s="192">
        <f t="shared" si="99"/>
        <v>1</v>
      </c>
      <c r="Y171" s="192">
        <f t="shared" si="98"/>
        <v>9.5299999999999996E-2</v>
      </c>
      <c r="Z171" s="192">
        <f t="shared" si="91"/>
        <v>5.8954000000000004</v>
      </c>
      <c r="AA171" s="192">
        <f t="shared" si="69"/>
        <v>5.8001000000000005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70"/>
        <v>0811-19</v>
      </c>
      <c r="AE171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171" s="77" t="str">
        <f t="shared" si="72"/>
        <v>"C:\Program Files (x86)\AstroGrep\AstroGrep.exe" /e /r /s /spath="%USERPROFILE%\AppData\Local\Temp\OnboardLogs" /stypes="app*4002*20170519*" /stext=" 14:.+((SYSTEM_STATE.+slice.+state.+changed )|(ment ac)|(multiple cpu faults)|(system.+state.+changed )|(\[timeout)|(PRM\|1\|D)|(kpr)|(kdp)|(train st.+moving)|(\|lc)|(penalty))"</v>
      </c>
      <c r="AG171" s="1" t="str">
        <f t="shared" si="73"/>
        <v>NW</v>
      </c>
      <c r="AH171" s="81" t="str">
        <f t="shared" si="74"/>
        <v>"%USERPROFILE%\Documents\GitHub\eaglep3\Utilities\RefineRTDCRunTimes.py" --tripid 811-19 --locoid 4002 --swversion DE.1.0.9.0 --startMP 204:953 --initTime 2017-05-19T07:57:07 --startdatetime 2017-05-19T08:21:13 --delay 0 --endMP 300:58954 --enddatetime 2017-05-19T08:34:31 --enforcementcount 0 &gt;&gt;C:\Users\stu\Documents\GitHub\eaglep3-reporting\EC\2017-05-19-refined-times.txt</v>
      </c>
      <c r="AI171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{"issue":{"subject":"","project_id":79,"tracker_id":40,"status_id":1,"priority_id":2,"assigned_to_id":23,"start_date":"2017-05-19","description":"","custom_fields":[{"id":1,"name":"Subdivision","value":"NW"},{"id":4,"name":"Milepost","value":"5.8954"},{"id":17,"name":"Train ID","value":"811-19"},{"id":16,"name":"Locomotive ID","value":"4002"},{"id":130,"name":"Impact","value":""},{"id":150,"name":"Time of Event (Mountain Time)","value":"08:34:31"},{"id":151,"name":"Denver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76"/>
        <v>start /low /b %USERPROFILE%\Documents\GitHub\eaglep3\Utilities\DownloadLogsFromS3.py --loco 4002 --day 2017-05-19</v>
      </c>
      <c r="AN171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708</v>
      </c>
      <c r="B172" s="7">
        <v>4001</v>
      </c>
      <c r="C172" s="21" t="s">
        <v>206</v>
      </c>
      <c r="D172" s="21" t="s">
        <v>994</v>
      </c>
      <c r="E172" s="13">
        <v>42874.358275462961</v>
      </c>
      <c r="F172" s="13">
        <v>42874.359409722223</v>
      </c>
      <c r="G172" s="7">
        <v>1</v>
      </c>
      <c r="H172" s="21" t="s">
        <v>995</v>
      </c>
      <c r="I172" s="13">
        <v>42874.371030092596</v>
      </c>
      <c r="J172" s="7">
        <v>0</v>
      </c>
      <c r="K172" s="92" t="str">
        <f t="shared" si="60"/>
        <v>4001/4002</v>
      </c>
      <c r="L172" s="21" t="str">
        <f>VLOOKUP(A172,'Trips&amp;Operators'!$C$1:$G$99999,5,FALSE)</f>
        <v>MACDONALD THOMAS</v>
      </c>
      <c r="M172" s="6">
        <f t="shared" si="61"/>
        <v>1.1620370372838806E-2</v>
      </c>
      <c r="N172" s="7">
        <f t="shared" si="96"/>
        <v>16.733333336887881</v>
      </c>
      <c r="O172" s="7"/>
      <c r="P172" s="7"/>
      <c r="Q172" s="22"/>
      <c r="R172" s="190"/>
      <c r="S172" s="196">
        <f t="shared" si="97"/>
        <v>1</v>
      </c>
      <c r="T172" s="190" t="str">
        <f t="shared" si="64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65"/>
        <v>https://d0f6bd738d7f1b3e5a7ca70fe4ff75f0.us-east-1.aws.found.io/app/kibana#/discover/Steve-Slow-Train-Analysis-(2080s-and-2083s)?_g=(refreshInterval:(display:Off,pause:!f,section:0,value:0),time:(from:'2017-05-19T07:35:55-0600',mode:absolute,to:'2017-05-19T09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2" s="192" t="str">
        <f t="shared" si="66"/>
        <v>N</v>
      </c>
      <c r="X172" s="192">
        <f t="shared" si="99"/>
        <v>1</v>
      </c>
      <c r="Y172" s="192">
        <f t="shared" si="98"/>
        <v>5.8643000000000001</v>
      </c>
      <c r="Z172" s="192">
        <f t="shared" si="91"/>
        <v>6.6799999999999998E-2</v>
      </c>
      <c r="AA172" s="192">
        <f t="shared" si="69"/>
        <v>5.7975000000000003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70"/>
        <v>0812-19</v>
      </c>
      <c r="AE172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172" s="77" t="str">
        <f t="shared" si="72"/>
        <v>"C:\Program Files (x86)\AstroGrep\AstroGrep.exe" /e /r /s /spath="%USERPROFILE%\AppData\Local\Temp\OnboardLogs" /stypes="app*4001*20170519*" /stext=" 14:.+((SYSTEM_STATE.+slice.+state.+changed )|(ment ac)|(multiple cpu faults)|(system.+state.+changed )|(\[timeout)|(PRM\|1\|D)|(kpr)|(kdp)|(train st.+moving)|(\|lc)|(penalty))"</v>
      </c>
      <c r="AG172" s="1" t="str">
        <f t="shared" si="73"/>
        <v>NW</v>
      </c>
      <c r="AH172" s="81" t="str">
        <f t="shared" si="74"/>
        <v>"%USERPROFILE%\Documents\GitHub\eaglep3\Utilities\RefineRTDCRunTimes.py" --tripid 812-19 --locoid 4001 --swversion DE.1.0.9.0 --startMP 300:58643 --initTime 2017-05-19T08:35:55 --startdatetime 2017-05-19T08:37:33 --delay 1 --endMP 204:668 --enddatetime 2017-05-19T08:54:17 --enforcementcount 0 &gt;&gt;C:\Users\stu\Documents\GitHub\eaglep3-reporting\EC\2017-05-19-refined-times.txt</v>
      </c>
      <c r="AI172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{"issue":{"subject":"","project_id":79,"tracker_id":40,"status_id":1,"priority_id":2,"assigned_to_id":23,"start_date":"2017-05-19","description":"","custom_fields":[{"id":1,"name":"Subdivision","value":"NW"},{"id":4,"name":"Milepost","value":"0.0668"},{"id":17,"name":"Train ID","value":"812-19"},{"id":16,"name":"Locomotive ID","value":"4001"},{"id":130,"name":"Impact","value":""},{"id":150,"name":"Time of Event (Mountain Time)","value":"08:54:17"},{"id":151,"name":"Denver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76"/>
        <v>start /low /b %USERPROFILE%\Documents\GitHub\eaglep3\Utilities\DownloadLogsFromS3.py --loco 4001 --day 2017-05-19</v>
      </c>
      <c r="AN172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617</v>
      </c>
      <c r="B173" s="7">
        <v>4002</v>
      </c>
      <c r="C173" s="21" t="s">
        <v>206</v>
      </c>
      <c r="D173" s="21" t="s">
        <v>987</v>
      </c>
      <c r="E173" s="13">
        <v>42874.372465277775</v>
      </c>
      <c r="F173" s="13">
        <v>42874.389745370368</v>
      </c>
      <c r="G173" s="7">
        <v>1</v>
      </c>
      <c r="H173" s="21" t="s">
        <v>595</v>
      </c>
      <c r="I173" s="13">
        <v>42874.399108796293</v>
      </c>
      <c r="J173" s="7">
        <v>0</v>
      </c>
      <c r="K173" s="92" t="str">
        <f t="shared" si="60"/>
        <v>4001/4002</v>
      </c>
      <c r="L173" s="21" t="str">
        <f>VLOOKUP(A173,'Trips&amp;Operators'!$C$1:$G$99999,5,FALSE)</f>
        <v>MACDONALD THOMAS</v>
      </c>
      <c r="M173" s="6">
        <f t="shared" si="61"/>
        <v>9.3634259246755391E-3</v>
      </c>
      <c r="N173" s="7">
        <f t="shared" si="96"/>
        <v>13.483333331532776</v>
      </c>
      <c r="O173" s="7"/>
      <c r="P173" s="7"/>
      <c r="Q173" s="22"/>
      <c r="R173" s="190"/>
      <c r="S173" s="196">
        <f t="shared" si="97"/>
        <v>1</v>
      </c>
      <c r="T173" s="190" t="str">
        <f t="shared" si="64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65"/>
        <v>https://d0f6bd738d7f1b3e5a7ca70fe4ff75f0.us-east-1.aws.found.io/app/kibana#/discover/Steve-Slow-Train-Analysis-(2080s-and-2083s)?_g=(refreshInterval:(display:Off,pause:!f,section:0,value:0),time:(from:'2017-05-19T07:56:21-0600',mode:absolute,to:'2017-05-19T10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3" s="192" t="str">
        <f t="shared" si="66"/>
        <v>N</v>
      </c>
      <c r="X173" s="192">
        <f t="shared" si="99"/>
        <v>1</v>
      </c>
      <c r="Y173" s="192">
        <f t="shared" si="98"/>
        <v>9.5100000000000004E-2</v>
      </c>
      <c r="Z173" s="192">
        <f t="shared" si="91"/>
        <v>5.8959999999999999</v>
      </c>
      <c r="AA173" s="192">
        <f t="shared" si="69"/>
        <v>5.8008999999999995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70"/>
        <v>0813-19</v>
      </c>
      <c r="AE173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173" s="77" t="str">
        <f t="shared" si="72"/>
        <v>"C:\Program Files (x86)\AstroGrep\AstroGrep.exe" /e /r /s /spath="%USERPROFILE%\AppData\Local\Temp\OnboardLogs" /stypes="app*4002*20170519*" /stext=" 15:.+((SYSTEM_STATE.+slice.+state.+changed )|(ment ac)|(multiple cpu faults)|(system.+state.+changed )|(\[timeout)|(PRM\|1\|D)|(kpr)|(kdp)|(train st.+moving)|(\|lc)|(penalty))"</v>
      </c>
      <c r="AG173" s="1" t="str">
        <f t="shared" si="73"/>
        <v>NW</v>
      </c>
      <c r="AH173" s="81" t="str">
        <f t="shared" si="74"/>
        <v>"%USERPROFILE%\Documents\GitHub\eaglep3\Utilities\RefineRTDCRunTimes.py" --tripid 813-19 --locoid 4002 --swversion DE.1.0.9.0 --startMP 204:951 --initTime 2017-05-19T08:56:21 --startdatetime 2017-05-19T09:21:14 --delay 1 --endMP 300:58960 --enddatetime 2017-05-19T09:34:43 --enforcementcount 0 &gt;&gt;C:\Users\stu\Documents\GitHub\eaglep3-reporting\EC\2017-05-19-refined-times.txt</v>
      </c>
      <c r="AI173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{"issue":{"subject":"","project_id":79,"tracker_id":40,"status_id":1,"priority_id":2,"assigned_to_id":23,"start_date":"2017-05-19","description":"","custom_fields":[{"id":1,"name":"Subdivision","value":"NW"},{"id":4,"name":"Milepost","value":"5.896"},{"id":17,"name":"Train ID","value":"813-19"},{"id":16,"name":"Locomotive ID","value":"4002"},{"id":130,"name":"Impact","value":""},{"id":150,"name":"Time of Event (Mountain Time)","value":"09:34:43"},{"id":151,"name":"Denver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76"/>
        <v>start /low /b %USERPROFILE%\Documents\GitHub\eaglep3\Utilities\DownloadLogsFromS3.py --loco 4002 --day 2017-05-19</v>
      </c>
      <c r="AN173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15:34:43"},{"id":29,"name":"Sharepoint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620</v>
      </c>
      <c r="B174" s="7">
        <v>4001</v>
      </c>
      <c r="C174" s="21" t="s">
        <v>206</v>
      </c>
      <c r="D174" s="21" t="s">
        <v>591</v>
      </c>
      <c r="E174" s="13">
        <v>42874.399907407409</v>
      </c>
      <c r="F174" s="13">
        <v>42874.401354166665</v>
      </c>
      <c r="G174" s="7">
        <v>1</v>
      </c>
      <c r="H174" s="21" t="s">
        <v>584</v>
      </c>
      <c r="I174" s="13">
        <v>42874.413599537038</v>
      </c>
      <c r="J174" s="7">
        <v>0</v>
      </c>
      <c r="K174" s="92" t="str">
        <f t="shared" si="60"/>
        <v>4001/4002</v>
      </c>
      <c r="L174" s="21" t="str">
        <f>VLOOKUP(A174,'Trips&amp;Operators'!$C$1:$G$99999,5,FALSE)</f>
        <v>MACDONALD THOMAS</v>
      </c>
      <c r="M174" s="6">
        <f t="shared" si="61"/>
        <v>1.2245370373420883E-2</v>
      </c>
      <c r="N174" s="7">
        <f t="shared" si="96"/>
        <v>17.633333337726071</v>
      </c>
      <c r="O174" s="7"/>
      <c r="P174" s="7"/>
      <c r="Q174" s="22"/>
      <c r="R174" s="190"/>
      <c r="S174" s="196">
        <f t="shared" si="97"/>
        <v>1</v>
      </c>
      <c r="T174" s="190" t="str">
        <f t="shared" si="64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65"/>
        <v>https://d0f6bd738d7f1b3e5a7ca70fe4ff75f0.us-east-1.aws.found.io/app/kibana#/discover/Steve-Slow-Train-Analysis-(2080s-and-2083s)?_g=(refreshInterval:(display:Off,pause:!f,section:0,value:0),time:(from:'2017-05-19T08:35:52-0600',mode:absolute,to:'2017-05-19T10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4" s="192" t="str">
        <f t="shared" si="66"/>
        <v>N</v>
      </c>
      <c r="X174" s="192">
        <f t="shared" si="99"/>
        <v>1</v>
      </c>
      <c r="Y174" s="192">
        <f t="shared" si="98"/>
        <v>5.8630000000000004</v>
      </c>
      <c r="Z174" s="192">
        <f t="shared" si="91"/>
        <v>6.7299999999999999E-2</v>
      </c>
      <c r="AA174" s="192">
        <f t="shared" si="69"/>
        <v>5.7957000000000001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70"/>
        <v>0814-19</v>
      </c>
      <c r="AE174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174" s="77" t="str">
        <f t="shared" si="72"/>
        <v>"C:\Program Files (x86)\AstroGrep\AstroGrep.exe" /e /r /s /spath="%USERPROFILE%\AppData\Local\Temp\OnboardLogs" /stypes="app*4001*20170519*" /stext=" 15:.+((SYSTEM_STATE.+slice.+state.+changed )|(ment ac)|(multiple cpu faults)|(system.+state.+changed )|(\[timeout)|(PRM\|1\|D)|(kpr)|(kdp)|(train st.+moving)|(\|lc)|(penalty))"</v>
      </c>
      <c r="AG174" s="1" t="str">
        <f t="shared" si="73"/>
        <v>NW</v>
      </c>
      <c r="AH174" s="81" t="str">
        <f t="shared" si="74"/>
        <v>"%USERPROFILE%\Documents\GitHub\eaglep3\Utilities\RefineRTDCRunTimes.py" --tripid 814-19 --locoid 4001 --swversion DE.1.0.9.0 --startMP 300:58630 --initTime 2017-05-19T09:35:52 --startdatetime 2017-05-19T09:37:57 --delay 1 --endMP 204:673 --enddatetime 2017-05-19T09:55:35 --enforcementcount 0 &gt;&gt;C:\Users\stu\Documents\GitHub\eaglep3-reporting\EC\2017-05-19-refined-times.txt</v>
      </c>
      <c r="AI174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{"issue":{"subject":"","project_id":79,"tracker_id":40,"status_id":1,"priority_id":2,"assigned_to_id":23,"start_date":"2017-05-19","description":"","custom_fields":[{"id":1,"name":"Subdivision","value":"NW"},{"id":4,"name":"Milepost","value":"0.0673"},{"id":17,"name":"Train ID","value":"814-19"},{"id":16,"name":"Locomotive ID","value":"4001"},{"id":130,"name":"Impact","value":""},{"id":150,"name":"Time of Event (Mountain Time)","value":"09:55:35"},{"id":151,"name":"Denver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76"/>
        <v>start /low /b %USERPROFILE%\Documents\GitHub\eaglep3\Utilities\DownloadLogsFromS3.py --loco 4001 --day 2017-05-19</v>
      </c>
      <c r="AN174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15:55:35"},{"id":29,"name":"Sharepoint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623</v>
      </c>
      <c r="B175" s="7">
        <v>4002</v>
      </c>
      <c r="C175" s="21" t="s">
        <v>206</v>
      </c>
      <c r="D175" s="21" t="s">
        <v>996</v>
      </c>
      <c r="E175" s="13">
        <v>42874.414803240739</v>
      </c>
      <c r="F175" s="13">
        <v>42874.43141203704</v>
      </c>
      <c r="G175" s="7">
        <v>1</v>
      </c>
      <c r="H175" s="21" t="s">
        <v>442</v>
      </c>
      <c r="I175" s="13">
        <v>42874.440972222219</v>
      </c>
      <c r="J175" s="7">
        <v>0</v>
      </c>
      <c r="K175" s="92" t="str">
        <f t="shared" si="60"/>
        <v>4001/4002</v>
      </c>
      <c r="L175" s="21" t="str">
        <f>VLOOKUP(A175,'Trips&amp;Operators'!$C$1:$G$99999,5,FALSE)</f>
        <v>MACDONALD THOMAS</v>
      </c>
      <c r="M175" s="6">
        <f t="shared" si="61"/>
        <v>9.5601851789979264E-3</v>
      </c>
      <c r="N175" s="7">
        <f t="shared" si="96"/>
        <v>13.766666657757014</v>
      </c>
      <c r="O175" s="7"/>
      <c r="P175" s="7"/>
      <c r="Q175" s="22"/>
      <c r="R175" s="190"/>
      <c r="S175" s="196">
        <f t="shared" si="97"/>
        <v>1</v>
      </c>
      <c r="T175" s="190" t="str">
        <f t="shared" si="64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65"/>
        <v>https://d0f6bd738d7f1b3e5a7ca70fe4ff75f0.us-east-1.aws.found.io/app/kibana#/discover/Steve-Slow-Train-Analysis-(2080s-and-2083s)?_g=(refreshInterval:(display:Off,pause:!f,section:0,value:0),time:(from:'2017-05-19T08:57:19-0600',mode:absolute,to:'2017-05-19T11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5" s="192" t="str">
        <f t="shared" si="66"/>
        <v>N</v>
      </c>
      <c r="X175" s="192">
        <f t="shared" si="99"/>
        <v>1</v>
      </c>
      <c r="Y175" s="192">
        <f t="shared" si="98"/>
        <v>9.6500000000000002E-2</v>
      </c>
      <c r="Z175" s="192">
        <f t="shared" si="91"/>
        <v>5.8954000000000004</v>
      </c>
      <c r="AA175" s="192">
        <f t="shared" si="69"/>
        <v>5.7989000000000006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70"/>
        <v>0815-19</v>
      </c>
      <c r="AE175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175" s="77" t="str">
        <f t="shared" si="72"/>
        <v>"C:\Program Files (x86)\AstroGrep\AstroGrep.exe" /e /r /s /spath="%USERPROFILE%\AppData\Local\Temp\OnboardLogs" /stypes="app*4002*20170519*" /stext=" 16:.+((SYSTEM_STATE.+slice.+state.+changed )|(ment ac)|(multiple cpu faults)|(system.+state.+changed )|(\[timeout)|(PRM\|1\|D)|(kpr)|(kdp)|(train st.+moving)|(\|lc)|(penalty))"</v>
      </c>
      <c r="AG175" s="1" t="str">
        <f t="shared" si="73"/>
        <v>NW</v>
      </c>
      <c r="AH175" s="81" t="str">
        <f t="shared" si="74"/>
        <v>"%USERPROFILE%\Documents\GitHub\eaglep3\Utilities\RefineRTDCRunTimes.py" --tripid 815-19 --locoid 4002 --swversion DE.1.0.9.0 --startMP 204:965 --initTime 2017-05-19T09:57:19 --startdatetime 2017-05-19T10:21:14 --delay 1 --endMP 300:58954 --enddatetime 2017-05-19T10:35:00 --enforcementcount 0 &gt;&gt;C:\Users\stu\Documents\GitHub\eaglep3-reporting\EC\2017-05-19-refined-times.txt</v>
      </c>
      <c r="AI175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{"issue":{"subject":"","project_id":79,"tracker_id":40,"status_id":1,"priority_id":2,"assigned_to_id":23,"start_date":"2017-05-19","description":"","custom_fields":[{"id":1,"name":"Subdivision","value":"NW"},{"id":4,"name":"Milepost","value":"5.8954"},{"id":17,"name":"Train ID","value":"815-19"},{"id":16,"name":"Locomotive ID","value":"4002"},{"id":130,"name":"Impact","value":""},{"id":150,"name":"Time of Event (Mountain Time)","value":"10:35:00"},{"id":151,"name":"Denver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76"/>
        <v>start /low /b %USERPROFILE%\Documents\GitHub\eaglep3\Utilities\DownloadLogsFromS3.py --loco 4002 --day 2017-05-19</v>
      </c>
      <c r="AN175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16:35:00"},{"id":29,"name":"Sharepoint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726</v>
      </c>
      <c r="B176" s="7">
        <v>4001</v>
      </c>
      <c r="C176" s="21" t="s">
        <v>206</v>
      </c>
      <c r="D176" s="21" t="s">
        <v>997</v>
      </c>
      <c r="E176" s="13">
        <v>42874.441944444443</v>
      </c>
      <c r="F176" s="13">
        <v>42874.443090277775</v>
      </c>
      <c r="G176" s="7">
        <v>1</v>
      </c>
      <c r="H176" s="21" t="s">
        <v>985</v>
      </c>
      <c r="I176" s="13">
        <v>42874.454328703701</v>
      </c>
      <c r="J176" s="7">
        <v>0</v>
      </c>
      <c r="K176" s="92" t="str">
        <f t="shared" si="60"/>
        <v>4001/4002</v>
      </c>
      <c r="L176" s="21" t="str">
        <f>VLOOKUP(A176,'Trips&amp;Operators'!$C$1:$G$99999,5,FALSE)</f>
        <v>MACDONALD THOMAS</v>
      </c>
      <c r="M176" s="6">
        <f t="shared" si="61"/>
        <v>1.1238425926421769E-2</v>
      </c>
      <c r="N176" s="7">
        <f t="shared" si="96"/>
        <v>16.183333334047347</v>
      </c>
      <c r="O176" s="7"/>
      <c r="P176" s="7"/>
      <c r="Q176" s="22"/>
      <c r="R176" s="190"/>
      <c r="S176" s="196">
        <f t="shared" si="97"/>
        <v>1</v>
      </c>
      <c r="T176" s="190" t="str">
        <f t="shared" si="64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65"/>
        <v>https://d0f6bd738d7f1b3e5a7ca70fe4ff75f0.us-east-1.aws.found.io/app/kibana#/discover/Steve-Slow-Train-Analysis-(2080s-and-2083s)?_g=(refreshInterval:(display:Off,pause:!f,section:0,value:0),time:(from:'2017-05-19T09:36:24-0600',mode:absolute,to:'2017-05-19T11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6" s="192" t="str">
        <f t="shared" si="66"/>
        <v>N</v>
      </c>
      <c r="X176" s="192">
        <f t="shared" si="99"/>
        <v>1</v>
      </c>
      <c r="Y176" s="192">
        <f t="shared" si="98"/>
        <v>5.8634000000000004</v>
      </c>
      <c r="Z176" s="192">
        <f t="shared" si="91"/>
        <v>6.6600000000000006E-2</v>
      </c>
      <c r="AA176" s="192">
        <f t="shared" si="69"/>
        <v>5.7968000000000002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70"/>
        <v>0816-19</v>
      </c>
      <c r="AE176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176" s="77" t="str">
        <f t="shared" si="72"/>
        <v>"C:\Program Files (x86)\AstroGrep\AstroGrep.exe" /e /r /s /spath="%USERPROFILE%\AppData\Local\Temp\OnboardLogs" /stypes="app*4001*20170519*" /stext=" 16:.+((SYSTEM_STATE.+slice.+state.+changed )|(ment ac)|(multiple cpu faults)|(system.+state.+changed )|(\[timeout)|(PRM\|1\|D)|(kpr)|(kdp)|(train st.+moving)|(\|lc)|(penalty))"</v>
      </c>
      <c r="AG176" s="1" t="str">
        <f t="shared" si="73"/>
        <v>NW</v>
      </c>
      <c r="AH176" s="81" t="str">
        <f t="shared" si="74"/>
        <v>"%USERPROFILE%\Documents\GitHub\eaglep3\Utilities\RefineRTDCRunTimes.py" --tripid 816-19 --locoid 4001 --swversion DE.1.0.9.0 --startMP 300:58634 --initTime 2017-05-19T10:36:24 --startdatetime 2017-05-19T10:38:03 --delay 1 --endMP 204:666 --enddatetime 2017-05-19T10:54:14 --enforcementcount 0 &gt;&gt;C:\Users\stu\Documents\GitHub\eaglep3-reporting\EC\2017-05-19-refined-times.txt</v>
      </c>
      <c r="AI176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{"issue":{"subject":"","project_id":79,"tracker_id":40,"status_id":1,"priority_id":2,"assigned_to_id":23,"start_date":"2017-05-19","description":"","custom_fields":[{"id":1,"name":"Subdivision","value":"NW"},{"id":4,"name":"Milepost","value":"0.0666"},{"id":17,"name":"Train ID","value":"816-19"},{"id":16,"name":"Locomotive ID","value":"4001"},{"id":130,"name":"Impact","value":""},{"id":150,"name":"Time of Event (Mountain Time)","value":"10:54:14"},{"id":151,"name":"Denver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76"/>
        <v>start /low /b %USERPROFILE%\Documents\GitHub\eaglep3\Utilities\DownloadLogsFromS3.py --loco 4001 --day 2017-05-19</v>
      </c>
      <c r="AN176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16:54:14"},{"id":29,"name":"Sharepoint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624</v>
      </c>
      <c r="B177" s="7">
        <v>4002</v>
      </c>
      <c r="C177" s="21" t="s">
        <v>206</v>
      </c>
      <c r="D177" s="21" t="s">
        <v>998</v>
      </c>
      <c r="E177" s="13">
        <v>42874.455243055556</v>
      </c>
      <c r="F177" s="13">
        <v>42874.473263888889</v>
      </c>
      <c r="G177" s="7">
        <v>1</v>
      </c>
      <c r="H177" s="21" t="s">
        <v>485</v>
      </c>
      <c r="I177" s="13">
        <v>42874.48296296296</v>
      </c>
      <c r="J177" s="7">
        <v>0</v>
      </c>
      <c r="K177" s="92" t="str">
        <f t="shared" si="60"/>
        <v>4001/4002</v>
      </c>
      <c r="L177" s="21" t="str">
        <f>VLOOKUP(A177,'Trips&amp;Operators'!$C$1:$G$99999,5,FALSE)</f>
        <v>MACDONALD THOMAS</v>
      </c>
      <c r="M177" s="6">
        <f t="shared" si="61"/>
        <v>9.6990740712499246E-3</v>
      </c>
      <c r="N177" s="7">
        <f t="shared" si="96"/>
        <v>13.966666662599891</v>
      </c>
      <c r="O177" s="7"/>
      <c r="P177" s="7"/>
      <c r="Q177" s="22"/>
      <c r="R177" s="190"/>
      <c r="S177" s="196">
        <f t="shared" si="97"/>
        <v>1</v>
      </c>
      <c r="T177" s="190" t="str">
        <f t="shared" si="64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65"/>
        <v>https://d0f6bd738d7f1b3e5a7ca70fe4ff75f0.us-east-1.aws.found.io/app/kibana#/discover/Steve-Slow-Train-Analysis-(2080s-and-2083s)?_g=(refreshInterval:(display:Off,pause:!f,section:0,value:0),time:(from:'2017-05-19T09:55:33-0600',mode:absolute,to:'2017-05-19T12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7" s="192" t="str">
        <f t="shared" si="66"/>
        <v>N</v>
      </c>
      <c r="X177" s="192">
        <f t="shared" si="99"/>
        <v>1</v>
      </c>
      <c r="Y177" s="192">
        <f t="shared" si="98"/>
        <v>9.4799999999999995E-2</v>
      </c>
      <c r="Z177" s="192">
        <f t="shared" si="91"/>
        <v>5.8940999999999999</v>
      </c>
      <c r="AA177" s="192">
        <f t="shared" si="69"/>
        <v>5.7992999999999997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70"/>
        <v>0817-19</v>
      </c>
      <c r="AE177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177" s="77" t="str">
        <f t="shared" si="72"/>
        <v>"C:\Program Files (x86)\AstroGrep\AstroGrep.exe" /e /r /s /spath="%USERPROFILE%\AppData\Local\Temp\OnboardLogs" /stypes="app*4002*20170519*" /stext=" 17:.+((SYSTEM_STATE.+slice.+state.+changed )|(ment ac)|(multiple cpu faults)|(system.+state.+changed )|(\[timeout)|(PRM\|1\|D)|(kpr)|(kdp)|(train st.+moving)|(\|lc)|(penalty))"</v>
      </c>
      <c r="AG177" s="1" t="str">
        <f t="shared" si="73"/>
        <v>NW</v>
      </c>
      <c r="AH177" s="81" t="str">
        <f t="shared" si="74"/>
        <v>"%USERPROFILE%\Documents\GitHub\eaglep3\Utilities\RefineRTDCRunTimes.py" --tripid 817-19 --locoid 4002 --swversion DE.1.0.9.0 --startMP 204:948 --initTime 2017-05-19T10:55:33 --startdatetime 2017-05-19T11:21:30 --delay 1 --endMP 300:58941 --enddatetime 2017-05-19T11:35:28 --enforcementcount 0 &gt;&gt;C:\Users\stu\Documents\GitHub\eaglep3-reporting\EC\2017-05-19-refined-times.txt</v>
      </c>
      <c r="AI177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{"issue":{"subject":"","project_id":79,"tracker_id":40,"status_id":1,"priority_id":2,"assigned_to_id":23,"start_date":"2017-05-19","description":"","custom_fields":[{"id":1,"name":"Subdivision","value":"NW"},{"id":4,"name":"Milepost","value":"5.8941"},{"id":17,"name":"Train ID","value":"817-19"},{"id":16,"name":"Locomotive ID","value":"4002"},{"id":130,"name":"Impact","value":""},{"id":150,"name":"Time of Event (Mountain Time)","value":"11:35:28"},{"id":151,"name":"Denver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76"/>
        <v>start /low /b %USERPROFILE%\Documents\GitHub\eaglep3\Utilities\DownloadLogsFromS3.py --loco 4002 --day 2017-05-19</v>
      </c>
      <c r="AN177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17:35:28"},{"id":29,"name":"Sharepoint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2" t="s">
        <v>626</v>
      </c>
      <c r="B178" s="7">
        <v>4001</v>
      </c>
      <c r="C178" s="21" t="s">
        <v>206</v>
      </c>
      <c r="D178" s="21" t="s">
        <v>520</v>
      </c>
      <c r="E178" s="13">
        <v>42874.483900462961</v>
      </c>
      <c r="F178" s="13">
        <v>42874.485277777778</v>
      </c>
      <c r="G178" s="7">
        <v>1</v>
      </c>
      <c r="H178" s="21" t="s">
        <v>999</v>
      </c>
      <c r="I178" s="13">
        <v>42874.499895833331</v>
      </c>
      <c r="J178" s="7">
        <v>0</v>
      </c>
      <c r="K178" s="92" t="str">
        <f t="shared" si="60"/>
        <v>4001/4002</v>
      </c>
      <c r="L178" s="21" t="str">
        <f>VLOOKUP(A178,'Trips&amp;Operators'!$C$1:$G$99999,5,FALSE)</f>
        <v>MACDONALD THOMAS</v>
      </c>
      <c r="M178" s="6">
        <f t="shared" si="61"/>
        <v>1.4618055553000886E-2</v>
      </c>
      <c r="N178" s="7">
        <f t="shared" si="96"/>
        <v>21.049999996321276</v>
      </c>
      <c r="O178" s="7"/>
      <c r="P178" s="7"/>
      <c r="Q178" s="22"/>
      <c r="R178" s="190"/>
      <c r="S178" s="196">
        <f t="shared" si="97"/>
        <v>1</v>
      </c>
      <c r="T178" s="190" t="str">
        <f t="shared" si="64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65"/>
        <v>https://d0f6bd738d7f1b3e5a7ca70fe4ff75f0.us-east-1.aws.found.io/app/kibana#/discover/Steve-Slow-Train-Analysis-(2080s-and-2083s)?_g=(refreshInterval:(display:Off,pause:!f,section:0,value:0),time:(from:'2017-05-19T10:36:49-0600',mode:absolute,to:'2017-05-19T12:59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8" s="192" t="str">
        <f t="shared" si="66"/>
        <v>N</v>
      </c>
      <c r="X178" s="192">
        <f t="shared" si="99"/>
        <v>1</v>
      </c>
      <c r="Y178" s="192">
        <f t="shared" si="98"/>
        <v>5.8623000000000003</v>
      </c>
      <c r="Z178" s="192">
        <f t="shared" si="91"/>
        <v>7.5200000000000003E-2</v>
      </c>
      <c r="AA178" s="192">
        <f t="shared" si="69"/>
        <v>5.7871000000000006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70"/>
        <v>0818-19</v>
      </c>
      <c r="AE178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178" s="77" t="str">
        <f t="shared" si="72"/>
        <v>"C:\Program Files (x86)\AstroGrep\AstroGrep.exe" /e /r /s /spath="%USERPROFILE%\AppData\Local\Temp\OnboardLogs" /stypes="app*4001*20170519*" /stext=" 17:.+((SYSTEM_STATE.+slice.+state.+changed )|(ment ac)|(multiple cpu faults)|(system.+state.+changed )|(\[timeout)|(PRM\|1\|D)|(kpr)|(kdp)|(train st.+moving)|(\|lc)|(penalty))"</v>
      </c>
      <c r="AG178" s="1" t="str">
        <f t="shared" si="73"/>
        <v>NW</v>
      </c>
      <c r="AH178" s="81" t="str">
        <f t="shared" si="74"/>
        <v>"%USERPROFILE%\Documents\GitHub\eaglep3\Utilities\RefineRTDCRunTimes.py" --tripid 818-19 --locoid 4001 --swversion DE.1.0.9.0 --startMP 300:58623 --initTime 2017-05-19T11:36:49 --startdatetime 2017-05-19T11:38:48 --delay 1 --endMP 204:752 --enddatetime 2017-05-19T11:59:51 --enforcementcount 0 &gt;&gt;C:\Users\stu\Documents\GitHub\eaglep3-reporting\EC\2017-05-19-refined-times.txt</v>
      </c>
      <c r="AI178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{"issue":{"subject":"","project_id":79,"tracker_id":40,"status_id":1,"priority_id":2,"assigned_to_id":23,"start_date":"2017-05-19","description":"","custom_fields":[{"id":1,"name":"Subdivision","value":"NW"},{"id":4,"name":"Milepost","value":"0.0752"},{"id":17,"name":"Train ID","value":"818-19"},{"id":16,"name":"Locomotive ID","value":"4001"},{"id":130,"name":"Impact","value":""},{"id":150,"name":"Time of Event (Mountain Time)","value":"11:59:51"},{"id":151,"name":"Denver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76"/>
        <v>start /low /b %USERPROFILE%\Documents\GitHub\eaglep3\Utilities\DownloadLogsFromS3.py --loco 4001 --day 2017-05-19</v>
      </c>
      <c r="AN178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17:59:51"},{"id":29,"name":"Sharepoint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744</v>
      </c>
      <c r="B179" s="7">
        <v>4002</v>
      </c>
      <c r="C179" s="21" t="s">
        <v>206</v>
      </c>
      <c r="D179" s="21" t="s">
        <v>1000</v>
      </c>
      <c r="E179" s="13">
        <v>42874.501863425925</v>
      </c>
      <c r="F179" s="13">
        <v>42874.514722222222</v>
      </c>
      <c r="G179" s="7">
        <v>1</v>
      </c>
      <c r="H179" s="21" t="s">
        <v>1001</v>
      </c>
      <c r="I179" s="13">
        <v>42874.523854166669</v>
      </c>
      <c r="J179" s="7">
        <v>0</v>
      </c>
      <c r="K179" s="92" t="str">
        <f t="shared" si="60"/>
        <v>4001/4002</v>
      </c>
      <c r="L179" s="21" t="str">
        <f>VLOOKUP(A179,'Trips&amp;Operators'!$C$1:$G$99999,5,FALSE)</f>
        <v>MACDONALD THOMAS</v>
      </c>
      <c r="M179" s="6">
        <f t="shared" si="61"/>
        <v>9.1319444472901523E-3</v>
      </c>
      <c r="N179" s="7">
        <f t="shared" si="96"/>
        <v>13.150000004097819</v>
      </c>
      <c r="O179" s="7"/>
      <c r="P179" s="7"/>
      <c r="Q179" s="22"/>
      <c r="R179" s="190"/>
      <c r="S179" s="196">
        <f t="shared" si="97"/>
        <v>1</v>
      </c>
      <c r="T179" s="190" t="str">
        <f t="shared" si="64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65"/>
        <v>https://d0f6bd738d7f1b3e5a7ca70fe4ff75f0.us-east-1.aws.found.io/app/kibana#/discover/Steve-Slow-Train-Analysis-(2080s-and-2083s)?_g=(refreshInterval:(display:Off,pause:!f,section:0,value:0),time:(from:'2017-05-19T11:02:41-0600',mode:absolute,to:'2017-05-19T13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9" s="192" t="str">
        <f t="shared" si="66"/>
        <v>N</v>
      </c>
      <c r="X179" s="192">
        <f t="shared" si="99"/>
        <v>1</v>
      </c>
      <c r="Y179" s="192">
        <f t="shared" si="98"/>
        <v>0.1032</v>
      </c>
      <c r="Z179" s="192">
        <f t="shared" si="91"/>
        <v>5.8958000000000004</v>
      </c>
      <c r="AA179" s="192">
        <f t="shared" si="69"/>
        <v>5.7926000000000002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70"/>
        <v>0819-19</v>
      </c>
      <c r="AE179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179" s="77" t="str">
        <f t="shared" si="72"/>
        <v>"C:\Program Files (x86)\AstroGrep\AstroGrep.exe" /e /r /s /spath="%USERPROFILE%\AppData\Local\Temp\OnboardLogs" /stypes="app*4002*20170519*" /stext=" 18:.+((SYSTEM_STATE.+slice.+state.+changed )|(ment ac)|(multiple cpu faults)|(system.+state.+changed )|(\[timeout)|(PRM\|1\|D)|(kpr)|(kdp)|(train st.+moving)|(\|lc)|(penalty))"</v>
      </c>
      <c r="AG179" s="1" t="str">
        <f t="shared" si="73"/>
        <v>NW</v>
      </c>
      <c r="AH179" s="81" t="str">
        <f t="shared" si="74"/>
        <v>"%USERPROFILE%\Documents\GitHub\eaglep3\Utilities\RefineRTDCRunTimes.py" --tripid 819-19 --locoid 4002 --swversion DE.1.0.9.0 --startMP 204:1032 --initTime 2017-05-19T12:02:41 --startdatetime 2017-05-19T12:21:12 --delay 1 --endMP 300:58958 --enddatetime 2017-05-19T12:34:21 --enforcementcount 0 &gt;&gt;C:\Users\stu\Documents\GitHub\eaglep3-reporting\EC\2017-05-19-refined-times.txt</v>
      </c>
      <c r="AI179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{"issue":{"subject":"","project_id":79,"tracker_id":40,"status_id":1,"priority_id":2,"assigned_to_id":23,"start_date":"2017-05-19","description":"","custom_fields":[{"id":1,"name":"Subdivision","value":"NW"},{"id":4,"name":"Milepost","value":"5.8958"},{"id":17,"name":"Train ID","value":"819-19"},{"id":16,"name":"Locomotive ID","value":"4002"},{"id":130,"name":"Impact","value":""},{"id":150,"name":"Time of Event (Mountain Time)","value":"12:34:21"},{"id":151,"name":"Denver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5" t="str">
        <f t="shared" si="76"/>
        <v>start /low /b %USERPROFILE%\Documents\GitHub\eaglep3\Utilities\DownloadLogsFromS3.py --loco 4002 --day 2017-05-19</v>
      </c>
      <c r="AN179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18:34:21"},{"id":29,"name":"Sharepoint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629</v>
      </c>
      <c r="B180" s="7">
        <v>4001</v>
      </c>
      <c r="C180" s="21" t="s">
        <v>206</v>
      </c>
      <c r="D180" s="21" t="s">
        <v>598</v>
      </c>
      <c r="E180" s="13">
        <v>42874.524699074071</v>
      </c>
      <c r="F180" s="13">
        <v>42874.526076388887</v>
      </c>
      <c r="G180" s="7">
        <v>1</v>
      </c>
      <c r="H180" s="21" t="s">
        <v>1005</v>
      </c>
      <c r="I180" s="13">
        <v>42874.537627314814</v>
      </c>
      <c r="J180" s="7">
        <v>0</v>
      </c>
      <c r="K180" s="92" t="str">
        <f t="shared" si="60"/>
        <v>4001/4002</v>
      </c>
      <c r="L180" s="21" t="str">
        <f>VLOOKUP(A180,'Trips&amp;Operators'!$C$1:$G$99999,5,FALSE)</f>
        <v>MACDONALD THOMAS</v>
      </c>
      <c r="M180" s="6">
        <f t="shared" si="61"/>
        <v>1.1550925926712807E-2</v>
      </c>
      <c r="N180" s="7">
        <f t="shared" si="96"/>
        <v>16.633333334466442</v>
      </c>
      <c r="O180" s="7"/>
      <c r="P180" s="7"/>
      <c r="Q180" s="22"/>
      <c r="R180" s="190"/>
      <c r="S180" s="196">
        <f t="shared" si="97"/>
        <v>1</v>
      </c>
      <c r="T180" s="190" t="str">
        <f t="shared" si="64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65"/>
        <v>https://d0f6bd738d7f1b3e5a7ca70fe4ff75f0.us-east-1.aws.found.io/app/kibana#/discover/Steve-Slow-Train-Analysis-(2080s-and-2083s)?_g=(refreshInterval:(display:Off,pause:!f,section:0,value:0),time:(from:'2017-05-19T11:35:34-0600',mode:absolute,to:'2017-05-19T13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0" s="192" t="str">
        <f t="shared" si="66"/>
        <v>N</v>
      </c>
      <c r="X180" s="192">
        <f t="shared" si="99"/>
        <v>1</v>
      </c>
      <c r="Y180" s="192">
        <f t="shared" si="98"/>
        <v>5.8651</v>
      </c>
      <c r="Z180" s="192">
        <f t="shared" si="91"/>
        <v>7.4999999999999997E-2</v>
      </c>
      <c r="AA180" s="192">
        <f t="shared" si="69"/>
        <v>5.7900999999999998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70"/>
        <v>0820-19</v>
      </c>
      <c r="AE180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180" s="77" t="str">
        <f t="shared" si="72"/>
        <v>"C:\Program Files (x86)\AstroGrep\AstroGrep.exe" /e /r /s /spath="%USERPROFILE%\AppData\Local\Temp\OnboardLogs" /stypes="app*4001*20170519*" /stext=" 18:.+((SYSTEM_STATE.+slice.+state.+changed )|(ment ac)|(multiple cpu faults)|(system.+state.+changed )|(\[timeout)|(PRM\|1\|D)|(kpr)|(kdp)|(train st.+moving)|(\|lc)|(penalty))"</v>
      </c>
      <c r="AG180" s="1" t="str">
        <f t="shared" si="73"/>
        <v>NW</v>
      </c>
      <c r="AH180" s="81" t="str">
        <f t="shared" si="74"/>
        <v>"%USERPROFILE%\Documents\GitHub\eaglep3\Utilities\RefineRTDCRunTimes.py" --tripid 820-19 --locoid 4001 --swversion DE.1.0.9.0 --startMP 300:58651 --initTime 2017-05-19T12:35:34 --startdatetime 2017-05-19T12:37:33 --delay 1 --endMP 204:750 --enddatetime 2017-05-19T12:54:11 --enforcementcount 0 &gt;&gt;C:\Users\stu\Documents\GitHub\eaglep3-reporting\EC\2017-05-19-refined-times.txt</v>
      </c>
      <c r="AI180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{"issue":{"subject":"","project_id":79,"tracker_id":40,"status_id":1,"priority_id":2,"assigned_to_id":23,"start_date":"2017-05-19","description":"","custom_fields":[{"id":1,"name":"Subdivision","value":"NW"},{"id":4,"name":"Milepost","value":"0.075"},{"id":17,"name":"Train ID","value":"820-19"},{"id":16,"name":"Locomotive ID","value":"4001"},{"id":130,"name":"Impact","value":""},{"id":150,"name":"Time of Event (Mountain Time)","value":"12:54:11"},{"id":151,"name":"Denver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76"/>
        <v>start /low /b %USERPROFILE%\Documents\GitHub\eaglep3\Utilities\DownloadLogsFromS3.py --loco 4001 --day 2017-05-19</v>
      </c>
      <c r="AN180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18:54:11"},{"id":29,"name":"Sharepoint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750</v>
      </c>
      <c r="B181" s="7">
        <v>4002</v>
      </c>
      <c r="C181" s="21" t="s">
        <v>206</v>
      </c>
      <c r="D181" s="21" t="s">
        <v>1006</v>
      </c>
      <c r="E181" s="13">
        <v>42874.547106481485</v>
      </c>
      <c r="F181" s="13">
        <v>42874.556377314817</v>
      </c>
      <c r="G181" s="7">
        <v>1</v>
      </c>
      <c r="H181" s="21" t="s">
        <v>586</v>
      </c>
      <c r="I181" s="13">
        <v>42874.565138888887</v>
      </c>
      <c r="J181" s="7">
        <v>0</v>
      </c>
      <c r="K181" s="92" t="str">
        <f t="shared" si="60"/>
        <v>4001/4002</v>
      </c>
      <c r="L181" s="21" t="str">
        <f>VLOOKUP(A181,'Trips&amp;Operators'!$C$1:$G$99999,5,FALSE)</f>
        <v>BIRENBAUM THOMAS</v>
      </c>
      <c r="M181" s="6">
        <f t="shared" si="61"/>
        <v>8.7615740703768097E-3</v>
      </c>
      <c r="N181" s="7">
        <f t="shared" si="96"/>
        <v>12.616666661342606</v>
      </c>
      <c r="O181" s="7"/>
      <c r="P181" s="7"/>
      <c r="Q181" s="22"/>
      <c r="R181" s="190"/>
      <c r="S181" s="196">
        <f t="shared" si="97"/>
        <v>1</v>
      </c>
      <c r="T181" s="190" t="str">
        <f t="shared" si="64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65"/>
        <v>https://d0f6bd738d7f1b3e5a7ca70fe4ff75f0.us-east-1.aws.found.io/app/kibana#/discover/Steve-Slow-Train-Analysis-(2080s-and-2083s)?_g=(refreshInterval:(display:Off,pause:!f,section:0,value:0),time:(from:'2017-05-19T12:07:50-0600',mode:absolute,to:'2017-05-19T14:33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1" s="192" t="str">
        <f t="shared" si="66"/>
        <v>N</v>
      </c>
      <c r="X181" s="192">
        <f t="shared" si="99"/>
        <v>1</v>
      </c>
      <c r="Y181" s="192">
        <f t="shared" si="98"/>
        <v>0.10440000000000001</v>
      </c>
      <c r="Z181" s="192">
        <f t="shared" si="91"/>
        <v>5.8964999999999996</v>
      </c>
      <c r="AA181" s="192">
        <f t="shared" si="69"/>
        <v>5.7920999999999996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70"/>
        <v>0821-19</v>
      </c>
      <c r="AE181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181" s="77" t="str">
        <f t="shared" si="72"/>
        <v>"C:\Program Files (x86)\AstroGrep\AstroGrep.exe" /e /r /s /spath="%USERPROFILE%\AppData\Local\Temp\OnboardLogs" /stypes="app*4002*20170519*" /stext=" 19:.+((SYSTEM_STATE.+slice.+state.+changed )|(ment ac)|(multiple cpu faults)|(system.+state.+changed )|(\[timeout)|(PRM\|1\|D)|(kpr)|(kdp)|(train st.+moving)|(\|lc)|(penalty))"</v>
      </c>
      <c r="AG181" s="1" t="str">
        <f t="shared" si="73"/>
        <v>NW</v>
      </c>
      <c r="AH181" s="81" t="str">
        <f t="shared" si="74"/>
        <v>"%USERPROFILE%\Documents\GitHub\eaglep3\Utilities\RefineRTDCRunTimes.py" --tripid 821-19 --locoid 4002 --swversion DE.1.0.9.0 --startMP 204:1044 --initTime 2017-05-19T13:07:50 --startdatetime 2017-05-19T13:21:11 --delay 1 --endMP 300:58965 --enddatetime 2017-05-19T13:33:48 --enforcementcount 0 &gt;&gt;C:\Users\stu\Documents\GitHub\eaglep3-reporting\EC\2017-05-19-refined-times.txt</v>
      </c>
      <c r="AI181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{"issue":{"subject":"","project_id":79,"tracker_id":40,"status_id":1,"priority_id":2,"assigned_to_id":23,"start_date":"2017-05-19","description":"","custom_fields":[{"id":1,"name":"Subdivision","value":"NW"},{"id":4,"name":"Milepost","value":"5.8965"},{"id":17,"name":"Train ID","value":"821-19"},{"id":16,"name":"Locomotive ID","value":"4002"},{"id":130,"name":"Impact","value":""},{"id":150,"name":"Time of Event (Mountain Time)","value":"13:33:48"},{"id":151,"name":"Denver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76"/>
        <v>start /low /b %USERPROFILE%\Documents\GitHub\eaglep3\Utilities\DownloadLogsFromS3.py --loco 4002 --day 2017-05-19</v>
      </c>
      <c r="AN181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19:33:48"},{"id":29,"name":"Sharepoint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754</v>
      </c>
      <c r="B182" s="7">
        <v>4001</v>
      </c>
      <c r="C182" s="21" t="s">
        <v>206</v>
      </c>
      <c r="D182" s="21" t="s">
        <v>1007</v>
      </c>
      <c r="E182" s="13">
        <v>42874.566180555557</v>
      </c>
      <c r="F182" s="13">
        <v>42874.567673611113</v>
      </c>
      <c r="G182" s="7">
        <v>1</v>
      </c>
      <c r="H182" s="21" t="s">
        <v>1008</v>
      </c>
      <c r="I182" s="13">
        <v>42874.579409722224</v>
      </c>
      <c r="J182" s="7">
        <v>0</v>
      </c>
      <c r="K182" s="92" t="str">
        <f t="shared" si="60"/>
        <v>4001/4002</v>
      </c>
      <c r="L182" s="21" t="str">
        <f>VLOOKUP(A182,'Trips&amp;Operators'!$C$1:$G$99999,5,FALSE)</f>
        <v>BIRENBAUM THOMAS</v>
      </c>
      <c r="M182" s="6">
        <f t="shared" si="61"/>
        <v>1.17361111115315E-2</v>
      </c>
      <c r="N182" s="7">
        <f t="shared" si="96"/>
        <v>16.90000000060536</v>
      </c>
      <c r="O182" s="7"/>
      <c r="P182" s="7"/>
      <c r="Q182" s="22"/>
      <c r="R182" s="190"/>
      <c r="S182" s="196">
        <f t="shared" si="97"/>
        <v>1</v>
      </c>
      <c r="T182" s="190" t="str">
        <f t="shared" si="64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65"/>
        <v>https://d0f6bd738d7f1b3e5a7ca70fe4ff75f0.us-east-1.aws.found.io/app/kibana#/discover/Steve-Slow-Train-Analysis-(2080s-and-2083s)?_g=(refreshInterval:(display:Off,pause:!f,section:0,value:0),time:(from:'2017-05-19T12:35:18-0600',mode:absolute,to:'2017-05-19T14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2" s="192" t="str">
        <f t="shared" si="66"/>
        <v>N</v>
      </c>
      <c r="X182" s="192">
        <f t="shared" si="99"/>
        <v>1</v>
      </c>
      <c r="Y182" s="192">
        <f t="shared" si="98"/>
        <v>5.8647</v>
      </c>
      <c r="Z182" s="192">
        <f t="shared" si="91"/>
        <v>7.0599999999999996E-2</v>
      </c>
      <c r="AA182" s="192">
        <f t="shared" si="69"/>
        <v>5.7941000000000003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70"/>
        <v>0822-19</v>
      </c>
      <c r="AE182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182" s="77" t="str">
        <f t="shared" si="72"/>
        <v>"C:\Program Files (x86)\AstroGrep\AstroGrep.exe" /e /r /s /spath="%USERPROFILE%\AppData\Local\Temp\OnboardLogs" /stypes="app*4001*20170519*" /stext=" 19:.+((SYSTEM_STATE.+slice.+state.+changed )|(ment ac)|(multiple cpu faults)|(system.+state.+changed )|(\[timeout)|(PRM\|1\|D)|(kpr)|(kdp)|(train st.+moving)|(\|lc)|(penalty))"</v>
      </c>
      <c r="AG182" s="1" t="str">
        <f t="shared" si="73"/>
        <v>NW</v>
      </c>
      <c r="AH182" s="81" t="str">
        <f t="shared" si="74"/>
        <v>"%USERPROFILE%\Documents\GitHub\eaglep3\Utilities\RefineRTDCRunTimes.py" --tripid 822-19 --locoid 4001 --swversion DE.1.0.9.0 --startMP 300:58647 --initTime 2017-05-19T13:35:18 --startdatetime 2017-05-19T13:37:27 --delay 1 --endMP 204:706 --enddatetime 2017-05-19T13:54:21 --enforcementcount 0 &gt;&gt;C:\Users\stu\Documents\GitHub\eaglep3-reporting\EC\2017-05-19-refined-times.txt</v>
      </c>
      <c r="AI182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{"issue":{"subject":"","project_id":79,"tracker_id":40,"status_id":1,"priority_id":2,"assigned_to_id":23,"start_date":"2017-05-19","description":"","custom_fields":[{"id":1,"name":"Subdivision","value":"NW"},{"id":4,"name":"Milepost","value":"0.0706"},{"id":17,"name":"Train ID","value":"822-19"},{"id":16,"name":"Locomotive ID","value":"4001"},{"id":130,"name":"Impact","value":""},{"id":150,"name":"Time of Event (Mountain Time)","value":"13:54:21"},{"id":151,"name":"Denver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76"/>
        <v>start /low /b %USERPROFILE%\Documents\GitHub\eaglep3\Utilities\DownloadLogsFromS3.py --loco 4001 --day 2017-05-19</v>
      </c>
      <c r="AN182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19:54:21"},{"id":29,"name":"Sharepoint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758</v>
      </c>
      <c r="B183" s="7">
        <v>4002</v>
      </c>
      <c r="C183" s="21" t="s">
        <v>206</v>
      </c>
      <c r="D183" s="21" t="s">
        <v>486</v>
      </c>
      <c r="E183" s="13">
        <v>42874.592245370368</v>
      </c>
      <c r="F183" s="13">
        <v>42874.598043981481</v>
      </c>
      <c r="G183" s="7">
        <v>1</v>
      </c>
      <c r="H183" s="21" t="s">
        <v>586</v>
      </c>
      <c r="I183" s="13">
        <v>42874.606724537036</v>
      </c>
      <c r="J183" s="7">
        <v>0</v>
      </c>
      <c r="K183" s="92" t="str">
        <f t="shared" si="60"/>
        <v>4001/4002</v>
      </c>
      <c r="L183" s="21" t="str">
        <f>VLOOKUP(A183,'Trips&amp;Operators'!$C$1:$G$99999,5,FALSE)</f>
        <v>BIRENBAUM THOMAS</v>
      </c>
      <c r="M183" s="6">
        <f t="shared" si="61"/>
        <v>8.6805555547471158E-3</v>
      </c>
      <c r="N183" s="7">
        <f t="shared" si="96"/>
        <v>12.499999998835847</v>
      </c>
      <c r="O183" s="7"/>
      <c r="P183" s="7"/>
      <c r="Q183" s="22"/>
      <c r="R183" s="190"/>
      <c r="S183" s="196">
        <f t="shared" si="97"/>
        <v>1</v>
      </c>
      <c r="T183" s="190" t="str">
        <f t="shared" si="64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65"/>
        <v>https://d0f6bd738d7f1b3e5a7ca70fe4ff75f0.us-east-1.aws.found.io/app/kibana#/discover/Steve-Slow-Train-Analysis-(2080s-and-2083s)?_g=(refreshInterval:(display:Off,pause:!f,section:0,value:0),time:(from:'2017-05-19T13:12:50-0600',mode:absolute,to:'2017-05-19T15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3" s="192" t="str">
        <f t="shared" si="66"/>
        <v>N</v>
      </c>
      <c r="X183" s="192">
        <f t="shared" si="99"/>
        <v>1</v>
      </c>
      <c r="Y183" s="192">
        <f t="shared" si="98"/>
        <v>9.8799999999999999E-2</v>
      </c>
      <c r="Z183" s="192">
        <f t="shared" si="91"/>
        <v>5.8964999999999996</v>
      </c>
      <c r="AA183" s="192">
        <f t="shared" si="69"/>
        <v>5.7976999999999999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70"/>
        <v>0823-19</v>
      </c>
      <c r="AE183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183" s="77" t="str">
        <f t="shared" si="72"/>
        <v>"C:\Program Files (x86)\AstroGrep\AstroGrep.exe" /e /r /s /spath="%USERPROFILE%\AppData\Local\Temp\OnboardLogs" /stypes="app*4002*20170519*" /stext=" 20:.+((SYSTEM_STATE.+slice.+state.+changed )|(ment ac)|(multiple cpu faults)|(system.+state.+changed )|(\[timeout)|(PRM\|1\|D)|(kpr)|(kdp)|(train st.+moving)|(\|lc)|(penalty))"</v>
      </c>
      <c r="AG183" s="1" t="str">
        <f t="shared" si="73"/>
        <v>NW</v>
      </c>
      <c r="AH183" s="81" t="str">
        <f t="shared" si="74"/>
        <v>"%USERPROFILE%\Documents\GitHub\eaglep3\Utilities\RefineRTDCRunTimes.py" --tripid 823-19 --locoid 4002 --swversion DE.1.0.9.0 --startMP 204:988 --initTime 2017-05-19T14:12:50 --startdatetime 2017-05-19T14:21:11 --delay 1 --endMP 300:58965 --enddatetime 2017-05-19T14:33:41 --enforcementcount 0 &gt;&gt;C:\Users\stu\Documents\GitHub\eaglep3-reporting\EC\2017-05-19-refined-times.txt</v>
      </c>
      <c r="AI183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{"issue":{"subject":"","project_id":79,"tracker_id":40,"status_id":1,"priority_id":2,"assigned_to_id":23,"start_date":"2017-05-19","description":"","custom_fields":[{"id":1,"name":"Subdivision","value":"NW"},{"id":4,"name":"Milepost","value":"5.8965"},{"id":17,"name":"Train ID","value":"823-19"},{"id":16,"name":"Locomotive ID","value":"4002"},{"id":130,"name":"Impact","value":""},{"id":150,"name":"Time of Event (Mountain Time)","value":"14:33:41"},{"id":151,"name":"Denver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76"/>
        <v>start /low /b %USERPROFILE%\Documents\GitHub\eaglep3\Utilities\DownloadLogsFromS3.py --loco 4002 --day 2017-05-19</v>
      </c>
      <c r="AN183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20:33:41"},{"id":29,"name":"Sharepoint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761</v>
      </c>
      <c r="B184" s="7">
        <v>4001</v>
      </c>
      <c r="C184" s="21" t="s">
        <v>206</v>
      </c>
      <c r="D184" s="21" t="s">
        <v>443</v>
      </c>
      <c r="E184" s="13">
        <v>42874.607766203706</v>
      </c>
      <c r="F184" s="13">
        <v>42874.608923611115</v>
      </c>
      <c r="G184" s="7">
        <v>0</v>
      </c>
      <c r="H184" s="21" t="s">
        <v>587</v>
      </c>
      <c r="I184" s="13">
        <v>42874.621134259258</v>
      </c>
      <c r="J184" s="7">
        <v>0</v>
      </c>
      <c r="K184" s="92" t="str">
        <f t="shared" si="60"/>
        <v>4001/4002</v>
      </c>
      <c r="L184" s="21" t="str">
        <f>VLOOKUP(A184,'Trips&amp;Operators'!$C$1:$G$99999,5,FALSE)</f>
        <v>BIRENBAUM THOMAS</v>
      </c>
      <c r="M184" s="6">
        <f t="shared" si="61"/>
        <v>1.2210648143081926E-2</v>
      </c>
      <c r="N184" s="7">
        <f t="shared" si="96"/>
        <v>17.583333326037973</v>
      </c>
      <c r="O184" s="7"/>
      <c r="P184" s="7"/>
      <c r="Q184" s="22"/>
      <c r="R184" s="190"/>
      <c r="S184" s="196">
        <f t="shared" si="97"/>
        <v>1</v>
      </c>
      <c r="T184" s="190" t="str">
        <f t="shared" si="64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65"/>
        <v>https://d0f6bd738d7f1b3e5a7ca70fe4ff75f0.us-east-1.aws.found.io/app/kibana#/discover/Steve-Slow-Train-Analysis-(2080s-and-2083s)?_g=(refreshInterval:(display:Off,pause:!f,section:0,value:0),time:(from:'2017-05-19T13:35:11-0600',mode:absolute,to:'2017-05-19T15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4" s="192" t="str">
        <f t="shared" si="66"/>
        <v>N</v>
      </c>
      <c r="X184" s="192">
        <f t="shared" si="99"/>
        <v>1</v>
      </c>
      <c r="Y184" s="192">
        <f t="shared" si="98"/>
        <v>5.8644999999999996</v>
      </c>
      <c r="Z184" s="192">
        <f t="shared" si="91"/>
        <v>7.0800000000000002E-2</v>
      </c>
      <c r="AA184" s="192">
        <f t="shared" si="69"/>
        <v>5.7936999999999994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70"/>
        <v>0824-19</v>
      </c>
      <c r="AE184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184" s="77" t="str">
        <f t="shared" si="72"/>
        <v>"C:\Program Files (x86)\AstroGrep\AstroGrep.exe" /e /r /s /spath="%USERPROFILE%\AppData\Local\Temp\OnboardLogs" /stypes="app*4001*20170519*" /stext=" 20:.+((SYSTEM_STATE.+slice.+state.+changed )|(ment ac)|(multiple cpu faults)|(system.+state.+changed )|(\[timeout)|(PRM\|1\|D)|(kpr)|(kdp)|(train st.+moving)|(\|lc)|(penalty))"</v>
      </c>
      <c r="AG184" s="1" t="str">
        <f t="shared" si="73"/>
        <v>NW</v>
      </c>
      <c r="AH184" s="81" t="str">
        <f t="shared" si="74"/>
        <v>"%USERPROFILE%\Documents\GitHub\eaglep3\Utilities\RefineRTDCRunTimes.py" --tripid 824-19 --locoid 4001 --swversion DE.1.0.9.0 --startMP 300:58645 --initTime 2017-05-19T14:35:11 --startdatetime 2017-05-19T14:36:51 --delay 0 --endMP 204:708 --enddatetime 2017-05-19T14:54:26 --enforcementcount 0 &gt;&gt;C:\Users\stu\Documents\GitHub\eaglep3-reporting\EC\2017-05-19-refined-times.txt</v>
      </c>
      <c r="AI184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{"issue":{"subject":"","project_id":79,"tracker_id":40,"status_id":1,"priority_id":2,"assigned_to_id":23,"start_date":"2017-05-19","description":"","custom_fields":[{"id":1,"name":"Subdivision","value":"NW"},{"id":4,"name":"Milepost","value":"0.0708"},{"id":17,"name":"Train ID","value":"824-19"},{"id":16,"name":"Locomotive ID","value":"4001"},{"id":130,"name":"Impact","value":""},{"id":150,"name":"Time of Event (Mountain Time)","value":"14:54:26"},{"id":151,"name":"Denver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76"/>
        <v>start /low /b %USERPROFILE%\Documents\GitHub\eaglep3\Utilities\DownloadLogsFromS3.py --loco 4001 --day 2017-05-19</v>
      </c>
      <c r="AN184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20:54:26"},{"id":29,"name":"Sharepoint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768</v>
      </c>
      <c r="B185" s="7">
        <v>4002</v>
      </c>
      <c r="C185" s="21" t="s">
        <v>206</v>
      </c>
      <c r="D185" s="21" t="s">
        <v>1009</v>
      </c>
      <c r="E185" s="13">
        <v>42874.634247685186</v>
      </c>
      <c r="F185" s="13">
        <v>42874.639722222222</v>
      </c>
      <c r="G185" s="7">
        <v>0</v>
      </c>
      <c r="H185" s="21" t="s">
        <v>1010</v>
      </c>
      <c r="I185" s="13">
        <v>42874.648321759261</v>
      </c>
      <c r="J185" s="7">
        <v>0</v>
      </c>
      <c r="K185" s="92" t="str">
        <f t="shared" si="60"/>
        <v>4001/4002</v>
      </c>
      <c r="L185" s="21" t="str">
        <f>VLOOKUP(A185,'Trips&amp;Operators'!$C$1:$G$99999,5,FALSE)</f>
        <v>BIRENBAUM THOMAS</v>
      </c>
      <c r="M185" s="6">
        <f t="shared" si="61"/>
        <v>8.599537039117422E-3</v>
      </c>
      <c r="N185" s="7">
        <f t="shared" si="96"/>
        <v>12.383333336329088</v>
      </c>
      <c r="O185" s="7"/>
      <c r="P185" s="7"/>
      <c r="Q185" s="22"/>
      <c r="R185" s="190"/>
      <c r="S185" s="196">
        <f t="shared" si="97"/>
        <v>1</v>
      </c>
      <c r="T185" s="190" t="str">
        <f t="shared" si="64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65"/>
        <v>https://d0f6bd738d7f1b3e5a7ca70fe4ff75f0.us-east-1.aws.found.io/app/kibana#/discover/Steve-Slow-Train-Analysis-(2080s-and-2083s)?_g=(refreshInterval:(display:Off,pause:!f,section:0,value:0),time:(from:'2017-05-19T14:13:19-0600',mode:absolute,to:'2017-05-19T16:33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5" s="192" t="str">
        <f t="shared" si="66"/>
        <v>N</v>
      </c>
      <c r="X185" s="192">
        <f t="shared" si="99"/>
        <v>1</v>
      </c>
      <c r="Y185" s="192">
        <f t="shared" si="98"/>
        <v>0.1</v>
      </c>
      <c r="Z185" s="192">
        <f t="shared" si="91"/>
        <v>5.8952</v>
      </c>
      <c r="AA185" s="192">
        <f t="shared" si="69"/>
        <v>5.7952000000000004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70"/>
        <v>0825-19</v>
      </c>
      <c r="AE185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185" s="77" t="str">
        <f t="shared" si="72"/>
        <v>"C:\Program Files (x86)\AstroGrep\AstroGrep.exe" /e /r /s /spath="%USERPROFILE%\AppData\Local\Temp\OnboardLogs" /stypes="app*4002*20170519*" /stext=" 21:.+((SYSTEM_STATE.+slice.+state.+changed )|(ment ac)|(multiple cpu faults)|(system.+state.+changed )|(\[timeout)|(PRM\|1\|D)|(kpr)|(kdp)|(train st.+moving)|(\|lc)|(penalty))"</v>
      </c>
      <c r="AG185" s="1" t="str">
        <f t="shared" si="73"/>
        <v>NW</v>
      </c>
      <c r="AH185" s="81" t="str">
        <f t="shared" si="74"/>
        <v>"%USERPROFILE%\Documents\GitHub\eaglep3\Utilities\RefineRTDCRunTimes.py" --tripid 825-19 --locoid 4002 --swversion DE.1.0.9.0 --startMP 204:1000 --initTime 2017-05-19T15:13:19 --startdatetime 2017-05-19T15:21:12 --delay 0 --endMP 300:58952 --enddatetime 2017-05-19T15:33:35 --enforcementcount 0 &gt;&gt;C:\Users\stu\Documents\GitHub\eaglep3-reporting\EC\2017-05-19-refined-times.txt</v>
      </c>
      <c r="AI185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{"issue":{"subject":"","project_id":79,"tracker_id":40,"status_id":1,"priority_id":2,"assigned_to_id":23,"start_date":"2017-05-19","description":"","custom_fields":[{"id":1,"name":"Subdivision","value":"NW"},{"id":4,"name":"Milepost","value":"5.8952"},{"id":17,"name":"Train ID","value":"825-19"},{"id":16,"name":"Locomotive ID","value":"4002"},{"id":130,"name":"Impact","value":""},{"id":150,"name":"Time of Event (Mountain Time)","value":"15:33:35"},{"id":151,"name":"Denver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76"/>
        <v>start /low /b %USERPROFILE%\Documents\GitHub\eaglep3\Utilities\DownloadLogsFromS3.py --loco 4002 --day 2017-05-19</v>
      </c>
      <c r="AN185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21:33:35"},{"id":29,"name":"Sharepoint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773</v>
      </c>
      <c r="B186" s="7">
        <v>4001</v>
      </c>
      <c r="C186" s="21" t="s">
        <v>206</v>
      </c>
      <c r="D186" s="21" t="s">
        <v>997</v>
      </c>
      <c r="E186" s="13">
        <v>42874.649398148147</v>
      </c>
      <c r="F186" s="13">
        <v>42874.650509259256</v>
      </c>
      <c r="G186" s="7">
        <v>0</v>
      </c>
      <c r="H186" s="21" t="s">
        <v>521</v>
      </c>
      <c r="I186" s="13">
        <v>42874.663611111115</v>
      </c>
      <c r="J186" s="7">
        <v>0</v>
      </c>
      <c r="K186" s="92" t="str">
        <f t="shared" si="60"/>
        <v>4001/4002</v>
      </c>
      <c r="L186" s="21" t="str">
        <f>VLOOKUP(A186,'Trips&amp;Operators'!$C$1:$G$99999,5,FALSE)</f>
        <v>BIRENBAUM THOMAS</v>
      </c>
      <c r="M186" s="6">
        <f t="shared" si="61"/>
        <v>1.3101851858664304E-2</v>
      </c>
      <c r="N186" s="7">
        <f t="shared" si="96"/>
        <v>18.866666676476598</v>
      </c>
      <c r="O186" s="7"/>
      <c r="P186" s="7"/>
      <c r="Q186" s="22"/>
      <c r="R186" s="190"/>
      <c r="S186" s="196">
        <f t="shared" si="97"/>
        <v>1</v>
      </c>
      <c r="T186" s="190" t="str">
        <f t="shared" si="64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65"/>
        <v>https://d0f6bd738d7f1b3e5a7ca70fe4ff75f0.us-east-1.aws.found.io/app/kibana#/discover/Steve-Slow-Train-Analysis-(2080s-and-2083s)?_g=(refreshInterval:(display:Off,pause:!f,section:0,value:0),time:(from:'2017-05-19T14:35:08-0600',mode:absolute,to:'2017-05-19T16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6" s="192" t="str">
        <f t="shared" si="66"/>
        <v>N</v>
      </c>
      <c r="X186" s="192">
        <f t="shared" si="99"/>
        <v>1</v>
      </c>
      <c r="Y186" s="192">
        <f t="shared" si="98"/>
        <v>5.8634000000000004</v>
      </c>
      <c r="Z186" s="192">
        <f t="shared" si="91"/>
        <v>7.1499999999999994E-2</v>
      </c>
      <c r="AA186" s="192">
        <f t="shared" si="69"/>
        <v>5.7919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70"/>
        <v>0826-19</v>
      </c>
      <c r="AE186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186" s="77" t="str">
        <f t="shared" si="72"/>
        <v>"C:\Program Files (x86)\AstroGrep\AstroGrep.exe" /e /r /s /spath="%USERPROFILE%\AppData\Local\Temp\OnboardLogs" /stypes="app*4001*20170519*" /stext=" 21:.+((SYSTEM_STATE.+slice.+state.+changed )|(ment ac)|(multiple cpu faults)|(system.+state.+changed )|(\[timeout)|(PRM\|1\|D)|(kpr)|(kdp)|(train st.+moving)|(\|lc)|(penalty))"</v>
      </c>
      <c r="AG186" s="1" t="str">
        <f t="shared" si="73"/>
        <v>NW</v>
      </c>
      <c r="AH186" s="81" t="str">
        <f t="shared" si="74"/>
        <v>"%USERPROFILE%\Documents\GitHub\eaglep3\Utilities\RefineRTDCRunTimes.py" --tripid 826-19 --locoid 4001 --swversion DE.1.0.9.0 --startMP 300:58634 --initTime 2017-05-19T15:35:08 --startdatetime 2017-05-19T15:36:44 --delay 0 --endMP 204:715 --enddatetime 2017-05-19T15:55:36 --enforcementcount 0 &gt;&gt;C:\Users\stu\Documents\GitHub\eaglep3-reporting\EC\2017-05-19-refined-times.txt</v>
      </c>
      <c r="AI186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{"issue":{"subject":"","project_id":79,"tracker_id":40,"status_id":1,"priority_id":2,"assigned_to_id":23,"start_date":"2017-05-19","description":"","custom_fields":[{"id":1,"name":"Subdivision","value":"NW"},{"id":4,"name":"Milepost","value":"0.0715"},{"id":17,"name":"Train ID","value":"826-19"},{"id":16,"name":"Locomotive ID","value":"4001"},{"id":130,"name":"Impact","value":""},{"id":150,"name":"Time of Event (Mountain Time)","value":"15:55:36"},{"id":151,"name":"Denver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76"/>
        <v>start /low /b %USERPROFILE%\Documents\GitHub\eaglep3\Utilities\DownloadLogsFromS3.py --loco 4001 --day 2017-05-19</v>
      </c>
      <c r="AN186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21:55:36"},{"id":29,"name":"Sharepoint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775</v>
      </c>
      <c r="B187" s="7">
        <v>4030</v>
      </c>
      <c r="C187" s="21" t="s">
        <v>206</v>
      </c>
      <c r="D187" s="21" t="s">
        <v>585</v>
      </c>
      <c r="E187" s="13">
        <v>42874.652951388889</v>
      </c>
      <c r="F187" s="13">
        <v>42874.660983796297</v>
      </c>
      <c r="G187" s="7">
        <v>2</v>
      </c>
      <c r="H187" s="21" t="s">
        <v>519</v>
      </c>
      <c r="I187" s="13">
        <v>42874.670451388891</v>
      </c>
      <c r="J187" s="7">
        <v>0</v>
      </c>
      <c r="K187" s="92" t="str">
        <f t="shared" si="60"/>
        <v>4029/4030</v>
      </c>
      <c r="L187" s="21" t="str">
        <f>VLOOKUP(A187,'Trips&amp;Operators'!$C$1:$G$99999,5,FALSE)</f>
        <v>ZEWDU DEREJE</v>
      </c>
      <c r="M187" s="6">
        <f t="shared" si="61"/>
        <v>9.4675925938645378E-3</v>
      </c>
      <c r="N187" s="7">
        <f t="shared" si="96"/>
        <v>13.633333335164934</v>
      </c>
      <c r="O187" s="7"/>
      <c r="P187" s="7"/>
      <c r="Q187" s="22"/>
      <c r="R187" s="190"/>
      <c r="S187" s="196">
        <f t="shared" si="97"/>
        <v>1</v>
      </c>
      <c r="T187" s="190" t="str">
        <f t="shared" si="64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65"/>
        <v>https://d0f6bd738d7f1b3e5a7ca70fe4ff75f0.us-east-1.aws.found.io/app/kibana#/discover/Steve-Slow-Train-Analysis-(2080s-and-2083s)?_g=(refreshInterval:(display:Off,pause:!f,section:0,value:0),time:(from:'2017-05-19T14:40:15-0600',mode:absolute,to:'2017-05-19T17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7" s="192" t="str">
        <f t="shared" si="66"/>
        <v>N</v>
      </c>
      <c r="X187" s="192">
        <f t="shared" si="99"/>
        <v>1</v>
      </c>
      <c r="Y187" s="192">
        <f t="shared" si="98"/>
        <v>9.69E-2</v>
      </c>
      <c r="Z187" s="192">
        <f t="shared" si="91"/>
        <v>5.8944000000000001</v>
      </c>
      <c r="AA187" s="192">
        <f t="shared" si="69"/>
        <v>5.7975000000000003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70"/>
        <v>0827-19</v>
      </c>
      <c r="AE187" s="80" t="str">
        <f t="shared" si="71"/>
        <v>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 &amp; aws s3 cp s3://rtdc.mdm.uploadarchive.raw/RTDC4030/ "%USERPROFILE%\AppData\Local\Temp\OnboardLogs"\RTDC4030\2017-05-20 --exclude "*" --recursive --include "*20170520*" &amp; "%USERPROFILE%\Documents\GitHub\mrs-test-scripts\Headless Mode &amp; Sideloading\WalkAndUnGZ.bat" "%USERPROFILE%\AppData\Local\Temp\OnboardLogs"\RTDC4030\2017-05-20</v>
      </c>
      <c r="AF187" s="77" t="str">
        <f t="shared" si="72"/>
        <v>"C:\Program Files (x86)\AstroGrep\AstroGrep.exe" /e /r /s /spath="%USERPROFILE%\AppData\Local\Temp\OnboardLogs" /stypes="app*4030*20170519*" /stext=" 22:.+((SYSTEM_STATE.+slice.+state.+changed )|(ment ac)|(multiple cpu faults)|(system.+state.+changed )|(\[timeout)|(PRM\|1\|D)|(kpr)|(kdp)|(train st.+moving)|(\|lc)|(penalty))"</v>
      </c>
      <c r="AG187" s="1" t="str">
        <f t="shared" si="73"/>
        <v>NW</v>
      </c>
      <c r="AH187" s="81" t="str">
        <f t="shared" si="74"/>
        <v>"%USERPROFILE%\Documents\GitHub\eaglep3\Utilities\RefineRTDCRunTimes.py" --tripid 827-19 --locoid 4030 --swversion DE.1.0.9.0 --startMP 204:969 --initTime 2017-05-19T15:40:15 --startdatetime 2017-05-19T15:51:49 --delay 2 --endMP 300:58944 --enddatetime 2017-05-19T16:05:27 --enforcementcount 0 &gt;&gt;C:\Users\stu\Documents\GitHub\eaglep3-reporting\EC\2017-05-19-refined-times.txt</v>
      </c>
      <c r="AI187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{"issue":{"subject":"","project_id":79,"tracker_id":40,"status_id":1,"priority_id":2,"assigned_to_id":23,"start_date":"2017-05-19","description":"","custom_fields":[{"id":1,"name":"Subdivision","value":"NW"},{"id":4,"name":"Milepost","value":"5.8944"},{"id":17,"name":"Train ID","value":"827-19"},{"id":16,"name":"Locomotive ID","value":"4030"},{"id":130,"name":"Impact","value":""},{"id":150,"name":"Time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76"/>
        <v>start /low /b %USERPROFILE%\Documents\GitHub\eaglep3\Utilities\DownloadLogsFromS3.py --loco 4030 --day 2017-05-19</v>
      </c>
      <c r="AN187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22:05:27"},{"id":29,"name":"Sharepoint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779</v>
      </c>
      <c r="B188" s="7">
        <v>4029</v>
      </c>
      <c r="C188" s="21" t="s">
        <v>206</v>
      </c>
      <c r="D188" s="21" t="s">
        <v>1011</v>
      </c>
      <c r="E188" s="13">
        <v>42874.671840277777</v>
      </c>
      <c r="F188" s="13">
        <v>42874.673668981479</v>
      </c>
      <c r="G188" s="7">
        <v>1</v>
      </c>
      <c r="H188" s="21" t="s">
        <v>1012</v>
      </c>
      <c r="I188" s="13">
        <v>42874.684201388889</v>
      </c>
      <c r="J188" s="7">
        <v>0</v>
      </c>
      <c r="K188" s="92" t="str">
        <f t="shared" si="60"/>
        <v>4029/4030</v>
      </c>
      <c r="L188" s="21" t="str">
        <f>VLOOKUP(A188,'Trips&amp;Operators'!$C$1:$G$99999,5,FALSE)</f>
        <v>ZEWDU DEREJE</v>
      </c>
      <c r="M188" s="6">
        <f t="shared" si="61"/>
        <v>1.0532407410209998E-2</v>
      </c>
      <c r="N188" s="7">
        <f t="shared" si="96"/>
        <v>15.166666670702398</v>
      </c>
      <c r="O188" s="7"/>
      <c r="P188" s="7"/>
      <c r="Q188" s="22"/>
      <c r="R188" s="190"/>
      <c r="S188" s="196">
        <f t="shared" si="97"/>
        <v>1</v>
      </c>
      <c r="T188" s="190" t="str">
        <f t="shared" si="64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65"/>
        <v>https://d0f6bd738d7f1b3e5a7ca70fe4ff75f0.us-east-1.aws.found.io/app/kibana#/discover/Steve-Slow-Train-Analysis-(2080s-and-2083s)?_g=(refreshInterval:(display:Off,pause:!f,section:0,value:0),time:(from:'2017-05-19T15:07:27-0600',mode:absolute,to:'2017-05-19T17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8" s="192" t="str">
        <f t="shared" si="66"/>
        <v>N</v>
      </c>
      <c r="X188" s="192">
        <f t="shared" si="99"/>
        <v>1</v>
      </c>
      <c r="Y188" s="192">
        <f t="shared" si="98"/>
        <v>5.8638000000000003</v>
      </c>
      <c r="Z188" s="192">
        <f t="shared" si="91"/>
        <v>7.1999999999999995E-2</v>
      </c>
      <c r="AA188" s="192">
        <f t="shared" si="69"/>
        <v>5.7918000000000003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70"/>
        <v>0828-19</v>
      </c>
      <c r="AE188" s="80" t="str">
        <f t="shared" si="71"/>
        <v>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 &amp; aws s3 cp s3://rtdc.mdm.uploadarchive.raw/RTDC4029/ "%USERPROFILE%\AppData\Local\Temp\OnboardLogs"\RTDC4029\2017-05-20 --exclude "*" --recursive --include "*20170520*" &amp; "%USERPROFILE%\Documents\GitHub\mrs-test-scripts\Headless Mode &amp; Sideloading\WalkAndUnGZ.bat" "%USERPROFILE%\AppData\Local\Temp\OnboardLogs"\RTDC4029\2017-05-20</v>
      </c>
      <c r="AF188" s="77" t="str">
        <f t="shared" si="72"/>
        <v>"C:\Program Files (x86)\AstroGrep\AstroGrep.exe" /e /r /s /spath="%USERPROFILE%\AppData\Local\Temp\OnboardLogs" /stypes="app*4029*20170519*" /stext=" 22:.+((SYSTEM_STATE.+slice.+state.+changed )|(ment ac)|(multiple cpu faults)|(system.+state.+changed )|(\[timeout)|(PRM\|1\|D)|(kpr)|(kdp)|(train st.+moving)|(\|lc)|(penalty))"</v>
      </c>
      <c r="AG188" s="1" t="str">
        <f t="shared" si="73"/>
        <v>NW</v>
      </c>
      <c r="AH188" s="81" t="str">
        <f t="shared" si="74"/>
        <v>"%USERPROFILE%\Documents\GitHub\eaglep3\Utilities\RefineRTDCRunTimes.py" --tripid 828-19 --locoid 4029 --swversion DE.1.0.9.0 --startMP 300:58638 --initTime 2017-05-19T16:07:27 --startdatetime 2017-05-19T16:10:05 --delay 1 --endMP 204:720 --enddatetime 2017-05-19T16:25:15 --enforcementcount 0 &gt;&gt;C:\Users\stu\Documents\GitHub\eaglep3-reporting\EC\2017-05-19-refined-times.txt</v>
      </c>
      <c r="AI188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{"issue":{"subject":"","project_id":79,"tracker_id":40,"status_id":1,"priority_id":2,"assigned_to_id":23,"start_date":"2017-05-19","description":"","custom_fields":[{"id":1,"name":"Subdivision","value":"NW"},{"id":4,"name":"Milepost","value":"0.072"},{"id":17,"name":"Train ID","value":"828-19"},{"id":16,"name":"Locomotive ID","value":"4029"},{"id":130,"name":"Impact","value":""},{"id":150,"name":"Time of Event (Mountain Time)","value":"16:25:15"},{"id":151,"name":"Denver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76"/>
        <v>start /low /b %USERPROFILE%\Documents\GitHub\eaglep3\Utilities\DownloadLogsFromS3.py --loco 4029 --day 2017-05-19</v>
      </c>
      <c r="AN188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22:25:15"},{"id":29,"name":"Sharepoint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s="20" customFormat="1" x14ac:dyDescent="0.25">
      <c r="A189" s="32" t="s">
        <v>781</v>
      </c>
      <c r="B189" s="7">
        <v>4002</v>
      </c>
      <c r="C189" s="21" t="s">
        <v>206</v>
      </c>
      <c r="D189" s="21" t="s">
        <v>1013</v>
      </c>
      <c r="E189" s="13">
        <v>42874.676990740743</v>
      </c>
      <c r="F189" s="13">
        <v>42874.681377314817</v>
      </c>
      <c r="G189" s="7">
        <v>1</v>
      </c>
      <c r="H189" s="21" t="s">
        <v>594</v>
      </c>
      <c r="I189" s="13">
        <v>42874.690127314818</v>
      </c>
      <c r="J189" s="7">
        <v>0</v>
      </c>
      <c r="K189" s="92" t="str">
        <f t="shared" si="60"/>
        <v>4001/4002</v>
      </c>
      <c r="L189" s="21" t="str">
        <f>VLOOKUP(A189,'Trips&amp;Operators'!$C$1:$G$99999,5,FALSE)</f>
        <v>BIRENBAUM THOMAS</v>
      </c>
      <c r="M189" s="6">
        <f t="shared" si="61"/>
        <v>8.7500000008731149E-3</v>
      </c>
      <c r="N189" s="7">
        <f t="shared" si="96"/>
        <v>12.600000001257285</v>
      </c>
      <c r="O189" s="7"/>
      <c r="P189" s="7"/>
      <c r="Q189" s="22"/>
      <c r="R189" s="190"/>
      <c r="S189" s="196">
        <f t="shared" si="97"/>
        <v>1</v>
      </c>
      <c r="T189" s="190" t="str">
        <f t="shared" si="64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65"/>
        <v>https://d0f6bd738d7f1b3e5a7ca70fe4ff75f0.us-east-1.aws.found.io/app/kibana#/discover/Steve-Slow-Train-Analysis-(2080s-and-2083s)?_g=(refreshInterval:(display:Off,pause:!f,section:0,value:0),time:(from:'2017-05-19T15:14:52-0600',mode:absolute,to:'2017-05-19T17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9" s="192" t="str">
        <f t="shared" si="66"/>
        <v>N</v>
      </c>
      <c r="X189" s="192">
        <f t="shared" si="99"/>
        <v>1</v>
      </c>
      <c r="Y189" s="192">
        <f t="shared" si="98"/>
        <v>9.9500000000000005E-2</v>
      </c>
      <c r="Z189" s="192">
        <f t="shared" si="91"/>
        <v>5.8971</v>
      </c>
      <c r="AA189" s="192">
        <f t="shared" si="69"/>
        <v>5.7976000000000001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70"/>
        <v>0829-19</v>
      </c>
      <c r="AE189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189" s="77" t="str">
        <f t="shared" si="72"/>
        <v>"C:\Program Files (x86)\AstroGrep\AstroGrep.exe" /e /r /s /spath="%USERPROFILE%\AppData\Local\Temp\OnboardLogs" /stypes="app*4002*20170519*" /stext=" 22:.+((SYSTEM_STATE.+slice.+state.+changed )|(ment ac)|(multiple cpu faults)|(system.+state.+changed )|(\[timeout)|(PRM\|1\|D)|(kpr)|(kdp)|(train st.+moving)|(\|lc)|(penalty))"</v>
      </c>
      <c r="AG189" s="1" t="str">
        <f t="shared" si="73"/>
        <v>NW</v>
      </c>
      <c r="AH189" s="81" t="str">
        <f t="shared" si="74"/>
        <v>"%USERPROFILE%\Documents\GitHub\eaglep3\Utilities\RefineRTDCRunTimes.py" --tripid 829-19 --locoid 4002 --swversion DE.1.0.9.0 --startMP 204:995 --initTime 2017-05-19T16:14:52 --startdatetime 2017-05-19T16:21:11 --delay 1 --endMP 300:58971 --enddatetime 2017-05-19T16:33:47 --enforcementcount 0 &gt;&gt;C:\Users\stu\Documents\GitHub\eaglep3-reporting\EC\2017-05-19-refined-times.txt</v>
      </c>
      <c r="AI189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{"issue":{"subject":"","project_id":79,"tracker_id":40,"status_id":1,"priority_id":2,"assigned_to_id":23,"start_date":"2017-05-19","description":"","custom_fields":[{"id":1,"name":"Subdivision","value":"NW"},{"id":4,"name":"Milepost","value":"5.8971"},{"id":17,"name":"Train ID","value":"829-19"},{"id":16,"name":"Locomotive ID","value":"4002"},{"id":130,"name":"Impact","value":""},{"id":150,"name":"Time of Event (Mountain Time)","value":"16:33:47"},{"id":151,"name":"Denver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5" t="str">
        <f t="shared" si="76"/>
        <v>start /low /b %USERPROFILE%\Documents\GitHub\eaglep3\Utilities\DownloadLogsFromS3.py --loco 4002 --day 2017-05-19</v>
      </c>
      <c r="AN189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22:33:47"},{"id":29,"name":"Sharepoint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785</v>
      </c>
      <c r="B190" s="7">
        <v>4001</v>
      </c>
      <c r="C190" s="21" t="s">
        <v>206</v>
      </c>
      <c r="D190" s="21" t="s">
        <v>994</v>
      </c>
      <c r="E190" s="13">
        <v>42874.691354166665</v>
      </c>
      <c r="F190" s="13">
        <v>42874.692476851851</v>
      </c>
      <c r="G190" s="7">
        <v>1</v>
      </c>
      <c r="H190" s="21" t="s">
        <v>1012</v>
      </c>
      <c r="I190" s="13">
        <v>42874.705185185187</v>
      </c>
      <c r="J190" s="7">
        <v>0</v>
      </c>
      <c r="K190" s="92" t="str">
        <f t="shared" si="60"/>
        <v>4001/4002</v>
      </c>
      <c r="L190" s="21" t="str">
        <f>VLOOKUP(A190,'Trips&amp;Operators'!$C$1:$G$99999,5,FALSE)</f>
        <v>BIRENBAUM THOMAS</v>
      </c>
      <c r="M190" s="6">
        <f t="shared" si="61"/>
        <v>1.2708333335467614E-2</v>
      </c>
      <c r="N190" s="7">
        <f t="shared" si="96"/>
        <v>18.300000003073364</v>
      </c>
      <c r="O190" s="7"/>
      <c r="P190" s="7"/>
      <c r="Q190" s="22"/>
      <c r="R190" s="190"/>
      <c r="S190" s="196">
        <f t="shared" si="97"/>
        <v>1</v>
      </c>
      <c r="T190" s="190" t="str">
        <f t="shared" si="64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65"/>
        <v>https://d0f6bd738d7f1b3e5a7ca70fe4ff75f0.us-east-1.aws.found.io/app/kibana#/discover/Steve-Slow-Train-Analysis-(2080s-and-2083s)?_g=(refreshInterval:(display:Off,pause:!f,section:0,value:0),time:(from:'2017-05-19T15:35:33-0600',mode:absolute,to:'2017-05-19T17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0" s="192" t="str">
        <f t="shared" si="66"/>
        <v>N</v>
      </c>
      <c r="X190" s="192">
        <f t="shared" si="99"/>
        <v>1</v>
      </c>
      <c r="Y190" s="192">
        <f t="shared" si="98"/>
        <v>5.8643000000000001</v>
      </c>
      <c r="Z190" s="192">
        <f t="shared" si="91"/>
        <v>7.1999999999999995E-2</v>
      </c>
      <c r="AA190" s="192">
        <f t="shared" si="69"/>
        <v>5.7923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70"/>
        <v>0830-19</v>
      </c>
      <c r="AE190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190" s="77" t="str">
        <f t="shared" si="72"/>
        <v>"C:\Program Files (x86)\AstroGrep\AstroGrep.exe" /e /r /s /spath="%USERPROFILE%\AppData\Local\Temp\OnboardLogs" /stypes="app*4001*20170519*" /stext=" 22:.+((SYSTEM_STATE.+slice.+state.+changed )|(ment ac)|(multiple cpu faults)|(system.+state.+changed )|(\[timeout)|(PRM\|1\|D)|(kpr)|(kdp)|(train st.+moving)|(\|lc)|(penalty))"</v>
      </c>
      <c r="AG190" s="1" t="str">
        <f t="shared" si="73"/>
        <v>NW</v>
      </c>
      <c r="AH190" s="81" t="str">
        <f t="shared" si="74"/>
        <v>"%USERPROFILE%\Documents\GitHub\eaglep3\Utilities\RefineRTDCRunTimes.py" --tripid 830-19 --locoid 4001 --swversion DE.1.0.9.0 --startMP 300:58643 --initTime 2017-05-19T16:35:33 --startdatetime 2017-05-19T16:37:10 --delay 1 --endMP 204:720 --enddatetime 2017-05-19T16:55:28 --enforcementcount 0 &gt;&gt;C:\Users\stu\Documents\GitHub\eaglep3-reporting\EC\2017-05-19-refined-times.txt</v>
      </c>
      <c r="AI190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{"issue":{"subject":"","project_id":79,"tracker_id":40,"status_id":1,"priority_id":2,"assigned_to_id":23,"start_date":"2017-05-19","description":"","custom_fields":[{"id":1,"name":"Subdivision","value":"NW"},{"id":4,"name":"Milepost","value":"0.072"},{"id":17,"name":"Train ID","value":"830-19"},{"id":16,"name":"Locomotive ID","value":"4001"},{"id":130,"name":"Impact","value":""},{"id":150,"name":"Time of Event (Mountain Time)","value":"16:55:28"},{"id":151,"name":"Denver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76"/>
        <v>start /low /b %USERPROFILE%\Documents\GitHub\eaglep3\Utilities\DownloadLogsFromS3.py --loco 4001 --day 2017-05-19</v>
      </c>
      <c r="AN190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22:55:28"},{"id":29,"name":"Sharepoint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784</v>
      </c>
      <c r="B191" s="7">
        <v>4030</v>
      </c>
      <c r="C191" s="21" t="s">
        <v>206</v>
      </c>
      <c r="D191" s="21" t="s">
        <v>1014</v>
      </c>
      <c r="E191" s="13">
        <v>42874.691770833335</v>
      </c>
      <c r="F191" s="13">
        <v>42874.702546296299</v>
      </c>
      <c r="G191" s="7">
        <v>6</v>
      </c>
      <c r="H191" s="21" t="s">
        <v>1015</v>
      </c>
      <c r="I191" s="13">
        <v>42874.71435185185</v>
      </c>
      <c r="J191" s="7">
        <v>0</v>
      </c>
      <c r="K191" s="92" t="str">
        <f t="shared" si="60"/>
        <v>4029/4030</v>
      </c>
      <c r="L191" s="21" t="str">
        <f>VLOOKUP(A191,'Trips&amp;Operators'!$C$1:$G$99999,5,FALSE)</f>
        <v>ZEWDU DEREJE</v>
      </c>
      <c r="M191" s="6">
        <f t="shared" si="61"/>
        <v>1.1805555550381541E-2</v>
      </c>
      <c r="N191" s="7">
        <f t="shared" si="96"/>
        <v>16.999999992549419</v>
      </c>
      <c r="O191" s="7"/>
      <c r="P191" s="7"/>
      <c r="Q191" s="22"/>
      <c r="R191" s="190"/>
      <c r="S191" s="196">
        <f t="shared" si="97"/>
        <v>1</v>
      </c>
      <c r="T191" s="190" t="str">
        <f t="shared" si="64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65"/>
        <v>https://d0f6bd738d7f1b3e5a7ca70fe4ff75f0.us-east-1.aws.found.io/app/kibana#/discover/Steve-Slow-Train-Analysis-(2080s-and-2083s)?_g=(refreshInterval:(display:Off,pause:!f,section:0,value:0),time:(from:'2017-05-19T15:36:09-0600',mode:absolute,to:'2017-05-19T18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1" s="192" t="str">
        <f t="shared" si="66"/>
        <v>N</v>
      </c>
      <c r="X191" s="192">
        <f t="shared" si="99"/>
        <v>1</v>
      </c>
      <c r="Y191" s="192">
        <f t="shared" si="98"/>
        <v>9.9699999999999997E-2</v>
      </c>
      <c r="Z191" s="192">
        <f t="shared" si="91"/>
        <v>5.8930999999999996</v>
      </c>
      <c r="AA191" s="192">
        <f t="shared" si="69"/>
        <v>5.7933999999999992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70"/>
        <v>0831-19</v>
      </c>
      <c r="AE191" s="80" t="str">
        <f t="shared" si="71"/>
        <v>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 &amp; aws s3 cp s3://rtdc.mdm.uploadarchive.raw/RTDC4030/ "%USERPROFILE%\AppData\Local\Temp\OnboardLogs"\RTDC4030\2017-05-20 --exclude "*" --recursive --include "*20170520*" &amp; "%USERPROFILE%\Documents\GitHub\mrs-test-scripts\Headless Mode &amp; Sideloading\WalkAndUnGZ.bat" "%USERPROFILE%\AppData\Local\Temp\OnboardLogs"\RTDC4030\2017-05-20</v>
      </c>
      <c r="AF191" s="77" t="str">
        <f t="shared" si="72"/>
        <v>"C:\Program Files (x86)\AstroGrep\AstroGrep.exe" /e /r /s /spath="%USERPROFILE%\AppData\Local\Temp\OnboardLogs" /stypes="app*4030*20170519*" /stext=" 23:.+((SYSTEM_STATE.+slice.+state.+changed )|(ment ac)|(multiple cpu faults)|(system.+state.+changed )|(\[timeout)|(PRM\|1\|D)|(kpr)|(kdp)|(train st.+moving)|(\|lc)|(penalty))"</v>
      </c>
      <c r="AG191" s="1" t="str">
        <f t="shared" si="73"/>
        <v>NW</v>
      </c>
      <c r="AH191" s="81" t="str">
        <f t="shared" si="74"/>
        <v>"%USERPROFILE%\Documents\GitHub\eaglep3\Utilities\RefineRTDCRunTimes.py" --tripid 831-19 --locoid 4030 --swversion DE.1.0.9.0 --startMP 204:997 --initTime 2017-05-19T16:36:09 --startdatetime 2017-05-19T16:51:40 --delay 6 --endMP 300:58931 --enddatetime 2017-05-19T17:08:40 --enforcementcount 0 &gt;&gt;C:\Users\stu\Documents\GitHub\eaglep3-reporting\EC\2017-05-19-refined-times.txt</v>
      </c>
      <c r="AI191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{"issue":{"subject":"","project_id":79,"tracker_id":40,"status_id":1,"priority_id":2,"assigned_to_id":23,"start_date":"2017-05-19","description":"","custom_fields":[{"id":1,"name":"Subdivision","value":"NW"},{"id":4,"name":"Milepost","value":"5.8931"},{"id":17,"name":"Train ID","value":"831-19"},{"id":16,"name":"Locomotive ID","value":"4030"},{"id":130,"name":"Impact","value":""},{"id":150,"name":"Time of Event (Mountain Time)","value":"17:08:40"},{"id":151,"name":"Denver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76"/>
        <v>start /low /b %USERPROFILE%\Documents\GitHub\eaglep3\Utilities\DownloadLogsFromS3.py --loco 4030 --day 2017-05-19</v>
      </c>
      <c r="AN191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23:08:40"},{"id":29,"name":"Sharepoint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635</v>
      </c>
      <c r="B192" s="7">
        <v>4029</v>
      </c>
      <c r="C192" s="21" t="s">
        <v>206</v>
      </c>
      <c r="D192" s="21" t="s">
        <v>1016</v>
      </c>
      <c r="E192" s="13">
        <v>42874.722928240742</v>
      </c>
      <c r="F192" s="13">
        <v>42874.724236111113</v>
      </c>
      <c r="G192" s="7">
        <v>1</v>
      </c>
      <c r="H192" s="21" t="s">
        <v>1017</v>
      </c>
      <c r="I192" s="13">
        <v>42874.730856481481</v>
      </c>
      <c r="J192" s="7">
        <v>0</v>
      </c>
      <c r="K192" s="92" t="str">
        <f t="shared" si="60"/>
        <v>4029/4030</v>
      </c>
      <c r="L192" s="21" t="str">
        <f>VLOOKUP(A192,'Trips&amp;Operators'!$C$1:$G$99999,5,FALSE)</f>
        <v>ALONZO MATTHEW</v>
      </c>
      <c r="M192" s="6">
        <f t="shared" si="61"/>
        <v>6.6203703681821935E-3</v>
      </c>
      <c r="N192" s="7"/>
      <c r="O192" s="7"/>
      <c r="P192" s="7">
        <f>24*60*SUM($M192:$M192)</f>
        <v>9.5333333301823586</v>
      </c>
      <c r="Q192" s="22"/>
      <c r="R192" s="190" t="s">
        <v>1060</v>
      </c>
      <c r="S192" s="196">
        <f t="shared" si="97"/>
        <v>1</v>
      </c>
      <c r="T192" s="190" t="str">
        <f t="shared" si="64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65"/>
        <v>https://d0f6bd738d7f1b3e5a7ca70fe4ff75f0.us-east-1.aws.found.io/app/kibana#/discover/Steve-Slow-Train-Analysis-(2080s-and-2083s)?_g=(refreshInterval:(display:Off,pause:!f,section:0,value:0),time:(from:'2017-05-19T16:21:01-0600',mode:absolute,to:'2017-05-19T18:32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2" s="192" t="str">
        <f t="shared" si="66"/>
        <v>Y</v>
      </c>
      <c r="X192" s="192">
        <f t="shared" si="99"/>
        <v>1</v>
      </c>
      <c r="Y192" s="192">
        <f t="shared" si="98"/>
        <v>4.2759999999999998</v>
      </c>
      <c r="Z192" s="192">
        <f t="shared" si="91"/>
        <v>6.4899999999999999E-2</v>
      </c>
      <c r="AA192" s="192">
        <f t="shared" si="69"/>
        <v>4.2111000000000001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70"/>
        <v>0832-19</v>
      </c>
      <c r="AE192" s="80" t="str">
        <f t="shared" si="71"/>
        <v>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 &amp; aws s3 cp s3://rtdc.mdm.uploadarchive.raw/RTDC4029/ "%USERPROFILE%\AppData\Local\Temp\OnboardLogs"\RTDC4029\2017-05-20 --exclude "*" --recursive --include "*20170520*" &amp; "%USERPROFILE%\Documents\GitHub\mrs-test-scripts\Headless Mode &amp; Sideloading\WalkAndUnGZ.bat" "%USERPROFILE%\AppData\Local\Temp\OnboardLogs"\RTDC4029\2017-05-20</v>
      </c>
      <c r="AF192" s="77" t="str">
        <f t="shared" si="72"/>
        <v>"C:\Program Files (x86)\AstroGrep\AstroGrep.exe" /e /r /s /spath="%USERPROFILE%\AppData\Local\Temp\OnboardLogs" /stypes="app*4029*20170519*" /stext=" 23:.+((SYSTEM_STATE.+slice.+state.+changed )|(ment ac)|(multiple cpu faults)|(system.+state.+changed )|(\[timeout)|(PRM\|1\|D)|(kpr)|(kdp)|(train st.+moving)|(\|lc)|(penalty))"</v>
      </c>
      <c r="AG192" s="1" t="str">
        <f t="shared" si="73"/>
        <v>NW</v>
      </c>
      <c r="AH192" s="81" t="str">
        <f t="shared" si="74"/>
        <v>"%USERPROFILE%\Documents\GitHub\eaglep3\Utilities\RefineRTDCRunTimes.py" --tripid 832-19 --locoid 4029 --swversion DE.1.0.9.0 --startMP 300:42760 --initTime 2017-05-19T17:21:01 --startdatetime 2017-05-19T17:22:54 --delay 1 --endMP 204:649 --enddatetime 2017-05-19T17:32:26 --enforcementcount 0 &gt;&gt;C:\Users\stu\Documents\GitHub\eaglep3-reporting\EC\2017-05-19-refined-times.txt</v>
      </c>
      <c r="AI192" s="99" t="str">
        <f t="shared" si="75"/>
        <v>echo {"issue":{"subject":"Reverser handle incorrect position","project_id":79,"tracker_id":40,"status_id":1,"priority_id":2,"assigned_to_id":23,"start_date":"2017-05-19","description":"","custom_fields":[{"id":1,"name":"Subdivision","value":"NW"},{"id":4,"name":"Milepost","value":"0.0649"},{"id":17,"name":"Train ID","value":"832-19"},{"id":16,"name":"Locomotive ID","value":"4029"},{"id":130,"name":"Impact","value":""},{"id":150,"name":"Time of Event (Mountain Time)","value":"17:32:26"},{"id":151,"name":"Denver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76"/>
        <v>start /low /b %USERPROFILE%\Documents\GitHub\eaglep3\Utilities\DownloadLogsFromS3.py --loco 4029 --day 2017-05-19</v>
      </c>
      <c r="AN192" s="154" t="str">
        <f t="shared" si="77"/>
        <v>echo {"issue":{"subject":"Reverser handle incorrect position","project_id":30,"tracker_id":4,"status_id":1,"priority_id":1,"assigned_to_id":10,"start_date":"2017-05-19","description":"","custom_fields":[{"id":30,"name":"Category","value":"Issue"},{"id":3,"name":"Functional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23:32:26"},{"id":29,"name":"Sharepoint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635</v>
      </c>
      <c r="B193" s="7">
        <v>4029</v>
      </c>
      <c r="C193" s="21" t="s">
        <v>206</v>
      </c>
      <c r="D193" s="21" t="s">
        <v>1018</v>
      </c>
      <c r="E193" s="13">
        <v>42874.716469907406</v>
      </c>
      <c r="F193" s="13">
        <v>42874.724236111113</v>
      </c>
      <c r="G193" s="7">
        <v>2</v>
      </c>
      <c r="H193" s="21" t="s">
        <v>1019</v>
      </c>
      <c r="I193" s="13">
        <v>42874.730856481481</v>
      </c>
      <c r="J193" s="7">
        <v>0</v>
      </c>
      <c r="K193" s="92" t="str">
        <f t="shared" si="60"/>
        <v>4029/4030</v>
      </c>
      <c r="L193" s="21" t="str">
        <f>VLOOKUP(A193,'Trips&amp;Operators'!$C$1:$G$99999,5,FALSE)</f>
        <v>ALONZO MATTHEW</v>
      </c>
      <c r="M193" s="6">
        <f t="shared" si="61"/>
        <v>6.6203703681821935E-3</v>
      </c>
      <c r="N193" s="7"/>
      <c r="O193" s="7"/>
      <c r="P193" s="7"/>
      <c r="Q193" s="22"/>
      <c r="R193" s="190"/>
      <c r="S193" s="196"/>
      <c r="T193" s="190" t="str">
        <f t="shared" si="64"/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191" t="str">
        <f t="shared" si="65"/>
        <v>https://d0f6bd738d7f1b3e5a7ca70fe4ff75f0.us-east-1.aws.found.io/app/kibana#/discover/Steve-Slow-Train-Analysis-(2080s-and-2083s)?_g=(refreshInterval:(display:Off,pause:!f,section:0,value:0),time:(from:'2017-05-19T16:11:43-0600',mode:absolute,to:'2017-05-19T18:32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3" s="192" t="str">
        <f t="shared" si="66"/>
        <v>Y</v>
      </c>
      <c r="X193" s="192">
        <f t="shared" si="99"/>
        <v>0</v>
      </c>
      <c r="Y193" s="192">
        <f t="shared" si="98"/>
        <v>5.86</v>
      </c>
      <c r="Z193" s="192">
        <f t="shared" si="91"/>
        <v>5.7824999999999998</v>
      </c>
      <c r="AA193" s="192">
        <f t="shared" si="69"/>
        <v>7.7500000000000568E-2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70"/>
        <v>0832-19</v>
      </c>
      <c r="AE193" s="80" t="str">
        <f t="shared" si="71"/>
        <v>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 &amp; aws s3 cp s3://rtdc.mdm.uploadarchive.raw/RTDC4029/ "%USERPROFILE%\AppData\Local\Temp\OnboardLogs"\RTDC4029\2017-05-20 --exclude "*" --recursive --include "*20170520*" &amp; "%USERPROFILE%\Documents\GitHub\mrs-test-scripts\Headless Mode &amp; Sideloading\WalkAndUnGZ.bat" "%USERPROFILE%\AppData\Local\Temp\OnboardLogs"\RTDC4029\2017-05-20</v>
      </c>
      <c r="AF193" s="77" t="str">
        <f t="shared" si="72"/>
        <v>"C:\Program Files (x86)\AstroGrep\AstroGrep.exe" /e /r /s /spath="%USERPROFILE%\AppData\Local\Temp\OnboardLogs" /stypes="app*4029*20170519*" /stext=" 23:.+((SYSTEM_STATE.+slice.+state.+changed )|(ment ac)|(multiple cpu faults)|(system.+state.+changed )|(\[timeout)|(PRM\|1\|D)|(kpr)|(kdp)|(train st.+moving)|(\|lc)|(penalty))"</v>
      </c>
      <c r="AG193" s="1" t="str">
        <f t="shared" si="73"/>
        <v>NW</v>
      </c>
      <c r="AH193" s="81" t="str">
        <f t="shared" si="74"/>
        <v>"%USERPROFILE%\Documents\GitHub\eaglep3\Utilities\RefineRTDCRunTimes.py" --tripid 832-19 --locoid 4029 --swversion DE.1.0.9.0 --startMP 300:58600 --initTime 2017-05-19T17:11:43 --startdatetime 2017-05-19T17:22:54 --delay 2 --endMP 300:57825 --enddatetime 2017-05-19T17:32:26 --enforcementcount 0 &gt;&gt;C:\Users\stu\Documents\GitHub\eaglep3-reporting\EC\2017-05-19-refined-times.txt</v>
      </c>
      <c r="AI193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{"issue":{"subject":"","project_id":79,"tracker_id":40,"status_id":1,"priority_id":2,"assigned_to_id":23,"start_date":"2017-05-19","description":"","custom_fields":[{"id":1,"name":"Subdivision","value":"NW"},{"id":4,"name":"Milepost","value":"5.7825"},{"id":17,"name":"Train ID","value":"832-19"},{"id":16,"name":"Locomotive ID","value":"4029"},{"id":130,"name":"Impact","value":""},{"id":150,"name":"Time of Event (Mountain Time)","value":"17:32:26"},{"id":151,"name":"Denver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76"/>
        <v>start /low /b %USERPROFILE%\Documents\GitHub\eaglep3\Utilities\DownloadLogsFromS3.py --loco 4029 --day 2017-05-19</v>
      </c>
      <c r="AN193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23:32:26"},{"id":29,"name":"Sharepoint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796</v>
      </c>
      <c r="B194" s="7">
        <v>4002</v>
      </c>
      <c r="C194" s="21" t="s">
        <v>206</v>
      </c>
      <c r="D194" s="21" t="s">
        <v>588</v>
      </c>
      <c r="E194" s="13">
        <v>42874.718159722222</v>
      </c>
      <c r="F194" s="13">
        <v>42874.723240740743</v>
      </c>
      <c r="G194" s="7">
        <v>1</v>
      </c>
      <c r="H194" s="21" t="s">
        <v>1001</v>
      </c>
      <c r="I194" s="13">
        <v>42874.73238425926</v>
      </c>
      <c r="J194" s="7">
        <v>0</v>
      </c>
      <c r="K194" s="92" t="str">
        <f t="shared" si="60"/>
        <v>4001/4002</v>
      </c>
      <c r="L194" s="21" t="str">
        <f>VLOOKUP(A194,'Trips&amp;Operators'!$C$1:$G$99999,5,FALSE)</f>
        <v>BIRENBAUM THOMAS</v>
      </c>
      <c r="M194" s="6">
        <f t="shared" si="61"/>
        <v>9.1435185167938471E-3</v>
      </c>
      <c r="N194" s="7">
        <f t="shared" ref="N194:N225" si="100">24*60*SUM($M194:$M194)</f>
        <v>13.16666666418314</v>
      </c>
      <c r="O194" s="7"/>
      <c r="P194" s="7"/>
      <c r="Q194" s="22"/>
      <c r="R194" s="190"/>
      <c r="S194" s="196">
        <f t="shared" ref="S194:S225" si="101">SUM(U194:U194)/IF(AG194="EC",12,1)</f>
        <v>1</v>
      </c>
      <c r="T194" s="190" t="str">
        <f t="shared" si="64"/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65"/>
        <v>https://d0f6bd738d7f1b3e5a7ca70fe4ff75f0.us-east-1.aws.found.io/app/kibana#/discover/Steve-Slow-Train-Analysis-(2080s-and-2083s)?_g=(refreshInterval:(display:Off,pause:!f,section:0,value:0),time:(from:'2017-05-19T16:14:09-0600',mode:absolute,to:'2017-05-19T18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4" s="192" t="str">
        <f t="shared" si="66"/>
        <v>N</v>
      </c>
      <c r="X194" s="192">
        <f t="shared" si="99"/>
        <v>1</v>
      </c>
      <c r="Y194" s="192">
        <f t="shared" si="98"/>
        <v>9.8599999999999993E-2</v>
      </c>
      <c r="Z194" s="192">
        <f t="shared" si="91"/>
        <v>5.8958000000000004</v>
      </c>
      <c r="AA194" s="192">
        <f t="shared" si="69"/>
        <v>5.7972000000000001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70"/>
        <v>0833-19</v>
      </c>
      <c r="AE194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194" s="77" t="str">
        <f t="shared" si="72"/>
        <v>"C:\Program Files (x86)\AstroGrep\AstroGrep.exe" /e /r /s /spath="%USERPROFILE%\AppData\Local\Temp\OnboardLogs" /stypes="app*4002*20170519*" /stext=" 23:.+((SYSTEM_STATE.+slice.+state.+changed )|(ment ac)|(multiple cpu faults)|(system.+state.+changed )|(\[timeout)|(PRM\|1\|D)|(kpr)|(kdp)|(train st.+moving)|(\|lc)|(penalty))"</v>
      </c>
      <c r="AG194" s="1" t="str">
        <f t="shared" si="73"/>
        <v>NW</v>
      </c>
      <c r="AH194" s="81" t="str">
        <f t="shared" si="74"/>
        <v>"%USERPROFILE%\Documents\GitHub\eaglep3\Utilities\RefineRTDCRunTimes.py" --tripid 833-19 --locoid 4002 --swversion DE.1.0.9.0 --startMP 204:986 --initTime 2017-05-19T17:14:09 --startdatetime 2017-05-19T17:21:28 --delay 1 --endMP 300:58958 --enddatetime 2017-05-19T17:34:38 --enforcementcount 0 &gt;&gt;C:\Users\stu\Documents\GitHub\eaglep3-reporting\EC\2017-05-19-refined-times.txt</v>
      </c>
      <c r="AI194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{"issue":{"subject":"","project_id":79,"tracker_id":40,"status_id":1,"priority_id":2,"assigned_to_id":23,"start_date":"2017-05-19","description":"","custom_fields":[{"id":1,"name":"Subdivision","value":"NW"},{"id":4,"name":"Milepost","value":"5.8958"},{"id":17,"name":"Train ID","value":"833-19"},{"id":16,"name":"Locomotive ID","value":"4002"},{"id":130,"name":"Impact","value":""},{"id":150,"name":"Time of Event (Mountain Time)","value":"17:34:38"},{"id":151,"name":"Denver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76"/>
        <v>start /low /b %USERPROFILE%\Documents\GitHub\eaglep3\Utilities\DownloadLogsFromS3.py --loco 4002 --day 2017-05-19</v>
      </c>
      <c r="AN194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799</v>
      </c>
      <c r="B195" s="7">
        <v>4001</v>
      </c>
      <c r="C195" s="21" t="s">
        <v>206</v>
      </c>
      <c r="D195" s="21" t="s">
        <v>994</v>
      </c>
      <c r="E195" s="13">
        <v>42874.733506944445</v>
      </c>
      <c r="F195" s="13">
        <v>42874.734803240739</v>
      </c>
      <c r="G195" s="7">
        <v>1</v>
      </c>
      <c r="H195" s="21" t="s">
        <v>989</v>
      </c>
      <c r="I195" s="13">
        <v>42874.746979166666</v>
      </c>
      <c r="J195" s="7">
        <v>0</v>
      </c>
      <c r="K195" s="92" t="str">
        <f t="shared" si="60"/>
        <v>4001/4002</v>
      </c>
      <c r="L195" s="21" t="str">
        <f>VLOOKUP(A195,'Trips&amp;Operators'!$C$1:$G$99999,5,FALSE)</f>
        <v>BIRENBAUM THOMAS</v>
      </c>
      <c r="M195" s="6">
        <f t="shared" si="61"/>
        <v>1.2175925927294884E-2</v>
      </c>
      <c r="N195" s="7">
        <f t="shared" si="100"/>
        <v>17.533333335304633</v>
      </c>
      <c r="O195" s="7"/>
      <c r="P195" s="7"/>
      <c r="Q195" s="22"/>
      <c r="R195" s="190"/>
      <c r="S195" s="196">
        <f t="shared" si="101"/>
        <v>1</v>
      </c>
      <c r="T195" s="190" t="str">
        <f t="shared" si="64"/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65"/>
        <v>https://d0f6bd738d7f1b3e5a7ca70fe4ff75f0.us-east-1.aws.found.io/app/kibana#/discover/Steve-Slow-Train-Analysis-(2080s-and-2083s)?_g=(refreshInterval:(display:Off,pause:!f,section:0,value:0),time:(from:'2017-05-19T16:36:15-0600',mode:absolute,to:'2017-05-19T18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5" s="192" t="str">
        <f t="shared" si="66"/>
        <v>N</v>
      </c>
      <c r="X195" s="192">
        <f t="shared" si="99"/>
        <v>1</v>
      </c>
      <c r="Y195" s="192">
        <f t="shared" si="98"/>
        <v>5.8643000000000001</v>
      </c>
      <c r="Z195" s="192">
        <f t="shared" si="91"/>
        <v>6.7100000000000007E-2</v>
      </c>
      <c r="AA195" s="192">
        <f t="shared" si="69"/>
        <v>5.7972000000000001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70"/>
        <v>0834-19</v>
      </c>
      <c r="AE195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195" s="77" t="str">
        <f t="shared" si="72"/>
        <v>"C:\Program Files (x86)\AstroGrep\AstroGrep.exe" /e /r /s /spath="%USERPROFILE%\AppData\Local\Temp\OnboardLogs" /stypes="app*4001*20170519*" /stext=" 23:.+((SYSTEM_STATE.+slice.+state.+changed )|(ment ac)|(multiple cpu faults)|(system.+state.+changed )|(\[timeout)|(PRM\|1\|D)|(kpr)|(kdp)|(train st.+moving)|(\|lc)|(penalty))"</v>
      </c>
      <c r="AG195" s="1" t="str">
        <f t="shared" si="73"/>
        <v>NW</v>
      </c>
      <c r="AH195" s="81" t="str">
        <f t="shared" si="74"/>
        <v>"%USERPROFILE%\Documents\GitHub\eaglep3\Utilities\RefineRTDCRunTimes.py" --tripid 834-19 --locoid 4001 --swversion DE.1.0.9.0 --startMP 300:58643 --initTime 2017-05-19T17:36:15 --startdatetime 2017-05-19T17:38:07 --delay 1 --endMP 204:671 --enddatetime 2017-05-19T17:55:39 --enforcementcount 0 &gt;&gt;C:\Users\stu\Documents\GitHub\eaglep3-reporting\EC\2017-05-19-refined-times.txt</v>
      </c>
      <c r="AI195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{"issue":{"subject":"","project_id":79,"tracker_id":40,"status_id":1,"priority_id":2,"assigned_to_id":23,"start_date":"2017-05-19","description":"","custom_fields":[{"id":1,"name":"Subdivision","value":"NW"},{"id":4,"name":"Milepost","value":"0.0671"},{"id":17,"name":"Train ID","value":"834-19"},{"id":16,"name":"Locomotive ID","value":"4001"},{"id":130,"name":"Impact","value":""},{"id":150,"name":"Time of Event (Mountain Time)","value":"17:55:39"},{"id":151,"name":"Denver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76"/>
        <v>start /low /b %USERPROFILE%\Documents\GitHub\eaglep3\Utilities\DownloadLogsFromS3.py --loco 4001 --day 2017-05-19</v>
      </c>
      <c r="AN195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802</v>
      </c>
      <c r="B196" s="7">
        <v>4030</v>
      </c>
      <c r="C196" s="21" t="s">
        <v>206</v>
      </c>
      <c r="D196" s="21" t="s">
        <v>1020</v>
      </c>
      <c r="E196" s="13">
        <v>42874.736157407409</v>
      </c>
      <c r="F196" s="13">
        <v>42874.743935185186</v>
      </c>
      <c r="G196" s="7">
        <v>1</v>
      </c>
      <c r="H196" s="21" t="s">
        <v>518</v>
      </c>
      <c r="I196" s="13">
        <v>42874.75513888889</v>
      </c>
      <c r="J196" s="7">
        <v>0</v>
      </c>
      <c r="K196" s="92" t="str">
        <f t="shared" si="60"/>
        <v>4029/4030</v>
      </c>
      <c r="L196" s="21" t="str">
        <f>VLOOKUP(A196,'Trips&amp;Operators'!$C$1:$G$99999,5,FALSE)</f>
        <v>HOMIK JOHN</v>
      </c>
      <c r="M196" s="6">
        <f t="shared" si="61"/>
        <v>1.1203703703358769E-2</v>
      </c>
      <c r="N196" s="7">
        <f t="shared" si="100"/>
        <v>16.133333332836628</v>
      </c>
      <c r="O196" s="7"/>
      <c r="P196" s="7"/>
      <c r="Q196" s="22"/>
      <c r="R196" s="190"/>
      <c r="S196" s="196">
        <f t="shared" si="101"/>
        <v>1</v>
      </c>
      <c r="T196" s="190" t="str">
        <f t="shared" si="64"/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65"/>
        <v>https://d0f6bd738d7f1b3e5a7ca70fe4ff75f0.us-east-1.aws.found.io/app/kibana#/discover/Steve-Slow-Train-Analysis-(2080s-and-2083s)?_g=(refreshInterval:(display:Off,pause:!f,section:0,value:0),time:(from:'2017-05-19T16:40:04-0600',mode:absolute,to:'2017-05-19T19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6" s="192" t="str">
        <f t="shared" si="66"/>
        <v>N</v>
      </c>
      <c r="X196" s="192">
        <f t="shared" si="99"/>
        <v>1</v>
      </c>
      <c r="Y196" s="192">
        <f t="shared" si="98"/>
        <v>9.4600000000000004E-2</v>
      </c>
      <c r="Z196" s="192">
        <f t="shared" si="91"/>
        <v>5.8936999999999999</v>
      </c>
      <c r="AA196" s="192">
        <f t="shared" si="69"/>
        <v>5.7991000000000001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70"/>
        <v>0835-19</v>
      </c>
      <c r="AE196" s="80" t="str">
        <f t="shared" si="71"/>
        <v>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 &amp; aws s3 cp s3://rtdc.mdm.uploadarchive.raw/RTDC4030/ "%USERPROFILE%\AppData\Local\Temp\OnboardLogs"\RTDC4030\2017-05-20 --exclude "*" --recursive --include "*20170520*" &amp; "%USERPROFILE%\Documents\GitHub\mrs-test-scripts\Headless Mode &amp; Sideloading\WalkAndUnGZ.bat" "%USERPROFILE%\AppData\Local\Temp\OnboardLogs"\RTDC4030\2017-05-20</v>
      </c>
      <c r="AF196" s="77" t="str">
        <f t="shared" si="72"/>
        <v>"C:\Program Files (x86)\AstroGrep\AstroGrep.exe" /e /r /s /spath="%USERPROFILE%\AppData\Local\Temp\OnboardLogs" /stypes="app*4030*20170520*" /stext=" 00:.+((SYSTEM_STATE.+slice.+state.+changed )|(ment ac)|(multiple cpu faults)|(system.+state.+changed )|(\[timeout)|(PRM\|1\|D)|(kpr)|(kdp)|(train st.+moving)|(\|lc)|(penalty))"</v>
      </c>
      <c r="AG196" s="1" t="str">
        <f t="shared" si="73"/>
        <v>NW</v>
      </c>
      <c r="AH196" s="81" t="str">
        <f t="shared" si="74"/>
        <v>"%USERPROFILE%\Documents\GitHub\eaglep3\Utilities\RefineRTDCRunTimes.py" --tripid 835-19 --locoid 4030 --swversion DE.1.0.9.0 --startMP 204:946 --initTime 2017-05-19T17:40:04 --startdatetime 2017-05-19T17:51:16 --delay 1 --endMP 300:58937 --enddatetime 2017-05-19T18:07:24 --enforcementcount 0 &gt;&gt;C:\Users\stu\Documents\GitHub\eaglep3-reporting\EC\2017-05-19-refined-times.txt</v>
      </c>
      <c r="AI196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{"issue":{"subject":"","project_id":79,"tracker_id":40,"status_id":1,"priority_id":2,"assigned_to_id":23,"start_date":"2017-05-19","description":"","custom_fields":[{"id":1,"name":"Subdivision","value":"NW"},{"id":4,"name":"Milepost","value":"5.8937"},{"id":17,"name":"Train ID","value":"835-19"},{"id":16,"name":"Locomotive ID","value":"4030"},{"id":130,"name":"Impact","value":""},{"id":150,"name":"Time of Event (Mountain Time)","value":"18:07:24"},{"id":151,"name":"Denver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76"/>
        <v>start /low /b %USERPROFILE%\Documents\GitHub\eaglep3\Utilities\DownloadLogsFromS3.py --loco 4030 --day 2017-05-19</v>
      </c>
      <c r="AN196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00:07:24"},{"id":29,"name":"Sharepoint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811</v>
      </c>
      <c r="B197" s="7">
        <v>4029</v>
      </c>
      <c r="C197" s="21" t="s">
        <v>206</v>
      </c>
      <c r="D197" s="21" t="s">
        <v>1021</v>
      </c>
      <c r="E197" s="13">
        <v>42874.757256944446</v>
      </c>
      <c r="F197" s="13">
        <v>42874.759120370371</v>
      </c>
      <c r="G197" s="7">
        <v>1</v>
      </c>
      <c r="H197" s="21" t="s">
        <v>1022</v>
      </c>
      <c r="I197" s="13">
        <v>42874.768553240741</v>
      </c>
      <c r="J197" s="7">
        <v>0</v>
      </c>
      <c r="K197" s="92" t="str">
        <f t="shared" si="60"/>
        <v>4029/4030</v>
      </c>
      <c r="L197" s="21" t="str">
        <f>VLOOKUP(A197,'Trips&amp;Operators'!$C$1:$G$99999,5,FALSE)</f>
        <v>HOMIK JOHN</v>
      </c>
      <c r="M197" s="6">
        <f t="shared" si="61"/>
        <v>9.4328703708015382E-3</v>
      </c>
      <c r="N197" s="7">
        <f t="shared" si="100"/>
        <v>13.583333333954215</v>
      </c>
      <c r="O197" s="7"/>
      <c r="P197" s="7"/>
      <c r="Q197" s="22"/>
      <c r="R197" s="190"/>
      <c r="S197" s="196">
        <f t="shared" si="101"/>
        <v>1</v>
      </c>
      <c r="T197" s="190" t="str">
        <f t="shared" si="64"/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65"/>
        <v>https://d0f6bd738d7f1b3e5a7ca70fe4ff75f0.us-east-1.aws.found.io/app/kibana#/discover/Steve-Slow-Train-Analysis-(2080s-and-2083s)?_g=(refreshInterval:(display:Off,pause:!f,section:0,value:0),time:(from:'2017-05-19T17:10:27-0600',mode:absolute,to:'2017-05-19T19:26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7" s="192" t="str">
        <f t="shared" si="66"/>
        <v>N</v>
      </c>
      <c r="X197" s="192">
        <f t="shared" si="99"/>
        <v>1</v>
      </c>
      <c r="Y197" s="192">
        <f t="shared" si="98"/>
        <v>5.8625999999999996</v>
      </c>
      <c r="Z197" s="192">
        <f t="shared" si="91"/>
        <v>7.4800000000000005E-2</v>
      </c>
      <c r="AA197" s="192">
        <f t="shared" si="69"/>
        <v>5.7877999999999998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70"/>
        <v>0836-19</v>
      </c>
      <c r="AE197" s="80" t="str">
        <f t="shared" si="71"/>
        <v>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 &amp; aws s3 cp s3://rtdc.mdm.uploadarchive.raw/RTDC4029/ "%USERPROFILE%\AppData\Local\Temp\OnboardLogs"\RTDC4029\2017-05-20 --exclude "*" --recursive --include "*20170520*" &amp; "%USERPROFILE%\Documents\GitHub\mrs-test-scripts\Headless Mode &amp; Sideloading\WalkAndUnGZ.bat" "%USERPROFILE%\AppData\Local\Temp\OnboardLogs"\RTDC4029\2017-05-20</v>
      </c>
      <c r="AF197" s="77" t="str">
        <f t="shared" si="72"/>
        <v>"C:\Program Files (x86)\AstroGrep\AstroGrep.exe" /e /r /s /spath="%USERPROFILE%\AppData\Local\Temp\OnboardLogs" /stypes="app*4029*20170520*" /stext=" 00:.+((SYSTEM_STATE.+slice.+state.+changed )|(ment ac)|(multiple cpu faults)|(system.+state.+changed )|(\[timeout)|(PRM\|1\|D)|(kpr)|(kdp)|(train st.+moving)|(\|lc)|(penalty))"</v>
      </c>
      <c r="AG197" s="1" t="str">
        <f t="shared" si="73"/>
        <v>NW</v>
      </c>
      <c r="AH197" s="81" t="str">
        <f t="shared" si="74"/>
        <v>"%USERPROFILE%\Documents\GitHub\eaglep3\Utilities\RefineRTDCRunTimes.py" --tripid 836-19 --locoid 4029 --swversion DE.1.0.9.0 --startMP 300:58626 --initTime 2017-05-19T18:10:27 --startdatetime 2017-05-19T18:13:08 --delay 1 --endMP 204:748 --enddatetime 2017-05-19T18:26:43 --enforcementcount 0 &gt;&gt;C:\Users\stu\Documents\GitHub\eaglep3-reporting\EC\2017-05-19-refined-times.txt</v>
      </c>
      <c r="AI197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{"issue":{"subject":"","project_id":79,"tracker_id":40,"status_id":1,"priority_id":2,"assigned_to_id":23,"start_date":"2017-05-19","description":"","custom_fields":[{"id":1,"name":"Subdivision","value":"NW"},{"id":4,"name":"Milepost","value":"0.0748"},{"id":17,"name":"Train ID","value":"836-19"},{"id":16,"name":"Locomotive ID","value":"4029"},{"id":130,"name":"Impact","value":""},{"id":150,"name":"Time of Event (Mountain Time)","value":"18:26:43"},{"id":151,"name":"Denver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76"/>
        <v>start /low /b %USERPROFILE%\Documents\GitHub\eaglep3\Utilities\DownloadLogsFromS3.py --loco 4029 --day 2017-05-19</v>
      </c>
      <c r="AN197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00:26:43"},{"id":29,"name":"Sharepoint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812</v>
      </c>
      <c r="B198" s="7">
        <v>4002</v>
      </c>
      <c r="C198" s="21" t="s">
        <v>206</v>
      </c>
      <c r="D198" s="21" t="s">
        <v>517</v>
      </c>
      <c r="E198" s="13">
        <v>42874.758587962962</v>
      </c>
      <c r="F198" s="13">
        <v>42874.764768518522</v>
      </c>
      <c r="G198" s="7">
        <v>1</v>
      </c>
      <c r="H198" s="21" t="s">
        <v>484</v>
      </c>
      <c r="I198" s="13">
        <v>42874.773287037038</v>
      </c>
      <c r="J198" s="7">
        <v>0</v>
      </c>
      <c r="K198" s="92" t="str">
        <f t="shared" si="60"/>
        <v>4001/4002</v>
      </c>
      <c r="L198" s="21" t="str">
        <f>VLOOKUP(A198,'Trips&amp;Operators'!$C$1:$G$99999,5,FALSE)</f>
        <v>BIRENBAUM THOMAS</v>
      </c>
      <c r="M198" s="6">
        <f t="shared" si="61"/>
        <v>8.5185185162117705E-3</v>
      </c>
      <c r="N198" s="7">
        <f t="shared" si="100"/>
        <v>12.266666663344949</v>
      </c>
      <c r="O198" s="7"/>
      <c r="P198" s="7"/>
      <c r="Q198" s="22"/>
      <c r="R198" s="190"/>
      <c r="S198" s="196">
        <f t="shared" si="101"/>
        <v>1</v>
      </c>
      <c r="T198" s="190" t="str">
        <f t="shared" si="64"/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65"/>
        <v>https://d0f6bd738d7f1b3e5a7ca70fe4ff75f0.us-east-1.aws.found.io/app/kibana#/discover/Steve-Slow-Train-Analysis-(2080s-and-2083s)?_g=(refreshInterval:(display:Off,pause:!f,section:0,value:0),time:(from:'2017-05-19T17:12:22-0600',mode:absolute,to:'2017-05-19T19:33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8" s="192" t="str">
        <f t="shared" si="66"/>
        <v>N</v>
      </c>
      <c r="X198" s="192">
        <f t="shared" si="99"/>
        <v>1</v>
      </c>
      <c r="Y198" s="192">
        <f t="shared" si="98"/>
        <v>9.7900000000000001E-2</v>
      </c>
      <c r="Z198" s="192">
        <f t="shared" si="91"/>
        <v>5.8939000000000004</v>
      </c>
      <c r="AA198" s="192">
        <f t="shared" si="69"/>
        <v>5.7960000000000003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70"/>
        <v>0837-19</v>
      </c>
      <c r="AE198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198" s="77" t="str">
        <f t="shared" si="72"/>
        <v>"C:\Program Files (x86)\AstroGrep\AstroGrep.exe" /e /r /s /spath="%USERPROFILE%\AppData\Local\Temp\OnboardLogs" /stypes="app*4002*20170520*" /stext=" 00:.+((SYSTEM_STATE.+slice.+state.+changed )|(ment ac)|(multiple cpu faults)|(system.+state.+changed )|(\[timeout)|(PRM\|1\|D)|(kpr)|(kdp)|(train st.+moving)|(\|lc)|(penalty))"</v>
      </c>
      <c r="AG198" s="1" t="str">
        <f t="shared" si="73"/>
        <v>NW</v>
      </c>
      <c r="AH198" s="81" t="str">
        <f t="shared" si="74"/>
        <v>"%USERPROFILE%\Documents\GitHub\eaglep3\Utilities\RefineRTDCRunTimes.py" --tripid 837-19 --locoid 4002 --swversion DE.1.0.9.0 --startMP 204:979 --initTime 2017-05-19T18:12:22 --startdatetime 2017-05-19T18:21:16 --delay 1 --endMP 300:58939 --enddatetime 2017-05-19T18:33:32 --enforcementcount 0 &gt;&gt;C:\Users\stu\Documents\GitHub\eaglep3-reporting\EC\2017-05-19-refined-times.txt</v>
      </c>
      <c r="AI198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{"issue":{"subject":"","project_id":79,"tracker_id":40,"status_id":1,"priority_id":2,"assigned_to_id":23,"start_date":"2017-05-19","description":"","custom_fields":[{"id":1,"name":"Subdivision","value":"NW"},{"id":4,"name":"Milepost","value":"5.8939"},{"id":17,"name":"Train ID","value":"837-19"},{"id":16,"name":"Locomotive ID","value":"4002"},{"id":130,"name":"Impact","value":""},{"id":150,"name":"Time of Event (Mountain Time)","value":"18:33:32"},{"id":151,"name":"Denver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76"/>
        <v>start /low /b %USERPROFILE%\Documents\GitHub\eaglep3\Utilities\DownloadLogsFromS3.py --loco 4002 --day 2017-05-19</v>
      </c>
      <c r="AN198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00:33:32"},{"id":29,"name":"Sharepoint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s="20" customFormat="1" x14ac:dyDescent="0.25">
      <c r="A199" s="32" t="s">
        <v>816</v>
      </c>
      <c r="B199" s="7">
        <v>4001</v>
      </c>
      <c r="C199" s="21" t="s">
        <v>206</v>
      </c>
      <c r="D199" s="21" t="s">
        <v>1023</v>
      </c>
      <c r="E199" s="13">
        <v>42874.774548611109</v>
      </c>
      <c r="F199" s="13">
        <v>42874.775659722225</v>
      </c>
      <c r="G199" s="7">
        <v>0</v>
      </c>
      <c r="H199" s="21" t="s">
        <v>1024</v>
      </c>
      <c r="I199" s="13">
        <v>42874.788194444445</v>
      </c>
      <c r="J199" s="7">
        <v>0</v>
      </c>
      <c r="K199" s="92" t="str">
        <f t="shared" si="60"/>
        <v>4001/4002</v>
      </c>
      <c r="L199" s="21" t="str">
        <f>VLOOKUP(A199,'Trips&amp;Operators'!$C$1:$G$99999,5,FALSE)</f>
        <v>BIRENBAUM THOMAS</v>
      </c>
      <c r="M199" s="6">
        <f t="shared" si="61"/>
        <v>1.2534722220152617E-2</v>
      </c>
      <c r="N199" s="7">
        <f t="shared" si="100"/>
        <v>18.049999997019768</v>
      </c>
      <c r="O199" s="7"/>
      <c r="P199" s="7"/>
      <c r="Q199" s="22"/>
      <c r="R199" s="190"/>
      <c r="S199" s="196">
        <f t="shared" si="101"/>
        <v>1</v>
      </c>
      <c r="T199" s="190" t="str">
        <f t="shared" si="64"/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65"/>
        <v>https://d0f6bd738d7f1b3e5a7ca70fe4ff75f0.us-east-1.aws.found.io/app/kibana#/discover/Steve-Slow-Train-Analysis-(2080s-and-2083s)?_g=(refreshInterval:(display:Off,pause:!f,section:0,value:0),time:(from:'2017-05-19T17:35:21-0600',mode:absolute,to:'2017-05-19T19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9" s="192" t="str">
        <f t="shared" si="66"/>
        <v>N</v>
      </c>
      <c r="X199" s="192">
        <f t="shared" si="99"/>
        <v>1</v>
      </c>
      <c r="Y199" s="192">
        <f t="shared" si="98"/>
        <v>5.8620999999999999</v>
      </c>
      <c r="Z199" s="192">
        <f t="shared" ref="Z199:Z230" si="102">RIGHT(H199,LEN(H199)-4)/10000</f>
        <v>6.8000000000000005E-2</v>
      </c>
      <c r="AA199" s="192">
        <f t="shared" si="69"/>
        <v>5.7941000000000003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70"/>
        <v>0838-19</v>
      </c>
      <c r="AE199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199" s="77" t="str">
        <f t="shared" si="72"/>
        <v>"C:\Program Files (x86)\AstroGrep\AstroGrep.exe" /e /r /s /spath="%USERPROFILE%\AppData\Local\Temp\OnboardLogs" /stypes="app*4001*20170520*" /stext=" 00:.+((SYSTEM_STATE.+slice.+state.+changed )|(ment ac)|(multiple cpu faults)|(system.+state.+changed )|(\[timeout)|(PRM\|1\|D)|(kpr)|(kdp)|(train st.+moving)|(\|lc)|(penalty))"</v>
      </c>
      <c r="AG199" s="1" t="str">
        <f t="shared" si="73"/>
        <v>NW</v>
      </c>
      <c r="AH199" s="81" t="str">
        <f t="shared" si="74"/>
        <v>"%USERPROFILE%\Documents\GitHub\eaglep3\Utilities\RefineRTDCRunTimes.py" --tripid 838-19 --locoid 4001 --swversion DE.1.0.9.0 --startMP 300:58621 --initTime 2017-05-19T18:35:21 --startdatetime 2017-05-19T18:36:57 --delay 0 --endMP 204:680 --enddatetime 2017-05-19T18:55:00 --enforcementcount 0 &gt;&gt;C:\Users\stu\Documents\GitHub\eaglep3-reporting\EC\2017-05-19-refined-times.txt</v>
      </c>
      <c r="AI199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{"issue":{"subject":"","project_id":79,"tracker_id":40,"status_id":1,"priority_id":2,"assigned_to_id":23,"start_date":"2017-05-19","description":"","custom_fields":[{"id":1,"name":"Subdivision","value":"NW"},{"id":4,"name":"Milepost","value":"0.068"},{"id":17,"name":"Train ID","value":"838-19"},{"id":16,"name":"Locomotive ID","value":"4001"},{"id":130,"name":"Impact","value":""},{"id":150,"name":"Time of Event (Mountain Time)","value":"18:55:00"},{"id":151,"name":"Denver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5" t="str">
        <f t="shared" si="76"/>
        <v>start /low /b %USERPROFILE%\Documents\GitHub\eaglep3\Utilities\DownloadLogsFromS3.py --loco 4001 --day 2017-05-19</v>
      </c>
      <c r="AN199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00:55:00"},{"id":29,"name":"Sharepoint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815</v>
      </c>
      <c r="B200" s="7">
        <v>4030</v>
      </c>
      <c r="C200" s="21" t="s">
        <v>206</v>
      </c>
      <c r="D200" s="21" t="s">
        <v>1025</v>
      </c>
      <c r="E200" s="13">
        <v>42874.771226851852</v>
      </c>
      <c r="F200" s="13">
        <v>42874.785578703704</v>
      </c>
      <c r="G200" s="7">
        <v>2</v>
      </c>
      <c r="H200" s="21" t="s">
        <v>1001</v>
      </c>
      <c r="I200" s="13">
        <v>42874.795081018521</v>
      </c>
      <c r="J200" s="7">
        <v>0</v>
      </c>
      <c r="K200" s="92" t="str">
        <f t="shared" si="60"/>
        <v>4029/4030</v>
      </c>
      <c r="L200" s="21" t="str">
        <f>VLOOKUP(A200,'Trips&amp;Operators'!$C$1:$G$99999,5,FALSE)</f>
        <v>ZEWDU DEREJE</v>
      </c>
      <c r="M200" s="6">
        <f t="shared" si="61"/>
        <v>9.5023148169275373E-3</v>
      </c>
      <c r="N200" s="7">
        <f t="shared" si="100"/>
        <v>13.683333336375654</v>
      </c>
      <c r="O200" s="7"/>
      <c r="P200" s="7"/>
      <c r="Q200" s="22"/>
      <c r="R200" s="190"/>
      <c r="S200" s="196">
        <f t="shared" si="101"/>
        <v>1</v>
      </c>
      <c r="T200" s="190" t="str">
        <f t="shared" si="64"/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65"/>
        <v>https://d0f6bd738d7f1b3e5a7ca70fe4ff75f0.us-east-1.aws.found.io/app/kibana#/discover/Steve-Slow-Train-Analysis-(2080s-and-2083s)?_g=(refreshInterval:(display:Off,pause:!f,section:0,value:0),time:(from:'2017-05-19T17:30:34-0600',mode:absolute,to:'2017-05-19T20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0" s="192" t="str">
        <f t="shared" si="66"/>
        <v>N</v>
      </c>
      <c r="X200" s="192">
        <f t="shared" si="99"/>
        <v>1</v>
      </c>
      <c r="Y200" s="192">
        <f t="shared" ref="Y200:Y231" si="103">RIGHT(D200,LEN(D200)-4)/10000</f>
        <v>0.10340000000000001</v>
      </c>
      <c r="Z200" s="192">
        <f t="shared" si="102"/>
        <v>5.8958000000000004</v>
      </c>
      <c r="AA200" s="192">
        <f t="shared" si="69"/>
        <v>5.7924000000000007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70"/>
        <v>0839-19</v>
      </c>
      <c r="AE200" s="80" t="str">
        <f t="shared" si="71"/>
        <v>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 &amp; aws s3 cp s3://rtdc.mdm.uploadarchive.raw/RTDC4030/ "%USERPROFILE%\AppData\Local\Temp\OnboardLogs"\RTDC4030\2017-05-20 --exclude "*" --recursive --include "*20170520*" &amp; "%USERPROFILE%\Documents\GitHub\mrs-test-scripts\Headless Mode &amp; Sideloading\WalkAndUnGZ.bat" "%USERPROFILE%\AppData\Local\Temp\OnboardLogs"\RTDC4030\2017-05-20</v>
      </c>
      <c r="AF200" s="77" t="str">
        <f t="shared" si="72"/>
        <v>"C:\Program Files (x86)\AstroGrep\AstroGrep.exe" /e /r /s /spath="%USERPROFILE%\AppData\Local\Temp\OnboardLogs" /stypes="app*4030*20170520*" /stext=" 01:.+((SYSTEM_STATE.+slice.+state.+changed )|(ment ac)|(multiple cpu faults)|(system.+state.+changed )|(\[timeout)|(PRM\|1\|D)|(kpr)|(kdp)|(train st.+moving)|(\|lc)|(penalty))"</v>
      </c>
      <c r="AG200" s="1" t="str">
        <f t="shared" si="73"/>
        <v>NW</v>
      </c>
      <c r="AH200" s="81" t="str">
        <f t="shared" si="74"/>
        <v>"%USERPROFILE%\Documents\GitHub\eaglep3\Utilities\RefineRTDCRunTimes.py" --tripid 839-19 --locoid 4030 --swversion DE.1.0.9.0 --startMP 204:1034 --initTime 2017-05-19T18:30:34 --startdatetime 2017-05-19T18:51:14 --delay 2 --endMP 300:58958 --enddatetime 2017-05-19T19:04:55 --enforcementcount 0 &gt;&gt;C:\Users\stu\Documents\GitHub\eaglep3-reporting\EC\2017-05-19-refined-times.txt</v>
      </c>
      <c r="AI200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{"issue":{"subject":"","project_id":79,"tracker_id":40,"status_id":1,"priority_id":2,"assigned_to_id":23,"start_date":"2017-05-19","description":"","custom_fields":[{"id":1,"name":"Subdivision","value":"NW"},{"id":4,"name":"Milepost","value":"5.8958"},{"id":17,"name":"Train ID","value":"839-19"},{"id":16,"name":"Locomotive ID","value":"4030"},{"id":130,"name":"Impact","value":""},{"id":150,"name":"Time of Event (Mountain Time)","value":"19:04:55"},{"id":151,"name":"Denver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76"/>
        <v>start /low /b %USERPROFILE%\Documents\GitHub\eaglep3\Utilities\DownloadLogsFromS3.py --loco 4030 --day 2017-05-19</v>
      </c>
      <c r="AN200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01:04:55"},{"id":29,"name":"Sharepoint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825</v>
      </c>
      <c r="B201" s="7">
        <v>4001</v>
      </c>
      <c r="C201" s="21" t="s">
        <v>206</v>
      </c>
      <c r="D201" s="21" t="s">
        <v>443</v>
      </c>
      <c r="E201" s="13">
        <v>42874.816030092596</v>
      </c>
      <c r="F201" s="13">
        <v>42874.817233796297</v>
      </c>
      <c r="G201" s="7">
        <v>1</v>
      </c>
      <c r="H201" s="21" t="s">
        <v>596</v>
      </c>
      <c r="I201" s="13">
        <v>42874.829918981479</v>
      </c>
      <c r="J201" s="7">
        <v>0</v>
      </c>
      <c r="K201" s="92" t="str">
        <f t="shared" si="60"/>
        <v>4001/4002</v>
      </c>
      <c r="L201" s="21" t="str">
        <f>VLOOKUP(A201,'Trips&amp;Operators'!$C$1:$G$99999,5,FALSE)</f>
        <v>BIRENBAUM THOMAS</v>
      </c>
      <c r="M201" s="6">
        <f t="shared" si="61"/>
        <v>1.2685185181908309E-2</v>
      </c>
      <c r="N201" s="7">
        <f t="shared" si="100"/>
        <v>18.266666661947966</v>
      </c>
      <c r="O201" s="7"/>
      <c r="P201" s="7"/>
      <c r="Q201" s="22"/>
      <c r="R201" s="190"/>
      <c r="S201" s="196">
        <f t="shared" si="101"/>
        <v>1</v>
      </c>
      <c r="T201" s="190" t="str">
        <f t="shared" si="64"/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65"/>
        <v>https://d0f6bd738d7f1b3e5a7ca70fe4ff75f0.us-east-1.aws.found.io/app/kibana#/discover/Steve-Slow-Train-Analysis-(2080s-and-2083s)?_g=(refreshInterval:(display:Off,pause:!f,section:0,value:0),time:(from:'2017-05-19T18:35:05-0600',mode:absolute,to:'2017-05-19T20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1" s="192" t="str">
        <f t="shared" si="66"/>
        <v>N</v>
      </c>
      <c r="X201" s="192">
        <f t="shared" ref="X201:X232" si="104">VALUE(LEFT(AD201,4))-VALUE(LEFT(AD200,4))</f>
        <v>1</v>
      </c>
      <c r="Y201" s="192">
        <f t="shared" si="103"/>
        <v>5.8644999999999996</v>
      </c>
      <c r="Z201" s="192">
        <f t="shared" si="102"/>
        <v>6.9900000000000004E-2</v>
      </c>
      <c r="AA201" s="192">
        <f t="shared" si="69"/>
        <v>5.7946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70"/>
        <v>0840-19</v>
      </c>
      <c r="AE201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201" s="77" t="str">
        <f t="shared" si="72"/>
        <v>"C:\Program Files (x86)\AstroGrep\AstroGrep.exe" /e /r /s /spath="%USERPROFILE%\AppData\Local\Temp\OnboardLogs" /stypes="app*4001*20170520*" /stext=" 01:.+((SYSTEM_STATE.+slice.+state.+changed )|(ment ac)|(multiple cpu faults)|(system.+state.+changed )|(\[timeout)|(PRM\|1\|D)|(kpr)|(kdp)|(train st.+moving)|(\|lc)|(penalty))"</v>
      </c>
      <c r="AG201" s="1" t="str">
        <f t="shared" si="73"/>
        <v>NW</v>
      </c>
      <c r="AH201" s="81" t="str">
        <f t="shared" si="74"/>
        <v>"%USERPROFILE%\Documents\GitHub\eaglep3\Utilities\RefineRTDCRunTimes.py" --tripid 840-19 --locoid 4001 --swversion DE.1.0.9.0 --startMP 300:58645 --initTime 2017-05-19T19:35:05 --startdatetime 2017-05-19T19:36:49 --delay 1 --endMP 204:699 --enddatetime 2017-05-19T19:55:05 --enforcementcount 0 &gt;&gt;C:\Users\stu\Documents\GitHub\eaglep3-reporting\EC\2017-05-19-refined-times.txt</v>
      </c>
      <c r="AI201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{"issue":{"subject":"","project_id":79,"tracker_id":40,"status_id":1,"priority_id":2,"assigned_to_id":23,"start_date":"2017-05-19","description":"","custom_fields":[{"id":1,"name":"Subdivision","value":"NW"},{"id":4,"name":"Milepost","value":"0.0699"},{"id":17,"name":"Train ID","value":"840-19"},{"id":16,"name":"Locomotive ID","value":"4001"},{"id":130,"name":"Impact","value":""},{"id":150,"name":"Time of Event (Mountain Time)","value":"19:55:05"},{"id":151,"name":"Denver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76"/>
        <v>start /low /b %USERPROFILE%\Documents\GitHub\eaglep3\Utilities\DownloadLogsFromS3.py --loco 4001 --day 2017-05-19</v>
      </c>
      <c r="AN201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01:55:05"},{"id":29,"name":"Sharepoint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822</v>
      </c>
      <c r="B202" s="7">
        <v>4002</v>
      </c>
      <c r="C202" s="21" t="s">
        <v>206</v>
      </c>
      <c r="D202" s="21" t="s">
        <v>599</v>
      </c>
      <c r="E202" s="13">
        <v>42874.8</v>
      </c>
      <c r="F202" s="13">
        <v>42874.80641203704</v>
      </c>
      <c r="G202" s="7">
        <v>1</v>
      </c>
      <c r="H202" s="21" t="s">
        <v>595</v>
      </c>
      <c r="I202" s="13">
        <v>42874.815115740741</v>
      </c>
      <c r="J202" s="7">
        <v>0</v>
      </c>
      <c r="K202" s="92" t="str">
        <f t="shared" si="60"/>
        <v>4001/4002</v>
      </c>
      <c r="L202" s="21" t="str">
        <f>VLOOKUP(A202,'Trips&amp;Operators'!$C$1:$G$99999,5,FALSE)</f>
        <v>BIRENBAUM THOMAS</v>
      </c>
      <c r="M202" s="6">
        <f t="shared" si="61"/>
        <v>8.703703701030463E-3</v>
      </c>
      <c r="N202" s="7">
        <f t="shared" si="100"/>
        <v>12.533333329483867</v>
      </c>
      <c r="O202" s="7"/>
      <c r="P202" s="7"/>
      <c r="Q202" s="22"/>
      <c r="R202" s="190"/>
      <c r="S202" s="196">
        <f t="shared" si="101"/>
        <v>1</v>
      </c>
      <c r="T202" s="190" t="str">
        <f t="shared" si="64"/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65"/>
        <v>https://d0f6bd738d7f1b3e5a7ca70fe4ff75f0.us-east-1.aws.found.io/app/kibana#/discover/Steve-Slow-Train-Analysis-(2080s-and-2083s)?_g=(refreshInterval:(display:Off,pause:!f,section:0,value:0),time:(from:'2017-05-19T18:12:00-0600',mode:absolute,to:'2017-05-19T20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2" s="192" t="str">
        <f t="shared" si="66"/>
        <v>N</v>
      </c>
      <c r="X202" s="192">
        <f t="shared" si="104"/>
        <v>1</v>
      </c>
      <c r="Y202" s="192">
        <f t="shared" si="103"/>
        <v>9.8299999999999998E-2</v>
      </c>
      <c r="Z202" s="192">
        <f t="shared" si="102"/>
        <v>5.8959999999999999</v>
      </c>
      <c r="AA202" s="192">
        <f t="shared" si="69"/>
        <v>5.7976999999999999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70"/>
        <v>0841-19</v>
      </c>
      <c r="AE202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202" s="77" t="str">
        <f t="shared" si="72"/>
        <v>"C:\Program Files (x86)\AstroGrep\AstroGrep.exe" /e /r /s /spath="%USERPROFILE%\AppData\Local\Temp\OnboardLogs" /stypes="app*4002*20170520*" /stext=" 01:.+((SYSTEM_STATE.+slice.+state.+changed )|(ment ac)|(multiple cpu faults)|(system.+state.+changed )|(\[timeout)|(PRM\|1\|D)|(kpr)|(kdp)|(train st.+moving)|(\|lc)|(penalty))"</v>
      </c>
      <c r="AG202" s="1" t="str">
        <f t="shared" si="73"/>
        <v>NW</v>
      </c>
      <c r="AH202" s="81" t="str">
        <f t="shared" si="74"/>
        <v>"%USERPROFILE%\Documents\GitHub\eaglep3\Utilities\RefineRTDCRunTimes.py" --tripid 841-19 --locoid 4002 --swversion DE.1.0.9.0 --startMP 204:983 --initTime 2017-05-19T19:12:00 --startdatetime 2017-05-19T19:21:14 --delay 1 --endMP 300:58960 --enddatetime 2017-05-19T19:33:46 --enforcementcount 0 &gt;&gt;C:\Users\stu\Documents\GitHub\eaglep3-reporting\EC\2017-05-19-refined-times.txt</v>
      </c>
      <c r="AI202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{"issue":{"subject":"","project_id":79,"tracker_id":40,"status_id":1,"priority_id":2,"assigned_to_id":23,"start_date":"2017-05-19","description":"","custom_fields":[{"id":1,"name":"Subdivision","value":"NW"},{"id":4,"name":"Milepost","value":"5.896"},{"id":17,"name":"Train ID","value":"841-19"},{"id":16,"name":"Locomotive ID","value":"4002"},{"id":130,"name":"Impact","value":""},{"id":150,"name":"Time of Event (Mountain Time)","value":"19:33:46"},{"id":151,"name":"Denver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76"/>
        <v>start /low /b %USERPROFILE%\Documents\GitHub\eaglep3\Utilities\DownloadLogsFromS3.py --loco 4002 --day 2017-05-19</v>
      </c>
      <c r="AN202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01:33:46"},{"id":29,"name":"Sharepoint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835</v>
      </c>
      <c r="B203" s="7">
        <v>4001</v>
      </c>
      <c r="C203" s="21" t="s">
        <v>206</v>
      </c>
      <c r="D203" s="21" t="s">
        <v>997</v>
      </c>
      <c r="E203" s="13">
        <v>42874.857951388891</v>
      </c>
      <c r="F203" s="13">
        <v>42874.859305555554</v>
      </c>
      <c r="G203" s="7">
        <v>1</v>
      </c>
      <c r="H203" s="21" t="s">
        <v>995</v>
      </c>
      <c r="I203" s="13">
        <v>42874.871018518519</v>
      </c>
      <c r="J203" s="7">
        <v>0</v>
      </c>
      <c r="K203" s="92" t="str">
        <f t="shared" si="60"/>
        <v>4001/4002</v>
      </c>
      <c r="L203" s="21" t="str">
        <f>VLOOKUP(A203,'Trips&amp;Operators'!$C$1:$G$99999,5,FALSE)</f>
        <v>BIRENBAUM THOMAS</v>
      </c>
      <c r="M203" s="6">
        <f t="shared" si="61"/>
        <v>1.1712962965248153E-2</v>
      </c>
      <c r="N203" s="7">
        <f t="shared" si="100"/>
        <v>16.86666666995734</v>
      </c>
      <c r="O203" s="7"/>
      <c r="P203" s="7"/>
      <c r="Q203" s="22"/>
      <c r="R203" s="190"/>
      <c r="S203" s="196">
        <f t="shared" si="101"/>
        <v>1</v>
      </c>
      <c r="T203" s="190" t="str">
        <f t="shared" si="64"/>
        <v>Southbound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65"/>
        <v>https://d0f6bd738d7f1b3e5a7ca70fe4ff75f0.us-east-1.aws.found.io/app/kibana#/discover/Steve-Slow-Train-Analysis-(2080s-and-2083s)?_g=(refreshInterval:(display:Off,pause:!f,section:0,value:0),time:(from:'2017-05-19T19:35:27-0600',mode:absolute,to:'2017-05-19T21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3" s="192" t="str">
        <f t="shared" si="66"/>
        <v>N</v>
      </c>
      <c r="X203" s="192">
        <f t="shared" si="104"/>
        <v>1</v>
      </c>
      <c r="Y203" s="192">
        <f t="shared" si="103"/>
        <v>5.8634000000000004</v>
      </c>
      <c r="Z203" s="192">
        <f t="shared" si="102"/>
        <v>6.6799999999999998E-2</v>
      </c>
      <c r="AA203" s="192">
        <f t="shared" si="69"/>
        <v>5.7966000000000006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70"/>
        <v>0842-19</v>
      </c>
      <c r="AE203" s="80" t="str">
        <f t="shared" si="71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203" s="77" t="str">
        <f t="shared" si="72"/>
        <v>"C:\Program Files (x86)\AstroGrep\AstroGrep.exe" /e /r /s /spath="%USERPROFILE%\AppData\Local\Temp\OnboardLogs" /stypes="app*4001*20170520*" /stext=" 02:.+((SYSTEM_STATE.+slice.+state.+changed )|(ment ac)|(multiple cpu faults)|(system.+state.+changed )|(\[timeout)|(PRM\|1\|D)|(kpr)|(kdp)|(train st.+moving)|(\|lc)|(penalty))"</v>
      </c>
      <c r="AG203" s="1" t="str">
        <f t="shared" si="73"/>
        <v>NW</v>
      </c>
      <c r="AH203" s="81" t="str">
        <f t="shared" si="74"/>
        <v>"%USERPROFILE%\Documents\GitHub\eaglep3\Utilities\RefineRTDCRunTimes.py" --tripid 842-19 --locoid 4001 --swversion DE.1.0.9.0 --startMP 300:58634 --initTime 2017-05-19T20:35:27 --startdatetime 2017-05-19T20:37:24 --delay 1 --endMP 204:668 --enddatetime 2017-05-19T20:54:16 --enforcementcount 0 &gt;&gt;C:\Users\stu\Documents\GitHub\eaglep3-reporting\EC\2017-05-19-refined-times.txt</v>
      </c>
      <c r="AI203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{"issue":{"subject":"","project_id":79,"tracker_id":40,"status_id":1,"priority_id":2,"assigned_to_id":23,"start_date":"2017-05-19","description":"","custom_fields":[{"id":1,"name":"Subdivision","value":"NW"},{"id":4,"name":"Milepost","value":"0.0668"},{"id":17,"name":"Train ID","value":"842-19"},{"id":16,"name":"Locomotive ID","value":"4001"},{"id":130,"name":"Impact","value":""},{"id":150,"name":"Time of Event (Mountain Time)","value":"20:54:16"},{"id":151,"name":"Denver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76"/>
        <v>start /low /b %USERPROFILE%\Documents\GitHub\eaglep3\Utilities\DownloadLogsFromS3.py --loco 4001 --day 2017-05-19</v>
      </c>
      <c r="AN203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02:54:16"},{"id":29,"name":"Sharepoint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834</v>
      </c>
      <c r="B204" s="7">
        <v>4002</v>
      </c>
      <c r="C204" s="21" t="s">
        <v>206</v>
      </c>
      <c r="D204" s="21" t="s">
        <v>1014</v>
      </c>
      <c r="E204" s="13">
        <v>42874.84302083333</v>
      </c>
      <c r="F204" s="13">
        <v>42874.848043981481</v>
      </c>
      <c r="G204" s="7">
        <v>1</v>
      </c>
      <c r="H204" s="21" t="s">
        <v>600</v>
      </c>
      <c r="I204" s="13">
        <v>42874.856932870367</v>
      </c>
      <c r="J204" s="7">
        <v>0</v>
      </c>
      <c r="K204" s="92" t="str">
        <f t="shared" si="60"/>
        <v>4001/4002</v>
      </c>
      <c r="L204" s="21" t="str">
        <f>VLOOKUP(A204,'Trips&amp;Operators'!$C$1:$G$99999,5,FALSE)</f>
        <v>BIRENBAUM THOMAS</v>
      </c>
      <c r="M204" s="6">
        <f t="shared" si="61"/>
        <v>8.8888888858491555E-3</v>
      </c>
      <c r="N204" s="7">
        <f t="shared" si="100"/>
        <v>12.799999995622784</v>
      </c>
      <c r="O204" s="7"/>
      <c r="P204" s="7"/>
      <c r="Q204" s="22"/>
      <c r="R204" s="190"/>
      <c r="S204" s="196">
        <f t="shared" si="101"/>
        <v>1</v>
      </c>
      <c r="T204" s="190" t="str">
        <f t="shared" si="64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65"/>
        <v>https://d0f6bd738d7f1b3e5a7ca70fe4ff75f0.us-east-1.aws.found.io/app/kibana#/discover/Steve-Slow-Train-Analysis-(2080s-and-2083s)?_g=(refreshInterval:(display:Off,pause:!f,section:0,value:0),time:(from:'2017-05-19T19:13:57-0600',mode:absolute,to:'2017-05-19T21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4" s="192" t="str">
        <f t="shared" si="66"/>
        <v>N</v>
      </c>
      <c r="X204" s="192">
        <f t="shared" si="104"/>
        <v>1</v>
      </c>
      <c r="Y204" s="192">
        <f t="shared" si="103"/>
        <v>9.9699999999999997E-2</v>
      </c>
      <c r="Z204" s="192">
        <f t="shared" si="102"/>
        <v>5.8949999999999996</v>
      </c>
      <c r="AA204" s="192">
        <f t="shared" si="69"/>
        <v>5.7952999999999992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70"/>
        <v>0843-19</v>
      </c>
      <c r="AE204" s="80" t="str">
        <f t="shared" si="71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204" s="77" t="str">
        <f t="shared" si="72"/>
        <v>"C:\Program Files (x86)\AstroGrep\AstroGrep.exe" /e /r /s /spath="%USERPROFILE%\AppData\Local\Temp\OnboardLogs" /stypes="app*4002*20170520*" /stext=" 02:.+((SYSTEM_STATE.+slice.+state.+changed )|(ment ac)|(multiple cpu faults)|(system.+state.+changed )|(\[timeout)|(PRM\|1\|D)|(kpr)|(kdp)|(train st.+moving)|(\|lc)|(penalty))"</v>
      </c>
      <c r="AG204" s="1" t="str">
        <f t="shared" si="73"/>
        <v>NW</v>
      </c>
      <c r="AH204" s="81" t="str">
        <f t="shared" si="74"/>
        <v>"%USERPROFILE%\Documents\GitHub\eaglep3\Utilities\RefineRTDCRunTimes.py" --tripid 843-19 --locoid 4002 --swversion DE.1.0.9.0 --startMP 204:997 --initTime 2017-05-19T20:13:57 --startdatetime 2017-05-19T20:21:11 --delay 1 --endMP 300:58950 --enddatetime 2017-05-19T20:33:59 --enforcementcount 0 &gt;&gt;C:\Users\stu\Documents\GitHub\eaglep3-reporting\EC\2017-05-19-refined-times.txt</v>
      </c>
      <c r="AI204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{"issue":{"subject":"","project_id":79,"tracker_id":40,"status_id":1,"priority_id":2,"assigned_to_id":23,"start_date":"2017-05-19","description":"","custom_fields":[{"id":1,"name":"Subdivision","value":"NW"},{"id":4,"name":"Milepost","value":"5.895"},{"id":17,"name":"Train ID","value":"843-19"},{"id":16,"name":"Locomotive ID","value":"4002"},{"id":130,"name":"Impact","value":""},{"id":150,"name":"Time of Event (Mountain Time)","value":"20:33:59"},{"id":151,"name":"Denver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6"/>
        <v>start /low /b %USERPROFILE%\Documents\GitHub\eaglep3\Utilities\DownloadLogsFromS3.py --loco 4002 --day 2017-05-19</v>
      </c>
      <c r="AN204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02:33:59"},{"id":29,"name":"Sharepoint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841</v>
      </c>
      <c r="B205" s="7">
        <v>4001</v>
      </c>
      <c r="C205" s="21" t="s">
        <v>206</v>
      </c>
      <c r="D205" s="21" t="s">
        <v>1011</v>
      </c>
      <c r="E205" s="13">
        <v>42874.900717592594</v>
      </c>
      <c r="F205" s="13">
        <v>42874.902800925927</v>
      </c>
      <c r="G205" s="7">
        <v>1</v>
      </c>
      <c r="H205" s="21" t="s">
        <v>1024</v>
      </c>
      <c r="I205" s="13">
        <v>42874.913425925923</v>
      </c>
      <c r="J205" s="7">
        <v>0</v>
      </c>
      <c r="K205" s="92" t="str">
        <f t="shared" ref="K205:K246" si="105">IF(ISEVEN(B205),(B205-1)&amp;"/"&amp;B205,B205&amp;"/"&amp;(B205+1))</f>
        <v>4001/4002</v>
      </c>
      <c r="L205" s="21" t="str">
        <f>VLOOKUP(A205,'Trips&amp;Operators'!$C$1:$G$99999,5,FALSE)</f>
        <v>ZEWDU DEREJE</v>
      </c>
      <c r="M205" s="6">
        <f t="shared" ref="M205:M246" si="106">I205-F205</f>
        <v>1.0624999995343387E-2</v>
      </c>
      <c r="N205" s="7">
        <f t="shared" si="100"/>
        <v>15.299999993294477</v>
      </c>
      <c r="O205" s="7"/>
      <c r="P205" s="7"/>
      <c r="Q205" s="22"/>
      <c r="R205" s="190"/>
      <c r="S205" s="196">
        <f t="shared" si="101"/>
        <v>1</v>
      </c>
      <c r="T205" s="190" t="str">
        <f t="shared" ref="T205:T246" si="107">IF(ISEVEN(LEFT(AD205,4)),"Southbound","NorthBound")</f>
        <v>Southbound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46" si="10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-19T20:37:02-0600',mode:absolute,to:'2017-05-19T22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5" s="192" t="str">
        <f t="shared" ref="W205:W246" si="109">IF(AA205&lt;IF(AG205="EC",23,5.65),"Y","N")</f>
        <v>N</v>
      </c>
      <c r="X205" s="192">
        <f t="shared" si="104"/>
        <v>1</v>
      </c>
      <c r="Y205" s="192">
        <f t="shared" si="103"/>
        <v>5.8638000000000003</v>
      </c>
      <c r="Z205" s="192">
        <f t="shared" si="102"/>
        <v>6.8000000000000005E-2</v>
      </c>
      <c r="AA205" s="192">
        <f t="shared" ref="AA205:AA268" si="110">ABS(Z205-Y205)</f>
        <v>5.7958000000000007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46" si="111">IF(LEN(A205)=6,"0"&amp;A205,A205)</f>
        <v>0844-19</v>
      </c>
      <c r="AE205" s="80" t="str">
        <f t="shared" ref="AE205:AE246" si="11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205" s="77" t="str">
        <f t="shared" ref="AF205:AF246" si="11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/stypes="app*4001*20170520*" /stext=" 03:.+((SYSTEM_STATE.+slice.+state.+changed )|(ment ac)|(multiple cpu faults)|(system.+state.+changed )|(\[timeout)|(PRM\|1\|D)|(kpr)|(kdp)|(train st.+moving)|(\|lc)|(penalty))"</v>
      </c>
      <c r="AG205" s="1" t="str">
        <f t="shared" ref="AG205:AG246" si="114">IFERROR(IF(VALUE(LEFT(AD205,2))&lt;=2,"EC",IF(OR(VALUE(LEFT(AD205,2))=8,VALUE(LEFT(AD205,2))=18),"NW","Other")),"Other")</f>
        <v>NW</v>
      </c>
      <c r="AH205" s="81" t="str">
        <f t="shared" si="74"/>
        <v>"%USERPROFILE%\Documents\GitHub\eaglep3\Utilities\RefineRTDCRunTimes.py" --tripid 844-19 --locoid 4001 --swversion DE.1.0.9.0 --startMP 300:58638 --initTime 2017-05-19T21:37:02 --startdatetime 2017-05-19T21:40:02 --delay 1 --endMP 204:680 --enddatetime 2017-05-19T21:55:20 --enforcementcount 0 &gt;&gt;C:\Users\stu\Documents\GitHub\eaglep3-reporting\EC\2017-05-19-refined-times.txt</v>
      </c>
      <c r="AI205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{"issue":{"subject":"","project_id":79,"tracker_id":40,"status_id":1,"priority_id":2,"assigned_to_id":23,"start_date":"2017-05-19","description":"","custom_fields":[{"id":1,"name":"Subdivision","value":"NW"},{"id":4,"name":"Milepost","value":"0.068"},{"id":17,"name":"Train ID","value":"844-19"},{"id":16,"name":"Locomotive ID","value":"4001"},{"id":130,"name":"Impact","value":""},{"id":150,"name":"Time of Event (Mountain Time)","value":"21:55:20"},{"id":151,"name":"Denver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76"/>
        <v>start /low /b %USERPROFILE%\Documents\GitHub\eaglep3\Utilities\DownloadLogsFromS3.py --loco 4001 --day 2017-05-19</v>
      </c>
      <c r="AN205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03:55:20"},{"id":29,"name":"Sharepoint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837</v>
      </c>
      <c r="B206" s="7">
        <v>4002</v>
      </c>
      <c r="C206" s="21" t="s">
        <v>206</v>
      </c>
      <c r="D206" s="21" t="s">
        <v>589</v>
      </c>
      <c r="E206" s="13">
        <v>42874.875717592593</v>
      </c>
      <c r="F206" s="13">
        <v>42874.889791666668</v>
      </c>
      <c r="G206" s="7">
        <v>2</v>
      </c>
      <c r="H206" s="21" t="s">
        <v>442</v>
      </c>
      <c r="I206" s="13">
        <v>42874.899386574078</v>
      </c>
      <c r="J206" s="7">
        <v>0</v>
      </c>
      <c r="K206" s="92" t="str">
        <f t="shared" si="105"/>
        <v>4001/4002</v>
      </c>
      <c r="L206" s="21" t="str">
        <f>VLOOKUP(A206,'Trips&amp;Operators'!$C$1:$G$99999,5,FALSE)</f>
        <v>ZEWDU DEREJE</v>
      </c>
      <c r="M206" s="6">
        <f t="shared" si="106"/>
        <v>9.5949074093368836E-3</v>
      </c>
      <c r="N206" s="7">
        <f t="shared" si="100"/>
        <v>13.816666669445112</v>
      </c>
      <c r="O206" s="7"/>
      <c r="P206" s="7"/>
      <c r="Q206" s="22"/>
      <c r="R206" s="190"/>
      <c r="S206" s="196">
        <f t="shared" si="101"/>
        <v>1</v>
      </c>
      <c r="T206" s="190" t="str">
        <f t="shared" si="107"/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108"/>
        <v>https://d0f6bd738d7f1b3e5a7ca70fe4ff75f0.us-east-1.aws.found.io/app/kibana#/discover/Steve-Slow-Train-Analysis-(2080s-and-2083s)?_g=(refreshInterval:(display:Off,pause:!f,section:0,value:0),time:(from:'2017-05-19T20:01:02-0600',mode:absolute,to:'2017-05-19T22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6" s="192" t="str">
        <f t="shared" si="109"/>
        <v>N</v>
      </c>
      <c r="X206" s="192">
        <f t="shared" si="104"/>
        <v>1</v>
      </c>
      <c r="Y206" s="192">
        <f t="shared" si="103"/>
        <v>9.7199999999999995E-2</v>
      </c>
      <c r="Z206" s="192">
        <f t="shared" si="102"/>
        <v>5.8954000000000004</v>
      </c>
      <c r="AA206" s="192">
        <f t="shared" si="110"/>
        <v>5.7982000000000005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111"/>
        <v>0845-19</v>
      </c>
      <c r="AE206" s="80" t="str">
        <f t="shared" si="112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206" s="77" t="str">
        <f t="shared" si="113"/>
        <v>"C:\Program Files (x86)\AstroGrep\AstroGrep.exe" /e /r /s /spath="%USERPROFILE%\AppData\Local\Temp\OnboardLogs" /stypes="app*4002*20170520*" /stext=" 03:.+((SYSTEM_STATE.+slice.+state.+changed )|(ment ac)|(multiple cpu faults)|(system.+state.+changed )|(\[timeout)|(PRM\|1\|D)|(kpr)|(kdp)|(train st.+moving)|(\|lc)|(penalty))"</v>
      </c>
      <c r="AG206" s="1" t="str">
        <f t="shared" si="114"/>
        <v>NW</v>
      </c>
      <c r="AH206" s="81" t="str">
        <f t="shared" si="74"/>
        <v>"%USERPROFILE%\Documents\GitHub\eaglep3\Utilities\RefineRTDCRunTimes.py" --tripid 845-19 --locoid 4002 --swversion DE.1.0.9.0 --startMP 204:972 --initTime 2017-05-19T21:01:02 --startdatetime 2017-05-19T21:21:18 --delay 2 --endMP 300:58954 --enddatetime 2017-05-19T21:35:07 --enforcementcount 0 &gt;&gt;C:\Users\stu\Documents\GitHub\eaglep3-reporting\EC\2017-05-19-refined-times.txt</v>
      </c>
      <c r="AI206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{"issue":{"subject":"","project_id":79,"tracker_id":40,"status_id":1,"priority_id":2,"assigned_to_id":23,"start_date":"2017-05-19","description":"","custom_fields":[{"id":1,"name":"Subdivision","value":"NW"},{"id":4,"name":"Milepost","value":"5.8954"},{"id":17,"name":"Train ID","value":"845-19"},{"id":16,"name":"Locomotive ID","value":"4002"},{"id":130,"name":"Impact","value":""},{"id":150,"name":"Time of Event (Mountain Time)","value":"21:35:07"},{"id":151,"name":"Denver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76"/>
        <v>start /low /b %USERPROFILE%\Documents\GitHub\eaglep3\Utilities\DownloadLogsFromS3.py --loco 4002 --day 2017-05-19</v>
      </c>
      <c r="AN206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03:35:07"},{"id":29,"name":"Sharepoint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647</v>
      </c>
      <c r="B207" s="7">
        <v>4002</v>
      </c>
      <c r="C207" s="21" t="s">
        <v>206</v>
      </c>
      <c r="D207" s="21" t="s">
        <v>487</v>
      </c>
      <c r="E207" s="13">
        <v>42874.918946759259</v>
      </c>
      <c r="F207" s="13">
        <v>42874.931493055556</v>
      </c>
      <c r="G207" s="7">
        <v>1</v>
      </c>
      <c r="H207" s="21" t="s">
        <v>594</v>
      </c>
      <c r="I207" s="13">
        <v>42874.940520833334</v>
      </c>
      <c r="J207" s="7">
        <v>0</v>
      </c>
      <c r="K207" s="92" t="str">
        <f t="shared" si="105"/>
        <v>4001/4002</v>
      </c>
      <c r="L207" s="21" t="str">
        <f>VLOOKUP(A207,'Trips&amp;Operators'!$C$1:$G$99999,5,FALSE)</f>
        <v>ZEWDU DEREJE</v>
      </c>
      <c r="M207" s="6">
        <f t="shared" si="106"/>
        <v>9.0277777781011537E-3</v>
      </c>
      <c r="N207" s="7">
        <f t="shared" si="100"/>
        <v>13.000000000465661</v>
      </c>
      <c r="O207" s="7"/>
      <c r="P207" s="7"/>
      <c r="Q207" s="22"/>
      <c r="R207" s="190"/>
      <c r="S207" s="196">
        <f t="shared" si="101"/>
        <v>1</v>
      </c>
      <c r="T207" s="190" t="str">
        <f t="shared" si="107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108"/>
        <v>https://d0f6bd738d7f1b3e5a7ca70fe4ff75f0.us-east-1.aws.found.io/app/kibana#/discover/Steve-Slow-Train-Analysis-(2080s-and-2083s)?_g=(refreshInterval:(display:Off,pause:!f,section:0,value:0),time:(from:'2017-05-19T21:03:17-0600',mode:absolute,to:'2017-05-19T23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7" s="192" t="str">
        <f t="shared" si="109"/>
        <v>N</v>
      </c>
      <c r="X207" s="192">
        <f t="shared" si="104"/>
        <v>2</v>
      </c>
      <c r="Y207" s="192">
        <f t="shared" si="103"/>
        <v>9.8100000000000007E-2</v>
      </c>
      <c r="Z207" s="192">
        <f t="shared" si="102"/>
        <v>5.8971</v>
      </c>
      <c r="AA207" s="192">
        <f t="shared" si="110"/>
        <v>5.7990000000000004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111"/>
        <v>0847-19</v>
      </c>
      <c r="AE207" s="80" t="str">
        <f t="shared" si="112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207" s="77" t="str">
        <f t="shared" si="113"/>
        <v>"C:\Program Files (x86)\AstroGrep\AstroGrep.exe" /e /r /s /spath="%USERPROFILE%\AppData\Local\Temp\OnboardLogs" /stypes="app*4002*20170520*" /stext=" 04:.+((SYSTEM_STATE.+slice.+state.+changed )|(ment ac)|(multiple cpu faults)|(system.+state.+changed )|(\[timeout)|(PRM\|1\|D)|(kpr)|(kdp)|(train st.+moving)|(\|lc)|(penalty))"</v>
      </c>
      <c r="AG207" s="1" t="str">
        <f t="shared" si="114"/>
        <v>NW</v>
      </c>
      <c r="AH207" s="81" t="str">
        <f t="shared" si="74"/>
        <v>"%USERPROFILE%\Documents\GitHub\eaglep3\Utilities\RefineRTDCRunTimes.py" --tripid 847-19 --locoid 4002 --swversion DE.1.0.9.0 --startMP 204:981 --initTime 2017-05-19T22:03:17 --startdatetime 2017-05-19T22:21:21 --delay 1 --endMP 300:58971 --enddatetime 2017-05-19T22:34:21 --enforcementcount 0 &gt;&gt;C:\Users\stu\Documents\GitHub\eaglep3-reporting\EC\2017-05-19-refined-times.txt</v>
      </c>
      <c r="AI207" s="99" t="str">
        <f t="shared" si="75"/>
        <v>echo {"issue":{"subject":"","project_id":79,"tracker_id":40,"status_id":1,"priority_id":2,"assigned_to_id":23,"start_date":"2017-05-19","description":"","custom_fields":[{"id":1,"name":"Subdivision","value":"NW"},{"id":4,"name":"Milepost","value":"5.8971"},{"id":17,"name":"Train ID","value":"847-19"},{"id":16,"name":"Locomotive ID","value":"4002"},{"id":130,"name":"Impact","value":""},{"id":150,"name":"Time of Event (Mountain Time)","value":"22:34:21"},{"id":151,"name":"Denver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76"/>
        <v>start /low /b %USERPROFILE%\Documents\GitHub\eaglep3\Utilities\DownloadLogsFromS3.py --loco 4002 --day 2017-05-19</v>
      </c>
      <c r="AN207" s="154" t="str">
        <f t="shared" si="77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04:34:21"},{"id":29,"name":"Sharepoint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604</v>
      </c>
      <c r="B208" s="7">
        <v>4015</v>
      </c>
      <c r="C208" s="21" t="s">
        <v>206</v>
      </c>
      <c r="D208" s="21" t="s">
        <v>942</v>
      </c>
      <c r="E208" s="13">
        <v>42874.137326388889</v>
      </c>
      <c r="F208" s="13">
        <v>42874.142372685186</v>
      </c>
      <c r="G208" s="7">
        <v>7</v>
      </c>
      <c r="H208" s="21" t="s">
        <v>943</v>
      </c>
      <c r="I208" s="13">
        <v>42874.148518518516</v>
      </c>
      <c r="J208" s="7">
        <v>0</v>
      </c>
      <c r="K208" s="92" t="str">
        <f t="shared" si="105"/>
        <v>4015/4016</v>
      </c>
      <c r="L208" s="21" t="str">
        <f>VLOOKUP(A208,'Trips&amp;Operators'!$C$1:$G$99999,5,FALSE)</f>
        <v>BADERTSCHER DIANE</v>
      </c>
      <c r="M208" s="6">
        <f t="shared" si="106"/>
        <v>6.1458333293558098E-3</v>
      </c>
      <c r="N208" s="7">
        <f t="shared" si="100"/>
        <v>8.8499999942723662</v>
      </c>
      <c r="O208" s="7"/>
      <c r="P208" s="7"/>
      <c r="Q208" s="22"/>
      <c r="R208" s="190"/>
      <c r="S208" s="196">
        <f t="shared" si="101"/>
        <v>1</v>
      </c>
      <c r="T208" s="190" t="str">
        <f t="shared" si="107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108"/>
        <v>https://d0f6bd738d7f1b3e5a7ca70fe4ff75f0.us-east-1.aws.found.io/app/kibana#/discover/Steve-Slow-Train-Analysis-(2080s-and-2083s)?_g=(refreshInterval:(display:Off,pause:!f,section:0,value:0),time:(from:'2017-05-19T02:17:45-0600',mode:absolute,to:'2017-05-19T04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8" s="192" t="str">
        <f t="shared" si="109"/>
        <v>Y</v>
      </c>
      <c r="X208" s="192">
        <f t="shared" si="104"/>
        <v>-545</v>
      </c>
      <c r="Y208" s="192">
        <f t="shared" si="103"/>
        <v>2.3016000000000001</v>
      </c>
      <c r="Z208" s="192">
        <f t="shared" si="102"/>
        <v>9.2399999999999996E-2</v>
      </c>
      <c r="AA208" s="192">
        <f t="shared" si="110"/>
        <v>2.2092000000000001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111"/>
        <v>0302-19</v>
      </c>
      <c r="AE208" s="80" t="str">
        <f t="shared" si="112"/>
        <v>aws s3 cp s3://rtdc.mdm.uploadarchive.raw/RTDC4015/ "%USERPROFILE%\AppData\Local\Temp\OnboardLogs"\RTDC4015\2017-05-19 --exclude "*" --recursive --include "*20170519*" &amp; "%USERPROFILE%\Documents\GitHub\mrs-test-scripts\Headless Mode &amp; Sideloading\WalkAndUnGZ.bat" "%USERPROFILE%\AppData\Local\Temp\OnboardLogs"\RTDC4015\2017-05-19 &amp; aws s3 cp s3://rtdc.mdm.uploadarchive.raw/RTDC4015/ "%USERPROFILE%\AppData\Local\Temp\OnboardLogs"\RTDC4015\2017-05-20 --exclude "*" --recursive --include "*20170520*" &amp; "%USERPROFILE%\Documents\GitHub\mrs-test-scripts\Headless Mode &amp; Sideloading\WalkAndUnGZ.bat" "%USERPROFILE%\AppData\Local\Temp\OnboardLogs"\RTDC4015\2017-05-20</v>
      </c>
      <c r="AF208" s="77" t="str">
        <f t="shared" si="113"/>
        <v>"C:\Program Files (x86)\AstroGrep\AstroGrep.exe" /e /r /s /spath="%USERPROFILE%\AppData\Local\Temp\OnboardLogs" /stypes="app*4015*20170519*" /stext=" 09:.+((SYSTEM_STATE.+slice.+state.+changed )|(ment ac)|(multiple cpu faults)|(system.+state.+changed )|(\[timeout)|(PRM\|1\|D)|(kpr)|(kdp)|(train st.+moving)|(\|lc)|(penalty))"</v>
      </c>
      <c r="AG208" s="1" t="str">
        <f t="shared" si="114"/>
        <v>Other</v>
      </c>
      <c r="AH208" s="81" t="str">
        <f t="shared" si="74"/>
        <v>"%USERPROFILE%\Documents\GitHub\eaglep3\Utilities\RefineRTDCRunTimes.py" --tripid 302-19 --locoid 4015 --swversion DE.1.0.9.0 --startMP 300:23016 --initTime 2017-05-19T03:17:45 --startdatetime 2017-05-19T03:25:01 --delay 7 --endMP 204:924 --enddatetime 2017-05-19T03:33:52 --enforcementcount 0 &gt;&gt;C:\Users\stu\Documents\GitHub\eaglep3-reporting\EC\2017-05-19-refined-times.txt</v>
      </c>
      <c r="AI208" s="99" t="str">
        <f t="shared" si="75"/>
        <v>echo {"issue":{"subject":"","project_id":79,"tracker_id":40,"status_id":1,"priority_id":2,"assigned_to_id":23,"start_date":"2017-05-19","description":"","custom_fields":[{"id":1,"name":"Subdivision","value":"Other"},{"id":4,"name":"Milepost","value":"0.0924"},{"id":17,"name":"Train ID","value":"302-19"},{"id":16,"name":"Locomotive ID","value":"4015"},{"id":130,"name":"Impact","value":""},{"id":150,"name":"Time of Event (Mountain Time)","value":"03:33:52"},{"id":151,"name":"Denver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76"/>
        <v>start /low /b %USERPROFILE%\Documents\GitHub\eaglep3\Utilities\DownloadLogsFromS3.py --loco 4015 --day 2017-05-19</v>
      </c>
      <c r="AN208" s="154" t="str">
        <f t="shared" si="77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09:33:52"},{"id":29,"name":"Sharepoint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821</v>
      </c>
      <c r="B209" s="7">
        <v>4024</v>
      </c>
      <c r="C209" s="21" t="s">
        <v>206</v>
      </c>
      <c r="D209" s="21" t="s">
        <v>563</v>
      </c>
      <c r="E209" s="13">
        <v>42874.799004629633</v>
      </c>
      <c r="F209" s="13">
        <v>42874.801006944443</v>
      </c>
      <c r="G209" s="7">
        <v>1</v>
      </c>
      <c r="H209" s="21" t="s">
        <v>944</v>
      </c>
      <c r="I209" s="13">
        <v>42874.806956018518</v>
      </c>
      <c r="J209" s="7">
        <v>0</v>
      </c>
      <c r="K209" s="92" t="str">
        <f t="shared" si="105"/>
        <v>4023/4024</v>
      </c>
      <c r="L209" s="21" t="str">
        <f>VLOOKUP(A209,'Trips&amp;Operators'!$C$1:$G$99999,5,FALSE)</f>
        <v>BRANDNER MELINDA</v>
      </c>
      <c r="M209" s="6">
        <f t="shared" si="106"/>
        <v>5.9490740750334226E-3</v>
      </c>
      <c r="N209" s="7">
        <f t="shared" si="100"/>
        <v>8.5666666680481285</v>
      </c>
      <c r="O209" s="7"/>
      <c r="P209" s="7"/>
      <c r="Q209" s="22"/>
      <c r="R209" s="190"/>
      <c r="S209" s="196">
        <f t="shared" si="101"/>
        <v>1</v>
      </c>
      <c r="T209" s="190" t="str">
        <f t="shared" si="107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108"/>
        <v>https://d0f6bd738d7f1b3e5a7ca70fe4ff75f0.us-east-1.aws.found.io/app/kibana#/discover/Steve-Slow-Train-Analysis-(2080s-and-2083s)?_g=(refreshInterval:(display:Off,pause:!f,section:0,value:0),time:(from:'2017-05-19T18:10:34-0600',mode:absolute,to:'2017-05-19T20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9" s="192" t="str">
        <f t="shared" si="109"/>
        <v>Y</v>
      </c>
      <c r="X209" s="192">
        <f t="shared" si="104"/>
        <v>3</v>
      </c>
      <c r="Y209" s="192">
        <f t="shared" si="103"/>
        <v>4.3999999999999997E-2</v>
      </c>
      <c r="Z209" s="192">
        <f t="shared" si="102"/>
        <v>2.3018999999999998</v>
      </c>
      <c r="AA209" s="192">
        <f t="shared" si="110"/>
        <v>2.2578999999999998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111"/>
        <v>0305-19</v>
      </c>
      <c r="AE209" s="80" t="str">
        <f t="shared" si="112"/>
        <v>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 &amp; aws s3 cp s3://rtdc.mdm.uploadarchive.raw/RTDC4024/ "%USERPROFILE%\AppData\Local\Temp\OnboardLogs"\RTDC4024\2017-05-20 --exclude "*" --recursive --include "*20170520*" &amp; "%USERPROFILE%\Documents\GitHub\mrs-test-scripts\Headless Mode &amp; Sideloading\WalkAndUnGZ.bat" "%USERPROFILE%\AppData\Local\Temp\OnboardLogs"\RTDC4024\2017-05-20</v>
      </c>
      <c r="AF209" s="77" t="str">
        <f t="shared" si="113"/>
        <v>"C:\Program Files (x86)\AstroGrep\AstroGrep.exe" /e /r /s /spath="%USERPROFILE%\AppData\Local\Temp\OnboardLogs" /stypes="app*4024*20170520*" /stext=" 01:.+((SYSTEM_STATE.+slice.+state.+changed )|(ment ac)|(multiple cpu faults)|(system.+state.+changed )|(\[timeout)|(PRM\|1\|D)|(kpr)|(kdp)|(train st.+moving)|(\|lc)|(penalty))"</v>
      </c>
      <c r="AG209" s="1" t="str">
        <f t="shared" si="114"/>
        <v>Other</v>
      </c>
      <c r="AH209" s="81" t="str">
        <f t="shared" ref="AH209:AH246" si="115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305-19 --locoid 4024 --swversion DE.1.0.9.0 --startMP 204:440 --initTime 2017-05-19T19:10:34 --startdatetime 2017-05-19T19:13:27 --delay 1 --endMP 300:23019 --enddatetime 2017-05-19T19:22:01 --enforcementcount 0 &gt;&gt;C:\Users\stu\Documents\GitHub\eaglep3-reporting\EC\2017-05-19-refined-times.txt</v>
      </c>
      <c r="AI209" s="99" t="str">
        <f t="shared" ref="AI209:AI246" si="116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{"issue":{"subject":"","project_id":79,"tracker_id":40,"status_id":1,"priority_id":2,"assigned_to_id":23,"start_date":"2017-05-19","description":"","custom_fields":[{"id":1,"name":"Subdivision","value":"Other"},{"id":4,"name":"Milepost","value":"2.3019"},{"id":17,"name":"Train ID","value":"305-19"},{"id":16,"name":"Locomotive ID","value":"4024"},{"id":130,"name":"Impact","value":""},{"id":150,"name":"Time of Event (Mountain Time)","value":"19:22:01"},{"id":151,"name":"Denver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ref="AM209:AM246" si="117">"start /low /b "&amp;dls3logs&amp;" --loco "&amp;B209&amp;" --day "&amp;TEXT(F209,"YYYY-MM-DD")</f>
        <v>start /low /b %USERPROFILE%\Documents\GitHub\eaglep3\Utilities\DownloadLogsFromS3.py --loco 4024 --day 2017-05-19</v>
      </c>
      <c r="AN209" s="154" t="str">
        <f t="shared" ref="AN209:AN246" si="118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01:22:01"},{"id":29,"name":"Sharepoint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657</v>
      </c>
      <c r="B210" s="7">
        <v>4017</v>
      </c>
      <c r="C210" s="21" t="s">
        <v>206</v>
      </c>
      <c r="D210" s="21" t="s">
        <v>945</v>
      </c>
      <c r="E210" s="13">
        <v>42874.156493055554</v>
      </c>
      <c r="F210" s="13">
        <v>42874.159375000003</v>
      </c>
      <c r="G210" s="7">
        <v>4</v>
      </c>
      <c r="H210" s="21" t="s">
        <v>197</v>
      </c>
      <c r="I210" s="13">
        <v>42874.167013888888</v>
      </c>
      <c r="J210" s="7">
        <v>0</v>
      </c>
      <c r="K210" s="92" t="str">
        <f t="shared" si="105"/>
        <v>4017/4018</v>
      </c>
      <c r="L210" s="21" t="str">
        <f>VLOOKUP(A210,'Trips&amp;Operators'!$C$1:$G$99999,5,FALSE)</f>
        <v>ROBINSON KADDIBA</v>
      </c>
      <c r="M210" s="6">
        <f t="shared" si="106"/>
        <v>7.6388888846850023E-3</v>
      </c>
      <c r="N210" s="7">
        <f t="shared" si="100"/>
        <v>10.999999993946403</v>
      </c>
      <c r="O210" s="7"/>
      <c r="P210" s="7"/>
      <c r="Q210" s="22"/>
      <c r="R210" s="190"/>
      <c r="S210" s="196">
        <f t="shared" si="101"/>
        <v>1</v>
      </c>
      <c r="T210" s="190" t="str">
        <f t="shared" si="107"/>
        <v>Southbound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108"/>
        <v>https://d0f6bd738d7f1b3e5a7ca70fe4ff75f0.us-east-1.aws.found.io/app/kibana#/discover/Steve-Slow-Train-Analysis-(2080s-and-2083s)?_g=(refreshInterval:(display:Off,pause:!f,section:0,value:0),time:(from:'2017-05-19T02:45:21-0600',mode:absolute,to:'2017-05-19T05:00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0" s="192" t="str">
        <f t="shared" si="109"/>
        <v>Y</v>
      </c>
      <c r="X210" s="192">
        <f t="shared" si="104"/>
        <v>1</v>
      </c>
      <c r="Y210" s="192">
        <f t="shared" si="103"/>
        <v>2.3527</v>
      </c>
      <c r="Z210" s="192">
        <f t="shared" si="102"/>
        <v>1.52E-2</v>
      </c>
      <c r="AA210" s="192">
        <f t="shared" si="110"/>
        <v>2.3374999999999999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111"/>
        <v>0306-19</v>
      </c>
      <c r="AE210" s="80" t="str">
        <f t="shared" si="112"/>
        <v>aws s3 cp s3://rtdc.mdm.uploadarchive.raw/RTDC4017/ "%USERPROFILE%\AppData\Local\Temp\OnboardLogs"\RTDC4017\2017-05-19 --exclude "*" --recursive --include "*20170519*" &amp; "%USERPROFILE%\Documents\GitHub\mrs-test-scripts\Headless Mode &amp; Sideloading\WalkAndUnGZ.bat" "%USERPROFILE%\AppData\Local\Temp\OnboardLogs"\RTDC4017\2017-05-19 &amp; 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</v>
      </c>
      <c r="AF210" s="77" t="str">
        <f t="shared" si="113"/>
        <v>"C:\Program Files (x86)\AstroGrep\AstroGrep.exe" /e /r /s /spath="%USERPROFILE%\AppData\Local\Temp\OnboardLogs" /stypes="app*4017*20170519*" /stext=" 10:.+((SYSTEM_STATE.+slice.+state.+changed )|(ment ac)|(multiple cpu faults)|(system.+state.+changed )|(\[timeout)|(PRM\|1\|D)|(kpr)|(kdp)|(train st.+moving)|(\|lc)|(penalty))"</v>
      </c>
      <c r="AG210" s="1" t="str">
        <f t="shared" si="114"/>
        <v>Other</v>
      </c>
      <c r="AH210" s="81" t="str">
        <f t="shared" si="115"/>
        <v>"%USERPROFILE%\Documents\GitHub\eaglep3\Utilities\RefineRTDCRunTimes.py" --tripid 306-19 --locoid 4017 --swversion DE.1.0.9.0 --startMP 300:23527 --initTime 2017-05-19T03:45:21 --startdatetime 2017-05-19T03:49:30 --delay 4 --endMP 204:152 --enddatetime 2017-05-19T04:00:30 --enforcementcount 0 &gt;&gt;C:\Users\stu\Documents\GitHub\eaglep3-reporting\EC\2017-05-19-refined-times.txt</v>
      </c>
      <c r="AI210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{"issue":{"subject":"","project_id":79,"tracker_id":40,"status_id":1,"priority_id":2,"assigned_to_id":23,"start_date":"2017-05-19","description":"","custom_fields":[{"id":1,"name":"Subdivision","value":"Other"},{"id":4,"name":"Milepost","value":"0.0152"},{"id":17,"name":"Train ID","value":"306-19"},{"id":16,"name":"Locomotive ID","value":"4017"},{"id":130,"name":"Impact","value":""},{"id":150,"name":"Time of Event (Mountain Time)","value":"04:00:30"},{"id":151,"name":"Denver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17"/>
        <v>start /low /b %USERPROFILE%\Documents\GitHub\eaglep3\Utilities\DownloadLogsFromS3.py --loco 4017 --day 2017-05-19</v>
      </c>
      <c r="AN210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10:00:30"},{"id":29,"name":"Sharepoint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826</v>
      </c>
      <c r="B211" s="7">
        <v>4012</v>
      </c>
      <c r="C211" s="21" t="s">
        <v>206</v>
      </c>
      <c r="D211" s="21" t="s">
        <v>946</v>
      </c>
      <c r="E211" s="13">
        <v>42874.818506944444</v>
      </c>
      <c r="F211" s="13">
        <v>42874.819780092592</v>
      </c>
      <c r="G211" s="7">
        <v>1</v>
      </c>
      <c r="H211" s="21" t="s">
        <v>359</v>
      </c>
      <c r="I211" s="13">
        <v>42874.828912037039</v>
      </c>
      <c r="J211" s="7">
        <v>0</v>
      </c>
      <c r="K211" s="92" t="str">
        <f t="shared" si="105"/>
        <v>4011/4012</v>
      </c>
      <c r="L211" s="21" t="str">
        <f>VLOOKUP(A211,'Trips&amp;Operators'!$C$1:$G$99999,5,FALSE)</f>
        <v>MOSES BRADLEY</v>
      </c>
      <c r="M211" s="6">
        <f t="shared" si="106"/>
        <v>9.1319444472901523E-3</v>
      </c>
      <c r="N211" s="7">
        <f t="shared" si="100"/>
        <v>13.150000004097819</v>
      </c>
      <c r="O211" s="7"/>
      <c r="P211" s="7"/>
      <c r="Q211" s="22"/>
      <c r="R211" s="190"/>
      <c r="S211" s="196">
        <f t="shared" si="101"/>
        <v>1</v>
      </c>
      <c r="T211" s="190" t="str">
        <f t="shared" si="107"/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108"/>
        <v>https://d0f6bd738d7f1b3e5a7ca70fe4ff75f0.us-east-1.aws.found.io/app/kibana#/discover/Steve-Slow-Train-Analysis-(2080s-and-2083s)?_g=(refreshInterval:(display:Off,pause:!f,section:0,value:0),time:(from:'2017-05-19T18:38:39-0600',mode:absolute,to:'2017-05-19T20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1" s="192" t="str">
        <f t="shared" si="109"/>
        <v>Y</v>
      </c>
      <c r="X211" s="192">
        <f t="shared" si="104"/>
        <v>1</v>
      </c>
      <c r="Y211" s="192">
        <f t="shared" si="103"/>
        <v>4.7500000000000001E-2</v>
      </c>
      <c r="Z211" s="192">
        <f t="shared" si="102"/>
        <v>2.3346</v>
      </c>
      <c r="AA211" s="192">
        <f t="shared" si="110"/>
        <v>2.2871000000000001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111"/>
        <v>0307-19</v>
      </c>
      <c r="AE211" s="80" t="str">
        <f t="shared" si="112"/>
        <v>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 &amp; 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</v>
      </c>
      <c r="AF211" s="77" t="str">
        <f t="shared" si="113"/>
        <v>"C:\Program Files (x86)\AstroGrep\AstroGrep.exe" /e /r /s /spath="%USERPROFILE%\AppData\Local\Temp\OnboardLogs" /stypes="app*4012*20170520*" /stext=" 01:.+((SYSTEM_STATE.+slice.+state.+changed )|(ment ac)|(multiple cpu faults)|(system.+state.+changed )|(\[timeout)|(PRM\|1\|D)|(kpr)|(kdp)|(train st.+moving)|(\|lc)|(penalty))"</v>
      </c>
      <c r="AG211" s="1" t="str">
        <f t="shared" si="114"/>
        <v>Other</v>
      </c>
      <c r="AH211" s="81" t="str">
        <f t="shared" si="115"/>
        <v>"%USERPROFILE%\Documents\GitHub\eaglep3\Utilities\RefineRTDCRunTimes.py" --tripid 307-19 --locoid 4012 --swversion DE.1.0.9.0 --startMP 204:475 --initTime 2017-05-19T19:38:39 --startdatetime 2017-05-19T19:40:29 --delay 1 --endMP 300:23346 --enddatetime 2017-05-19T19:53:38 --enforcementcount 0 &gt;&gt;C:\Users\stu\Documents\GitHub\eaglep3-reporting\EC\2017-05-19-refined-times.txt</v>
      </c>
      <c r="AI211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{"issue":{"subject":"","project_id":79,"tracker_id":40,"status_id":1,"priority_id":2,"assigned_to_id":23,"start_date":"2017-05-19","description":"","custom_fields":[{"id":1,"name":"Subdivision","value":"Other"},{"id":4,"name":"Milepost","value":"2.3346"},{"id":17,"name":"Train ID","value":"307-19"},{"id":16,"name":"Locomotive ID","value":"4012"},{"id":130,"name":"Impact","value":""},{"id":150,"name":"Time of Event (Mountain Time)","value":"19:53:38"},{"id":151,"name":"Denver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17"/>
        <v>start /low /b %USERPROFILE%\Documents\GitHub\eaglep3\Utilities\DownloadLogsFromS3.py --loco 4012 --day 2017-05-19</v>
      </c>
      <c r="AN211" s="154" t="str">
        <f t="shared" si="11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01:53:38"},{"id":29,"name":"Sharepoint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856</v>
      </c>
      <c r="B212" s="7">
        <v>4040</v>
      </c>
      <c r="C212" s="21" t="s">
        <v>206</v>
      </c>
      <c r="D212" s="21" t="s">
        <v>372</v>
      </c>
      <c r="E212" s="13">
        <v>42875.047638888886</v>
      </c>
      <c r="F212" s="13">
        <v>42875.049328703702</v>
      </c>
      <c r="G212" s="7">
        <v>1</v>
      </c>
      <c r="H212" s="21" t="s">
        <v>947</v>
      </c>
      <c r="I212" s="13">
        <v>42875.055844907409</v>
      </c>
      <c r="J212" s="7">
        <v>0</v>
      </c>
      <c r="K212" s="92" t="str">
        <f t="shared" si="105"/>
        <v>4039/4040</v>
      </c>
      <c r="L212" s="21" t="str">
        <f>VLOOKUP(A212,'Trips&amp;Operators'!$C$1:$G$99999,5,FALSE)</f>
        <v>SAFIEF AEIMEN</v>
      </c>
      <c r="M212" s="6">
        <f t="shared" si="106"/>
        <v>6.5162037062691525E-3</v>
      </c>
      <c r="N212" s="7">
        <f t="shared" si="100"/>
        <v>9.3833333370275795</v>
      </c>
      <c r="O212" s="7"/>
      <c r="P212" s="7"/>
      <c r="Q212" s="22"/>
      <c r="R212" s="190"/>
      <c r="S212" s="196">
        <f t="shared" si="101"/>
        <v>1</v>
      </c>
      <c r="T212" s="190" t="str">
        <f t="shared" si="107"/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108"/>
        <v>https://d0f6bd738d7f1b3e5a7ca70fe4ff75f0.us-east-1.aws.found.io/app/kibana#/discover/Steve-Slow-Train-Analysis-(2080s-and-2083s)?_g=(refreshInterval:(display:Off,pause:!f,section:0,value:0),time:(from:'2017-05-20T00:08:36-0600',mode:absolute,to:'2017-05-20T02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2" s="192" t="str">
        <f t="shared" si="109"/>
        <v>Y</v>
      </c>
      <c r="X212" s="192">
        <f t="shared" si="104"/>
        <v>2</v>
      </c>
      <c r="Y212" s="192">
        <f t="shared" si="103"/>
        <v>4.5499999999999999E-2</v>
      </c>
      <c r="Z212" s="192">
        <f t="shared" si="102"/>
        <v>2.3298999999999999</v>
      </c>
      <c r="AA212" s="192">
        <f t="shared" si="110"/>
        <v>2.2843999999999998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111"/>
        <v>0309-19</v>
      </c>
      <c r="AE212" s="80" t="str">
        <f t="shared" si="112"/>
        <v>aws s3 cp s3://rtdc.mdm.uploadarchive.raw/RTDC4040/ "%USERPROFILE%\AppData\Local\Temp\OnboardLogs"\RTDC4040\2017-05-20 --exclude "*" --recursive --include "*20170520*" &amp; "%USERPROFILE%\Documents\GitHub\mrs-test-scripts\Headless Mode &amp; Sideloading\WalkAndUnGZ.bat" "%USERPROFILE%\AppData\Local\Temp\OnboardLogs"\RTDC4040\2017-05-20 &amp; 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</v>
      </c>
      <c r="AF212" s="77" t="str">
        <f t="shared" si="113"/>
        <v>"C:\Program Files (x86)\AstroGrep\AstroGrep.exe" /e /r /s /spath="%USERPROFILE%\AppData\Local\Temp\OnboardLogs" /stypes="app*4040*20170520*" /stext=" 07:.+((SYSTEM_STATE.+slice.+state.+changed )|(ment ac)|(multiple cpu faults)|(system.+state.+changed )|(\[timeout)|(PRM\|1\|D)|(kpr)|(kdp)|(train st.+moving)|(\|lc)|(penalty))"</v>
      </c>
      <c r="AG212" s="1" t="str">
        <f t="shared" si="114"/>
        <v>Other</v>
      </c>
      <c r="AH212" s="81" t="str">
        <f t="shared" si="115"/>
        <v>"%USERPROFILE%\Documents\GitHub\eaglep3\Utilities\RefineRTDCRunTimes.py" --tripid 309-19 --locoid 4040 --swversion DE.1.0.9.0 --startMP 204:455 --initTime 2017-05-20T01:08:36 --startdatetime 2017-05-20T01:11:02 --delay 1 --endMP 300:23299 --enddatetime 2017-05-20T01:20:25 --enforcementcount 0 &gt;&gt;C:\Users\stu\Documents\GitHub\eaglep3-reporting\EC\2017-05-19-refined-times.txt</v>
      </c>
      <c r="AI212" s="99" t="str">
        <f t="shared" si="116"/>
        <v>echo {"issue":{"subject":"","project_id":79,"tracker_id":40,"status_id":1,"priority_id":2,"assigned_to_id":23,"start_date":"2017-05-20","description":"","custom_fields":[{"id":1,"name":"Subdivision","value":"Other"},{"id":4,"name":"Milepost","value":"2.3299"},{"id":17,"name":"Train ID","value":"309-19"},{"id":16,"name":"Locomotive ID","value":"4040"},{"id":130,"name":"Impact","value":""},{"id":150,"name":"Time of Event (Mountain Time)","value":"01:20:25"},{"id":151,"name":"Denver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17"/>
        <v>start /low /b %USERPROFILE%\Documents\GitHub\eaglep3\Utilities\DownloadLogsFromS3.py --loco 4040 --day 2017-05-20</v>
      </c>
      <c r="AN212" s="154" t="str">
        <f t="shared" si="11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07:20:25"},{"id":29,"name":"Sharepoint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662</v>
      </c>
      <c r="B213" s="7">
        <v>4005</v>
      </c>
      <c r="C213" s="21" t="s">
        <v>206</v>
      </c>
      <c r="D213" s="21" t="s">
        <v>948</v>
      </c>
      <c r="E213" s="13">
        <v>42874.185706018521</v>
      </c>
      <c r="F213" s="13">
        <v>42874.187893518516</v>
      </c>
      <c r="G213" s="7">
        <v>3</v>
      </c>
      <c r="H213" s="21" t="s">
        <v>367</v>
      </c>
      <c r="I213" s="13">
        <v>42874.192939814813</v>
      </c>
      <c r="J213" s="7">
        <v>0</v>
      </c>
      <c r="K213" s="92" t="str">
        <f t="shared" si="105"/>
        <v>4005/4006</v>
      </c>
      <c r="L213" s="21" t="str">
        <f>VLOOKUP(A213,'Trips&amp;Operators'!$C$1:$G$99999,5,FALSE)</f>
        <v>LOZA FIDEL</v>
      </c>
      <c r="M213" s="6">
        <f t="shared" si="106"/>
        <v>5.0462962972233072E-3</v>
      </c>
      <c r="N213" s="7">
        <f t="shared" si="100"/>
        <v>7.2666666680015624</v>
      </c>
      <c r="O213" s="7"/>
      <c r="P213" s="7"/>
      <c r="Q213" s="22"/>
      <c r="R213" s="190"/>
      <c r="S213" s="196">
        <f t="shared" si="101"/>
        <v>1</v>
      </c>
      <c r="T213" s="190" t="str">
        <f t="shared" si="107"/>
        <v>Southbound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108"/>
        <v>https://d0f6bd738d7f1b3e5a7ca70fe4ff75f0.us-east-1.aws.found.io/app/kibana#/discover/Steve-Slow-Train-Analysis-(2080s-and-2083s)?_g=(refreshInterval:(display:Off,pause:!f,section:0,value:0),time:(from:'2017-05-19T03:27:25-0600',mode:absolute,to:'2017-05-19T05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3" s="192" t="str">
        <f t="shared" si="109"/>
        <v>Y</v>
      </c>
      <c r="X213" s="192">
        <f t="shared" si="104"/>
        <v>1</v>
      </c>
      <c r="Y213" s="192">
        <f t="shared" si="103"/>
        <v>2.3254000000000001</v>
      </c>
      <c r="Z213" s="192">
        <f t="shared" si="102"/>
        <v>1.41E-2</v>
      </c>
      <c r="AA213" s="192">
        <f t="shared" si="110"/>
        <v>2.3113000000000001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111"/>
        <v>0310-19</v>
      </c>
      <c r="AE213" s="80" t="str">
        <f t="shared" si="112"/>
        <v>aws s3 cp s3://rtdc.mdm.uploadarchive.raw/RTDC4005/ "%USERPROFILE%\AppData\Local\Temp\OnboardLogs"\RTDC4005\2017-05-19 --exclude "*" --recursive --include "*20170519*" &amp; "%USERPROFILE%\Documents\GitHub\mrs-test-scripts\Headless Mode &amp; Sideloading\WalkAndUnGZ.bat" "%USERPROFILE%\AppData\Local\Temp\OnboardLogs"\RTDC4005\2017-05-19 &amp; 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</v>
      </c>
      <c r="AF213" s="77" t="str">
        <f t="shared" si="113"/>
        <v>"C:\Program Files (x86)\AstroGrep\AstroGrep.exe" /e /r /s /spath="%USERPROFILE%\AppData\Local\Temp\OnboardLogs" /stypes="app*4005*20170519*" /stext=" 10:.+((SYSTEM_STATE.+slice.+state.+changed )|(ment ac)|(multiple cpu faults)|(system.+state.+changed )|(\[timeout)|(PRM\|1\|D)|(kpr)|(kdp)|(train st.+moving)|(\|lc)|(penalty))"</v>
      </c>
      <c r="AG213" s="1" t="str">
        <f t="shared" si="114"/>
        <v>Other</v>
      </c>
      <c r="AH213" s="81" t="str">
        <f t="shared" si="115"/>
        <v>"%USERPROFILE%\Documents\GitHub\eaglep3\Utilities\RefineRTDCRunTimes.py" --tripid 310-19 --locoid 4005 --swversion DE.1.0.9.0 --startMP 300:23254 --initTime 2017-05-19T04:27:25 --startdatetime 2017-05-19T04:30:34 --delay 3 --endMP 204:141 --enddatetime 2017-05-19T04:37:50 --enforcementcount 0 &gt;&gt;C:\Users\stu\Documents\GitHub\eaglep3-reporting\EC\2017-05-19-refined-times.txt</v>
      </c>
      <c r="AI213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{"issue":{"subject":"","project_id":79,"tracker_id":40,"status_id":1,"priority_id":2,"assigned_to_id":23,"start_date":"2017-05-19","description":"","custom_fields":[{"id":1,"name":"Subdivision","value":"Other"},{"id":4,"name":"Milepost","value":"0.0141"},{"id":17,"name":"Train ID","value":"310-19"},{"id":16,"name":"Locomotive ID","value":"4005"},{"id":130,"name":"Impact","value":""},{"id":150,"name":"Time of Event (Mountain Time)","value":"04:37:50"},{"id":151,"name":"Denver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17"/>
        <v>start /low /b %USERPROFILE%\Documents\GitHub\eaglep3\Utilities\DownloadLogsFromS3.py --loco 4005 --day 2017-05-19</v>
      </c>
      <c r="AN213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10:37:50"},{"id":29,"name":"Sharepoint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670</v>
      </c>
      <c r="B214" s="7">
        <v>4030</v>
      </c>
      <c r="C214" s="21" t="s">
        <v>206</v>
      </c>
      <c r="D214" s="21" t="s">
        <v>1027</v>
      </c>
      <c r="E214" s="13">
        <v>42874.201863425929</v>
      </c>
      <c r="F214" s="13">
        <v>42874.209699074076</v>
      </c>
      <c r="G214" s="7">
        <v>11</v>
      </c>
      <c r="H214" s="21" t="s">
        <v>1028</v>
      </c>
      <c r="I214" s="13">
        <v>42874.214884259258</v>
      </c>
      <c r="J214" s="7">
        <v>0</v>
      </c>
      <c r="K214" s="92" t="str">
        <f t="shared" si="105"/>
        <v>4029/4030</v>
      </c>
      <c r="L214" s="21" t="str">
        <f>VLOOKUP(A214,'Trips&amp;Operators'!$C$1:$G$99999,5,FALSE)</f>
        <v>GEBRETEKLE DAGNEW</v>
      </c>
      <c r="M214" s="6">
        <f t="shared" si="106"/>
        <v>5.1851851821993478E-3</v>
      </c>
      <c r="N214" s="7">
        <f t="shared" si="100"/>
        <v>7.4666666623670608</v>
      </c>
      <c r="O214" s="7"/>
      <c r="P214" s="7"/>
      <c r="Q214" s="22"/>
      <c r="R214" s="190"/>
      <c r="S214" s="196">
        <f t="shared" si="101"/>
        <v>0</v>
      </c>
      <c r="T214" s="190" t="str">
        <f t="shared" si="107"/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 t="shared" si="108"/>
        <v>https://d0f6bd738d7f1b3e5a7ca70fe4ff75f0.us-east-1.aws.found.io/app/kibana#/discover/Steve-Slow-Train-Analysis-(2080s-and-2083s)?_g=(refreshInterval:(display:Off,pause:!f,section:0,value:0),time:(from:'2017-05-19T03:50:41-0600',mode:absolute,to:'2017-05-19T06:09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4" s="192" t="str">
        <f t="shared" si="109"/>
        <v>Y</v>
      </c>
      <c r="X214" s="192">
        <f t="shared" si="104"/>
        <v>591</v>
      </c>
      <c r="Y214" s="192">
        <f t="shared" si="103"/>
        <v>2.9649999999999999</v>
      </c>
      <c r="Z214" s="192">
        <f t="shared" si="102"/>
        <v>5.8987999999999996</v>
      </c>
      <c r="AA214" s="192">
        <f t="shared" si="110"/>
        <v>2.9337999999999997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111"/>
        <v>0901-19</v>
      </c>
      <c r="AE214" s="80" t="str">
        <f t="shared" si="112"/>
        <v>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 &amp; aws s3 cp s3://rtdc.mdm.uploadarchive.raw/RTDC4030/ "%USERPROFILE%\AppData\Local\Temp\OnboardLogs"\RTDC4030\2017-05-20 --exclude "*" --recursive --include "*20170520*" &amp; "%USERPROFILE%\Documents\GitHub\mrs-test-scripts\Headless Mode &amp; Sideloading\WalkAndUnGZ.bat" "%USERPROFILE%\AppData\Local\Temp\OnboardLogs"\RTDC4030\2017-05-20</v>
      </c>
      <c r="AF214" s="77" t="str">
        <f t="shared" si="113"/>
        <v>"C:\Program Files (x86)\AstroGrep\AstroGrep.exe" /e /r /s /spath="%USERPROFILE%\AppData\Local\Temp\OnboardLogs" /stypes="app*4030*20170519*" /stext=" 11:.+((SYSTEM_STATE.+slice.+state.+changed )|(ment ac)|(multiple cpu faults)|(system.+state.+changed )|(\[timeout)|(PRM\|1\|D)|(kpr)|(kdp)|(train st.+moving)|(\|lc)|(penalty))"</v>
      </c>
      <c r="AG214" s="1" t="str">
        <f t="shared" si="114"/>
        <v>Other</v>
      </c>
      <c r="AH214" s="81" t="str">
        <f t="shared" si="115"/>
        <v>"%USERPROFILE%\Documents\GitHub\eaglep3\Utilities\RefineRTDCRunTimes.py" --tripid 901-19 --locoid 4030 --swversion DE.1.0.9.0 --startMP 300:29650 --initTime 2017-05-19T04:50:41 --startdatetime 2017-05-19T05:01:58 --delay 11 --endMP 300:58988 --enddatetime 2017-05-19T05:09:26 --enforcementcount 0 &gt;&gt;C:\Users\stu\Documents\GitHub\eaglep3-reporting\EC\2017-05-19-refined-times.txt</v>
      </c>
      <c r="AI214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{"issue":{"subject":"","project_id":79,"tracker_id":40,"status_id":1,"priority_id":2,"assigned_to_id":23,"start_date":"2017-05-19","description":"","custom_fields":[{"id":1,"name":"Subdivision","value":"Other"},{"id":4,"name":"Milepost","value":"5.8988"},{"id":17,"name":"Train ID","value":"901-19"},{"id":16,"name":"Locomotive ID","value":"4030"},{"id":130,"name":"Impact","value":""},{"id":150,"name":"Time of Event (Mountain Time)","value":"05:09:26"},{"id":151,"name":"Denver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17"/>
        <v>start /low /b %USERPROFILE%\Documents\GitHub\eaglep3\Utilities\DownloadLogsFromS3.py --loco 4030 --day 2017-05-19</v>
      </c>
      <c r="AN214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11:09:26"},{"id":29,"name":"Sharepoint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607</v>
      </c>
      <c r="B215" s="7">
        <v>4001</v>
      </c>
      <c r="C215" s="21" t="s">
        <v>206</v>
      </c>
      <c r="D215" s="21" t="s">
        <v>1029</v>
      </c>
      <c r="E215" s="13">
        <v>42874.245138888888</v>
      </c>
      <c r="F215" s="13">
        <v>42874.246932870374</v>
      </c>
      <c r="G215" s="7">
        <v>2</v>
      </c>
      <c r="H215" s="21" t="s">
        <v>1030</v>
      </c>
      <c r="I215" s="13">
        <v>42874.252523148149</v>
      </c>
      <c r="J215" s="7">
        <v>0</v>
      </c>
      <c r="K215" s="92" t="str">
        <f t="shared" si="105"/>
        <v>4001/4002</v>
      </c>
      <c r="L215" s="21" t="str">
        <f>VLOOKUP(A215,'Trips&amp;Operators'!$C$1:$G$99999,5,FALSE)</f>
        <v>MACDONALD THOMAS</v>
      </c>
      <c r="M215" s="6">
        <f t="shared" si="106"/>
        <v>5.5902777748997323E-3</v>
      </c>
      <c r="N215" s="7">
        <f t="shared" si="100"/>
        <v>8.0499999958556145</v>
      </c>
      <c r="O215" s="7"/>
      <c r="P215" s="7"/>
      <c r="Q215" s="22"/>
      <c r="R215" s="190"/>
      <c r="S215" s="196">
        <f t="shared" si="101"/>
        <v>1</v>
      </c>
      <c r="T215" s="190" t="str">
        <f t="shared" si="107"/>
        <v>Southbound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108"/>
        <v>https://d0f6bd738d7f1b3e5a7ca70fe4ff75f0.us-east-1.aws.found.io/app/kibana#/discover/Steve-Slow-Train-Analysis-(2080s-and-2083s)?_g=(refreshInterval:(display:Off,pause:!f,section:0,value:0),time:(from:'2017-05-19T04:53:00-0600',mode:absolute,to:'2017-05-19T07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5" s="192" t="str">
        <f t="shared" si="109"/>
        <v>Y</v>
      </c>
      <c r="X215" s="192">
        <f t="shared" si="104"/>
        <v>1</v>
      </c>
      <c r="Y215" s="192">
        <f t="shared" si="103"/>
        <v>2.3618000000000001</v>
      </c>
      <c r="Z215" s="192">
        <f t="shared" si="102"/>
        <v>7.3099999999999998E-2</v>
      </c>
      <c r="AA215" s="192">
        <f t="shared" si="110"/>
        <v>2.2887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111"/>
        <v>0902-19</v>
      </c>
      <c r="AE215" s="80" t="str">
        <f t="shared" si="112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215" s="77" t="str">
        <f t="shared" si="113"/>
        <v>"C:\Program Files (x86)\AstroGrep\AstroGrep.exe" /e /r /s /spath="%USERPROFILE%\AppData\Local\Temp\OnboardLogs" /stypes="app*4001*20170519*" /stext=" 12:.+((SYSTEM_STATE.+slice.+state.+changed )|(ment ac)|(multiple cpu faults)|(system.+state.+changed )|(\[timeout)|(PRM\|1\|D)|(kpr)|(kdp)|(train st.+moving)|(\|lc)|(penalty))"</v>
      </c>
      <c r="AG215" s="1" t="str">
        <f t="shared" si="114"/>
        <v>Other</v>
      </c>
      <c r="AH215" s="81" t="str">
        <f t="shared" si="115"/>
        <v>"%USERPROFILE%\Documents\GitHub\eaglep3\Utilities\RefineRTDCRunTimes.py" --tripid 902-19 --locoid 4001 --swversion DE.1.0.9.0 --startMP 300:23618 --initTime 2017-05-19T05:53:00 --startdatetime 2017-05-19T05:55:35 --delay 2 --endMP 204:731 --enddatetime 2017-05-19T06:03:38 --enforcementcount 0 &gt;&gt;C:\Users\stu\Documents\GitHub\eaglep3-reporting\EC\2017-05-19-refined-times.txt</v>
      </c>
      <c r="AI215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{"issue":{"subject":"","project_id":79,"tracker_id":40,"status_id":1,"priority_id":2,"assigned_to_id":23,"start_date":"2017-05-19","description":"","custom_fields":[{"id":1,"name":"Subdivision","value":"Other"},{"id":4,"name":"Milepost","value":"0.0731"},{"id":17,"name":"Train ID","value":"902-19"},{"id":16,"name":"Locomotive ID","value":"4001"},{"id":130,"name":"Impact","value":""},{"id":150,"name":"Time of Event (Mountain Time)","value":"06:03:38"},{"id":151,"name":"Denver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17"/>
        <v>start /low /b %USERPROFILE%\Documents\GitHub\eaglep3\Utilities\DownloadLogsFromS3.py --loco 4001 --day 2017-05-19</v>
      </c>
      <c r="AN215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12:03:38"},{"id":29,"name":"Sharepoint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706</v>
      </c>
      <c r="B216" s="7">
        <v>4030</v>
      </c>
      <c r="C216" s="21" t="s">
        <v>206</v>
      </c>
      <c r="D216" s="21" t="s">
        <v>1031</v>
      </c>
      <c r="E216" s="13">
        <v>42874.352094907408</v>
      </c>
      <c r="F216" s="13">
        <v>42874.35355324074</v>
      </c>
      <c r="G216" s="7">
        <v>1</v>
      </c>
      <c r="H216" s="21" t="s">
        <v>1032</v>
      </c>
      <c r="I216" s="13">
        <v>42874.360138888886</v>
      </c>
      <c r="J216" s="7">
        <v>0</v>
      </c>
      <c r="K216" s="92" t="str">
        <f t="shared" si="105"/>
        <v>4029/4030</v>
      </c>
      <c r="L216" s="21" t="str">
        <f>VLOOKUP(A216,'Trips&amp;Operators'!$C$1:$G$99999,5,FALSE)</f>
        <v>GEBRETEKLE DAGNEW</v>
      </c>
      <c r="M216" s="6">
        <f t="shared" si="106"/>
        <v>6.5856481451191939E-3</v>
      </c>
      <c r="N216" s="7">
        <f t="shared" si="100"/>
        <v>9.4833333289716393</v>
      </c>
      <c r="O216" s="7"/>
      <c r="P216" s="7"/>
      <c r="Q216" s="22"/>
      <c r="R216" s="190"/>
      <c r="S216" s="196">
        <f t="shared" si="101"/>
        <v>1</v>
      </c>
      <c r="T216" s="190" t="str">
        <f t="shared" si="107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108"/>
        <v>https://d0f6bd738d7f1b3e5a7ca70fe4ff75f0.us-east-1.aws.found.io/app/kibana#/discover/Steve-Slow-Train-Analysis-(2080s-and-2083s)?_g=(refreshInterval:(display:Off,pause:!f,section:0,value:0),time:(from:'2017-05-19T07:27:01-0600',mode:absolute,to:'2017-05-19T09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6" s="192" t="str">
        <f t="shared" si="109"/>
        <v>Y</v>
      </c>
      <c r="X216" s="192">
        <f t="shared" si="104"/>
        <v>1</v>
      </c>
      <c r="Y216" s="192">
        <f t="shared" si="103"/>
        <v>3.8800000000000001E-2</v>
      </c>
      <c r="Z216" s="192">
        <f t="shared" si="102"/>
        <v>2.4281999999999999</v>
      </c>
      <c r="AA216" s="192">
        <f t="shared" si="110"/>
        <v>2.3893999999999997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111"/>
        <v>0903-19</v>
      </c>
      <c r="AE216" s="80" t="str">
        <f t="shared" si="112"/>
        <v>aws s3 cp s3://rtdc.mdm.uploadarchive.raw/RTDC4030/ "%USERPROFILE%\AppData\Local\Temp\OnboardLogs"\RTDC4030\2017-05-19 --exclude "*" --recursive --include "*20170519*" &amp; "%USERPROFILE%\Documents\GitHub\mrs-test-scripts\Headless Mode &amp; Sideloading\WalkAndUnGZ.bat" "%USERPROFILE%\AppData\Local\Temp\OnboardLogs"\RTDC4030\2017-05-19 &amp; aws s3 cp s3://rtdc.mdm.uploadarchive.raw/RTDC4030/ "%USERPROFILE%\AppData\Local\Temp\OnboardLogs"\RTDC4030\2017-05-20 --exclude "*" --recursive --include "*20170520*" &amp; "%USERPROFILE%\Documents\GitHub\mrs-test-scripts\Headless Mode &amp; Sideloading\WalkAndUnGZ.bat" "%USERPROFILE%\AppData\Local\Temp\OnboardLogs"\RTDC4030\2017-05-20</v>
      </c>
      <c r="AF216" s="77" t="str">
        <f t="shared" si="113"/>
        <v>"C:\Program Files (x86)\AstroGrep\AstroGrep.exe" /e /r /s /spath="%USERPROFILE%\AppData\Local\Temp\OnboardLogs" /stypes="app*4030*20170519*" /stext=" 14:.+((SYSTEM_STATE.+slice.+state.+changed )|(ment ac)|(multiple cpu faults)|(system.+state.+changed )|(\[timeout)|(PRM\|1\|D)|(kpr)|(kdp)|(train st.+moving)|(\|lc)|(penalty))"</v>
      </c>
      <c r="AG216" s="1" t="str">
        <f t="shared" si="114"/>
        <v>Other</v>
      </c>
      <c r="AH216" s="81" t="str">
        <f t="shared" si="115"/>
        <v>"%USERPROFILE%\Documents\GitHub\eaglep3\Utilities\RefineRTDCRunTimes.py" --tripid 903-19 --locoid 4030 --swversion DE.1.0.9.0 --startMP 204:388 --initTime 2017-05-19T08:27:01 --startdatetime 2017-05-19T08:29:07 --delay 1 --endMP 300:24282 --enddatetime 2017-05-19T08:38:36 --enforcementcount 0 &gt;&gt;C:\Users\stu\Documents\GitHub\eaglep3-reporting\EC\2017-05-19-refined-times.txt</v>
      </c>
      <c r="AI216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{"issue":{"subject":"","project_id":79,"tracker_id":40,"status_id":1,"priority_id":2,"assigned_to_id":23,"start_date":"2017-05-19","description":"","custom_fields":[{"id":1,"name":"Subdivision","value":"Other"},{"id":4,"name":"Milepost","value":"2.4282"},{"id":17,"name":"Train ID","value":"903-19"},{"id":16,"name":"Locomotive ID","value":"4030"},{"id":130,"name":"Impact","value":""},{"id":150,"name":"Time of Event (Mountain Time)","value":"08:38:36"},{"id":151,"name":"Denver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17"/>
        <v>start /low /b %USERPROFILE%\Documents\GitHub\eaglep3\Utilities\DownloadLogsFromS3.py --loco 4030 --day 2017-05-19</v>
      </c>
      <c r="AN216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770</v>
      </c>
      <c r="B217" s="7">
        <v>4029</v>
      </c>
      <c r="C217" s="21" t="s">
        <v>206</v>
      </c>
      <c r="D217" s="21" t="s">
        <v>1033</v>
      </c>
      <c r="E217" s="13">
        <v>42874.642592592594</v>
      </c>
      <c r="F217" s="13">
        <v>42874.645243055558</v>
      </c>
      <c r="G217" s="7">
        <v>3</v>
      </c>
      <c r="H217" s="21" t="s">
        <v>590</v>
      </c>
      <c r="I217" s="13">
        <v>42874.650740740741</v>
      </c>
      <c r="J217" s="7">
        <v>0</v>
      </c>
      <c r="K217" s="92" t="str">
        <f t="shared" si="105"/>
        <v>4029/4030</v>
      </c>
      <c r="L217" s="21" t="str">
        <f>VLOOKUP(A217,'Trips&amp;Operators'!$C$1:$G$99999,5,FALSE)</f>
        <v>ZEWDU DEREJE</v>
      </c>
      <c r="M217" s="6">
        <f t="shared" si="106"/>
        <v>5.4976851824903861E-3</v>
      </c>
      <c r="N217" s="7">
        <f t="shared" si="100"/>
        <v>7.9166666627861559</v>
      </c>
      <c r="O217" s="7"/>
      <c r="P217" s="7"/>
      <c r="Q217" s="22"/>
      <c r="R217" s="190"/>
      <c r="S217" s="196">
        <f t="shared" si="101"/>
        <v>1</v>
      </c>
      <c r="T217" s="190" t="str">
        <f t="shared" si="107"/>
        <v>Southbound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108"/>
        <v>https://d0f6bd738d7f1b3e5a7ca70fe4ff75f0.us-east-1.aws.found.io/app/kibana#/discover/Steve-Slow-Train-Analysis-(2080s-and-2083s)?_g=(refreshInterval:(display:Off,pause:!f,section:0,value:0),time:(from:'2017-05-19T14:25:20-0600',mode:absolute,to:'2017-05-19T16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7" s="192" t="str">
        <f t="shared" si="109"/>
        <v>Y</v>
      </c>
      <c r="X217" s="192">
        <f t="shared" si="104"/>
        <v>1</v>
      </c>
      <c r="Y217" s="192">
        <f t="shared" si="103"/>
        <v>2.3195999999999999</v>
      </c>
      <c r="Z217" s="192">
        <f t="shared" si="102"/>
        <v>6.9800000000000001E-2</v>
      </c>
      <c r="AA217" s="192">
        <f t="shared" si="110"/>
        <v>2.2498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111"/>
        <v>0904-19</v>
      </c>
      <c r="AE217" s="80" t="str">
        <f t="shared" si="112"/>
        <v>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 &amp; aws s3 cp s3://rtdc.mdm.uploadarchive.raw/RTDC4029/ "%USERPROFILE%\AppData\Local\Temp\OnboardLogs"\RTDC4029\2017-05-20 --exclude "*" --recursive --include "*20170520*" &amp; "%USERPROFILE%\Documents\GitHub\mrs-test-scripts\Headless Mode &amp; Sideloading\WalkAndUnGZ.bat" "%USERPROFILE%\AppData\Local\Temp\OnboardLogs"\RTDC4029\2017-05-20</v>
      </c>
      <c r="AF217" s="77" t="str">
        <f t="shared" si="113"/>
        <v>"C:\Program Files (x86)\AstroGrep\AstroGrep.exe" /e /r /s /spath="%USERPROFILE%\AppData\Local\Temp\OnboardLogs" /stypes="app*4029*20170519*" /stext=" 21:.+((SYSTEM_STATE.+slice.+state.+changed )|(ment ac)|(multiple cpu faults)|(system.+state.+changed )|(\[timeout)|(PRM\|1\|D)|(kpr)|(kdp)|(train st.+moving)|(\|lc)|(penalty))"</v>
      </c>
      <c r="AG217" s="1" t="str">
        <f t="shared" si="114"/>
        <v>Other</v>
      </c>
      <c r="AH217" s="81" t="str">
        <f t="shared" si="115"/>
        <v>"%USERPROFILE%\Documents\GitHub\eaglep3\Utilities\RefineRTDCRunTimes.py" --tripid 904-19 --locoid 4029 --swversion DE.1.0.9.0 --startMP 300:23196 --initTime 2017-05-19T15:25:20 --startdatetime 2017-05-19T15:29:09 --delay 3 --endMP 204:698 --enddatetime 2017-05-19T15:37:04 --enforcementcount 0 &gt;&gt;C:\Users\stu\Documents\GitHub\eaglep3-reporting\EC\2017-05-19-refined-times.txt</v>
      </c>
      <c r="AI217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{"issue":{"subject":"","project_id":79,"tracker_id":40,"status_id":1,"priority_id":2,"assigned_to_id":23,"start_date":"2017-05-19","description":"","custom_fields":[{"id":1,"name":"Subdivision","value":"Other"},{"id":4,"name":"Milepost","value":"0.0698"},{"id":17,"name":"Train ID","value":"904-19"},{"id":16,"name":"Locomotive ID","value":"4029"},{"id":130,"name":"Impact","value":""},{"id":150,"name":"Time of Event (Mountain Time)","value":"15:37:04"},{"id":151,"name":"Denver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17"/>
        <v>start /low /b %USERPROFILE%\Documents\GitHub\eaglep3\Utilities\DownloadLogsFromS3.py --loco 4029 --day 2017-05-19</v>
      </c>
      <c r="AN217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21:37:04"},{"id":29,"name":"Sharepoint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s="20" customFormat="1" x14ac:dyDescent="0.25">
      <c r="A218" s="32" t="s">
        <v>820</v>
      </c>
      <c r="B218" s="7">
        <v>4029</v>
      </c>
      <c r="C218" s="21" t="s">
        <v>206</v>
      </c>
      <c r="D218" s="21" t="s">
        <v>1034</v>
      </c>
      <c r="E218" s="13">
        <v>42874.801921296297</v>
      </c>
      <c r="F218" s="13">
        <v>42874.803368055553</v>
      </c>
      <c r="G218" s="7">
        <v>1</v>
      </c>
      <c r="H218" s="21" t="s">
        <v>1035</v>
      </c>
      <c r="I218" s="13">
        <v>42874.809490740743</v>
      </c>
      <c r="J218" s="7">
        <v>0</v>
      </c>
      <c r="K218" s="92" t="str">
        <f t="shared" si="105"/>
        <v>4029/4030</v>
      </c>
      <c r="L218" s="21" t="str">
        <f>VLOOKUP(A218,'Trips&amp;Operators'!$C$1:$G$99999,5,FALSE)</f>
        <v>ZEWDU DEREJE</v>
      </c>
      <c r="M218" s="6">
        <f t="shared" si="106"/>
        <v>6.1226851903484203E-3</v>
      </c>
      <c r="N218" s="7">
        <f t="shared" si="100"/>
        <v>8.8166666741017252</v>
      </c>
      <c r="O218" s="7"/>
      <c r="P218" s="7"/>
      <c r="Q218" s="22"/>
      <c r="R218" s="190"/>
      <c r="S218" s="196">
        <f t="shared" si="101"/>
        <v>0</v>
      </c>
      <c r="T218" s="190" t="str">
        <f t="shared" si="107"/>
        <v>Southbound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 t="shared" si="108"/>
        <v>https://d0f6bd738d7f1b3e5a7ca70fe4ff75f0.us-east-1.aws.found.io/app/kibana#/discover/Steve-Slow-Train-Analysis-(2080s-and-2083s)?_g=(refreshInterval:(display:Off,pause:!f,section:0,value:0),time:(from:'2017-05-19T18:14:46-0600',mode:absolute,to:'2017-05-19T20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8" s="192" t="str">
        <f t="shared" si="109"/>
        <v>Y</v>
      </c>
      <c r="X218" s="192">
        <f t="shared" si="104"/>
        <v>2</v>
      </c>
      <c r="Y218" s="192">
        <f t="shared" si="103"/>
        <v>5.7808000000000002</v>
      </c>
      <c r="Z218" s="192">
        <f t="shared" si="102"/>
        <v>2.875</v>
      </c>
      <c r="AA218" s="192">
        <f t="shared" si="110"/>
        <v>2.9058000000000002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111"/>
        <v>0906-19</v>
      </c>
      <c r="AE218" s="80" t="str">
        <f t="shared" si="112"/>
        <v>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 &amp; aws s3 cp s3://rtdc.mdm.uploadarchive.raw/RTDC4029/ "%USERPROFILE%\AppData\Local\Temp\OnboardLogs"\RTDC4029\2017-05-20 --exclude "*" --recursive --include "*20170520*" &amp; "%USERPROFILE%\Documents\GitHub\mrs-test-scripts\Headless Mode &amp; Sideloading\WalkAndUnGZ.bat" "%USERPROFILE%\AppData\Local\Temp\OnboardLogs"\RTDC4029\2017-05-20</v>
      </c>
      <c r="AF218" s="77" t="str">
        <f t="shared" si="113"/>
        <v>"C:\Program Files (x86)\AstroGrep\AstroGrep.exe" /e /r /s /spath="%USERPROFILE%\AppData\Local\Temp\OnboardLogs" /stypes="app*4029*20170520*" /stext=" 01:.+((SYSTEM_STATE.+slice.+state.+changed )|(ment ac)|(multiple cpu faults)|(system.+state.+changed )|(\[timeout)|(PRM\|1\|D)|(kpr)|(kdp)|(train st.+moving)|(\|lc)|(penalty))"</v>
      </c>
      <c r="AG218" s="1" t="str">
        <f t="shared" si="114"/>
        <v>Other</v>
      </c>
      <c r="AH218" s="81" t="str">
        <f t="shared" si="115"/>
        <v>"%USERPROFILE%\Documents\GitHub\eaglep3\Utilities\RefineRTDCRunTimes.py" --tripid 906-19 --locoid 4029 --swversion DE.1.0.9.0 --startMP 300:57808 --initTime 2017-05-19T19:14:46 --startdatetime 2017-05-19T19:16:51 --delay 1 --endMP 300:28750 --enddatetime 2017-05-19T19:25:40 --enforcementcount 0 &gt;&gt;C:\Users\stu\Documents\GitHub\eaglep3-reporting\EC\2017-05-19-refined-times.txt</v>
      </c>
      <c r="AI218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{"issue":{"subject":"","project_id":79,"tracker_id":40,"status_id":1,"priority_id":2,"assigned_to_id":23,"start_date":"2017-05-19","description":"","custom_fields":[{"id":1,"name":"Subdivision","value":"Other"},{"id":4,"name":"Milepost","value":"2.875"},{"id":17,"name":"Train ID","value":"906-19"},{"id":16,"name":"Locomotive ID","value":"4029"},{"id":130,"name":"Impact","value":""},{"id":150,"name":"Time of Event (Mountain Time)","value":"19:25:40"},{"id":151,"name":"Denver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5" t="str">
        <f t="shared" si="117"/>
        <v>start /low /b %USERPROFILE%\Documents\GitHub\eaglep3\Utilities\DownloadLogsFromS3.py --loco 4029 --day 2017-05-19</v>
      </c>
      <c r="AN218" s="154" t="str">
        <f t="shared" si="11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01:25:40"},{"id":29,"name":"Sharepoint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820</v>
      </c>
      <c r="B219" s="7">
        <v>4029</v>
      </c>
      <c r="C219" s="21" t="s">
        <v>206</v>
      </c>
      <c r="D219" s="21" t="s">
        <v>988</v>
      </c>
      <c r="E219" s="13">
        <v>42874.796585648146</v>
      </c>
      <c r="F219" s="13">
        <v>42874.803368055553</v>
      </c>
      <c r="G219" s="7">
        <v>1</v>
      </c>
      <c r="H219" s="21" t="s">
        <v>1036</v>
      </c>
      <c r="I219" s="13">
        <v>42874.809490740743</v>
      </c>
      <c r="J219" s="7">
        <v>0</v>
      </c>
      <c r="K219" s="92" t="str">
        <f t="shared" si="105"/>
        <v>4029/4030</v>
      </c>
      <c r="L219" s="21" t="str">
        <f>VLOOKUP(A219,'Trips&amp;Operators'!$C$1:$G$99999,5,FALSE)</f>
        <v>ZEWDU DEREJE</v>
      </c>
      <c r="M219" s="6">
        <f t="shared" si="106"/>
        <v>6.1226851903484203E-3</v>
      </c>
      <c r="N219" s="7">
        <f t="shared" si="100"/>
        <v>8.8166666741017252</v>
      </c>
      <c r="O219" s="7"/>
      <c r="P219" s="7"/>
      <c r="Q219" s="22"/>
      <c r="R219" s="190"/>
      <c r="S219" s="196">
        <f t="shared" si="101"/>
        <v>0</v>
      </c>
      <c r="T219" s="190" t="str">
        <f t="shared" si="107"/>
        <v>Southbound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108"/>
        <v>https://d0f6bd738d7f1b3e5a7ca70fe4ff75f0.us-east-1.aws.found.io/app/kibana#/discover/Steve-Slow-Train-Analysis-(2080s-and-2083s)?_g=(refreshInterval:(display:Off,pause:!f,section:0,value:0),time:(from:'2017-05-19T18:07:05-0600',mode:absolute,to:'2017-05-19T20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9" s="192" t="str">
        <f t="shared" si="109"/>
        <v>Y</v>
      </c>
      <c r="X219" s="192">
        <f t="shared" si="104"/>
        <v>0</v>
      </c>
      <c r="Y219" s="192">
        <f t="shared" si="103"/>
        <v>5.8640999999999996</v>
      </c>
      <c r="Z219" s="192">
        <f t="shared" si="102"/>
        <v>5.7823000000000002</v>
      </c>
      <c r="AA219" s="192">
        <f t="shared" si="110"/>
        <v>8.1799999999999429E-2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111"/>
        <v>0906-19</v>
      </c>
      <c r="AE219" s="80" t="str">
        <f t="shared" si="112"/>
        <v>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 &amp; aws s3 cp s3://rtdc.mdm.uploadarchive.raw/RTDC4029/ "%USERPROFILE%\AppData\Local\Temp\OnboardLogs"\RTDC4029\2017-05-20 --exclude "*" --recursive --include "*20170520*" &amp; "%USERPROFILE%\Documents\GitHub\mrs-test-scripts\Headless Mode &amp; Sideloading\WalkAndUnGZ.bat" "%USERPROFILE%\AppData\Local\Temp\OnboardLogs"\RTDC4029\2017-05-20</v>
      </c>
      <c r="AF219" s="77" t="str">
        <f t="shared" si="113"/>
        <v>"C:\Program Files (x86)\AstroGrep\AstroGrep.exe" /e /r /s /spath="%USERPROFILE%\AppData\Local\Temp\OnboardLogs" /stypes="app*4029*20170520*" /stext=" 01:.+((SYSTEM_STATE.+slice.+state.+changed )|(ment ac)|(multiple cpu faults)|(system.+state.+changed )|(\[timeout)|(PRM\|1\|D)|(kpr)|(kdp)|(train st.+moving)|(\|lc)|(penalty))"</v>
      </c>
      <c r="AG219" s="1" t="str">
        <f t="shared" si="114"/>
        <v>Other</v>
      </c>
      <c r="AH219" s="81" t="str">
        <f t="shared" si="115"/>
        <v>"%USERPROFILE%\Documents\GitHub\eaglep3\Utilities\RefineRTDCRunTimes.py" --tripid 906-19 --locoid 4029 --swversion DE.1.0.9.0 --startMP 300:58641 --initTime 2017-05-19T19:07:05 --startdatetime 2017-05-19T19:16:51 --delay 1 --endMP 300:57823 --enddatetime 2017-05-19T19:25:40 --enforcementcount 0 &gt;&gt;C:\Users\stu\Documents\GitHub\eaglep3-reporting\EC\2017-05-19-refined-times.txt</v>
      </c>
      <c r="AI219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{"issue":{"subject":"","project_id":79,"tracker_id":40,"status_id":1,"priority_id":2,"assigned_to_id":23,"start_date":"2017-05-19","description":"","custom_fields":[{"id":1,"name":"Subdivision","value":"Other"},{"id":4,"name":"Milepost","value":"5.7823"},{"id":17,"name":"Train ID","value":"906-19"},{"id":16,"name":"Locomotive ID","value":"4029"},{"id":130,"name":"Impact","value":""},{"id":150,"name":"Time of Event (Mountain Time)","value":"19:25:40"},{"id":151,"name":"Denver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17"/>
        <v>start /low /b %USERPROFILE%\Documents\GitHub\eaglep3\Utilities\DownloadLogsFromS3.py --loco 4029 --day 2017-05-19</v>
      </c>
      <c r="AN219" s="154" t="str">
        <f t="shared" si="11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01:25:40"},{"id":29,"name":"Sharepoint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846</v>
      </c>
      <c r="B220" s="7">
        <v>4001</v>
      </c>
      <c r="C220" s="21" t="s">
        <v>206</v>
      </c>
      <c r="D220" s="21" t="s">
        <v>598</v>
      </c>
      <c r="E220" s="13">
        <v>42874.942384259259</v>
      </c>
      <c r="F220" s="13">
        <v>42874.954965277779</v>
      </c>
      <c r="G220" s="7">
        <v>1</v>
      </c>
      <c r="H220" s="21" t="s">
        <v>1037</v>
      </c>
      <c r="I220" s="13">
        <v>42874.958252314813</v>
      </c>
      <c r="J220" s="7">
        <v>0</v>
      </c>
      <c r="K220" s="92" t="str">
        <f t="shared" si="105"/>
        <v>4001/4002</v>
      </c>
      <c r="L220" s="21" t="str">
        <f>VLOOKUP(A220,'Trips&amp;Operators'!$C$1:$G$99999,5,FALSE)</f>
        <v>ZEWDU DEREJE</v>
      </c>
      <c r="M220" s="6">
        <f t="shared" si="106"/>
        <v>3.2870370341697708E-3</v>
      </c>
      <c r="N220" s="7">
        <f t="shared" si="100"/>
        <v>4.7333333292044699</v>
      </c>
      <c r="O220" s="7"/>
      <c r="P220" s="7"/>
      <c r="Q220" s="22"/>
      <c r="R220" s="190"/>
      <c r="S220" s="196">
        <f t="shared" si="101"/>
        <v>0</v>
      </c>
      <c r="T220" s="190" t="str">
        <f t="shared" si="107"/>
        <v>Southbound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108"/>
        <v>https://d0f6bd738d7f1b3e5a7ca70fe4ff75f0.us-east-1.aws.found.io/app/kibana#/discover/Steve-Slow-Train-Analysis-(2080s-and-2083s)?_g=(refreshInterval:(display:Off,pause:!f,section:0,value:0),time:(from:'2017-05-19T21:37:02-0600',mode:absolute,to:'2017-05-19T23:59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0" s="192" t="str">
        <f t="shared" si="109"/>
        <v>Y</v>
      </c>
      <c r="X220" s="192">
        <f t="shared" si="104"/>
        <v>2</v>
      </c>
      <c r="Y220" s="192">
        <f t="shared" si="103"/>
        <v>5.8651</v>
      </c>
      <c r="Z220" s="192">
        <f t="shared" si="102"/>
        <v>2.1558000000000002</v>
      </c>
      <c r="AA220" s="192">
        <f t="shared" si="110"/>
        <v>3.7092999999999998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111"/>
        <v>0908-19</v>
      </c>
      <c r="AE220" s="80" t="str">
        <f t="shared" si="112"/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AF220" s="77" t="str">
        <f t="shared" si="113"/>
        <v>"C:\Program Files (x86)\AstroGrep\AstroGrep.exe" /e /r /s /spath="%USERPROFILE%\AppData\Local\Temp\OnboardLogs" /stypes="app*4001*20170520*" /stext=" 04:.+((SYSTEM_STATE.+slice.+state.+changed )|(ment ac)|(multiple cpu faults)|(system.+state.+changed )|(\[timeout)|(PRM\|1\|D)|(kpr)|(kdp)|(train st.+moving)|(\|lc)|(penalty))"</v>
      </c>
      <c r="AG220" s="1" t="str">
        <f t="shared" si="114"/>
        <v>Other</v>
      </c>
      <c r="AH220" s="81" t="str">
        <f t="shared" si="115"/>
        <v>"%USERPROFILE%\Documents\GitHub\eaglep3\Utilities\RefineRTDCRunTimes.py" --tripid 908-19 --locoid 4001 --swversion DE.1.0.9.0 --startMP 300:58651 --initTime 2017-05-19T22:37:02 --startdatetime 2017-05-19T22:55:09 --delay 1 --endMP 300:21558 --enddatetime 2017-05-19T22:59:53 --enforcementcount 0 &gt;&gt;C:\Users\stu\Documents\GitHub\eaglep3-reporting\EC\2017-05-19-refined-times.txt</v>
      </c>
      <c r="AI220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{"issue":{"subject":"","project_id":79,"tracker_id":40,"status_id":1,"priority_id":2,"assigned_to_id":23,"start_date":"2017-05-19","description":"","custom_fields":[{"id":1,"name":"Subdivision","value":"Other"},{"id":4,"name":"Milepost","value":"2.1558"},{"id":17,"name":"Train ID","value":"908-19"},{"id":16,"name":"Locomotive ID","value":"4001"},{"id":130,"name":"Impact","value":""},{"id":150,"name":"Time of Event (Mountain Time)","value":"22:59:53"},{"id":151,"name":"Denver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17"/>
        <v>start /low /b %USERPROFILE%\Documents\GitHub\eaglep3\Utilities\DownloadLogsFromS3.py --loco 4001 --day 2017-05-19</v>
      </c>
      <c r="AN220" s="154" t="str">
        <f t="shared" si="11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04:59:53"},{"id":29,"name":"Sharepoint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846</v>
      </c>
      <c r="B221" s="7">
        <v>4002</v>
      </c>
      <c r="C221" s="21" t="s">
        <v>206</v>
      </c>
      <c r="D221" s="21" t="s">
        <v>1038</v>
      </c>
      <c r="E221" s="13">
        <v>42874.952986111108</v>
      </c>
      <c r="F221" s="13">
        <v>42874.954965277779</v>
      </c>
      <c r="G221" s="7">
        <v>1</v>
      </c>
      <c r="H221" s="21" t="s">
        <v>947</v>
      </c>
      <c r="I221" s="13">
        <v>42874.958252314813</v>
      </c>
      <c r="J221" s="7">
        <v>0</v>
      </c>
      <c r="K221" s="92" t="str">
        <f t="shared" si="105"/>
        <v>4001/4002</v>
      </c>
      <c r="L221" s="21" t="str">
        <f>VLOOKUP(A221,'Trips&amp;Operators'!$C$1:$G$99999,5,FALSE)</f>
        <v>ZEWDU DEREJE</v>
      </c>
      <c r="M221" s="6">
        <f t="shared" si="106"/>
        <v>3.2870370341697708E-3</v>
      </c>
      <c r="N221" s="7">
        <f t="shared" si="100"/>
        <v>4.7333333292044699</v>
      </c>
      <c r="O221" s="7"/>
      <c r="P221" s="7"/>
      <c r="Q221" s="22"/>
      <c r="R221" s="190"/>
      <c r="S221" s="196">
        <f t="shared" si="101"/>
        <v>0</v>
      </c>
      <c r="T221" s="190" t="str">
        <f t="shared" si="107"/>
        <v>Southbound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108"/>
        <v>https://d0f6bd738d7f1b3e5a7ca70fe4ff75f0.us-east-1.aws.found.io/app/kibana#/discover/Steve-Slow-Train-Analysis-(2080s-and-2083s)?_g=(refreshInterval:(display:Off,pause:!f,section:0,value:0),time:(from:'2017-05-19T21:52:18-0600',mode:absolute,to:'2017-05-19T23:59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1" s="192" t="str">
        <f t="shared" si="109"/>
        <v>Y</v>
      </c>
      <c r="X221" s="192">
        <f t="shared" si="104"/>
        <v>0</v>
      </c>
      <c r="Y221" s="192">
        <f t="shared" si="103"/>
        <v>2.1878000000000002</v>
      </c>
      <c r="Z221" s="192">
        <f t="shared" si="102"/>
        <v>2.3298999999999999</v>
      </c>
      <c r="AA221" s="192">
        <f t="shared" si="110"/>
        <v>0.14209999999999967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111"/>
        <v>0908-19</v>
      </c>
      <c r="AE221" s="80" t="str">
        <f t="shared" si="112"/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AF221" s="77" t="str">
        <f t="shared" si="113"/>
        <v>"C:\Program Files (x86)\AstroGrep\AstroGrep.exe" /e /r /s /spath="%USERPROFILE%\AppData\Local\Temp\OnboardLogs" /stypes="app*4002*20170520*" /stext=" 04:.+((SYSTEM_STATE.+slice.+state.+changed )|(ment ac)|(multiple cpu faults)|(system.+state.+changed )|(\[timeout)|(PRM\|1\|D)|(kpr)|(kdp)|(train st.+moving)|(\|lc)|(penalty))"</v>
      </c>
      <c r="AG221" s="1" t="str">
        <f t="shared" si="114"/>
        <v>Other</v>
      </c>
      <c r="AH221" s="81" t="str">
        <f t="shared" si="115"/>
        <v>"%USERPROFILE%\Documents\GitHub\eaglep3\Utilities\RefineRTDCRunTimes.py" --tripid 908-19 --locoid 4002 --swversion DE.1.0.9.0 --startMP 300:21878 --initTime 2017-05-19T22:52:18 --startdatetime 2017-05-19T22:55:09 --delay 1 --endMP 300:23299 --enddatetime 2017-05-19T22:59:53 --enforcementcount 0 &gt;&gt;C:\Users\stu\Documents\GitHub\eaglep3-reporting\EC\2017-05-19-refined-times.txt</v>
      </c>
      <c r="AI221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{"issue":{"subject":"","project_id":79,"tracker_id":40,"status_id":1,"priority_id":2,"assigned_to_id":23,"start_date":"2017-05-19","description":"","custom_fields":[{"id":1,"name":"Subdivision","value":"Other"},{"id":4,"name":"Milepost","value":"2.3299"},{"id":17,"name":"Train ID","value":"908-19"},{"id":16,"name":"Locomotive ID","value":"4002"},{"id":130,"name":"Impact","value":""},{"id":150,"name":"Time of Event (Mountain Time)","value":"22:59:53"},{"id":151,"name":"Denver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17"/>
        <v>start /low /b %USERPROFILE%\Documents\GitHub\eaglep3\Utilities\DownloadLogsFromS3.py --loco 4002 --day 2017-05-19</v>
      </c>
      <c r="AN221" s="154" t="str">
        <f t="shared" si="11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04:59:53"},{"id":29,"name":"Sharepoint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710</v>
      </c>
      <c r="B222" s="7">
        <v>4011</v>
      </c>
      <c r="C222" s="21" t="s">
        <v>206</v>
      </c>
      <c r="D222" s="21" t="s">
        <v>949</v>
      </c>
      <c r="E222" s="13">
        <v>42874.372141203705</v>
      </c>
      <c r="F222" s="13">
        <v>42874.373368055552</v>
      </c>
      <c r="G222" s="7">
        <v>1</v>
      </c>
      <c r="H222" s="21" t="s">
        <v>419</v>
      </c>
      <c r="I222" s="13">
        <v>42874.37462962963</v>
      </c>
      <c r="J222" s="7">
        <v>0</v>
      </c>
      <c r="K222" s="92" t="str">
        <f t="shared" si="105"/>
        <v>4011/4012</v>
      </c>
      <c r="L222" s="21" t="str">
        <f>VLOOKUP(A222,'Trips&amp;Operators'!$C$1:$G$99999,5,FALSE)</f>
        <v>BEAM ROSS</v>
      </c>
      <c r="M222" s="6">
        <f t="shared" si="106"/>
        <v>1.2615740779438056E-3</v>
      </c>
      <c r="N222" s="7">
        <f t="shared" si="100"/>
        <v>1.8166666722390801</v>
      </c>
      <c r="O222" s="7"/>
      <c r="P222" s="7"/>
      <c r="Q222" s="22"/>
      <c r="R222" s="190"/>
      <c r="S222" s="196">
        <f t="shared" si="101"/>
        <v>0</v>
      </c>
      <c r="T222" s="190" t="e">
        <f t="shared" si="107"/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108"/>
        <v>https://d0f6bd738d7f1b3e5a7ca70fe4ff75f0.us-east-1.aws.found.io/app/kibana#/discover/Steve-Slow-Train-Analysis-(2080s-and-2083s)?_g=(refreshInterval:(display:Off,pause:!f,section:0,value:0),time:(from:'2017-05-19T07:55:53-0600',mode:absolute,to:'2017-05-19T09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2" s="192" t="str">
        <f t="shared" si="109"/>
        <v>Y</v>
      </c>
      <c r="X222" s="192" t="e">
        <f t="shared" si="104"/>
        <v>#VALUE!</v>
      </c>
      <c r="Y222" s="192">
        <f t="shared" si="103"/>
        <v>0.29930000000000001</v>
      </c>
      <c r="Z222" s="192">
        <f t="shared" si="102"/>
        <v>1.54E-2</v>
      </c>
      <c r="AA222" s="192">
        <f t="shared" si="110"/>
        <v>0.28389999999999999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111"/>
        <v>50-19</v>
      </c>
      <c r="AE222" s="80" t="str">
        <f t="shared" si="112"/>
        <v>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 &amp; 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</v>
      </c>
      <c r="AF222" s="77" t="str">
        <f t="shared" si="113"/>
        <v>"C:\Program Files (x86)\AstroGrep\AstroGrep.exe" /e /r /s /spath="%USERPROFILE%\AppData\Local\Temp\OnboardLogs" /stypes="app*4011*20170519*" /stext=" 14:.+((SYSTEM_STATE.+slice.+state.+changed )|(ment ac)|(multiple cpu faults)|(system.+state.+changed )|(\[timeout)|(PRM\|1\|D)|(kpr)|(kdp)|(train st.+moving)|(\|lc)|(penalty))"</v>
      </c>
      <c r="AG222" s="1" t="str">
        <f t="shared" si="114"/>
        <v>Other</v>
      </c>
      <c r="AH222" s="81" t="str">
        <f t="shared" si="115"/>
        <v>"%USERPROFILE%\Documents\GitHub\eaglep3\Utilities\RefineRTDCRunTimes.py" --tripid 50-19 --locoid 4011 --swversion DE.1.0.9.0 --startMP 204:2993 --initTime 2017-05-19T08:55:53 --startdatetime 2017-05-19T08:57:39 --delay 1 --endMP 204:154 --enddatetime 2017-05-19T08:59:28 --enforcementcount 0 &gt;&gt;C:\Users\stu\Documents\GitHub\eaglep3-reporting\EC\2017-05-19-refined-times.txt</v>
      </c>
      <c r="AI222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{"issue":{"subject":"","project_id":79,"tracker_id":40,"status_id":1,"priority_id":2,"assigned_to_id":23,"start_date":"2017-05-19","description":"","custom_fields":[{"id":1,"name":"Subdivision","value":"Other"},{"id":4,"name":"Milepost","value":"0.0154"},{"id":17,"name":"Train ID","value":"50-19"},{"id":16,"name":"Locomotive ID","value":"4011"},{"id":130,"name":"Impact","value":""},{"id":150,"name":"Time of Event (Mountain Time)","value":"08:59:28"},{"id":151,"name":"Denver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17"/>
        <v>start /low /b %USERPROFILE%\Documents\GitHub\eaglep3\Utilities\DownloadLogsFromS3.py --loco 4011 --day 2017-05-19</v>
      </c>
      <c r="AN222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14:59:28"},{"id":29,"name":"Sharepoint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710</v>
      </c>
      <c r="B223" s="7">
        <v>4012</v>
      </c>
      <c r="C223" s="21" t="s">
        <v>206</v>
      </c>
      <c r="D223" s="21" t="s">
        <v>950</v>
      </c>
      <c r="E223" s="13">
        <v>42874.368900462963</v>
      </c>
      <c r="F223" s="13">
        <v>42874.373368055552</v>
      </c>
      <c r="G223" s="7">
        <v>2</v>
      </c>
      <c r="H223" s="21" t="s">
        <v>951</v>
      </c>
      <c r="I223" s="13">
        <v>42874.37462962963</v>
      </c>
      <c r="J223" s="7">
        <v>0</v>
      </c>
      <c r="K223" s="92" t="str">
        <f t="shared" si="105"/>
        <v>4011/4012</v>
      </c>
      <c r="L223" s="21" t="str">
        <f>VLOOKUP(A223,'Trips&amp;Operators'!$C$1:$G$99999,5,FALSE)</f>
        <v>BEAM ROSS</v>
      </c>
      <c r="M223" s="6">
        <f t="shared" si="106"/>
        <v>1.2615740779438056E-3</v>
      </c>
      <c r="N223" s="7">
        <f t="shared" si="100"/>
        <v>1.8166666722390801</v>
      </c>
      <c r="O223" s="7"/>
      <c r="P223" s="7"/>
      <c r="Q223" s="22"/>
      <c r="R223" s="190"/>
      <c r="S223" s="196">
        <f t="shared" si="101"/>
        <v>0</v>
      </c>
      <c r="T223" s="190" t="e">
        <f t="shared" si="107"/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108"/>
        <v>https://d0f6bd738d7f1b3e5a7ca70fe4ff75f0.us-east-1.aws.found.io/app/kibana#/discover/Steve-Slow-Train-Analysis-(2080s-and-2083s)?_g=(refreshInterval:(display:Off,pause:!f,section:0,value:0),time:(from:'2017-05-19T07:51:13-0600',mode:absolute,to:'2017-05-19T09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3" s="192" t="str">
        <f t="shared" si="109"/>
        <v>Y</v>
      </c>
      <c r="X223" s="192" t="e">
        <f t="shared" si="104"/>
        <v>#VALUE!</v>
      </c>
      <c r="Y223" s="192">
        <f t="shared" si="103"/>
        <v>0.14899999999999999</v>
      </c>
      <c r="Z223" s="192">
        <f t="shared" si="102"/>
        <v>0.33279999999999998</v>
      </c>
      <c r="AA223" s="192">
        <f t="shared" si="110"/>
        <v>0.18379999999999999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111"/>
        <v>50-19</v>
      </c>
      <c r="AE223" s="80" t="str">
        <f t="shared" si="112"/>
        <v>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 &amp; 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</v>
      </c>
      <c r="AF223" s="77" t="str">
        <f t="shared" si="113"/>
        <v>"C:\Program Files (x86)\AstroGrep\AstroGrep.exe" /e /r /s /spath="%USERPROFILE%\AppData\Local\Temp\OnboardLogs" /stypes="app*4012*20170519*" /stext=" 14:.+((SYSTEM_STATE.+slice.+state.+changed )|(ment ac)|(multiple cpu faults)|(system.+state.+changed )|(\[timeout)|(PRM\|1\|D)|(kpr)|(kdp)|(train st.+moving)|(\|lc)|(penalty))"</v>
      </c>
      <c r="AG223" s="1" t="str">
        <f t="shared" si="114"/>
        <v>Other</v>
      </c>
      <c r="AH223" s="81" t="str">
        <f t="shared" si="115"/>
        <v>"%USERPROFILE%\Documents\GitHub\eaglep3\Utilities\RefineRTDCRunTimes.py" --tripid 50-19 --locoid 4012 --swversion DE.1.0.9.0 --startMP 204:1490 --initTime 2017-05-19T08:51:13 --startdatetime 2017-05-19T08:57:39 --delay 2 --endMP 204:3328 --enddatetime 2017-05-19T08:59:28 --enforcementcount 0 &gt;&gt;C:\Users\stu\Documents\GitHub\eaglep3-reporting\EC\2017-05-19-refined-times.txt</v>
      </c>
      <c r="AI223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{"issue":{"subject":"","project_id":79,"tracker_id":40,"status_id":1,"priority_id":2,"assigned_to_id":23,"start_date":"2017-05-19","description":"","custom_fields":[{"id":1,"name":"Subdivision","value":"Other"},{"id":4,"name":"Milepost","value":"0.3328"},{"id":17,"name":"Train ID","value":"50-19"},{"id":16,"name":"Locomotive ID","value":"4012"},{"id":130,"name":"Impact","value":""},{"id":150,"name":"Time of Event (Mountain Time)","value":"08:59:28"},{"id":151,"name":"Denver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17"/>
        <v>start /low /b %USERPROFILE%\Documents\GitHub\eaglep3\Utilities\DownloadLogsFromS3.py --loco 4012 --day 2017-05-19</v>
      </c>
      <c r="AN223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14:59:28"},{"id":29,"name":"Sharepoint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548</v>
      </c>
      <c r="B224" s="7">
        <v>4014</v>
      </c>
      <c r="C224" s="21" t="s">
        <v>206</v>
      </c>
      <c r="D224" s="21" t="s">
        <v>372</v>
      </c>
      <c r="E224" s="13">
        <v>42874.108912037038</v>
      </c>
      <c r="F224" s="13">
        <v>42874.156875000001</v>
      </c>
      <c r="G224" s="7">
        <v>1</v>
      </c>
      <c r="H224" s="21" t="s">
        <v>582</v>
      </c>
      <c r="I224" s="13">
        <v>42874.165868055556</v>
      </c>
      <c r="J224" s="7">
        <v>0</v>
      </c>
      <c r="K224" s="92" t="str">
        <f t="shared" si="105"/>
        <v>4013/4014</v>
      </c>
      <c r="L224" s="21" t="str">
        <f>VLOOKUP(A224,'Trips&amp;Operators'!$C$1:$G$99999,5,FALSE)</f>
        <v>SPECTOR MICHAEL</v>
      </c>
      <c r="M224" s="6">
        <f t="shared" si="106"/>
        <v>8.9930555550381541E-3</v>
      </c>
      <c r="N224" s="7">
        <f t="shared" si="100"/>
        <v>12.949999999254942</v>
      </c>
      <c r="O224" s="7"/>
      <c r="P224" s="7"/>
      <c r="Q224" s="22"/>
      <c r="R224" s="190"/>
      <c r="S224" s="196">
        <f t="shared" si="101"/>
        <v>0</v>
      </c>
      <c r="T224" s="190" t="e">
        <f t="shared" si="107"/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108"/>
        <v>https://d0f6bd738d7f1b3e5a7ca70fe4ff75f0.us-east-1.aws.found.io/app/kibana#/discover/Steve-Slow-Train-Analysis-(2080s-and-2083s)?_g=(refreshInterval:(display:Off,pause:!f,section:0,value:0),time:(from:'2017-05-19T01:36:50-0600',mode:absolute,to:'2017-05-19T04:58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4" s="192" t="str">
        <f t="shared" si="109"/>
        <v>Y</v>
      </c>
      <c r="X224" s="192" t="e">
        <f t="shared" si="104"/>
        <v>#VALUE!</v>
      </c>
      <c r="Y224" s="192">
        <f t="shared" si="103"/>
        <v>4.5499999999999999E-2</v>
      </c>
      <c r="Z224" s="192">
        <f t="shared" si="102"/>
        <v>0.32079999999999997</v>
      </c>
      <c r="AA224" s="192">
        <f t="shared" si="110"/>
        <v>0.27529999999999999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111"/>
        <v>51-19</v>
      </c>
      <c r="AE224" s="80" t="str">
        <f t="shared" si="112"/>
        <v>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 &amp; aws s3 cp s3://rtdc.mdm.uploadarchive.raw/RTDC4014/ "%USERPROFILE%\AppData\Local\Temp\OnboardLogs"\RTDC4014\2017-05-20 --exclude "*" --recursive --include "*20170520*" &amp; "%USERPROFILE%\Documents\GitHub\mrs-test-scripts\Headless Mode &amp; Sideloading\WalkAndUnGZ.bat" "%USERPROFILE%\AppData\Local\Temp\OnboardLogs"\RTDC4014\2017-05-20</v>
      </c>
      <c r="AF224" s="77" t="str">
        <f t="shared" si="113"/>
        <v>"C:\Program Files (x86)\AstroGrep\AstroGrep.exe" /e /r /s /spath="%USERPROFILE%\AppData\Local\Temp\OnboardLogs" /stypes="app*4014*20170519*" /stext=" 09:.+((SYSTEM_STATE.+slice.+state.+changed )|(ment ac)|(multiple cpu faults)|(system.+state.+changed )|(\[timeout)|(PRM\|1\|D)|(kpr)|(kdp)|(train st.+moving)|(\|lc)|(penalty))"</v>
      </c>
      <c r="AG224" s="1" t="str">
        <f t="shared" si="114"/>
        <v>Other</v>
      </c>
      <c r="AH224" s="81" t="str">
        <f t="shared" si="115"/>
        <v>"%USERPROFILE%\Documents\GitHub\eaglep3\Utilities\RefineRTDCRunTimes.py" --tripid 51-19 --locoid 4014 --swversion DE.1.0.9.0 --startMP 204:455 --initTime 2017-05-19T02:36:50 --startdatetime 2017-05-19T03:45:54 --delay 1 --endMP 204:3208 --enddatetime 2017-05-19T03:58:51 --enforcementcount 0 &gt;&gt;C:\Users\stu\Documents\GitHub\eaglep3-reporting\EC\2017-05-19-refined-times.txt</v>
      </c>
      <c r="AI224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{"issue":{"subject":"","project_id":79,"tracker_id":40,"status_id":1,"priority_id":2,"assigned_to_id":23,"start_date":"2017-05-19","description":"","custom_fields":[{"id":1,"name":"Subdivision","value":"Other"},{"id":4,"name":"Milepost","value":"0.3208"},{"id":17,"name":"Train ID","value":"51-19"},{"id":16,"name":"Locomotive ID","value":"4014"},{"id":130,"name":"Impact","value":""},{"id":150,"name":"Time of Event (Mountain Time)","value":"03:58:51"},{"id":151,"name":"Denver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17"/>
        <v>start /low /b %USERPROFILE%\Documents\GitHub\eaglep3\Utilities\DownloadLogsFromS3.py --loco 4014 --day 2017-05-19</v>
      </c>
      <c r="AN224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09:58:51"},{"id":29,"name":"Sharepoint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548</v>
      </c>
      <c r="B225" s="7">
        <v>4014</v>
      </c>
      <c r="C225" s="21" t="s">
        <v>206</v>
      </c>
      <c r="D225" s="21" t="s">
        <v>952</v>
      </c>
      <c r="E225" s="13">
        <v>42874.156087962961</v>
      </c>
      <c r="F225" s="13">
        <v>42874.156875000001</v>
      </c>
      <c r="G225" s="7">
        <v>0</v>
      </c>
      <c r="H225" s="21" t="s">
        <v>359</v>
      </c>
      <c r="I225" s="13">
        <v>42874.165868055556</v>
      </c>
      <c r="J225" s="7">
        <v>0</v>
      </c>
      <c r="K225" s="92" t="str">
        <f t="shared" si="105"/>
        <v>4013/4014</v>
      </c>
      <c r="L225" s="21" t="str">
        <f>VLOOKUP(A225,'Trips&amp;Operators'!$C$1:$G$99999,5,FALSE)</f>
        <v>SPECTOR MICHAEL</v>
      </c>
      <c r="M225" s="6">
        <f t="shared" si="106"/>
        <v>8.9930555550381541E-3</v>
      </c>
      <c r="N225" s="7">
        <f t="shared" si="100"/>
        <v>12.949999999254942</v>
      </c>
      <c r="O225" s="7"/>
      <c r="P225" s="7"/>
      <c r="Q225" s="22"/>
      <c r="R225" s="190"/>
      <c r="S225" s="196">
        <f t="shared" si="101"/>
        <v>0</v>
      </c>
      <c r="T225" s="190" t="e">
        <f t="shared" si="107"/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108"/>
        <v>https://d0f6bd738d7f1b3e5a7ca70fe4ff75f0.us-east-1.aws.found.io/app/kibana#/discover/Steve-Slow-Train-Analysis-(2080s-and-2083s)?_g=(refreshInterval:(display:Off,pause:!f,section:0,value:0),time:(from:'2017-05-19T02:44:46-0600',mode:absolute,to:'2017-05-19T04:58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5" s="192" t="str">
        <f t="shared" si="109"/>
        <v>Y</v>
      </c>
      <c r="X225" s="192" t="e">
        <f t="shared" si="104"/>
        <v>#VALUE!</v>
      </c>
      <c r="Y225" s="192">
        <f t="shared" si="103"/>
        <v>0.72</v>
      </c>
      <c r="Z225" s="192">
        <f t="shared" si="102"/>
        <v>2.3346</v>
      </c>
      <c r="AA225" s="192">
        <f t="shared" si="110"/>
        <v>1.6146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111"/>
        <v>51-19</v>
      </c>
      <c r="AE225" s="80" t="str">
        <f t="shared" si="112"/>
        <v>aws s3 cp s3://rtdc.mdm.uploadarchive.raw/RTDC4014/ "%USERPROFILE%\AppData\Local\Temp\OnboardLogs"\RTDC4014\2017-05-19 --exclude "*" --recursive --include "*20170519*" &amp; "%USERPROFILE%\Documents\GitHub\mrs-test-scripts\Headless Mode &amp; Sideloading\WalkAndUnGZ.bat" "%USERPROFILE%\AppData\Local\Temp\OnboardLogs"\RTDC4014\2017-05-19 &amp; aws s3 cp s3://rtdc.mdm.uploadarchive.raw/RTDC4014/ "%USERPROFILE%\AppData\Local\Temp\OnboardLogs"\RTDC4014\2017-05-20 --exclude "*" --recursive --include "*20170520*" &amp; "%USERPROFILE%\Documents\GitHub\mrs-test-scripts\Headless Mode &amp; Sideloading\WalkAndUnGZ.bat" "%USERPROFILE%\AppData\Local\Temp\OnboardLogs"\RTDC4014\2017-05-20</v>
      </c>
      <c r="AF225" s="77" t="str">
        <f t="shared" si="113"/>
        <v>"C:\Program Files (x86)\AstroGrep\AstroGrep.exe" /e /r /s /spath="%USERPROFILE%\AppData\Local\Temp\OnboardLogs" /stypes="app*4014*20170519*" /stext=" 09:.+((SYSTEM_STATE.+slice.+state.+changed )|(ment ac)|(multiple cpu faults)|(system.+state.+changed )|(\[timeout)|(PRM\|1\|D)|(kpr)|(kdp)|(train st.+moving)|(\|lc)|(penalty))"</v>
      </c>
      <c r="AG225" s="1" t="str">
        <f t="shared" si="114"/>
        <v>Other</v>
      </c>
      <c r="AH225" s="81" t="str">
        <f t="shared" si="115"/>
        <v>"%USERPROFILE%\Documents\GitHub\eaglep3\Utilities\RefineRTDCRunTimes.py" --tripid 51-19 --locoid 4014 --swversion DE.1.0.9.0 --startMP 300:7200 --initTime 2017-05-19T03:44:46 --startdatetime 2017-05-19T03:45:54 --delay 0 --endMP 300:23346 --enddatetime 2017-05-19T03:58:51 --enforcementcount 0 &gt;&gt;C:\Users\stu\Documents\GitHub\eaglep3-reporting\EC\2017-05-19-refined-times.txt</v>
      </c>
      <c r="AI225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{"issue":{"subject":"","project_id":79,"tracker_id":40,"status_id":1,"priority_id":2,"assigned_to_id":23,"start_date":"2017-05-19","description":"","custom_fields":[{"id":1,"name":"Subdivision","value":"Other"},{"id":4,"name":"Milepost","value":"2.3346"},{"id":17,"name":"Train ID","value":"51-19"},{"id":16,"name":"Locomotive ID","value":"4014"},{"id":130,"name":"Impact","value":""},{"id":150,"name":"Time of Event (Mountain Time)","value":"03:58:51"},{"id":151,"name":"Denver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17"/>
        <v>start /low /b %USERPROFILE%\Documents\GitHub\eaglep3\Utilities\DownloadLogsFromS3.py --loco 4014 --day 2017-05-19</v>
      </c>
      <c r="AN225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09:58:51"},{"id":29,"name":"Sharepoint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660</v>
      </c>
      <c r="B226" s="7">
        <v>4031</v>
      </c>
      <c r="C226" s="21" t="s">
        <v>206</v>
      </c>
      <c r="D226" s="21" t="s">
        <v>953</v>
      </c>
      <c r="E226" s="13">
        <v>42874.183217592596</v>
      </c>
      <c r="F226" s="13">
        <v>42874.190567129626</v>
      </c>
      <c r="G226" s="7">
        <v>10</v>
      </c>
      <c r="H226" s="21" t="s">
        <v>361</v>
      </c>
      <c r="I226" s="13">
        <v>42874.197164351855</v>
      </c>
      <c r="J226" s="7">
        <v>0</v>
      </c>
      <c r="K226" s="92" t="str">
        <f t="shared" si="105"/>
        <v>4031/4032</v>
      </c>
      <c r="L226" s="21" t="str">
        <f>VLOOKUP(A226,'Trips&amp;Operators'!$C$1:$G$99999,5,FALSE)</f>
        <v>BONDS REYNALDO</v>
      </c>
      <c r="M226" s="6">
        <f t="shared" si="106"/>
        <v>6.5972222291748039E-3</v>
      </c>
      <c r="N226" s="7">
        <f t="shared" ref="N226:N246" si="119">24*60*SUM($M226:$M226)</f>
        <v>9.5000000100117177</v>
      </c>
      <c r="O226" s="7"/>
      <c r="P226" s="7"/>
      <c r="Q226" s="22"/>
      <c r="R226" s="190"/>
      <c r="S226" s="196">
        <f t="shared" ref="S226:S246" si="120">SUM(U226:U226)/IF(AG226="EC",12,1)</f>
        <v>0</v>
      </c>
      <c r="T226" s="190" t="e">
        <f t="shared" si="107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108"/>
        <v>https://d0f6bd738d7f1b3e5a7ca70fe4ff75f0.us-east-1.aws.found.io/app/kibana#/discover/Steve-Slow-Train-Analysis-(2080s-and-2083s)?_g=(refreshInterval:(display:Off,pause:!f,section:0,value:0),time:(from:'2017-05-19T03:23:50-0600',mode:absolute,to:'2017-05-19T05:43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6" s="192" t="str">
        <f t="shared" si="109"/>
        <v>Y</v>
      </c>
      <c r="X226" s="192" t="e">
        <f t="shared" si="104"/>
        <v>#VALUE!</v>
      </c>
      <c r="Y226" s="192">
        <f t="shared" si="103"/>
        <v>2.3563000000000001</v>
      </c>
      <c r="Z226" s="192">
        <f t="shared" si="102"/>
        <v>1.5599999999999999E-2</v>
      </c>
      <c r="AA226" s="192">
        <f t="shared" si="110"/>
        <v>2.3407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111"/>
        <v>52-19</v>
      </c>
      <c r="AE226" s="80" t="str">
        <f t="shared" si="112"/>
        <v>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 &amp; aws s3 cp s3://rtdc.mdm.uploadarchive.raw/RTDC4031/ "%USERPROFILE%\AppData\Local\Temp\OnboardLogs"\RTDC4031\2017-05-20 --exclude "*" --recursive --include "*20170520*" &amp; "%USERPROFILE%\Documents\GitHub\mrs-test-scripts\Headless Mode &amp; Sideloading\WalkAndUnGZ.bat" "%USERPROFILE%\AppData\Local\Temp\OnboardLogs"\RTDC4031\2017-05-20</v>
      </c>
      <c r="AF226" s="77" t="str">
        <f t="shared" si="113"/>
        <v>"C:\Program Files (x86)\AstroGrep\AstroGrep.exe" /e /r /s /spath="%USERPROFILE%\AppData\Local\Temp\OnboardLogs" /stypes="app*4031*20170519*" /stext=" 10:.+((SYSTEM_STATE.+slice.+state.+changed )|(ment ac)|(multiple cpu faults)|(system.+state.+changed )|(\[timeout)|(PRM\|1\|D)|(kpr)|(kdp)|(train st.+moving)|(\|lc)|(penalty))"</v>
      </c>
      <c r="AG226" s="1" t="str">
        <f t="shared" si="114"/>
        <v>Other</v>
      </c>
      <c r="AH226" s="81" t="str">
        <f t="shared" si="115"/>
        <v>"%USERPROFILE%\Documents\GitHub\eaglep3\Utilities\RefineRTDCRunTimes.py" --tripid 52-19 --locoid 4031 --swversion DE.1.0.9.0 --startMP 300:23563 --initTime 2017-05-19T04:23:50 --startdatetime 2017-05-19T04:34:25 --delay 10 --endMP 204:156 --enddatetime 2017-05-19T04:43:55 --enforcementcount 0 &gt;&gt;C:\Users\stu\Documents\GitHub\eaglep3-reporting\EC\2017-05-19-refined-times.txt</v>
      </c>
      <c r="AI226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{"issue":{"subject":"","project_id":79,"tracker_id":40,"status_id":1,"priority_id":2,"assigned_to_id":23,"start_date":"2017-05-19","description":"","custom_fields":[{"id":1,"name":"Subdivision","value":"Other"},{"id":4,"name":"Milepost","value":"0.0156"},{"id":17,"name":"Train ID","value":"52-19"},{"id":16,"name":"Locomotive ID","value":"4031"},{"id":130,"name":"Impact","value":""},{"id":150,"name":"Time of Event (Mountain Time)","value":"04:43:55"},{"id":151,"name":"Denver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17"/>
        <v>start /low /b %USERPROFILE%\Documents\GitHub\eaglep3\Utilities\DownloadLogsFromS3.py --loco 4031 --day 2017-05-19</v>
      </c>
      <c r="AN226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10:43:55"},{"id":29,"name":"Sharepoint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714</v>
      </c>
      <c r="B227" s="7">
        <v>4015</v>
      </c>
      <c r="C227" s="21" t="s">
        <v>206</v>
      </c>
      <c r="D227" s="21" t="s">
        <v>954</v>
      </c>
      <c r="E227" s="13">
        <v>42874.392870370371</v>
      </c>
      <c r="F227" s="13">
        <v>42874.394062500003</v>
      </c>
      <c r="G227" s="7">
        <v>1</v>
      </c>
      <c r="H227" s="21" t="s">
        <v>365</v>
      </c>
      <c r="I227" s="13">
        <v>42874.39539351852</v>
      </c>
      <c r="J227" s="7">
        <v>0</v>
      </c>
      <c r="K227" s="92" t="str">
        <f t="shared" si="105"/>
        <v>4015/4016</v>
      </c>
      <c r="L227" s="21" t="str">
        <f>VLOOKUP(A227,'Trips&amp;Operators'!$C$1:$G$99999,5,FALSE)</f>
        <v>COOLAHAN JOHN</v>
      </c>
      <c r="M227" s="6">
        <f t="shared" si="106"/>
        <v>1.3310185167938471E-3</v>
      </c>
      <c r="N227" s="7">
        <f t="shared" si="119"/>
        <v>1.9166666641831398</v>
      </c>
      <c r="O227" s="7"/>
      <c r="P227" s="7"/>
      <c r="Q227" s="22"/>
      <c r="R227" s="190"/>
      <c r="S227" s="196">
        <f t="shared" si="120"/>
        <v>0</v>
      </c>
      <c r="T227" s="190" t="e">
        <f t="shared" si="107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108"/>
        <v>https://d0f6bd738d7f1b3e5a7ca70fe4ff75f0.us-east-1.aws.found.io/app/kibana#/discover/Steve-Slow-Train-Analysis-(2080s-and-2083s)?_g=(refreshInterval:(display:Off,pause:!f,section:0,value:0),time:(from:'2017-05-19T08:25:44-0600',mode:absolute,to:'2017-05-19T10:29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7" s="192" t="str">
        <f t="shared" si="109"/>
        <v>Y</v>
      </c>
      <c r="X227" s="192" t="e">
        <f t="shared" si="104"/>
        <v>#VALUE!</v>
      </c>
      <c r="Y227" s="192">
        <f t="shared" si="103"/>
        <v>0.31929999999999997</v>
      </c>
      <c r="Z227" s="192">
        <f t="shared" si="102"/>
        <v>1.3899999999999999E-2</v>
      </c>
      <c r="AA227" s="192">
        <f t="shared" si="110"/>
        <v>0.30539999999999995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111"/>
        <v>53-19</v>
      </c>
      <c r="AE227" s="80" t="str">
        <f t="shared" si="112"/>
        <v>aws s3 cp s3://rtdc.mdm.uploadarchive.raw/RTDC4015/ "%USERPROFILE%\AppData\Local\Temp\OnboardLogs"\RTDC4015\2017-05-19 --exclude "*" --recursive --include "*20170519*" &amp; "%USERPROFILE%\Documents\GitHub\mrs-test-scripts\Headless Mode &amp; Sideloading\WalkAndUnGZ.bat" "%USERPROFILE%\AppData\Local\Temp\OnboardLogs"\RTDC4015\2017-05-19 &amp; aws s3 cp s3://rtdc.mdm.uploadarchive.raw/RTDC4015/ "%USERPROFILE%\AppData\Local\Temp\OnboardLogs"\RTDC4015\2017-05-20 --exclude "*" --recursive --include "*20170520*" &amp; "%USERPROFILE%\Documents\GitHub\mrs-test-scripts\Headless Mode &amp; Sideloading\WalkAndUnGZ.bat" "%USERPROFILE%\AppData\Local\Temp\OnboardLogs"\RTDC4015\2017-05-20</v>
      </c>
      <c r="AF227" s="77" t="str">
        <f t="shared" si="113"/>
        <v>"C:\Program Files (x86)\AstroGrep\AstroGrep.exe" /e /r /s /spath="%USERPROFILE%\AppData\Local\Temp\OnboardLogs" /stypes="app*4015*20170519*" /stext=" 15:.+((SYSTEM_STATE.+slice.+state.+changed )|(ment ac)|(multiple cpu faults)|(system.+state.+changed )|(\[timeout)|(PRM\|1\|D)|(kpr)|(kdp)|(train st.+moving)|(\|lc)|(penalty))"</v>
      </c>
      <c r="AG227" s="1" t="str">
        <f t="shared" si="114"/>
        <v>Other</v>
      </c>
      <c r="AH227" s="81" t="str">
        <f t="shared" si="115"/>
        <v>"%USERPROFILE%\Documents\GitHub\eaglep3\Utilities\RefineRTDCRunTimes.py" --tripid 53-19 --locoid 4015 --swversion DE.1.0.9.0 --startMP 204:3193 --initTime 2017-05-19T09:25:44 --startdatetime 2017-05-19T09:27:27 --delay 1 --endMP 204:139 --enddatetime 2017-05-19T09:29:22 --enforcementcount 0 &gt;&gt;C:\Users\stu\Documents\GitHub\eaglep3-reporting\EC\2017-05-19-refined-times.txt</v>
      </c>
      <c r="AI227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{"issue":{"subject":"","project_id":79,"tracker_id":40,"status_id":1,"priority_id":2,"assigned_to_id":23,"start_date":"2017-05-19","description":"","custom_fields":[{"id":1,"name":"Subdivision","value":"Other"},{"id":4,"name":"Milepost","value":"0.0139"},{"id":17,"name":"Train ID","value":"53-19"},{"id":16,"name":"Locomotive ID","value":"4015"},{"id":130,"name":"Impact","value":""},{"id":150,"name":"Time of Event (Mountain Time)","value":"09:29:22"},{"id":151,"name":"Denver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17"/>
        <v>start /low /b %USERPROFILE%\Documents\GitHub\eaglep3\Utilities\DownloadLogsFromS3.py --loco 4015 --day 2017-05-19</v>
      </c>
      <c r="AN227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15:29:22"},{"id":29,"name":"Sharepoint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714</v>
      </c>
      <c r="B228" s="7">
        <v>4016</v>
      </c>
      <c r="C228" s="21" t="s">
        <v>206</v>
      </c>
      <c r="D228" s="21" t="s">
        <v>869</v>
      </c>
      <c r="E228" s="13">
        <v>42874.387187499997</v>
      </c>
      <c r="F228" s="13">
        <v>42874.394062500003</v>
      </c>
      <c r="G228" s="7">
        <v>1</v>
      </c>
      <c r="H228" s="21" t="s">
        <v>955</v>
      </c>
      <c r="I228" s="13">
        <v>42874.39539351852</v>
      </c>
      <c r="J228" s="7">
        <v>0</v>
      </c>
      <c r="K228" s="92" t="str">
        <f t="shared" si="105"/>
        <v>4015/4016</v>
      </c>
      <c r="L228" s="21" t="str">
        <f>VLOOKUP(A228,'Trips&amp;Operators'!$C$1:$G$99999,5,FALSE)</f>
        <v>COOLAHAN JOHN</v>
      </c>
      <c r="M228" s="6">
        <f t="shared" si="106"/>
        <v>1.3310185167938471E-3</v>
      </c>
      <c r="N228" s="7">
        <f t="shared" si="119"/>
        <v>1.9166666641831398</v>
      </c>
      <c r="O228" s="7"/>
      <c r="P228" s="7"/>
      <c r="Q228" s="22"/>
      <c r="R228" s="190"/>
      <c r="S228" s="196">
        <f t="shared" si="120"/>
        <v>0</v>
      </c>
      <c r="T228" s="190" t="e">
        <f t="shared" si="107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108"/>
        <v>https://d0f6bd738d7f1b3e5a7ca70fe4ff75f0.us-east-1.aws.found.io/app/kibana#/discover/Steve-Slow-Train-Analysis-(2080s-and-2083s)?_g=(refreshInterval:(display:Off,pause:!f,section:0,value:0),time:(from:'2017-05-19T08:17:33-0600',mode:absolute,to:'2017-05-19T10:29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8" s="192" t="str">
        <f t="shared" si="109"/>
        <v>Y</v>
      </c>
      <c r="X228" s="192" t="e">
        <f t="shared" si="104"/>
        <v>#VALUE!</v>
      </c>
      <c r="Y228" s="192">
        <f t="shared" si="103"/>
        <v>0.11559999999999999</v>
      </c>
      <c r="Z228" s="192">
        <f t="shared" si="102"/>
        <v>0.35460000000000003</v>
      </c>
      <c r="AA228" s="192">
        <f t="shared" si="110"/>
        <v>0.23900000000000005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111"/>
        <v>53-19</v>
      </c>
      <c r="AE228" s="80" t="str">
        <f t="shared" si="112"/>
        <v>aws s3 cp s3://rtdc.mdm.uploadarchive.raw/RTDC4016/ "%USERPROFILE%\AppData\Local\Temp\OnboardLogs"\RTDC4016\2017-05-19 --exclude "*" --recursive --include "*20170519*" &amp; "%USERPROFILE%\Documents\GitHub\mrs-test-scripts\Headless Mode &amp; Sideloading\WalkAndUnGZ.bat" "%USERPROFILE%\AppData\Local\Temp\OnboardLogs"\RTDC4016\2017-05-19 &amp; aws s3 cp s3://rtdc.mdm.uploadarchive.raw/RTDC4016/ "%USERPROFILE%\AppData\Local\Temp\OnboardLogs"\RTDC4016\2017-05-20 --exclude "*" --recursive --include "*20170520*" &amp; "%USERPROFILE%\Documents\GitHub\mrs-test-scripts\Headless Mode &amp; Sideloading\WalkAndUnGZ.bat" "%USERPROFILE%\AppData\Local\Temp\OnboardLogs"\RTDC4016\2017-05-20</v>
      </c>
      <c r="AF228" s="77" t="str">
        <f t="shared" si="113"/>
        <v>"C:\Program Files (x86)\AstroGrep\AstroGrep.exe" /e /r /s /spath="%USERPROFILE%\AppData\Local\Temp\OnboardLogs" /stypes="app*4016*20170519*" /stext=" 15:.+((SYSTEM_STATE.+slice.+state.+changed )|(ment ac)|(multiple cpu faults)|(system.+state.+changed )|(\[timeout)|(PRM\|1\|D)|(kpr)|(kdp)|(train st.+moving)|(\|lc)|(penalty))"</v>
      </c>
      <c r="AG228" s="1" t="str">
        <f t="shared" si="114"/>
        <v>Other</v>
      </c>
      <c r="AH228" s="81" t="str">
        <f t="shared" si="115"/>
        <v>"%USERPROFILE%\Documents\GitHub\eaglep3\Utilities\RefineRTDCRunTimes.py" --tripid 53-19 --locoid 4016 --swversion DE.1.0.9.0 --startMP 204:1156 --initTime 2017-05-19T09:17:33 --startdatetime 2017-05-19T09:27:27 --delay 1 --endMP 204:3546 --enddatetime 2017-05-19T09:29:22 --enforcementcount 0 &gt;&gt;C:\Users\stu\Documents\GitHub\eaglep3-reporting\EC\2017-05-19-refined-times.txt</v>
      </c>
      <c r="AI228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{"issue":{"subject":"","project_id":79,"tracker_id":40,"status_id":1,"priority_id":2,"assigned_to_id":23,"start_date":"2017-05-19","description":"","custom_fields":[{"id":1,"name":"Subdivision","value":"Other"},{"id":4,"name":"Milepost","value":"0.3546"},{"id":17,"name":"Train ID","value":"53-19"},{"id":16,"name":"Locomotive ID","value":"4016"},{"id":130,"name":"Impact","value":""},{"id":150,"name":"Time of Event (Mountain Time)","value":"09:29:22"},{"id":151,"name":"Denver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17"/>
        <v>start /low /b %USERPROFILE%\Documents\GitHub\eaglep3\Utilities\DownloadLogsFromS3.py --loco 4016 --day 2017-05-19</v>
      </c>
      <c r="AN228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15:29:22"},{"id":29,"name":"Sharepoint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667</v>
      </c>
      <c r="B229" s="7">
        <v>4011</v>
      </c>
      <c r="C229" s="21" t="s">
        <v>206</v>
      </c>
      <c r="D229" s="21" t="s">
        <v>956</v>
      </c>
      <c r="E229" s="13">
        <v>42874.193298611113</v>
      </c>
      <c r="F229" s="13">
        <v>42874.196840277778</v>
      </c>
      <c r="G229" s="7">
        <v>5</v>
      </c>
      <c r="H229" s="21" t="s">
        <v>419</v>
      </c>
      <c r="I229" s="13">
        <v>42874.211851851855</v>
      </c>
      <c r="J229" s="7">
        <v>0</v>
      </c>
      <c r="K229" s="92" t="str">
        <f t="shared" si="105"/>
        <v>4011/4012</v>
      </c>
      <c r="L229" s="21" t="str">
        <f>VLOOKUP(A229,'Trips&amp;Operators'!$C$1:$G$99999,5,FALSE)</f>
        <v>ROCHA YAOTL</v>
      </c>
      <c r="M229" s="6">
        <f t="shared" si="106"/>
        <v>1.5011574076197576E-2</v>
      </c>
      <c r="N229" s="7">
        <f t="shared" si="119"/>
        <v>21.616666669724509</v>
      </c>
      <c r="O229" s="7"/>
      <c r="P229" s="7"/>
      <c r="Q229" s="22"/>
      <c r="R229" s="190"/>
      <c r="S229" s="196">
        <f t="shared" si="120"/>
        <v>0</v>
      </c>
      <c r="T229" s="190" t="e">
        <f t="shared" si="107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108"/>
        <v>https://d0f6bd738d7f1b3e5a7ca70fe4ff75f0.us-east-1.aws.found.io/app/kibana#/discover/Steve-Slow-Train-Analysis-(2080s-and-2083s)?_g=(refreshInterval:(display:Off,pause:!f,section:0,value:0),time:(from:'2017-05-19T03:38:21-0600',mode:absolute,to:'2017-05-19T06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9" s="192" t="str">
        <f t="shared" si="109"/>
        <v>Y</v>
      </c>
      <c r="X229" s="192" t="e">
        <f t="shared" si="104"/>
        <v>#VALUE!</v>
      </c>
      <c r="Y229" s="192">
        <f t="shared" si="103"/>
        <v>2.3328000000000002</v>
      </c>
      <c r="Z229" s="192">
        <f t="shared" si="102"/>
        <v>1.54E-2</v>
      </c>
      <c r="AA229" s="192">
        <f t="shared" si="110"/>
        <v>2.3174000000000001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111"/>
        <v>54-19</v>
      </c>
      <c r="AE229" s="80" t="str">
        <f t="shared" si="112"/>
        <v>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 &amp; 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</v>
      </c>
      <c r="AF229" s="77" t="str">
        <f t="shared" si="113"/>
        <v>"C:\Program Files (x86)\AstroGrep\AstroGrep.exe" /e /r /s /spath="%USERPROFILE%\AppData\Local\Temp\OnboardLogs" /stypes="app*4011*20170519*" /stext=" 11:.+((SYSTEM_STATE.+slice.+state.+changed )|(ment ac)|(multiple cpu faults)|(system.+state.+changed )|(\[timeout)|(PRM\|1\|D)|(kpr)|(kdp)|(train st.+moving)|(\|lc)|(penalty))"</v>
      </c>
      <c r="AG229" s="1" t="str">
        <f t="shared" si="114"/>
        <v>Other</v>
      </c>
      <c r="AH229" s="81" t="str">
        <f t="shared" si="115"/>
        <v>"%USERPROFILE%\Documents\GitHub\eaglep3\Utilities\RefineRTDCRunTimes.py" --tripid 54-19 --locoid 4011 --swversion DE.1.0.9.0 --startMP 300:23328 --initTime 2017-05-19T04:38:21 --startdatetime 2017-05-19T04:43:27 --delay 5 --endMP 204:154 --enddatetime 2017-05-19T05:05:04 --enforcementcount 0 &gt;&gt;C:\Users\stu\Documents\GitHub\eaglep3-reporting\EC\2017-05-19-refined-times.txt</v>
      </c>
      <c r="AI229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{"issue":{"subject":"","project_id":79,"tracker_id":40,"status_id":1,"priority_id":2,"assigned_to_id":23,"start_date":"2017-05-19","description":"","custom_fields":[{"id":1,"name":"Subdivision","value":"Other"},{"id":4,"name":"Milepost","value":"0.0154"},{"id":17,"name":"Train ID","value":"54-19"},{"id":16,"name":"Locomotive ID","value":"4011"},{"id":130,"name":"Impact","value":""},{"id":150,"name":"Time of Event (Mountain Time)","value":"05:05:04"},{"id":151,"name":"Denver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17"/>
        <v>start /low /b %USERPROFILE%\Documents\GitHub\eaglep3\Utilities\DownloadLogsFromS3.py --loco 4011 --day 2017-05-19</v>
      </c>
      <c r="AN229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11:05:04"},{"id":29,"name":"Sharepoint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719</v>
      </c>
      <c r="B230" s="7">
        <v>4055</v>
      </c>
      <c r="C230" s="21" t="s">
        <v>206</v>
      </c>
      <c r="D230" s="21" t="s">
        <v>957</v>
      </c>
      <c r="E230" s="13">
        <v>42874.404953703706</v>
      </c>
      <c r="F230" s="13">
        <v>42874.411215277774</v>
      </c>
      <c r="G230" s="7">
        <v>5</v>
      </c>
      <c r="H230" s="21" t="s">
        <v>958</v>
      </c>
      <c r="I230" s="13">
        <v>42874.416446759256</v>
      </c>
      <c r="J230" s="7">
        <v>0</v>
      </c>
      <c r="K230" s="92" t="str">
        <f t="shared" si="105"/>
        <v>4055/4056</v>
      </c>
      <c r="L230" s="21" t="str">
        <f>VLOOKUP(A230,'Trips&amp;Operators'!$C$1:$G$99999,5,FALSE)</f>
        <v>YANAI IAN</v>
      </c>
      <c r="M230" s="6">
        <f t="shared" si="106"/>
        <v>5.2314814820419997E-3</v>
      </c>
      <c r="N230" s="7">
        <f t="shared" si="119"/>
        <v>7.5333333341404796</v>
      </c>
      <c r="O230" s="7"/>
      <c r="P230" s="7"/>
      <c r="Q230" s="22"/>
      <c r="R230" s="190"/>
      <c r="S230" s="196">
        <f t="shared" si="120"/>
        <v>0</v>
      </c>
      <c r="T230" s="190" t="e">
        <f t="shared" si="107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108"/>
        <v>https://d0f6bd738d7f1b3e5a7ca70fe4ff75f0.us-east-1.aws.found.io/app/kibana#/discover/Steve-Slow-Train-Analysis-(2080s-and-2083s)?_g=(refreshInterval:(display:Off,pause:!f,section:0,value:0),time:(from:'2017-05-19T08:43:08-0600',mode:absolute,to:'2017-05-19T10:59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0" s="192" t="str">
        <f t="shared" si="109"/>
        <v>Y</v>
      </c>
      <c r="X230" s="192" t="e">
        <f t="shared" si="104"/>
        <v>#VALUE!</v>
      </c>
      <c r="Y230" s="192">
        <f t="shared" si="103"/>
        <v>2.3283999999999998</v>
      </c>
      <c r="Z230" s="192">
        <f t="shared" si="102"/>
        <v>0.11650000000000001</v>
      </c>
      <c r="AA230" s="192">
        <f t="shared" si="110"/>
        <v>2.2119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111"/>
        <v>55-19</v>
      </c>
      <c r="AE230" s="80" t="str">
        <f t="shared" si="112"/>
        <v>aws s3 cp s3://rtdc.mdm.uploadarchive.raw/RTDC4055/ "%USERPROFILE%\AppData\Local\Temp\OnboardLogs"\RTDC4055\2017-05-19 --exclude "*" --recursive --include "*20170519*" &amp; "%USERPROFILE%\Documents\GitHub\mrs-test-scripts\Headless Mode &amp; Sideloading\WalkAndUnGZ.bat" "%USERPROFILE%\AppData\Local\Temp\OnboardLogs"\RTDC4055\2017-05-19 &amp; 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</v>
      </c>
      <c r="AF230" s="77" t="str">
        <f t="shared" si="113"/>
        <v>"C:\Program Files (x86)\AstroGrep\AstroGrep.exe" /e /r /s /spath="%USERPROFILE%\AppData\Local\Temp\OnboardLogs" /stypes="app*4055*20170519*" /stext=" 15:.+((SYSTEM_STATE.+slice.+state.+changed )|(ment ac)|(multiple cpu faults)|(system.+state.+changed )|(\[timeout)|(PRM\|1\|D)|(kpr)|(kdp)|(train st.+moving)|(\|lc)|(penalty))"</v>
      </c>
      <c r="AG230" s="1" t="str">
        <f t="shared" si="114"/>
        <v>Other</v>
      </c>
      <c r="AH230" s="81" t="str">
        <f t="shared" si="115"/>
        <v>"%USERPROFILE%\Documents\GitHub\eaglep3\Utilities\RefineRTDCRunTimes.py" --tripid 55-19 --locoid 4055 --swversion DE.1.0.9.0 --startMP 300:23284 --initTime 2017-05-19T09:43:08 --startdatetime 2017-05-19T09:52:09 --delay 5 --endMP 204:1165 --enddatetime 2017-05-19T09:59:41 --enforcementcount 0 &gt;&gt;C:\Users\stu\Documents\GitHub\eaglep3-reporting\EC\2017-05-19-refined-times.txt</v>
      </c>
      <c r="AI230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{"issue":{"subject":"","project_id":79,"tracker_id":40,"status_id":1,"priority_id":2,"assigned_to_id":23,"start_date":"2017-05-19","description":"","custom_fields":[{"id":1,"name":"Subdivision","value":"Other"},{"id":4,"name":"Milepost","value":"0.1165"},{"id":17,"name":"Train ID","value":"55-19"},{"id":16,"name":"Locomotive ID","value":"4055"},{"id":130,"name":"Impact","value":""},{"id":150,"name":"Time of Event (Mountain Time)","value":"09:59:41"},{"id":151,"name":"Denver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17"/>
        <v>start /low /b %USERPROFILE%\Documents\GitHub\eaglep3\Utilities\DownloadLogsFromS3.py --loco 4055 --day 2017-05-19</v>
      </c>
      <c r="AN230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15:59:41"},{"id":29,"name":"Sharepoint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s="20" customFormat="1" x14ac:dyDescent="0.25">
      <c r="A231" s="32" t="s">
        <v>664</v>
      </c>
      <c r="B231" s="7">
        <v>4039</v>
      </c>
      <c r="C231" s="21" t="s">
        <v>206</v>
      </c>
      <c r="D231" s="21" t="s">
        <v>959</v>
      </c>
      <c r="E231" s="13">
        <v>42874.191712962966</v>
      </c>
      <c r="F231" s="13">
        <v>42874.201990740738</v>
      </c>
      <c r="G231" s="7">
        <v>14</v>
      </c>
      <c r="H231" s="21" t="s">
        <v>960</v>
      </c>
      <c r="I231" s="13">
        <v>42874.215405092589</v>
      </c>
      <c r="J231" s="7">
        <v>0</v>
      </c>
      <c r="K231" s="92" t="str">
        <f t="shared" si="105"/>
        <v>4039/4040</v>
      </c>
      <c r="L231" s="21" t="str">
        <f>VLOOKUP(A231,'Trips&amp;Operators'!$C$1:$G$99999,5,FALSE)</f>
        <v>COOLAHAN JOHN</v>
      </c>
      <c r="M231" s="6">
        <f t="shared" si="106"/>
        <v>1.3414351851679385E-2</v>
      </c>
      <c r="N231" s="7">
        <f t="shared" si="119"/>
        <v>19.316666666418314</v>
      </c>
      <c r="O231" s="7"/>
      <c r="P231" s="7"/>
      <c r="Q231" s="22"/>
      <c r="R231" s="190"/>
      <c r="S231" s="196">
        <f t="shared" si="120"/>
        <v>0</v>
      </c>
      <c r="T231" s="190" t="e">
        <f t="shared" si="107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108"/>
        <v>https://d0f6bd738d7f1b3e5a7ca70fe4ff75f0.us-east-1.aws.found.io/app/kibana#/discover/Steve-Slow-Train-Analysis-(2080s-and-2083s)?_g=(refreshInterval:(display:Off,pause:!f,section:0,value:0),time:(from:'2017-05-19T03:36:04-0600',mode:absolute,to:'2017-05-19T06:10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1" s="192" t="str">
        <f t="shared" si="109"/>
        <v>Y</v>
      </c>
      <c r="X231" s="192" t="e">
        <f t="shared" si="104"/>
        <v>#VALUE!</v>
      </c>
      <c r="Y231" s="192">
        <f t="shared" si="103"/>
        <v>2.3056999999999999</v>
      </c>
      <c r="Z231" s="192">
        <f t="shared" ref="Z231:Z246" si="121">RIGHT(H231,LEN(H231)-4)/10000</f>
        <v>0.1167</v>
      </c>
      <c r="AA231" s="192">
        <f t="shared" si="110"/>
        <v>2.1890000000000001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111"/>
        <v>56-19</v>
      </c>
      <c r="AE231" s="80" t="str">
        <f t="shared" si="112"/>
        <v>aws s3 cp s3://rtdc.mdm.uploadarchive.raw/RTDC4039/ "%USERPROFILE%\AppData\Local\Temp\OnboardLogs"\RTDC4039\2017-05-19 --exclude "*" --recursive --include "*20170519*" &amp; "%USERPROFILE%\Documents\GitHub\mrs-test-scripts\Headless Mode &amp; Sideloading\WalkAndUnGZ.bat" "%USERPROFILE%\AppData\Local\Temp\OnboardLogs"\RTDC4039\2017-05-19 &amp; aws s3 cp s3://rtdc.mdm.uploadarchive.raw/RTDC4039/ "%USERPROFILE%\AppData\Local\Temp\OnboardLogs"\RTDC4039\2017-05-20 --exclude "*" --recursive --include "*20170520*" &amp; "%USERPROFILE%\Documents\GitHub\mrs-test-scripts\Headless Mode &amp; Sideloading\WalkAndUnGZ.bat" "%USERPROFILE%\AppData\Local\Temp\OnboardLogs"\RTDC4039\2017-05-20</v>
      </c>
      <c r="AF231" s="77" t="str">
        <f t="shared" si="113"/>
        <v>"C:\Program Files (x86)\AstroGrep\AstroGrep.exe" /e /r /s /spath="%USERPROFILE%\AppData\Local\Temp\OnboardLogs" /stypes="app*4039*20170519*" /stext=" 11:.+((SYSTEM_STATE.+slice.+state.+changed )|(ment ac)|(multiple cpu faults)|(system.+state.+changed )|(\[timeout)|(PRM\|1\|D)|(kpr)|(kdp)|(train st.+moving)|(\|lc)|(penalty))"</v>
      </c>
      <c r="AG231" s="1" t="str">
        <f t="shared" si="114"/>
        <v>Other</v>
      </c>
      <c r="AH231" s="81" t="str">
        <f t="shared" si="115"/>
        <v>"%USERPROFILE%\Documents\GitHub\eaglep3\Utilities\RefineRTDCRunTimes.py" --tripid 56-19 --locoid 4039 --swversion DE.1.0.9.0 --startMP 300:23057 --initTime 2017-05-19T04:36:04 --startdatetime 2017-05-19T04:50:52 --delay 14 --endMP 204:1167 --enddatetime 2017-05-19T05:10:11 --enforcementcount 0 &gt;&gt;C:\Users\stu\Documents\GitHub\eaglep3-reporting\EC\2017-05-19-refined-times.txt</v>
      </c>
      <c r="AI231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{"issue":{"subject":"","project_id":79,"tracker_id":40,"status_id":1,"priority_id":2,"assigned_to_id":23,"start_date":"2017-05-19","description":"","custom_fields":[{"id":1,"name":"Subdivision","value":"Other"},{"id":4,"name":"Milepost","value":"0.1167"},{"id":17,"name":"Train ID","value":"56-19"},{"id":16,"name":"Locomotive ID","value":"4039"},{"id":130,"name":"Impact","value":""},{"id":150,"name":"Time of Event (Mountain Time)","value":"05:10:11"},{"id":151,"name":"Denver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1" s="47"/>
      <c r="AL231" s="47"/>
      <c r="AM231" s="145" t="str">
        <f t="shared" si="117"/>
        <v>start /low /b %USERPROFILE%\Documents\GitHub\eaglep3\Utilities\DownloadLogsFromS3.py --loco 4039 --day 2017-05-19</v>
      </c>
      <c r="AN231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11:10:11"},{"id":29,"name":"Sharepoint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732</v>
      </c>
      <c r="B232" s="7">
        <v>4026</v>
      </c>
      <c r="C232" s="21" t="s">
        <v>206</v>
      </c>
      <c r="D232" s="21" t="s">
        <v>961</v>
      </c>
      <c r="E232" s="13">
        <v>42874.464016203703</v>
      </c>
      <c r="F232" s="13">
        <v>42874.465729166666</v>
      </c>
      <c r="G232" s="7">
        <v>1</v>
      </c>
      <c r="H232" s="21" t="s">
        <v>962</v>
      </c>
      <c r="I232" s="13">
        <v>42874.472592592596</v>
      </c>
      <c r="J232" s="7">
        <v>0</v>
      </c>
      <c r="K232" s="92" t="str">
        <f t="shared" si="105"/>
        <v>4025/4026</v>
      </c>
      <c r="L232" s="21" t="str">
        <f>VLOOKUP(A232,'Trips&amp;Operators'!$C$1:$G$99999,5,FALSE)</f>
        <v>DAVIS WENDY</v>
      </c>
      <c r="M232" s="6">
        <f t="shared" si="106"/>
        <v>6.8634259296231903E-3</v>
      </c>
      <c r="N232" s="7">
        <f t="shared" si="119"/>
        <v>9.8833333386573941</v>
      </c>
      <c r="O232" s="7"/>
      <c r="P232" s="7"/>
      <c r="Q232" s="22"/>
      <c r="R232" s="190"/>
      <c r="S232" s="196">
        <f t="shared" si="120"/>
        <v>0</v>
      </c>
      <c r="T232" s="190" t="e">
        <f t="shared" si="107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108"/>
        <v>https://d0f6bd738d7f1b3e5a7ca70fe4ff75f0.us-east-1.aws.found.io/app/kibana#/discover/Steve-Slow-Train-Analysis-(2080s-and-2083s)?_g=(refreshInterval:(display:Off,pause:!f,section:0,value:0),time:(from:'2017-05-19T10:08:11-0600',mode:absolute,to:'2017-05-19T12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2" s="192" t="str">
        <f t="shared" si="109"/>
        <v>Y</v>
      </c>
      <c r="X232" s="192" t="e">
        <f t="shared" si="104"/>
        <v>#VALUE!</v>
      </c>
      <c r="Y232" s="192">
        <f t="shared" ref="Y232:Y246" si="122">RIGHT(D232,LEN(D232)-4)/10000</f>
        <v>3.7199999999999997E-2</v>
      </c>
      <c r="Z232" s="192">
        <f t="shared" si="121"/>
        <v>2.5453999999999999</v>
      </c>
      <c r="AA232" s="192">
        <f t="shared" si="110"/>
        <v>2.5082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111"/>
        <v>57-19</v>
      </c>
      <c r="AE232" s="80" t="str">
        <f t="shared" si="112"/>
        <v>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 &amp; aws s3 cp s3://rtdc.mdm.uploadarchive.raw/RTDC4026/ "%USERPROFILE%\AppData\Local\Temp\OnboardLogs"\RTDC4026\2017-05-20 --exclude "*" --recursive --include "*20170520*" &amp; "%USERPROFILE%\Documents\GitHub\mrs-test-scripts\Headless Mode &amp; Sideloading\WalkAndUnGZ.bat" "%USERPROFILE%\AppData\Local\Temp\OnboardLogs"\RTDC4026\2017-05-20</v>
      </c>
      <c r="AF232" s="77" t="str">
        <f t="shared" si="113"/>
        <v>"C:\Program Files (x86)\AstroGrep\AstroGrep.exe" /e /r /s /spath="%USERPROFILE%\AppData\Local\Temp\OnboardLogs" /stypes="app*4026*20170519*" /stext=" 17:.+((SYSTEM_STATE.+slice.+state.+changed )|(ment ac)|(multiple cpu faults)|(system.+state.+changed )|(\[timeout)|(PRM\|1\|D)|(kpr)|(kdp)|(train st.+moving)|(\|lc)|(penalty))"</v>
      </c>
      <c r="AG232" s="1" t="str">
        <f t="shared" si="114"/>
        <v>Other</v>
      </c>
      <c r="AH232" s="81" t="str">
        <f t="shared" si="115"/>
        <v>"%USERPROFILE%\Documents\GitHub\eaglep3\Utilities\RefineRTDCRunTimes.py" --tripid 57-19 --locoid 4026 --swversion DE.1.0.9.0 --startMP 204:372 --initTime 2017-05-19T11:08:11 --startdatetime 2017-05-19T11:10:39 --delay 1 --endMP 300:25454 --enddatetime 2017-05-19T11:20:32 --enforcementcount 0 &gt;&gt;C:\Users\stu\Documents\GitHub\eaglep3-reporting\EC\2017-05-19-refined-times.txt</v>
      </c>
      <c r="AI232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{"issue":{"subject":"","project_id":79,"tracker_id":40,"status_id":1,"priority_id":2,"assigned_to_id":23,"start_date":"2017-05-19","description":"","custom_fields":[{"id":1,"name":"Subdivision","value":"Other"},{"id":4,"name":"Milepost","value":"2.5454"},{"id":17,"name":"Train ID","value":"57-19"},{"id":16,"name":"Locomotive ID","value":"4026"},{"id":130,"name":"Impact","value":""},{"id":150,"name":"Time of Event (Mountain Time)","value":"11:20:32"},{"id":151,"name":"Denver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17"/>
        <v>start /low /b %USERPROFILE%\Documents\GitHub\eaglep3\Utilities\DownloadLogsFromS3.py --loco 4026 --day 2017-05-19</v>
      </c>
      <c r="AN232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17:20:32"},{"id":29,"name":"Sharepoint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715</v>
      </c>
      <c r="B233" s="7">
        <v>4042</v>
      </c>
      <c r="C233" s="21" t="s">
        <v>206</v>
      </c>
      <c r="D233" s="21" t="s">
        <v>963</v>
      </c>
      <c r="E233" s="13">
        <v>42874.388333333336</v>
      </c>
      <c r="F233" s="13">
        <v>42874.390034722222</v>
      </c>
      <c r="G233" s="7">
        <v>1</v>
      </c>
      <c r="H233" s="21" t="s">
        <v>359</v>
      </c>
      <c r="I233" s="13">
        <v>42874.397106481483</v>
      </c>
      <c r="J233" s="7">
        <v>0</v>
      </c>
      <c r="K233" s="92" t="str">
        <f t="shared" si="105"/>
        <v>4041/4042</v>
      </c>
      <c r="L233" s="21" t="str">
        <f>VLOOKUP(A233,'Trips&amp;Operators'!$C$1:$G$99999,5,FALSE)</f>
        <v>YANAI IAN</v>
      </c>
      <c r="M233" s="6">
        <f t="shared" si="106"/>
        <v>7.07175926072523E-3</v>
      </c>
      <c r="N233" s="7">
        <f t="shared" si="119"/>
        <v>10.183333335444331</v>
      </c>
      <c r="O233" s="7"/>
      <c r="P233" s="7"/>
      <c r="Q233" s="22"/>
      <c r="R233" s="190"/>
      <c r="S233" s="196">
        <f t="shared" si="120"/>
        <v>0</v>
      </c>
      <c r="T233" s="190" t="e">
        <f t="shared" si="107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108"/>
        <v>https://d0f6bd738d7f1b3e5a7ca70fe4ff75f0.us-east-1.aws.found.io/app/kibana#/discover/Steve-Slow-Train-Analysis-(2080s-and-2083s)?_g=(refreshInterval:(display:Off,pause:!f,section:0,value:0),time:(from:'2017-05-19T08:19:12-0600',mode:absolute,to:'2017-05-19T10:31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3" s="192" t="str">
        <f t="shared" si="109"/>
        <v>Y</v>
      </c>
      <c r="X233" s="192" t="e">
        <f t="shared" ref="X233:X246" si="123">VALUE(LEFT(AD233,4))-VALUE(LEFT(AD232,4))</f>
        <v>#VALUE!</v>
      </c>
      <c r="Y233" s="192">
        <f t="shared" si="122"/>
        <v>0.1203</v>
      </c>
      <c r="Z233" s="192">
        <f t="shared" si="121"/>
        <v>2.3346</v>
      </c>
      <c r="AA233" s="192">
        <f t="shared" si="110"/>
        <v>2.2143000000000002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111"/>
        <v>58-19</v>
      </c>
      <c r="AE233" s="80" t="str">
        <f t="shared" si="112"/>
        <v>aws s3 cp s3://rtdc.mdm.uploadarchive.raw/RTDC4042/ "%USERPROFILE%\AppData\Local\Temp\OnboardLogs"\RTDC4042\2017-05-19 --exclude "*" --recursive --include "*20170519*" &amp; "%USERPROFILE%\Documents\GitHub\mrs-test-scripts\Headless Mode &amp; Sideloading\WalkAndUnGZ.bat" "%USERPROFILE%\AppData\Local\Temp\OnboardLogs"\RTDC4042\2017-05-19 &amp; aws s3 cp s3://rtdc.mdm.uploadarchive.raw/RTDC4042/ "%USERPROFILE%\AppData\Local\Temp\OnboardLogs"\RTDC4042\2017-05-20 --exclude "*" --recursive --include "*20170520*" &amp; "%USERPROFILE%\Documents\GitHub\mrs-test-scripts\Headless Mode &amp; Sideloading\WalkAndUnGZ.bat" "%USERPROFILE%\AppData\Local\Temp\OnboardLogs"\RTDC4042\2017-05-20</v>
      </c>
      <c r="AF233" s="77" t="str">
        <f t="shared" si="113"/>
        <v>"C:\Program Files (x86)\AstroGrep\AstroGrep.exe" /e /r /s /spath="%USERPROFILE%\AppData\Local\Temp\OnboardLogs" /stypes="app*4042*20170519*" /stext=" 15:.+((SYSTEM_STATE.+slice.+state.+changed )|(ment ac)|(multiple cpu faults)|(system.+state.+changed )|(\[timeout)|(PRM\|1\|D)|(kpr)|(kdp)|(train st.+moving)|(\|lc)|(penalty))"</v>
      </c>
      <c r="AG233" s="1" t="str">
        <f t="shared" si="114"/>
        <v>Other</v>
      </c>
      <c r="AH233" s="81" t="str">
        <f t="shared" si="115"/>
        <v>"%USERPROFILE%\Documents\GitHub\eaglep3\Utilities\RefineRTDCRunTimes.py" --tripid 58-19 --locoid 4042 --swversion DE.1.0.9.0 --startMP 204:1203 --initTime 2017-05-19T09:19:12 --startdatetime 2017-05-19T09:21:39 --delay 1 --endMP 300:23346 --enddatetime 2017-05-19T09:31:50 --enforcementcount 0 &gt;&gt;C:\Users\stu\Documents\GitHub\eaglep3-reporting\EC\2017-05-19-refined-times.txt</v>
      </c>
      <c r="AI233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{"issue":{"subject":"","project_id":79,"tracker_id":40,"status_id":1,"priority_id":2,"assigned_to_id":23,"start_date":"2017-05-19","description":"","custom_fields":[{"id":1,"name":"Subdivision","value":"Other"},{"id":4,"name":"Milepost","value":"2.3346"},{"id":17,"name":"Train ID","value":"58-19"},{"id":16,"name":"Locomotive ID","value":"4042"},{"id":130,"name":"Impact","value":""},{"id":150,"name":"Time of Event (Mountain Time)","value":"09:31:50"},{"id":151,"name":"Denver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17"/>
        <v>start /low /b %USERPROFILE%\Documents\GitHub\eaglep3\Utilities\DownloadLogsFromS3.py --loco 4042 --day 2017-05-19</v>
      </c>
      <c r="AN233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15:31:50"},{"id":29,"name":"Sharepoint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791</v>
      </c>
      <c r="B234" s="7">
        <v>4010</v>
      </c>
      <c r="C234" s="21" t="s">
        <v>206</v>
      </c>
      <c r="D234" s="21" t="s">
        <v>964</v>
      </c>
      <c r="E234" s="13">
        <v>42874.705810185187</v>
      </c>
      <c r="F234" s="13">
        <v>42874.735243055555</v>
      </c>
      <c r="G234" s="7">
        <v>1</v>
      </c>
      <c r="H234" s="21" t="s">
        <v>359</v>
      </c>
      <c r="I234" s="13">
        <v>42874.745115740741</v>
      </c>
      <c r="J234" s="7">
        <v>0</v>
      </c>
      <c r="K234" s="92" t="str">
        <f t="shared" si="105"/>
        <v>4009/4010</v>
      </c>
      <c r="L234" s="21" t="str">
        <f>VLOOKUP(A234,'Trips&amp;Operators'!$C$1:$G$99999,5,FALSE)</f>
        <v>WHITED DUSTIN</v>
      </c>
      <c r="M234" s="6">
        <f t="shared" si="106"/>
        <v>9.8726851865649223E-3</v>
      </c>
      <c r="N234" s="7">
        <f t="shared" si="119"/>
        <v>14.216666668653488</v>
      </c>
      <c r="O234" s="7"/>
      <c r="P234" s="7"/>
      <c r="Q234" s="22"/>
      <c r="R234" s="190"/>
      <c r="S234" s="196">
        <f t="shared" si="120"/>
        <v>0</v>
      </c>
      <c r="T234" s="190" t="e">
        <f t="shared" si="107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108"/>
        <v>https://d0f6bd738d7f1b3e5a7ca70fe4ff75f0.us-east-1.aws.found.io/app/kibana#/discover/Steve-Slow-Train-Analysis-(2080s-and-2083s)?_g=(refreshInterval:(display:Off,pause:!f,section:0,value:0),time:(from:'2017-05-19T15:56:22-0600',mode:absolute,to:'2017-05-19T18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4" s="192" t="str">
        <f t="shared" si="109"/>
        <v>Y</v>
      </c>
      <c r="X234" s="192" t="e">
        <f t="shared" si="123"/>
        <v>#VALUE!</v>
      </c>
      <c r="Y234" s="192">
        <f t="shared" si="122"/>
        <v>0.11409999999999999</v>
      </c>
      <c r="Z234" s="192">
        <f t="shared" si="121"/>
        <v>2.3346</v>
      </c>
      <c r="AA234" s="192">
        <f t="shared" si="110"/>
        <v>2.2204999999999999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111"/>
        <v>60-19</v>
      </c>
      <c r="AE234" s="80" t="str">
        <f t="shared" si="112"/>
        <v>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 &amp; 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</v>
      </c>
      <c r="AF234" s="77" t="str">
        <f t="shared" si="113"/>
        <v>"C:\Program Files (x86)\AstroGrep\AstroGrep.exe" /e /r /s /spath="%USERPROFILE%\AppData\Local\Temp\OnboardLogs" /stypes="app*4010*20170519*" /stext=" 23:.+((SYSTEM_STATE.+slice.+state.+changed )|(ment ac)|(multiple cpu faults)|(system.+state.+changed )|(\[timeout)|(PRM\|1\|D)|(kpr)|(kdp)|(train st.+moving)|(\|lc)|(penalty))"</v>
      </c>
      <c r="AG234" s="1" t="str">
        <f t="shared" si="114"/>
        <v>Other</v>
      </c>
      <c r="AH234" s="81" t="str">
        <f t="shared" si="115"/>
        <v>"%USERPROFILE%\Documents\GitHub\eaglep3\Utilities\RefineRTDCRunTimes.py" --tripid 60-19 --locoid 4010 --swversion DE.1.0.9.0 --startMP 204:1141 --initTime 2017-05-19T16:56:22 --startdatetime 2017-05-19T17:38:45 --delay 1 --endMP 300:23346 --enddatetime 2017-05-19T17:52:58 --enforcementcount 0 &gt;&gt;C:\Users\stu\Documents\GitHub\eaglep3-reporting\EC\2017-05-19-refined-times.txt</v>
      </c>
      <c r="AI234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{"issue":{"subject":"","project_id":79,"tracker_id":40,"status_id":1,"priority_id":2,"assigned_to_id":23,"start_date":"2017-05-19","description":"","custom_fields":[{"id":1,"name":"Subdivision","value":"Other"},{"id":4,"name":"Milepost","value":"2.3346"},{"id":17,"name":"Train ID","value":"60-19"},{"id":16,"name":"Locomotive ID","value":"4010"},{"id":130,"name":"Impact","value":""},{"id":150,"name":"Time of Event (Mountain Time)","value":"17:52:58"},{"id":151,"name":"Denver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117"/>
        <v>start /low /b %USERPROFILE%\Documents\GitHub\eaglep3\Utilities\DownloadLogsFromS3.py --loco 4010 --day 2017-05-19</v>
      </c>
      <c r="AN234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622</v>
      </c>
      <c r="B235" s="7">
        <v>4025</v>
      </c>
      <c r="C235" s="21" t="s">
        <v>206</v>
      </c>
      <c r="D235" s="21" t="s">
        <v>965</v>
      </c>
      <c r="E235" s="13">
        <v>42874.42559027778</v>
      </c>
      <c r="F235" s="13">
        <v>42874.429907407408</v>
      </c>
      <c r="G235" s="7">
        <v>6</v>
      </c>
      <c r="H235" s="21" t="s">
        <v>966</v>
      </c>
      <c r="I235" s="13">
        <v>42874.434282407405</v>
      </c>
      <c r="J235" s="7">
        <v>0</v>
      </c>
      <c r="K235" s="92" t="str">
        <f t="shared" si="105"/>
        <v>4025/4026</v>
      </c>
      <c r="L235" s="21" t="str">
        <f>VLOOKUP(A235,'Trips&amp;Operators'!$C$1:$G$99999,5,FALSE)</f>
        <v>BEAM ROSS</v>
      </c>
      <c r="M235" s="6">
        <f t="shared" si="106"/>
        <v>4.3749999967985786E-3</v>
      </c>
      <c r="N235" s="7">
        <f t="shared" si="119"/>
        <v>6.2999999953899533</v>
      </c>
      <c r="O235" s="7"/>
      <c r="P235" s="7"/>
      <c r="Q235" s="22"/>
      <c r="R235" s="190"/>
      <c r="S235" s="196">
        <f t="shared" si="120"/>
        <v>0</v>
      </c>
      <c r="T235" s="190" t="e">
        <f t="shared" si="107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108"/>
        <v>https://d0f6bd738d7f1b3e5a7ca70fe4ff75f0.us-east-1.aws.found.io/app/kibana#/discover/Steve-Slow-Train-Analysis-(2080s-and-2083s)?_g=(refreshInterval:(display:Off,pause:!f,section:0,value:0),time:(from:'2017-05-19T09:12:51-0600',mode:absolute,to:'2017-05-19T11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5" s="192" t="str">
        <f t="shared" si="109"/>
        <v>Y</v>
      </c>
      <c r="X235" s="192" t="e">
        <f t="shared" si="123"/>
        <v>#VALUE!</v>
      </c>
      <c r="Y235" s="192">
        <f t="shared" si="122"/>
        <v>2.0184000000000002</v>
      </c>
      <c r="Z235" s="192">
        <f t="shared" si="121"/>
        <v>6.4000000000000003E-3</v>
      </c>
      <c r="AA235" s="192">
        <f t="shared" si="110"/>
        <v>2.012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111"/>
        <v>61-19</v>
      </c>
      <c r="AE235" s="80" t="str">
        <f t="shared" si="112"/>
        <v>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 &amp; aws s3 cp s3://rtdc.mdm.uploadarchive.raw/RTDC4025/ "%USERPROFILE%\AppData\Local\Temp\OnboardLogs"\RTDC4025\2017-05-20 --exclude "*" --recursive --include "*20170520*" &amp; "%USERPROFILE%\Documents\GitHub\mrs-test-scripts\Headless Mode &amp; Sideloading\WalkAndUnGZ.bat" "%USERPROFILE%\AppData\Local\Temp\OnboardLogs"\RTDC4025\2017-05-20</v>
      </c>
      <c r="AF235" s="77" t="str">
        <f t="shared" si="113"/>
        <v>"C:\Program Files (x86)\AstroGrep\AstroGrep.exe" /e /r /s /spath="%USERPROFILE%\AppData\Local\Temp\OnboardLogs" /stypes="app*4025*20170519*" /stext=" 16:.+((SYSTEM_STATE.+slice.+state.+changed )|(ment ac)|(multiple cpu faults)|(system.+state.+changed )|(\[timeout)|(PRM\|1\|D)|(kpr)|(kdp)|(train st.+moving)|(\|lc)|(penalty))"</v>
      </c>
      <c r="AG235" s="1" t="str">
        <f t="shared" si="114"/>
        <v>Other</v>
      </c>
      <c r="AH235" s="81" t="str">
        <f t="shared" si="115"/>
        <v>"%USERPROFILE%\Documents\GitHub\eaglep3\Utilities\RefineRTDCRunTimes.py" --tripid 61-19 --locoid 4025 --swversion DE.1.0.9.0 --startMP 300:20184 --initTime 2017-05-19T10:12:51 --startdatetime 2017-05-19T10:19:04 --delay 6 --endMP 204:64 --enddatetime 2017-05-19T10:25:22 --enforcementcount 0 &gt;&gt;C:\Users\stu\Documents\GitHub\eaglep3-reporting\EC\2017-05-19-refined-times.txt</v>
      </c>
      <c r="AI235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{"issue":{"subject":"","project_id":79,"tracker_id":40,"status_id":1,"priority_id":2,"assigned_to_id":23,"start_date":"2017-05-19","description":"","custom_fields":[{"id":1,"name":"Subdivision","value":"Other"},{"id":4,"name":"Milepost","value":"0.0064"},{"id":17,"name":"Train ID","value":"61-19"},{"id":16,"name":"Locomotive ID","value":"4025"},{"id":130,"name":"Impact","value":""},{"id":150,"name":"Time of Event (Mountain Time)","value":"10:25:22"},{"id":151,"name":"Denver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117"/>
        <v>start /low /b %USERPROFILE%\Documents\GitHub\eaglep3\Utilities\DownloadLogsFromS3.py --loco 4025 --day 2017-05-19</v>
      </c>
      <c r="AN235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16:25:22"},{"id":29,"name":"Sharepoint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692</v>
      </c>
      <c r="B236" s="7">
        <v>4039</v>
      </c>
      <c r="C236" s="21" t="s">
        <v>206</v>
      </c>
      <c r="D236" s="21" t="s">
        <v>967</v>
      </c>
      <c r="E236" s="13">
        <v>42874.288622685184</v>
      </c>
      <c r="F236" s="13">
        <v>42874.290011574078</v>
      </c>
      <c r="G236" s="7">
        <v>1</v>
      </c>
      <c r="H236" s="21" t="s">
        <v>910</v>
      </c>
      <c r="I236" s="13">
        <v>42874.29115740741</v>
      </c>
      <c r="J236" s="7">
        <v>0</v>
      </c>
      <c r="K236" s="92" t="str">
        <f t="shared" si="105"/>
        <v>4039/4040</v>
      </c>
      <c r="L236" s="21" t="str">
        <f>VLOOKUP(A236,'Trips&amp;Operators'!$C$1:$G$99999,5,FALSE)</f>
        <v>BEAM ROSS</v>
      </c>
      <c r="M236" s="6">
        <f t="shared" si="106"/>
        <v>1.1458333319751546E-3</v>
      </c>
      <c r="N236" s="7">
        <f t="shared" si="119"/>
        <v>1.6499999980442226</v>
      </c>
      <c r="O236" s="7"/>
      <c r="P236" s="7"/>
      <c r="Q236" s="22"/>
      <c r="R236" s="190"/>
      <c r="S236" s="196">
        <f t="shared" si="120"/>
        <v>0</v>
      </c>
      <c r="T236" s="190" t="e">
        <f t="shared" si="107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108"/>
        <v>https://d0f6bd738d7f1b3e5a7ca70fe4ff75f0.us-east-1.aws.found.io/app/kibana#/discover/Steve-Slow-Train-Analysis-(2080s-and-2083s)?_g=(refreshInterval:(display:Off,pause:!f,section:0,value:0),time:(from:'2017-05-19T05:55:37-0600',mode:absolute,to:'2017-05-19T07:59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6" s="192" t="str">
        <f t="shared" si="109"/>
        <v>Y</v>
      </c>
      <c r="X236" s="192" t="e">
        <f t="shared" si="123"/>
        <v>#VALUE!</v>
      </c>
      <c r="Y236" s="192">
        <f t="shared" si="122"/>
        <v>0.30070000000000002</v>
      </c>
      <c r="Z236" s="192">
        <f t="shared" si="121"/>
        <v>1.34E-2</v>
      </c>
      <c r="AA236" s="192">
        <f t="shared" si="110"/>
        <v>0.2873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111"/>
        <v>62-19</v>
      </c>
      <c r="AE236" s="80" t="str">
        <f t="shared" si="112"/>
        <v>aws s3 cp s3://rtdc.mdm.uploadarchive.raw/RTDC4039/ "%USERPROFILE%\AppData\Local\Temp\OnboardLogs"\RTDC4039\2017-05-19 --exclude "*" --recursive --include "*20170519*" &amp; "%USERPROFILE%\Documents\GitHub\mrs-test-scripts\Headless Mode &amp; Sideloading\WalkAndUnGZ.bat" "%USERPROFILE%\AppData\Local\Temp\OnboardLogs"\RTDC4039\2017-05-19 &amp; aws s3 cp s3://rtdc.mdm.uploadarchive.raw/RTDC4039/ "%USERPROFILE%\AppData\Local\Temp\OnboardLogs"\RTDC4039\2017-05-20 --exclude "*" --recursive --include "*20170520*" &amp; "%USERPROFILE%\Documents\GitHub\mrs-test-scripts\Headless Mode &amp; Sideloading\WalkAndUnGZ.bat" "%USERPROFILE%\AppData\Local\Temp\OnboardLogs"\RTDC4039\2017-05-20</v>
      </c>
      <c r="AF236" s="77" t="str">
        <f t="shared" si="113"/>
        <v>"C:\Program Files (x86)\AstroGrep\AstroGrep.exe" /e /r /s /spath="%USERPROFILE%\AppData\Local\Temp\OnboardLogs" /stypes="app*4039*20170519*" /stext=" 12:.+((SYSTEM_STATE.+slice.+state.+changed )|(ment ac)|(multiple cpu faults)|(system.+state.+changed )|(\[timeout)|(PRM\|1\|D)|(kpr)|(kdp)|(train st.+moving)|(\|lc)|(penalty))"</v>
      </c>
      <c r="AG236" s="1" t="str">
        <f t="shared" si="114"/>
        <v>Other</v>
      </c>
      <c r="AH236" s="81" t="str">
        <f t="shared" si="115"/>
        <v>"%USERPROFILE%\Documents\GitHub\eaglep3\Utilities\RefineRTDCRunTimes.py" --tripid 62-19 --locoid 4039 --swversion DE.1.0.9.0 --startMP 204:3007 --initTime 2017-05-19T06:55:37 --startdatetime 2017-05-19T06:57:37 --delay 1 --endMP 204:134 --enddatetime 2017-05-19T06:59:16 --enforcementcount 0 &gt;&gt;C:\Users\stu\Documents\GitHub\eaglep3-reporting\EC\2017-05-19-refined-times.txt</v>
      </c>
      <c r="AI236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{"issue":{"subject":"","project_id":79,"tracker_id":40,"status_id":1,"priority_id":2,"assigned_to_id":23,"start_date":"2017-05-19","description":"","custom_fields":[{"id":1,"name":"Subdivision","value":"Other"},{"id":4,"name":"Milepost","value":"0.0134"},{"id":17,"name":"Train ID","value":"62-19"},{"id":16,"name":"Locomotive ID","value":"4039"},{"id":130,"name":"Impact","value":""},{"id":150,"name":"Time of Event (Mountain Time)","value":"06:59:16"},{"id":151,"name":"Denver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117"/>
        <v>start /low /b %USERPROFILE%\Documents\GitHub\eaglep3\Utilities\DownloadLogsFromS3.py --loco 4039 --day 2017-05-19</v>
      </c>
      <c r="AN236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12:59:16"},{"id":29,"name":"Sharepoint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692</v>
      </c>
      <c r="B237" s="7">
        <v>4040</v>
      </c>
      <c r="C237" s="21" t="s">
        <v>206</v>
      </c>
      <c r="D237" s="21" t="s">
        <v>968</v>
      </c>
      <c r="E237" s="13">
        <v>42874.285532407404</v>
      </c>
      <c r="F237" s="13">
        <v>42874.290011574078</v>
      </c>
      <c r="G237" s="7">
        <v>1</v>
      </c>
      <c r="H237" s="21" t="s">
        <v>969</v>
      </c>
      <c r="I237" s="13">
        <v>42874.29115740741</v>
      </c>
      <c r="J237" s="7">
        <v>0</v>
      </c>
      <c r="K237" s="92" t="str">
        <f t="shared" si="105"/>
        <v>4039/4040</v>
      </c>
      <c r="L237" s="21" t="str">
        <f>VLOOKUP(A237,'Trips&amp;Operators'!$C$1:$G$99999,5,FALSE)</f>
        <v>BEAM ROSS</v>
      </c>
      <c r="M237" s="6">
        <f t="shared" si="106"/>
        <v>1.1458333319751546E-3</v>
      </c>
      <c r="N237" s="7">
        <f t="shared" si="119"/>
        <v>1.6499999980442226</v>
      </c>
      <c r="O237" s="7"/>
      <c r="P237" s="7"/>
      <c r="Q237" s="22"/>
      <c r="R237" s="190"/>
      <c r="S237" s="196">
        <f t="shared" si="120"/>
        <v>0</v>
      </c>
      <c r="T237" s="190" t="e">
        <f t="shared" si="107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108"/>
        <v>https://d0f6bd738d7f1b3e5a7ca70fe4ff75f0.us-east-1.aws.found.io/app/kibana#/discover/Steve-Slow-Train-Analysis-(2080s-and-2083s)?_g=(refreshInterval:(display:Off,pause:!f,section:0,value:0),time:(from:'2017-05-19T05:51:10-0600',mode:absolute,to:'2017-05-19T07:59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7" s="192" t="str">
        <f t="shared" si="109"/>
        <v>Y</v>
      </c>
      <c r="X237" s="192" t="e">
        <f t="shared" si="123"/>
        <v>#VALUE!</v>
      </c>
      <c r="Y237" s="192">
        <f t="shared" si="122"/>
        <v>0.14860000000000001</v>
      </c>
      <c r="Z237" s="192">
        <f t="shared" si="121"/>
        <v>0.33339999999999997</v>
      </c>
      <c r="AA237" s="192">
        <f t="shared" si="110"/>
        <v>0.18479999999999996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111"/>
        <v>62-19</v>
      </c>
      <c r="AE237" s="80" t="str">
        <f t="shared" si="112"/>
        <v>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 &amp; aws s3 cp s3://rtdc.mdm.uploadarchive.raw/RTDC4040/ "%USERPROFILE%\AppData\Local\Temp\OnboardLogs"\RTDC4040\2017-05-20 --exclude "*" --recursive --include "*20170520*" &amp; "%USERPROFILE%\Documents\GitHub\mrs-test-scripts\Headless Mode &amp; Sideloading\WalkAndUnGZ.bat" "%USERPROFILE%\AppData\Local\Temp\OnboardLogs"\RTDC4040\2017-05-20</v>
      </c>
      <c r="AF237" s="77" t="str">
        <f t="shared" si="113"/>
        <v>"C:\Program Files (x86)\AstroGrep\AstroGrep.exe" /e /r /s /spath="%USERPROFILE%\AppData\Local\Temp\OnboardLogs" /stypes="app*4040*20170519*" /stext=" 12:.+((SYSTEM_STATE.+slice.+state.+changed )|(ment ac)|(multiple cpu faults)|(system.+state.+changed )|(\[timeout)|(PRM\|1\|D)|(kpr)|(kdp)|(train st.+moving)|(\|lc)|(penalty))"</v>
      </c>
      <c r="AG237" s="1" t="str">
        <f t="shared" si="114"/>
        <v>Other</v>
      </c>
      <c r="AH237" s="81" t="str">
        <f t="shared" si="115"/>
        <v>"%USERPROFILE%\Documents\GitHub\eaglep3\Utilities\RefineRTDCRunTimes.py" --tripid 62-19 --locoid 4040 --swversion DE.1.0.9.0 --startMP 204:1486 --initTime 2017-05-19T06:51:10 --startdatetime 2017-05-19T06:57:37 --delay 1 --endMP 204:3334 --enddatetime 2017-05-19T06:59:16 --enforcementcount 0 &gt;&gt;C:\Users\stu\Documents\GitHub\eaglep3-reporting\EC\2017-05-19-refined-times.txt</v>
      </c>
      <c r="AI237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{"issue":{"subject":"","project_id":79,"tracker_id":40,"status_id":1,"priority_id":2,"assigned_to_id":23,"start_date":"2017-05-19","description":"","custom_fields":[{"id":1,"name":"Subdivision","value":"Other"},{"id":4,"name":"Milepost","value":"0.3334"},{"id":17,"name":"Train ID","value":"62-19"},{"id":16,"name":"Locomotive ID","value":"4040"},{"id":130,"name":"Impact","value":""},{"id":150,"name":"Time of Event (Mountain Time)","value":"06:59:16"},{"id":151,"name":"Denver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117"/>
        <v>start /low /b %USERPROFILE%\Documents\GitHub\eaglep3\Utilities\DownloadLogsFromS3.py --loco 4040 --day 2017-05-19</v>
      </c>
      <c r="AN237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12:59:16"},{"id":29,"name":"Sharepoint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851</v>
      </c>
      <c r="B238" s="7">
        <v>4032</v>
      </c>
      <c r="C238" s="21" t="s">
        <v>206</v>
      </c>
      <c r="D238" s="21" t="s">
        <v>970</v>
      </c>
      <c r="E238" s="13">
        <v>42875.003495370373</v>
      </c>
      <c r="F238" s="13">
        <v>42875.0077662037</v>
      </c>
      <c r="G238" s="7">
        <v>3</v>
      </c>
      <c r="H238" s="21" t="s">
        <v>417</v>
      </c>
      <c r="I238" s="13">
        <v>42875.018784722219</v>
      </c>
      <c r="J238" s="7">
        <v>0</v>
      </c>
      <c r="K238" s="92" t="str">
        <f t="shared" si="105"/>
        <v>4031/4032</v>
      </c>
      <c r="L238" s="21" t="str">
        <f>VLOOKUP(A238,'Trips&amp;Operators'!$C$1:$G$99999,5,FALSE)</f>
        <v>DUNCAN SHEILA</v>
      </c>
      <c r="M238" s="6">
        <f t="shared" si="106"/>
        <v>1.1018518518540077E-2</v>
      </c>
      <c r="N238" s="7">
        <f t="shared" si="119"/>
        <v>15.866666666697711</v>
      </c>
      <c r="O238" s="7"/>
      <c r="P238" s="7"/>
      <c r="Q238" s="22"/>
      <c r="R238" s="190"/>
      <c r="S238" s="196">
        <f t="shared" si="120"/>
        <v>0</v>
      </c>
      <c r="T238" s="190" t="e">
        <f t="shared" si="107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108"/>
        <v>https://d0f6bd738d7f1b3e5a7ca70fe4ff75f0.us-east-1.aws.found.io/app/kibana#/discover/Steve-Slow-Train-Analysis-(2080s-and-2083s)?_g=(refreshInterval:(display:Off,pause:!f,section:0,value:0),time:(from:'2017-05-19T23:05:02-0600',mode:absolute,to:'2017-05-20T01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8" s="192" t="str">
        <f t="shared" si="109"/>
        <v>Y</v>
      </c>
      <c r="X238" s="192" t="e">
        <f t="shared" si="123"/>
        <v>#VALUE!</v>
      </c>
      <c r="Y238" s="192">
        <f t="shared" si="122"/>
        <v>0.1173</v>
      </c>
      <c r="Z238" s="192">
        <f t="shared" si="121"/>
        <v>2.3304</v>
      </c>
      <c r="AA238" s="192">
        <f t="shared" si="110"/>
        <v>2.2130999999999998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111"/>
        <v>68-19</v>
      </c>
      <c r="AE238" s="80" t="str">
        <f t="shared" si="112"/>
        <v>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 &amp; aws s3 cp s3://rtdc.mdm.uploadarchive.raw/RTDC4032/ "%USERPROFILE%\AppData\Local\Temp\OnboardLogs"\RTDC4032\2017-05-21 --exclude "*" --recursive --include "*20170521*" &amp; "%USERPROFILE%\Documents\GitHub\mrs-test-scripts\Headless Mode &amp; Sideloading\WalkAndUnGZ.bat" "%USERPROFILE%\AppData\Local\Temp\OnboardLogs"\RTDC4032\2017-05-21</v>
      </c>
      <c r="AF238" s="77" t="str">
        <f t="shared" si="113"/>
        <v>"C:\Program Files (x86)\AstroGrep\AstroGrep.exe" /e /r /s /spath="%USERPROFILE%\AppData\Local\Temp\OnboardLogs" /stypes="app*4032*20170520*" /stext=" 06:.+((SYSTEM_STATE.+slice.+state.+changed )|(ment ac)|(multiple cpu faults)|(system.+state.+changed )|(\[timeout)|(PRM\|1\|D)|(kpr)|(kdp)|(train st.+moving)|(\|lc)|(penalty))"</v>
      </c>
      <c r="AG238" s="1" t="str">
        <f t="shared" si="114"/>
        <v>Other</v>
      </c>
      <c r="AH238" s="81" t="str">
        <f t="shared" si="115"/>
        <v>"%USERPROFILE%\Documents\GitHub\eaglep3\Utilities\RefineRTDCRunTimes.py" --tripid 68-19 --locoid 4032 --swversion DE.1.0.9.0 --startMP 204:1173 --initTime 2017-05-20T00:05:02 --startdatetime 2017-05-20T00:11:11 --delay 3 --endMP 300:23304 --enddatetime 2017-05-20T00:27:03 --enforcementcount 0 &gt;&gt;C:\Users\stu\Documents\GitHub\eaglep3-reporting\EC\2017-05-19-refined-times.txt</v>
      </c>
      <c r="AI238" s="99" t="str">
        <f t="shared" si="116"/>
        <v>echo {"issue":{"subject":"","project_id":79,"tracker_id":40,"status_id":1,"priority_id":2,"assigned_to_id":23,"start_date":"2017-05-20","description":"","custom_fields":[{"id":1,"name":"Subdivision","value":"Other"},{"id":4,"name":"Milepost","value":"2.3304"},{"id":17,"name":"Train ID","value":"68-19"},{"id":16,"name":"Locomotive ID","value":"4032"},{"id":130,"name":"Impact","value":""},{"id":150,"name":"Time of Event (Mountain Time)","value":"00:27:03"},{"id":151,"name":"Denver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117"/>
        <v>start /low /b %USERPROFILE%\Documents\GitHub\eaglep3\Utilities\DownloadLogsFromS3.py --loco 4032 --day 2017-05-20</v>
      </c>
      <c r="AN238" s="154" t="str">
        <f t="shared" si="11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06:27:03"},{"id":29,"name":"Sharepoint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639</v>
      </c>
      <c r="B239" s="7">
        <v>4053</v>
      </c>
      <c r="C239" s="21" t="s">
        <v>206</v>
      </c>
      <c r="D239" s="21" t="s">
        <v>971</v>
      </c>
      <c r="E239" s="13">
        <v>42874.736030092594</v>
      </c>
      <c r="F239" s="13">
        <v>42874.743622685186</v>
      </c>
      <c r="G239" s="7">
        <v>10</v>
      </c>
      <c r="H239" s="21" t="s">
        <v>972</v>
      </c>
      <c r="I239" s="13">
        <v>42874.747743055559</v>
      </c>
      <c r="J239" s="7">
        <v>0</v>
      </c>
      <c r="K239" s="92" t="str">
        <f t="shared" si="105"/>
        <v>4053/4054</v>
      </c>
      <c r="L239" s="21" t="str">
        <f>VLOOKUP(A239,'Trips&amp;Operators'!$C$1:$G$99999,5,FALSE)</f>
        <v>DUNCAN SHEILA</v>
      </c>
      <c r="M239" s="6">
        <f t="shared" si="106"/>
        <v>4.1203703731298447E-3</v>
      </c>
      <c r="N239" s="7">
        <f t="shared" si="119"/>
        <v>5.9333333373069763</v>
      </c>
      <c r="O239" s="7"/>
      <c r="P239" s="7"/>
      <c r="Q239" s="22"/>
      <c r="R239" s="190"/>
      <c r="S239" s="196">
        <f t="shared" si="120"/>
        <v>0</v>
      </c>
      <c r="T239" s="190" t="e">
        <f t="shared" si="107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108"/>
        <v>https://d0f6bd738d7f1b3e5a7ca70fe4ff75f0.us-east-1.aws.found.io/app/kibana#/discover/Steve-Slow-Train-Analysis-(2080s-and-2083s)?_g=(refreshInterval:(display:Off,pause:!f,section:0,value:0),time:(from:'2017-05-19T16:39:53-0600',mode:absolute,to:'2017-05-19T18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9" s="192" t="str">
        <f t="shared" si="109"/>
        <v>Y</v>
      </c>
      <c r="X239" s="192" t="e">
        <f t="shared" si="123"/>
        <v>#VALUE!</v>
      </c>
      <c r="Y239" s="192">
        <f t="shared" si="122"/>
        <v>2.3589000000000002</v>
      </c>
      <c r="Z239" s="192">
        <f t="shared" si="121"/>
        <v>0.51619999999999999</v>
      </c>
      <c r="AA239" s="192">
        <f t="shared" si="110"/>
        <v>1.8427000000000002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111"/>
        <v>70-19</v>
      </c>
      <c r="AE239" s="80" t="str">
        <f t="shared" si="112"/>
        <v>aws s3 cp s3://rtdc.mdm.uploadarchive.raw/RTDC4053/ "%USERPROFILE%\AppData\Local\Temp\OnboardLogs"\RTDC4053\2017-05-19 --exclude "*" --recursive --include "*20170519*" &amp; "%USERPROFILE%\Documents\GitHub\mrs-test-scripts\Headless Mode &amp; Sideloading\WalkAndUnGZ.bat" "%USERPROFILE%\AppData\Local\Temp\OnboardLogs"\RTDC4053\2017-05-19 &amp; aws s3 cp s3://rtdc.mdm.uploadarchive.raw/RTDC4053/ "%USERPROFILE%\AppData\Local\Temp\OnboardLogs"\RTDC4053\2017-05-20 --exclude "*" --recursive --include "*20170520*" &amp; "%USERPROFILE%\Documents\GitHub\mrs-test-scripts\Headless Mode &amp; Sideloading\WalkAndUnGZ.bat" "%USERPROFILE%\AppData\Local\Temp\OnboardLogs"\RTDC4053\2017-05-20</v>
      </c>
      <c r="AF239" s="77" t="str">
        <f t="shared" si="113"/>
        <v>"C:\Program Files (x86)\AstroGrep\AstroGrep.exe" /e /r /s /spath="%USERPROFILE%\AppData\Local\Temp\OnboardLogs" /stypes="app*4053*20170519*" /stext=" 23:.+((SYSTEM_STATE.+slice.+state.+changed )|(ment ac)|(multiple cpu faults)|(system.+state.+changed )|(\[timeout)|(PRM\|1\|D)|(kpr)|(kdp)|(train st.+moving)|(\|lc)|(penalty))"</v>
      </c>
      <c r="AG239" s="1" t="str">
        <f t="shared" si="114"/>
        <v>Other</v>
      </c>
      <c r="AH239" s="81" t="str">
        <f t="shared" si="115"/>
        <v>"%USERPROFILE%\Documents\GitHub\eaglep3\Utilities\RefineRTDCRunTimes.py" --tripid 70-19 --locoid 4053 --swversion DE.1.0.9.0 --startMP 300:23589 --initTime 2017-05-19T17:39:53 --startdatetime 2017-05-19T17:50:49 --delay 10 --endMP 300:5162 --enddatetime 2017-05-19T17:56:45 --enforcementcount 0 &gt;&gt;C:\Users\stu\Documents\GitHub\eaglep3-reporting\EC\2017-05-19-refined-times.txt</v>
      </c>
      <c r="AI239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{"issue":{"subject":"","project_id":79,"tracker_id":40,"status_id":1,"priority_id":2,"assigned_to_id":23,"start_date":"2017-05-19","description":"","custom_fields":[{"id":1,"name":"Subdivision","value":"Other"},{"id":4,"name":"Milepost","value":"0.5162"},{"id":17,"name":"Train ID","value":"70-19"},{"id":16,"name":"Locomotive ID","value":"4053"},{"id":130,"name":"Impact","value":""},{"id":150,"name":"Time of Event (Mountain Time)","value":"17:56:45"},{"id":151,"name":"Denver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117"/>
        <v>start /low /b %USERPROFILE%\Documents\GitHub\eaglep3\Utilities\DownloadLogsFromS3.py --loco 4053 --day 2017-05-19</v>
      </c>
      <c r="AN239" s="154" t="str">
        <f t="shared" si="118"/>
        <v>echo {"issue":{"subject":"","project_id":30,"tracker_id":4,"status_id":1,"priority_id":1,"assigned_to_id":10,"start_date":"2017-05-19","description":"","custom_fields":[{"id":30,"name":"Category","value":"Issue"},{"id":3,"name":"Functional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UTC","value":"2017-05-19 23:56:45"},{"id":29,"name":"Sharepoint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639</v>
      </c>
      <c r="B240" s="7">
        <v>4054</v>
      </c>
      <c r="C240" s="21" t="s">
        <v>206</v>
      </c>
      <c r="D240" s="21" t="s">
        <v>973</v>
      </c>
      <c r="E240" s="13">
        <v>42874.930555555555</v>
      </c>
      <c r="F240" s="13">
        <v>42874.958622685182</v>
      </c>
      <c r="G240" s="7">
        <v>1</v>
      </c>
      <c r="H240" s="21" t="s">
        <v>974</v>
      </c>
      <c r="I240" s="13">
        <v>42874.984525462962</v>
      </c>
      <c r="J240" s="7">
        <v>0</v>
      </c>
      <c r="K240" s="92" t="str">
        <f t="shared" si="105"/>
        <v>4053/4054</v>
      </c>
      <c r="L240" s="21" t="str">
        <f>VLOOKUP(A240,'Trips&amp;Operators'!$C$1:$G$99999,5,FALSE)</f>
        <v>DUNCAN SHEILA</v>
      </c>
      <c r="M240" s="6">
        <f t="shared" si="106"/>
        <v>2.5902777779265307E-2</v>
      </c>
      <c r="N240" s="7">
        <f t="shared" si="119"/>
        <v>37.300000002142042</v>
      </c>
      <c r="O240" s="7"/>
      <c r="P240" s="7"/>
      <c r="Q240" s="22"/>
      <c r="R240" s="190"/>
      <c r="S240" s="196">
        <f t="shared" si="120"/>
        <v>0</v>
      </c>
      <c r="T240" s="190" t="e">
        <f t="shared" si="107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108"/>
        <v>https://d0f6bd738d7f1b3e5a7ca70fe4ff75f0.us-east-1.aws.found.io/app/kibana#/discover/Steve-Slow-Train-Analysis-(2080s-and-2083s)?_g=(refreshInterval:(display:Off,pause:!f,section:0,value:0),time:(from:'2017-05-19T21:20:00-0600',mode:absolute,to:'2017-05-20T00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0" s="192" t="str">
        <f t="shared" si="109"/>
        <v>Y</v>
      </c>
      <c r="X240" s="192" t="e">
        <f t="shared" si="123"/>
        <v>#VALUE!</v>
      </c>
      <c r="Y240" s="192">
        <f t="shared" si="122"/>
        <v>0.1147</v>
      </c>
      <c r="Z240" s="192">
        <f t="shared" si="121"/>
        <v>0.52270000000000005</v>
      </c>
      <c r="AA240" s="192">
        <f t="shared" si="110"/>
        <v>0.40800000000000003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111"/>
        <v>70-19</v>
      </c>
      <c r="AE240" s="80" t="str">
        <f t="shared" si="112"/>
        <v>aws s3 cp s3://rtdc.mdm.uploadarchive.raw/RTDC4054/ "%USERPROFILE%\AppData\Local\Temp\OnboardLogs"\RTDC4054\2017-05-19 --exclude "*" --recursive --include "*20170519*" &amp; "%USERPROFILE%\Documents\GitHub\mrs-test-scripts\Headless Mode &amp; Sideloading\WalkAndUnGZ.bat" "%USERPROFILE%\AppData\Local\Temp\OnboardLogs"\RTDC4054\2017-05-19 &amp; aws s3 cp s3://rtdc.mdm.uploadarchive.raw/RTDC4054/ "%USERPROFILE%\AppData\Local\Temp\OnboardLogs"\RTDC4054\2017-05-20 --exclude "*" --recursive --include "*20170520*" &amp; "%USERPROFILE%\Documents\GitHub\mrs-test-scripts\Headless Mode &amp; Sideloading\WalkAndUnGZ.bat" "%USERPROFILE%\AppData\Local\Temp\OnboardLogs"\RTDC4054\2017-05-20</v>
      </c>
      <c r="AF240" s="77" t="str">
        <f t="shared" si="113"/>
        <v>"C:\Program Files (x86)\AstroGrep\AstroGrep.exe" /e /r /s /spath="%USERPROFILE%\AppData\Local\Temp\OnboardLogs" /stypes="app*4054*20170520*" /stext=" 05:.+((SYSTEM_STATE.+slice.+state.+changed )|(ment ac)|(multiple cpu faults)|(system.+state.+changed )|(\[timeout)|(PRM\|1\|D)|(kpr)|(kdp)|(train st.+moving)|(\|lc)|(penalty))"</v>
      </c>
      <c r="AG240" s="1" t="str">
        <f t="shared" si="114"/>
        <v>Other</v>
      </c>
      <c r="AH240" s="81" t="str">
        <f t="shared" si="115"/>
        <v>"%USERPROFILE%\Documents\GitHub\eaglep3\Utilities\RefineRTDCRunTimes.py" --tripid 70-19 --locoid 4054 --swversion DE.1.0.9.0 --startMP 204:1147 --initTime 2017-05-19T22:20:00 --startdatetime 2017-05-19T23:00:25 --delay 1 --endMP 204:5227 --enddatetime 2017-05-19T23:37:43 --enforcementcount 0 &gt;&gt;C:\Users\stu\Documents\GitHub\eaglep3-reporting\EC\2017-05-19-refined-times.txt</v>
      </c>
      <c r="AI240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{"issue":{"subject":"","project_id":79,"tracker_id":40,"status_id":1,"priority_id":2,"assigned_to_id":23,"start_date":"2017-05-19","description":"","custom_fields":[{"id":1,"name":"Subdivision","value":"Other"},{"id":4,"name":"Milepost","value":"0.5227"},{"id":17,"name":"Train ID","value":"70-19"},{"id":16,"name":"Locomotive ID","value":"4054"},{"id":130,"name":"Impact","value":""},{"id":150,"name":"Time of Event (Mountain Time)","value":"23:37:43"},{"id":151,"name":"Denver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117"/>
        <v>start /low /b %USERPROFILE%\Documents\GitHub\eaglep3\Utilities\DownloadLogsFromS3.py --loco 4054 --day 2017-05-19</v>
      </c>
      <c r="AN240" s="154" t="str">
        <f t="shared" si="11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05:37:43"},{"id":29,"name":"Sharepoint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644</v>
      </c>
      <c r="B241" s="7">
        <v>4061</v>
      </c>
      <c r="C241" s="21" t="s">
        <v>206</v>
      </c>
      <c r="D241" s="21" t="s">
        <v>975</v>
      </c>
      <c r="E241" s="13">
        <v>42874.81150462963</v>
      </c>
      <c r="F241" s="13">
        <v>42874.819236111114</v>
      </c>
      <c r="G241" s="7">
        <v>11</v>
      </c>
      <c r="H241" s="21" t="s">
        <v>976</v>
      </c>
      <c r="I241" s="13">
        <v>42874.819398148145</v>
      </c>
      <c r="J241" s="7">
        <v>0</v>
      </c>
      <c r="K241" s="92" t="str">
        <f t="shared" si="105"/>
        <v>4061/4062</v>
      </c>
      <c r="L241" s="21" t="str">
        <f>VLOOKUP(A241,'Trips&amp;Operators'!$C$1:$G$99999,5,FALSE)</f>
        <v>FORTUNATO FRANK</v>
      </c>
      <c r="M241" s="6">
        <f t="shared" si="106"/>
        <v>1.6203703125938773E-4</v>
      </c>
      <c r="N241" s="7">
        <f t="shared" si="119"/>
        <v>0.23333332501351833</v>
      </c>
      <c r="O241" s="7"/>
      <c r="P241" s="7"/>
      <c r="Q241" s="22"/>
      <c r="R241" s="190"/>
      <c r="S241" s="196">
        <f t="shared" si="120"/>
        <v>0</v>
      </c>
      <c r="T241" s="190" t="e">
        <f t="shared" si="107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108"/>
        <v>https://d0f6bd738d7f1b3e5a7ca70fe4ff75f0.us-east-1.aws.found.io/app/kibana#/discover/Steve-Slow-Train-Analysis-(2080s-and-2083s)?_g=(refreshInterval:(display:Off,pause:!f,section:0,value:0),time:(from:'2017-05-19T18:28:34-0600',mode:absolute,to:'2017-05-19T20:39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1" s="192" t="str">
        <f t="shared" si="109"/>
        <v>Y</v>
      </c>
      <c r="X241" s="192" t="e">
        <f t="shared" si="123"/>
        <v>#VALUE!</v>
      </c>
      <c r="Y241" s="192">
        <f t="shared" si="122"/>
        <v>2.3170999999999999</v>
      </c>
      <c r="Z241" s="192">
        <f t="shared" si="121"/>
        <v>8.7099999999999997E-2</v>
      </c>
      <c r="AA241" s="192">
        <f t="shared" si="110"/>
        <v>2.23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111"/>
        <v>80-19</v>
      </c>
      <c r="AE241" s="80" t="str">
        <f t="shared" si="112"/>
        <v>aws s3 cp s3://rtdc.mdm.uploadarchive.raw/RTDC4061/ "%USERPROFILE%\AppData\Local\Temp\OnboardLogs"\RTDC4061\2017-05-19 --exclude "*" --recursive --include "*20170519*" &amp; "%USERPROFILE%\Documents\GitHub\mrs-test-scripts\Headless Mode &amp; Sideloading\WalkAndUnGZ.bat" "%USERPROFILE%\AppData\Local\Temp\OnboardLogs"\RTDC4061\2017-05-19 &amp; aws s3 cp s3://rtdc.mdm.uploadarchive.raw/RTDC4061/ "%USERPROFILE%\AppData\Local\Temp\OnboardLogs"\RTDC4061\2017-05-20 --exclude "*" --recursive --include "*20170520*" &amp; "%USERPROFILE%\Documents\GitHub\mrs-test-scripts\Headless Mode &amp; Sideloading\WalkAndUnGZ.bat" "%USERPROFILE%\AppData\Local\Temp\OnboardLogs"\RTDC4061\2017-05-20</v>
      </c>
      <c r="AF241" s="77" t="str">
        <f t="shared" si="113"/>
        <v>"C:\Program Files (x86)\AstroGrep\AstroGrep.exe" /e /r /s /spath="%USERPROFILE%\AppData\Local\Temp\OnboardLogs" /stypes="app*4061*20170520*" /stext=" 01:.+((SYSTEM_STATE.+slice.+state.+changed )|(ment ac)|(multiple cpu faults)|(system.+state.+changed )|(\[timeout)|(PRM\|1\|D)|(kpr)|(kdp)|(train st.+moving)|(\|lc)|(penalty))"</v>
      </c>
      <c r="AG241" s="1" t="str">
        <f t="shared" si="114"/>
        <v>Other</v>
      </c>
      <c r="AH241" s="81" t="str">
        <f t="shared" si="115"/>
        <v>"%USERPROFILE%\Documents\GitHub\eaglep3\Utilities\RefineRTDCRunTimes.py" --tripid 80-19 --locoid 4061 --swversion DE.1.0.9.0 --startMP 300:23171 --initTime 2017-05-19T19:28:34 --startdatetime 2017-05-19T19:39:42 --delay 11 --endMP 204:871 --enddatetime 2017-05-19T19:39:56 --enforcementcount 0 &gt;&gt;C:\Users\stu\Documents\GitHub\eaglep3-reporting\EC\2017-05-19-refined-times.txt</v>
      </c>
      <c r="AI241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{"issue":{"subject":"","project_id":79,"tracker_id":40,"status_id":1,"priority_id":2,"assigned_to_id":23,"start_date":"2017-05-19","description":"","custom_fields":[{"id":1,"name":"Subdivision","value":"Other"},{"id":4,"name":"Milepost","value":"0.0871"},{"id":17,"name":"Train ID","value":"80-19"},{"id":16,"name":"Locomotive ID","value":"4061"},{"id":130,"name":"Impact","value":""},{"id":150,"name":"Time of Event (Mountain Time)","value":"19:39:56"},{"id":151,"name":"Denver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117"/>
        <v>start /low /b %USERPROFILE%\Documents\GitHub\eaglep3\Utilities\DownloadLogsFromS3.py --loco 4061 --day 2017-05-19</v>
      </c>
      <c r="AN241" s="154" t="str">
        <f t="shared" si="11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01:39:56"},{"id":29,"name":"Sharepoint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644</v>
      </c>
      <c r="B242" s="7">
        <v>4062</v>
      </c>
      <c r="C242" s="21" t="s">
        <v>206</v>
      </c>
      <c r="D242" s="21" t="s">
        <v>977</v>
      </c>
      <c r="E242" s="13">
        <v>42874.980092592596</v>
      </c>
      <c r="F242" s="13">
        <v>42874.981770833336</v>
      </c>
      <c r="G242" s="7">
        <v>1</v>
      </c>
      <c r="H242" s="21" t="s">
        <v>417</v>
      </c>
      <c r="I242" s="13">
        <v>25568.708333333332</v>
      </c>
      <c r="J242" s="7">
        <v>0</v>
      </c>
      <c r="K242" s="92" t="str">
        <f t="shared" si="105"/>
        <v>4061/4062</v>
      </c>
      <c r="L242" s="21" t="str">
        <f>VLOOKUP(A242,'Trips&amp;Operators'!$C$1:$G$99999,5,FALSE)</f>
        <v>FORTUNATO FRANK</v>
      </c>
      <c r="M242" s="6">
        <f t="shared" si="106"/>
        <v>-17306.273437500004</v>
      </c>
      <c r="N242" s="7">
        <f t="shared" si="119"/>
        <v>-24921033.750000004</v>
      </c>
      <c r="O242" s="7"/>
      <c r="P242" s="7"/>
      <c r="Q242" s="22"/>
      <c r="R242" s="190"/>
      <c r="S242" s="196">
        <f t="shared" si="120"/>
        <v>0</v>
      </c>
      <c r="T242" s="190" t="e">
        <f t="shared" si="107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108"/>
        <v>https://d0f6bd738d7f1b3e5a7ca70fe4ff75f0.us-east-1.aws.found.io/app/kibana#/discover/Steve-Slow-Train-Analysis-(2080s-and-2083s)?_g=(refreshInterval:(display:Off,pause:!f,section:0,value:0),time:(from:'2017-05-19T22:31:20-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42" s="192" t="str">
        <f t="shared" si="109"/>
        <v>Y</v>
      </c>
      <c r="X242" s="192" t="e">
        <f t="shared" si="123"/>
        <v>#VALUE!</v>
      </c>
      <c r="Y242" s="192">
        <f t="shared" si="122"/>
        <v>0.11600000000000001</v>
      </c>
      <c r="Z242" s="192">
        <f t="shared" si="121"/>
        <v>2.3304</v>
      </c>
      <c r="AA242" s="192">
        <f t="shared" si="110"/>
        <v>2.2143999999999999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111"/>
        <v>80-19</v>
      </c>
      <c r="AE242" s="80" t="str">
        <f t="shared" si="112"/>
        <v>aws s3 cp s3://rtdc.mdm.uploadarchive.raw/RTDC4062/ "%USERPROFILE%\AppData\Local\Temp\OnboardLogs"\RTDC4062\2017-05-19 --exclude "*" --recursive --include "*20170519*" &amp; "%USERPROFILE%\Documents\GitHub\mrs-test-scripts\Headless Mode &amp; Sideloading\WalkAndUnGZ.bat" "%USERPROFILE%\AppData\Local\Temp\OnboardLogs"\RTDC4062\2017-05-19 &amp; aws s3 cp s3://rtdc.mdm.uploadarchive.raw/RTDC4062/ "%USERPROFILE%\AppData\Local\Temp\OnboardLogs"\RTDC4062\2017-05-20 --exclude "*" --recursive --include "*20170520*" &amp; "%USERPROFILE%\Documents\GitHub\mrs-test-scripts\Headless Mode &amp; Sideloading\WalkAndUnGZ.bat" "%USERPROFILE%\AppData\Local\Temp\OnboardLogs"\RTDC4062\2017-05-20</v>
      </c>
      <c r="AF242" s="77" t="str">
        <f t="shared" si="113"/>
        <v>"C:\Program Files (x86)\AstroGrep\AstroGrep.exe" /e /r /s /spath="%USERPROFILE%\AppData\Local\Temp\OnboardLogs" /stypes="app*4062*19691231*" /stext=" 23:.+((SYSTEM_STATE.+slice.+state.+changed )|(ment ac)|(multiple cpu faults)|(system.+state.+changed )|(\[timeout)|(PRM\|1\|D)|(kpr)|(kdp)|(train st.+moving)|(\|lc)|(penalty))"</v>
      </c>
      <c r="AG242" s="1" t="str">
        <f t="shared" si="114"/>
        <v>Other</v>
      </c>
      <c r="AH242" s="81" t="str">
        <f t="shared" si="115"/>
        <v>"%USERPROFILE%\Documents\GitHub\eaglep3\Utilities\RefineRTDCRunTimes.py" --tripid 80-19 --locoid 4062 --swversion DE.1.0.9.0 --startMP 204:1160 --initTime 2017-05-19T23:31:20 --startdatetime 2017-05-19T23:33:45 --delay 1 --endMP 300:23304 --enddatetime 1969-12-31T17:00:00 --enforcementcount 0 &gt;&gt;C:\Users\stu\Documents\GitHub\eaglep3-reporting\EC\2017-05-19-refined-times.txt</v>
      </c>
      <c r="AI242" s="99" t="str">
        <f t="shared" si="116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ID","value":"80-19"},{"id":16,"name":"Locomotive ID","value":"4062"},{"id":130,"name":"Impact","value":""},{"id":150,"name":"Time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117"/>
        <v>start /low /b %USERPROFILE%\Documents\GitHub\eaglep3\Utilities\DownloadLogsFromS3.py --loco 4062 --day 2017-05-19</v>
      </c>
      <c r="AN242" s="154" t="str">
        <f t="shared" si="118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827</v>
      </c>
      <c r="B243" s="7">
        <v>4062</v>
      </c>
      <c r="C243" s="21" t="s">
        <v>206</v>
      </c>
      <c r="D243" s="21" t="s">
        <v>990</v>
      </c>
      <c r="E243" s="13">
        <v>42874.82912037037</v>
      </c>
      <c r="F243" s="13">
        <v>42874.860925925925</v>
      </c>
      <c r="G243" s="7">
        <v>1</v>
      </c>
      <c r="H243" s="21" t="s">
        <v>477</v>
      </c>
      <c r="I243" s="13">
        <v>42874.888043981482</v>
      </c>
      <c r="J243" s="7">
        <v>0</v>
      </c>
      <c r="K243" s="92" t="str">
        <f t="shared" si="105"/>
        <v>4061/4062</v>
      </c>
      <c r="L243" s="21" t="str">
        <f>VLOOKUP(A243,'Trips&amp;Operators'!$C$1:$G$99999,5,FALSE)</f>
        <v>FORTUNATO FRANK</v>
      </c>
      <c r="M243" s="6">
        <f t="shared" si="106"/>
        <v>2.7118055557366461E-2</v>
      </c>
      <c r="N243" s="7">
        <f t="shared" si="119"/>
        <v>39.050000002607703</v>
      </c>
      <c r="O243" s="7"/>
      <c r="P243" s="7"/>
      <c r="Q243" s="22"/>
      <c r="R243" s="190"/>
      <c r="S243" s="196">
        <f t="shared" si="120"/>
        <v>0</v>
      </c>
      <c r="T243" s="190" t="e">
        <f t="shared" si="107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108"/>
        <v>https://d0f6bd738d7f1b3e5a7ca70fe4ff75f0.us-east-1.aws.found.io/app/kibana#/discover/Steve-Slow-Train-Analysis-(2080s-and-2083s)?_g=(refreshInterval:(display:Off,pause:!f,section:0,value:0),time:(from:'2017-05-19T18:53:56-0600',mode:absolute,to:'2017-05-19T22:18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43" s="192" t="str">
        <f t="shared" si="109"/>
        <v>N</v>
      </c>
      <c r="X243" s="192" t="e">
        <f t="shared" si="123"/>
        <v>#VALUE!</v>
      </c>
      <c r="Y243" s="192">
        <f t="shared" si="122"/>
        <v>0.1186</v>
      </c>
      <c r="Z243" s="192">
        <f t="shared" si="121"/>
        <v>23.331399999999999</v>
      </c>
      <c r="AA243" s="192">
        <f t="shared" si="110"/>
        <v>23.212799999999998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111"/>
        <v>81-19</v>
      </c>
      <c r="AE243" s="80" t="str">
        <f t="shared" si="112"/>
        <v>aws s3 cp s3://rtdc.mdm.uploadarchive.raw/RTDC4062/ "%USERPROFILE%\AppData\Local\Temp\OnboardLogs"\RTDC4062\2017-05-19 --exclude "*" --recursive --include "*20170519*" &amp; "%USERPROFILE%\Documents\GitHub\mrs-test-scripts\Headless Mode &amp; Sideloading\WalkAndUnGZ.bat" "%USERPROFILE%\AppData\Local\Temp\OnboardLogs"\RTDC4062\2017-05-19 &amp; aws s3 cp s3://rtdc.mdm.uploadarchive.raw/RTDC4062/ "%USERPROFILE%\AppData\Local\Temp\OnboardLogs"\RTDC4062\2017-05-20 --exclude "*" --recursive --include "*20170520*" &amp; "%USERPROFILE%\Documents\GitHub\mrs-test-scripts\Headless Mode &amp; Sideloading\WalkAndUnGZ.bat" "%USERPROFILE%\AppData\Local\Temp\OnboardLogs"\RTDC4062\2017-05-20</v>
      </c>
      <c r="AF243" s="77" t="str">
        <f t="shared" si="113"/>
        <v>"C:\Program Files (x86)\AstroGrep\AstroGrep.exe" /e /r /s /spath="%USERPROFILE%\AppData\Local\Temp\OnboardLogs" /stypes="app*4062*20170520*" /stext=" 03:.+((SYSTEM_STATE.+slice.+state.+changed )|(ment ac)|(multiple cpu faults)|(system.+state.+changed )|(\[timeout)|(PRM\|1\|D)|(kpr)|(kdp)|(train st.+moving)|(\|lc)|(penalty))"</v>
      </c>
      <c r="AG243" s="1" t="str">
        <f t="shared" si="114"/>
        <v>Other</v>
      </c>
      <c r="AH243" s="81" t="str">
        <f t="shared" si="115"/>
        <v>"%USERPROFILE%\Documents\GitHub\eaglep3\Utilities\RefineRTDCRunTimes.py" --tripid 81-19 --locoid 4062 --swversion DE.1.0.9.0 --startMP 204:1186 --initTime 2017-05-19T19:53:56 --startdatetime 2017-05-19T20:39:44 --delay 1 --endMP 204:233314 --enddatetime 2017-05-19T21:18:47 --enforcementcount 0 &gt;&gt;C:\Users\stu\Documents\GitHub\eaglep3-reporting\EC\2017-05-19-refined-times.txt</v>
      </c>
      <c r="AI243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{"issue":{"subject":"","project_id":79,"tracker_id":40,"status_id":1,"priority_id":2,"assigned_to_id":23,"start_date":"2017-05-19","description":"","custom_fields":[{"id":1,"name":"Subdivision","value":"Other"},{"id":4,"name":"Milepost","value":"23.3314"},{"id":17,"name":"Train ID","value":"81-19"},{"id":16,"name":"Locomotive ID","value":"4062"},{"id":130,"name":"Impact","value":""},{"id":150,"name":"Time of Event (Mountain Time)","value":"21:18:47"},{"id":151,"name":"Denver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117"/>
        <v>start /low /b %USERPROFILE%\Documents\GitHub\eaglep3\Utilities\DownloadLogsFromS3.py --loco 4062 --day 2017-05-19</v>
      </c>
      <c r="AN243" s="154" t="str">
        <f t="shared" si="11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03:18:47"},{"id":29,"name":"Sharepoint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829</v>
      </c>
      <c r="B244" s="7">
        <v>4025</v>
      </c>
      <c r="C244" s="21" t="s">
        <v>206</v>
      </c>
      <c r="D244" s="21" t="s">
        <v>1002</v>
      </c>
      <c r="E244" s="13">
        <v>42874.835717592592</v>
      </c>
      <c r="F244" s="13">
        <v>42874.840995370374</v>
      </c>
      <c r="G244" s="7">
        <v>3</v>
      </c>
      <c r="H244" s="21" t="s">
        <v>1003</v>
      </c>
      <c r="I244" s="13">
        <v>42874.844490740739</v>
      </c>
      <c r="J244" s="7">
        <v>0</v>
      </c>
      <c r="K244" s="92" t="str">
        <f t="shared" si="105"/>
        <v>4025/4026</v>
      </c>
      <c r="L244" s="21" t="str">
        <f>VLOOKUP(A244,'Trips&amp;Operators'!$C$1:$G$99999,5,FALSE)</f>
        <v>HOLCOMB KAMDEN</v>
      </c>
      <c r="M244" s="6">
        <f t="shared" si="106"/>
        <v>3.4953703652718104E-3</v>
      </c>
      <c r="N244" s="7">
        <f t="shared" si="119"/>
        <v>5.033333325991407</v>
      </c>
      <c r="O244" s="7"/>
      <c r="P244" s="7"/>
      <c r="Q244" s="22"/>
      <c r="R244" s="190"/>
      <c r="S244" s="196">
        <f t="shared" si="120"/>
        <v>0</v>
      </c>
      <c r="T244" s="190" t="e">
        <f t="shared" si="107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108"/>
        <v>https://d0f6bd738d7f1b3e5a7ca70fe4ff75f0.us-east-1.aws.found.io/app/kibana#/discover/Steve-Slow-Train-Analysis-(2080s-and-2083s)?_g=(refreshInterval:(display:Off,pause:!f,section:0,value:0),time:(from:'2017-05-19T19:03:26-0600',mode:absolute,to:'2017-05-19T21:16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4" s="192" t="str">
        <f t="shared" si="109"/>
        <v>Y</v>
      </c>
      <c r="X244" s="192" t="e">
        <f t="shared" si="123"/>
        <v>#VALUE!</v>
      </c>
      <c r="Y244" s="192">
        <f t="shared" si="122"/>
        <v>2.3571</v>
      </c>
      <c r="Z244" s="192">
        <f t="shared" si="121"/>
        <v>2.1739999999999999</v>
      </c>
      <c r="AA244" s="192">
        <f t="shared" si="110"/>
        <v>0.18310000000000004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111"/>
        <v>82-19</v>
      </c>
      <c r="AE244" s="80" t="str">
        <f t="shared" si="112"/>
        <v>aws s3 cp s3://rtdc.mdm.uploadarchive.raw/RTDC4025/ "%USERPROFILE%\AppData\Local\Temp\OnboardLogs"\RTDC4025\2017-05-19 --exclude "*" --recursive --include "*20170519*" &amp; "%USERPROFILE%\Documents\GitHub\mrs-test-scripts\Headless Mode &amp; Sideloading\WalkAndUnGZ.bat" "%USERPROFILE%\AppData\Local\Temp\OnboardLogs"\RTDC4025\2017-05-19 &amp; aws s3 cp s3://rtdc.mdm.uploadarchive.raw/RTDC4025/ "%USERPROFILE%\AppData\Local\Temp\OnboardLogs"\RTDC4025\2017-05-20 --exclude "*" --recursive --include "*20170520*" &amp; "%USERPROFILE%\Documents\GitHub\mrs-test-scripts\Headless Mode &amp; Sideloading\WalkAndUnGZ.bat" "%USERPROFILE%\AppData\Local\Temp\OnboardLogs"\RTDC4025\2017-05-20</v>
      </c>
      <c r="AF244" s="77" t="str">
        <f t="shared" si="113"/>
        <v>"C:\Program Files (x86)\AstroGrep\AstroGrep.exe" /e /r /s /spath="%USERPROFILE%\AppData\Local\Temp\OnboardLogs" /stypes="app*4025*20170520*" /stext=" 02:.+((SYSTEM_STATE.+slice.+state.+changed )|(ment ac)|(multiple cpu faults)|(system.+state.+changed )|(\[timeout)|(PRM\|1\|D)|(kpr)|(kdp)|(train st.+moving)|(\|lc)|(penalty))"</v>
      </c>
      <c r="AG244" s="1" t="str">
        <f t="shared" si="114"/>
        <v>Other</v>
      </c>
      <c r="AH244" s="81" t="str">
        <f t="shared" si="115"/>
        <v>"%USERPROFILE%\Documents\GitHub\eaglep3\Utilities\RefineRTDCRunTimes.py" --tripid 82-19 --locoid 4025 --swversion DE.1.0.9.0 --startMP 300:23571 --initTime 2017-05-19T20:03:26 --startdatetime 2017-05-19T20:11:02 --delay 3 --endMP 300:21740 --enddatetime 2017-05-19T20:16:04 --enforcementcount 0 &gt;&gt;C:\Users\stu\Documents\GitHub\eaglep3-reporting\EC\2017-05-19-refined-times.txt</v>
      </c>
      <c r="AI244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{"issue":{"subject":"","project_id":79,"tracker_id":40,"status_id":1,"priority_id":2,"assigned_to_id":23,"start_date":"2017-05-19","description":"","custom_fields":[{"id":1,"name":"Subdivision","value":"Other"},{"id":4,"name":"Milepost","value":"2.174"},{"id":17,"name":"Train ID","value":"82-19"},{"id":16,"name":"Locomotive ID","value":"4025"},{"id":130,"name":"Impact","value":""},{"id":150,"name":"Time of Event (Mountain Time)","value":"20:16:04"},{"id":151,"name":"Denver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117"/>
        <v>start /low /b %USERPROFILE%\Documents\GitHub\eaglep3\Utilities\DownloadLogsFromS3.py --loco 4025 --day 2017-05-19</v>
      </c>
      <c r="AN244" s="154" t="str">
        <f t="shared" si="11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02:16:04"},{"id":29,"name":"Sharepoint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829</v>
      </c>
      <c r="B245" s="7">
        <v>4026</v>
      </c>
      <c r="C245" s="21" t="s">
        <v>206</v>
      </c>
      <c r="D245" s="21" t="s">
        <v>1004</v>
      </c>
      <c r="E245" s="13">
        <v>42874.839606481481</v>
      </c>
      <c r="F245" s="13">
        <v>42874.840995370374</v>
      </c>
      <c r="G245" s="7">
        <v>1</v>
      </c>
      <c r="H245" s="21" t="s">
        <v>516</v>
      </c>
      <c r="I245" s="13">
        <v>42874.844490740739</v>
      </c>
      <c r="J245" s="7">
        <v>0</v>
      </c>
      <c r="K245" s="92" t="str">
        <f t="shared" si="105"/>
        <v>4025/4026</v>
      </c>
      <c r="L245" s="21" t="str">
        <f>VLOOKUP(A245,'Trips&amp;Operators'!$C$1:$G$99999,5,FALSE)</f>
        <v>HOLCOMB KAMDEN</v>
      </c>
      <c r="M245" s="6">
        <f t="shared" si="106"/>
        <v>3.4953703652718104E-3</v>
      </c>
      <c r="N245" s="7">
        <f t="shared" si="119"/>
        <v>5.033333325991407</v>
      </c>
      <c r="O245" s="7"/>
      <c r="P245" s="7"/>
      <c r="Q245" s="22"/>
      <c r="R245" s="190"/>
      <c r="S245" s="196">
        <f t="shared" si="120"/>
        <v>0</v>
      </c>
      <c r="T245" s="190" t="e">
        <f t="shared" si="107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108"/>
        <v>https://d0f6bd738d7f1b3e5a7ca70fe4ff75f0.us-east-1.aws.found.io/app/kibana#/discover/Steve-Slow-Train-Analysis-(2080s-and-2083s)?_g=(refreshInterval:(display:Off,pause:!f,section:0,value:0),time:(from:'2017-05-19T19:09:02-0600',mode:absolute,to:'2017-05-19T21:16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5" s="192" t="str">
        <f t="shared" si="109"/>
        <v>Y</v>
      </c>
      <c r="X245" s="192" t="e">
        <f t="shared" si="123"/>
        <v>#VALUE!</v>
      </c>
      <c r="Y245" s="192">
        <f t="shared" si="122"/>
        <v>2.2058</v>
      </c>
      <c r="Z245" s="192">
        <f t="shared" si="121"/>
        <v>2.3306</v>
      </c>
      <c r="AA245" s="192">
        <f t="shared" si="110"/>
        <v>0.12480000000000002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111"/>
        <v>82-19</v>
      </c>
      <c r="AE245" s="80" t="str">
        <f t="shared" si="112"/>
        <v>aws s3 cp s3://rtdc.mdm.uploadarchive.raw/RTDC4026/ "%USERPROFILE%\AppData\Local\Temp\OnboardLogs"\RTDC4026\2017-05-19 --exclude "*" --recursive --include "*20170519*" &amp; "%USERPROFILE%\Documents\GitHub\mrs-test-scripts\Headless Mode &amp; Sideloading\WalkAndUnGZ.bat" "%USERPROFILE%\AppData\Local\Temp\OnboardLogs"\RTDC4026\2017-05-19 &amp; aws s3 cp s3://rtdc.mdm.uploadarchive.raw/RTDC4026/ "%USERPROFILE%\AppData\Local\Temp\OnboardLogs"\RTDC4026\2017-05-20 --exclude "*" --recursive --include "*20170520*" &amp; "%USERPROFILE%\Documents\GitHub\mrs-test-scripts\Headless Mode &amp; Sideloading\WalkAndUnGZ.bat" "%USERPROFILE%\AppData\Local\Temp\OnboardLogs"\RTDC4026\2017-05-20</v>
      </c>
      <c r="AF245" s="77" t="str">
        <f t="shared" si="113"/>
        <v>"C:\Program Files (x86)\AstroGrep\AstroGrep.exe" /e /r /s /spath="%USERPROFILE%\AppData\Local\Temp\OnboardLogs" /stypes="app*4026*20170520*" /stext=" 02:.+((SYSTEM_STATE.+slice.+state.+changed )|(ment ac)|(multiple cpu faults)|(system.+state.+changed )|(\[timeout)|(PRM\|1\|D)|(kpr)|(kdp)|(train st.+moving)|(\|lc)|(penalty))"</v>
      </c>
      <c r="AG245" s="1" t="str">
        <f t="shared" si="114"/>
        <v>Other</v>
      </c>
      <c r="AH245" s="81" t="str">
        <f t="shared" si="115"/>
        <v>"%USERPROFILE%\Documents\GitHub\eaglep3\Utilities\RefineRTDCRunTimes.py" --tripid 82-19 --locoid 4026 --swversion DE.1.0.9.0 --startMP 300:22058 --initTime 2017-05-19T20:09:02 --startdatetime 2017-05-19T20:11:02 --delay 1 --endMP 300:23306 --enddatetime 2017-05-19T20:16:04 --enforcementcount 0 &gt;&gt;C:\Users\stu\Documents\GitHub\eaglep3-reporting\EC\2017-05-19-refined-times.txt</v>
      </c>
      <c r="AI245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{"issue":{"subject":"","project_id":79,"tracker_id":40,"status_id":1,"priority_id":2,"assigned_to_id":23,"start_date":"2017-05-19","description":"","custom_fields":[{"id":1,"name":"Subdivision","value":"Other"},{"id":4,"name":"Milepost","value":"2.3306"},{"id":17,"name":"Train ID","value":"82-19"},{"id":16,"name":"Locomotive ID","value":"4026"},{"id":130,"name":"Impact","value":""},{"id":150,"name":"Time of Event (Mountain Time)","value":"20:16:04"},{"id":151,"name":"Denver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117"/>
        <v>start /low /b %USERPROFILE%\Documents\GitHub\eaglep3\Utilities\DownloadLogsFromS3.py --loco 4026 --day 2017-05-19</v>
      </c>
      <c r="AN245" s="154" t="str">
        <f t="shared" si="11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02:16:04"},{"id":29,"name":"Sharepoint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840</v>
      </c>
      <c r="B246" s="7">
        <v>4061</v>
      </c>
      <c r="C246" s="21" t="s">
        <v>206</v>
      </c>
      <c r="D246" s="21" t="s">
        <v>580</v>
      </c>
      <c r="E246" s="13">
        <v>42874.889768518522</v>
      </c>
      <c r="F246" s="13">
        <v>42874.89199074074</v>
      </c>
      <c r="G246" s="7">
        <v>1</v>
      </c>
      <c r="H246" s="21" t="s">
        <v>1026</v>
      </c>
      <c r="I246" s="13">
        <v>42874.90247685185</v>
      </c>
      <c r="J246" s="7">
        <v>0</v>
      </c>
      <c r="K246" s="92" t="str">
        <f t="shared" si="105"/>
        <v>4061/4062</v>
      </c>
      <c r="L246" s="21" t="str">
        <f>VLOOKUP(A246,'Trips&amp;Operators'!$C$1:$G$99999,5,FALSE)</f>
        <v>FORTUNATO FRANK</v>
      </c>
      <c r="M246" s="6">
        <f t="shared" si="106"/>
        <v>1.0486111110367347E-2</v>
      </c>
      <c r="N246" s="7">
        <f t="shared" si="119"/>
        <v>15.099999998928979</v>
      </c>
      <c r="O246" s="7"/>
      <c r="P246" s="7"/>
      <c r="Q246" s="22"/>
      <c r="R246" s="190"/>
      <c r="S246" s="196">
        <f t="shared" si="120"/>
        <v>0</v>
      </c>
      <c r="T246" s="190" t="e">
        <f t="shared" si="107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108"/>
        <v>https://d0f6bd738d7f1b3e5a7ca70fe4ff75f0.us-east-1.aws.found.io/app/kibana#/discover/Steve-Slow-Train-Analysis-(2080s-and-2083s)?_g=(refreshInterval:(display:Off,pause:!f,section:0,value:0),time:(from:'2017-05-19T20:21:16-0600',mode:absolute,to:'2017-05-19T22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6" s="192" t="str">
        <f t="shared" si="109"/>
        <v>Y</v>
      </c>
      <c r="X246" s="192" t="e">
        <f t="shared" si="123"/>
        <v>#VALUE!</v>
      </c>
      <c r="Y246" s="192">
        <f t="shared" si="122"/>
        <v>23.298500000000001</v>
      </c>
      <c r="Z246" s="192">
        <f t="shared" si="121"/>
        <v>18.792300000000001</v>
      </c>
      <c r="AA246" s="192">
        <f t="shared" si="110"/>
        <v>4.5061999999999998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111"/>
        <v>84-19</v>
      </c>
      <c r="AE246" s="80" t="str">
        <f t="shared" si="112"/>
        <v>aws s3 cp s3://rtdc.mdm.uploadarchive.raw/RTDC4061/ "%USERPROFILE%\AppData\Local\Temp\OnboardLogs"\RTDC4061\2017-05-19 --exclude "*" --recursive --include "*20170519*" &amp; "%USERPROFILE%\Documents\GitHub\mrs-test-scripts\Headless Mode &amp; Sideloading\WalkAndUnGZ.bat" "%USERPROFILE%\AppData\Local\Temp\OnboardLogs"\RTDC4061\2017-05-19 &amp; aws s3 cp s3://rtdc.mdm.uploadarchive.raw/RTDC4061/ "%USERPROFILE%\AppData\Local\Temp\OnboardLogs"\RTDC4061\2017-05-20 --exclude "*" --recursive --include "*20170520*" &amp; "%USERPROFILE%\Documents\GitHub\mrs-test-scripts\Headless Mode &amp; Sideloading\WalkAndUnGZ.bat" "%USERPROFILE%\AppData\Local\Temp\OnboardLogs"\RTDC4061\2017-05-20</v>
      </c>
      <c r="AF246" s="77" t="str">
        <f t="shared" si="113"/>
        <v>"C:\Program Files (x86)\AstroGrep\AstroGrep.exe" /e /r /s /spath="%USERPROFILE%\AppData\Local\Temp\OnboardLogs" /stypes="app*4061*20170520*" /stext=" 03:.+((SYSTEM_STATE.+slice.+state.+changed )|(ment ac)|(multiple cpu faults)|(system.+state.+changed )|(\[timeout)|(PRM\|1\|D)|(kpr)|(kdp)|(train st.+moving)|(\|lc)|(penalty))"</v>
      </c>
      <c r="AG246" s="1" t="str">
        <f t="shared" si="114"/>
        <v>Other</v>
      </c>
      <c r="AH246" s="81" t="str">
        <f t="shared" si="115"/>
        <v>"%USERPROFILE%\Documents\GitHub\eaglep3\Utilities\RefineRTDCRunTimes.py" --tripid 84-19 --locoid 4061 --swversion DE.1.0.9.0 --startMP 204:232985 --initTime 2017-05-19T21:21:16 --startdatetime 2017-05-19T21:24:28 --delay 1 --endMP 204:187923 --enddatetime 2017-05-19T21:39:34 --enforcementcount 0 &gt;&gt;C:\Users\stu\Documents\GitHub\eaglep3-reporting\EC\2017-05-19-refined-times.txt</v>
      </c>
      <c r="AI246" s="99" t="str">
        <f t="shared" si="116"/>
        <v>echo {"issue":{"subject":"","project_id":79,"tracker_id":40,"status_id":1,"priority_id":2,"assigned_to_id":23,"start_date":"2017-05-19","description":"","custom_fields":[{"id":1,"name":"Subdivision","value":"Other"},{"id":4,"name":"Milepost","value":"18.7923"},{"id":17,"name":"Train ID","value":"84-19"},{"id":16,"name":"Locomotive ID","value":"4061"},{"id":130,"name":"Impact","value":""},{"id":150,"name":"Time of Event (Mountain Time)","value":"21:39:34"},{"id":151,"name":"Denver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117"/>
        <v>start /low /b %USERPROFILE%\Documents\GitHub\eaglep3\Utilities\DownloadLogsFromS3.py --loco 4061 --day 2017-05-19</v>
      </c>
      <c r="AN246" s="154" t="str">
        <f t="shared" si="11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03:39:34"},{"id":29,"name":"Sharepoint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</sheetData>
  <autoFilter ref="A12:AG271"/>
  <sortState ref="A13:AH200">
    <sortCondition ref="AG13:AG200"/>
    <sortCondition ref="AD13:AD200"/>
  </sortState>
  <mergeCells count="1">
    <mergeCell ref="A11:P11"/>
  </mergeCells>
  <conditionalFormatting sqref="W11:W12 W272:X1048576 W13:X246">
    <cfRule type="cellIs" dxfId="10" priority="401" operator="equal">
      <formula>"Y"</formula>
    </cfRule>
  </conditionalFormatting>
  <conditionalFormatting sqref="X272:X1048576 X13:X246">
    <cfRule type="cellIs" dxfId="9" priority="384" operator="greaterThan">
      <formula>1</formula>
    </cfRule>
  </conditionalFormatting>
  <conditionalFormatting sqref="X272:X1048576 X12:X246">
    <cfRule type="cellIs" dxfId="8" priority="381" operator="equal">
      <formula>0</formula>
    </cfRule>
  </conditionalFormatting>
  <conditionalFormatting sqref="A13:S246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AK13:AK246</xm:sqref>
        </x14:dataValidation>
        <x14:dataValidation type="list" allowBlank="1" showInputMessage="1" showErrorMessage="1">
          <x14:formula1>
            <xm:f>'Redmine List Values'!$C$2:$C$15</xm:f>
          </x14:formula1>
          <xm:sqref>AL13:AL246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COUNTIF($O$7:$O$288,"=Y")</f>
        <v>8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COUNTA($O$7:$O$288)-O2</f>
        <v>38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- 2017-05-19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42874.577175925922</v>
      </c>
      <c r="B7" s="30" t="s">
        <v>499</v>
      </c>
      <c r="C7" s="30" t="s">
        <v>632</v>
      </c>
      <c r="D7" s="30" t="s">
        <v>49</v>
      </c>
      <c r="E7" s="30" t="s">
        <v>191</v>
      </c>
      <c r="F7" s="42">
        <v>0</v>
      </c>
      <c r="G7" s="42">
        <v>218</v>
      </c>
      <c r="H7" s="42">
        <v>26849</v>
      </c>
      <c r="I7" s="42">
        <v>27123</v>
      </c>
      <c r="J7" s="30" t="s">
        <v>192</v>
      </c>
      <c r="K7" s="42">
        <v>27053</v>
      </c>
      <c r="L7" s="134" t="s">
        <v>50</v>
      </c>
      <c r="M7" s="135">
        <f t="shared" ref="M7:M52" si="0">CONVERT((I7-K7)/10000,"mi","ft")*IF(L7="Increasing Mileposts (1)",-1,1)</f>
        <v>-36.96</v>
      </c>
      <c r="N7" s="136" t="str">
        <f>VLOOKUP(C7,'Trips&amp;Operators'!$C$1:$G$99999,5,FALSE)</f>
        <v>HELVIE ADAM</v>
      </c>
      <c r="O7" s="207" t="s">
        <v>184</v>
      </c>
      <c r="P7" s="137" t="s">
        <v>420</v>
      </c>
      <c r="Q7" s="30"/>
      <c r="R7" s="84" t="str">
        <f>IF(VLOOKUP(C7,'Train Runs'!$A$13:$AE$9930,1,1)=C7,VLOOKUP(C7,'Train Runs'!$A$13:$AE$9930,31,1),NA())</f>
        <v>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 &amp; 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</v>
      </c>
      <c r="S7" s="87" t="str">
        <f>VLOOKUP(C7,'Train Runs'!$A$13:$AE$9930,22,0)</f>
        <v>https://d0f6bd738d7f1b3e5a7ca70fe4ff75f0.us-east-1.aws.found.io/app/kibana#/discover/Steve-Slow-Train-Analysis-(2080s-and-2083s)?_g=(refreshInterval:(display:Off,pause:!f,section:0,value:0),time:(from:'2017-05-19T12:42:14-0600',mode:absolute,to:'2017-05-19T15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7" s="89" t="str">
        <f t="shared" ref="T7:T5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/stypes="*4032*201705191*" /stext=" 19:.+((SYSTEM_STATE.+slice.+state.+changed )|(ment ac)|(multiple cpu faults)|(system.+state.+changed )|(\[timeout)|(PRM\|1\|D)|(kpr)|(kdp)|(train st.+moving)|(\|lc)|(penalty))"</v>
      </c>
      <c r="U7" s="9" t="str">
        <f t="shared" ref="U7:U52" si="2">MID(B7,13,4)</f>
        <v>4032</v>
      </c>
      <c r="V7" s="31">
        <f t="shared" ref="V7:V52" si="3">A7-utc_offset/24</f>
        <v>42874.827175925922</v>
      </c>
      <c r="W7" s="45" t="str">
        <f t="shared" ref="W7:W52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52" si="5">IF(AND(E7="TRACK WARRANT AUTHORITY",G7&lt;10),"OMIT","KEEP")</f>
        <v>KEEP</v>
      </c>
      <c r="Y7" s="99" t="str">
        <f t="shared" ref="Y7:Y5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arrival","project_id":79,"tracker_id":40,"status_id":1,"priority_id":2,"assigned_to_id":23,"start_date":"2017-05-19","description":"","custom_fields":[{"id":1,"name":"Subdivision","value":"EC"},{"id":4,"name":"Milepost","value":"2.7053"},{"id":17,"name":"Train ID","value":"181-19"},{"id":16,"name":"Locomotive ID","value":"4032"},{"id":130,"name":"Impact","value":""},{"id":150,"name":"Time of Event (Mountain Time)","value":"13:51:08"},{"id":151,"name":"Denver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52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/cygdrive/c/Users/stu/AppData/Local/Temp/OnboardLogs/RTDC4032 --include="*4032*201705191*"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"%USERPROFILE%\AppData\Local\Temp\OnboardLogs"\RTDC4032\*4032*201705191* &gt;&gt; 2017-05-19-SliceDisagreementCheck.txt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4032 --day 2017-05-19</v>
      </c>
    </row>
    <row r="8" spans="1:32" s="1" customFormat="1" x14ac:dyDescent="0.25">
      <c r="A8" s="31">
        <v>42874.57135416667</v>
      </c>
      <c r="B8" s="30" t="s">
        <v>500</v>
      </c>
      <c r="C8" s="30" t="s">
        <v>631</v>
      </c>
      <c r="D8" s="30" t="s">
        <v>49</v>
      </c>
      <c r="E8" s="30" t="s">
        <v>191</v>
      </c>
      <c r="F8" s="42">
        <v>0</v>
      </c>
      <c r="G8" s="42">
        <v>155</v>
      </c>
      <c r="H8" s="42">
        <v>27405</v>
      </c>
      <c r="I8" s="42">
        <v>27280</v>
      </c>
      <c r="J8" s="30" t="s">
        <v>192</v>
      </c>
      <c r="K8" s="42">
        <v>27350</v>
      </c>
      <c r="L8" s="134" t="s">
        <v>51</v>
      </c>
      <c r="M8" s="135">
        <f t="shared" si="0"/>
        <v>-36.96</v>
      </c>
      <c r="N8" s="136" t="str">
        <f>VLOOKUP(C8,'Trips&amp;Operators'!$C$1:$G$99999,5,FALSE)</f>
        <v>BRANDNER MELINDA</v>
      </c>
      <c r="O8" s="207" t="s">
        <v>184</v>
      </c>
      <c r="P8" s="137" t="s">
        <v>420</v>
      </c>
      <c r="Q8" s="30"/>
      <c r="R8" s="84" t="str">
        <f>IF(VLOOKUP(C8,'Train Runs'!$A$13:$AE$9930,1,1)=C8,VLOOKUP(C8,'Train Runs'!$A$13:$AE$9930,31,1),NA())</f>
        <v>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 &amp; aws s3 cp s3://rtdc.mdm.uploadarchive.raw/RTDC4023/ "%USERPROFILE%\AppData\Local\Temp\OnboardLogs"\RTDC4023\2017-05-20 --exclude "*" --recursive --include "*20170520*" &amp; "%USERPROFILE%\Documents\GitHub\mrs-test-scripts\Headless Mode &amp; Sideloading\WalkAndUnGZ.bat" "%USERPROFILE%\AppData\Local\Temp\OnboardLogs"\RTDC4023\2017-05-20</v>
      </c>
      <c r="S8" s="87" t="str">
        <f>VLOOKUP(C8,'Train Runs'!$A$13:$AE$9930,22,0)</f>
        <v>https://d0f6bd738d7f1b3e5a7ca70fe4ff75f0.us-east-1.aws.found.io/app/kibana#/discover/Steve-Slow-Train-Analysis-(2080s-and-2083s)?_g=(refreshInterval:(display:Off,pause:!f,section:0,value:0),time:(from:'2017-05-19T12:06:27-0600',mode:absolute,to:'2017-05-19T14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8" s="89" t="str">
        <f t="shared" si="1"/>
        <v>"C:\Program Files (x86)\AstroGrep\AstroGrep.exe" /e /r /s /spath="%USERPROFILE%\AppData\Local\Temp\OnboardLogs" /stypes="*4023*201705191*" /stext=" 19:.+((SYSTEM_STATE.+slice.+state.+changed )|(ment ac)|(multiple cpu faults)|(system.+state.+changed )|(\[timeout)|(PRM\|1\|D)|(kpr)|(kdp)|(train st.+moving)|(\|lc)|(penalty))"</v>
      </c>
      <c r="U8" s="9" t="str">
        <f t="shared" si="2"/>
        <v>4023</v>
      </c>
      <c r="V8" s="31">
        <f t="shared" si="3"/>
        <v>42874.82135416667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arrival","project_id":79,"tracker_id":40,"status_id":1,"priority_id":2,"assigned_to_id":23,"start_date":"2017-05-19","description":"","custom_fields":[{"id":1,"name":"Subdivision","value":"EC"},{"id":4,"name":"Milepost","value":"2.735"},{"id":17,"name":"Train ID","value":"170-19"},{"id":16,"name":"Locomotive ID","value":"4023"},{"id":130,"name":"Impact","value":""},{"id":150,"name":"Time of Event (Mountain Time)","value":"13:42:45"},{"id":151,"name":"Denver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/cygdrive/c/Users/stu/AppData/Local/Temp/OnboardLogs/RTDC4023 --include="*4023*201705191*"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"%USERPROFILE%\AppData\Local\Temp\OnboardLogs"\RTDC4023\*4023*201705191* &gt;&gt; 2017-05-19-SliceDisagreementCheck.txt</v>
      </c>
      <c r="AE8" s="148" t="str">
        <f t="shared" ref="AE8:AE52" si="9">"start /low /b "&amp;dls3logs&amp;" --loco "&amp;U8&amp;" --day "&amp;TEXT(V8,"YYYY-MM-DD")</f>
        <v>start /low /b %USERPROFILE%\Documents\GitHub\eaglep3\Utilities\DownloadLogsFromS3.py --loco 4023 --day 2017-05-19</v>
      </c>
    </row>
    <row r="9" spans="1:32" s="1" customFormat="1" x14ac:dyDescent="0.25">
      <c r="A9" s="31">
        <v>42874.290706018517</v>
      </c>
      <c r="B9" s="30" t="s">
        <v>460</v>
      </c>
      <c r="C9" s="30" t="s">
        <v>609</v>
      </c>
      <c r="D9" s="30" t="s">
        <v>98</v>
      </c>
      <c r="E9" s="30" t="s">
        <v>191</v>
      </c>
      <c r="F9" s="42">
        <v>150</v>
      </c>
      <c r="G9" s="42">
        <v>200</v>
      </c>
      <c r="H9" s="42">
        <v>27039</v>
      </c>
      <c r="I9" s="42">
        <v>26593</v>
      </c>
      <c r="J9" s="30" t="s">
        <v>192</v>
      </c>
      <c r="K9" s="42">
        <v>27350</v>
      </c>
      <c r="L9" s="134" t="s">
        <v>51</v>
      </c>
      <c r="M9" s="135">
        <f t="shared" si="0"/>
        <v>-399.69600000000003</v>
      </c>
      <c r="N9" s="136" t="str">
        <f>VLOOKUP(C9,'Trips&amp;Operators'!$C$1:$G$99999,5,FALSE)</f>
        <v>ROCHA YAOTL</v>
      </c>
      <c r="O9" s="207" t="s">
        <v>184</v>
      </c>
      <c r="P9" s="137" t="s">
        <v>420</v>
      </c>
      <c r="Q9" s="30"/>
      <c r="R9" s="84" t="str">
        <f>IF(VLOOKUP(C9,'Train Runs'!$A$13:$AE$9930,1,1)=C9,VLOOKUP(C9,'Train Runs'!$A$13:$AE$9930,31,1),NA())</f>
        <v>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 &amp; 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</v>
      </c>
      <c r="S9" s="87" t="str">
        <f>VLOOKUP(C9,'Train Runs'!$A$13:$AE$9930,22,0)</f>
        <v>https://d0f6bd738d7f1b3e5a7ca70fe4ff75f0.us-east-1.aws.found.io/app/kibana#/discover/Steve-Slow-Train-Analysis-(2080s-and-2083s)?_g=(refreshInterval:(display:Off,pause:!f,section:0,value:0),time:(from:'2017-05-19T05:23:33-0600',mode:absolute,to:'2017-05-19T08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9" s="89" t="str">
        <f t="shared" si="1"/>
        <v>"C:\Program Files (x86)\AstroGrep\AstroGrep.exe" /e /r /s /spath="%USERPROFILE%\AppData\Local\Temp\OnboardLogs" /stypes="*4011*201705191*" /stext=" 12:.+((SYSTEM_STATE.+slice.+state.+changed )|(ment ac)|(multiple cpu faults)|(system.+state.+changed )|(\[timeout)|(PRM\|1\|D)|(kpr)|(kdp)|(train st.+moving)|(\|lc)|(penalty))"</v>
      </c>
      <c r="U9" s="9" t="str">
        <f t="shared" si="2"/>
        <v>4011</v>
      </c>
      <c r="V9" s="31">
        <f t="shared" si="3"/>
        <v>42874.540706018517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arrival","project_id":79,"tracker_id":40,"status_id":1,"priority_id":2,"assigned_to_id":23,"start_date":"2017-05-19","description":"","custom_fields":[{"id":1,"name":"Subdivision","value":"EC"},{"id":4,"name":"Milepost","value":"2.735"},{"id":17,"name":"Train ID","value":"116-19"},{"id":16,"name":"Locomotive ID","value":"4011"},{"id":130,"name":"Impact","value":""},{"id":150,"name":"Time of Event (Mountain Time)","value":"06:58:37"},{"id":151,"name":"Denver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/cygdrive/c/Users/stu/AppData/Local/Temp/OnboardLogs/RTDC4011 --include="*4011*201705191*"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"%USERPROFILE%\AppData\Local\Temp\OnboardLogs"\RTDC4011\*4011*201705191* &gt;&gt; 2017-05-19-SliceDisagreementCheck.txt</v>
      </c>
      <c r="AE9" s="148" t="str">
        <f t="shared" si="9"/>
        <v>start /low /b %USERPROFILE%\Documents\GitHub\eaglep3\Utilities\DownloadLogsFromS3.py --loco 4011 --day 2017-05-19</v>
      </c>
    </row>
    <row r="10" spans="1:32" s="1" customFormat="1" x14ac:dyDescent="0.25">
      <c r="A10" s="31">
        <v>42874.745925925927</v>
      </c>
      <c r="B10" s="30" t="s">
        <v>637</v>
      </c>
      <c r="C10" s="30" t="s">
        <v>638</v>
      </c>
      <c r="D10" s="30" t="s">
        <v>49</v>
      </c>
      <c r="E10" s="30" t="s">
        <v>191</v>
      </c>
      <c r="F10" s="42">
        <v>250</v>
      </c>
      <c r="G10" s="42">
        <v>339</v>
      </c>
      <c r="H10" s="42">
        <v>35735</v>
      </c>
      <c r="I10" s="42">
        <v>34898</v>
      </c>
      <c r="J10" s="30" t="s">
        <v>192</v>
      </c>
      <c r="K10" s="42">
        <v>33257</v>
      </c>
      <c r="L10" s="134" t="s">
        <v>51</v>
      </c>
      <c r="M10" s="135">
        <f t="shared" si="0"/>
        <v>866.44799999999998</v>
      </c>
      <c r="N10" s="136" t="str">
        <f>VLOOKUP(C10,'Trips&amp;Operators'!$C$1:$G$99999,5,FALSE)</f>
        <v>ROMERO CHAD</v>
      </c>
      <c r="O10" s="207" t="s">
        <v>184</v>
      </c>
      <c r="P10" s="137" t="s">
        <v>420</v>
      </c>
      <c r="Q10" s="30"/>
      <c r="R10" s="84" t="str">
        <f>IF(VLOOKUP(C10,'Train Runs'!$A$13:$AE$9930,1,1)=C10,VLOOKUP(C10,'Train Runs'!$A$13:$AE$9930,31,1),NA())</f>
        <v>aws s3 cp s3://rtdc.mdm.uploadarchive.raw/RTDC4017/ "%USERPROFILE%\AppData\Local\Temp\OnboardLogs"\RTDC4017\2017-05-19 --exclude "*" --recursive --include "*20170519*" &amp; "%USERPROFILE%\Documents\GitHub\mrs-test-scripts\Headless Mode &amp; Sideloading\WalkAndUnGZ.bat" "%USERPROFILE%\AppData\Local\Temp\OnboardLogs"\RTDC4017\2017-05-19 &amp; 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</v>
      </c>
      <c r="S10" s="87" t="str">
        <f>VLOOKUP(C10,'Train Runs'!$A$13:$AE$9930,22,0)</f>
        <v>https://d0f6bd738d7f1b3e5a7ca70fe4ff75f0.us-east-1.aws.found.io/app/kibana#/discover/Steve-Slow-Train-Analysis-(2080s-and-2083s)?_g=(refreshInterval:(display:Off,pause:!f,section:0,value:0),time:(from:'2017-05-19T16:09:02-0600',mode:absolute,to:'2017-05-19T19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89" t="str">
        <f t="shared" si="1"/>
        <v>"C:\Program Files (x86)\AstroGrep\AstroGrep.exe" /e /r /s /spath="%USERPROFILE%\AppData\Local\Temp\OnboardLogs" /stypes="*4017*201705192*"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4017</v>
      </c>
      <c r="V10" s="31">
        <f t="shared" si="3"/>
        <v>42874.995925925927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arrival","project_id":79,"tracker_id":40,"status_id":1,"priority_id":2,"assigned_to_id":23,"start_date":"2017-05-19","description":"","custom_fields":[{"id":1,"name":"Subdivision","value":"EC"},{"id":4,"name":"Milepost","value":"3.3257"},{"id":17,"name":"Train ID","value":"204-19"},{"id":16,"name":"Locomotive ID","value":"4017"},{"id":130,"name":"Impact","value":""},{"id":150,"name":"Time of Event (Mountain Time)","value":"17:54:08"},{"id":151,"name":"Denver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/cygdrive/c/Users/stu/AppData/Local/Temp/OnboardLogs/RTDC4017 --include="*4017*201705192*"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"%USERPROFILE%\AppData\Local\Temp\OnboardLogs"\RTDC4017\*4017*201705192* &gt;&gt; 2017-05-19-SliceDisagreementCheck.txt</v>
      </c>
      <c r="AE10" s="148" t="str">
        <f t="shared" si="9"/>
        <v>start /low /b %USERPROFILE%\Documents\GitHub\eaglep3\Utilities\DownloadLogsFromS3.py --loco 4017 --day 2017-05-19</v>
      </c>
    </row>
    <row r="11" spans="1:32" s="1" customFormat="1" x14ac:dyDescent="0.25">
      <c r="A11" s="31">
        <v>42874.395868055559</v>
      </c>
      <c r="B11" s="30" t="s">
        <v>459</v>
      </c>
      <c r="C11" s="30" t="s">
        <v>619</v>
      </c>
      <c r="D11" s="30" t="s">
        <v>49</v>
      </c>
      <c r="E11" s="30" t="s">
        <v>191</v>
      </c>
      <c r="F11" s="42">
        <v>0</v>
      </c>
      <c r="G11" s="42">
        <v>480</v>
      </c>
      <c r="H11" s="42">
        <v>62461</v>
      </c>
      <c r="I11" s="42">
        <v>63433</v>
      </c>
      <c r="J11" s="30" t="s">
        <v>192</v>
      </c>
      <c r="K11" s="42">
        <v>63069</v>
      </c>
      <c r="L11" s="134" t="s">
        <v>50</v>
      </c>
      <c r="M11" s="135">
        <f t="shared" si="0"/>
        <v>-192.19200000000001</v>
      </c>
      <c r="N11" s="136" t="str">
        <f>VLOOKUP(C11,'Trips&amp;Operators'!$C$1:$G$99999,5,FALSE)</f>
        <v>DAVIS WENDY</v>
      </c>
      <c r="O11" s="207" t="s">
        <v>184</v>
      </c>
      <c r="P11" s="137" t="s">
        <v>420</v>
      </c>
      <c r="Q11" s="30"/>
      <c r="R11" s="84" t="str">
        <f>IF(VLOOKUP(C11,'Train Runs'!$A$13:$AE$9930,1,1)=C11,VLOOKUP(C11,'Train Runs'!$A$13:$AE$9930,31,1),NA())</f>
        <v>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 &amp; 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</v>
      </c>
      <c r="S11" s="87" t="str">
        <f>VLOOKUP(C11,'Train Runs'!$A$13:$AE$9930,22,0)</f>
        <v>https://d0f6bd738d7f1b3e5a7ca70fe4ff75f0.us-east-1.aws.found.io/app/kibana#/discover/Steve-Slow-Train-Analysis-(2080s-and-2083s)?_g=(refreshInterval:(display:Off,pause:!f,section:0,value:0),time:(from:'2017-05-19T08:15:42-0600',mode:absolute,to:'2017-05-19T10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1" s="89" t="str">
        <f t="shared" si="1"/>
        <v>"C:\Program Files (x86)\AstroGrep\AstroGrep.exe" /e /r /s /spath="%USERPROFILE%\AppData\Local\Temp\OnboardLogs" /stypes="*4012*201705191*"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4012</v>
      </c>
      <c r="V11" s="31">
        <f t="shared" si="3"/>
        <v>42874.645868055559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arrival","project_id":79,"tracker_id":40,"status_id":1,"priority_id":2,"assigned_to_id":23,"start_date":"2017-05-19","description":"","custom_fields":[{"id":1,"name":"Subdivision","value":"EC"},{"id":4,"name":"Milepost","value":"6.3069"},{"id":17,"name":"Train ID","value":"145-19"},{"id":16,"name":"Locomotive ID","value":"4012"},{"id":130,"name":"Impact","value":""},{"id":150,"name":"Time of Event (Mountain Time)","value":"09:30:03"},{"id":151,"name":"Denver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/cygdrive/c/Users/stu/AppData/Local/Temp/OnboardLogs/RTDC4012 --include="*4012*201705191*"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"%USERPROFILE%\AppData\Local\Temp\OnboardLogs"\RTDC4012\*4012*201705191* &gt;&gt; 2017-05-19-SliceDisagreementCheck.txt</v>
      </c>
      <c r="AE11" s="148" t="str">
        <f t="shared" si="9"/>
        <v>start /low /b %USERPROFILE%\Documents\GitHub\eaglep3\Utilities\DownloadLogsFromS3.py --loco 4012 --day 2017-05-19</v>
      </c>
    </row>
    <row r="12" spans="1:32" s="1" customFormat="1" x14ac:dyDescent="0.25">
      <c r="A12" s="31">
        <v>42874.540648148148</v>
      </c>
      <c r="B12" s="30" t="s">
        <v>459</v>
      </c>
      <c r="C12" s="30" t="s">
        <v>630</v>
      </c>
      <c r="D12" s="30" t="s">
        <v>49</v>
      </c>
      <c r="E12" s="30" t="s">
        <v>191</v>
      </c>
      <c r="F12" s="42">
        <v>360</v>
      </c>
      <c r="G12" s="42">
        <v>495</v>
      </c>
      <c r="H12" s="42">
        <v>61695</v>
      </c>
      <c r="I12" s="42">
        <v>63134</v>
      </c>
      <c r="J12" s="30" t="s">
        <v>192</v>
      </c>
      <c r="K12" s="42">
        <v>63069</v>
      </c>
      <c r="L12" s="134" t="s">
        <v>50</v>
      </c>
      <c r="M12" s="135">
        <f t="shared" si="0"/>
        <v>-34.32</v>
      </c>
      <c r="N12" s="136" t="str">
        <f>VLOOKUP(C12,'Trips&amp;Operators'!$C$1:$G$99999,5,FALSE)</f>
        <v>STEWART MICHAEL</v>
      </c>
      <c r="O12" s="207" t="s">
        <v>184</v>
      </c>
      <c r="P12" s="137" t="s">
        <v>420</v>
      </c>
      <c r="Q12" s="30"/>
      <c r="R12" s="84" t="str">
        <f>IF(VLOOKUP(C12,'Train Runs'!$A$13:$AE$9930,1,1)=C12,VLOOKUP(C12,'Train Runs'!$A$13:$AE$9930,31,1),NA())</f>
        <v>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 &amp; 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</v>
      </c>
      <c r="S12" s="87" t="str">
        <f>VLOOKUP(C12,'Train Runs'!$A$13:$AE$9930,22,0)</f>
        <v>https://d0f6bd738d7f1b3e5a7ca70fe4ff75f0.us-east-1.aws.found.io/app/kibana#/discover/Steve-Slow-Train-Analysis-(2080s-and-2083s)?_g=(refreshInterval:(display:Off,pause:!f,section:0,value:0),time:(from:'2017-05-19T11:40:19-0600',mode:absolute,to:'2017-05-19T14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2" s="89" t="str">
        <f t="shared" si="1"/>
        <v>"C:\Program Files (x86)\AstroGrep\AstroGrep.exe" /e /r /s /spath="%USERPROFILE%\AppData\Local\Temp\OnboardLogs" /stypes="*4012*201705191*" /stext=" 18:.+((SYSTEM_STATE.+slice.+state.+changed )|(ment ac)|(multiple cpu faults)|(system.+state.+changed )|(\[timeout)|(PRM\|1\|D)|(kpr)|(kdp)|(train st.+moving)|(\|lc)|(penalty))"</v>
      </c>
      <c r="U12" s="9" t="str">
        <f t="shared" si="2"/>
        <v>4012</v>
      </c>
      <c r="V12" s="31">
        <f t="shared" si="3"/>
        <v>42874.790648148148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arrival","project_id":79,"tracker_id":40,"status_id":1,"priority_id":2,"assigned_to_id":23,"start_date":"2017-05-19","description":"","custom_fields":[{"id":1,"name":"Subdivision","value":"EC"},{"id":4,"name":"Milepost","value":"6.3069"},{"id":17,"name":"Train ID","value":"173-19"},{"id":16,"name":"Locomotive ID","value":"4012"},{"id":130,"name":"Impact","value":""},{"id":150,"name":"Time of Event (Mountain Time)","value":"12:58:32"},{"id":151,"name":"Denver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/cygdrive/c/Users/stu/AppData/Local/Temp/OnboardLogs/RTDC4012 --include="*4012*201705191*"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"%USERPROFILE%\AppData\Local\Temp\OnboardLogs"\RTDC4012\*4012*201705191* &gt;&gt; 2017-05-19-SliceDisagreementCheck.txt</v>
      </c>
      <c r="AE12" s="148" t="str">
        <f t="shared" si="9"/>
        <v>start /low /b %USERPROFILE%\Documents\GitHub\eaglep3\Utilities\DownloadLogsFromS3.py --loco 4012 --day 2017-05-19</v>
      </c>
    </row>
    <row r="13" spans="1:32" s="1" customFormat="1" x14ac:dyDescent="0.25">
      <c r="A13" s="31">
        <v>42874.884351851855</v>
      </c>
      <c r="B13" s="30" t="s">
        <v>499</v>
      </c>
      <c r="C13" s="30" t="s">
        <v>646</v>
      </c>
      <c r="D13" s="30" t="s">
        <v>49</v>
      </c>
      <c r="E13" s="30" t="s">
        <v>191</v>
      </c>
      <c r="F13" s="42">
        <v>370</v>
      </c>
      <c r="G13" s="42">
        <v>532</v>
      </c>
      <c r="H13" s="42">
        <v>61561</v>
      </c>
      <c r="I13" s="42">
        <v>63129</v>
      </c>
      <c r="J13" s="30" t="s">
        <v>192</v>
      </c>
      <c r="K13" s="42">
        <v>63069</v>
      </c>
      <c r="L13" s="134" t="s">
        <v>50</v>
      </c>
      <c r="M13" s="135">
        <f t="shared" si="0"/>
        <v>-31.68</v>
      </c>
      <c r="N13" s="136" t="str">
        <f>VLOOKUP(C13,'Trips&amp;Operators'!$C$1:$G$99999,5,FALSE)</f>
        <v>BROWN JACOB</v>
      </c>
      <c r="O13" s="207" t="s">
        <v>184</v>
      </c>
      <c r="P13" s="137" t="s">
        <v>420</v>
      </c>
      <c r="Q13" s="30"/>
      <c r="R13" s="84" t="str">
        <f>IF(VLOOKUP(C13,'Train Runs'!$A$13:$AE$9930,1,1)=C13,VLOOKUP(C13,'Train Runs'!$A$13:$AE$9930,31,1),NA())</f>
        <v>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 &amp; 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</v>
      </c>
      <c r="S13" s="87" t="str">
        <f>VLOOKUP(C13,'Train Runs'!$A$13:$AE$9930,22,0)</f>
        <v>https://d0f6bd738d7f1b3e5a7ca70fe4ff75f0.us-east-1.aws.found.io/app/kibana#/discover/Steve-Slow-Train-Analysis-(2080s-and-2083s)?_g=(refreshInterval:(display:Off,pause:!f,section:0,value:0),time:(from:'2017-05-19T19:54:53-0600',mode:absolute,to:'2017-05-19T22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3" s="89" t="str">
        <f t="shared" si="1"/>
        <v>"C:\Program Files (x86)\AstroGrep\AstroGrep.exe" /e /r /s /spath="%USERPROFILE%\AppData\Local\Temp\OnboardLogs" /stypes="*4032*201705200*" /stext=" 03:.+((SYSTEM_STATE.+slice.+state.+changed )|(ment ac)|(multiple cpu faults)|(system.+state.+changed )|(\[timeout)|(PRM\|1\|D)|(kpr)|(kdp)|(train st.+moving)|(\|lc)|(penalty))"</v>
      </c>
      <c r="U13" s="9" t="str">
        <f t="shared" si="2"/>
        <v>4032</v>
      </c>
      <c r="V13" s="31">
        <f t="shared" si="3"/>
        <v>42875.134351851855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arrival","project_id":79,"tracker_id":40,"status_id":1,"priority_id":2,"assigned_to_id":23,"start_date":"2017-05-19","description":"","custom_fields":[{"id":1,"name":"Subdivision","value":"EC"},{"id":4,"name":"Milepost","value":"6.3069"},{"id":17,"name":"Train ID","value":"229-19"},{"id":16,"name":"Locomotive ID","value":"4032"},{"id":130,"name":"Impact","value":""},{"id":150,"name":"Time of Event (Mountain Time)","value":"21:13:28"},{"id":151,"name":"Denver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/cygdrive/c/Users/stu/AppData/Local/Temp/OnboardLogs/RTDC4032 --include="*4032*201705200*"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"%USERPROFILE%\AppData\Local\Temp\OnboardLogs"\RTDC4032\*4032*201705200* &gt;&gt; 2017-05-19-SliceDisagreementCheck.txt</v>
      </c>
      <c r="AE13" s="148" t="str">
        <f t="shared" si="9"/>
        <v>start /low /b %USERPROFILE%\Documents\GitHub\eaglep3\Utilities\DownloadLogsFromS3.py --loco 4032 --day 2017-05-20</v>
      </c>
    </row>
    <row r="14" spans="1:32" x14ac:dyDescent="0.25">
      <c r="A14" s="31">
        <v>42875.016481481478</v>
      </c>
      <c r="B14" s="30" t="s">
        <v>448</v>
      </c>
      <c r="C14" s="30" t="s">
        <v>648</v>
      </c>
      <c r="D14" s="30" t="s">
        <v>49</v>
      </c>
      <c r="E14" s="30" t="s">
        <v>191</v>
      </c>
      <c r="F14" s="42">
        <v>140</v>
      </c>
      <c r="G14" s="42">
        <v>200</v>
      </c>
      <c r="H14" s="42">
        <v>63876</v>
      </c>
      <c r="I14" s="42">
        <v>63428</v>
      </c>
      <c r="J14" s="30" t="s">
        <v>192</v>
      </c>
      <c r="K14" s="42">
        <v>63309</v>
      </c>
      <c r="L14" s="134" t="s">
        <v>51</v>
      </c>
      <c r="M14" s="135">
        <f t="shared" si="0"/>
        <v>62.832000000000001</v>
      </c>
      <c r="N14" s="136" t="str">
        <f>VLOOKUP(C14,'Trips&amp;Operators'!$C$1:$G$99999,5,FALSE)</f>
        <v>BROWN JACOB</v>
      </c>
      <c r="O14" s="207" t="s">
        <v>184</v>
      </c>
      <c r="P14" s="137" t="s">
        <v>420</v>
      </c>
      <c r="Q14" s="30"/>
      <c r="R14" s="84" t="str">
        <f>IF(VLOOKUP(C14,'Train Runs'!$A$13:$AE$9930,1,1)=C14,VLOOKUP(C14,'Train Runs'!$A$13:$AE$9930,31,1),NA())</f>
        <v>aws s3 cp s3://rtdc.mdm.uploadarchive.raw/RTDC4053/ "%USERPROFILE%\AppData\Local\Temp\OnboardLogs"\RTDC4053\2017-05-19 --exclude "*" --recursive --include "*20170519*" &amp; "%USERPROFILE%\Documents\GitHub\mrs-test-scripts\Headless Mode &amp; Sideloading\WalkAndUnGZ.bat" "%USERPROFILE%\AppData\Local\Temp\OnboardLogs"\RTDC4053\2017-05-19 &amp; aws s3 cp s3://rtdc.mdm.uploadarchive.raw/RTDC4053/ "%USERPROFILE%\AppData\Local\Temp\OnboardLogs"\RTDC4053\2017-05-20 --exclude "*" --recursive --include "*20170520*" &amp; "%USERPROFILE%\Documents\GitHub\mrs-test-scripts\Headless Mode &amp; Sideloading\WalkAndUnGZ.bat" "%USERPROFILE%\AppData\Local\Temp\OnboardLogs"\RTDC4053\2017-05-20</v>
      </c>
      <c r="S14" s="87" t="str">
        <f>VLOOKUP(C14,'Train Runs'!$A$13:$AE$9930,22,0)</f>
        <v>https://d0f6bd738d7f1b3e5a7ca70fe4ff75f0.us-east-1.aws.found.io/app/kibana#/discover/Steve-Slow-Train-Analysis-(2080s-and-2083s)?_g=(refreshInterval:(display:Off,pause:!f,section:0,value:0),time:(from:'2017-05-19T22:49:34-0600',mode:absolute,to:'2017-05-20T01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4" s="89" t="str">
        <f t="shared" si="1"/>
        <v>"C:\Program Files (x86)\AstroGrep\AstroGrep.exe" /e /r /s /spath="%USERPROFILE%\AppData\Local\Temp\OnboardLogs" /stypes="*4053*201705200*" /stext=" 06:.+((SYSTEM_STATE.+slice.+state.+changed )|(ment ac)|(multiple cpu faults)|(system.+state.+changed )|(\[timeout)|(PRM\|1\|D)|(kpr)|(kdp)|(train st.+moving)|(\|lc)|(penalty))"</v>
      </c>
      <c r="U14" s="9" t="str">
        <f t="shared" si="2"/>
        <v>4053</v>
      </c>
      <c r="V14" s="31">
        <f t="shared" si="3"/>
        <v>42875.266481481478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arrival","project_id":79,"tracker_id":40,"status_id":1,"priority_id":2,"assigned_to_id":23,"start_date":"2017-05-20","description":"","custom_fields":[{"id":1,"name":"Subdivision","value":"EC"},{"id":4,"name":"Milepost","value":"6.3309"},{"id":17,"name":"Train ID","value":"238-19"},{"id":16,"name":"Locomotive ID","value":"4053"},{"id":130,"name":"Impact","value":""},{"id":150,"name":"Time of Event (Mountain Time)","value":"00:23:44"},{"id":151,"name":"Denver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/cygdrive/c/Users/stu/AppData/Local/Temp/OnboardLogs/RTDC4053 --include="*4053*201705200*"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"%USERPROFILE%\AppData\Local\Temp\OnboardLogs"\RTDC4053\*4053*201705200* &gt;&gt; 2017-05-19-SliceDisagreementCheck.txt</v>
      </c>
      <c r="AE14" s="148" t="str">
        <f t="shared" si="9"/>
        <v>start /low /b %USERPROFILE%\Documents\GitHub\eaglep3\Utilities\DownloadLogsFromS3.py --loco 4053 --day 2017-05-20</v>
      </c>
      <c r="AF14" s="1"/>
    </row>
    <row r="15" spans="1:32" x14ac:dyDescent="0.25">
      <c r="A15" s="31">
        <v>42874.364039351851</v>
      </c>
      <c r="B15" s="30" t="s">
        <v>615</v>
      </c>
      <c r="C15" s="30" t="s">
        <v>616</v>
      </c>
      <c r="D15" s="30" t="s">
        <v>49</v>
      </c>
      <c r="E15" s="30" t="s">
        <v>191</v>
      </c>
      <c r="F15" s="42">
        <v>0</v>
      </c>
      <c r="G15" s="42">
        <v>400</v>
      </c>
      <c r="H15" s="42">
        <v>109351</v>
      </c>
      <c r="I15" s="42">
        <v>108468</v>
      </c>
      <c r="J15" s="30" t="s">
        <v>192</v>
      </c>
      <c r="K15" s="42">
        <v>109135</v>
      </c>
      <c r="L15" s="134" t="s">
        <v>51</v>
      </c>
      <c r="M15" s="135">
        <f t="shared" si="0"/>
        <v>-352.17599999999999</v>
      </c>
      <c r="N15" s="136" t="str">
        <f>VLOOKUP(C15,'Trips&amp;Operators'!$C$1:$G$99999,5,FALSE)</f>
        <v>YANAI IAN</v>
      </c>
      <c r="O15" s="207" t="s">
        <v>184</v>
      </c>
      <c r="P15" s="137" t="s">
        <v>420</v>
      </c>
      <c r="Q15" s="30"/>
      <c r="R15" s="84" t="str">
        <f>IF(VLOOKUP(C15,'Train Runs'!$A$13:$AE$9930,1,1)=C15,VLOOKUP(C15,'Train Runs'!$A$13:$AE$9930,31,1),NA())</f>
        <v>aws s3 cp s3://rtdc.mdm.uploadarchive.raw/RTDC4041/ "%USERPROFILE%\AppData\Local\Temp\OnboardLogs"\RTDC4041\2017-05-19 --exclude "*" --recursive --include "*20170519*" &amp; "%USERPROFILE%\Documents\GitHub\mrs-test-scripts\Headless Mode &amp; Sideloading\WalkAndUnGZ.bat" "%USERPROFILE%\AppData\Local\Temp\OnboardLogs"\RTDC4041\2017-05-19 &amp; aws s3 cp s3://rtdc.mdm.uploadarchive.raw/RTDC4041/ "%USERPROFILE%\AppData\Local\Temp\OnboardLogs"\RTDC4041\2017-05-20 --exclude "*" --recursive --include "*20170520*" &amp; "%USERPROFILE%\Documents\GitHub\mrs-test-scripts\Headless Mode &amp; Sideloading\WalkAndUnGZ.bat" "%USERPROFILE%\AppData\Local\Temp\OnboardLogs"\RTDC4041\2017-05-20</v>
      </c>
      <c r="S15" s="87" t="str">
        <f>VLOOKUP(C15,'Train Runs'!$A$13:$AE$9930,22,0)</f>
        <v>https://d0f6bd738d7f1b3e5a7ca70fe4ff75f0.us-east-1.aws.found.io/app/kibana#/discover/Steve-Slow-Train-Analysis-(2080s-and-2083s)?_g=(refreshInterval:(display:Off,pause:!f,section:0,value:0),time:(from:'2017-05-19T07:10:06-0600',mode:absolute,to:'2017-05-19T09:47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9" t="str">
        <f t="shared" si="1"/>
        <v>"C:\Program Files (x86)\AstroGrep\AstroGrep.exe" /e /r /s /spath="%USERPROFILE%\AppData\Local\Temp\OnboardLogs" /stypes="*4041*201705191*" /stext=" 14:.+((SYSTEM_STATE.+slice.+state.+changed )|(ment ac)|(multiple cpu faults)|(system.+state.+changed )|(\[timeout)|(PRM\|1\|D)|(kpr)|(kdp)|(train st.+moving)|(\|lc)|(penalty))"</v>
      </c>
      <c r="U15" s="9" t="str">
        <f t="shared" si="2"/>
        <v>4041</v>
      </c>
      <c r="V15" s="31">
        <f t="shared" si="3"/>
        <v>42874.614039351851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arrival","project_id":79,"tracker_id":40,"status_id":1,"priority_id":2,"assigned_to_id":23,"start_date":"2017-05-19","description":"","custom_fields":[{"id":1,"name":"Subdivision","value":"EC"},{"id":4,"name":"Milepost","value":"10.9135"},{"id":17,"name":"Train ID","value":"132-19"},{"id":16,"name":"Locomotive ID","value":"4041"},{"id":130,"name":"Impact","value":""},{"id":150,"name":"Time of Event (Mountain Time)","value":"08:44:13"},{"id":151,"name":"Denver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/cygdrive/c/Users/stu/AppData/Local/Temp/OnboardLogs/RTDC4041 --include="*4041*201705191*"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"%USERPROFILE%\AppData\Local\Temp\OnboardLogs"\RTDC4041\*4041*201705191* &gt;&gt; 2017-05-19-SliceDisagreementCheck.txt</v>
      </c>
      <c r="AE15" s="148" t="str">
        <f t="shared" si="9"/>
        <v>start /low /b %USERPROFILE%\Documents\GitHub\eaglep3\Utilities\DownloadLogsFromS3.py --loco 4041 --day 2017-05-19</v>
      </c>
      <c r="AF15" s="1"/>
    </row>
    <row r="16" spans="1:32" x14ac:dyDescent="0.25">
      <c r="A16" s="31">
        <v>42874.334687499999</v>
      </c>
      <c r="B16" s="30" t="s">
        <v>526</v>
      </c>
      <c r="C16" s="30" t="s">
        <v>613</v>
      </c>
      <c r="D16" s="30" t="s">
        <v>98</v>
      </c>
      <c r="E16" s="30" t="s">
        <v>204</v>
      </c>
      <c r="F16" s="42">
        <v>150</v>
      </c>
      <c r="G16" s="42">
        <v>206</v>
      </c>
      <c r="H16" s="42">
        <v>3331</v>
      </c>
      <c r="I16" s="42">
        <v>3639</v>
      </c>
      <c r="J16" s="30" t="s">
        <v>205</v>
      </c>
      <c r="K16" s="42">
        <v>0</v>
      </c>
      <c r="L16" s="134" t="s">
        <v>50</v>
      </c>
      <c r="M16" s="135">
        <f t="shared" si="0"/>
        <v>-1921.3920000000001</v>
      </c>
      <c r="N16" s="136" t="str">
        <f>VLOOKUP(C16,'Trips&amp;Operators'!$C$1:$G$99999,5,FALSE)</f>
        <v>STARKS ANGELINA</v>
      </c>
      <c r="O16" s="207" t="s">
        <v>184</v>
      </c>
      <c r="P16" s="137"/>
      <c r="Q16" s="30"/>
      <c r="R16" s="84" t="str">
        <f>IF(VLOOKUP(C16,'Train Runs'!$A$13:$AE$9930,1,1)=C16,VLOOKUP(C16,'Train Runs'!$A$13:$AE$9930,31,1),NA())</f>
        <v>aws s3 cp s3://rtdc.mdm.uploadarchive.raw/RTDC4010/ "%USERPROFILE%\AppData\Local\Temp\OnboardLogs"\RTDC4010\2017-05-19 --exclude "*" --recursive --include "*20170519*" &amp; "%USERPROFILE%\Documents\GitHub\mrs-test-scripts\Headless Mode &amp; Sideloading\WalkAndUnGZ.bat" "%USERPROFILE%\AppData\Local\Temp\OnboardLogs"\RTDC4010\2017-05-19 &amp; 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</v>
      </c>
      <c r="S16" s="87" t="str">
        <f>VLOOKUP(C16,'Train Runs'!$A$13:$AE$9930,22,0)</f>
        <v>https://d0f6bd738d7f1b3e5a7ca70fe4ff75f0.us-east-1.aws.found.io/app/kibana#/discover/Steve-Slow-Train-Analysis-(2080s-and-2083s)?_g=(refreshInterval:(display:Off,pause:!f,section:0,value:0),time:(from:'2017-05-19T06:57:12-0600',mode:absolute,to:'2017-05-19T09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6" s="89" t="str">
        <f t="shared" si="1"/>
        <v>"C:\Program Files (x86)\AstroGrep\AstroGrep.exe" /e /r /s /spath="%USERPROFILE%\AppData\Local\Temp\OnboardLogs" /stypes="*4010*201705191*" /stext=" 14:.+((SYSTEM_STATE.+slice.+state.+changed )|(ment ac)|(multiple cpu faults)|(system.+state.+changed )|(\[timeout)|(PRM\|1\|D)|(kpr)|(kdp)|(train st.+moving)|(\|lc)|(penalty))"</v>
      </c>
      <c r="U16" s="9" t="str">
        <f t="shared" si="2"/>
        <v>4010</v>
      </c>
      <c r="V16" s="31">
        <f t="shared" si="3"/>
        <v>42874.584687499999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{"issue":{"subject":"","project_id":79,"tracker_id":40,"status_id":1,"priority_id":2,"assigned_to_id":23,"start_date":"2017-05-19","description":"","custom_fields":[{"id":1,"name":"Subdivision","value":"EC"},{"id":4,"name":"Milepost","value":"0"},{"id":17,"name":"Train ID","value":"135-19"},{"id":16,"name":"Locomotive ID","value":"4010"},{"id":130,"name":"Impact","value":""},{"id":150,"name":"Time of Event (Mountain Time)","value":"08:01:57"},{"id":151,"name":"Denver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/cygdrive/c/Users/stu/AppData/Local/Temp/OnboardLogs/RTDC4010 --include="*4010*201705191*"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"%USERPROFILE%\AppData\Local\Temp\OnboardLogs"\RTDC4010\*4010*201705191* &gt;&gt; 2017-05-19-SliceDisagreementCheck.txt</v>
      </c>
      <c r="AE16" s="148" t="str">
        <f t="shared" si="9"/>
        <v>start /low /b %USERPROFILE%\Documents\GitHub\eaglep3\Utilities\DownloadLogsFromS3.py --loco 4010 --day 2017-05-19</v>
      </c>
      <c r="AF16" s="1"/>
    </row>
    <row r="17" spans="1:32" x14ac:dyDescent="0.25">
      <c r="A17" s="31">
        <v>42874.794340277775</v>
      </c>
      <c r="B17" s="30" t="s">
        <v>499</v>
      </c>
      <c r="C17" s="30" t="s">
        <v>642</v>
      </c>
      <c r="D17" s="30" t="s">
        <v>49</v>
      </c>
      <c r="E17" s="30" t="s">
        <v>204</v>
      </c>
      <c r="F17" s="42">
        <v>400</v>
      </c>
      <c r="G17" s="42">
        <v>538</v>
      </c>
      <c r="H17" s="42">
        <v>15962</v>
      </c>
      <c r="I17" s="42">
        <v>17726</v>
      </c>
      <c r="J17" s="30" t="s">
        <v>205</v>
      </c>
      <c r="K17" s="42">
        <v>17867</v>
      </c>
      <c r="L17" s="134" t="s">
        <v>50</v>
      </c>
      <c r="M17" s="135">
        <f t="shared" si="0"/>
        <v>74.447999999999993</v>
      </c>
      <c r="N17" s="136" t="str">
        <f>VLOOKUP(C17,'Trips&amp;Operators'!$C$1:$G$99999,5,FALSE)</f>
        <v>BROWN JACOB</v>
      </c>
      <c r="O17" s="207" t="s">
        <v>184</v>
      </c>
      <c r="P17" s="137"/>
      <c r="Q17" s="30"/>
      <c r="R17" s="84" t="str">
        <f>IF(VLOOKUP(C17,'Train Runs'!$A$13:$AE$9930,1,1)=C17,VLOOKUP(C17,'Train Runs'!$A$13:$AE$9930,31,1),NA())</f>
        <v>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 &amp; 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</v>
      </c>
      <c r="S17" s="87" t="str">
        <f>VLOOKUP(C17,'Train Runs'!$A$13:$AE$9930,22,0)</f>
        <v>https://d0f6bd738d7f1b3e5a7ca70fe4ff75f0.us-east-1.aws.found.io/app/kibana#/discover/Steve-Slow-Train-Analysis-(2080s-and-2083s)?_g=(refreshInterval:(display:Off,pause:!f,section:0,value:0),time:(from:'2017-05-19T17:53:07-0600',mode:absolute,to:'2017-05-19T20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7" s="89" t="str">
        <f t="shared" si="1"/>
        <v>"C:\Program Files (x86)\AstroGrep\AstroGrep.exe" /e /r /s /spath="%USERPROFILE%\AppData\Local\Temp\OnboardLogs" /stypes="*4032*201705200*" /stext=" 01:.+((SYSTEM_STATE.+slice.+state.+changed )|(ment ac)|(multiple cpu faults)|(system.+state.+changed )|(\[timeout)|(PRM\|1\|D)|(kpr)|(kdp)|(train st.+moving)|(\|lc)|(penalty))"</v>
      </c>
      <c r="U17" s="9" t="str">
        <f t="shared" si="2"/>
        <v>4032</v>
      </c>
      <c r="V17" s="31">
        <f t="shared" si="3"/>
        <v>42875.044340277775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{"issue":{"subject":"","project_id":79,"tracker_id":40,"status_id":1,"priority_id":2,"assigned_to_id":23,"start_date":"2017-05-19","description":"","custom_fields":[{"id":1,"name":"Subdivision","value":"EC"},{"id":4,"name":"Milepost","value":"1.7867"},{"id":17,"name":"Train ID","value":"221-19"},{"id":16,"name":"Locomotive ID","value":"4032"},{"id":130,"name":"Impact","value":""},{"id":150,"name":"Time of Event (Mountain Time)","value":"19:03:51"},{"id":151,"name":"Denver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/cygdrive/c/Users/stu/AppData/Local/Temp/OnboardLogs/RTDC4032 --include="*4032*201705200*"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"%USERPROFILE%\AppData\Local\Temp\OnboardLogs"\RTDC4032\*4032*201705200* &gt;&gt; 2017-05-19-SliceDisagreementCheck.txt</v>
      </c>
      <c r="AE17" s="148" t="str">
        <f t="shared" si="9"/>
        <v>start /low /b %USERPROFILE%\Documents\GitHub\eaglep3\Utilities\DownloadLogsFromS3.py --loco 4032 --day 2017-05-20</v>
      </c>
      <c r="AF17" s="1"/>
    </row>
    <row r="18" spans="1:32" x14ac:dyDescent="0.25">
      <c r="A18" s="31">
        <v>42874.181087962963</v>
      </c>
      <c r="B18" s="30" t="s">
        <v>447</v>
      </c>
      <c r="C18" s="30" t="s">
        <v>606</v>
      </c>
      <c r="D18" s="30" t="s">
        <v>98</v>
      </c>
      <c r="E18" s="30" t="s">
        <v>204</v>
      </c>
      <c r="F18" s="42">
        <v>300</v>
      </c>
      <c r="G18" s="42">
        <v>350</v>
      </c>
      <c r="H18" s="42">
        <v>20400</v>
      </c>
      <c r="I18" s="42">
        <v>21162</v>
      </c>
      <c r="J18" s="30" t="s">
        <v>205</v>
      </c>
      <c r="K18" s="42">
        <v>20338</v>
      </c>
      <c r="L18" s="134" t="s">
        <v>50</v>
      </c>
      <c r="M18" s="135">
        <f t="shared" si="0"/>
        <v>-435.072</v>
      </c>
      <c r="N18" s="136" t="str">
        <f>VLOOKUP(C18,'Trips&amp;Operators'!$C$1:$G$99999,5,FALSE)</f>
        <v>ROBINSON KADDIBA</v>
      </c>
      <c r="O18" s="207" t="s">
        <v>184</v>
      </c>
      <c r="P18" s="137"/>
      <c r="Q18" s="30"/>
      <c r="R18" s="84" t="str">
        <f>IF(VLOOKUP(C18,'Train Runs'!$A$13:$AE$9930,1,1)=C18,VLOOKUP(C18,'Train Runs'!$A$13:$AE$9930,31,1),NA())</f>
        <v>aws s3 cp s3://rtdc.mdm.uploadarchive.raw/RTDC4018/ "%USERPROFILE%\AppData\Local\Temp\OnboardLogs"\RTDC4018\2017-05-19 --exclude "*" --recursive --include "*20170519*" &amp; "%USERPROFILE%\Documents\GitHub\mrs-test-scripts\Headless Mode &amp; Sideloading\WalkAndUnGZ.bat" "%USERPROFILE%\AppData\Local\Temp\OnboardLogs"\RTDC4018\2017-05-19 &amp; 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</v>
      </c>
      <c r="S18" s="87" t="str">
        <f>VLOOKUP(C18,'Train Runs'!$A$13:$AE$9930,22,0)</f>
        <v>https://d0f6bd738d7f1b3e5a7ca70fe4ff75f0.us-east-1.aws.found.io/app/kibana#/discover/Steve-Slow-Train-Analysis-(2080s-and-2083s)?_g=(refreshInterval:(display:Off,pause:!f,section:0,value:0),time:(from:'2017-05-19T03:05:51-0600',mode:absolute,to:'2017-05-19T05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8" s="89" t="str">
        <f t="shared" si="1"/>
        <v>"C:\Program Files (x86)\AstroGrep\AstroGrep.exe" /e /r /s /spath="%USERPROFILE%\AppData\Local\Temp\OnboardLogs" /stypes="*4018*201705191*" /stext=" 10:.+((SYSTEM_STATE.+slice.+state.+changed )|(ment ac)|(multiple cpu faults)|(system.+state.+changed )|(\[timeout)|(PRM\|1\|D)|(kpr)|(kdp)|(train st.+moving)|(\|lc)|(penalty))"</v>
      </c>
      <c r="U18" s="9" t="str">
        <f t="shared" si="2"/>
        <v>4018</v>
      </c>
      <c r="V18" s="31">
        <f t="shared" si="3"/>
        <v>42874.431087962963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{"issue":{"subject":"","project_id":79,"tracker_id":40,"status_id":1,"priority_id":2,"assigned_to_id":23,"start_date":"2017-05-19","description":"","custom_fields":[{"id":1,"name":"Subdivision","value":"EC"},{"id":4,"name":"Milepost","value":"2.0338"},{"id":17,"name":"Train ID","value":"105-19"},{"id":16,"name":"Locomotive ID","value":"4018"},{"id":130,"name":"Impact","value":""},{"id":150,"name":"Time of Event (Mountain Time)","value":"04:20:46"},{"id":151,"name":"Denver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/cygdrive/c/Users/stu/AppData/Local/Temp/OnboardLogs/RTDC4018 --include="*4018*201705191*"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"%USERPROFILE%\AppData\Local\Temp\OnboardLogs"\RTDC4018\*4018*201705191* &gt;&gt; 2017-05-19-SliceDisagreementCheck.txt</v>
      </c>
      <c r="AE18" s="148" t="str">
        <f t="shared" si="9"/>
        <v>start /low /b %USERPROFILE%\Documents\GitHub\eaglep3\Utilities\DownloadLogsFromS3.py --loco 4018 --day 2017-05-19</v>
      </c>
      <c r="AF18" s="1"/>
    </row>
    <row r="19" spans="1:32" x14ac:dyDescent="0.25">
      <c r="A19" s="31">
        <v>42874.592488425929</v>
      </c>
      <c r="B19" s="30" t="s">
        <v>460</v>
      </c>
      <c r="C19" s="30" t="s">
        <v>633</v>
      </c>
      <c r="D19" s="30" t="s">
        <v>49</v>
      </c>
      <c r="E19" s="30" t="s">
        <v>204</v>
      </c>
      <c r="F19" s="42">
        <v>300</v>
      </c>
      <c r="G19" s="42">
        <v>454</v>
      </c>
      <c r="H19" s="42">
        <v>23727</v>
      </c>
      <c r="I19" s="42">
        <v>22171</v>
      </c>
      <c r="J19" s="30" t="s">
        <v>205</v>
      </c>
      <c r="K19" s="42">
        <v>21848</v>
      </c>
      <c r="L19" s="134" t="s">
        <v>51</v>
      </c>
      <c r="M19" s="135">
        <f t="shared" si="0"/>
        <v>170.54400000000001</v>
      </c>
      <c r="N19" s="136" t="str">
        <f>VLOOKUP(C19,'Trips&amp;Operators'!$C$1:$G$99999,5,FALSE)</f>
        <v>STEWART MICHAEL</v>
      </c>
      <c r="O19" s="207" t="s">
        <v>184</v>
      </c>
      <c r="P19" s="137"/>
      <c r="Q19" s="30"/>
      <c r="R19" s="84" t="str">
        <f>IF(VLOOKUP(C19,'Train Runs'!$A$13:$AE$9930,1,1)=C19,VLOOKUP(C19,'Train Runs'!$A$13:$AE$9930,31,1),NA())</f>
        <v>aws s3 cp s3://rtdc.mdm.uploadarchive.raw/RTDC4011/ "%USERPROFILE%\AppData\Local\Temp\OnboardLogs"\RTDC4011\2017-05-19 --exclude "*" --recursive --include "*20170519*" &amp; "%USERPROFILE%\Documents\GitHub\mrs-test-scripts\Headless Mode &amp; Sideloading\WalkAndUnGZ.bat" "%USERPROFILE%\AppData\Local\Temp\OnboardLogs"\RTDC4011\2017-05-19 &amp; 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</v>
      </c>
      <c r="S19" s="87" t="str">
        <f>VLOOKUP(C19,'Train Runs'!$A$13:$AE$9930,22,0)</f>
        <v>https://d0f6bd738d7f1b3e5a7ca70fe4ff75f0.us-east-1.aws.found.io/app/kibana#/discover/Steve-Slow-Train-Analysis-(2080s-and-2083s)?_g=(refreshInterval:(display:Off,pause:!f,section:0,value:0),time:(from:'2017-05-19T12:35:43-0600',mode:absolute,to:'2017-05-19T15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9" s="89" t="str">
        <f t="shared" si="1"/>
        <v>"C:\Program Files (x86)\AstroGrep\AstroGrep.exe" /e /r /s /spath="%USERPROFILE%\AppData\Local\Temp\OnboardLogs" /stypes="*4011*201705192*"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4011</v>
      </c>
      <c r="V19" s="31">
        <f t="shared" si="3"/>
        <v>42874.842488425929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{"issue":{"subject":"","project_id":79,"tracker_id":40,"status_id":1,"priority_id":2,"assigned_to_id":23,"start_date":"2017-05-19","description":"","custom_fields":[{"id":1,"name":"Subdivision","value":"EC"},{"id":4,"name":"Milepost","value":"2.1848"},{"id":17,"name":"Train ID","value":"174-19"},{"id":16,"name":"Locomotive ID","value":"4011"},{"id":130,"name":"Impact","value":""},{"id":150,"name":"Time of Event (Mountain Time)","value":"14:13:11"},{"id":151,"name":"Denver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/cygdrive/c/Users/stu/AppData/Local/Temp/OnboardLogs/RTDC4011 --include="*4011*201705192*"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"%USERPROFILE%\AppData\Local\Temp\OnboardLogs"\RTDC4011\*4011*201705192* &gt;&gt; 2017-05-19-SliceDisagreementCheck.txt</v>
      </c>
      <c r="AE19" s="148" t="str">
        <f t="shared" si="9"/>
        <v>start /low /b %USERPROFILE%\Documents\GitHub\eaglep3\Utilities\DownloadLogsFromS3.py --loco 4011 --day 2017-05-19</v>
      </c>
      <c r="AF19" s="1"/>
    </row>
    <row r="20" spans="1:32" x14ac:dyDescent="0.25">
      <c r="A20" s="31">
        <v>42874.522476851853</v>
      </c>
      <c r="B20" s="30" t="s">
        <v>499</v>
      </c>
      <c r="C20" s="30" t="s">
        <v>627</v>
      </c>
      <c r="D20" s="30" t="s">
        <v>49</v>
      </c>
      <c r="E20" s="30" t="s">
        <v>204</v>
      </c>
      <c r="F20" s="42">
        <v>550</v>
      </c>
      <c r="G20" s="42">
        <v>784</v>
      </c>
      <c r="H20" s="42">
        <v>217823</v>
      </c>
      <c r="I20" s="42">
        <v>221959</v>
      </c>
      <c r="J20" s="30" t="s">
        <v>205</v>
      </c>
      <c r="K20" s="42">
        <v>222090</v>
      </c>
      <c r="L20" s="134" t="s">
        <v>50</v>
      </c>
      <c r="M20" s="135">
        <f t="shared" si="0"/>
        <v>69.168000000000006</v>
      </c>
      <c r="N20" s="136" t="str">
        <f>VLOOKUP(C20,'Trips&amp;Operators'!$C$1:$G$99999,5,FALSE)</f>
        <v>HELVIE ADAM</v>
      </c>
      <c r="O20" s="207" t="s">
        <v>184</v>
      </c>
      <c r="P20" s="137"/>
      <c r="Q20" s="30"/>
      <c r="R20" s="84" t="str">
        <f>IF(VLOOKUP(C20,'Train Runs'!$A$13:$AE$9930,1,1)=C20,VLOOKUP(C20,'Train Runs'!$A$13:$AE$9930,31,1),NA())</f>
        <v>aws s3 cp s3://rtdc.mdm.uploadarchive.raw/RTDC4032/ "%USERPROFILE%\AppData\Local\Temp\OnboardLogs"\RTDC4032\2017-05-19 --exclude "*" --recursive --include "*20170519*" &amp; "%USERPROFILE%\Documents\GitHub\mrs-test-scripts\Headless Mode &amp; Sideloading\WalkAndUnGZ.bat" "%USERPROFILE%\AppData\Local\Temp\OnboardLogs"\RTDC4032\2017-05-19 &amp; aws s3 cp s3://rtdc.mdm.uploadarchive.raw/RTDC4032/ "%USERPROFILE%\AppData\Local\Temp\OnboardLogs"\RTDC4032\2017-05-20 --exclude "*" --recursive --include "*20170520*" &amp; "%USERPROFILE%\Documents\GitHub\mrs-test-scripts\Headless Mode &amp; Sideloading\WalkAndUnGZ.bat" "%USERPROFILE%\AppData\Local\Temp\OnboardLogs"\RTDC4032\2017-05-20</v>
      </c>
      <c r="S20" s="87" t="str">
        <f>VLOOKUP(C20,'Train Runs'!$A$13:$AE$9930,22,0)</f>
        <v>https://d0f6bd738d7f1b3e5a7ca70fe4ff75f0.us-east-1.aws.found.io/app/kibana#/discover/Steve-Slow-Train-Analysis-(2080s-and-2083s)?_g=(refreshInterval:(display:Off,pause:!f,section:0,value:0),time:(from:'2017-05-19T10:55:43-0600',mode:absolute,to:'2017-05-19T13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0" s="89" t="str">
        <f t="shared" si="1"/>
        <v>"C:\Program Files (x86)\AstroGrep\AstroGrep.exe" /e /r /s /spath="%USERPROFILE%\AppData\Local\Temp\OnboardLogs" /stypes="*4032*201705191*" /stext=" 18:.+((SYSTEM_STATE.+slice.+state.+changed )|(ment ac)|(multiple cpu faults)|(system.+state.+changed )|(\[timeout)|(PRM\|1\|D)|(kpr)|(kdp)|(train st.+moving)|(\|lc)|(penalty))"</v>
      </c>
      <c r="U20" s="9" t="str">
        <f t="shared" si="2"/>
        <v>4032</v>
      </c>
      <c r="V20" s="31">
        <f t="shared" si="3"/>
        <v>42874.772476851853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{"issue":{"subject":"","project_id":79,"tracker_id":40,"status_id":1,"priority_id":2,"assigned_to_id":23,"start_date":"2017-05-19","description":"","custom_fields":[{"id":1,"name":"Subdivision","value":"EC"},{"id":4,"name":"Milepost","value":"22.209"},{"id":17,"name":"Train ID","value":"167-19"},{"id":16,"name":"Locomotive ID","value":"4032"},{"id":130,"name":"Impact","value":""},{"id":150,"name":"Time of Event (Mountain Time)","value":"12:32:22"},{"id":151,"name":"Denver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/cygdrive/c/Users/stu/AppData/Local/Temp/OnboardLogs/RTDC4032 --include="*4032*201705191*"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"%USERPROFILE%\AppData\Local\Temp\OnboardLogs"\RTDC4032\*4032*201705191* &gt;&gt; 2017-05-19-SliceDisagreementCheck.txt</v>
      </c>
      <c r="AE20" s="148" t="str">
        <f t="shared" si="9"/>
        <v>start /low /b %USERPROFILE%\Documents\GitHub\eaglep3\Utilities\DownloadLogsFromS3.py --loco 4032 --day 2017-05-19</v>
      </c>
      <c r="AF20" s="1"/>
    </row>
    <row r="21" spans="1:32" x14ac:dyDescent="0.25">
      <c r="A21" s="31">
        <v>42874.839305555557</v>
      </c>
      <c r="B21" s="30" t="s">
        <v>496</v>
      </c>
      <c r="C21" s="30" t="s">
        <v>645</v>
      </c>
      <c r="D21" s="30" t="s">
        <v>49</v>
      </c>
      <c r="E21" s="30" t="s">
        <v>370</v>
      </c>
      <c r="F21" s="42">
        <v>0</v>
      </c>
      <c r="G21" s="42">
        <v>750</v>
      </c>
      <c r="H21" s="42">
        <v>141980</v>
      </c>
      <c r="I21" s="42">
        <v>138532</v>
      </c>
      <c r="J21" s="30" t="s">
        <v>371</v>
      </c>
      <c r="K21" s="42">
        <v>138851</v>
      </c>
      <c r="L21" s="134" t="s">
        <v>51</v>
      </c>
      <c r="M21" s="135">
        <f t="shared" si="0"/>
        <v>-168.43199999999999</v>
      </c>
      <c r="N21" s="136" t="str">
        <f>VLOOKUP(C21,'Trips&amp;Operators'!$C$1:$G$99999,5,FALSE)</f>
        <v>BROWN JACOB</v>
      </c>
      <c r="O21" s="207" t="s">
        <v>493</v>
      </c>
      <c r="P21" s="137" t="s">
        <v>522</v>
      </c>
      <c r="Q21" s="30"/>
      <c r="R21" s="84" t="str">
        <f>IF(VLOOKUP(C21,'Train Runs'!$A$13:$AE$9930,1,1)=C21,VLOOKUP(C21,'Train Runs'!$A$13:$AE$9930,31,1),NA())</f>
        <v>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 &amp; aws s3 cp s3://rtdc.mdm.uploadarchive.raw/RTDC4031/ "%USERPROFILE%\AppData\Local\Temp\OnboardLogs"\RTDC4031\2017-05-20 --exclude "*" --recursive --include "*20170520*" &amp; "%USERPROFILE%\Documents\GitHub\mrs-test-scripts\Headless Mode &amp; Sideloading\WalkAndUnGZ.bat" "%USERPROFILE%\AppData\Local\Temp\OnboardLogs"\RTDC4031\2017-05-20</v>
      </c>
      <c r="S21" s="87" t="str">
        <f>VLOOKUP(C21,'Train Runs'!$A$13:$AE$9930,22,0)</f>
        <v>https://d0f6bd738d7f1b3e5a7ca70fe4ff75f0.us-east-1.aws.found.io/app/kibana#/discover/Steve-Slow-Train-Analysis-(2080s-and-2083s)?_g=(refreshInterval:(display:Off,pause:!f,section:0,value:0),time:(from:'2017-05-19T18:51:46-0600',mode:absolute,to:'2017-05-19T21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1" s="89" t="str">
        <f t="shared" si="1"/>
        <v>"C:\Program Files (x86)\AstroGrep\AstroGrep.exe" /e /r /s /spath="%USERPROFILE%\AppData\Local\Temp\OnboardLogs" /stypes="*4031*201705200*" /stext=" 02:.+((SYSTEM_STATE.+slice.+state.+changed )|(ment ac)|(multiple cpu faults)|(system.+state.+changed )|(\[timeout)|(PRM\|1\|D)|(kpr)|(kdp)|(train st.+moving)|(\|lc)|(penalty))"</v>
      </c>
      <c r="U21" s="9" t="str">
        <f t="shared" si="2"/>
        <v>4031</v>
      </c>
      <c r="V21" s="31">
        <f t="shared" si="3"/>
        <v>42875.089305555557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{"issue":{"subject":"Wi-MAX data drop","project_id":79,"tracker_id":40,"status_id":1,"priority_id":2,"assigned_to_id":23,"start_date":"2017-05-19","description":"","custom_fields":[{"id":1,"name":"Subdivision","value":"EC"},{"id":4,"name":"Milepost","value":"13.8851"},{"id":17,"name":"Train ID","value":"222-19"},{"id":16,"name":"Locomotive ID","value":"4031"},{"id":130,"name":"Impact","value":""},{"id":150,"name":"Time of Event (Mountain Time)","value":"20:08:36"},{"id":151,"name":"Denver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/cygdrive/c/Users/stu/AppData/Local/Temp/OnboardLogs/RTDC4031 --include="*4031*201705200*"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"%USERPROFILE%\AppData\Local\Temp\OnboardLogs"\RTDC4031\*4031*201705200* &gt;&gt; 2017-05-19-SliceDisagreementCheck.txt</v>
      </c>
      <c r="AE21" s="148" t="str">
        <f t="shared" si="9"/>
        <v>start /low /b %USERPROFILE%\Documents\GitHub\eaglep3\Utilities\DownloadLogsFromS3.py --loco 4031 --day 2017-05-20</v>
      </c>
      <c r="AF21" s="1"/>
    </row>
    <row r="22" spans="1:32" x14ac:dyDescent="0.25">
      <c r="A22" s="31">
        <v>42874.392453703702</v>
      </c>
      <c r="B22" s="30" t="s">
        <v>385</v>
      </c>
      <c r="C22" s="30" t="s">
        <v>618</v>
      </c>
      <c r="D22" s="30" t="s">
        <v>49</v>
      </c>
      <c r="E22" s="30" t="s">
        <v>370</v>
      </c>
      <c r="F22" s="42">
        <v>0</v>
      </c>
      <c r="G22" s="42">
        <v>747</v>
      </c>
      <c r="H22" s="42">
        <v>149037</v>
      </c>
      <c r="I22" s="42">
        <v>152861</v>
      </c>
      <c r="J22" s="30" t="s">
        <v>371</v>
      </c>
      <c r="K22" s="42">
        <v>149694</v>
      </c>
      <c r="L22" s="134" t="s">
        <v>50</v>
      </c>
      <c r="M22" s="135">
        <f t="shared" si="0"/>
        <v>-1672.1759999999999</v>
      </c>
      <c r="N22" s="136" t="str">
        <f>VLOOKUP(C22,'Trips&amp;Operators'!$C$1:$G$99999,5,FALSE)</f>
        <v>ROCHA YAOTL</v>
      </c>
      <c r="O22" s="207" t="s">
        <v>493</v>
      </c>
      <c r="P22" s="137" t="s">
        <v>522</v>
      </c>
      <c r="Q22" s="30"/>
      <c r="R22" s="84" t="str">
        <f>IF(VLOOKUP(C22,'Train Runs'!$A$13:$AE$9930,1,1)=C22,VLOOKUP(C22,'Train Runs'!$A$13:$AE$9930,31,1),NA())</f>
        <v>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 &amp; aws s3 cp s3://rtdc.mdm.uploadarchive.raw/RTDC4040/ "%USERPROFILE%\AppData\Local\Temp\OnboardLogs"\RTDC4040\2017-05-20 --exclude "*" --recursive --include "*20170520*" &amp; "%USERPROFILE%\Documents\GitHub\mrs-test-scripts\Headless Mode &amp; Sideloading\WalkAndUnGZ.bat" "%USERPROFILE%\AppData\Local\Temp\OnboardLogs"\RTDC4040\2017-05-20</v>
      </c>
      <c r="S22" s="87" t="str">
        <f>VLOOKUP(C22,'Train Runs'!$A$13:$AE$9930,22,0)</f>
        <v>https://d0f6bd738d7f1b3e5a7ca70fe4ff75f0.us-east-1.aws.found.io/app/kibana#/discover/Steve-Slow-Train-Analysis-(2080s-and-2083s)?_g=(refreshInterval:(display:Off,pause:!f,section:0,value:0),time:(from:'2017-05-19T07:59:06-0600',mode:absolute,to:'2017-05-19T10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2" s="89" t="str">
        <f t="shared" si="1"/>
        <v>"C:\Program Files (x86)\AstroGrep\AstroGrep.exe" /e /r /s /spath="%USERPROFILE%\AppData\Local\Temp\OnboardLogs" /stypes="*4040*201705191*" /stext=" 15:.+((SYSTEM_STATE.+slice.+state.+changed )|(ment ac)|(multiple cpu faults)|(system.+state.+changed )|(\[timeout)|(PRM\|1\|D)|(kpr)|(kdp)|(train st.+moving)|(\|lc)|(penalty))"</v>
      </c>
      <c r="U22" s="9" t="str">
        <f t="shared" si="2"/>
        <v>4040</v>
      </c>
      <c r="V22" s="31">
        <f t="shared" si="3"/>
        <v>42874.642453703702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{"issue":{"subject":"Wi-MAX data drop","project_id":79,"tracker_id":40,"status_id":1,"priority_id":2,"assigned_to_id":23,"start_date":"2017-05-19","description":"","custom_fields":[{"id":1,"name":"Subdivision","value":"EC"},{"id":4,"name":"Milepost","value":"14.9694"},{"id":17,"name":"Train ID","value":"143-19"},{"id":16,"name":"Locomotive ID","value":"4040"},{"id":130,"name":"Impact","value":""},{"id":150,"name":"Time of Event (Mountain Time)","value":"09:25:08"},{"id":151,"name":"Denver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/cygdrive/c/Users/stu/AppData/Local/Temp/OnboardLogs/RTDC4040 --include="*4040*201705191*"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"%USERPROFILE%\AppData\Local\Temp\OnboardLogs"\RTDC4040\*4040*201705191* &gt;&gt; 2017-05-19-SliceDisagreementCheck.txt</v>
      </c>
      <c r="AE22" s="148" t="str">
        <f t="shared" si="9"/>
        <v>start /low /b %USERPROFILE%\Documents\GitHub\eaglep3\Utilities\DownloadLogsFromS3.py --loco 4040 --day 2017-05-19</v>
      </c>
      <c r="AF22" s="1"/>
    </row>
    <row r="23" spans="1:32" x14ac:dyDescent="0.25">
      <c r="A23" s="31">
        <v>42874.394918981481</v>
      </c>
      <c r="B23" s="30" t="s">
        <v>385</v>
      </c>
      <c r="C23" s="30" t="s">
        <v>618</v>
      </c>
      <c r="D23" s="30" t="s">
        <v>98</v>
      </c>
      <c r="E23" s="30" t="s">
        <v>370</v>
      </c>
      <c r="F23" s="42">
        <v>200</v>
      </c>
      <c r="G23" s="42">
        <v>252</v>
      </c>
      <c r="H23" s="42">
        <v>155001</v>
      </c>
      <c r="I23" s="42">
        <v>155699</v>
      </c>
      <c r="J23" s="30" t="s">
        <v>371</v>
      </c>
      <c r="K23" s="42">
        <v>149694</v>
      </c>
      <c r="L23" s="134" t="s">
        <v>50</v>
      </c>
      <c r="M23" s="135">
        <f t="shared" si="0"/>
        <v>-3170.64</v>
      </c>
      <c r="N23" s="136" t="str">
        <f>VLOOKUP(C23,'Trips&amp;Operators'!$C$1:$G$99999,5,FALSE)</f>
        <v>ROCHA YAOTL</v>
      </c>
      <c r="O23" s="207" t="s">
        <v>184</v>
      </c>
      <c r="P23" s="137" t="s">
        <v>1061</v>
      </c>
      <c r="Q23" s="30"/>
      <c r="R23" s="84" t="str">
        <f>IF(VLOOKUP(C23,'Train Runs'!$A$13:$AE$9930,1,1)=C23,VLOOKUP(C23,'Train Runs'!$A$13:$AE$9930,31,1),NA())</f>
        <v>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 &amp; aws s3 cp s3://rtdc.mdm.uploadarchive.raw/RTDC4040/ "%USERPROFILE%\AppData\Local\Temp\OnboardLogs"\RTDC4040\2017-05-20 --exclude "*" --recursive --include "*20170520*" &amp; "%USERPROFILE%\Documents\GitHub\mrs-test-scripts\Headless Mode &amp; Sideloading\WalkAndUnGZ.bat" "%USERPROFILE%\AppData\Local\Temp\OnboardLogs"\RTDC4040\2017-05-20</v>
      </c>
      <c r="S23" s="87" t="str">
        <f>VLOOKUP(C23,'Train Runs'!$A$13:$AE$9930,22,0)</f>
        <v>https://d0f6bd738d7f1b3e5a7ca70fe4ff75f0.us-east-1.aws.found.io/app/kibana#/discover/Steve-Slow-Train-Analysis-(2080s-and-2083s)?_g=(refreshInterval:(display:Off,pause:!f,section:0,value:0),time:(from:'2017-05-19T07:59:06-0600',mode:absolute,to:'2017-05-19T10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3" s="89" t="str">
        <f t="shared" si="1"/>
        <v>"C:\Program Files (x86)\AstroGrep\AstroGrep.exe" /e /r /s /spath="%USERPROFILE%\AppData\Local\Temp\OnboardLogs" /stypes="*4040*201705191*"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4040</v>
      </c>
      <c r="V23" s="31">
        <f t="shared" si="3"/>
        <v>42874.644918981481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Overspeed","project_id":79,"tracker_id":40,"status_id":1,"priority_id":2,"assigned_to_id":23,"start_date":"2017-05-19","description":"","custom_fields":[{"id":1,"name":"Subdivision","value":"EC"},{"id":4,"name":"Milepost","value":"14.9694"},{"id":17,"name":"Train ID","value":"143-19"},{"id":16,"name":"Locomotive ID","value":"4040"},{"id":130,"name":"Impact","value":""},{"id":150,"name":"Time of Event (Mountain Time)","value":"09:28:41"},{"id":151,"name":"Denver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/cygdrive/c/Users/stu/AppData/Local/Temp/OnboardLogs/RTDC4040 --include="*4040*201705191*"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"%USERPROFILE%\AppData\Local\Temp\OnboardLogs"\RTDC4040\*4040*201705191* &gt;&gt; 2017-05-19-SliceDisagreementCheck.txt</v>
      </c>
      <c r="AE23" s="148" t="str">
        <f t="shared" si="9"/>
        <v>start /low /b %USERPROFILE%\Documents\GitHub\eaglep3\Utilities\DownloadLogsFromS3.py --loco 4040 --day 2017-05-19</v>
      </c>
      <c r="AF23" s="1"/>
    </row>
    <row r="24" spans="1:32" x14ac:dyDescent="0.25">
      <c r="A24" s="31">
        <v>42874.41878472222</v>
      </c>
      <c r="B24" s="30" t="s">
        <v>496</v>
      </c>
      <c r="C24" s="30" t="s">
        <v>621</v>
      </c>
      <c r="D24" s="30" t="s">
        <v>98</v>
      </c>
      <c r="E24" s="30" t="s">
        <v>605</v>
      </c>
      <c r="F24" s="42">
        <v>0</v>
      </c>
      <c r="G24" s="42">
        <v>424</v>
      </c>
      <c r="H24" s="42">
        <v>13453</v>
      </c>
      <c r="I24" s="42">
        <v>12139</v>
      </c>
      <c r="J24" s="30" t="s">
        <v>524</v>
      </c>
      <c r="K24" s="42">
        <v>17100</v>
      </c>
      <c r="L24" s="134" t="s">
        <v>51</v>
      </c>
      <c r="M24" s="135">
        <f t="shared" si="0"/>
        <v>-2619.4079999999999</v>
      </c>
      <c r="N24" s="136" t="str">
        <f>VLOOKUP(C24,'Trips&amp;Operators'!$C$1:$G$99999,5,FALSE)</f>
        <v>BONDS REYNALDO</v>
      </c>
      <c r="O24" s="207" t="s">
        <v>493</v>
      </c>
      <c r="P24" s="137" t="s">
        <v>522</v>
      </c>
      <c r="Q24" s="30"/>
      <c r="R24" s="84" t="str">
        <f>IF(VLOOKUP(C24,'Train Runs'!$A$13:$AE$9930,1,1)=C24,VLOOKUP(C24,'Train Runs'!$A$13:$AE$9930,31,1),NA())</f>
        <v>aws s3 cp s3://rtdc.mdm.uploadarchive.raw/RTDC4031/ "%USERPROFILE%\AppData\Local\Temp\OnboardLogs"\RTDC4031\2017-05-19 --exclude "*" --recursive --include "*20170519*" &amp; "%USERPROFILE%\Documents\GitHub\mrs-test-scripts\Headless Mode &amp; Sideloading\WalkAndUnGZ.bat" "%USERPROFILE%\AppData\Local\Temp\OnboardLogs"\RTDC4031\2017-05-19 &amp; aws s3 cp s3://rtdc.mdm.uploadarchive.raw/RTDC4031/ "%USERPROFILE%\AppData\Local\Temp\OnboardLogs"\RTDC4031\2017-05-20 --exclude "*" --recursive --include "*20170520*" &amp; "%USERPROFILE%\Documents\GitHub\mrs-test-scripts\Headless Mode &amp; Sideloading\WalkAndUnGZ.bat" "%USERPROFILE%\AppData\Local\Temp\OnboardLogs"\RTDC4031\2017-05-20</v>
      </c>
      <c r="S24" s="87" t="str">
        <f>VLOOKUP(C24,'Train Runs'!$A$13:$AE$9930,22,0)</f>
        <v>https://d0f6bd738d7f1b3e5a7ca70fe4ff75f0.us-east-1.aws.found.io/app/kibana#/discover/Steve-Slow-Train-Analysis-(2080s-and-2083s)?_g=(refreshInterval:(display:Off,pause:!f,section:0,value:0),time:(from:'2017-05-19T08:19:36-0600',mode:absolute,to:'2017-05-19T11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4" s="89" t="str">
        <f t="shared" si="1"/>
        <v>"C:\Program Files (x86)\AstroGrep\AstroGrep.exe" /e /r /s /spath="%USERPROFILE%\AppData\Local\Temp\OnboardLogs" /stypes="*4031*201705191*"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4031</v>
      </c>
      <c r="V24" s="31">
        <f t="shared" si="3"/>
        <v>42874.66878472222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{"issue":{"subject":"Wi-MAX data drop","project_id":79,"tracker_id":40,"status_id":1,"priority_id":2,"assigned_to_id":23,"start_date":"2017-05-19","description":"","custom_fields":[{"id":1,"name":"Subdivision","value":"EC"},{"id":4,"name":"Milepost","value":"1.71"},{"id":17,"name":"Train ID","value":"140-19"},{"id":16,"name":"Locomotive ID","value":"4031"},{"id":130,"name":"Impact","value":""},{"id":150,"name":"Time of Event (Mountain Time)","value":"10:03:03"},{"id":151,"name":"Denver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/cygdrive/c/Users/stu/AppData/Local/Temp/OnboardLogs/RTDC4031 --include="*4031*201705191*"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"%USERPROFILE%\AppData\Local\Temp\OnboardLogs"\RTDC4031\*4031*201705191* &gt;&gt; 2017-05-19-SliceDisagreementCheck.txt</v>
      </c>
      <c r="AE24" s="148" t="str">
        <f t="shared" si="9"/>
        <v>start /low /b %USERPROFILE%\Documents\GitHub\eaglep3\Utilities\DownloadLogsFromS3.py --loco 4031 --day 2017-05-19</v>
      </c>
      <c r="AF24" s="1"/>
    </row>
    <row r="25" spans="1:32" x14ac:dyDescent="0.25">
      <c r="A25" s="31">
        <v>42874.576840277776</v>
      </c>
      <c r="B25" s="30" t="s">
        <v>500</v>
      </c>
      <c r="C25" s="30" t="s">
        <v>631</v>
      </c>
      <c r="D25" s="30" t="s">
        <v>49</v>
      </c>
      <c r="E25" s="30" t="s">
        <v>185</v>
      </c>
      <c r="F25" s="42">
        <v>0</v>
      </c>
      <c r="G25" s="42">
        <v>81</v>
      </c>
      <c r="H25" s="42">
        <v>342</v>
      </c>
      <c r="I25" s="42">
        <v>283</v>
      </c>
      <c r="J25" s="30" t="s">
        <v>186</v>
      </c>
      <c r="K25" s="42">
        <v>1</v>
      </c>
      <c r="L25" s="134" t="s">
        <v>51</v>
      </c>
      <c r="M25" s="135">
        <f t="shared" si="0"/>
        <v>148.89599999999999</v>
      </c>
      <c r="N25" s="136" t="str">
        <f>VLOOKUP(C25,'Trips&amp;Operators'!$C$1:$G$99999,5,FALSE)</f>
        <v>BRANDNER MELINDA</v>
      </c>
      <c r="O25" s="207" t="s">
        <v>184</v>
      </c>
      <c r="P25" s="137"/>
      <c r="Q25" s="30"/>
      <c r="R25" s="84" t="str">
        <f>IF(VLOOKUP(C25,'Train Runs'!$A$13:$AE$9930,1,1)=C25,VLOOKUP(C25,'Train Runs'!$A$13:$AE$9930,31,1),NA())</f>
        <v>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 &amp; aws s3 cp s3://rtdc.mdm.uploadarchive.raw/RTDC4023/ "%USERPROFILE%\AppData\Local\Temp\OnboardLogs"\RTDC4023\2017-05-20 --exclude "*" --recursive --include "*20170520*" &amp; "%USERPROFILE%\Documents\GitHub\mrs-test-scripts\Headless Mode &amp; Sideloading\WalkAndUnGZ.bat" "%USERPROFILE%\AppData\Local\Temp\OnboardLogs"\RTDC4023\2017-05-20</v>
      </c>
      <c r="S25" s="87" t="str">
        <f>VLOOKUP(C25,'Train Runs'!$A$13:$AE$9930,22,0)</f>
        <v>https://d0f6bd738d7f1b3e5a7ca70fe4ff75f0.us-east-1.aws.found.io/app/kibana#/discover/Steve-Slow-Train-Analysis-(2080s-and-2083s)?_g=(refreshInterval:(display:Off,pause:!f,section:0,value:0),time:(from:'2017-05-19T12:06:27-0600',mode:absolute,to:'2017-05-19T14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5" s="89" t="str">
        <f t="shared" si="1"/>
        <v>"C:\Program Files (x86)\AstroGrep\AstroGrep.exe" /e /r /s /spath="%USERPROFILE%\AppData\Local\Temp\OnboardLogs" /stypes="*4023*201705191*" /stext=" 19:.+((SYSTEM_STATE.+slice.+state.+changed )|(ment ac)|(multiple cpu faults)|(system.+state.+changed )|(\[timeout)|(PRM\|1\|D)|(kpr)|(kdp)|(train st.+moving)|(\|lc)|(penalty))"</v>
      </c>
      <c r="U25" s="9" t="str">
        <f t="shared" si="2"/>
        <v>4023</v>
      </c>
      <c r="V25" s="31">
        <f t="shared" si="3"/>
        <v>42874.826840277776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{"issue":{"subject":"","project_id":79,"tracker_id":40,"status_id":1,"priority_id":2,"assigned_to_id":23,"start_date":"2017-05-19","description":"","custom_fields":[{"id":1,"name":"Subdivision","value":"EC"},{"id":4,"name":"Milepost","value":"0.0001"},{"id":17,"name":"Train ID","value":"170-19"},{"id":16,"name":"Locomotive ID","value":"4023"},{"id":130,"name":"Impact","value":""},{"id":150,"name":"Time of Event (Mountain Time)","value":"13:50:39"},{"id":151,"name":"Denver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/cygdrive/c/Users/stu/AppData/Local/Temp/OnboardLogs/RTDC4023 --include="*4023*201705191*"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"%USERPROFILE%\AppData\Local\Temp\OnboardLogs"\RTDC4023\*4023*201705191* &gt;&gt; 2017-05-19-SliceDisagreementCheck.txt</v>
      </c>
      <c r="AE25" s="148" t="str">
        <f t="shared" si="9"/>
        <v>start /low /b %USERPROFILE%\Documents\GitHub\eaglep3\Utilities\DownloadLogsFromS3.py --loco 4023 --day 2017-05-19</v>
      </c>
      <c r="AF25" s="1"/>
    </row>
    <row r="26" spans="1:32" x14ac:dyDescent="0.25">
      <c r="A26" s="31">
        <v>42874.57739583333</v>
      </c>
      <c r="B26" s="30" t="s">
        <v>500</v>
      </c>
      <c r="C26" s="30" t="s">
        <v>631</v>
      </c>
      <c r="D26" s="30" t="s">
        <v>49</v>
      </c>
      <c r="E26" s="30" t="s">
        <v>185</v>
      </c>
      <c r="F26" s="42">
        <v>0</v>
      </c>
      <c r="G26" s="42">
        <v>42</v>
      </c>
      <c r="H26" s="42">
        <v>145</v>
      </c>
      <c r="I26" s="42">
        <v>118</v>
      </c>
      <c r="J26" s="30" t="s">
        <v>186</v>
      </c>
      <c r="K26" s="42">
        <v>1</v>
      </c>
      <c r="L26" s="134" t="s">
        <v>51</v>
      </c>
      <c r="M26" s="135">
        <f t="shared" si="0"/>
        <v>61.776000000000003</v>
      </c>
      <c r="N26" s="136" t="str">
        <f>VLOOKUP(C26,'Trips&amp;Operators'!$C$1:$G$99999,5,FALSE)</f>
        <v>BRANDNER MELINDA</v>
      </c>
      <c r="O26" s="207" t="s">
        <v>184</v>
      </c>
      <c r="P26" s="137"/>
      <c r="Q26" s="30"/>
      <c r="R26" s="84" t="str">
        <f>IF(VLOOKUP(C26,'Train Runs'!$A$13:$AE$9930,1,1)=C26,VLOOKUP(C26,'Train Runs'!$A$13:$AE$9930,31,1),NA())</f>
        <v>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 &amp; aws s3 cp s3://rtdc.mdm.uploadarchive.raw/RTDC4023/ "%USERPROFILE%\AppData\Local\Temp\OnboardLogs"\RTDC4023\2017-05-20 --exclude "*" --recursive --include "*20170520*" &amp; "%USERPROFILE%\Documents\GitHub\mrs-test-scripts\Headless Mode &amp; Sideloading\WalkAndUnGZ.bat" "%USERPROFILE%\AppData\Local\Temp\OnboardLogs"\RTDC4023\2017-05-20</v>
      </c>
      <c r="S26" s="87" t="str">
        <f>VLOOKUP(C26,'Train Runs'!$A$13:$AE$9930,22,0)</f>
        <v>https://d0f6bd738d7f1b3e5a7ca70fe4ff75f0.us-east-1.aws.found.io/app/kibana#/discover/Steve-Slow-Train-Analysis-(2080s-and-2083s)?_g=(refreshInterval:(display:Off,pause:!f,section:0,value:0),time:(from:'2017-05-19T12:06:27-0600',mode:absolute,to:'2017-05-19T14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6" s="89" t="str">
        <f t="shared" si="1"/>
        <v>"C:\Program Files (x86)\AstroGrep\AstroGrep.exe" /e /r /s /spath="%USERPROFILE%\AppData\Local\Temp\OnboardLogs" /stypes="*4023*201705191*" /stext=" 19:.+((SYSTEM_STATE.+slice.+state.+changed )|(ment ac)|(multiple cpu faults)|(system.+state.+changed )|(\[timeout)|(PRM\|1\|D)|(kpr)|(kdp)|(train st.+moving)|(\|lc)|(penalty))"</v>
      </c>
      <c r="U26" s="9" t="str">
        <f t="shared" si="2"/>
        <v>4023</v>
      </c>
      <c r="V26" s="31">
        <f t="shared" si="3"/>
        <v>42874.82739583333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{"issue":{"subject":"","project_id":79,"tracker_id":40,"status_id":1,"priority_id":2,"assigned_to_id":23,"start_date":"2017-05-19","description":"","custom_fields":[{"id":1,"name":"Subdivision","value":"EC"},{"id":4,"name":"Milepost","value":"0.0001"},{"id":17,"name":"Train ID","value":"170-19"},{"id":16,"name":"Locomotive ID","value":"4023"},{"id":130,"name":"Impact","value":""},{"id":150,"name":"Time of Event (Mountain Time)","value":"13:51:27"},{"id":151,"name":"Denver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/cygdrive/c/Users/stu/AppData/Local/Temp/OnboardLogs/RTDC4023 --include="*4023*201705191*"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"%USERPROFILE%\AppData\Local\Temp\OnboardLogs"\RTDC4023\*4023*201705191* &gt;&gt; 2017-05-19-SliceDisagreementCheck.txt</v>
      </c>
      <c r="AE26" s="148" t="str">
        <f t="shared" si="9"/>
        <v>start /low /b %USERPROFILE%\Documents\GitHub\eaglep3\Utilities\DownloadLogsFromS3.py --loco 4023 --day 2017-05-19</v>
      </c>
      <c r="AF26" s="1"/>
    </row>
    <row r="27" spans="1:32" x14ac:dyDescent="0.25">
      <c r="A27" s="31">
        <v>42874.796273148146</v>
      </c>
      <c r="B27" s="30" t="s">
        <v>500</v>
      </c>
      <c r="C27" s="30" t="s">
        <v>643</v>
      </c>
      <c r="D27" s="30" t="s">
        <v>49</v>
      </c>
      <c r="E27" s="30" t="s">
        <v>185</v>
      </c>
      <c r="F27" s="42">
        <v>0</v>
      </c>
      <c r="G27" s="42">
        <v>25</v>
      </c>
      <c r="H27" s="42">
        <v>114</v>
      </c>
      <c r="I27" s="42">
        <v>101</v>
      </c>
      <c r="J27" s="30" t="s">
        <v>186</v>
      </c>
      <c r="K27" s="42">
        <v>1</v>
      </c>
      <c r="L27" s="134" t="s">
        <v>51</v>
      </c>
      <c r="M27" s="135">
        <f t="shared" si="0"/>
        <v>52.8</v>
      </c>
      <c r="N27" s="136" t="str">
        <f>VLOOKUP(C27,'Trips&amp;Operators'!$C$1:$G$99999,5,FALSE)</f>
        <v>BRANDNER MELINDA</v>
      </c>
      <c r="O27" s="207" t="s">
        <v>184</v>
      </c>
      <c r="P27" s="137"/>
      <c r="Q27" s="30"/>
      <c r="R27" s="84" t="str">
        <f>IF(VLOOKUP(C27,'Train Runs'!$A$13:$AE$9930,1,1)=C27,VLOOKUP(C27,'Train Runs'!$A$13:$AE$9930,31,1),NA())</f>
        <v>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 &amp; aws s3 cp s3://rtdc.mdm.uploadarchive.raw/RTDC4023/ "%USERPROFILE%\AppData\Local\Temp\OnboardLogs"\RTDC4023\2017-05-20 --exclude "*" --recursive --include "*20170520*" &amp; "%USERPROFILE%\Documents\GitHub\mrs-test-scripts\Headless Mode &amp; Sideloading\WalkAndUnGZ.bat" "%USERPROFILE%\AppData\Local\Temp\OnboardLogs"\RTDC4023\2017-05-20</v>
      </c>
      <c r="S27" s="87" t="str">
        <f>VLOOKUP(C27,'Train Runs'!$A$13:$AE$9930,22,0)</f>
        <v>https://d0f6bd738d7f1b3e5a7ca70fe4ff75f0.us-east-1.aws.found.io/app/kibana#/discover/Steve-Slow-Train-Analysis-(2080s-and-2083s)?_g=(refreshInterval:(display:Off,pause:!f,section:0,value:0),time:(from:'2017-05-19T17:20:41-0600',mode:absolute,to:'2017-05-19T20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7" s="89" t="str">
        <f t="shared" si="1"/>
        <v>"C:\Program Files (x86)\AstroGrep\AstroGrep.exe" /e /r /s /spath="%USERPROFILE%\AppData\Local\Temp\OnboardLogs" /stypes="*4023*201705200*" /stext=" 01:.+((SYSTEM_STATE.+slice.+state.+changed )|(ment ac)|(multiple cpu faults)|(system.+state.+changed )|(\[timeout)|(PRM\|1\|D)|(kpr)|(kdp)|(train st.+moving)|(\|lc)|(penalty))"</v>
      </c>
      <c r="U27" s="9" t="str">
        <f t="shared" si="2"/>
        <v>4023</v>
      </c>
      <c r="V27" s="31">
        <f t="shared" si="3"/>
        <v>42875.046273148146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{"issue":{"subject":"","project_id":79,"tracker_id":40,"status_id":1,"priority_id":2,"assigned_to_id":23,"start_date":"2017-05-19","description":"","custom_fields":[{"id":1,"name":"Subdivision","value":"EC"},{"id":4,"name":"Milepost","value":"0.0001"},{"id":17,"name":"Train ID","value":"212-19"},{"id":16,"name":"Locomotive ID","value":"4023"},{"id":130,"name":"Impact","value":""},{"id":150,"name":"Time of Event (Mountain Time)","value":"19:06:38"},{"id":151,"name":"Denver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/cygdrive/c/Users/stu/AppData/Local/Temp/OnboardLogs/RTDC4023 --include="*4023*201705200*"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"%USERPROFILE%\AppData\Local\Temp\OnboardLogs"\RTDC4023\*4023*201705200* &gt;&gt; 2017-05-19-SliceDisagreementCheck.txt</v>
      </c>
      <c r="AE27" s="148" t="str">
        <f t="shared" si="9"/>
        <v>start /low /b %USERPROFILE%\Documents\GitHub\eaglep3\Utilities\DownloadLogsFromS3.py --loco 4023 --day 2017-05-20</v>
      </c>
      <c r="AF27" s="1"/>
    </row>
    <row r="28" spans="1:32" x14ac:dyDescent="0.25">
      <c r="A28" s="31">
        <v>42874.483206018522</v>
      </c>
      <c r="B28" s="30" t="s">
        <v>459</v>
      </c>
      <c r="C28" s="30" t="s">
        <v>625</v>
      </c>
      <c r="D28" s="30" t="s">
        <v>49</v>
      </c>
      <c r="E28" s="30" t="s">
        <v>185</v>
      </c>
      <c r="F28" s="42">
        <v>0</v>
      </c>
      <c r="G28" s="42">
        <v>75</v>
      </c>
      <c r="H28" s="42">
        <v>233205</v>
      </c>
      <c r="I28" s="42">
        <v>233282</v>
      </c>
      <c r="J28" s="30" t="s">
        <v>186</v>
      </c>
      <c r="K28" s="42">
        <v>233491</v>
      </c>
      <c r="L28" s="134" t="s">
        <v>50</v>
      </c>
      <c r="M28" s="135">
        <f t="shared" si="0"/>
        <v>110.352</v>
      </c>
      <c r="N28" s="136" t="str">
        <f>VLOOKUP(C28,'Trips&amp;Operators'!$C$1:$G$99999,5,FALSE)</f>
        <v>STEWART MICHAEL</v>
      </c>
      <c r="O28" s="207" t="s">
        <v>184</v>
      </c>
      <c r="P28" s="137"/>
      <c r="Q28" s="30"/>
      <c r="R28" s="84" t="str">
        <f>IF(VLOOKUP(C28,'Train Runs'!$A$13:$AE$9930,1,1)=C28,VLOOKUP(C28,'Train Runs'!$A$13:$AE$9930,31,1),NA())</f>
        <v>aws s3 cp s3://rtdc.mdm.uploadarchive.raw/RTDC4012/ "%USERPROFILE%\AppData\Local\Temp\OnboardLogs"\RTDC4012\2017-05-19 --exclude "*" --recursive --include "*20170519*" &amp; "%USERPROFILE%\Documents\GitHub\mrs-test-scripts\Headless Mode &amp; Sideloading\WalkAndUnGZ.bat" "%USERPROFILE%\AppData\Local\Temp\OnboardLogs"\RTDC4012\2017-05-19 &amp; 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</v>
      </c>
      <c r="S28" s="87" t="str">
        <f>VLOOKUP(C28,'Train Runs'!$A$13:$AE$9930,22,0)</f>
        <v>https://d0f6bd738d7f1b3e5a7ca70fe4ff75f0.us-east-1.aws.found.io/app/kibana#/discover/Steve-Slow-Train-Analysis-(2080s-and-2083s)?_g=(refreshInterval:(display:Off,pause:!f,section:0,value:0),time:(from:'2017-05-19T09:53:48-0600',mode:absolute,to:'2017-05-19T12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8" s="89" t="str">
        <f t="shared" si="1"/>
        <v>"C:\Program Files (x86)\AstroGrep\AstroGrep.exe" /e /r /s /spath="%USERPROFILE%\AppData\Local\Temp\OnboardLogs" /stypes="*4012*201705191*" /stext=" 17:.+((SYSTEM_STATE.+slice.+state.+changed )|(ment ac)|(multiple cpu faults)|(system.+state.+changed )|(\[timeout)|(PRM\|1\|D)|(kpr)|(kdp)|(train st.+moving)|(\|lc)|(penalty))"</v>
      </c>
      <c r="U28" s="9" t="str">
        <f t="shared" si="2"/>
        <v>4012</v>
      </c>
      <c r="V28" s="31">
        <f t="shared" si="3"/>
        <v>42874.733206018522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{"issue":{"subject":"","project_id":79,"tracker_id":40,"status_id":1,"priority_id":2,"assigned_to_id":23,"start_date":"2017-05-19","description":"","custom_fields":[{"id":1,"name":"Subdivision","value":"EC"},{"id":4,"name":"Milepost","value":"23.3491"},{"id":17,"name":"Train ID","value":"159-19"},{"id":16,"name":"Locomotive ID","value":"4012"},{"id":130,"name":"Impact","value":""},{"id":150,"name":"Time of Event (Mountain Time)","value":"11:35:49"},{"id":151,"name":"Denver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/cygdrive/c/Users/stu/AppData/Local/Temp/OnboardLogs/RTDC4012 --include="*4012*201705191*"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"%USERPROFILE%\AppData\Local\Temp\OnboardLogs"\RTDC4012\*4012*201705191* &gt;&gt; 2017-05-19-SliceDisagreementCheck.txt</v>
      </c>
      <c r="AE28" s="148" t="str">
        <f t="shared" si="9"/>
        <v>start /low /b %USERPROFILE%\Documents\GitHub\eaglep3\Utilities\DownloadLogsFromS3.py --loco 4012 --day 2017-05-19</v>
      </c>
      <c r="AF28" s="1"/>
    </row>
    <row r="29" spans="1:32" x14ac:dyDescent="0.25">
      <c r="A29" s="31">
        <v>42874.53597222222</v>
      </c>
      <c r="B29" s="30" t="s">
        <v>491</v>
      </c>
      <c r="C29" s="30" t="s">
        <v>628</v>
      </c>
      <c r="D29" s="30" t="s">
        <v>49</v>
      </c>
      <c r="E29" s="30" t="s">
        <v>185</v>
      </c>
      <c r="F29" s="42">
        <v>0</v>
      </c>
      <c r="G29" s="42">
        <v>45</v>
      </c>
      <c r="H29" s="42">
        <v>233338</v>
      </c>
      <c r="I29" s="42">
        <v>233389</v>
      </c>
      <c r="J29" s="30" t="s">
        <v>186</v>
      </c>
      <c r="K29" s="42">
        <v>233491</v>
      </c>
      <c r="L29" s="134" t="s">
        <v>50</v>
      </c>
      <c r="M29" s="135">
        <f t="shared" si="0"/>
        <v>53.856000000000002</v>
      </c>
      <c r="N29" s="136" t="str">
        <f>VLOOKUP(C29,'Trips&amp;Operators'!$C$1:$G$99999,5,FALSE)</f>
        <v>BRANDNER MELINDA</v>
      </c>
      <c r="O29" s="207" t="s">
        <v>184</v>
      </c>
      <c r="P29" s="137"/>
      <c r="Q29" s="30"/>
      <c r="R29" s="84" t="str">
        <f>IF(VLOOKUP(C29,'Train Runs'!$A$13:$AE$9930,1,1)=C29,VLOOKUP(C29,'Train Runs'!$A$13:$AE$9930,31,1),NA())</f>
        <v>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 &amp; aws s3 cp s3://rtdc.mdm.uploadarchive.raw/RTDC4024/ "%USERPROFILE%\AppData\Local\Temp\OnboardLogs"\RTDC4024\2017-05-20 --exclude "*" --recursive --include "*20170520*" &amp; "%USERPROFILE%\Documents\GitHub\mrs-test-scripts\Headless Mode &amp; Sideloading\WalkAndUnGZ.bat" "%USERPROFILE%\AppData\Local\Temp\OnboardLogs"\RTDC4024\2017-05-20</v>
      </c>
      <c r="S29" s="87" t="str">
        <f>VLOOKUP(C29,'Train Runs'!$A$13:$AE$9930,22,0)</f>
        <v>https://d0f6bd738d7f1b3e5a7ca70fe4ff75f0.us-east-1.aws.found.io/app/kibana#/discover/Steve-Slow-Train-Analysis-(2080s-and-2083s)?_g=(refreshInterval:(display:Off,pause:!f,section:0,value:0),time:(from:'2017-05-19T11:07:19-0600',mode:absolute,to:'2017-05-19T13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9" s="89" t="str">
        <f t="shared" si="1"/>
        <v>"C:\Program Files (x86)\AstroGrep\AstroGrep.exe" /e /r /s /spath="%USERPROFILE%\AppData\Local\Temp\OnboardLogs" /stypes="*4024*201705191*" /stext=" 18:.+((SYSTEM_STATE.+slice.+state.+changed )|(ment ac)|(multiple cpu faults)|(system.+state.+changed )|(\[timeout)|(PRM\|1\|D)|(kpr)|(kdp)|(train st.+moving)|(\|lc)|(penalty))"</v>
      </c>
      <c r="U29" s="9" t="str">
        <f t="shared" si="2"/>
        <v>4024</v>
      </c>
      <c r="V29" s="31">
        <f t="shared" si="3"/>
        <v>42874.78597222222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{"issue":{"subject":"","project_id":79,"tracker_id":40,"status_id":1,"priority_id":2,"assigned_to_id":23,"start_date":"2017-05-19","description":"","custom_fields":[{"id":1,"name":"Subdivision","value":"EC"},{"id":4,"name":"Milepost","value":"23.3491"},{"id":17,"name":"Train ID","value":"169-19"},{"id":16,"name":"Locomotive ID","value":"4024"},{"id":130,"name":"Impact","value":""},{"id":150,"name":"Time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/cygdrive/c/Users/stu/AppData/Local/Temp/OnboardLogs/RTDC4024 --include="*4024*201705191*"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"%USERPROFILE%\AppData\Local\Temp\OnboardLogs"\RTDC4024\*4024*201705191* &gt;&gt; 2017-05-19-SliceDisagreementCheck.txt</v>
      </c>
      <c r="AE29" s="148" t="str">
        <f t="shared" si="9"/>
        <v>start /low /b %USERPROFILE%\Documents\GitHub\eaglep3\Utilities\DownloadLogsFromS3.py --loco 4024 --day 2017-05-19</v>
      </c>
      <c r="AF29" s="1"/>
    </row>
    <row r="30" spans="1:32" x14ac:dyDescent="0.25">
      <c r="A30" s="31">
        <v>42874.610023148147</v>
      </c>
      <c r="B30" s="30" t="s">
        <v>491</v>
      </c>
      <c r="C30" s="30" t="s">
        <v>634</v>
      </c>
      <c r="D30" s="30" t="s">
        <v>49</v>
      </c>
      <c r="E30" s="30" t="s">
        <v>185</v>
      </c>
      <c r="F30" s="42">
        <v>0</v>
      </c>
      <c r="G30" s="42">
        <v>36</v>
      </c>
      <c r="H30" s="42">
        <v>233362</v>
      </c>
      <c r="I30" s="42">
        <v>233403</v>
      </c>
      <c r="J30" s="30" t="s">
        <v>186</v>
      </c>
      <c r="K30" s="42">
        <v>233491</v>
      </c>
      <c r="L30" s="134" t="s">
        <v>50</v>
      </c>
      <c r="M30" s="135">
        <f t="shared" si="0"/>
        <v>46.463999999999999</v>
      </c>
      <c r="N30" s="136" t="str">
        <f>VLOOKUP(C30,'Trips&amp;Operators'!$C$1:$G$99999,5,FALSE)</f>
        <v>BRANDNER MELINDA</v>
      </c>
      <c r="O30" s="207" t="s">
        <v>184</v>
      </c>
      <c r="P30" s="137"/>
      <c r="Q30" s="30"/>
      <c r="R30" s="84" t="str">
        <f>IF(VLOOKUP(C30,'Train Runs'!$A$13:$AE$9930,1,1)=C30,VLOOKUP(C30,'Train Runs'!$A$13:$AE$9930,31,1),NA())</f>
        <v>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 &amp; aws s3 cp s3://rtdc.mdm.uploadarchive.raw/RTDC4024/ "%USERPROFILE%\AppData\Local\Temp\OnboardLogs"\RTDC4024\2017-05-20 --exclude "*" --recursive --include "*20170520*" &amp; "%USERPROFILE%\Documents\GitHub\mrs-test-scripts\Headless Mode &amp; Sideloading\WalkAndUnGZ.bat" "%USERPROFILE%\AppData\Local\Temp\OnboardLogs"\RTDC4024\2017-05-20</v>
      </c>
      <c r="S30" s="87" t="str">
        <f>VLOOKUP(C30,'Train Runs'!$A$13:$AE$9930,22,0)</f>
        <v>https://d0f6bd738d7f1b3e5a7ca70fe4ff75f0.us-east-1.aws.found.io/app/kibana#/discover/Steve-Slow-Train-Analysis-(2080s-and-2083s)?_g=(refreshInterval:(display:Off,pause:!f,section:0,value:0),time:(from:'2017-05-19T12:54:19-0600',mode:absolute,to:'2017-05-19T15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0" s="89" t="str">
        <f t="shared" si="1"/>
        <v>"C:\Program Files (x86)\AstroGrep\AstroGrep.exe" /e /r /s /spath="%USERPROFILE%\AppData\Local\Temp\OnboardLogs" /stypes="*4024*201705192*" /stext=" 20:.+((SYSTEM_STATE.+slice.+state.+changed )|(ment ac)|(multiple cpu faults)|(system.+state.+changed )|(\[timeout)|(PRM\|1\|D)|(kpr)|(kdp)|(train st.+moving)|(\|lc)|(penalty))"</v>
      </c>
      <c r="U30" s="9" t="str">
        <f t="shared" si="2"/>
        <v>4024</v>
      </c>
      <c r="V30" s="31">
        <f t="shared" si="3"/>
        <v>42874.860023148147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{"issue":{"subject":"","project_id":79,"tracker_id":40,"status_id":1,"priority_id":2,"assigned_to_id":23,"start_date":"2017-05-19","description":"","custom_fields":[{"id":1,"name":"Subdivision","value":"EC"},{"id":4,"name":"Milepost","value":"23.3491"},{"id":17,"name":"Train ID","value":"183-19"},{"id":16,"name":"Locomotive ID","value":"4024"},{"id":130,"name":"Impact","value":""},{"id":150,"name":"Time of Event (Mountain Time)","value":"14:38:26"},{"id":151,"name":"Denver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/cygdrive/c/Users/stu/AppData/Local/Temp/OnboardLogs/RTDC4024 --include="*4024*201705192*"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"%USERPROFILE%\AppData\Local\Temp\OnboardLogs"\RTDC4024\*4024*201705192* &gt;&gt; 2017-05-19-SliceDisagreementCheck.txt</v>
      </c>
      <c r="AE30" s="148" t="str">
        <f t="shared" si="9"/>
        <v>start /low /b %USERPROFILE%\Documents\GitHub\eaglep3\Utilities\DownloadLogsFromS3.py --loco 4024 --day 2017-05-19</v>
      </c>
      <c r="AF30" s="1"/>
    </row>
    <row r="31" spans="1:32" x14ac:dyDescent="0.25">
      <c r="A31" s="31">
        <v>42875.024606481478</v>
      </c>
      <c r="B31" s="30" t="s">
        <v>447</v>
      </c>
      <c r="C31" s="30" t="s">
        <v>649</v>
      </c>
      <c r="D31" s="30" t="s">
        <v>49</v>
      </c>
      <c r="E31" s="30" t="s">
        <v>185</v>
      </c>
      <c r="F31" s="42">
        <v>0</v>
      </c>
      <c r="G31" s="42">
        <v>26</v>
      </c>
      <c r="H31" s="42">
        <v>233401</v>
      </c>
      <c r="I31" s="42">
        <v>233418</v>
      </c>
      <c r="J31" s="30" t="s">
        <v>186</v>
      </c>
      <c r="K31" s="42">
        <v>233491</v>
      </c>
      <c r="L31" s="134" t="s">
        <v>50</v>
      </c>
      <c r="M31" s="135">
        <f t="shared" si="0"/>
        <v>38.543999999999997</v>
      </c>
      <c r="N31" s="136" t="str">
        <f>VLOOKUP(C31,'Trips&amp;Operators'!$C$1:$G$99999,5,FALSE)</f>
        <v>LAMAR NEKESHA</v>
      </c>
      <c r="O31" s="207" t="s">
        <v>184</v>
      </c>
      <c r="P31" s="137"/>
      <c r="Q31" s="30"/>
      <c r="R31" s="84" t="str">
        <f>IF(VLOOKUP(C31,'Train Runs'!$A$13:$AE$9930,1,1)=C31,VLOOKUP(C31,'Train Runs'!$A$13:$AE$9930,31,1),NA())</f>
        <v>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 &amp; aws s3 cp s3://rtdc.mdm.uploadarchive.raw/RTDC4018/ "%USERPROFILE%\AppData\Local\Temp\OnboardLogs"\RTDC4018\2017-05-21 --exclude "*" --recursive --include "*20170521*" &amp; "%USERPROFILE%\Documents\GitHub\mrs-test-scripts\Headless Mode &amp; Sideloading\WalkAndUnGZ.bat" "%USERPROFILE%\AppData\Local\Temp\OnboardLogs"\RTDC4018\2017-05-21</v>
      </c>
      <c r="S31" s="87" t="str">
        <f>VLOOKUP(C31,'Train Runs'!$A$13:$AE$9930,22,0)</f>
        <v>https://d0f6bd738d7f1b3e5a7ca70fe4ff75f0.us-east-1.aws.found.io/app/kibana#/discover/Steve-Slow-Train-Analysis-(2080s-and-2083s)?_g=(refreshInterval:(display:Off,pause:!f,section:0,value:0),time:(from:'2017-05-19T22:42:28-0600',mode:absolute,to:'2017-05-20T01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1" s="89" t="str">
        <f t="shared" si="1"/>
        <v>"C:\Program Files (x86)\AstroGrep\AstroGrep.exe" /e /r /s /spath="%USERPROFILE%\AppData\Local\Temp\OnboardLogs" /stypes="*4018*201705200*" /stext=" 06:.+((SYSTEM_STATE.+slice.+state.+changed )|(ment ac)|(multiple cpu faults)|(system.+state.+changed )|(\[timeout)|(PRM\|1\|D)|(kpr)|(kdp)|(train st.+moving)|(\|lc)|(penalty))"</v>
      </c>
      <c r="U31" s="9" t="str">
        <f t="shared" si="2"/>
        <v>4018</v>
      </c>
      <c r="V31" s="31">
        <f t="shared" si="3"/>
        <v>42875.274606481478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{"issue":{"subject":"","project_id":79,"tracker_id":40,"status_id":1,"priority_id":2,"assigned_to_id":23,"start_date":"2017-05-20","description":"","custom_fields":[{"id":1,"name":"Subdivision","value":"EC"},{"id":4,"name":"Milepost","value":"23.3491"},{"id":17,"name":"Train ID","value":"241-19"},{"id":16,"name":"Locomotive ID","value":"4018"},{"id":130,"name":"Impact","value":""},{"id":150,"name":"Time of Event (Mountain Time)","value":"00:35:26"},{"id":151,"name":"Denver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/cygdrive/c/Users/stu/AppData/Local/Temp/OnboardLogs/RTDC4018 --include="*4018*201705200*"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"%USERPROFILE%\AppData\Local\Temp\OnboardLogs"\RTDC4018\*4018*201705200* &gt;&gt; 2017-05-19-SliceDisagreementCheck.txt</v>
      </c>
      <c r="AE31" s="148" t="str">
        <f t="shared" si="9"/>
        <v>start /low /b %USERPROFILE%\Documents\GitHub\eaglep3\Utilities\DownloadLogsFromS3.py --loco 4018 --day 2017-05-20</v>
      </c>
      <c r="AF31" s="1"/>
    </row>
    <row r="32" spans="1:32" x14ac:dyDescent="0.25">
      <c r="A32" s="31">
        <v>42874.407430555555</v>
      </c>
      <c r="B32" s="30" t="s">
        <v>412</v>
      </c>
      <c r="C32" s="30" t="s">
        <v>620</v>
      </c>
      <c r="D32" s="30" t="s">
        <v>98</v>
      </c>
      <c r="E32" s="30" t="s">
        <v>204</v>
      </c>
      <c r="F32" s="42">
        <v>400</v>
      </c>
      <c r="G32" s="42">
        <v>455</v>
      </c>
      <c r="H32" s="42">
        <v>38861</v>
      </c>
      <c r="I32" s="42">
        <v>37692</v>
      </c>
      <c r="J32" s="30" t="s">
        <v>205</v>
      </c>
      <c r="K32" s="42">
        <v>40977</v>
      </c>
      <c r="L32" s="134" t="s">
        <v>51</v>
      </c>
      <c r="M32" s="135">
        <f t="shared" si="0"/>
        <v>-1734.48</v>
      </c>
      <c r="N32" s="136" t="str">
        <f>VLOOKUP(C32,'Trips&amp;Operators'!$C$1:$G$99999,5,FALSE)</f>
        <v>MACDONALD THOMAS</v>
      </c>
      <c r="O32" s="207" t="s">
        <v>184</v>
      </c>
      <c r="P32" s="137"/>
      <c r="Q32" s="30"/>
      <c r="R32" s="84" t="e">
        <f>IF(VLOOKUP(C32,'Train Runs'!$A$13:$AE$9930,1,1)=C32,VLOOKUP(C32,'Train Runs'!$A$13:$AE$9930,31,1),NA())</f>
        <v>#N/A</v>
      </c>
      <c r="S32" s="87" t="str">
        <f>VLOOKUP(C32,'Train Runs'!$A$13:$AE$9930,22,0)</f>
        <v>https://d0f6bd738d7f1b3e5a7ca70fe4ff75f0.us-east-1.aws.found.io/app/kibana#/discover/Steve-Slow-Train-Analysis-(2080s-and-2083s)?_g=(refreshInterval:(display:Off,pause:!f,section:0,value:0),time:(from:'2017-05-19T08:35:52-0600',mode:absolute,to:'2017-05-19T10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2" s="89" t="str">
        <f t="shared" si="1"/>
        <v>"C:\Program Files (x86)\AstroGrep\AstroGrep.exe" /e /r /s /spath="%USERPROFILE%\AppData\Local\Temp\OnboardLogs" /stypes="*4001*201705191*" /stext=" 15:.+((SYSTEM_STATE.+slice.+state.+changed )|(ment ac)|(multiple cpu faults)|(system.+state.+changed )|(\[timeout)|(PRM\|1\|D)|(kpr)|(kdp)|(train st.+moving)|(\|lc)|(penalty))"</v>
      </c>
      <c r="U32" s="9" t="str">
        <f t="shared" si="2"/>
        <v>4001</v>
      </c>
      <c r="V32" s="31">
        <f t="shared" si="3"/>
        <v>42874.657430555555</v>
      </c>
      <c r="W32" s="45" t="str">
        <f t="shared" si="4"/>
        <v>NW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{"issue":{"subject":"","project_id":79,"tracker_id":40,"status_id":1,"priority_id":2,"assigned_to_id":23,"start_date":"2017-05-19","description":"","custom_fields":[{"id":1,"name":"Subdivision","value":"NW"},{"id":4,"name":"Milepost","value":"4.0977"},{"id":17,"name":"Train ID","value":"814-19"},{"id":16,"name":"Locomotive ID","value":"4001"},{"id":130,"name":"Impact","value":""},{"id":150,"name":"Time of Event (Mountain Time)","value":"09:46:42"},{"id":151,"name":"Denver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/cygdrive/c/Users/stu/AppData/Local/Temp/OnboardLogs/RTDC4001 --include="*4001*201705191*"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"%USERPROFILE%\AppData\Local\Temp\OnboardLogs"\RTDC4001\*4001*201705191* &gt;&gt; 2017-05-19-SliceDisagreementCheck.txt</v>
      </c>
      <c r="AE32" s="148" t="str">
        <f t="shared" si="9"/>
        <v>start /low /b %USERPROFILE%\Documents\GitHub\eaglep3\Utilities\DownloadLogsFromS3.py --loco 4001 --day 2017-05-19</v>
      </c>
      <c r="AF32" s="1"/>
    </row>
    <row r="33" spans="1:32" x14ac:dyDescent="0.25">
      <c r="A33" s="31">
        <v>42874.437314814815</v>
      </c>
      <c r="B33" s="30" t="s">
        <v>418</v>
      </c>
      <c r="C33" s="30" t="s">
        <v>623</v>
      </c>
      <c r="D33" s="30" t="s">
        <v>49</v>
      </c>
      <c r="E33" s="30" t="s">
        <v>204</v>
      </c>
      <c r="F33" s="42">
        <v>400</v>
      </c>
      <c r="G33" s="42">
        <v>473</v>
      </c>
      <c r="H33" s="42">
        <v>46734</v>
      </c>
      <c r="I33" s="42">
        <v>48073</v>
      </c>
      <c r="J33" s="30" t="s">
        <v>205</v>
      </c>
      <c r="K33" s="42">
        <v>47810</v>
      </c>
      <c r="L33" s="134" t="s">
        <v>50</v>
      </c>
      <c r="M33" s="135">
        <f t="shared" si="0"/>
        <v>-138.864</v>
      </c>
      <c r="N33" s="136" t="str">
        <f>VLOOKUP(C33,'Trips&amp;Operators'!$C$1:$G$99999,5,FALSE)</f>
        <v>MACDONALD THOMAS</v>
      </c>
      <c r="O33" s="207" t="s">
        <v>184</v>
      </c>
      <c r="P33" s="137"/>
      <c r="Q33" s="30"/>
      <c r="R33" s="84" t="e">
        <f>IF(VLOOKUP(C33,'Train Runs'!$A$13:$AE$9930,1,1)=C33,VLOOKUP(C33,'Train Runs'!$A$13:$AE$9930,31,1),NA())</f>
        <v>#N/A</v>
      </c>
      <c r="S33" s="87" t="str">
        <f>VLOOKUP(C33,'Train Runs'!$A$13:$AE$9930,22,0)</f>
        <v>https://d0f6bd738d7f1b3e5a7ca70fe4ff75f0.us-east-1.aws.found.io/app/kibana#/discover/Steve-Slow-Train-Analysis-(2080s-and-2083s)?_g=(refreshInterval:(display:Off,pause:!f,section:0,value:0),time:(from:'2017-05-19T08:57:19-0600',mode:absolute,to:'2017-05-19T11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3" s="89" t="str">
        <f t="shared" si="1"/>
        <v>"C:\Program Files (x86)\AstroGrep\AstroGrep.exe" /e /r /s /spath="%USERPROFILE%\AppData\Local\Temp\OnboardLogs" /stypes="*4002*201705191*" /stext=" 16:.+((SYSTEM_STATE.+slice.+state.+changed )|(ment ac)|(multiple cpu faults)|(system.+state.+changed )|(\[timeout)|(PRM\|1\|D)|(kpr)|(kdp)|(train st.+moving)|(\|lc)|(penalty))"</v>
      </c>
      <c r="U33" s="9" t="str">
        <f t="shared" si="2"/>
        <v>4002</v>
      </c>
      <c r="V33" s="31">
        <f t="shared" si="3"/>
        <v>42874.687314814815</v>
      </c>
      <c r="W33" s="45" t="str">
        <f t="shared" si="4"/>
        <v>NW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{"issue":{"subject":"","project_id":79,"tracker_id":40,"status_id":1,"priority_id":2,"assigned_to_id":23,"start_date":"2017-05-19","description":"","custom_fields":[{"id":1,"name":"Subdivision","value":"NW"},{"id":4,"name":"Milepost","value":"4.781"},{"id":17,"name":"Train ID","value":"815-19"},{"id":16,"name":"Locomotive ID","value":"4002"},{"id":130,"name":"Impact","value":""},{"id":150,"name":"Time of Event (Mountain Time)","value":"10:29:44"},{"id":151,"name":"Denver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/cygdrive/c/Users/stu/AppData/Local/Temp/OnboardLogs/RTDC4002 --include="*4002*201705191*"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"%USERPROFILE%\AppData\Local\Temp\OnboardLogs"\RTDC4002\*4002*201705191* &gt;&gt; 2017-05-19-SliceDisagreementCheck.txt</v>
      </c>
      <c r="AE33" s="148" t="str">
        <f t="shared" si="9"/>
        <v>start /low /b %USERPROFILE%\Documents\GitHub\eaglep3\Utilities\DownloadLogsFromS3.py --loco 4002 --day 2017-05-19</v>
      </c>
      <c r="AF33" s="1"/>
    </row>
    <row r="34" spans="1:32" x14ac:dyDescent="0.25">
      <c r="A34" s="31">
        <v>42874.328402777777</v>
      </c>
      <c r="B34" s="30" t="s">
        <v>412</v>
      </c>
      <c r="C34" s="30" t="s">
        <v>612</v>
      </c>
      <c r="D34" s="30" t="s">
        <v>49</v>
      </c>
      <c r="E34" s="30" t="s">
        <v>370</v>
      </c>
      <c r="F34" s="42">
        <v>0</v>
      </c>
      <c r="G34" s="42">
        <v>77</v>
      </c>
      <c r="H34" s="42">
        <v>4972</v>
      </c>
      <c r="I34" s="42">
        <v>4874</v>
      </c>
      <c r="J34" s="30" t="s">
        <v>371</v>
      </c>
      <c r="K34" s="42">
        <v>4790</v>
      </c>
      <c r="L34" s="134" t="s">
        <v>51</v>
      </c>
      <c r="M34" s="135">
        <f t="shared" si="0"/>
        <v>44.351999999999997</v>
      </c>
      <c r="N34" s="136" t="str">
        <f>VLOOKUP(C34,'Trips&amp;Operators'!$C$1:$G$99999,5,FALSE)</f>
        <v>MACDONALD THOMAS</v>
      </c>
      <c r="O34" s="207" t="s">
        <v>184</v>
      </c>
      <c r="P34" s="137" t="s">
        <v>1062</v>
      </c>
      <c r="Q34" s="30"/>
      <c r="R34" s="84" t="str">
        <f>IF(VLOOKUP(C34,'Train Runs'!$A$13:$AE$9930,1,1)=C34,VLOOKUP(C34,'Train Runs'!$A$13:$AE$9930,31,1),NA())</f>
        <v>aws s3 cp s3://rtdc.mdm.uploadarchive.raw/RTDC4001/ "%USERPROFILE%\AppData\Local\Temp\OnboardLogs"\RTDC4001\2017-05-19 --exclude "*" --recursive --include "*20170519*" &amp; "%USERPROFILE%\Documents\GitHub\mrs-test-scripts\Headless Mode &amp; Sideloading\WalkAndUnGZ.bat" "%USERPROFILE%\AppData\Local\Temp\OnboardLogs"\RTDC4001\2017-05-19 &amp; 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</v>
      </c>
      <c r="S34" s="87" t="str">
        <f>VLOOKUP(C34,'Train Runs'!$A$13:$AE$9930,22,0)</f>
        <v>https://d0f6bd738d7f1b3e5a7ca70fe4ff75f0.us-east-1.aws.found.io/app/kibana#/discover/Steve-Slow-Train-Analysis-(2080s-and-2083s)?_g=(refreshInterval:(display:Off,pause:!f,section:0,value:0),time:(from:'2017-05-19T06:37:42-0600',mode:absolute,to:'2017-05-19T08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4" s="89" t="str">
        <f t="shared" si="1"/>
        <v>"C:\Program Files (x86)\AstroGrep\AstroGrep.exe" /e /r /s /spath="%USERPROFILE%\AppData\Local\Temp\OnboardLogs" /stypes="*4001*201705191*" /stext=" 13:.+((SYSTEM_STATE.+slice.+state.+changed )|(ment ac)|(multiple cpu faults)|(system.+state.+changed )|(\[timeout)|(PRM\|1\|D)|(kpr)|(kdp)|(train st.+moving)|(\|lc)|(penalty))"</v>
      </c>
      <c r="U34" s="9" t="str">
        <f t="shared" si="2"/>
        <v>4001</v>
      </c>
      <c r="V34" s="31">
        <f t="shared" si="3"/>
        <v>42874.578402777777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{"issue":{"subject":"DUS 28S STOP","project_id":79,"tracker_id":40,"status_id":1,"priority_id":2,"assigned_to_id":23,"start_date":"2017-05-19","description":"","custom_fields":[{"id":1,"name":"Subdivision","value":"NW"},{"id":4,"name":"Milepost","value":"0.479"},{"id":17,"name":"Train ID","value":"808-19"},{"id":16,"name":"Locomotive ID","value":"4001"},{"id":130,"name":"Impact","value":""},{"id":150,"name":"Time of Event (Mountain Time)","value":"07:52:54"},{"id":151,"name":"Denver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/cygdrive/c/Users/stu/AppData/Local/Temp/OnboardLogs/RTDC4001 --include="*4001*201705191*"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"%USERPROFILE%\AppData\Local\Temp\OnboardLogs"\RTDC4001\*4001*201705191* &gt;&gt; 2017-05-19-SliceDisagreementCheck.txt</v>
      </c>
      <c r="AE34" s="148" t="str">
        <f t="shared" si="9"/>
        <v>start /low /b %USERPROFILE%\Documents\GitHub\eaglep3\Utilities\DownloadLogsFromS3.py --loco 4001 --day 2017-05-19</v>
      </c>
      <c r="AF34" s="1"/>
    </row>
    <row r="35" spans="1:32" x14ac:dyDescent="0.25">
      <c r="A35" s="31">
        <v>42874.719687500001</v>
      </c>
      <c r="B35" s="30" t="s">
        <v>490</v>
      </c>
      <c r="C35" s="30" t="s">
        <v>635</v>
      </c>
      <c r="D35" s="30" t="s">
        <v>98</v>
      </c>
      <c r="E35" s="30" t="s">
        <v>370</v>
      </c>
      <c r="F35" s="42">
        <v>0</v>
      </c>
      <c r="G35" s="42">
        <v>63</v>
      </c>
      <c r="H35" s="42">
        <v>58027</v>
      </c>
      <c r="I35" s="42">
        <v>57859</v>
      </c>
      <c r="J35" s="30" t="s">
        <v>371</v>
      </c>
      <c r="K35" s="42">
        <v>48761</v>
      </c>
      <c r="L35" s="134" t="s">
        <v>50</v>
      </c>
      <c r="M35" s="135">
        <f t="shared" si="0"/>
        <v>-4803.7439999999997</v>
      </c>
      <c r="N35" s="136" t="str">
        <f>VLOOKUP(C35,'Trips&amp;Operators'!$C$1:$G$99999,5,FALSE)</f>
        <v>ALONZO MATTHEW</v>
      </c>
      <c r="O35" s="207" t="s">
        <v>184</v>
      </c>
      <c r="P35" s="137" t="s">
        <v>1060</v>
      </c>
      <c r="Q35" s="30"/>
      <c r="R35" s="84" t="e">
        <f>IF(VLOOKUP(C35,'Train Runs'!$A$13:$AE$9930,1,1)=C35,VLOOKUP(C35,'Train Runs'!$A$13:$AE$9930,31,1),NA())</f>
        <v>#N/A</v>
      </c>
      <c r="S35" s="87" t="str">
        <f>VLOOKUP(C35,'Train Runs'!$A$13:$AE$9930,22,0)</f>
        <v>https://d0f6bd738d7f1b3e5a7ca70fe4ff75f0.us-east-1.aws.found.io/app/kibana#/discover/Steve-Slow-Train-Analysis-(2080s-and-2083s)?_g=(refreshInterval:(display:Off,pause:!f,section:0,value:0),time:(from:'2017-05-19T16:21:01-0600',mode:absolute,to:'2017-05-19T18:32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5" s="89" t="str">
        <f t="shared" si="1"/>
        <v>"C:\Program Files (x86)\AstroGrep\AstroGrep.exe" /e /r /s /spath="%USERPROFILE%\AppData\Local\Temp\OnboardLogs" /stypes="*4029*201705192*"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4029</v>
      </c>
      <c r="V35" s="31">
        <f t="shared" si="3"/>
        <v>42874.969687500001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{"issue":{"subject":"Reverser handle incorrect position","project_id":79,"tracker_id":40,"status_id":1,"priority_id":2,"assigned_to_id":23,"start_date":"2017-05-19","description":"","custom_fields":[{"id":1,"name":"Subdivision","value":"NW"},{"id":4,"name":"Milepost","value":"4.8761"},{"id":17,"name":"Train ID","value":"832-19"},{"id":16,"name":"Locomotive ID","value":"4029"},{"id":130,"name":"Impact","value":""},{"id":150,"name":"Time of Event (Mountain Time)","value":"17:16:21"},{"id":151,"name":"Denver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/cygdrive/c/Users/stu/AppData/Local/Temp/OnboardLogs/RTDC4029 --include="*4029*201705192*"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"%USERPROFILE%\AppData\Local\Temp\OnboardLogs"\RTDC4029\*4029*201705192* &gt;&gt; 2017-05-19-SliceDisagreementCheck.txt</v>
      </c>
      <c r="AE35" s="148" t="str">
        <f t="shared" si="9"/>
        <v>start /low /b %USERPROFILE%\Documents\GitHub\eaglep3\Utilities\DownloadLogsFromS3.py --loco 4029 --day 2017-05-19</v>
      </c>
      <c r="AF35" s="1"/>
    </row>
    <row r="36" spans="1:32" x14ac:dyDescent="0.25">
      <c r="A36" s="31">
        <v>42874.305648148147</v>
      </c>
      <c r="B36" s="30" t="s">
        <v>490</v>
      </c>
      <c r="C36" s="30" t="s">
        <v>610</v>
      </c>
      <c r="D36" s="30" t="s">
        <v>98</v>
      </c>
      <c r="E36" s="30" t="s">
        <v>605</v>
      </c>
      <c r="F36" s="42">
        <v>0</v>
      </c>
      <c r="G36" s="42">
        <v>402</v>
      </c>
      <c r="H36" s="42">
        <v>13797</v>
      </c>
      <c r="I36" s="42">
        <v>12503</v>
      </c>
      <c r="J36" s="30" t="s">
        <v>524</v>
      </c>
      <c r="K36" s="42">
        <v>14177</v>
      </c>
      <c r="L36" s="134" t="s">
        <v>51</v>
      </c>
      <c r="M36" s="135">
        <f t="shared" si="0"/>
        <v>-883.87199999999996</v>
      </c>
      <c r="N36" s="136" t="str">
        <f>VLOOKUP(C36,'Trips&amp;Operators'!$C$1:$G$99999,5,FALSE)</f>
        <v>GEBRETEKLE DAGNEW</v>
      </c>
      <c r="O36" s="207" t="s">
        <v>493</v>
      </c>
      <c r="P36" s="137" t="s">
        <v>522</v>
      </c>
      <c r="Q36" s="30"/>
      <c r="R36" s="84" t="str">
        <f>IF(VLOOKUP(C36,'Train Runs'!$A$13:$AE$9930,1,1)=C36,VLOOKUP(C36,'Train Runs'!$A$13:$AE$9930,31,1),NA())</f>
        <v>aws s3 cp s3://rtdc.mdm.uploadarchive.raw/RTDC4029/ "%USERPROFILE%\AppData\Local\Temp\OnboardLogs"\RTDC4029\2017-05-19 --exclude "*" --recursive --include "*20170519*" &amp; "%USERPROFILE%\Documents\GitHub\mrs-test-scripts\Headless Mode &amp; Sideloading\WalkAndUnGZ.bat" "%USERPROFILE%\AppData\Local\Temp\OnboardLogs"\RTDC4029\2017-05-19 &amp; aws s3 cp s3://rtdc.mdm.uploadarchive.raw/RTDC4029/ "%USERPROFILE%\AppData\Local\Temp\OnboardLogs"\RTDC4029\2017-05-20 --exclude "*" --recursive --include "*20170520*" &amp; "%USERPROFILE%\Documents\GitHub\mrs-test-scripts\Headless Mode &amp; Sideloading\WalkAndUnGZ.bat" "%USERPROFILE%\AppData\Local\Temp\OnboardLogs"\RTDC4029\2017-05-20</v>
      </c>
      <c r="S36" s="87" t="str">
        <f>VLOOKUP(C36,'Train Runs'!$A$13:$AE$9930,22,0)</f>
        <v>https://d0f6bd738d7f1b3e5a7ca70fe4ff75f0.us-east-1.aws.found.io/app/kibana#/discover/Steve-Slow-Train-Analysis-(2080s-and-2083s)?_g=(refreshInterval:(display:Off,pause:!f,section:0,value:0),time:(from:'2017-05-19T06:05:33-0600',mode:absolute,to:'2017-05-19T08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6" s="89" t="str">
        <f t="shared" si="1"/>
        <v>"C:\Program Files (x86)\AstroGrep\AstroGrep.exe" /e /r /s /spath="%USERPROFILE%\AppData\Local\Temp\OnboardLogs" /stypes="*4029*201705191*" /stext=" 13:.+((SYSTEM_STATE.+slice.+state.+changed )|(ment ac)|(multiple cpu faults)|(system.+state.+changed )|(\[timeout)|(PRM\|1\|D)|(kpr)|(kdp)|(train st.+moving)|(\|lc)|(penalty))"</v>
      </c>
      <c r="U36" s="9" t="str">
        <f t="shared" si="2"/>
        <v>4029</v>
      </c>
      <c r="V36" s="31">
        <f t="shared" si="3"/>
        <v>42874.555648148147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{"issue":{"subject":"Wi-MAX data drop","project_id":79,"tracker_id":40,"status_id":1,"priority_id":2,"assigned_to_id":23,"start_date":"2017-05-19","description":"","custom_fields":[{"id":1,"name":"Subdivision","value":"NW"},{"id":4,"name":"Milepost","value":"1.4177"},{"id":17,"name":"Train ID","value":"806-19"},{"id":16,"name":"Locomotive ID","value":"4029"},{"id":130,"name":"Impact","value":""},{"id":150,"name":"Time of Event (Mountain Time)","value":"07:20:08"},{"id":151,"name":"Denver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/cygdrive/c/Users/stu/AppData/Local/Temp/OnboardLogs/RTDC4029 --include="*4029*201705191*"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"%USERPROFILE%\AppData\Local\Temp\OnboardLogs"\RTDC4029\*4029*201705191* &gt;&gt; 2017-05-19-SliceDisagreementCheck.txt</v>
      </c>
      <c r="AE36" s="148" t="str">
        <f t="shared" si="9"/>
        <v>start /low /b %USERPROFILE%\Documents\GitHub\eaglep3\Utilities\DownloadLogsFromS3.py --loco 4029 --day 2017-05-19</v>
      </c>
      <c r="AF36" s="1"/>
    </row>
    <row r="37" spans="1:32" x14ac:dyDescent="0.25">
      <c r="A37" s="31">
        <v>42874.350381944445</v>
      </c>
      <c r="B37" s="30" t="s">
        <v>418</v>
      </c>
      <c r="C37" s="30" t="s">
        <v>614</v>
      </c>
      <c r="D37" s="30" t="s">
        <v>49</v>
      </c>
      <c r="E37" s="30" t="s">
        <v>605</v>
      </c>
      <c r="F37" s="42">
        <v>0</v>
      </c>
      <c r="G37" s="42">
        <v>462</v>
      </c>
      <c r="H37" s="42">
        <v>11794</v>
      </c>
      <c r="I37" s="42">
        <v>13306</v>
      </c>
      <c r="J37" s="30" t="s">
        <v>524</v>
      </c>
      <c r="K37" s="42">
        <v>14477</v>
      </c>
      <c r="L37" s="134" t="s">
        <v>50</v>
      </c>
      <c r="M37" s="135">
        <f t="shared" si="0"/>
        <v>618.28800000000001</v>
      </c>
      <c r="N37" s="136" t="str">
        <f>VLOOKUP(C37,'Trips&amp;Operators'!$C$1:$G$99999,5,FALSE)</f>
        <v>MACDONALD THOMAS</v>
      </c>
      <c r="O37" s="207" t="s">
        <v>493</v>
      </c>
      <c r="P37" s="137" t="s">
        <v>522</v>
      </c>
      <c r="Q37" s="30"/>
      <c r="R37" s="84" t="str">
        <f>IF(VLOOKUP(C37,'Train Runs'!$A$13:$AE$9930,1,1)=C37,VLOOKUP(C37,'Train Runs'!$A$13:$AE$9930,31,1),NA())</f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S37" s="87" t="str">
        <f>VLOOKUP(C37,'Train Runs'!$A$13:$AE$9930,22,0)</f>
        <v>https://d0f6bd738d7f1b3e5a7ca70fe4ff75f0.us-east-1.aws.found.io/app/kibana#/discover/Steve-Slow-Train-Analysis-(2080s-and-2083s)?_g=(refreshInterval:(display:Off,pause:!f,section:0,value:0),time:(from:'2017-05-19T06:57:07-0600',mode:absolute,to:'2017-05-19T09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7" s="89" t="str">
        <f t="shared" si="1"/>
        <v>"C:\Program Files (x86)\AstroGrep\AstroGrep.exe" /e /r /s /spath="%USERPROFILE%\AppData\Local\Temp\OnboardLogs" /stypes="*4002*201705191*" /stext=" 14:.+((SYSTEM_STATE.+slice.+state.+changed )|(ment ac)|(multiple cpu faults)|(system.+state.+changed )|(\[timeout)|(PRM\|1\|D)|(kpr)|(kdp)|(train st.+moving)|(\|lc)|(penalty))"</v>
      </c>
      <c r="U37" s="9" t="str">
        <f t="shared" si="2"/>
        <v>4002</v>
      </c>
      <c r="V37" s="31">
        <f t="shared" si="3"/>
        <v>42874.600381944445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{"issue":{"subject":"Wi-MAX data drop","project_id":79,"tracker_id":40,"status_id":1,"priority_id":2,"assigned_to_id":23,"start_date":"2017-05-19","description":"","custom_fields":[{"id":1,"name":"Subdivision","value":"NW"},{"id":4,"name":"Milepost","value":"1.4477"},{"id":17,"name":"Train ID","value":"811-19"},{"id":16,"name":"Locomotive ID","value":"4002"},{"id":130,"name":"Impact","value":""},{"id":150,"name":"Time of Event (Mountain Time)","value":"08:24:33"},{"id":151,"name":"Denver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/cygdrive/c/Users/stu/AppData/Local/Temp/OnboardLogs/RTDC4002 --include="*4002*201705191*"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"%USERPROFILE%\AppData\Local\Temp\OnboardLogs"\RTDC4002\*4002*201705191* &gt;&gt; 2017-05-19-SliceDisagreementCheck.txt</v>
      </c>
      <c r="AE37" s="148" t="str">
        <f t="shared" si="9"/>
        <v>start /low /b %USERPROFILE%\Documents\GitHub\eaglep3\Utilities\DownloadLogsFromS3.py --loco 4002 --day 2017-05-19</v>
      </c>
      <c r="AF37" s="1"/>
    </row>
    <row r="38" spans="1:32" x14ac:dyDescent="0.25">
      <c r="A38" s="31">
        <v>42874.392071759263</v>
      </c>
      <c r="B38" s="30" t="s">
        <v>418</v>
      </c>
      <c r="C38" s="30" t="s">
        <v>617</v>
      </c>
      <c r="D38" s="30" t="s">
        <v>49</v>
      </c>
      <c r="E38" s="30" t="s">
        <v>605</v>
      </c>
      <c r="F38" s="42">
        <v>0</v>
      </c>
      <c r="G38" s="42">
        <v>498</v>
      </c>
      <c r="H38" s="42">
        <v>11970</v>
      </c>
      <c r="I38" s="42">
        <v>13576</v>
      </c>
      <c r="J38" s="30" t="s">
        <v>524</v>
      </c>
      <c r="K38" s="42">
        <v>14477</v>
      </c>
      <c r="L38" s="134" t="s">
        <v>50</v>
      </c>
      <c r="M38" s="135">
        <f t="shared" si="0"/>
        <v>475.72800000000001</v>
      </c>
      <c r="N38" s="136" t="str">
        <f>VLOOKUP(C38,'Trips&amp;Operators'!$C$1:$G$99999,5,FALSE)</f>
        <v>MACDONALD THOMAS</v>
      </c>
      <c r="O38" s="207" t="s">
        <v>493</v>
      </c>
      <c r="P38" s="137" t="s">
        <v>522</v>
      </c>
      <c r="Q38" s="30"/>
      <c r="R38" s="84" t="e">
        <f>IF(VLOOKUP(C38,'Train Runs'!$A$13:$AE$9930,1,1)=C38,VLOOKUP(C38,'Train Runs'!$A$13:$AE$9930,31,1),NA())</f>
        <v>#N/A</v>
      </c>
      <c r="S38" s="87" t="str">
        <f>VLOOKUP(C38,'Train Runs'!$A$13:$AE$9930,22,0)</f>
        <v>https://d0f6bd738d7f1b3e5a7ca70fe4ff75f0.us-east-1.aws.found.io/app/kibana#/discover/Steve-Slow-Train-Analysis-(2080s-and-2083s)?_g=(refreshInterval:(display:Off,pause:!f,section:0,value:0),time:(from:'2017-05-19T07:56:21-0600',mode:absolute,to:'2017-05-19T10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8" s="89" t="str">
        <f t="shared" si="1"/>
        <v>"C:\Program Files (x86)\AstroGrep\AstroGrep.exe" /e /r /s /spath="%USERPROFILE%\AppData\Local\Temp\OnboardLogs" /stypes="*4002*201705191*" /stext=" 15:.+((SYSTEM_STATE.+slice.+state.+changed )|(ment ac)|(multiple cpu faults)|(system.+state.+changed )|(\[timeout)|(PRM\|1\|D)|(kpr)|(kdp)|(train st.+moving)|(\|lc)|(penalty))"</v>
      </c>
      <c r="U38" s="9" t="str">
        <f t="shared" si="2"/>
        <v>4002</v>
      </c>
      <c r="V38" s="31">
        <f t="shared" si="3"/>
        <v>42874.642071759263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{"issue":{"subject":"Wi-MAX data drop","project_id":79,"tracker_id":40,"status_id":1,"priority_id":2,"assigned_to_id":23,"start_date":"2017-05-19","description":"","custom_fields":[{"id":1,"name":"Subdivision","value":"NW"},{"id":4,"name":"Milepost","value":"1.4477"},{"id":17,"name":"Train ID","value":"813-19"},{"id":16,"name":"Locomotive ID","value":"4002"},{"id":130,"name":"Impact","value":""},{"id":150,"name":"Time of Event (Mountain Time)","value":"09:24:35"},{"id":151,"name":"Denver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/cygdrive/c/Users/stu/AppData/Local/Temp/OnboardLogs/RTDC4002 --include="*4002*201705191*"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"%USERPROFILE%\AppData\Local\Temp\OnboardLogs"\RTDC4002\*4002*201705191* &gt;&gt; 2017-05-19-SliceDisagreementCheck.txt</v>
      </c>
      <c r="AE38" s="148" t="str">
        <f t="shared" si="9"/>
        <v>start /low /b %USERPROFILE%\Documents\GitHub\eaglep3\Utilities\DownloadLogsFromS3.py --loco 4002 --day 2017-05-19</v>
      </c>
      <c r="AF38" s="1"/>
    </row>
    <row r="39" spans="1:32" x14ac:dyDescent="0.25">
      <c r="A39" s="31">
        <v>42874.475775462961</v>
      </c>
      <c r="B39" s="30" t="s">
        <v>418</v>
      </c>
      <c r="C39" s="30" t="s">
        <v>624</v>
      </c>
      <c r="D39" s="30" t="s">
        <v>49</v>
      </c>
      <c r="E39" s="30" t="s">
        <v>605</v>
      </c>
      <c r="F39" s="42">
        <v>0</v>
      </c>
      <c r="G39" s="42">
        <v>503</v>
      </c>
      <c r="H39" s="42">
        <v>12712</v>
      </c>
      <c r="I39" s="42">
        <v>14552</v>
      </c>
      <c r="J39" s="30" t="s">
        <v>524</v>
      </c>
      <c r="K39" s="42">
        <v>14477</v>
      </c>
      <c r="L39" s="134" t="s">
        <v>50</v>
      </c>
      <c r="M39" s="135">
        <f t="shared" si="0"/>
        <v>-39.6</v>
      </c>
      <c r="N39" s="136" t="str">
        <f>VLOOKUP(C39,'Trips&amp;Operators'!$C$1:$G$99999,5,FALSE)</f>
        <v>MACDONALD THOMAS</v>
      </c>
      <c r="O39" s="207" t="s">
        <v>493</v>
      </c>
      <c r="P39" s="137" t="s">
        <v>522</v>
      </c>
      <c r="Q39" s="30"/>
      <c r="R39" s="84" t="e">
        <f>IF(VLOOKUP(C39,'Train Runs'!$A$13:$AE$9930,1,1)=C39,VLOOKUP(C39,'Train Runs'!$A$13:$AE$9930,31,1),NA())</f>
        <v>#N/A</v>
      </c>
      <c r="S39" s="87" t="str">
        <f>VLOOKUP(C39,'Train Runs'!$A$13:$AE$9930,22,0)</f>
        <v>https://d0f6bd738d7f1b3e5a7ca70fe4ff75f0.us-east-1.aws.found.io/app/kibana#/discover/Steve-Slow-Train-Analysis-(2080s-and-2083s)?_g=(refreshInterval:(display:Off,pause:!f,section:0,value:0),time:(from:'2017-05-19T09:55:33-0600',mode:absolute,to:'2017-05-19T12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9" s="89" t="str">
        <f t="shared" si="1"/>
        <v>"C:\Program Files (x86)\AstroGrep\AstroGrep.exe" /e /r /s /spath="%USERPROFILE%\AppData\Local\Temp\OnboardLogs" /stypes="*4002*201705191*" /stext=" 17:.+((SYSTEM_STATE.+slice.+state.+changed )|(ment ac)|(multiple cpu faults)|(system.+state.+changed )|(\[timeout)|(PRM\|1\|D)|(kpr)|(kdp)|(train st.+moving)|(\|lc)|(penalty))"</v>
      </c>
      <c r="U39" s="9" t="str">
        <f t="shared" si="2"/>
        <v>4002</v>
      </c>
      <c r="V39" s="31">
        <f t="shared" si="3"/>
        <v>42874.725775462961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{"issue":{"subject":"Wi-MAX data drop","project_id":79,"tracker_id":40,"status_id":1,"priority_id":2,"assigned_to_id":23,"start_date":"2017-05-19","description":"","custom_fields":[{"id":1,"name":"Subdivision","value":"NW"},{"id":4,"name":"Milepost","value":"1.4477"},{"id":17,"name":"Train ID","value":"817-19"},{"id":16,"name":"Locomotive ID","value":"4002"},{"id":130,"name":"Impact","value":""},{"id":150,"name":"Time of Event (Mountain Time)","value":"11:25:07"},{"id":151,"name":"Denver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/cygdrive/c/Users/stu/AppData/Local/Temp/OnboardLogs/RTDC4002 --include="*4002*201705191*"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"%USERPROFILE%\AppData\Local\Temp\OnboardLogs"\RTDC4002\*4002*201705191* &gt;&gt; 2017-05-19-SliceDisagreementCheck.txt</v>
      </c>
      <c r="AE39" s="148" t="str">
        <f t="shared" si="9"/>
        <v>start /low /b %USERPROFILE%\Documents\GitHub\eaglep3\Utilities\DownloadLogsFromS3.py --loco 4002 --day 2017-05-19</v>
      </c>
      <c r="AF39" s="1"/>
    </row>
    <row r="40" spans="1:32" x14ac:dyDescent="0.25">
      <c r="A40" s="31">
        <v>42874.310034722221</v>
      </c>
      <c r="B40" s="30" t="s">
        <v>418</v>
      </c>
      <c r="C40" s="30" t="s">
        <v>611</v>
      </c>
      <c r="D40" s="30" t="s">
        <v>49</v>
      </c>
      <c r="E40" s="30" t="s">
        <v>605</v>
      </c>
      <c r="F40" s="42">
        <v>0</v>
      </c>
      <c r="G40" s="42">
        <v>302</v>
      </c>
      <c r="H40" s="42">
        <v>23432</v>
      </c>
      <c r="I40" s="42">
        <v>0</v>
      </c>
      <c r="J40" s="30" t="s">
        <v>524</v>
      </c>
      <c r="K40" s="42">
        <v>23574</v>
      </c>
      <c r="L40" s="134" t="s">
        <v>50</v>
      </c>
      <c r="M40" s="135">
        <f t="shared" si="0"/>
        <v>12447.072</v>
      </c>
      <c r="N40" s="136" t="str">
        <f>VLOOKUP(C40,'Trips&amp;Operators'!$C$1:$G$99999,5,FALSE)</f>
        <v>MACDONALD THOMAS</v>
      </c>
      <c r="O40" s="207" t="s">
        <v>493</v>
      </c>
      <c r="P40" s="137" t="s">
        <v>522</v>
      </c>
      <c r="Q40" s="30"/>
      <c r="R40" s="84" t="str">
        <f>IF(VLOOKUP(C40,'Train Runs'!$A$13:$AE$9930,1,1)=C40,VLOOKUP(C40,'Train Runs'!$A$13:$AE$9930,31,1),NA())</f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S40" s="87" t="str">
        <f>VLOOKUP(C40,'Train Runs'!$A$13:$AE$9930,22,0)</f>
        <v>https://d0f6bd738d7f1b3e5a7ca70fe4ff75f0.us-east-1.aws.found.io/app/kibana#/discover/Steve-Slow-Train-Analysis-(2080s-and-2083s)?_g=(refreshInterval:(display:Off,pause:!f,section:0,value:0),time:(from:'2017-05-19T05:56:40-0600',mode:absolute,to:'2017-05-19T08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0" s="89" t="str">
        <f t="shared" si="1"/>
        <v>"C:\Program Files (x86)\AstroGrep\AstroGrep.exe" /e /r /s /spath="%USERPROFILE%\AppData\Local\Temp\OnboardLogs" /stypes="*4002*201705191*" /stext=" 13:.+((SYSTEM_STATE.+slice.+state.+changed )|(ment ac)|(multiple cpu faults)|(system.+state.+changed )|(\[timeout)|(PRM\|1\|D)|(kpr)|(kdp)|(train st.+moving)|(\|lc)|(penalty))"</v>
      </c>
      <c r="U40" s="9" t="str">
        <f t="shared" si="2"/>
        <v>4002</v>
      </c>
      <c r="V40" s="31">
        <f t="shared" si="3"/>
        <v>42874.560034722221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{"issue":{"subject":"Wi-MAX data drop","project_id":79,"tracker_id":40,"status_id":1,"priority_id":2,"assigned_to_id":23,"start_date":"2017-05-19","description":"","custom_fields":[{"id":1,"name":"Subdivision","value":"NW"},{"id":4,"name":"Milepost","value":"2.3574"},{"id":17,"name":"Train ID","value":"807-19"},{"id":16,"name":"Locomotive ID","value":"4002"},{"id":130,"name":"Impact","value":""},{"id":150,"name":"Time of Event (Mountain Time)","value":"07:26:27"},{"id":151,"name":"Denver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/cygdrive/c/Users/stu/AppData/Local/Temp/OnboardLogs/RTDC4002 --include="*4002*201705191*"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"%USERPROFILE%\AppData\Local\Temp\OnboardLogs"\RTDC4002\*4002*201705191* &gt;&gt; 2017-05-19-SliceDisagreementCheck.txt</v>
      </c>
      <c r="AE40" s="148" t="str">
        <f t="shared" si="9"/>
        <v>start /low /b %USERPROFILE%\Documents\GitHub\eaglep3\Utilities\DownloadLogsFromS3.py --loco 4002 --day 2017-05-19</v>
      </c>
      <c r="AF40" s="1"/>
    </row>
    <row r="41" spans="1:32" x14ac:dyDescent="0.25">
      <c r="A41" s="31">
        <v>42874.499895833331</v>
      </c>
      <c r="B41" s="30" t="s">
        <v>412</v>
      </c>
      <c r="C41" s="30" t="s">
        <v>626</v>
      </c>
      <c r="D41" s="30" t="s">
        <v>49</v>
      </c>
      <c r="E41" s="30" t="s">
        <v>185</v>
      </c>
      <c r="F41" s="42">
        <v>0</v>
      </c>
      <c r="G41" s="42">
        <v>74</v>
      </c>
      <c r="H41" s="42">
        <v>785</v>
      </c>
      <c r="I41" s="42">
        <v>726</v>
      </c>
      <c r="J41" s="30" t="s">
        <v>186</v>
      </c>
      <c r="K41" s="42">
        <v>575</v>
      </c>
      <c r="L41" s="134" t="s">
        <v>51</v>
      </c>
      <c r="M41" s="135">
        <f t="shared" si="0"/>
        <v>79.727999999999994</v>
      </c>
      <c r="N41" s="136" t="str">
        <f>VLOOKUP(C41,'Trips&amp;Operators'!$C$1:$G$99999,5,FALSE)</f>
        <v>MACDONALD THOMAS</v>
      </c>
      <c r="O41" s="207" t="s">
        <v>184</v>
      </c>
      <c r="P41" s="137"/>
      <c r="Q41" s="30"/>
      <c r="R41" s="84" t="e">
        <f>IF(VLOOKUP(C41,'Train Runs'!$A$13:$AE$9930,1,1)=C41,VLOOKUP(C41,'Train Runs'!$A$13:$AE$9930,31,1),NA())</f>
        <v>#N/A</v>
      </c>
      <c r="S41" s="87" t="str">
        <f>VLOOKUP(C41,'Train Runs'!$A$13:$AE$9930,22,0)</f>
        <v>https://d0f6bd738d7f1b3e5a7ca70fe4ff75f0.us-east-1.aws.found.io/app/kibana#/discover/Steve-Slow-Train-Analysis-(2080s-and-2083s)?_g=(refreshInterval:(display:Off,pause:!f,section:0,value:0),time:(from:'2017-05-19T10:36:49-0600',mode:absolute,to:'2017-05-19T12:59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1" s="89" t="str">
        <f t="shared" si="1"/>
        <v>"C:\Program Files (x86)\AstroGrep\AstroGrep.exe" /e /r /s /spath="%USERPROFILE%\AppData\Local\Temp\OnboardLogs" /stypes="*4001*201705191*" /stext=" 17:.+((SYSTEM_STATE.+slice.+state.+changed )|(ment ac)|(multiple cpu faults)|(system.+state.+changed )|(\[timeout)|(PRM\|1\|D)|(kpr)|(kdp)|(train st.+moving)|(\|lc)|(penalty))"</v>
      </c>
      <c r="U41" s="9" t="str">
        <f t="shared" si="2"/>
        <v>4001</v>
      </c>
      <c r="V41" s="31">
        <f t="shared" si="3"/>
        <v>42874.749895833331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{"issue":{"subject":"","project_id":79,"tracker_id":40,"status_id":1,"priority_id":2,"assigned_to_id":23,"start_date":"2017-05-19","description":"","custom_fields":[{"id":1,"name":"Subdivision","value":"NW"},{"id":4,"name":"Milepost","value":"0.0575"},{"id":17,"name":"Train ID","value":"818-19"},{"id":16,"name":"Locomotive ID","value":"4001"},{"id":130,"name":"Impact","value":""},{"id":150,"name":"Time of Event (Mountain Time)","value":"11:59:51"},{"id":151,"name":"Denver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/cygdrive/c/Users/stu/AppData/Local/Temp/OnboardLogs/RTDC4001 --include="*4001*201705191*"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"%USERPROFILE%\AppData\Local\Temp\OnboardLogs"\RTDC4001\*4001*201705191* &gt;&gt; 2017-05-19-SliceDisagreementCheck.txt</v>
      </c>
      <c r="AE41" s="148" t="str">
        <f t="shared" si="9"/>
        <v>start /low /b %USERPROFILE%\Documents\GitHub\eaglep3\Utilities\DownloadLogsFromS3.py --loco 4001 --day 2017-05-19</v>
      </c>
      <c r="AF41" s="1"/>
    </row>
    <row r="42" spans="1:32" x14ac:dyDescent="0.25">
      <c r="A42" s="31">
        <v>42874.537627314814</v>
      </c>
      <c r="B42" s="30" t="s">
        <v>412</v>
      </c>
      <c r="C42" s="30" t="s">
        <v>629</v>
      </c>
      <c r="D42" s="30" t="s">
        <v>49</v>
      </c>
      <c r="E42" s="30" t="s">
        <v>185</v>
      </c>
      <c r="F42" s="42">
        <v>0</v>
      </c>
      <c r="G42" s="42">
        <v>66</v>
      </c>
      <c r="H42" s="42">
        <v>780</v>
      </c>
      <c r="I42" s="42">
        <v>724</v>
      </c>
      <c r="J42" s="30" t="s">
        <v>186</v>
      </c>
      <c r="K42" s="42">
        <v>575</v>
      </c>
      <c r="L42" s="134" t="s">
        <v>51</v>
      </c>
      <c r="M42" s="135">
        <f t="shared" si="0"/>
        <v>78.671999999999997</v>
      </c>
      <c r="N42" s="136" t="str">
        <f>VLOOKUP(C42,'Trips&amp;Operators'!$C$1:$G$99999,5,FALSE)</f>
        <v>MACDONALD THOMAS</v>
      </c>
      <c r="O42" s="207" t="s">
        <v>184</v>
      </c>
      <c r="P42" s="137"/>
      <c r="Q42" s="30"/>
      <c r="R42" s="84" t="e">
        <f>IF(VLOOKUP(C42,'Train Runs'!$A$13:$AE$9930,1,1)=C42,VLOOKUP(C42,'Train Runs'!$A$13:$AE$9930,31,1),NA())</f>
        <v>#N/A</v>
      </c>
      <c r="S42" s="87" t="str">
        <f>VLOOKUP(C42,'Train Runs'!$A$13:$AE$9930,22,0)</f>
        <v>https://d0f6bd738d7f1b3e5a7ca70fe4ff75f0.us-east-1.aws.found.io/app/kibana#/discover/Steve-Slow-Train-Analysis-(2080s-and-2083s)?_g=(refreshInterval:(display:Off,pause:!f,section:0,value:0),time:(from:'2017-05-19T11:35:34-0600',mode:absolute,to:'2017-05-19T13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2" s="89" t="str">
        <f t="shared" si="1"/>
        <v>"C:\Program Files (x86)\AstroGrep\AstroGrep.exe" /e /r /s /spath="%USERPROFILE%\AppData\Local\Temp\OnboardLogs" /stypes="*4001*201705191*" /stext=" 18:.+((SYSTEM_STATE.+slice.+state.+changed )|(ment ac)|(multiple cpu faults)|(system.+state.+changed )|(\[timeout)|(PRM\|1\|D)|(kpr)|(kdp)|(train st.+moving)|(\|lc)|(penalty))"</v>
      </c>
      <c r="U42" s="9" t="str">
        <f t="shared" si="2"/>
        <v>4001</v>
      </c>
      <c r="V42" s="31">
        <f t="shared" si="3"/>
        <v>42874.787627314814</v>
      </c>
      <c r="W42" s="45" t="str">
        <f t="shared" si="4"/>
        <v>NW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{"issue":{"subject":"","project_id":79,"tracker_id":40,"status_id":1,"priority_id":2,"assigned_to_id":23,"start_date":"2017-05-19","description":"","custom_fields":[{"id":1,"name":"Subdivision","value":"NW"},{"id":4,"name":"Milepost","value":"0.0575"},{"id":17,"name":"Train ID","value":"820-19"},{"id":16,"name":"Locomotive ID","value":"4001"},{"id":130,"name":"Impact","value":""},{"id":150,"name":"Time of Event (Mountain Time)","value":"12:54:11"},{"id":151,"name":"Denver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/cygdrive/c/Users/stu/AppData/Local/Temp/OnboardLogs/RTDC4001 --include="*4001*201705191*"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"%USERPROFILE%\AppData\Local\Temp\OnboardLogs"\RTDC4001\*4001*201705191* &gt;&gt; 2017-05-19-SliceDisagreementCheck.txt</v>
      </c>
      <c r="AE42" s="148" t="str">
        <f t="shared" si="9"/>
        <v>start /low /b %USERPROFILE%\Documents\GitHub\eaglep3\Utilities\DownloadLogsFromS3.py --loco 4001 --day 2017-05-19</v>
      </c>
      <c r="AF42" s="1"/>
    </row>
    <row r="43" spans="1:32" x14ac:dyDescent="0.25">
      <c r="A43" s="31">
        <v>42874.2737037037</v>
      </c>
      <c r="B43" s="30" t="s">
        <v>418</v>
      </c>
      <c r="C43" s="30" t="s">
        <v>608</v>
      </c>
      <c r="D43" s="30" t="s">
        <v>49</v>
      </c>
      <c r="E43" s="30" t="s">
        <v>185</v>
      </c>
      <c r="F43" s="42">
        <v>0</v>
      </c>
      <c r="G43" s="42">
        <v>63</v>
      </c>
      <c r="H43" s="42">
        <v>58880</v>
      </c>
      <c r="I43" s="42">
        <v>58958</v>
      </c>
      <c r="J43" s="30" t="s">
        <v>186</v>
      </c>
      <c r="K43" s="42">
        <v>59048</v>
      </c>
      <c r="L43" s="134" t="s">
        <v>50</v>
      </c>
      <c r="M43" s="135">
        <f t="shared" si="0"/>
        <v>47.52</v>
      </c>
      <c r="N43" s="136" t="str">
        <f>VLOOKUP(C43,'Trips&amp;Operators'!$C$1:$G$99999,5,FALSE)</f>
        <v>MACDONALD THOMAS</v>
      </c>
      <c r="O43" s="207" t="s">
        <v>184</v>
      </c>
      <c r="P43" s="137"/>
      <c r="Q43" s="30"/>
      <c r="R43" s="84" t="str">
        <f>IF(VLOOKUP(C43,'Train Runs'!$A$13:$AE$9930,1,1)=C43,VLOOKUP(C43,'Train Runs'!$A$13:$AE$9930,31,1),NA())</f>
        <v>aws s3 cp s3://rtdc.mdm.uploadarchive.raw/RTDC4002/ "%USERPROFILE%\AppData\Local\Temp\OnboardLogs"\RTDC4002\2017-05-19 --exclude "*" --recursive --include "*20170519*" &amp; "%USERPROFILE%\Documents\GitHub\mrs-test-scripts\Headless Mode &amp; Sideloading\WalkAndUnGZ.bat" "%USERPROFILE%\AppData\Local\Temp\OnboardLogs"\RTDC4002\2017-05-19 &amp; 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</v>
      </c>
      <c r="S43" s="87" t="str">
        <f>VLOOKUP(C43,'Train Runs'!$A$13:$AE$9930,22,0)</f>
        <v>https://d0f6bd738d7f1b3e5a7ca70fe4ff75f0.us-east-1.aws.found.io/app/kibana#/discover/Steve-Slow-Train-Analysis-(2080s-and-2083s)?_g=(refreshInterval:(display:Off,pause:!f,section:0,value:0),time:(from:'2017-05-19T05:08:23-0600',mode:absolute,to:'2017-05-19T07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3" s="89" t="str">
        <f t="shared" si="1"/>
        <v>"C:\Program Files (x86)\AstroGrep\AstroGrep.exe" /e /r /s /spath="%USERPROFILE%\AppData\Local\Temp\OnboardLogs" /stypes="*4002*201705191*" /stext=" 12:.+((SYSTEM_STATE.+slice.+state.+changed )|(ment ac)|(multiple cpu faults)|(system.+state.+changed )|(\[timeout)|(PRM\|1\|D)|(kpr)|(kdp)|(train st.+moving)|(\|lc)|(penalty))"</v>
      </c>
      <c r="U43" s="9" t="str">
        <f t="shared" si="2"/>
        <v>4002</v>
      </c>
      <c r="V43" s="31">
        <f t="shared" si="3"/>
        <v>42874.5237037037</v>
      </c>
      <c r="W43" s="45" t="str">
        <f t="shared" si="4"/>
        <v>NW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{"issue":{"subject":"","project_id":79,"tracker_id":40,"status_id":1,"priority_id":2,"assigned_to_id":23,"start_date":"2017-05-19","description":"","custom_fields":[{"id":1,"name":"Subdivision","value":"NW"},{"id":4,"name":"Milepost","value":"5.9048"},{"id":17,"name":"Train ID","value":"803-19"},{"id":16,"name":"Locomotive ID","value":"4002"},{"id":130,"name":"Impact","value":""},{"id":150,"name":"Time of Event (Mountain Time)","value":"06:34:08"},{"id":151,"name":"Denver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/cygdrive/c/Users/stu/AppData/Local/Temp/OnboardLogs/RTDC4002 --include="*4002*201705191*"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"%USERPROFILE%\AppData\Local\Temp\OnboardLogs"\RTDC4002\*4002*201705191* &gt;&gt; 2017-05-19-SliceDisagreementCheck.txt</v>
      </c>
      <c r="AE43" s="148" t="str">
        <f t="shared" si="9"/>
        <v>start /low /b %USERPROFILE%\Documents\GitHub\eaglep3\Utilities\DownloadLogsFromS3.py --loco 4002 --day 2017-05-19</v>
      </c>
      <c r="AF43" s="1"/>
    </row>
    <row r="44" spans="1:32" x14ac:dyDescent="0.25">
      <c r="A44" s="31">
        <v>42874.940520833334</v>
      </c>
      <c r="B44" s="30" t="s">
        <v>418</v>
      </c>
      <c r="C44" s="30" t="s">
        <v>647</v>
      </c>
      <c r="D44" s="30" t="s">
        <v>49</v>
      </c>
      <c r="E44" s="30" t="s">
        <v>185</v>
      </c>
      <c r="F44" s="42">
        <v>0</v>
      </c>
      <c r="G44" s="42">
        <v>170</v>
      </c>
      <c r="H44" s="42">
        <v>57897</v>
      </c>
      <c r="I44" s="42">
        <v>58232</v>
      </c>
      <c r="J44" s="30" t="s">
        <v>186</v>
      </c>
      <c r="K44" s="42">
        <v>59058</v>
      </c>
      <c r="L44" s="134" t="s">
        <v>50</v>
      </c>
      <c r="M44" s="135">
        <f t="shared" si="0"/>
        <v>436.12799999999999</v>
      </c>
      <c r="N44" s="136" t="str">
        <f>VLOOKUP(C44,'Trips&amp;Operators'!$C$1:$G$99999,5,FALSE)</f>
        <v>ZEWDU DEREJE</v>
      </c>
      <c r="O44" s="207" t="s">
        <v>184</v>
      </c>
      <c r="P44" s="137"/>
      <c r="Q44" s="30"/>
      <c r="R44" s="84" t="e">
        <f>IF(VLOOKUP(C44,'Train Runs'!$A$13:$AE$9930,1,1)=C44,VLOOKUP(C44,'Train Runs'!$A$13:$AE$9930,31,1),NA())</f>
        <v>#N/A</v>
      </c>
      <c r="S44" s="87" t="str">
        <f>VLOOKUP(C44,'Train Runs'!$A$13:$AE$9930,22,0)</f>
        <v>https://d0f6bd738d7f1b3e5a7ca70fe4ff75f0.us-east-1.aws.found.io/app/kibana#/discover/Steve-Slow-Train-Analysis-(2080s-and-2083s)?_g=(refreshInterval:(display:Off,pause:!f,section:0,value:0),time:(from:'2017-05-19T21:03:17-0600',mode:absolute,to:'2017-05-19T23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4" s="89" t="str">
        <f t="shared" si="1"/>
        <v>"C:\Program Files (x86)\AstroGrep\AstroGrep.exe" /e /r /s /spath="%USERPROFILE%\AppData\Local\Temp\OnboardLogs" /stypes="*4002*201705200*" /stext=" 04:.+((SYSTEM_STATE.+slice.+state.+changed )|(ment ac)|(multiple cpu faults)|(system.+state.+changed )|(\[timeout)|(PRM\|1\|D)|(kpr)|(kdp)|(train st.+moving)|(\|lc)|(penalty))"</v>
      </c>
      <c r="U44" s="9" t="str">
        <f t="shared" si="2"/>
        <v>4002</v>
      </c>
      <c r="V44" s="31">
        <f t="shared" si="3"/>
        <v>42875.190520833334</v>
      </c>
      <c r="W44" s="45" t="str">
        <f t="shared" si="4"/>
        <v>NW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{"issue":{"subject":"","project_id":79,"tracker_id":40,"status_id":1,"priority_id":2,"assigned_to_id":23,"start_date":"2017-05-19","description":"","custom_fields":[{"id":1,"name":"Subdivision","value":"NW"},{"id":4,"name":"Milepost","value":"5.9058"},{"id":17,"name":"Train ID","value":"847-19"},{"id":16,"name":"Locomotive ID","value":"4002"},{"id":130,"name":"Impact","value":""},{"id":150,"name":"Time of Event (Mountain Time)","value":"22:34:21"},{"id":151,"name":"Denver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/cygdrive/c/Users/stu/AppData/Local/Temp/OnboardLogs/RTDC4002 --include="*4002*201705200*"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"%USERPROFILE%\AppData\Local\Temp\OnboardLogs"\RTDC4002\*4002*201705200* &gt;&gt; 2017-05-19-SliceDisagreementCheck.txt</v>
      </c>
      <c r="AE44" s="148" t="str">
        <f t="shared" si="9"/>
        <v>start /low /b %USERPROFILE%\Documents\GitHub\eaglep3\Utilities\DownloadLogsFromS3.py --loco 4002 --day 2017-05-20</v>
      </c>
      <c r="AF44" s="1"/>
    </row>
    <row r="45" spans="1:32" x14ac:dyDescent="0.25">
      <c r="A45" s="31">
        <v>42874.735706018517</v>
      </c>
      <c r="B45" s="30" t="s">
        <v>489</v>
      </c>
      <c r="C45" s="30" t="s">
        <v>636</v>
      </c>
      <c r="D45" s="30" t="s">
        <v>98</v>
      </c>
      <c r="E45" s="30" t="s">
        <v>204</v>
      </c>
      <c r="F45" s="42">
        <v>450</v>
      </c>
      <c r="G45" s="42">
        <v>501</v>
      </c>
      <c r="H45" s="42">
        <v>14478</v>
      </c>
      <c r="I45" s="42">
        <v>15860</v>
      </c>
      <c r="J45" s="30" t="s">
        <v>205</v>
      </c>
      <c r="K45" s="42">
        <v>13572</v>
      </c>
      <c r="L45" s="134" t="s">
        <v>50</v>
      </c>
      <c r="M45" s="135">
        <f t="shared" si="0"/>
        <v>-1208.0640000000001</v>
      </c>
      <c r="N45" s="136" t="str">
        <f>VLOOKUP(C45,'Trips&amp;Operators'!$C$1:$G$99999,5,FALSE)</f>
        <v>DELGADO DIANAH</v>
      </c>
      <c r="O45" s="207" t="s">
        <v>184</v>
      </c>
      <c r="P45" s="137"/>
      <c r="Q45" s="30"/>
      <c r="R45" s="84" t="e">
        <f>IF(VLOOKUP(C45,'Train Runs'!$A$13:$AE$9930,1,1)=C45,VLOOKUP(C45,'Train Runs'!$A$13:$AE$9930,31,1),NA())</f>
        <v>#N/A</v>
      </c>
      <c r="S45" s="87" t="e">
        <f>VLOOKUP(C45,'Train Runs'!$A$13:$AE$9930,22,0)</f>
        <v>#N/A</v>
      </c>
      <c r="T45" s="89" t="str">
        <f t="shared" si="1"/>
        <v>"C:\Program Files (x86)\AstroGrep\AstroGrep.exe" /e /r /s /spath="%USERPROFILE%\AppData\Local\Temp\OnboardLogs" /stypes="*4056*201705192*" /stext=" 23:.+((SYSTEM_STATE.+slice.+state.+changed )|(ment ac)|(multiple cpu faults)|(system.+state.+changed )|(\[timeout)|(PRM\|1\|D)|(kpr)|(kdp)|(train st.+moving)|(\|lc)|(penalty))"</v>
      </c>
      <c r="U45" s="9" t="str">
        <f t="shared" si="2"/>
        <v>4056</v>
      </c>
      <c r="V45" s="31">
        <f t="shared" si="3"/>
        <v>42874.985706018517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{"issue":{"subject":"","project_id":79,"tracker_id":40,"status_id":1,"priority_id":2,"assigned_to_id":23,"start_date":"2017-05-19","description":"","custom_fields":[{"id":1,"name":"Subdivision","value":"Other"},{"id":4,"name":"Milepost","value":"1.3572"},{"id":17,"name":"Train ID","value":"59-19"},{"id":16,"name":"Locomotive ID","value":"4056"},{"id":130,"name":"Impact","value":""},{"id":150,"name":"Time of Event (Mountain Time)","value":"17:39:25"},{"id":151,"name":"Denver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/cygdrive/c/Users/stu/AppData/Local/Temp/OnboardLogs/RTDC4056 --include="*4056*201705192*"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"%USERPROFILE%\AppData\Local\Temp\OnboardLogs"\RTDC4056\*4056*201705192* &gt;&gt; 2017-05-19-SliceDisagreementCheck.txt</v>
      </c>
      <c r="AE45" s="148" t="str">
        <f t="shared" si="9"/>
        <v>start /low /b %USERPROFILE%\Documents\GitHub\eaglep3\Utilities\DownloadLogsFromS3.py --loco 4056 --day 2017-05-19</v>
      </c>
      <c r="AF45" s="1"/>
    </row>
    <row r="46" spans="1:32" x14ac:dyDescent="0.25">
      <c r="A46" s="31">
        <v>42874.819386574076</v>
      </c>
      <c r="B46" s="30" t="s">
        <v>541</v>
      </c>
      <c r="C46" s="30" t="s">
        <v>644</v>
      </c>
      <c r="D46" s="30" t="s">
        <v>98</v>
      </c>
      <c r="E46" s="30" t="s">
        <v>523</v>
      </c>
      <c r="F46" s="42">
        <v>0</v>
      </c>
      <c r="G46" s="42">
        <v>151</v>
      </c>
      <c r="H46" s="42">
        <v>22552</v>
      </c>
      <c r="I46" s="42">
        <v>22323</v>
      </c>
      <c r="J46" s="30" t="s">
        <v>524</v>
      </c>
      <c r="K46" s="42">
        <v>24235</v>
      </c>
      <c r="L46" s="134" t="s">
        <v>51</v>
      </c>
      <c r="M46" s="135">
        <f t="shared" si="0"/>
        <v>-1009.5359999999999</v>
      </c>
      <c r="N46" s="136" t="str">
        <f>VLOOKUP(C46,'Trips&amp;Operators'!$C$1:$G$99999,5,FALSE)</f>
        <v>FORTUNATO FRANK</v>
      </c>
      <c r="O46" s="207" t="s">
        <v>184</v>
      </c>
      <c r="P46" s="137"/>
      <c r="Q46" s="30"/>
      <c r="R46" s="84" t="e">
        <f>IF(VLOOKUP(C46,'Train Runs'!$A$13:$AE$9930,1,1)=C46,VLOOKUP(C46,'Train Runs'!$A$13:$AE$9930,31,1),NA())</f>
        <v>#N/A</v>
      </c>
      <c r="S46" s="87" t="str">
        <f>VLOOKUP(C46,'Train Runs'!$A$13:$AE$9930,22,0)</f>
        <v>https://d0f6bd738d7f1b3e5a7ca70fe4ff75f0.us-east-1.aws.found.io/app/kibana#/discover/Steve-Slow-Train-Analysis-(2080s-and-2083s)?_g=(refreshInterval:(display:Off,pause:!f,section:0,value:0),time:(from:'2017-05-19T18:28:34-0600',mode:absolute,to:'2017-05-19T20:39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6" s="89" t="str">
        <f t="shared" si="1"/>
        <v>"C:\Program Files (x86)\AstroGrep\AstroGrep.exe" /e /r /s /spath="%USERPROFILE%\AppData\Local\Temp\OnboardLogs" /stypes="*4061*201705200*" /stext=" 01:.+((SYSTEM_STATE.+slice.+state.+changed )|(ment ac)|(multiple cpu faults)|(system.+state.+changed )|(\[timeout)|(PRM\|1\|D)|(kpr)|(kdp)|(train st.+moving)|(\|lc)|(penalty))"</v>
      </c>
      <c r="U46" s="9" t="str">
        <f t="shared" si="2"/>
        <v>4061</v>
      </c>
      <c r="V46" s="31">
        <f t="shared" si="3"/>
        <v>42875.069386574076</v>
      </c>
      <c r="W46" s="45" t="str">
        <f t="shared" si="4"/>
        <v>Other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{"issue":{"subject":"","project_id":79,"tracker_id":40,"status_id":1,"priority_id":2,"assigned_to_id":23,"start_date":"2017-05-19","description":"","custom_fields":[{"id":1,"name":"Subdivision","value":"Other"},{"id":4,"name":"Milepost","value":"2.4235"},{"id":17,"name":"Train ID","value":"80-19"},{"id":16,"name":"Locomotive ID","value":"4061"},{"id":130,"name":"Impact","value":""},{"id":150,"name":"Time of Event (Mountain Time)","value":"19:39:55"},{"id":151,"name":"Denver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-hrE -A400 "Enforcement Action" /cygdrive/c/Users/stu/AppData/Local/Temp/OnboardLogs/RTDC4061 --include="*4061*201705200*"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"%USERPROFILE%\AppData\Local\Temp\OnboardLogs"\RTDC4061\*4061*201705200* &gt;&gt; 2017-05-19-SliceDisagreementCheck.txt</v>
      </c>
      <c r="AE46" s="148" t="str">
        <f t="shared" si="9"/>
        <v>start /low /b %USERPROFILE%\Documents\GitHub\eaglep3\Utilities\DownloadLogsFromS3.py --loco 4061 --day 2017-05-20</v>
      </c>
      <c r="AF46" s="1"/>
    </row>
    <row r="47" spans="1:32" x14ac:dyDescent="0.25">
      <c r="A47" s="31">
        <v>42874.820069444446</v>
      </c>
      <c r="B47" s="30" t="s">
        <v>541</v>
      </c>
      <c r="C47" s="30" t="s">
        <v>644</v>
      </c>
      <c r="D47" s="30" t="s">
        <v>98</v>
      </c>
      <c r="E47" s="30" t="s">
        <v>523</v>
      </c>
      <c r="F47" s="42">
        <v>0</v>
      </c>
      <c r="G47" s="42">
        <v>151</v>
      </c>
      <c r="H47" s="42">
        <v>22552</v>
      </c>
      <c r="I47" s="42">
        <v>21803</v>
      </c>
      <c r="J47" s="30" t="s">
        <v>524</v>
      </c>
      <c r="K47" s="42">
        <v>24235</v>
      </c>
      <c r="L47" s="134" t="s">
        <v>51</v>
      </c>
      <c r="M47" s="135">
        <f t="shared" si="0"/>
        <v>-1284.096</v>
      </c>
      <c r="N47" s="136" t="str">
        <f>VLOOKUP(C47,'Trips&amp;Operators'!$C$1:$G$99999,5,FALSE)</f>
        <v>FORTUNATO FRANK</v>
      </c>
      <c r="O47" s="207" t="s">
        <v>184</v>
      </c>
      <c r="P47" s="137"/>
      <c r="Q47" s="30"/>
      <c r="R47" s="84" t="e">
        <f>IF(VLOOKUP(C47,'Train Runs'!$A$13:$AE$9930,1,1)=C47,VLOOKUP(C47,'Train Runs'!$A$13:$AE$9930,31,1),NA())</f>
        <v>#N/A</v>
      </c>
      <c r="S47" s="87" t="str">
        <f>VLOOKUP(C47,'Train Runs'!$A$13:$AE$9930,22,0)</f>
        <v>https://d0f6bd738d7f1b3e5a7ca70fe4ff75f0.us-east-1.aws.found.io/app/kibana#/discover/Steve-Slow-Train-Analysis-(2080s-and-2083s)?_g=(refreshInterval:(display:Off,pause:!f,section:0,value:0),time:(from:'2017-05-19T18:28:34-0600',mode:absolute,to:'2017-05-19T20:39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7" s="89" t="str">
        <f t="shared" si="1"/>
        <v>"C:\Program Files (x86)\AstroGrep\AstroGrep.exe" /e /r /s /spath="%USERPROFILE%\AppData\Local\Temp\OnboardLogs" /stypes="*4061*201705200*" /stext=" 01:.+((SYSTEM_STATE.+slice.+state.+changed )|(ment ac)|(multiple cpu faults)|(system.+state.+changed )|(\[timeout)|(PRM\|1\|D)|(kpr)|(kdp)|(train st.+moving)|(\|lc)|(penalty))"</v>
      </c>
      <c r="U47" s="9" t="str">
        <f t="shared" si="2"/>
        <v>4061</v>
      </c>
      <c r="V47" s="31">
        <f t="shared" si="3"/>
        <v>42875.070069444446</v>
      </c>
      <c r="W47" s="45" t="str">
        <f t="shared" si="4"/>
        <v>Other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{"issue":{"subject":"","project_id":79,"tracker_id":40,"status_id":1,"priority_id":2,"assigned_to_id":23,"start_date":"2017-05-19","description":"","custom_fields":[{"id":1,"name":"Subdivision","value":"Other"},{"id":4,"name":"Milepost","value":"2.4235"},{"id":17,"name":"Train ID","value":"80-19"},{"id":16,"name":"Locomotive ID","value":"4061"},{"id":130,"name":"Impact","value":""},{"id":150,"name":"Time of Event (Mountain Time)","value":"19:40:54"},{"id":151,"name":"Denver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-hrE -A400 "Enforcement Action" /cygdrive/c/Users/stu/AppData/Local/Temp/OnboardLogs/RTDC4061 --include="*4061*201705200*"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"%USERPROFILE%\AppData\Local\Temp\OnboardLogs"\RTDC4061\*4061*201705200* &gt;&gt; 2017-05-19-SliceDisagreementCheck.txt</v>
      </c>
      <c r="AE47" s="148" t="str">
        <f t="shared" si="9"/>
        <v>start /low /b %USERPROFILE%\Documents\GitHub\eaglep3\Utilities\DownloadLogsFromS3.py --loco 4061 --day 2017-05-20</v>
      </c>
      <c r="AF47" s="1"/>
    </row>
    <row r="48" spans="1:32" x14ac:dyDescent="0.25">
      <c r="A48" s="31">
        <v>42874.154363425929</v>
      </c>
      <c r="B48" s="30" t="s">
        <v>387</v>
      </c>
      <c r="C48" s="30" t="s">
        <v>548</v>
      </c>
      <c r="D48" s="30" t="s">
        <v>98</v>
      </c>
      <c r="E48" s="30" t="s">
        <v>605</v>
      </c>
      <c r="F48" s="42">
        <v>0</v>
      </c>
      <c r="G48" s="42">
        <v>139</v>
      </c>
      <c r="H48" s="42">
        <v>3017</v>
      </c>
      <c r="I48" s="42">
        <v>3227</v>
      </c>
      <c r="J48" s="30" t="s">
        <v>524</v>
      </c>
      <c r="K48" s="42">
        <v>2961</v>
      </c>
      <c r="L48" s="134" t="s">
        <v>50</v>
      </c>
      <c r="M48" s="135">
        <f t="shared" si="0"/>
        <v>-140.44800000000001</v>
      </c>
      <c r="N48" s="136" t="str">
        <f>VLOOKUP(C48,'Trips&amp;Operators'!$C$1:$G$99999,5,FALSE)</f>
        <v>SPECTOR MICHAEL</v>
      </c>
      <c r="O48" s="207" t="s">
        <v>184</v>
      </c>
      <c r="P48" s="137"/>
      <c r="Q48" s="30"/>
      <c r="R48" s="84" t="e">
        <f>IF(VLOOKUP(C48,'Train Runs'!$A$13:$AE$9930,1,1)=C48,VLOOKUP(C48,'Train Runs'!$A$13:$AE$9930,31,1),NA())</f>
        <v>#N/A</v>
      </c>
      <c r="S48" s="87" t="str">
        <f>VLOOKUP(C48,'Train Runs'!$A$13:$AE$9930,22,0)</f>
        <v>https://d0f6bd738d7f1b3e5a7ca70fe4ff75f0.us-east-1.aws.found.io/app/kibana#/discover/Steve-Slow-Train-Analysis-(2080s-and-2083s)?_g=(refreshInterval:(display:Off,pause:!f,section:0,value:0),time:(from:'2017-05-19T01:36:50-0600',mode:absolute,to:'2017-05-19T04:58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8" s="89" t="str">
        <f t="shared" si="1"/>
        <v>"C:\Program Files (x86)\AstroGrep\AstroGrep.exe" /e /r /s /spath="%USERPROFILE%\AppData\Local\Temp\OnboardLogs" /stypes="*4014*201705190*" /stext=" 09:.+((SYSTEM_STATE.+slice.+state.+changed )|(ment ac)|(multiple cpu faults)|(system.+state.+changed )|(\[timeout)|(PRM\|1\|D)|(kpr)|(kdp)|(train st.+moving)|(\|lc)|(penalty))"</v>
      </c>
      <c r="U48" s="9" t="str">
        <f t="shared" si="2"/>
        <v>4014</v>
      </c>
      <c r="V48" s="31">
        <f t="shared" si="3"/>
        <v>42874.404363425929</v>
      </c>
      <c r="W48" s="45" t="str">
        <f t="shared" si="4"/>
        <v>Other</v>
      </c>
      <c r="X48" s="45" t="str">
        <f t="shared" si="5"/>
        <v>KEEP</v>
      </c>
      <c r="Y48" s="99" t="str">
        <f t="shared" si="6"/>
        <v>echo {"issue":{"subject":"","project_id":79,"tracker_id":40,"status_id":1,"priority_id":2,"assigned_to_id":23,"start_date":"2017-05-19","description":"","custom_fields":[{"id":1,"name":"Subdivision","value":"Other"},{"id":4,"name":"Milepost","value":"0.2961"},{"id":17,"name":"Train ID","value":"51-19"},{"id":16,"name":"Locomotive ID","value":"4014"},{"id":130,"name":"Impact","value":""},{"id":150,"name":"Time of Event (Mountain Time)","value":"03:42:17"},{"id":151,"name":"Denver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-hrE -A400 "Enforcement Action" /cygdrive/c/Users/stu/AppData/Local/Temp/OnboardLogs/RTDC4014 --include="*4014*201705190*"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"%USERPROFILE%\AppData\Local\Temp\OnboardLogs"\RTDC4014\*4014*201705190* &gt;&gt; 2017-05-19-SliceDisagreementCheck.txt</v>
      </c>
      <c r="AE48" s="148" t="str">
        <f t="shared" si="9"/>
        <v>start /low /b %USERPROFILE%\Documents\GitHub\eaglep3\Utilities\DownloadLogsFromS3.py --loco 4014 --day 2017-05-19</v>
      </c>
      <c r="AF48" s="1"/>
    </row>
    <row r="49" spans="1:32" x14ac:dyDescent="0.25">
      <c r="A49" s="31">
        <v>42874.434282407405</v>
      </c>
      <c r="B49" s="30" t="s">
        <v>527</v>
      </c>
      <c r="C49" s="30" t="s">
        <v>622</v>
      </c>
      <c r="D49" s="30" t="s">
        <v>49</v>
      </c>
      <c r="E49" s="30" t="s">
        <v>185</v>
      </c>
      <c r="F49" s="42">
        <v>0</v>
      </c>
      <c r="G49" s="42">
        <v>23</v>
      </c>
      <c r="H49" s="42">
        <v>50</v>
      </c>
      <c r="I49" s="42">
        <v>34</v>
      </c>
      <c r="J49" s="30" t="s">
        <v>186</v>
      </c>
      <c r="K49" s="42">
        <v>1</v>
      </c>
      <c r="L49" s="134" t="s">
        <v>51</v>
      </c>
      <c r="M49" s="135">
        <f t="shared" si="0"/>
        <v>17.423999999999999</v>
      </c>
      <c r="N49" s="136" t="str">
        <f>VLOOKUP(C49,'Trips&amp;Operators'!$C$1:$G$99999,5,FALSE)</f>
        <v>BEAM ROSS</v>
      </c>
      <c r="O49" s="207" t="s">
        <v>184</v>
      </c>
      <c r="P49" s="137"/>
      <c r="Q49" s="30"/>
      <c r="R49" s="84" t="e">
        <f>IF(VLOOKUP(C49,'Train Runs'!$A$13:$AE$9930,1,1)=C49,VLOOKUP(C49,'Train Runs'!$A$13:$AE$9930,31,1),NA())</f>
        <v>#N/A</v>
      </c>
      <c r="S49" s="87" t="str">
        <f>VLOOKUP(C49,'Train Runs'!$A$13:$AE$9930,22,0)</f>
        <v>https://d0f6bd738d7f1b3e5a7ca70fe4ff75f0.us-east-1.aws.found.io/app/kibana#/discover/Steve-Slow-Train-Analysis-(2080s-and-2083s)?_g=(refreshInterval:(display:Off,pause:!f,section:0,value:0),time:(from:'2017-05-19T09:12:51-0600',mode:absolute,to:'2017-05-19T11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9" s="89" t="str">
        <f t="shared" si="1"/>
        <v>"C:\Program Files (x86)\AstroGrep\AstroGrep.exe" /e /r /s /spath="%USERPROFILE%\AppData\Local\Temp\OnboardLogs" /stypes="*4025*201705191*" /stext=" 16:.+((SYSTEM_STATE.+slice.+state.+changed )|(ment ac)|(multiple cpu faults)|(system.+state.+changed )|(\[timeout)|(PRM\|1\|D)|(kpr)|(kdp)|(train st.+moving)|(\|lc)|(penalty))"</v>
      </c>
      <c r="U49" s="9" t="str">
        <f t="shared" si="2"/>
        <v>4025</v>
      </c>
      <c r="V49" s="31">
        <f t="shared" si="3"/>
        <v>42874.684282407405</v>
      </c>
      <c r="W49" s="45" t="str">
        <f t="shared" si="4"/>
        <v>Other</v>
      </c>
      <c r="X49" s="45" t="str">
        <f t="shared" si="5"/>
        <v>KEEP</v>
      </c>
      <c r="Y49" s="99" t="str">
        <f t="shared" si="6"/>
        <v>echo {"issue":{"subject":"","project_id":79,"tracker_id":40,"status_id":1,"priority_id":2,"assigned_to_id":23,"start_date":"2017-05-19","description":"","custom_fields":[{"id":1,"name":"Subdivision","value":"Other"},{"id":4,"name":"Milepost","value":"0.0001"},{"id":17,"name":"Train ID","value":"61-19"},{"id":16,"name":"Locomotive ID","value":"4025"},{"id":130,"name":"Impact","value":""},{"id":150,"name":"Time of Event (Mountain Time)","value":"10:25:22"},{"id":151,"name":"Denver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7"/>
        <v>grep -hrE -A400 "Enforcement Action" /cygdrive/c/Users/stu/AppData/Local/Temp/OnboardLogs/RTDC4025 --include="*4025*201705191*"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"%USERPROFILE%\AppData\Local\Temp\OnboardLogs"\RTDC4025\*4025*201705191* &gt;&gt; 2017-05-19-SliceDisagreementCheck.txt</v>
      </c>
      <c r="AE49" s="148" t="str">
        <f t="shared" si="9"/>
        <v>start /low /b %USERPROFILE%\Documents\GitHub\eaglep3\Utilities\DownloadLogsFromS3.py --loco 4025 --day 2017-05-19</v>
      </c>
      <c r="AF49" s="1"/>
    </row>
    <row r="50" spans="1:32" x14ac:dyDescent="0.25">
      <c r="A50" s="31">
        <v>42874.252511574072</v>
      </c>
      <c r="B50" s="30" t="s">
        <v>412</v>
      </c>
      <c r="C50" s="30" t="s">
        <v>607</v>
      </c>
      <c r="D50" s="30" t="s">
        <v>49</v>
      </c>
      <c r="E50" s="30" t="s">
        <v>185</v>
      </c>
      <c r="F50" s="42">
        <v>0</v>
      </c>
      <c r="G50" s="42">
        <v>49</v>
      </c>
      <c r="H50" s="42">
        <v>740</v>
      </c>
      <c r="I50" s="42">
        <v>708</v>
      </c>
      <c r="J50" s="30" t="s">
        <v>186</v>
      </c>
      <c r="K50" s="42">
        <v>575</v>
      </c>
      <c r="L50" s="134" t="s">
        <v>51</v>
      </c>
      <c r="M50" s="135">
        <f t="shared" si="0"/>
        <v>70.224000000000004</v>
      </c>
      <c r="N50" s="136" t="str">
        <f>VLOOKUP(C50,'Trips&amp;Operators'!$C$1:$G$99999,5,FALSE)</f>
        <v>MACDONALD THOMAS</v>
      </c>
      <c r="O50" s="207" t="s">
        <v>184</v>
      </c>
      <c r="P50" s="137"/>
      <c r="Q50" s="30"/>
      <c r="R50" s="84" t="e">
        <f>IF(VLOOKUP(C50,'Train Runs'!$A$13:$AE$9930,1,1)=C50,VLOOKUP(C50,'Train Runs'!$A$13:$AE$9930,31,1),NA())</f>
        <v>#N/A</v>
      </c>
      <c r="S50" s="87" t="str">
        <f>VLOOKUP(C50,'Train Runs'!$A$13:$AE$9930,22,0)</f>
        <v>https://d0f6bd738d7f1b3e5a7ca70fe4ff75f0.us-east-1.aws.found.io/app/kibana#/discover/Steve-Slow-Train-Analysis-(2080s-and-2083s)?_g=(refreshInterval:(display:Off,pause:!f,section:0,value:0),time:(from:'2017-05-19T04:53:00-0600',mode:absolute,to:'2017-05-19T07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50" s="89" t="str">
        <f t="shared" si="1"/>
        <v>"C:\Program Files (x86)\AstroGrep\AstroGrep.exe" /e /r /s /spath="%USERPROFILE%\AppData\Local\Temp\OnboardLogs" /stypes="*4001*201705191*" /stext=" 12:.+((SYSTEM_STATE.+slice.+state.+changed )|(ment ac)|(multiple cpu faults)|(system.+state.+changed )|(\[timeout)|(PRM\|1\|D)|(kpr)|(kdp)|(train st.+moving)|(\|lc)|(penalty))"</v>
      </c>
      <c r="U50" s="9" t="str">
        <f t="shared" si="2"/>
        <v>4001</v>
      </c>
      <c r="V50" s="31">
        <f t="shared" si="3"/>
        <v>42874.502511574072</v>
      </c>
      <c r="W50" s="45" t="str">
        <f t="shared" si="4"/>
        <v>Other</v>
      </c>
      <c r="X50" s="45" t="str">
        <f t="shared" si="5"/>
        <v>KEEP</v>
      </c>
      <c r="Y50" s="99" t="str">
        <f t="shared" si="6"/>
        <v>echo {"issue":{"subject":"","project_id":79,"tracker_id":40,"status_id":1,"priority_id":2,"assigned_to_id":23,"start_date":"2017-05-19","description":"","custom_fields":[{"id":1,"name":"Subdivision","value":"Other"},{"id":4,"name":"Milepost","value":"0.0575"},{"id":17,"name":"Train ID","value":"902-19"},{"id":16,"name":"Locomotive ID","value":"4001"},{"id":130,"name":"Impact","value":""},{"id":150,"name":"Time of Event (Mountain Time)","value":"06:03:37"},{"id":151,"name":"Denver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7"/>
        <v>grep -hrE -A400 "Enforcement Action" /cygdrive/c/Users/stu/AppData/Local/Temp/OnboardLogs/RTDC4001 --include="*4001*201705191*"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"%USERPROFILE%\AppData\Local\Temp\OnboardLogs"\RTDC4001\*4001*201705191* &gt;&gt; 2017-05-19-SliceDisagreementCheck.txt</v>
      </c>
      <c r="AE50" s="148" t="str">
        <f t="shared" si="9"/>
        <v>start /low /b %USERPROFILE%\Documents\GitHub\eaglep3\Utilities\DownloadLogsFromS3.py --loco 4001 --day 2017-05-19</v>
      </c>
      <c r="AF50" s="1"/>
    </row>
    <row r="51" spans="1:32" x14ac:dyDescent="0.25">
      <c r="A51" s="31">
        <v>42874.148530092592</v>
      </c>
      <c r="B51" s="30" t="s">
        <v>603</v>
      </c>
      <c r="C51" s="30" t="s">
        <v>604</v>
      </c>
      <c r="D51" s="30" t="s">
        <v>49</v>
      </c>
      <c r="E51" s="30" t="s">
        <v>185</v>
      </c>
      <c r="F51" s="42">
        <v>0</v>
      </c>
      <c r="G51" s="42">
        <v>40</v>
      </c>
      <c r="H51" s="42">
        <v>937</v>
      </c>
      <c r="I51" s="42">
        <v>888</v>
      </c>
      <c r="J51" s="30" t="s">
        <v>186</v>
      </c>
      <c r="K51" s="42">
        <v>839</v>
      </c>
      <c r="L51" s="134" t="s">
        <v>51</v>
      </c>
      <c r="M51" s="135">
        <f t="shared" si="0"/>
        <v>25.872</v>
      </c>
      <c r="N51" s="136" t="str">
        <f>VLOOKUP(C51,'Trips&amp;Operators'!$C$1:$G$99999,5,FALSE)</f>
        <v>BADERTSCHER DIANE</v>
      </c>
      <c r="O51" s="207" t="s">
        <v>184</v>
      </c>
      <c r="P51" s="137"/>
      <c r="Q51" s="30"/>
      <c r="R51" s="84" t="e">
        <f>IF(VLOOKUP(C51,'Train Runs'!$A$13:$AE$9930,1,1)=C51,VLOOKUP(C51,'Train Runs'!$A$13:$AE$9930,31,1),NA())</f>
        <v>#N/A</v>
      </c>
      <c r="S51" s="87" t="str">
        <f>VLOOKUP(C51,'Train Runs'!$A$13:$AE$9930,22,0)</f>
        <v>https://d0f6bd738d7f1b3e5a7ca70fe4ff75f0.us-east-1.aws.found.io/app/kibana#/discover/Steve-Slow-Train-Analysis-(2080s-and-2083s)?_g=(refreshInterval:(display:Off,pause:!f,section:0,value:0),time:(from:'2017-05-19T02:17:45-0600',mode:absolute,to:'2017-05-19T04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1" s="89" t="str">
        <f t="shared" si="1"/>
        <v>"C:\Program Files (x86)\AstroGrep\AstroGrep.exe" /e /r /s /spath="%USERPROFILE%\AppData\Local\Temp\OnboardLogs" /stypes="*4015*201705190*" /stext=" 09:.+((SYSTEM_STATE.+slice.+state.+changed )|(ment ac)|(multiple cpu faults)|(system.+state.+changed )|(\[timeout)|(PRM\|1\|D)|(kpr)|(kdp)|(train st.+moving)|(\|lc)|(penalty))"</v>
      </c>
      <c r="U51" s="9" t="str">
        <f t="shared" si="2"/>
        <v>4015</v>
      </c>
      <c r="V51" s="31">
        <f t="shared" si="3"/>
        <v>42874.398530092592</v>
      </c>
      <c r="W51" s="45" t="str">
        <f t="shared" si="4"/>
        <v>Other</v>
      </c>
      <c r="X51" s="45" t="str">
        <f t="shared" si="5"/>
        <v>KEEP</v>
      </c>
      <c r="Y51" s="99" t="str">
        <f t="shared" si="6"/>
        <v>echo {"issue":{"subject":"","project_id":79,"tracker_id":40,"status_id":1,"priority_id":2,"assigned_to_id":23,"start_date":"2017-05-19","description":"","custom_fields":[{"id":1,"name":"Subdivision","value":"Other"},{"id":4,"name":"Milepost","value":"0.0839"},{"id":17,"name":"Train ID","value":"302-19"},{"id":16,"name":"Locomotive ID","value":"4015"},{"id":130,"name":"Impact","value":""},{"id":150,"name":"Time of Event (Mountain Time)","value":"03:33:53"},{"id":151,"name":"Denver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7"/>
        <v>grep -hrE -A400 "Enforcement Action" /cygdrive/c/Users/stu/AppData/Local/Temp/OnboardLogs/RTDC4015 --include="*4015*201705190*"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"%USERPROFILE%\AppData\Local\Temp\OnboardLogs"\RTDC4015\*4015*201705190* &gt;&gt; 2017-05-19-SliceDisagreementCheck.txt</v>
      </c>
      <c r="AE51" s="148" t="str">
        <f t="shared" si="9"/>
        <v>start /low /b %USERPROFILE%\Documents\GitHub\eaglep3\Utilities\DownloadLogsFromS3.py --loco 4015 --day 2017-05-19</v>
      </c>
      <c r="AF51" s="1"/>
    </row>
    <row r="52" spans="1:32" x14ac:dyDescent="0.25">
      <c r="A52" s="31">
        <v>42874.752442129633</v>
      </c>
      <c r="B52" s="30" t="s">
        <v>448</v>
      </c>
      <c r="C52" s="30" t="s">
        <v>639</v>
      </c>
      <c r="D52" s="30" t="s">
        <v>98</v>
      </c>
      <c r="E52" s="30" t="s">
        <v>640</v>
      </c>
      <c r="F52" s="42">
        <v>0</v>
      </c>
      <c r="G52" s="42">
        <v>9</v>
      </c>
      <c r="H52" s="42">
        <v>5186</v>
      </c>
      <c r="I52" s="42">
        <v>5130</v>
      </c>
      <c r="J52" s="30" t="s">
        <v>641</v>
      </c>
      <c r="K52" s="42">
        <v>41043</v>
      </c>
      <c r="L52" s="134" t="s">
        <v>51</v>
      </c>
      <c r="M52" s="135">
        <f t="shared" si="0"/>
        <v>-18962.063999999998</v>
      </c>
      <c r="N52" s="136" t="str">
        <f>VLOOKUP(C52,'Trips&amp;Operators'!$C$1:$G$99999,5,FALSE)</f>
        <v>DUNCAN SHEILA</v>
      </c>
      <c r="O52" s="207" t="s">
        <v>184</v>
      </c>
      <c r="P52" s="137"/>
      <c r="Q52" s="30"/>
      <c r="R52" s="84" t="e">
        <f>IF(VLOOKUP(C52,'Train Runs'!$A$13:$AE$9930,1,1)=C52,VLOOKUP(C52,'Train Runs'!$A$13:$AE$9930,31,1),NA())</f>
        <v>#N/A</v>
      </c>
      <c r="S52" s="87" t="str">
        <f>VLOOKUP(C52,'Train Runs'!$A$13:$AE$9930,22,0)</f>
        <v>https://d0f6bd738d7f1b3e5a7ca70fe4ff75f0.us-east-1.aws.found.io/app/kibana#/discover/Steve-Slow-Train-Analysis-(2080s-and-2083s)?_g=(refreshInterval:(display:Off,pause:!f,section:0,value:0),time:(from:'2017-05-19T16:39:53-0600',mode:absolute,to:'2017-05-19T18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52" s="89" t="str">
        <f t="shared" si="1"/>
        <v>"C:\Program Files (x86)\AstroGrep\AstroGrep.exe" /e /r /s /spath="%USERPROFILE%\AppData\Local\Temp\OnboardLogs" /stypes="*4053*201705200*" /stext=" 00:.+((SYSTEM_STATE.+slice.+state.+changed )|(ment ac)|(multiple cpu faults)|(system.+state.+changed )|(\[timeout)|(PRM\|1\|D)|(kpr)|(kdp)|(train st.+moving)|(\|lc)|(penalty))"</v>
      </c>
      <c r="U52" s="9" t="str">
        <f t="shared" si="2"/>
        <v>4053</v>
      </c>
      <c r="V52" s="31">
        <f t="shared" si="3"/>
        <v>42875.002442129633</v>
      </c>
      <c r="W52" s="45" t="str">
        <f t="shared" si="4"/>
        <v>Other</v>
      </c>
      <c r="X52" s="45" t="str">
        <f t="shared" si="5"/>
        <v>KEEP</v>
      </c>
      <c r="Y52" s="99" t="str">
        <f t="shared" si="6"/>
        <v>echo {"issue":{"subject":"","project_id":79,"tracker_id":40,"status_id":1,"priority_id":2,"assigned_to_id":23,"start_date":"2017-05-19","description":"","custom_fields":[{"id":1,"name":"Subdivision","value":"Other"},{"id":4,"name":"Milepost","value":"4.1043"},{"id":17,"name":"Train ID","value":"70-19"},{"id":16,"name":"Locomotive ID","value":"4053"},{"id":130,"name":"Impact","value":""},{"id":150,"name":"Time of Event (Mountain Time)","value":"18:03:31"},{"id":151,"name":"Denver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7"/>
        <v>grep -hrE -A400 "Enforcement Action" /cygdrive/c/Users/stu/AppData/Local/Temp/OnboardLogs/RTDC4053 --include="*4053*201705200*"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"%USERPROFILE%\AppData\Local\Temp\OnboardLogs"\RTDC4053\*4053*201705200* &gt;&gt; 2017-05-19-SliceDisagreementCheck.txt</v>
      </c>
      <c r="AE52" s="148" t="str">
        <f t="shared" si="9"/>
        <v>start /low /b %USERPROFILE%\Documents\GitHub\eaglep3\Utilities\DownloadLogsFromS3.py --loco 4053 --day 2017-05-20</v>
      </c>
      <c r="AF52" s="1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0">
    <sortState ref="A7:AC60">
      <sortCondition ref="W7:W52"/>
      <sortCondition ref="E7:E52"/>
      <sortCondition ref="K7:K52"/>
      <sortCondition ref="F7:F52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5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2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  <x14:dataValidation type="list" allowBlank="1" showInputMessage="1" showErrorMessage="1">
          <x14:formula1>
            <xm:f>'Redmine List Values'!$C$2:$C$15</xm:f>
          </x14:formula1>
          <xm:sqref>AB7:AB52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1"/>
  <sheetViews>
    <sheetView workbookViewId="0">
      <selection activeCell="A3" sqref="A3:XFD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2017-05-19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-19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" s="30" t="e">
        <f>VLOOKUP(B3,'Train Runs'!$A$13:$A$99927,1,FALSE)</f>
        <v>#N/A</v>
      </c>
    </row>
    <row r="4" spans="1:10" x14ac:dyDescent="0.25">
      <c r="A4" s="190"/>
      <c r="B4" s="42" t="str">
        <f>A4&amp;"-"&amp;IF(DAY(Variables!$A$2)&lt;10,0,"")&amp;DAY(Variables!$A$2)</f>
        <v>-19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" s="30" t="e">
        <f>VLOOKUP(B4,'Train Runs'!$A$13:$A$99927,1,FALSE)</f>
        <v>#N/A</v>
      </c>
    </row>
    <row r="5" spans="1:10" x14ac:dyDescent="0.25">
      <c r="A5" s="190"/>
      <c r="B5" s="42" t="str">
        <f>A5&amp;"-"&amp;IF(DAY(Variables!$A$2)&lt;10,0,"")&amp;DAY(Variables!$A$2)</f>
        <v>-19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0" t="e">
        <f>VLOOKUP(B5,'Train Runs'!$A$13:$A$99927,1,FALSE)</f>
        <v>#N/A</v>
      </c>
    </row>
    <row r="6" spans="1:10" x14ac:dyDescent="0.25">
      <c r="A6" s="190"/>
      <c r="B6" s="42" t="str">
        <f>A6&amp;"-"&amp;IF(DAY(Variables!$A$2)&lt;10,0,"")&amp;DAY(Variables!$A$2)</f>
        <v>-19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0" t="e">
        <f>VLOOKUP(B6,'Train Runs'!$A$13:$A$99927,1,FALSE)</f>
        <v>#N/A</v>
      </c>
    </row>
    <row r="7" spans="1:10" x14ac:dyDescent="0.25">
      <c r="A7" s="190"/>
      <c r="B7" s="42" t="str">
        <f>A7&amp;"-"&amp;IF(DAY(Variables!$A$2)&lt;10,0,"")&amp;DAY(Variables!$A$2)</f>
        <v>-19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0" t="e">
        <f>VLOOKUP(B7,'Train Runs'!$A$13:$A$99927,1,FALSE)</f>
        <v>#N/A</v>
      </c>
    </row>
    <row r="8" spans="1:10" x14ac:dyDescent="0.25">
      <c r="A8" s="190"/>
      <c r="B8" s="42" t="str">
        <f>A8&amp;"-"&amp;IF(DAY(Variables!$A$2)&lt;10,0,"")&amp;DAY(Variables!$A$2)</f>
        <v>-19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0" t="e">
        <f>VLOOKUP(B8,'Train Runs'!$A$13:$A$99927,1,FALSE)</f>
        <v>#N/A</v>
      </c>
    </row>
    <row r="9" spans="1:10" x14ac:dyDescent="0.25">
      <c r="A9" s="190"/>
      <c r="B9" s="42" t="str">
        <f>A9&amp;"-"&amp;IF(DAY(Variables!$A$2)&lt;10,0,"")&amp;DAY(Variables!$A$2)</f>
        <v>-19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0" t="e">
        <f>VLOOKUP(B9,'Train Runs'!$A$13:$A$99927,1,FALSE)</f>
        <v>#N/A</v>
      </c>
    </row>
    <row r="10" spans="1:10" x14ac:dyDescent="0.25">
      <c r="A10" s="190"/>
      <c r="B10" s="42" t="str">
        <f>A10&amp;"-"&amp;IF(DAY(Variables!$A$2)&lt;10,0,"")&amp;DAY(Variables!$A$2)</f>
        <v>-19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0" t="e">
        <f>VLOOKUP(B10,'Train Runs'!$A$13:$A$99927,1,FALSE)</f>
        <v>#N/A</v>
      </c>
    </row>
    <row r="11" spans="1:10" x14ac:dyDescent="0.25">
      <c r="A11" s="190"/>
      <c r="B11" s="42" t="str">
        <f>A11&amp;"-"&amp;IF(DAY(Variables!$A$2)&lt;10,0,"")&amp;DAY(Variables!$A$2)</f>
        <v>-19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0" t="e">
        <f>VLOOKUP(B11,'Train Runs'!$A$13:$A$99927,1,FALSE)</f>
        <v>#N/A</v>
      </c>
    </row>
    <row r="12" spans="1:10" x14ac:dyDescent="0.25">
      <c r="A12" s="190"/>
      <c r="B12" s="42" t="str">
        <f>A12&amp;"-"&amp;IF(DAY(Variables!$A$2)&lt;10,0,"")&amp;DAY(Variables!$A$2)</f>
        <v>-19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0" t="e">
        <f>VLOOKUP(B12,'Train Runs'!$A$13:$A$99927,1,FALSE)</f>
        <v>#N/A</v>
      </c>
    </row>
    <row r="13" spans="1:10" x14ac:dyDescent="0.25">
      <c r="A13" s="190"/>
      <c r="B13" s="42" t="str">
        <f>A13&amp;"-"&amp;IF(DAY(Variables!$A$2)&lt;10,0,"")&amp;DAY(Variables!$A$2)</f>
        <v>-19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0" t="e">
        <f>VLOOKUP(B13,'Train Runs'!$A$13:$A$99927,1,FALSE)</f>
        <v>#N/A</v>
      </c>
    </row>
    <row r="14" spans="1:10" x14ac:dyDescent="0.25">
      <c r="A14" s="190"/>
      <c r="B14" s="42" t="str">
        <f>A14&amp;"-"&amp;IF(DAY(Variables!$A$2)&lt;10,0,"")&amp;DAY(Variables!$A$2)</f>
        <v>-19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0" t="e">
        <f>VLOOKUP(B14,'Train Runs'!$A$13:$A$99927,1,FALSE)</f>
        <v>#N/A</v>
      </c>
    </row>
    <row r="15" spans="1:10" x14ac:dyDescent="0.25">
      <c r="A15" s="190"/>
      <c r="B15" s="42" t="str">
        <f>A15&amp;"-"&amp;IF(DAY(Variables!$A$2)&lt;10,0,"")&amp;DAY(Variables!$A$2)</f>
        <v>-19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0" t="e">
        <f>VLOOKUP(B15,'Train Runs'!$A$13:$A$99927,1,FALSE)</f>
        <v>#N/A</v>
      </c>
    </row>
    <row r="16" spans="1:10" x14ac:dyDescent="0.25">
      <c r="A16" s="190"/>
      <c r="B16" s="42" t="str">
        <f>A16&amp;"-"&amp;IF(DAY(Variables!$A$2)&lt;10,0,"")&amp;DAY(Variables!$A$2)</f>
        <v>-19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0" t="e">
        <f>VLOOKUP(B16,'Train Runs'!$A$13:$A$99927,1,FALSE)</f>
        <v>#N/A</v>
      </c>
    </row>
    <row r="17" spans="1:10" x14ac:dyDescent="0.25">
      <c r="A17" s="190"/>
      <c r="B17" s="42" t="str">
        <f>A17&amp;"-"&amp;IF(DAY(Variables!$A$2)&lt;10,0,"")&amp;DAY(Variables!$A$2)</f>
        <v>-19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0" t="e">
        <f>VLOOKUP(B17,'Train Runs'!$A$13:$A$99927,1,FALSE)</f>
        <v>#N/A</v>
      </c>
    </row>
    <row r="18" spans="1:10" x14ac:dyDescent="0.25">
      <c r="A18" s="190"/>
      <c r="B18" s="42" t="str">
        <f>A18&amp;"-"&amp;IF(DAY(Variables!$A$2)&lt;10,0,"")&amp;DAY(Variables!$A$2)</f>
        <v>-19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0" t="e">
        <f>VLOOKUP(B18,'Train Runs'!$A$13:$A$99927,1,FALSE)</f>
        <v>#N/A</v>
      </c>
    </row>
    <row r="19" spans="1:10" x14ac:dyDescent="0.25">
      <c r="A19" s="190"/>
      <c r="B19" s="42" t="str">
        <f>A19&amp;"-"&amp;IF(DAY(Variables!$A$2)&lt;10,0,"")&amp;DAY(Variables!$A$2)</f>
        <v>-19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9" s="30" t="e">
        <f>VLOOKUP(B19,'Train Runs'!$A$13:$A$99927,1,FALSE)</f>
        <v>#N/A</v>
      </c>
    </row>
    <row r="20" spans="1:10" x14ac:dyDescent="0.25">
      <c r="A20" s="190"/>
      <c r="B20" s="42" t="str">
        <f>A20&amp;"-"&amp;IF(DAY(Variables!$A$2)&lt;10,0,"")&amp;DAY(Variables!$A$2)</f>
        <v>-19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0" s="30" t="e">
        <f>VLOOKUP(B20,'Train Runs'!$A$13:$A$99927,1,FALSE)</f>
        <v>#N/A</v>
      </c>
    </row>
    <row r="21" spans="1:10" x14ac:dyDescent="0.25">
      <c r="A21" s="190"/>
      <c r="B21" s="42" t="str">
        <f>A21&amp;"-"&amp;IF(DAY(Variables!$A$2)&lt;10,0,"")&amp;DAY(Variables!$A$2)</f>
        <v>-19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1" s="30" t="e">
        <f>VLOOKUP(B21,'Train Runs'!$A$13:$A$99927,1,FALSE)</f>
        <v>#N/A</v>
      </c>
    </row>
    <row r="22" spans="1:10" x14ac:dyDescent="0.25">
      <c r="A22" s="190"/>
      <c r="B22" s="42" t="str">
        <f>A22&amp;"-"&amp;IF(DAY(Variables!$A$2)&lt;10,0,"")&amp;DAY(Variables!$A$2)</f>
        <v>-19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2" s="30" t="e">
        <f>VLOOKUP(B22,'Train Runs'!$A$13:$A$99927,1,FALSE)</f>
        <v>#N/A</v>
      </c>
    </row>
    <row r="23" spans="1:10" x14ac:dyDescent="0.25">
      <c r="A23" s="190"/>
      <c r="B23" s="42" t="str">
        <f>A23&amp;"-"&amp;IF(DAY(Variables!$A$2)&lt;10,0,"")&amp;DAY(Variables!$A$2)</f>
        <v>-19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3" s="30" t="e">
        <f>VLOOKUP(B23,'Train Runs'!$A$13:$A$99927,1,FALSE)</f>
        <v>#N/A</v>
      </c>
    </row>
    <row r="24" spans="1:10" x14ac:dyDescent="0.25">
      <c r="A24" s="190"/>
      <c r="B24" s="42" t="str">
        <f>A24&amp;"-"&amp;IF(DAY(Variables!$A$2)&lt;10,0,"")&amp;DAY(Variables!$A$2)</f>
        <v>-19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4" s="30" t="e">
        <f>VLOOKUP(B24,'Train Runs'!$A$13:$A$99927,1,FALSE)</f>
        <v>#N/A</v>
      </c>
    </row>
    <row r="25" spans="1:10" x14ac:dyDescent="0.25">
      <c r="A25" s="190"/>
      <c r="B25" s="42" t="str">
        <f>A25&amp;"-"&amp;IF(DAY(Variables!$A$2)&lt;10,0,"")&amp;DAY(Variables!$A$2)</f>
        <v>-19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5" s="30" t="e">
        <f>VLOOKUP(B25,'Train Runs'!$A$13:$A$99927,1,FALSE)</f>
        <v>#N/A</v>
      </c>
    </row>
    <row r="26" spans="1:10" x14ac:dyDescent="0.25">
      <c r="A26" s="190"/>
      <c r="B26" s="42" t="str">
        <f>A26&amp;"-"&amp;IF(DAY(Variables!$A$2)&lt;10,0,"")&amp;DAY(Variables!$A$2)</f>
        <v>-19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6" s="30" t="e">
        <f>VLOOKUP(B26,'Train Runs'!$A$13:$A$99927,1,FALSE)</f>
        <v>#N/A</v>
      </c>
    </row>
    <row r="27" spans="1:10" x14ac:dyDescent="0.25">
      <c r="A27" s="190"/>
      <c r="B27" s="42" t="str">
        <f>A27&amp;"-"&amp;IF(DAY(Variables!$A$2)&lt;10,0,"")&amp;DAY(Variables!$A$2)</f>
        <v>-19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7" s="30" t="e">
        <f>VLOOKUP(B27,'Train Runs'!$A$13:$A$99927,1,FALSE)</f>
        <v>#N/A</v>
      </c>
    </row>
    <row r="28" spans="1:10" x14ac:dyDescent="0.25">
      <c r="A28" s="190"/>
      <c r="B28" s="42" t="str">
        <f>A28&amp;"-"&amp;IF(DAY(Variables!$A$2)&lt;10,0,"")&amp;DAY(Variables!$A$2)</f>
        <v>-19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8" s="30" t="e">
        <f>VLOOKUP(B28,'Train Runs'!$A$13:$A$99927,1,FALSE)</f>
        <v>#N/A</v>
      </c>
    </row>
    <row r="29" spans="1:10" x14ac:dyDescent="0.25">
      <c r="A29" s="190"/>
      <c r="B29" s="42" t="str">
        <f>A29&amp;"-"&amp;IF(DAY(Variables!$A$2)&lt;10,0,"")&amp;DAY(Variables!$A$2)</f>
        <v>-19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9" s="30" t="e">
        <f>VLOOKUP(B29,'Train Runs'!$A$13:$A$99927,1,FALSE)</f>
        <v>#N/A</v>
      </c>
    </row>
    <row r="30" spans="1:10" x14ac:dyDescent="0.25">
      <c r="A30" s="190"/>
      <c r="B30" s="42" t="str">
        <f>A30&amp;"-"&amp;IF(DAY(Variables!$A$2)&lt;10,0,"")&amp;DAY(Variables!$A$2)</f>
        <v>-19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0" s="30" t="e">
        <f>VLOOKUP(B30,'Train Runs'!$A$13:$A$99927,1,FALSE)</f>
        <v>#N/A</v>
      </c>
    </row>
    <row r="31" spans="1:10" x14ac:dyDescent="0.25">
      <c r="A31" s="190"/>
      <c r="B31" s="42" t="str">
        <f>A31&amp;"-"&amp;IF(DAY(Variables!$A$2)&lt;10,0,"")&amp;DAY(Variables!$A$2)</f>
        <v>-19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1" s="30" t="e">
        <f>VLOOKUP(B31,'Train Runs'!$A$13:$A$99927,1,FALSE)</f>
        <v>#N/A</v>
      </c>
    </row>
    <row r="32" spans="1:10" x14ac:dyDescent="0.25">
      <c r="A32" s="190"/>
      <c r="B32" s="42" t="str">
        <f>A32&amp;"-"&amp;IF(DAY(Variables!$A$2)&lt;10,0,"")&amp;DAY(Variables!$A$2)</f>
        <v>-19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2" s="30" t="e">
        <f>VLOOKUP(B32,'Train Runs'!$A$13:$A$99927,1,FALSE)</f>
        <v>#N/A</v>
      </c>
    </row>
    <row r="33" spans="1:10" x14ac:dyDescent="0.25">
      <c r="A33" s="190"/>
      <c r="B33" s="42" t="str">
        <f>A33&amp;"-"&amp;IF(DAY(Variables!$A$2)&lt;10,0,"")&amp;DAY(Variables!$A$2)</f>
        <v>-19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3" s="30" t="e">
        <f>VLOOKUP(B33,'Train Runs'!$A$13:$A$99927,1,FALSE)</f>
        <v>#N/A</v>
      </c>
    </row>
    <row r="34" spans="1:10" x14ac:dyDescent="0.25">
      <c r="A34" s="190"/>
      <c r="B34" s="42" t="str">
        <f>A34&amp;"-"&amp;IF(DAY(Variables!$A$2)&lt;10,0,"")&amp;DAY(Variables!$A$2)</f>
        <v>-19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4" s="30" t="e">
        <f>VLOOKUP(B34,'Train Runs'!$A$13:$A$99927,1,FALSE)</f>
        <v>#N/A</v>
      </c>
    </row>
    <row r="35" spans="1:10" x14ac:dyDescent="0.25">
      <c r="A35" s="190"/>
      <c r="B35" s="42" t="str">
        <f>A35&amp;"-"&amp;IF(DAY(Variables!$A$2)&lt;10,0,"")&amp;DAY(Variables!$A$2)</f>
        <v>-19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5" s="30" t="e">
        <f>VLOOKUP(B35,'Train Runs'!$A$13:$A$99927,1,FALSE)</f>
        <v>#N/A</v>
      </c>
    </row>
    <row r="36" spans="1:10" x14ac:dyDescent="0.25">
      <c r="A36" s="190"/>
      <c r="B36" s="42" t="str">
        <f>A36&amp;"-"&amp;IF(DAY(Variables!$A$2)&lt;10,0,"")&amp;DAY(Variables!$A$2)</f>
        <v>-19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6" s="30" t="e">
        <f>VLOOKUP(B36,'Train Runs'!$A$13:$A$99927,1,FALSE)</f>
        <v>#N/A</v>
      </c>
    </row>
    <row r="37" spans="1:10" x14ac:dyDescent="0.25">
      <c r="A37" s="190"/>
      <c r="B37" s="42" t="str">
        <f>A37&amp;"-"&amp;IF(DAY(Variables!$A$2)&lt;10,0,"")&amp;DAY(Variables!$A$2)</f>
        <v>-19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7" s="30" t="e">
        <f>VLOOKUP(B37,'Train Runs'!$A$13:$A$99927,1,FALSE)</f>
        <v>#N/A</v>
      </c>
    </row>
    <row r="38" spans="1:10" x14ac:dyDescent="0.25">
      <c r="A38" s="190"/>
      <c r="B38" s="42" t="str">
        <f>A38&amp;"-"&amp;IF(DAY(Variables!$A$2)&lt;10,0,"")&amp;DAY(Variables!$A$2)</f>
        <v>-19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8" s="30" t="e">
        <f>VLOOKUP(B38,'Train Runs'!$A$13:$A$99927,1,FALSE)</f>
        <v>#N/A</v>
      </c>
    </row>
    <row r="39" spans="1:10" x14ac:dyDescent="0.25">
      <c r="A39" s="190"/>
      <c r="B39" s="42" t="str">
        <f>A39&amp;"-"&amp;IF(DAY(Variables!$A$2)&lt;10,0,"")&amp;DAY(Variables!$A$2)</f>
        <v>-19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9" s="30" t="e">
        <f>VLOOKUP(B39,'Train Runs'!$A$13:$A$99927,1,FALSE)</f>
        <v>#N/A</v>
      </c>
    </row>
    <row r="40" spans="1:10" x14ac:dyDescent="0.25">
      <c r="A40" s="190"/>
      <c r="B40" s="42" t="str">
        <f>A40&amp;"-"&amp;IF(DAY(Variables!$A$2)&lt;10,0,"")&amp;DAY(Variables!$A$2)</f>
        <v>-19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0" s="30" t="e">
        <f>VLOOKUP(B40,'Train Runs'!$A$13:$A$99927,1,FALSE)</f>
        <v>#N/A</v>
      </c>
    </row>
    <row r="41" spans="1:10" x14ac:dyDescent="0.25">
      <c r="A41" s="190"/>
      <c r="B41" s="42" t="str">
        <f>A41&amp;"-"&amp;IF(DAY(Variables!$A$2)&lt;10,0,"")&amp;DAY(Variables!$A$2)</f>
        <v>-19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1" s="30" t="e">
        <f>VLOOKUP(B41,'Train Runs'!$A$13:$A$99927,1,FALSE)</f>
        <v>#N/A</v>
      </c>
    </row>
    <row r="42" spans="1:10" x14ac:dyDescent="0.25">
      <c r="A42" s="190"/>
      <c r="B42" s="42" t="str">
        <f>A42&amp;"-"&amp;IF(DAY(Variables!$A$2)&lt;10,0,"")&amp;DAY(Variables!$A$2)</f>
        <v>-19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2" s="30" t="e">
        <f>VLOOKUP(B42,'Train Runs'!$A$13:$A$99927,1,FALSE)</f>
        <v>#N/A</v>
      </c>
    </row>
    <row r="43" spans="1:10" x14ac:dyDescent="0.25">
      <c r="A43" s="190"/>
      <c r="B43" s="42" t="str">
        <f>A43&amp;"-"&amp;IF(DAY(Variables!$A$2)&lt;10,0,"")&amp;DAY(Variables!$A$2)</f>
        <v>-19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3" s="30" t="e">
        <f>VLOOKUP(B43,'Train Runs'!$A$13:$A$99927,1,FALSE)</f>
        <v>#N/A</v>
      </c>
    </row>
    <row r="44" spans="1:10" x14ac:dyDescent="0.25">
      <c r="A44" s="190"/>
      <c r="B44" s="42" t="str">
        <f>A44&amp;"-"&amp;IF(DAY(Variables!$A$2)&lt;10,0,"")&amp;DAY(Variables!$A$2)</f>
        <v>-19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4" s="30" t="e">
        <f>VLOOKUP(B44,'Train Runs'!$A$13:$A$99927,1,FALSE)</f>
        <v>#N/A</v>
      </c>
    </row>
    <row r="45" spans="1:10" x14ac:dyDescent="0.25">
      <c r="A45" s="190"/>
      <c r="B45" s="42" t="str">
        <f>A45&amp;"-"&amp;IF(DAY(Variables!$A$2)&lt;10,0,"")&amp;DAY(Variables!$A$2)</f>
        <v>-19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ref="I45:I6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5" s="30" t="e">
        <f>VLOOKUP(B45,'Train Runs'!$A$13:$A$99927,1,FALSE)</f>
        <v>#N/A</v>
      </c>
    </row>
    <row r="46" spans="1:10" x14ac:dyDescent="0.25">
      <c r="A46" s="190"/>
      <c r="B46" s="42" t="str">
        <f>A46&amp;"-"&amp;IF(DAY(Variables!$A$2)&lt;10,0,"")&amp;DAY(Variables!$A$2)</f>
        <v>-19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6" s="30" t="e">
        <f>VLOOKUP(B46,'Train Runs'!$A$13:$A$99927,1,FALSE)</f>
        <v>#N/A</v>
      </c>
    </row>
    <row r="47" spans="1:10" x14ac:dyDescent="0.25">
      <c r="A47" s="190"/>
      <c r="B47" s="42" t="str">
        <f>A47&amp;"-"&amp;IF(DAY(Variables!$A$2)&lt;10,0,"")&amp;DAY(Variables!$A$2)</f>
        <v>-19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7" s="30" t="e">
        <f>VLOOKUP(B47,'Train Runs'!$A$13:$A$99927,1,FALSE)</f>
        <v>#N/A</v>
      </c>
    </row>
    <row r="48" spans="1:10" x14ac:dyDescent="0.25">
      <c r="A48" s="190"/>
      <c r="B48" s="42" t="str">
        <f>A48&amp;"-"&amp;IF(DAY(Variables!$A$2)&lt;10,0,"")&amp;DAY(Variables!$A$2)</f>
        <v>-19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8" s="30" t="e">
        <f>VLOOKUP(B48,'Train Runs'!$A$13:$A$99927,1,FALSE)</f>
        <v>#N/A</v>
      </c>
    </row>
    <row r="49" spans="1:10" x14ac:dyDescent="0.25">
      <c r="A49" s="190"/>
      <c r="B49" s="42" t="str">
        <f>A49&amp;"-"&amp;IF(DAY(Variables!$A$2)&lt;10,0,"")&amp;DAY(Variables!$A$2)</f>
        <v>-19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9" s="30" t="e">
        <f>VLOOKUP(B49,'Train Runs'!$A$13:$A$99927,1,FALSE)</f>
        <v>#N/A</v>
      </c>
    </row>
    <row r="50" spans="1:10" x14ac:dyDescent="0.25">
      <c r="A50" s="190"/>
      <c r="B50" s="42" t="str">
        <f>A50&amp;"-"&amp;IF(DAY(Variables!$A$2)&lt;10,0,"")&amp;DAY(Variables!$A$2)</f>
        <v>-19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0" s="30" t="e">
        <f>VLOOKUP(B50,'Train Runs'!$A$13:$A$99927,1,FALSE)</f>
        <v>#N/A</v>
      </c>
    </row>
    <row r="51" spans="1:10" x14ac:dyDescent="0.25">
      <c r="A51" s="190"/>
      <c r="B51" s="42" t="str">
        <f>A51&amp;"-"&amp;IF(DAY(Variables!$A$2)&lt;10,0,"")&amp;DAY(Variables!$A$2)</f>
        <v>-19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1" s="30" t="e">
        <f>VLOOKUP(B51,'Train Runs'!$A$13:$A$99927,1,FALSE)</f>
        <v>#N/A</v>
      </c>
    </row>
    <row r="52" spans="1:10" x14ac:dyDescent="0.25">
      <c r="A52" s="190"/>
      <c r="B52" s="42" t="str">
        <f>A52&amp;"-"&amp;IF(DAY(Variables!$A$2)&lt;10,0,"")&amp;DAY(Variables!$A$2)</f>
        <v>-19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2" s="30" t="e">
        <f>VLOOKUP(B52,'Train Runs'!$A$13:$A$99927,1,FALSE)</f>
        <v>#N/A</v>
      </c>
    </row>
    <row r="53" spans="1:10" x14ac:dyDescent="0.25">
      <c r="A53" s="190"/>
      <c r="B53" s="42" t="str">
        <f>A53&amp;"-"&amp;IF(DAY(Variables!$A$2)&lt;10,0,"")&amp;DAY(Variables!$A$2)</f>
        <v>-19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3" s="30" t="e">
        <f>VLOOKUP(B53,'Train Runs'!$A$13:$A$99927,1,FALSE)</f>
        <v>#N/A</v>
      </c>
    </row>
    <row r="54" spans="1:10" x14ac:dyDescent="0.25">
      <c r="A54" s="190"/>
      <c r="B54" s="42" t="str">
        <f>A54&amp;"-"&amp;IF(DAY(Variables!$A$2)&lt;10,0,"")&amp;DAY(Variables!$A$2)</f>
        <v>-19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4" s="30" t="e">
        <f>VLOOKUP(B54,'Train Runs'!$A$13:$A$99927,1,FALSE)</f>
        <v>#N/A</v>
      </c>
    </row>
    <row r="55" spans="1:10" x14ac:dyDescent="0.25">
      <c r="A55" s="190"/>
      <c r="B55" s="42" t="str">
        <f>A55&amp;"-"&amp;IF(DAY(Variables!$A$2)&lt;10,0,"")&amp;DAY(Variables!$A$2)</f>
        <v>-19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5" s="30" t="e">
        <f>VLOOKUP(B55,'Train Runs'!$A$13:$A$99927,1,FALSE)</f>
        <v>#N/A</v>
      </c>
    </row>
    <row r="56" spans="1:10" x14ac:dyDescent="0.25">
      <c r="A56" s="190"/>
      <c r="B56" s="42" t="str">
        <f>A56&amp;"-"&amp;IF(DAY(Variables!$A$2)&lt;10,0,"")&amp;DAY(Variables!$A$2)</f>
        <v>-19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6" s="30" t="e">
        <f>VLOOKUP(B56,'Train Runs'!$A$13:$A$99927,1,FALSE)</f>
        <v>#N/A</v>
      </c>
    </row>
    <row r="57" spans="1:10" x14ac:dyDescent="0.25">
      <c r="A57" s="190"/>
      <c r="B57" s="42" t="str">
        <f>A57&amp;"-"&amp;IF(DAY(Variables!$A$2)&lt;10,0,"")&amp;DAY(Variables!$A$2)</f>
        <v>-19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7" s="30" t="e">
        <f>VLOOKUP(B57,'Train Runs'!$A$13:$A$99927,1,FALSE)</f>
        <v>#N/A</v>
      </c>
    </row>
    <row r="58" spans="1:10" x14ac:dyDescent="0.25">
      <c r="A58" s="190"/>
      <c r="B58" s="42" t="str">
        <f>A58&amp;"-"&amp;IF(DAY(Variables!$A$2)&lt;10,0,"")&amp;DAY(Variables!$A$2)</f>
        <v>-19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8" s="30" t="e">
        <f>VLOOKUP(B58,'Train Runs'!$A$13:$A$99927,1,FALSE)</f>
        <v>#N/A</v>
      </c>
    </row>
    <row r="59" spans="1:10" x14ac:dyDescent="0.25">
      <c r="A59" s="190"/>
      <c r="B59" s="42" t="str">
        <f>A59&amp;"-"&amp;IF(DAY(Variables!$A$2)&lt;10,0,"")&amp;DAY(Variables!$A$2)</f>
        <v>-19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9" s="30" t="e">
        <f>VLOOKUP(B59,'Train Runs'!$A$13:$A$99927,1,FALSE)</f>
        <v>#N/A</v>
      </c>
    </row>
    <row r="60" spans="1:10" x14ac:dyDescent="0.25">
      <c r="A60" s="190"/>
      <c r="B60" s="42" t="str">
        <f>A60&amp;"-"&amp;IF(DAY(Variables!$A$2)&lt;10,0,"")&amp;DAY(Variables!$A$2)</f>
        <v>-19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0" s="30" t="e">
        <f>VLOOKUP(B60,'Train Runs'!$A$13:$A$99927,1,FALSE)</f>
        <v>#N/A</v>
      </c>
    </row>
    <row r="61" spans="1:10" x14ac:dyDescent="0.25">
      <c r="A61" s="190"/>
      <c r="B61" s="42" t="str">
        <f>A61&amp;"-"&amp;IF(DAY(Variables!$A$2)&lt;10,0,"")&amp;DAY(Variables!$A$2)</f>
        <v>-19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1" s="30" t="e">
        <f>VLOOKUP(B61,'Train Runs'!$A$13:$A$99927,1,FALSE)</f>
        <v>#N/A</v>
      </c>
    </row>
    <row r="62" spans="1:10" x14ac:dyDescent="0.25">
      <c r="A62" s="190"/>
      <c r="B62" s="42" t="str">
        <f>A62&amp;"-"&amp;IF(DAY(Variables!$A$2)&lt;10,0,"")&amp;DAY(Variables!$A$2)</f>
        <v>-19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2" s="30" t="e">
        <f>VLOOKUP(B62,'Train Runs'!$A$13:$A$99927,1,FALSE)</f>
        <v>#N/A</v>
      </c>
    </row>
    <row r="63" spans="1:10" x14ac:dyDescent="0.25">
      <c r="A63" s="190"/>
      <c r="B63" s="42" t="str">
        <f>A63&amp;"-"&amp;IF(DAY(Variables!$A$2)&lt;10,0,"")&amp;DAY(Variables!$A$2)</f>
        <v>-19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3" s="30" t="e">
        <f>VLOOKUP(B63,'Train Runs'!$A$13:$A$99927,1,FALSE)</f>
        <v>#N/A</v>
      </c>
    </row>
    <row r="64" spans="1:10" x14ac:dyDescent="0.25">
      <c r="A64" s="190"/>
      <c r="B64" s="42" t="str">
        <f>A64&amp;"-"&amp;IF(DAY(Variables!$A$2)&lt;10,0,"")&amp;DAY(Variables!$A$2)</f>
        <v>-19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4" s="30" t="e">
        <f>VLOOKUP(B64,'Train Runs'!$A$13:$A$99927,1,FALSE)</f>
        <v>#N/A</v>
      </c>
    </row>
    <row r="65" spans="1:10" x14ac:dyDescent="0.25">
      <c r="A65" s="190"/>
      <c r="B65" s="42" t="str">
        <f>A65&amp;"-"&amp;IF(DAY(Variables!$A$2)&lt;10,0,"")&amp;DAY(Variables!$A$2)</f>
        <v>-19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5" s="30" t="e">
        <f>VLOOKUP(B65,'Train Runs'!$A$13:$A$99927,1,FALSE)</f>
        <v>#N/A</v>
      </c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190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190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190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190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190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190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190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190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190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190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190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190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190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190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190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190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190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190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190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190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190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190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190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190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190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190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190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190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190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190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190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190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190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190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190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190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190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190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190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190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190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190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190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190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190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190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190"/>
      <c r="B121" s="42"/>
      <c r="C121" s="138"/>
      <c r="D121" s="156"/>
      <c r="E121" s="30"/>
      <c r="F121" s="21"/>
      <c r="G121" s="21"/>
      <c r="H121" s="29"/>
      <c r="I121" s="45"/>
      <c r="J121" s="30"/>
    </row>
  </sheetData>
  <autoFilter ref="A2:J7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42874.034699074073</v>
      </c>
      <c r="B2" s="20" t="s">
        <v>492</v>
      </c>
      <c r="C2" s="20" t="s">
        <v>543</v>
      </c>
      <c r="D2" s="141">
        <v>2270000</v>
      </c>
      <c r="E2" s="20" t="s">
        <v>413</v>
      </c>
      <c r="F2" s="20" t="s">
        <v>414</v>
      </c>
      <c r="G2" s="8" t="str">
        <f>E2&amp;" "&amp;F2</f>
        <v>BROWN JACOB</v>
      </c>
    </row>
    <row r="3" spans="1:7" x14ac:dyDescent="0.25">
      <c r="A3" s="8">
        <v>42874.048750000002</v>
      </c>
      <c r="B3" s="20" t="s">
        <v>449</v>
      </c>
      <c r="C3" s="20" t="s">
        <v>544</v>
      </c>
      <c r="D3" s="141">
        <v>2730000</v>
      </c>
      <c r="E3" s="20" t="s">
        <v>539</v>
      </c>
      <c r="F3" s="20" t="s">
        <v>540</v>
      </c>
      <c r="G3" s="8" t="str">
        <f t="shared" ref="G3:G66" si="0">E3&amp;" "&amp;F3</f>
        <v>YANG JAN</v>
      </c>
    </row>
    <row r="4" spans="1:7" x14ac:dyDescent="0.25">
      <c r="A4" s="8">
        <v>42874.057627314818</v>
      </c>
      <c r="B4" s="20" t="s">
        <v>381</v>
      </c>
      <c r="C4" s="20" t="s">
        <v>545</v>
      </c>
      <c r="D4" s="141">
        <v>2150000</v>
      </c>
      <c r="E4" s="20" t="s">
        <v>408</v>
      </c>
      <c r="F4" s="20" t="s">
        <v>409</v>
      </c>
      <c r="G4" s="8" t="str">
        <f t="shared" si="0"/>
        <v>SWANSON BRYCE</v>
      </c>
    </row>
    <row r="5" spans="1:7" x14ac:dyDescent="0.25">
      <c r="A5" s="8">
        <v>42874.060324074075</v>
      </c>
      <c r="B5" s="20" t="s">
        <v>541</v>
      </c>
      <c r="C5" s="20" t="s">
        <v>542</v>
      </c>
      <c r="D5" s="141">
        <v>3040000</v>
      </c>
      <c r="E5" s="20" t="s">
        <v>395</v>
      </c>
      <c r="F5" s="20" t="s">
        <v>396</v>
      </c>
      <c r="G5" s="8" t="str">
        <f t="shared" si="0"/>
        <v>WILLIAMS DONTE</v>
      </c>
    </row>
    <row r="6" spans="1:7" x14ac:dyDescent="0.25">
      <c r="A6" s="8">
        <v>42874.068240740744</v>
      </c>
      <c r="B6" s="20" t="s">
        <v>528</v>
      </c>
      <c r="C6" s="20" t="s">
        <v>546</v>
      </c>
      <c r="D6" s="141">
        <v>3040000</v>
      </c>
      <c r="E6" s="20" t="s">
        <v>395</v>
      </c>
      <c r="F6" s="20" t="s">
        <v>396</v>
      </c>
      <c r="G6" s="8" t="str">
        <f t="shared" si="0"/>
        <v>WILLIAMS DONTE</v>
      </c>
    </row>
    <row r="7" spans="1:7" x14ac:dyDescent="0.25">
      <c r="A7" s="8">
        <v>42874.069108796299</v>
      </c>
      <c r="B7" s="20" t="s">
        <v>489</v>
      </c>
      <c r="C7" s="20" t="s">
        <v>547</v>
      </c>
      <c r="D7" s="141">
        <v>2270000</v>
      </c>
      <c r="E7" s="20" t="s">
        <v>413</v>
      </c>
      <c r="F7" s="20" t="s">
        <v>414</v>
      </c>
      <c r="G7" s="8" t="str">
        <f t="shared" si="0"/>
        <v>BROWN JACOB</v>
      </c>
    </row>
    <row r="8" spans="1:7" x14ac:dyDescent="0.25">
      <c r="A8" s="8">
        <v>42874.109375</v>
      </c>
      <c r="B8" s="20" t="s">
        <v>387</v>
      </c>
      <c r="C8" s="20" t="s">
        <v>548</v>
      </c>
      <c r="D8" s="141">
        <v>1090000</v>
      </c>
      <c r="E8" s="20" t="s">
        <v>433</v>
      </c>
      <c r="F8" s="20" t="s">
        <v>196</v>
      </c>
      <c r="G8" s="8" t="str">
        <f t="shared" si="0"/>
        <v>SPECTOR MICHAEL</v>
      </c>
    </row>
    <row r="9" spans="1:7" ht="15.75" thickBot="1" x14ac:dyDescent="0.3">
      <c r="A9" s="24">
        <v>42874.132743055554</v>
      </c>
      <c r="B9" s="20" t="s">
        <v>491</v>
      </c>
      <c r="C9" s="20" t="s">
        <v>650</v>
      </c>
      <c r="D9" s="141">
        <v>1230000</v>
      </c>
      <c r="E9" s="20" t="s">
        <v>651</v>
      </c>
      <c r="F9" s="20" t="s">
        <v>652</v>
      </c>
      <c r="G9" s="8" t="str">
        <f t="shared" si="0"/>
        <v>YANAI IAN</v>
      </c>
    </row>
    <row r="10" spans="1:7" x14ac:dyDescent="0.25">
      <c r="A10" s="8">
        <v>42874.136562500003</v>
      </c>
      <c r="B10" s="20" t="s">
        <v>603</v>
      </c>
      <c r="C10" s="20" t="s">
        <v>604</v>
      </c>
      <c r="D10" s="141">
        <v>2550000</v>
      </c>
      <c r="E10" s="20" t="s">
        <v>494</v>
      </c>
      <c r="F10" s="20" t="s">
        <v>495</v>
      </c>
      <c r="G10" s="8" t="str">
        <f t="shared" si="0"/>
        <v>BADERTSCHER DIANE</v>
      </c>
    </row>
    <row r="11" spans="1:7" x14ac:dyDescent="0.25">
      <c r="A11" s="8">
        <v>42874.137881944444</v>
      </c>
      <c r="B11" s="20" t="s">
        <v>603</v>
      </c>
      <c r="C11" s="20" t="s">
        <v>604</v>
      </c>
      <c r="D11" s="141">
        <v>2550000</v>
      </c>
      <c r="E11" s="20" t="s">
        <v>494</v>
      </c>
      <c r="F11" s="20" t="s">
        <v>495</v>
      </c>
      <c r="G11" s="8" t="str">
        <f t="shared" si="0"/>
        <v>BADERTSCHER DIANE</v>
      </c>
    </row>
    <row r="12" spans="1:7" x14ac:dyDescent="0.25">
      <c r="A12" s="8">
        <v>42874.14298611111</v>
      </c>
      <c r="B12" s="20" t="s">
        <v>615</v>
      </c>
      <c r="C12" s="20" t="s">
        <v>653</v>
      </c>
      <c r="D12" s="141">
        <v>1990000</v>
      </c>
      <c r="E12" s="20" t="s">
        <v>654</v>
      </c>
      <c r="F12" s="20" t="s">
        <v>655</v>
      </c>
      <c r="G12" s="8" t="str">
        <f t="shared" si="0"/>
        <v>DAVIS WENDY</v>
      </c>
    </row>
    <row r="13" spans="1:7" x14ac:dyDescent="0.25">
      <c r="A13" s="8">
        <v>42874.155659722222</v>
      </c>
      <c r="B13" s="20" t="s">
        <v>366</v>
      </c>
      <c r="C13" s="20" t="s">
        <v>656</v>
      </c>
      <c r="D13" s="141">
        <v>1990000</v>
      </c>
      <c r="E13" s="20" t="s">
        <v>654</v>
      </c>
      <c r="F13" s="20" t="s">
        <v>655</v>
      </c>
      <c r="G13" s="8" t="str">
        <f t="shared" si="0"/>
        <v>DAVIS WENDY</v>
      </c>
    </row>
    <row r="14" spans="1:7" x14ac:dyDescent="0.25">
      <c r="A14" s="8">
        <v>42874.156284722223</v>
      </c>
      <c r="B14" s="20" t="s">
        <v>387</v>
      </c>
      <c r="C14" s="20" t="s">
        <v>548</v>
      </c>
      <c r="D14" s="141">
        <v>1090000</v>
      </c>
      <c r="E14" s="20" t="s">
        <v>433</v>
      </c>
      <c r="F14" s="20" t="s">
        <v>196</v>
      </c>
      <c r="G14" s="8" t="str">
        <f t="shared" si="0"/>
        <v>SPECTOR MICHAEL</v>
      </c>
    </row>
    <row r="15" spans="1:7" x14ac:dyDescent="0.25">
      <c r="A15" s="8">
        <v>42874.157037037039</v>
      </c>
      <c r="B15" s="20" t="s">
        <v>637</v>
      </c>
      <c r="C15" s="20" t="s">
        <v>657</v>
      </c>
      <c r="D15" s="141">
        <v>2140000</v>
      </c>
      <c r="E15" s="20" t="s">
        <v>529</v>
      </c>
      <c r="F15" s="20" t="s">
        <v>530</v>
      </c>
      <c r="G15" s="8" t="str">
        <f t="shared" si="0"/>
        <v>ROBINSON KADDIBA</v>
      </c>
    </row>
    <row r="16" spans="1:7" x14ac:dyDescent="0.25">
      <c r="A16" s="8">
        <v>42874.166168981479</v>
      </c>
      <c r="B16" s="20" t="s">
        <v>500</v>
      </c>
      <c r="C16" s="20" t="s">
        <v>658</v>
      </c>
      <c r="D16" s="141">
        <v>1230000</v>
      </c>
      <c r="E16" s="20" t="s">
        <v>651</v>
      </c>
      <c r="F16" s="20" t="s">
        <v>652</v>
      </c>
      <c r="G16" s="8" t="str">
        <f t="shared" si="0"/>
        <v>YANAI IAN</v>
      </c>
    </row>
    <row r="17" spans="1:7" x14ac:dyDescent="0.25">
      <c r="A17" s="8">
        <v>42874.171377314815</v>
      </c>
      <c r="B17" s="20" t="s">
        <v>447</v>
      </c>
      <c r="C17" s="20" t="s">
        <v>606</v>
      </c>
      <c r="D17" s="141">
        <v>2140000</v>
      </c>
      <c r="E17" s="20" t="s">
        <v>529</v>
      </c>
      <c r="F17" s="20" t="s">
        <v>530</v>
      </c>
      <c r="G17" s="8" t="str">
        <f t="shared" si="0"/>
        <v>ROBINSON KADDIBA</v>
      </c>
    </row>
    <row r="18" spans="1:7" x14ac:dyDescent="0.25">
      <c r="A18" s="8">
        <v>42874.172002314815</v>
      </c>
      <c r="B18" s="20" t="s">
        <v>525</v>
      </c>
      <c r="C18" s="20" t="s">
        <v>659</v>
      </c>
      <c r="D18" s="141">
        <v>1110000</v>
      </c>
      <c r="E18" s="20" t="s">
        <v>453</v>
      </c>
      <c r="F18" s="20" t="s">
        <v>454</v>
      </c>
      <c r="G18" s="8" t="str">
        <f t="shared" si="0"/>
        <v>STARKS ANGELINA</v>
      </c>
    </row>
    <row r="19" spans="1:7" x14ac:dyDescent="0.25">
      <c r="A19" s="8">
        <v>42874.174270833333</v>
      </c>
      <c r="B19" s="20" t="s">
        <v>525</v>
      </c>
      <c r="C19" s="20" t="s">
        <v>659</v>
      </c>
      <c r="D19" s="141">
        <v>1110000</v>
      </c>
      <c r="E19" s="20" t="s">
        <v>453</v>
      </c>
      <c r="F19" s="20" t="s">
        <v>454</v>
      </c>
      <c r="G19" s="8" t="str">
        <f t="shared" si="0"/>
        <v>STARKS ANGELINA</v>
      </c>
    </row>
    <row r="20" spans="1:7" x14ac:dyDescent="0.25">
      <c r="A20" s="8">
        <v>42874.183796296296</v>
      </c>
      <c r="B20" s="20" t="s">
        <v>496</v>
      </c>
      <c r="C20" s="20" t="s">
        <v>660</v>
      </c>
      <c r="D20" s="141">
        <v>940000</v>
      </c>
      <c r="E20" s="20" t="s">
        <v>431</v>
      </c>
      <c r="F20" s="20" t="s">
        <v>432</v>
      </c>
      <c r="G20" s="8" t="str">
        <f t="shared" si="0"/>
        <v>BONDS REYNALDO</v>
      </c>
    </row>
    <row r="21" spans="1:7" x14ac:dyDescent="0.25">
      <c r="A21" s="8">
        <v>42874.185069444444</v>
      </c>
      <c r="B21" s="20" t="s">
        <v>526</v>
      </c>
      <c r="C21" s="20" t="s">
        <v>661</v>
      </c>
      <c r="D21" s="141">
        <v>1110000</v>
      </c>
      <c r="E21" s="20" t="s">
        <v>453</v>
      </c>
      <c r="F21" s="20" t="s">
        <v>454</v>
      </c>
      <c r="G21" s="8" t="str">
        <f t="shared" si="0"/>
        <v>STARKS ANGELINA</v>
      </c>
    </row>
    <row r="22" spans="1:7" x14ac:dyDescent="0.25">
      <c r="A22" s="26">
        <v>42874.186122685183</v>
      </c>
      <c r="B22" s="20" t="s">
        <v>444</v>
      </c>
      <c r="C22" s="20" t="s">
        <v>662</v>
      </c>
      <c r="D22" s="141">
        <v>890000</v>
      </c>
      <c r="E22" s="20" t="s">
        <v>455</v>
      </c>
      <c r="F22" s="20" t="s">
        <v>456</v>
      </c>
      <c r="G22" s="8" t="str">
        <f t="shared" si="0"/>
        <v>LOZA FIDEL</v>
      </c>
    </row>
    <row r="23" spans="1:7" x14ac:dyDescent="0.25">
      <c r="A23" s="8">
        <v>42874.19158564815</v>
      </c>
      <c r="B23" s="20" t="s">
        <v>615</v>
      </c>
      <c r="C23" s="20" t="s">
        <v>663</v>
      </c>
      <c r="D23" s="141">
        <v>1990000</v>
      </c>
      <c r="E23" s="20" t="s">
        <v>654</v>
      </c>
      <c r="F23" s="20" t="s">
        <v>655</v>
      </c>
      <c r="G23" s="8" t="str">
        <f t="shared" si="0"/>
        <v>DAVIS WENDY</v>
      </c>
    </row>
    <row r="24" spans="1:7" x14ac:dyDescent="0.25">
      <c r="A24" s="8">
        <v>42874.193287037036</v>
      </c>
      <c r="B24" s="20" t="s">
        <v>382</v>
      </c>
      <c r="C24" s="20" t="s">
        <v>664</v>
      </c>
      <c r="D24" s="141">
        <v>1290000</v>
      </c>
      <c r="E24" s="20" t="s">
        <v>665</v>
      </c>
      <c r="F24" s="20" t="s">
        <v>666</v>
      </c>
      <c r="G24" s="8" t="str">
        <f t="shared" si="0"/>
        <v>COOLAHAN JOHN</v>
      </c>
    </row>
    <row r="25" spans="1:7" x14ac:dyDescent="0.25">
      <c r="A25" s="8">
        <v>42874.193819444445</v>
      </c>
      <c r="B25" s="20" t="s">
        <v>460</v>
      </c>
      <c r="C25" s="20" t="s">
        <v>667</v>
      </c>
      <c r="D25" s="141">
        <v>900000</v>
      </c>
      <c r="E25" s="20" t="s">
        <v>457</v>
      </c>
      <c r="F25" s="20" t="s">
        <v>458</v>
      </c>
      <c r="G25" s="8" t="str">
        <f t="shared" si="0"/>
        <v>ROCHA YAOTL</v>
      </c>
    </row>
    <row r="26" spans="1:7" x14ac:dyDescent="0.25">
      <c r="A26" s="8">
        <v>42874.195497685185</v>
      </c>
      <c r="B26" s="20" t="s">
        <v>407</v>
      </c>
      <c r="C26" s="20" t="s">
        <v>668</v>
      </c>
      <c r="D26" s="141">
        <v>890000</v>
      </c>
      <c r="E26" s="20" t="s">
        <v>455</v>
      </c>
      <c r="F26" s="20" t="s">
        <v>456</v>
      </c>
      <c r="G26" s="8" t="str">
        <f t="shared" si="0"/>
        <v>LOZA FIDEL</v>
      </c>
    </row>
    <row r="27" spans="1:7" x14ac:dyDescent="0.25">
      <c r="A27" s="8">
        <v>42874.199953703705</v>
      </c>
      <c r="B27" s="20" t="s">
        <v>499</v>
      </c>
      <c r="C27" s="20" t="s">
        <v>669</v>
      </c>
      <c r="D27" s="141">
        <v>940000</v>
      </c>
      <c r="E27" s="20" t="s">
        <v>431</v>
      </c>
      <c r="F27" s="20" t="s">
        <v>432</v>
      </c>
      <c r="G27" s="8" t="str">
        <f t="shared" si="0"/>
        <v>BONDS REYNALDO</v>
      </c>
    </row>
    <row r="28" spans="1:7" x14ac:dyDescent="0.25">
      <c r="A28" s="8">
        <v>42874.202361111114</v>
      </c>
      <c r="B28" s="20" t="s">
        <v>429</v>
      </c>
      <c r="C28" s="20" t="s">
        <v>670</v>
      </c>
      <c r="D28" s="141">
        <v>1100000</v>
      </c>
      <c r="E28" s="20" t="s">
        <v>497</v>
      </c>
      <c r="F28" s="20" t="s">
        <v>498</v>
      </c>
      <c r="G28" s="8" t="str">
        <f t="shared" si="0"/>
        <v>GEBRETEKLE DAGNEW</v>
      </c>
    </row>
    <row r="29" spans="1:7" x14ac:dyDescent="0.25">
      <c r="A29" s="8">
        <v>42874.210115740738</v>
      </c>
      <c r="B29" s="20" t="s">
        <v>637</v>
      </c>
      <c r="C29" s="20" t="s">
        <v>671</v>
      </c>
      <c r="D29" s="141">
        <v>2140000</v>
      </c>
      <c r="E29" s="20" t="s">
        <v>529</v>
      </c>
      <c r="F29" s="20" t="s">
        <v>530</v>
      </c>
      <c r="G29" s="8" t="str">
        <f t="shared" si="0"/>
        <v>ROBINSON KADDIBA</v>
      </c>
    </row>
    <row r="30" spans="1:7" x14ac:dyDescent="0.25">
      <c r="A30" s="8">
        <v>42874.212106481478</v>
      </c>
      <c r="B30" s="20" t="s">
        <v>491</v>
      </c>
      <c r="C30" s="20" t="s">
        <v>672</v>
      </c>
      <c r="D30" s="141">
        <v>2550000</v>
      </c>
      <c r="E30" s="20" t="s">
        <v>494</v>
      </c>
      <c r="F30" s="20" t="s">
        <v>495</v>
      </c>
      <c r="G30" s="8" t="str">
        <f t="shared" si="0"/>
        <v>BADERTSCHER DIANE</v>
      </c>
    </row>
    <row r="31" spans="1:7" x14ac:dyDescent="0.25">
      <c r="A31" s="8">
        <v>42874.216111111113</v>
      </c>
      <c r="B31" s="20" t="s">
        <v>490</v>
      </c>
      <c r="C31" s="20" t="s">
        <v>673</v>
      </c>
      <c r="D31" s="141">
        <v>1100000</v>
      </c>
      <c r="E31" s="20" t="s">
        <v>497</v>
      </c>
      <c r="F31" s="20" t="s">
        <v>498</v>
      </c>
      <c r="G31" s="8" t="str">
        <f t="shared" si="0"/>
        <v>GEBRETEKLE DAGNEW</v>
      </c>
    </row>
    <row r="32" spans="1:7" x14ac:dyDescent="0.25">
      <c r="A32" s="8">
        <v>42874.224999999999</v>
      </c>
      <c r="B32" s="20" t="s">
        <v>525</v>
      </c>
      <c r="C32" s="20" t="s">
        <v>674</v>
      </c>
      <c r="D32" s="141">
        <v>1110000</v>
      </c>
      <c r="E32" s="20" t="s">
        <v>453</v>
      </c>
      <c r="F32" s="20" t="s">
        <v>454</v>
      </c>
      <c r="G32" s="8" t="str">
        <f t="shared" si="0"/>
        <v>STARKS ANGELINA</v>
      </c>
    </row>
    <row r="33" spans="1:7" x14ac:dyDescent="0.25">
      <c r="A33" s="8">
        <v>42874.22755787037</v>
      </c>
      <c r="B33" s="20" t="s">
        <v>429</v>
      </c>
      <c r="C33" s="20" t="s">
        <v>675</v>
      </c>
      <c r="D33" s="141">
        <v>1100000</v>
      </c>
      <c r="E33" s="20" t="s">
        <v>497</v>
      </c>
      <c r="F33" s="20" t="s">
        <v>498</v>
      </c>
      <c r="G33" s="8" t="str">
        <f t="shared" si="0"/>
        <v>GEBRETEKLE DAGNEW</v>
      </c>
    </row>
    <row r="34" spans="1:7" x14ac:dyDescent="0.25">
      <c r="A34" s="8">
        <v>42874.228344907409</v>
      </c>
      <c r="B34" s="20" t="s">
        <v>459</v>
      </c>
      <c r="C34" s="20" t="s">
        <v>676</v>
      </c>
      <c r="D34" s="141">
        <v>900000</v>
      </c>
      <c r="E34" s="20" t="s">
        <v>457</v>
      </c>
      <c r="F34" s="20" t="s">
        <v>458</v>
      </c>
      <c r="G34" s="8" t="str">
        <f t="shared" si="0"/>
        <v>ROCHA YAOTL</v>
      </c>
    </row>
    <row r="35" spans="1:7" x14ac:dyDescent="0.25">
      <c r="A35" s="8">
        <v>42874.231203703705</v>
      </c>
      <c r="B35" s="20" t="s">
        <v>366</v>
      </c>
      <c r="C35" s="20" t="s">
        <v>677</v>
      </c>
      <c r="D35" s="141">
        <v>1990000</v>
      </c>
      <c r="E35" s="20" t="s">
        <v>654</v>
      </c>
      <c r="F35" s="20" t="s">
        <v>655</v>
      </c>
      <c r="G35" s="8" t="str">
        <f t="shared" si="0"/>
        <v>DAVIS WENDY</v>
      </c>
    </row>
    <row r="36" spans="1:7" x14ac:dyDescent="0.25">
      <c r="A36" s="8">
        <v>42874.2341087963</v>
      </c>
      <c r="B36" s="20" t="s">
        <v>444</v>
      </c>
      <c r="C36" s="20" t="s">
        <v>678</v>
      </c>
      <c r="D36" s="141">
        <v>890000</v>
      </c>
      <c r="E36" s="20" t="s">
        <v>455</v>
      </c>
      <c r="F36" s="20" t="s">
        <v>456</v>
      </c>
      <c r="G36" s="8" t="str">
        <f t="shared" si="0"/>
        <v>LOZA FIDEL</v>
      </c>
    </row>
    <row r="37" spans="1:7" x14ac:dyDescent="0.25">
      <c r="A37" s="8">
        <v>42874.243935185186</v>
      </c>
      <c r="B37" s="20" t="s">
        <v>496</v>
      </c>
      <c r="C37" s="20" t="s">
        <v>679</v>
      </c>
      <c r="D37" s="141">
        <v>940000</v>
      </c>
      <c r="E37" s="20" t="s">
        <v>431</v>
      </c>
      <c r="F37" s="20" t="s">
        <v>432</v>
      </c>
      <c r="G37" s="8" t="str">
        <f t="shared" si="0"/>
        <v>BONDS REYNALDO</v>
      </c>
    </row>
    <row r="38" spans="1:7" x14ac:dyDescent="0.25">
      <c r="A38" s="8">
        <v>42874.243958333333</v>
      </c>
      <c r="B38" s="20" t="s">
        <v>412</v>
      </c>
      <c r="C38" s="20" t="s">
        <v>607</v>
      </c>
      <c r="D38" s="141">
        <v>2560000</v>
      </c>
      <c r="E38" s="20" t="s">
        <v>531</v>
      </c>
      <c r="F38" s="20" t="s">
        <v>377</v>
      </c>
      <c r="G38" s="8" t="str">
        <f t="shared" si="0"/>
        <v>MACDONALD THOMAS</v>
      </c>
    </row>
    <row r="39" spans="1:7" x14ac:dyDescent="0.25">
      <c r="A39" s="8">
        <v>42874.244479166664</v>
      </c>
      <c r="B39" s="20" t="s">
        <v>412</v>
      </c>
      <c r="C39" s="20" t="s">
        <v>607</v>
      </c>
      <c r="D39" s="141">
        <v>2560000</v>
      </c>
      <c r="E39" s="20" t="s">
        <v>531</v>
      </c>
      <c r="F39" s="20" t="s">
        <v>377</v>
      </c>
      <c r="G39" s="8" t="str">
        <f t="shared" si="0"/>
        <v>MACDONALD THOMAS</v>
      </c>
    </row>
    <row r="40" spans="1:7" x14ac:dyDescent="0.25">
      <c r="A40" s="8">
        <v>42874.24554398148</v>
      </c>
      <c r="B40" s="25" t="s">
        <v>412</v>
      </c>
      <c r="C40" s="20" t="s">
        <v>607</v>
      </c>
      <c r="D40" s="141">
        <v>2560000</v>
      </c>
      <c r="E40" s="20" t="s">
        <v>531</v>
      </c>
      <c r="F40" s="20" t="s">
        <v>377</v>
      </c>
      <c r="G40" s="8" t="str">
        <f t="shared" si="0"/>
        <v>MACDONALD THOMAS</v>
      </c>
    </row>
    <row r="41" spans="1:7" x14ac:dyDescent="0.25">
      <c r="A41" s="8">
        <v>42874.246249999997</v>
      </c>
      <c r="B41" s="20" t="s">
        <v>447</v>
      </c>
      <c r="C41" s="20" t="s">
        <v>680</v>
      </c>
      <c r="D41" s="141">
        <v>2140000</v>
      </c>
      <c r="E41" s="20" t="s">
        <v>529</v>
      </c>
      <c r="F41" s="20" t="s">
        <v>530</v>
      </c>
      <c r="G41" s="8" t="str">
        <f t="shared" si="0"/>
        <v>ROBINSON KADDIBA</v>
      </c>
    </row>
    <row r="42" spans="1:7" x14ac:dyDescent="0.25">
      <c r="A42" s="8">
        <v>42874.254050925927</v>
      </c>
      <c r="B42" s="20" t="s">
        <v>500</v>
      </c>
      <c r="C42" s="20" t="s">
        <v>681</v>
      </c>
      <c r="D42" s="141">
        <v>2550000</v>
      </c>
      <c r="E42" s="20" t="s">
        <v>494</v>
      </c>
      <c r="F42" s="20" t="s">
        <v>495</v>
      </c>
      <c r="G42" s="8" t="str">
        <f t="shared" si="0"/>
        <v>BADERTSCHER DIANE</v>
      </c>
    </row>
    <row r="43" spans="1:7" x14ac:dyDescent="0.25">
      <c r="A43" s="8">
        <v>42874.254537037035</v>
      </c>
      <c r="B43" s="20" t="s">
        <v>490</v>
      </c>
      <c r="C43" s="20" t="s">
        <v>682</v>
      </c>
      <c r="D43" s="141">
        <v>1100000</v>
      </c>
      <c r="E43" s="20" t="s">
        <v>497</v>
      </c>
      <c r="F43" s="20" t="s">
        <v>498</v>
      </c>
      <c r="G43" s="8" t="str">
        <f t="shared" si="0"/>
        <v>GEBRETEKLE DAGNEW</v>
      </c>
    </row>
    <row r="44" spans="1:7" x14ac:dyDescent="0.25">
      <c r="A44" s="8">
        <v>42874.256516203706</v>
      </c>
      <c r="B44" s="20" t="s">
        <v>418</v>
      </c>
      <c r="C44" s="20" t="s">
        <v>608</v>
      </c>
      <c r="D44" s="141">
        <v>2560000</v>
      </c>
      <c r="E44" s="20" t="s">
        <v>531</v>
      </c>
      <c r="F44" s="20" t="s">
        <v>377</v>
      </c>
      <c r="G44" s="8" t="str">
        <f t="shared" si="0"/>
        <v>MACDONALD THOMAS</v>
      </c>
    </row>
    <row r="45" spans="1:7" x14ac:dyDescent="0.25">
      <c r="A45" s="8">
        <v>42874.256724537037</v>
      </c>
      <c r="B45" s="20" t="s">
        <v>526</v>
      </c>
      <c r="C45" s="20" t="s">
        <v>683</v>
      </c>
      <c r="D45" s="141">
        <v>1110000</v>
      </c>
      <c r="E45" s="20" t="s">
        <v>453</v>
      </c>
      <c r="F45" s="20" t="s">
        <v>454</v>
      </c>
      <c r="G45" s="8" t="str">
        <f t="shared" si="0"/>
        <v>STARKS ANGELINA</v>
      </c>
    </row>
    <row r="46" spans="1:7" x14ac:dyDescent="0.25">
      <c r="A46" s="8">
        <v>42874.266631944447</v>
      </c>
      <c r="B46" s="20" t="s">
        <v>460</v>
      </c>
      <c r="C46" s="20" t="s">
        <v>609</v>
      </c>
      <c r="D46" s="141">
        <v>900000</v>
      </c>
      <c r="E46" s="20" t="s">
        <v>457</v>
      </c>
      <c r="F46" s="20" t="s">
        <v>458</v>
      </c>
      <c r="G46" s="8" t="str">
        <f t="shared" si="0"/>
        <v>ROCHA YAOTL</v>
      </c>
    </row>
    <row r="47" spans="1:7" x14ac:dyDescent="0.25">
      <c r="A47" s="8">
        <v>42874.269050925926</v>
      </c>
      <c r="B47" s="20" t="s">
        <v>407</v>
      </c>
      <c r="C47" s="20" t="s">
        <v>684</v>
      </c>
      <c r="D47" s="141">
        <v>890000</v>
      </c>
      <c r="E47" s="20" t="s">
        <v>455</v>
      </c>
      <c r="F47" s="20" t="s">
        <v>456</v>
      </c>
      <c r="G47" s="8" t="str">
        <f t="shared" si="0"/>
        <v>LOZA FIDEL</v>
      </c>
    </row>
    <row r="48" spans="1:7" x14ac:dyDescent="0.25">
      <c r="A48" s="8">
        <v>42874.269259259258</v>
      </c>
      <c r="B48" s="20" t="s">
        <v>429</v>
      </c>
      <c r="C48" s="20" t="s">
        <v>685</v>
      </c>
      <c r="D48" s="141">
        <v>1100000</v>
      </c>
      <c r="E48" s="20" t="s">
        <v>497</v>
      </c>
      <c r="F48" s="20" t="s">
        <v>498</v>
      </c>
      <c r="G48" s="8" t="str">
        <f t="shared" si="0"/>
        <v>GEBRETEKLE DAGNEW</v>
      </c>
    </row>
    <row r="49" spans="1:7" x14ac:dyDescent="0.25">
      <c r="A49" s="8">
        <v>42874.274814814817</v>
      </c>
      <c r="B49" s="20" t="s">
        <v>412</v>
      </c>
      <c r="C49" s="20" t="s">
        <v>686</v>
      </c>
      <c r="D49" s="141">
        <v>2560000</v>
      </c>
      <c r="E49" s="20" t="s">
        <v>531</v>
      </c>
      <c r="F49" s="20" t="s">
        <v>377</v>
      </c>
      <c r="G49" s="8" t="str">
        <f t="shared" si="0"/>
        <v>MACDONALD THOMAS</v>
      </c>
    </row>
    <row r="50" spans="1:7" x14ac:dyDescent="0.25">
      <c r="A50" s="8">
        <v>42874.275879629633</v>
      </c>
      <c r="B50" s="20" t="s">
        <v>615</v>
      </c>
      <c r="C50" s="20" t="s">
        <v>687</v>
      </c>
      <c r="D50" s="141">
        <v>1990000</v>
      </c>
      <c r="E50" s="20" t="s">
        <v>654</v>
      </c>
      <c r="F50" s="20" t="s">
        <v>655</v>
      </c>
      <c r="G50" s="8" t="str">
        <f t="shared" si="0"/>
        <v>DAVIS WENDY</v>
      </c>
    </row>
    <row r="51" spans="1:7" x14ac:dyDescent="0.25">
      <c r="A51" s="8">
        <v>42874.276863425926</v>
      </c>
      <c r="B51" s="20" t="s">
        <v>499</v>
      </c>
      <c r="C51" s="20" t="s">
        <v>688</v>
      </c>
      <c r="D51" s="141">
        <v>940000</v>
      </c>
      <c r="E51" s="20" t="s">
        <v>431</v>
      </c>
      <c r="F51" s="20" t="s">
        <v>432</v>
      </c>
      <c r="G51" s="8" t="str">
        <f t="shared" si="0"/>
        <v>BONDS REYNALDO</v>
      </c>
    </row>
    <row r="52" spans="1:7" x14ac:dyDescent="0.25">
      <c r="A52" s="8">
        <v>42874.277141203704</v>
      </c>
      <c r="B52" s="20" t="s">
        <v>637</v>
      </c>
      <c r="C52" s="20" t="s">
        <v>689</v>
      </c>
      <c r="D52" s="141">
        <v>2140000</v>
      </c>
      <c r="E52" s="20" t="s">
        <v>529</v>
      </c>
      <c r="F52" s="20" t="s">
        <v>530</v>
      </c>
      <c r="G52" s="8" t="str">
        <f t="shared" si="0"/>
        <v>ROBINSON KADDIBA</v>
      </c>
    </row>
    <row r="53" spans="1:7" x14ac:dyDescent="0.25">
      <c r="A53" s="8">
        <v>42874.285034722219</v>
      </c>
      <c r="B53" s="20" t="s">
        <v>385</v>
      </c>
      <c r="C53" s="20" t="s">
        <v>622</v>
      </c>
      <c r="D53" s="141">
        <v>1340000</v>
      </c>
      <c r="E53" s="20" t="s">
        <v>690</v>
      </c>
      <c r="F53" s="20" t="s">
        <v>691</v>
      </c>
      <c r="G53" s="8" t="str">
        <f t="shared" si="0"/>
        <v>BEAM ROSS</v>
      </c>
    </row>
    <row r="54" spans="1:7" x14ac:dyDescent="0.25">
      <c r="A54" s="8">
        <v>42874.285879629628</v>
      </c>
      <c r="B54" s="20" t="s">
        <v>385</v>
      </c>
      <c r="C54" s="20" t="s">
        <v>692</v>
      </c>
      <c r="D54" s="141">
        <v>1340000</v>
      </c>
      <c r="E54" s="20" t="s">
        <v>690</v>
      </c>
      <c r="F54" s="20" t="s">
        <v>691</v>
      </c>
      <c r="G54" s="8" t="str">
        <f t="shared" si="0"/>
        <v>BEAM ROSS</v>
      </c>
    </row>
    <row r="55" spans="1:7" x14ac:dyDescent="0.25">
      <c r="A55" s="8">
        <v>42874.288344907407</v>
      </c>
      <c r="B55" s="20" t="s">
        <v>382</v>
      </c>
      <c r="C55" s="20" t="s">
        <v>692</v>
      </c>
      <c r="D55" s="141">
        <v>1340000</v>
      </c>
      <c r="E55" s="20" t="s">
        <v>690</v>
      </c>
      <c r="F55" s="20" t="s">
        <v>691</v>
      </c>
      <c r="G55" s="8" t="str">
        <f t="shared" si="0"/>
        <v>BEAM ROSS</v>
      </c>
    </row>
    <row r="56" spans="1:7" x14ac:dyDescent="0.25">
      <c r="A56" s="8">
        <v>42874.288391203707</v>
      </c>
      <c r="B56" s="20" t="s">
        <v>491</v>
      </c>
      <c r="C56" s="20" t="s">
        <v>693</v>
      </c>
      <c r="D56" s="141">
        <v>2550000</v>
      </c>
      <c r="E56" s="20" t="s">
        <v>494</v>
      </c>
      <c r="F56" s="20" t="s">
        <v>495</v>
      </c>
      <c r="G56" s="8" t="str">
        <f t="shared" si="0"/>
        <v>BADERTSCHER DIANE</v>
      </c>
    </row>
    <row r="57" spans="1:7" x14ac:dyDescent="0.25">
      <c r="A57" s="8">
        <v>42874.289189814815</v>
      </c>
      <c r="B57" s="20" t="s">
        <v>382</v>
      </c>
      <c r="C57" s="20" t="s">
        <v>692</v>
      </c>
      <c r="D57" s="141">
        <v>1340000</v>
      </c>
      <c r="E57" s="20" t="s">
        <v>690</v>
      </c>
      <c r="F57" s="20" t="s">
        <v>691</v>
      </c>
      <c r="G57" s="8" t="str">
        <f t="shared" si="0"/>
        <v>BEAM ROSS</v>
      </c>
    </row>
    <row r="58" spans="1:7" x14ac:dyDescent="0.25">
      <c r="A58" s="8">
        <v>42874.291979166665</v>
      </c>
      <c r="B58" s="20" t="s">
        <v>418</v>
      </c>
      <c r="C58" s="20" t="s">
        <v>611</v>
      </c>
      <c r="D58" s="141">
        <v>2560000</v>
      </c>
      <c r="E58" s="20" t="s">
        <v>531</v>
      </c>
      <c r="F58" s="20" t="s">
        <v>377</v>
      </c>
      <c r="G58" s="8" t="str">
        <f t="shared" si="0"/>
        <v>MACDONALD THOMAS</v>
      </c>
    </row>
    <row r="59" spans="1:7" x14ac:dyDescent="0.25">
      <c r="A59" s="8">
        <v>42874.29582175926</v>
      </c>
      <c r="B59" s="20" t="s">
        <v>490</v>
      </c>
      <c r="C59" s="20" t="s">
        <v>610</v>
      </c>
      <c r="D59" s="141">
        <v>1100000</v>
      </c>
      <c r="E59" s="20" t="s">
        <v>497</v>
      </c>
      <c r="F59" s="20" t="s">
        <v>498</v>
      </c>
      <c r="G59" s="8" t="str">
        <f t="shared" si="0"/>
        <v>GEBRETEKLE DAGNEW</v>
      </c>
    </row>
    <row r="60" spans="1:7" x14ac:dyDescent="0.25">
      <c r="A60" s="8">
        <v>42874.297766203701</v>
      </c>
      <c r="B60" s="20" t="s">
        <v>525</v>
      </c>
      <c r="C60" s="20" t="s">
        <v>694</v>
      </c>
      <c r="D60" s="141">
        <v>1110000</v>
      </c>
      <c r="E60" s="20" t="s">
        <v>453</v>
      </c>
      <c r="F60" s="20" t="s">
        <v>454</v>
      </c>
      <c r="G60" s="8" t="str">
        <f t="shared" si="0"/>
        <v>STARKS ANGELINA</v>
      </c>
    </row>
    <row r="61" spans="1:7" x14ac:dyDescent="0.25">
      <c r="A61" s="8">
        <v>42874.302106481482</v>
      </c>
      <c r="B61" s="20" t="s">
        <v>385</v>
      </c>
      <c r="C61" s="20" t="s">
        <v>695</v>
      </c>
      <c r="D61" s="141">
        <v>900000</v>
      </c>
      <c r="E61" s="20" t="s">
        <v>457</v>
      </c>
      <c r="F61" s="20" t="s">
        <v>458</v>
      </c>
      <c r="G61" s="8" t="str">
        <f t="shared" si="0"/>
        <v>ROCHA YAOTL</v>
      </c>
    </row>
    <row r="62" spans="1:7" x14ac:dyDescent="0.25">
      <c r="A62" s="8">
        <v>42874.30327546296</v>
      </c>
      <c r="B62" s="20" t="s">
        <v>385</v>
      </c>
      <c r="C62" s="20" t="s">
        <v>695</v>
      </c>
      <c r="D62" s="141">
        <v>900000</v>
      </c>
      <c r="E62" s="20" t="s">
        <v>457</v>
      </c>
      <c r="F62" s="20" t="s">
        <v>458</v>
      </c>
      <c r="G62" s="8" t="str">
        <f t="shared" si="0"/>
        <v>ROCHA YAOTL</v>
      </c>
    </row>
    <row r="63" spans="1:7" x14ac:dyDescent="0.25">
      <c r="A63" s="8">
        <v>42874.305995370371</v>
      </c>
      <c r="B63" s="20" t="s">
        <v>444</v>
      </c>
      <c r="C63" s="20" t="s">
        <v>696</v>
      </c>
      <c r="D63" s="141">
        <v>890000</v>
      </c>
      <c r="E63" s="20" t="s">
        <v>455</v>
      </c>
      <c r="F63" s="20" t="s">
        <v>456</v>
      </c>
      <c r="G63" s="8" t="str">
        <f t="shared" si="0"/>
        <v>LOZA FIDEL</v>
      </c>
    </row>
    <row r="64" spans="1:7" x14ac:dyDescent="0.25">
      <c r="A64" s="26">
        <v>42874.308761574073</v>
      </c>
      <c r="B64" s="20" t="s">
        <v>385</v>
      </c>
      <c r="C64" s="20" t="s">
        <v>695</v>
      </c>
      <c r="D64" s="141">
        <v>900000</v>
      </c>
      <c r="E64" s="20" t="s">
        <v>457</v>
      </c>
      <c r="F64" s="20" t="s">
        <v>458</v>
      </c>
      <c r="G64" s="8" t="str">
        <f t="shared" si="0"/>
        <v>ROCHA YAOTL</v>
      </c>
    </row>
    <row r="65" spans="1:7" x14ac:dyDescent="0.25">
      <c r="A65" s="8">
        <v>42874.310439814813</v>
      </c>
      <c r="B65" s="20" t="s">
        <v>366</v>
      </c>
      <c r="C65" s="20" t="s">
        <v>697</v>
      </c>
      <c r="D65" s="141">
        <v>1230000</v>
      </c>
      <c r="E65" s="20" t="s">
        <v>651</v>
      </c>
      <c r="F65" s="20" t="s">
        <v>652</v>
      </c>
      <c r="G65" s="8" t="str">
        <f t="shared" si="0"/>
        <v>YANAI IAN</v>
      </c>
    </row>
    <row r="66" spans="1:7" x14ac:dyDescent="0.25">
      <c r="A66" s="8">
        <v>42874.311990740738</v>
      </c>
      <c r="B66" s="20" t="s">
        <v>429</v>
      </c>
      <c r="C66" s="20" t="s">
        <v>698</v>
      </c>
      <c r="D66" s="141">
        <v>1100000</v>
      </c>
      <c r="E66" s="20" t="s">
        <v>497</v>
      </c>
      <c r="F66" s="20" t="s">
        <v>498</v>
      </c>
      <c r="G66" s="8" t="str">
        <f t="shared" si="0"/>
        <v>GEBRETEKLE DAGNEW</v>
      </c>
    </row>
    <row r="67" spans="1:7" x14ac:dyDescent="0.25">
      <c r="A67" s="8">
        <v>42874.317326388889</v>
      </c>
      <c r="B67" s="20" t="s">
        <v>496</v>
      </c>
      <c r="C67" s="20" t="s">
        <v>699</v>
      </c>
      <c r="D67" s="141">
        <v>940000</v>
      </c>
      <c r="E67" s="20" t="s">
        <v>431</v>
      </c>
      <c r="F67" s="20" t="s">
        <v>432</v>
      </c>
      <c r="G67" s="8" t="str">
        <f t="shared" ref="G67:G130" si="1">E67&amp;" "&amp;F67</f>
        <v>BONDS REYNALDO</v>
      </c>
    </row>
    <row r="68" spans="1:7" x14ac:dyDescent="0.25">
      <c r="A68" s="8">
        <v>42874.318888888891</v>
      </c>
      <c r="B68" s="20" t="s">
        <v>412</v>
      </c>
      <c r="C68" s="20" t="s">
        <v>612</v>
      </c>
      <c r="D68" s="141">
        <v>2560000</v>
      </c>
      <c r="E68" s="20" t="s">
        <v>531</v>
      </c>
      <c r="F68" s="20" t="s">
        <v>377</v>
      </c>
      <c r="G68" s="8" t="str">
        <f t="shared" si="1"/>
        <v>MACDONALD THOMAS</v>
      </c>
    </row>
    <row r="69" spans="1:7" x14ac:dyDescent="0.25">
      <c r="A69" s="8">
        <v>42874.319444444445</v>
      </c>
      <c r="B69" s="20" t="s">
        <v>447</v>
      </c>
      <c r="C69" s="20" t="s">
        <v>700</v>
      </c>
      <c r="D69" s="141">
        <v>2140000</v>
      </c>
      <c r="E69" s="20" t="s">
        <v>529</v>
      </c>
      <c r="F69" s="20" t="s">
        <v>530</v>
      </c>
      <c r="G69" s="8" t="str">
        <f t="shared" si="1"/>
        <v>ROBINSON KADDIBA</v>
      </c>
    </row>
    <row r="70" spans="1:7" x14ac:dyDescent="0.25">
      <c r="A70" s="8">
        <v>42874.32545138889</v>
      </c>
      <c r="B70" s="20" t="s">
        <v>500</v>
      </c>
      <c r="C70" s="20" t="s">
        <v>701</v>
      </c>
      <c r="D70" s="141">
        <v>2550000</v>
      </c>
      <c r="E70" s="20" t="s">
        <v>494</v>
      </c>
      <c r="F70" s="20" t="s">
        <v>495</v>
      </c>
      <c r="G70" s="8" t="str">
        <f t="shared" si="1"/>
        <v>BADERTSCHER DIANE</v>
      </c>
    </row>
    <row r="71" spans="1:7" x14ac:dyDescent="0.25">
      <c r="A71" s="8">
        <v>42874.326574074075</v>
      </c>
      <c r="B71" s="20" t="s">
        <v>500</v>
      </c>
      <c r="C71" s="20" t="s">
        <v>701</v>
      </c>
      <c r="D71" s="141">
        <v>2550000</v>
      </c>
      <c r="E71" s="20" t="s">
        <v>494</v>
      </c>
      <c r="F71" s="20" t="s">
        <v>495</v>
      </c>
      <c r="G71" s="8" t="str">
        <f t="shared" si="1"/>
        <v>BADERTSCHER DIANE</v>
      </c>
    </row>
    <row r="72" spans="1:7" x14ac:dyDescent="0.25">
      <c r="A72" s="8">
        <v>42874.331655092596</v>
      </c>
      <c r="B72" s="20" t="s">
        <v>418</v>
      </c>
      <c r="C72" s="20" t="s">
        <v>614</v>
      </c>
      <c r="D72" s="141">
        <v>2560000</v>
      </c>
      <c r="E72" s="20" t="s">
        <v>531</v>
      </c>
      <c r="F72" s="20" t="s">
        <v>377</v>
      </c>
      <c r="G72" s="8" t="str">
        <f t="shared" si="1"/>
        <v>MACDONALD THOMAS</v>
      </c>
    </row>
    <row r="73" spans="1:7" x14ac:dyDescent="0.25">
      <c r="A73" s="8">
        <v>42874.331793981481</v>
      </c>
      <c r="B73" s="20" t="s">
        <v>526</v>
      </c>
      <c r="C73" s="20" t="s">
        <v>613</v>
      </c>
      <c r="D73" s="141">
        <v>1110000</v>
      </c>
      <c r="E73" s="20" t="s">
        <v>453</v>
      </c>
      <c r="F73" s="20" t="s">
        <v>454</v>
      </c>
      <c r="G73" s="8" t="str">
        <f t="shared" si="1"/>
        <v>STARKS ANGELINA</v>
      </c>
    </row>
    <row r="74" spans="1:7" x14ac:dyDescent="0.25">
      <c r="A74" s="8">
        <v>42874.33699074074</v>
      </c>
      <c r="B74" s="20" t="s">
        <v>490</v>
      </c>
      <c r="C74" s="20" t="s">
        <v>702</v>
      </c>
      <c r="D74" s="141">
        <v>1100000</v>
      </c>
      <c r="E74" s="20" t="s">
        <v>497</v>
      </c>
      <c r="F74" s="20" t="s">
        <v>498</v>
      </c>
      <c r="G74" s="8" t="str">
        <f t="shared" si="1"/>
        <v>GEBRETEKLE DAGNEW</v>
      </c>
    </row>
    <row r="75" spans="1:7" x14ac:dyDescent="0.25">
      <c r="A75" s="8">
        <v>42874.339212962965</v>
      </c>
      <c r="B75" s="20" t="s">
        <v>407</v>
      </c>
      <c r="C75" s="20" t="s">
        <v>703</v>
      </c>
      <c r="D75" s="141">
        <v>890000</v>
      </c>
      <c r="E75" s="20" t="s">
        <v>455</v>
      </c>
      <c r="F75" s="20" t="s">
        <v>456</v>
      </c>
      <c r="G75" s="8" t="str">
        <f t="shared" si="1"/>
        <v>LOZA FIDEL</v>
      </c>
    </row>
    <row r="76" spans="1:7" x14ac:dyDescent="0.25">
      <c r="A76" s="8">
        <v>42874.340810185182</v>
      </c>
      <c r="B76" s="20" t="s">
        <v>615</v>
      </c>
      <c r="C76" s="20" t="s">
        <v>616</v>
      </c>
      <c r="D76" s="141">
        <v>1230000</v>
      </c>
      <c r="E76" s="20" t="s">
        <v>651</v>
      </c>
      <c r="F76" s="20" t="s">
        <v>652</v>
      </c>
      <c r="G76" s="8" t="str">
        <f t="shared" si="1"/>
        <v>YANAI IAN</v>
      </c>
    </row>
    <row r="77" spans="1:7" x14ac:dyDescent="0.25">
      <c r="A77" s="8">
        <v>42874.341793981483</v>
      </c>
      <c r="B77" s="20" t="s">
        <v>382</v>
      </c>
      <c r="C77" s="20" t="s">
        <v>704</v>
      </c>
      <c r="D77" s="141">
        <v>900000</v>
      </c>
      <c r="E77" s="20" t="s">
        <v>457</v>
      </c>
      <c r="F77" s="20" t="s">
        <v>458</v>
      </c>
      <c r="G77" s="8" t="str">
        <f t="shared" si="1"/>
        <v>ROCHA YAOTL</v>
      </c>
    </row>
    <row r="78" spans="1:7" x14ac:dyDescent="0.25">
      <c r="A78" s="8">
        <v>42874.350717592592</v>
      </c>
      <c r="B78" s="20" t="s">
        <v>499</v>
      </c>
      <c r="C78" s="20" t="s">
        <v>705</v>
      </c>
      <c r="D78" s="141">
        <v>940000</v>
      </c>
      <c r="E78" s="20" t="s">
        <v>431</v>
      </c>
      <c r="F78" s="20" t="s">
        <v>432</v>
      </c>
      <c r="G78" s="8" t="str">
        <f t="shared" si="1"/>
        <v>BONDS REYNALDO</v>
      </c>
    </row>
    <row r="79" spans="1:7" x14ac:dyDescent="0.25">
      <c r="A79" s="8">
        <v>42874.352407407408</v>
      </c>
      <c r="B79" s="20" t="s">
        <v>429</v>
      </c>
      <c r="C79" s="20" t="s">
        <v>706</v>
      </c>
      <c r="D79" s="141">
        <v>1100000</v>
      </c>
      <c r="E79" s="20" t="s">
        <v>497</v>
      </c>
      <c r="F79" s="20" t="s">
        <v>498</v>
      </c>
      <c r="G79" s="8" t="str">
        <f t="shared" si="1"/>
        <v>GEBRETEKLE DAGNEW</v>
      </c>
    </row>
    <row r="80" spans="1:7" x14ac:dyDescent="0.25">
      <c r="A80" s="8">
        <v>42874.35665509259</v>
      </c>
      <c r="B80" s="20" t="s">
        <v>637</v>
      </c>
      <c r="C80" s="20" t="s">
        <v>707</v>
      </c>
      <c r="D80" s="141">
        <v>2140000</v>
      </c>
      <c r="E80" s="20" t="s">
        <v>529</v>
      </c>
      <c r="F80" s="20" t="s">
        <v>530</v>
      </c>
      <c r="G80" s="8" t="str">
        <f t="shared" si="1"/>
        <v>ROBINSON KADDIBA</v>
      </c>
    </row>
    <row r="81" spans="1:7" x14ac:dyDescent="0.25">
      <c r="A81" s="8">
        <v>42874.358587962961</v>
      </c>
      <c r="B81" s="20" t="s">
        <v>412</v>
      </c>
      <c r="C81" s="20" t="s">
        <v>708</v>
      </c>
      <c r="D81" s="141">
        <v>2560000</v>
      </c>
      <c r="E81" s="20" t="s">
        <v>531</v>
      </c>
      <c r="F81" s="20" t="s">
        <v>377</v>
      </c>
      <c r="G81" s="8" t="str">
        <f t="shared" si="1"/>
        <v>MACDONALD THOMAS</v>
      </c>
    </row>
    <row r="82" spans="1:7" x14ac:dyDescent="0.25">
      <c r="A82" s="8">
        <v>42874.361238425925</v>
      </c>
      <c r="B82" s="20" t="s">
        <v>491</v>
      </c>
      <c r="C82" s="20" t="s">
        <v>709</v>
      </c>
      <c r="D82" s="141">
        <v>2550000</v>
      </c>
      <c r="E82" s="20" t="s">
        <v>494</v>
      </c>
      <c r="F82" s="20" t="s">
        <v>495</v>
      </c>
      <c r="G82" s="8" t="str">
        <f t="shared" si="1"/>
        <v>BADERTSCHER DIANE</v>
      </c>
    </row>
    <row r="83" spans="1:7" x14ac:dyDescent="0.25">
      <c r="A83" s="8">
        <v>42874.368726851855</v>
      </c>
      <c r="B83" s="20" t="s">
        <v>459</v>
      </c>
      <c r="C83" s="20" t="s">
        <v>710</v>
      </c>
      <c r="D83" s="141">
        <v>1340000</v>
      </c>
      <c r="E83" s="20" t="s">
        <v>690</v>
      </c>
      <c r="F83" s="20" t="s">
        <v>691</v>
      </c>
      <c r="G83" s="8" t="str">
        <f t="shared" si="1"/>
        <v>BEAM ROSS</v>
      </c>
    </row>
    <row r="84" spans="1:7" x14ac:dyDescent="0.25">
      <c r="A84" s="8">
        <v>42874.369386574072</v>
      </c>
      <c r="B84" s="20" t="s">
        <v>459</v>
      </c>
      <c r="C84" s="20" t="s">
        <v>710</v>
      </c>
      <c r="D84" s="141">
        <v>1340000</v>
      </c>
      <c r="E84" s="20" t="s">
        <v>690</v>
      </c>
      <c r="F84" s="20" t="s">
        <v>691</v>
      </c>
      <c r="G84" s="8" t="str">
        <f t="shared" si="1"/>
        <v>BEAM ROSS</v>
      </c>
    </row>
    <row r="85" spans="1:7" x14ac:dyDescent="0.25">
      <c r="A85" s="8">
        <v>42874.371319444443</v>
      </c>
      <c r="B85" s="20" t="s">
        <v>525</v>
      </c>
      <c r="C85" s="20" t="s">
        <v>711</v>
      </c>
      <c r="D85" s="141">
        <v>1110000</v>
      </c>
      <c r="E85" s="20" t="s">
        <v>453</v>
      </c>
      <c r="F85" s="20" t="s">
        <v>454</v>
      </c>
      <c r="G85" s="8" t="str">
        <f t="shared" si="1"/>
        <v>STARKS ANGELINA</v>
      </c>
    </row>
    <row r="86" spans="1:7" x14ac:dyDescent="0.25">
      <c r="A86" s="8">
        <v>42874.372546296298</v>
      </c>
      <c r="B86" s="20" t="s">
        <v>460</v>
      </c>
      <c r="C86" s="20" t="s">
        <v>710</v>
      </c>
      <c r="D86" s="141">
        <v>1340000</v>
      </c>
      <c r="E86" s="20" t="s">
        <v>690</v>
      </c>
      <c r="F86" s="20" t="s">
        <v>691</v>
      </c>
      <c r="G86" s="8" t="str">
        <f t="shared" si="1"/>
        <v>BEAM ROSS</v>
      </c>
    </row>
    <row r="87" spans="1:7" x14ac:dyDescent="0.25">
      <c r="A87" s="8">
        <v>42874.372881944444</v>
      </c>
      <c r="B87" s="20" t="s">
        <v>418</v>
      </c>
      <c r="C87" s="20" t="s">
        <v>617</v>
      </c>
      <c r="D87" s="141">
        <v>2560000</v>
      </c>
      <c r="E87" s="20" t="s">
        <v>531</v>
      </c>
      <c r="F87" s="20" t="s">
        <v>377</v>
      </c>
      <c r="G87" s="8" t="str">
        <f t="shared" si="1"/>
        <v>MACDONALD THOMAS</v>
      </c>
    </row>
    <row r="88" spans="1:7" x14ac:dyDescent="0.25">
      <c r="A88" s="8">
        <v>42874.374641203707</v>
      </c>
      <c r="B88" s="20" t="s">
        <v>385</v>
      </c>
      <c r="C88" s="20" t="s">
        <v>618</v>
      </c>
      <c r="D88" s="141">
        <v>900000</v>
      </c>
      <c r="E88" s="20" t="s">
        <v>457</v>
      </c>
      <c r="F88" s="20" t="s">
        <v>458</v>
      </c>
      <c r="G88" s="8" t="str">
        <f t="shared" si="1"/>
        <v>ROCHA YAOTL</v>
      </c>
    </row>
    <row r="89" spans="1:7" x14ac:dyDescent="0.25">
      <c r="A89" s="8">
        <v>42874.378969907404</v>
      </c>
      <c r="B89" s="20" t="s">
        <v>444</v>
      </c>
      <c r="C89" s="20" t="s">
        <v>712</v>
      </c>
      <c r="D89" s="141">
        <v>890000</v>
      </c>
      <c r="E89" s="20" t="s">
        <v>455</v>
      </c>
      <c r="F89" s="20" t="s">
        <v>456</v>
      </c>
      <c r="G89" s="8" t="str">
        <f t="shared" si="1"/>
        <v>LOZA FIDEL</v>
      </c>
    </row>
    <row r="90" spans="1:7" x14ac:dyDescent="0.25">
      <c r="A90" s="8">
        <v>42874.386469907404</v>
      </c>
      <c r="B90" s="20" t="s">
        <v>459</v>
      </c>
      <c r="C90" s="20" t="s">
        <v>619</v>
      </c>
      <c r="D90" s="141">
        <v>1990000</v>
      </c>
      <c r="E90" s="20" t="s">
        <v>654</v>
      </c>
      <c r="F90" s="20" t="s">
        <v>655</v>
      </c>
      <c r="G90" s="8" t="str">
        <f t="shared" si="1"/>
        <v>DAVIS WENDY</v>
      </c>
    </row>
    <row r="91" spans="1:7" x14ac:dyDescent="0.25">
      <c r="A91" s="8">
        <v>42874.38784722222</v>
      </c>
      <c r="B91" s="20" t="s">
        <v>713</v>
      </c>
      <c r="C91" s="20" t="s">
        <v>714</v>
      </c>
      <c r="D91" s="141">
        <v>1290000</v>
      </c>
      <c r="E91" s="20" t="s">
        <v>665</v>
      </c>
      <c r="F91" s="20" t="s">
        <v>666</v>
      </c>
      <c r="G91" s="8" t="str">
        <f t="shared" si="1"/>
        <v>COOLAHAN JOHN</v>
      </c>
    </row>
    <row r="92" spans="1:7" x14ac:dyDescent="0.25">
      <c r="A92" s="8">
        <v>42874.388726851852</v>
      </c>
      <c r="B92" s="20" t="s">
        <v>366</v>
      </c>
      <c r="C92" s="20" t="s">
        <v>715</v>
      </c>
      <c r="D92" s="141">
        <v>1230000</v>
      </c>
      <c r="E92" s="20" t="s">
        <v>651</v>
      </c>
      <c r="F92" s="20" t="s">
        <v>652</v>
      </c>
      <c r="G92" s="8" t="str">
        <f t="shared" si="1"/>
        <v>YANAI IAN</v>
      </c>
    </row>
    <row r="93" spans="1:7" x14ac:dyDescent="0.25">
      <c r="A93" s="8">
        <v>42874.389016203706</v>
      </c>
      <c r="B93" s="20" t="s">
        <v>496</v>
      </c>
      <c r="C93" s="20" t="s">
        <v>621</v>
      </c>
      <c r="D93" s="141">
        <v>940000</v>
      </c>
      <c r="E93" s="20" t="s">
        <v>431</v>
      </c>
      <c r="F93" s="20" t="s">
        <v>432</v>
      </c>
      <c r="G93" s="8" t="str">
        <f t="shared" si="1"/>
        <v>BONDS REYNALDO</v>
      </c>
    </row>
    <row r="94" spans="1:7" x14ac:dyDescent="0.25">
      <c r="A94" s="8">
        <v>42874.391724537039</v>
      </c>
      <c r="B94" s="20" t="s">
        <v>447</v>
      </c>
      <c r="C94" s="20" t="s">
        <v>716</v>
      </c>
      <c r="D94" s="141">
        <v>2140000</v>
      </c>
      <c r="E94" s="20" t="s">
        <v>529</v>
      </c>
      <c r="F94" s="20" t="s">
        <v>530</v>
      </c>
      <c r="G94" s="8" t="str">
        <f t="shared" si="1"/>
        <v>ROBINSON KADDIBA</v>
      </c>
    </row>
    <row r="95" spans="1:7" x14ac:dyDescent="0.25">
      <c r="A95" s="8">
        <v>42874.393333333333</v>
      </c>
      <c r="B95" s="20" t="s">
        <v>603</v>
      </c>
      <c r="C95" s="20" t="s">
        <v>714</v>
      </c>
      <c r="D95" s="141">
        <v>1290000</v>
      </c>
      <c r="E95" s="20" t="s">
        <v>665</v>
      </c>
      <c r="F95" s="20" t="s">
        <v>666</v>
      </c>
      <c r="G95" s="8" t="str">
        <f t="shared" si="1"/>
        <v>COOLAHAN JOHN</v>
      </c>
    </row>
    <row r="96" spans="1:7" x14ac:dyDescent="0.25">
      <c r="A96" s="8">
        <v>42874.397974537038</v>
      </c>
      <c r="B96" s="20" t="s">
        <v>500</v>
      </c>
      <c r="C96" s="20" t="s">
        <v>717</v>
      </c>
      <c r="D96" s="141">
        <v>2550000</v>
      </c>
      <c r="E96" s="20" t="s">
        <v>494</v>
      </c>
      <c r="F96" s="20" t="s">
        <v>495</v>
      </c>
      <c r="G96" s="8" t="str">
        <f t="shared" si="1"/>
        <v>BADERTSCHER DIANE</v>
      </c>
    </row>
    <row r="97" spans="1:7" x14ac:dyDescent="0.25">
      <c r="A97" s="8">
        <v>42874.400439814817</v>
      </c>
      <c r="B97" s="20" t="s">
        <v>412</v>
      </c>
      <c r="C97" s="20" t="s">
        <v>620</v>
      </c>
      <c r="D97" s="141">
        <v>2560000</v>
      </c>
      <c r="E97" s="20" t="s">
        <v>531</v>
      </c>
      <c r="F97" s="20" t="s">
        <v>377</v>
      </c>
      <c r="G97" s="8" t="str">
        <f t="shared" si="1"/>
        <v>MACDONALD THOMAS</v>
      </c>
    </row>
    <row r="98" spans="1:7" x14ac:dyDescent="0.25">
      <c r="A98" s="8">
        <v>42874.401782407411</v>
      </c>
      <c r="B98" s="20" t="s">
        <v>713</v>
      </c>
      <c r="C98" s="20" t="s">
        <v>718</v>
      </c>
      <c r="D98" s="141">
        <v>1100000</v>
      </c>
      <c r="E98" s="20" t="s">
        <v>497</v>
      </c>
      <c r="F98" s="20" t="s">
        <v>498</v>
      </c>
      <c r="G98" s="8" t="str">
        <f t="shared" si="1"/>
        <v>GEBRETEKLE DAGNEW</v>
      </c>
    </row>
    <row r="99" spans="1:7" x14ac:dyDescent="0.25">
      <c r="A99" s="8">
        <v>42874.405706018515</v>
      </c>
      <c r="B99" s="20" t="s">
        <v>492</v>
      </c>
      <c r="C99" s="20" t="s">
        <v>719</v>
      </c>
      <c r="D99" s="141">
        <v>1230000</v>
      </c>
      <c r="E99" s="20" t="s">
        <v>651</v>
      </c>
      <c r="F99" s="20" t="s">
        <v>652</v>
      </c>
      <c r="G99" s="8" t="str">
        <f t="shared" si="1"/>
        <v>YANAI IAN</v>
      </c>
    </row>
    <row r="100" spans="1:7" x14ac:dyDescent="0.25">
      <c r="A100" s="8">
        <v>42874.4140625</v>
      </c>
      <c r="B100" s="20" t="s">
        <v>382</v>
      </c>
      <c r="C100" s="20" t="s">
        <v>720</v>
      </c>
      <c r="D100" s="141">
        <v>900000</v>
      </c>
      <c r="E100" s="20" t="s">
        <v>457</v>
      </c>
      <c r="F100" s="20" t="s">
        <v>458</v>
      </c>
      <c r="G100" s="8" t="str">
        <f t="shared" si="1"/>
        <v>ROCHA YAOTL</v>
      </c>
    </row>
    <row r="101" spans="1:7" x14ac:dyDescent="0.25">
      <c r="A101" s="8">
        <v>42874.414594907408</v>
      </c>
      <c r="B101" s="20" t="s">
        <v>407</v>
      </c>
      <c r="C101" s="20" t="s">
        <v>721</v>
      </c>
      <c r="D101" s="141">
        <v>890000</v>
      </c>
      <c r="E101" s="20" t="s">
        <v>455</v>
      </c>
      <c r="F101" s="20" t="s">
        <v>456</v>
      </c>
      <c r="G101" s="8" t="str">
        <f t="shared" si="1"/>
        <v>LOZA FIDEL</v>
      </c>
    </row>
    <row r="102" spans="1:7" x14ac:dyDescent="0.25">
      <c r="A102" s="8">
        <v>42874.41511574074</v>
      </c>
      <c r="B102" s="20" t="s">
        <v>418</v>
      </c>
      <c r="C102" s="20" t="s">
        <v>623</v>
      </c>
      <c r="D102" s="141">
        <v>2560000</v>
      </c>
      <c r="E102" s="20" t="s">
        <v>531</v>
      </c>
      <c r="F102" s="20" t="s">
        <v>377</v>
      </c>
      <c r="G102" s="8" t="str">
        <f t="shared" si="1"/>
        <v>MACDONALD THOMAS</v>
      </c>
    </row>
    <row r="103" spans="1:7" x14ac:dyDescent="0.25">
      <c r="A103" s="8">
        <v>42874.421759259261</v>
      </c>
      <c r="B103" s="20" t="s">
        <v>460</v>
      </c>
      <c r="C103" s="20" t="s">
        <v>722</v>
      </c>
      <c r="D103" s="141">
        <v>1990000</v>
      </c>
      <c r="E103" s="20" t="s">
        <v>654</v>
      </c>
      <c r="F103" s="20" t="s">
        <v>655</v>
      </c>
      <c r="G103" s="8" t="str">
        <f t="shared" si="1"/>
        <v>DAVIS WENDY</v>
      </c>
    </row>
    <row r="104" spans="1:7" x14ac:dyDescent="0.25">
      <c r="A104" s="8">
        <v>42874.422106481485</v>
      </c>
      <c r="B104" s="20" t="s">
        <v>637</v>
      </c>
      <c r="C104" s="20" t="s">
        <v>723</v>
      </c>
      <c r="D104" s="141">
        <v>2140000</v>
      </c>
      <c r="E104" s="20" t="s">
        <v>529</v>
      </c>
      <c r="F104" s="20" t="s">
        <v>530</v>
      </c>
      <c r="G104" s="8" t="str">
        <f t="shared" si="1"/>
        <v>ROBINSON KADDIBA</v>
      </c>
    </row>
    <row r="105" spans="1:7" x14ac:dyDescent="0.25">
      <c r="A105" s="8">
        <v>42874.424421296295</v>
      </c>
      <c r="B105" s="20" t="s">
        <v>499</v>
      </c>
      <c r="C105" s="20" t="s">
        <v>724</v>
      </c>
      <c r="D105" s="141">
        <v>940000</v>
      </c>
      <c r="E105" s="20" t="s">
        <v>431</v>
      </c>
      <c r="F105" s="20" t="s">
        <v>432</v>
      </c>
      <c r="G105" s="8" t="str">
        <f t="shared" si="1"/>
        <v>BONDS REYNALDO</v>
      </c>
    </row>
    <row r="106" spans="1:7" x14ac:dyDescent="0.25">
      <c r="A106" s="8">
        <v>42874.426296296297</v>
      </c>
      <c r="B106" s="20" t="s">
        <v>527</v>
      </c>
      <c r="C106" s="20" t="s">
        <v>622</v>
      </c>
      <c r="D106" s="141">
        <v>2370000</v>
      </c>
      <c r="E106" s="20" t="s">
        <v>503</v>
      </c>
      <c r="F106" s="20" t="s">
        <v>504</v>
      </c>
      <c r="G106" s="8" t="str">
        <f t="shared" si="1"/>
        <v>DELGADO DIANAH</v>
      </c>
    </row>
    <row r="107" spans="1:7" x14ac:dyDescent="0.25">
      <c r="A107" s="8">
        <v>42874.434895833336</v>
      </c>
      <c r="B107" s="20" t="s">
        <v>491</v>
      </c>
      <c r="C107" s="20" t="s">
        <v>725</v>
      </c>
      <c r="D107" s="141">
        <v>1100000</v>
      </c>
      <c r="E107" s="20" t="s">
        <v>497</v>
      </c>
      <c r="F107" s="20" t="s">
        <v>498</v>
      </c>
      <c r="G107" s="8" t="str">
        <f t="shared" si="1"/>
        <v>GEBRETEKLE DAGNEW</v>
      </c>
    </row>
    <row r="108" spans="1:7" x14ac:dyDescent="0.25">
      <c r="A108" s="8">
        <v>42874.442303240743</v>
      </c>
      <c r="B108" s="20" t="s">
        <v>412</v>
      </c>
      <c r="C108" s="20" t="s">
        <v>726</v>
      </c>
      <c r="D108" s="141">
        <v>2560000</v>
      </c>
      <c r="E108" s="20" t="s">
        <v>531</v>
      </c>
      <c r="F108" s="20" t="s">
        <v>377</v>
      </c>
      <c r="G108" s="8" t="str">
        <f t="shared" si="1"/>
        <v>MACDONALD THOMAS</v>
      </c>
    </row>
    <row r="109" spans="1:7" x14ac:dyDescent="0.25">
      <c r="A109" s="8">
        <v>42874.443935185183</v>
      </c>
      <c r="B109" s="20" t="s">
        <v>603</v>
      </c>
      <c r="C109" s="20" t="s">
        <v>727</v>
      </c>
      <c r="D109" s="141">
        <v>1110000</v>
      </c>
      <c r="E109" s="20" t="s">
        <v>453</v>
      </c>
      <c r="F109" s="20" t="s">
        <v>454</v>
      </c>
      <c r="G109" s="8" t="str">
        <f t="shared" si="1"/>
        <v>STARKS ANGELINA</v>
      </c>
    </row>
    <row r="110" spans="1:7" x14ac:dyDescent="0.25">
      <c r="A110" s="8">
        <v>42874.447592592594</v>
      </c>
      <c r="B110" s="20" t="s">
        <v>385</v>
      </c>
      <c r="C110" s="20" t="s">
        <v>728</v>
      </c>
      <c r="D110" s="141">
        <v>900000</v>
      </c>
      <c r="E110" s="20" t="s">
        <v>457</v>
      </c>
      <c r="F110" s="20" t="s">
        <v>458</v>
      </c>
      <c r="G110" s="8" t="str">
        <f t="shared" si="1"/>
        <v>ROCHA YAOTL</v>
      </c>
    </row>
    <row r="111" spans="1:7" x14ac:dyDescent="0.25">
      <c r="A111" s="8">
        <v>42874.449756944443</v>
      </c>
      <c r="B111" s="20" t="s">
        <v>444</v>
      </c>
      <c r="C111" s="20" t="s">
        <v>729</v>
      </c>
      <c r="D111" s="141">
        <v>890000</v>
      </c>
      <c r="E111" s="20" t="s">
        <v>455</v>
      </c>
      <c r="F111" s="20" t="s">
        <v>456</v>
      </c>
      <c r="G111" s="8" t="str">
        <f t="shared" si="1"/>
        <v>LOZA FIDEL</v>
      </c>
    </row>
    <row r="112" spans="1:7" x14ac:dyDescent="0.25">
      <c r="A112" s="8">
        <v>42874.455393518518</v>
      </c>
      <c r="B112" s="20" t="s">
        <v>459</v>
      </c>
      <c r="C112" s="20" t="s">
        <v>625</v>
      </c>
      <c r="D112" s="141">
        <v>880000</v>
      </c>
      <c r="E112" s="20" t="s">
        <v>730</v>
      </c>
      <c r="F112" s="20" t="s">
        <v>196</v>
      </c>
      <c r="G112" s="8" t="str">
        <f t="shared" si="1"/>
        <v>STEWART MICHAEL</v>
      </c>
    </row>
    <row r="113" spans="1:7" x14ac:dyDescent="0.25">
      <c r="A113" s="8">
        <v>42874.455972222226</v>
      </c>
      <c r="B113" s="20" t="s">
        <v>418</v>
      </c>
      <c r="C113" s="20" t="s">
        <v>624</v>
      </c>
      <c r="D113" s="141">
        <v>2560000</v>
      </c>
      <c r="E113" s="20" t="s">
        <v>531</v>
      </c>
      <c r="F113" s="20" t="s">
        <v>377</v>
      </c>
      <c r="G113" s="8" t="str">
        <f t="shared" si="1"/>
        <v>MACDONALD THOMAS</v>
      </c>
    </row>
    <row r="114" spans="1:7" x14ac:dyDescent="0.25">
      <c r="A114" s="8">
        <v>42874.461226851854</v>
      </c>
      <c r="B114" s="20" t="s">
        <v>496</v>
      </c>
      <c r="C114" s="20" t="s">
        <v>731</v>
      </c>
      <c r="D114" s="141">
        <v>940000</v>
      </c>
      <c r="E114" s="20" t="s">
        <v>431</v>
      </c>
      <c r="F114" s="20" t="s">
        <v>432</v>
      </c>
      <c r="G114" s="8" t="str">
        <f t="shared" si="1"/>
        <v>BONDS REYNALDO</v>
      </c>
    </row>
    <row r="115" spans="1:7" x14ac:dyDescent="0.25">
      <c r="A115" s="8">
        <v>42874.46297453704</v>
      </c>
      <c r="B115" s="20" t="s">
        <v>532</v>
      </c>
      <c r="C115" s="20" t="s">
        <v>732</v>
      </c>
      <c r="D115" s="141">
        <v>1990000</v>
      </c>
      <c r="E115" s="20" t="s">
        <v>654</v>
      </c>
      <c r="F115" s="20" t="s">
        <v>655</v>
      </c>
      <c r="G115" s="8" t="str">
        <f t="shared" si="1"/>
        <v>DAVIS WENDY</v>
      </c>
    </row>
    <row r="116" spans="1:7" x14ac:dyDescent="0.25">
      <c r="A116" s="8">
        <v>42874.463587962964</v>
      </c>
      <c r="B116" s="20" t="s">
        <v>532</v>
      </c>
      <c r="C116" s="20" t="s">
        <v>732</v>
      </c>
      <c r="D116" s="141">
        <v>1990000</v>
      </c>
      <c r="E116" s="20" t="s">
        <v>654</v>
      </c>
      <c r="F116" s="20" t="s">
        <v>655</v>
      </c>
      <c r="G116" s="8" t="str">
        <f t="shared" si="1"/>
        <v>DAVIS WENDY</v>
      </c>
    </row>
    <row r="117" spans="1:7" x14ac:dyDescent="0.25">
      <c r="A117" s="8">
        <v>42874.464305555557</v>
      </c>
      <c r="B117" s="20" t="s">
        <v>532</v>
      </c>
      <c r="C117" s="20" t="s">
        <v>732</v>
      </c>
      <c r="D117" s="141">
        <v>1990000</v>
      </c>
      <c r="E117" s="20" t="s">
        <v>654</v>
      </c>
      <c r="F117" s="20" t="s">
        <v>655</v>
      </c>
      <c r="G117" s="8" t="str">
        <f t="shared" si="1"/>
        <v>DAVIS WENDY</v>
      </c>
    </row>
    <row r="118" spans="1:7" x14ac:dyDescent="0.25">
      <c r="A118" s="8">
        <v>42874.464490740742</v>
      </c>
      <c r="B118" s="20" t="s">
        <v>447</v>
      </c>
      <c r="C118" s="20" t="s">
        <v>733</v>
      </c>
      <c r="D118" s="141">
        <v>2470000</v>
      </c>
      <c r="E118" s="20" t="s">
        <v>734</v>
      </c>
      <c r="F118" s="20" t="s">
        <v>735</v>
      </c>
      <c r="G118" s="8" t="str">
        <f t="shared" si="1"/>
        <v>ROMERO CHAD</v>
      </c>
    </row>
    <row r="119" spans="1:7" x14ac:dyDescent="0.25">
      <c r="A119" s="8">
        <v>42874.470949074072</v>
      </c>
      <c r="B119" s="20" t="s">
        <v>500</v>
      </c>
      <c r="C119" s="20" t="s">
        <v>736</v>
      </c>
      <c r="D119" s="141">
        <v>1100000</v>
      </c>
      <c r="E119" s="20" t="s">
        <v>497</v>
      </c>
      <c r="F119" s="20" t="s">
        <v>498</v>
      </c>
      <c r="G119" s="8" t="str">
        <f t="shared" si="1"/>
        <v>GEBRETEKLE DAGNEW</v>
      </c>
    </row>
    <row r="120" spans="1:7" x14ac:dyDescent="0.25">
      <c r="A120" s="8">
        <v>42874.475162037037</v>
      </c>
      <c r="B120" s="20" t="s">
        <v>713</v>
      </c>
      <c r="C120" s="20" t="s">
        <v>737</v>
      </c>
      <c r="D120" s="141">
        <v>930000</v>
      </c>
      <c r="E120" s="20" t="s">
        <v>434</v>
      </c>
      <c r="F120" s="20" t="s">
        <v>435</v>
      </c>
      <c r="G120" s="8" t="str">
        <f t="shared" si="1"/>
        <v>CLARK KATHLEEN</v>
      </c>
    </row>
    <row r="121" spans="1:7" x14ac:dyDescent="0.25">
      <c r="A121" s="8">
        <v>42874.484444444446</v>
      </c>
      <c r="B121" s="20" t="s">
        <v>412</v>
      </c>
      <c r="C121" s="20" t="s">
        <v>626</v>
      </c>
      <c r="D121" s="141">
        <v>2560000</v>
      </c>
      <c r="E121" s="20" t="s">
        <v>531</v>
      </c>
      <c r="F121" s="20" t="s">
        <v>377</v>
      </c>
      <c r="G121" s="8" t="str">
        <f t="shared" si="1"/>
        <v>MACDONALD THOMAS</v>
      </c>
    </row>
    <row r="122" spans="1:7" x14ac:dyDescent="0.25">
      <c r="A122" s="8">
        <v>42874.48636574074</v>
      </c>
      <c r="B122" s="25" t="s">
        <v>407</v>
      </c>
      <c r="C122" s="20" t="s">
        <v>738</v>
      </c>
      <c r="D122" s="141">
        <v>1770000</v>
      </c>
      <c r="E122" s="20" t="s">
        <v>739</v>
      </c>
      <c r="F122" s="20" t="s">
        <v>740</v>
      </c>
      <c r="G122" s="8" t="str">
        <f t="shared" si="1"/>
        <v>BRUDER RICHARD</v>
      </c>
    </row>
    <row r="123" spans="1:7" x14ac:dyDescent="0.25">
      <c r="A123" s="8">
        <v>42874.486666666664</v>
      </c>
      <c r="B123" s="20" t="s">
        <v>382</v>
      </c>
      <c r="C123" s="20" t="s">
        <v>741</v>
      </c>
      <c r="D123" s="141">
        <v>900000</v>
      </c>
      <c r="E123" s="20" t="s">
        <v>457</v>
      </c>
      <c r="F123" s="20" t="s">
        <v>458</v>
      </c>
      <c r="G123" s="8" t="str">
        <f t="shared" si="1"/>
        <v>ROCHA YAOTL</v>
      </c>
    </row>
    <row r="124" spans="1:7" x14ac:dyDescent="0.25">
      <c r="A124" s="8">
        <v>42874.492951388886</v>
      </c>
      <c r="B124" s="20" t="s">
        <v>460</v>
      </c>
      <c r="C124" s="20" t="s">
        <v>742</v>
      </c>
      <c r="D124" s="141">
        <v>880000</v>
      </c>
      <c r="E124" s="20" t="s">
        <v>730</v>
      </c>
      <c r="F124" s="20" t="s">
        <v>196</v>
      </c>
      <c r="G124" s="8" t="str">
        <f t="shared" si="1"/>
        <v>STEWART MICHAEL</v>
      </c>
    </row>
    <row r="125" spans="1:7" x14ac:dyDescent="0.25">
      <c r="A125" s="8">
        <v>42874.495752314811</v>
      </c>
      <c r="B125" s="20" t="s">
        <v>637</v>
      </c>
      <c r="C125" s="20" t="s">
        <v>743</v>
      </c>
      <c r="D125" s="141">
        <v>2470000</v>
      </c>
      <c r="E125" s="20" t="s">
        <v>734</v>
      </c>
      <c r="F125" s="20" t="s">
        <v>735</v>
      </c>
      <c r="G125" s="8" t="str">
        <f t="shared" si="1"/>
        <v>ROMERO CHAD</v>
      </c>
    </row>
    <row r="126" spans="1:7" x14ac:dyDescent="0.25">
      <c r="A126" s="8">
        <v>42874.497581018521</v>
      </c>
      <c r="B126" s="20" t="s">
        <v>499</v>
      </c>
      <c r="C126" s="20" t="s">
        <v>627</v>
      </c>
      <c r="D126" s="141">
        <v>1540000</v>
      </c>
      <c r="E126" s="20" t="s">
        <v>501</v>
      </c>
      <c r="F126" s="20" t="s">
        <v>502</v>
      </c>
      <c r="G126" s="8" t="str">
        <f t="shared" si="1"/>
        <v>HELVIE ADAM</v>
      </c>
    </row>
    <row r="127" spans="1:7" x14ac:dyDescent="0.25">
      <c r="A127" s="8">
        <v>42874.502210648148</v>
      </c>
      <c r="B127" s="20" t="s">
        <v>418</v>
      </c>
      <c r="C127" s="20" t="s">
        <v>744</v>
      </c>
      <c r="D127" s="141">
        <v>2560000</v>
      </c>
      <c r="E127" s="20" t="s">
        <v>531</v>
      </c>
      <c r="F127" s="20" t="s">
        <v>377</v>
      </c>
      <c r="G127" s="8" t="str">
        <f t="shared" si="1"/>
        <v>MACDONALD THOMAS</v>
      </c>
    </row>
    <row r="128" spans="1:7" x14ac:dyDescent="0.25">
      <c r="A128" s="8">
        <v>42874.50613425926</v>
      </c>
      <c r="B128" s="20" t="s">
        <v>491</v>
      </c>
      <c r="C128" s="20" t="s">
        <v>628</v>
      </c>
      <c r="D128" s="141">
        <v>2360000</v>
      </c>
      <c r="E128" s="20" t="s">
        <v>533</v>
      </c>
      <c r="F128" s="20" t="s">
        <v>534</v>
      </c>
      <c r="G128" s="8" t="str">
        <f t="shared" si="1"/>
        <v>BRANDNER MELINDA</v>
      </c>
    </row>
    <row r="129" spans="1:7" x14ac:dyDescent="0.25">
      <c r="A129" s="8">
        <v>42874.512025462966</v>
      </c>
      <c r="B129" s="20" t="s">
        <v>603</v>
      </c>
      <c r="C129" s="20" t="s">
        <v>745</v>
      </c>
      <c r="D129" s="141">
        <v>930000</v>
      </c>
      <c r="E129" s="20" t="s">
        <v>434</v>
      </c>
      <c r="F129" s="20" t="s">
        <v>435</v>
      </c>
      <c r="G129" s="8" t="str">
        <f t="shared" si="1"/>
        <v>CLARK KATHLEEN</v>
      </c>
    </row>
    <row r="130" spans="1:7" x14ac:dyDescent="0.25">
      <c r="A130" s="8">
        <v>42874.516180555554</v>
      </c>
      <c r="B130" s="20" t="s">
        <v>385</v>
      </c>
      <c r="C130" s="20" t="s">
        <v>746</v>
      </c>
      <c r="D130" s="141">
        <v>2040000</v>
      </c>
      <c r="E130" s="20" t="s">
        <v>535</v>
      </c>
      <c r="F130" s="20" t="s">
        <v>536</v>
      </c>
      <c r="G130" s="8" t="str">
        <f t="shared" si="1"/>
        <v>MOSES BRADLEY</v>
      </c>
    </row>
    <row r="131" spans="1:7" x14ac:dyDescent="0.25">
      <c r="A131" s="8">
        <v>42874.525034722225</v>
      </c>
      <c r="B131" s="20" t="s">
        <v>412</v>
      </c>
      <c r="C131" s="20" t="s">
        <v>629</v>
      </c>
      <c r="D131" s="141">
        <v>2560000</v>
      </c>
      <c r="E131" s="20" t="s">
        <v>531</v>
      </c>
      <c r="F131" s="20" t="s">
        <v>377</v>
      </c>
      <c r="G131" s="8" t="str">
        <f t="shared" ref="G131:G194" si="2">E131&amp;" "&amp;F131</f>
        <v>MACDONALD THOMAS</v>
      </c>
    </row>
    <row r="132" spans="1:7" x14ac:dyDescent="0.25">
      <c r="A132" s="8">
        <v>42874.52548611111</v>
      </c>
      <c r="B132" s="20" t="s">
        <v>444</v>
      </c>
      <c r="C132" s="20" t="s">
        <v>747</v>
      </c>
      <c r="D132" s="141">
        <v>1770000</v>
      </c>
      <c r="E132" s="20" t="s">
        <v>739</v>
      </c>
      <c r="F132" s="20" t="s">
        <v>740</v>
      </c>
      <c r="G132" s="8" t="str">
        <f t="shared" si="2"/>
        <v>BRUDER RICHARD</v>
      </c>
    </row>
    <row r="133" spans="1:7" x14ac:dyDescent="0.25">
      <c r="A133" s="8">
        <v>42874.528599537036</v>
      </c>
      <c r="B133" s="20" t="s">
        <v>459</v>
      </c>
      <c r="C133" s="20" t="s">
        <v>630</v>
      </c>
      <c r="D133" s="141">
        <v>880000</v>
      </c>
      <c r="E133" s="20" t="s">
        <v>730</v>
      </c>
      <c r="F133" s="20" t="s">
        <v>196</v>
      </c>
      <c r="G133" s="8" t="str">
        <f t="shared" si="2"/>
        <v>STEWART MICHAEL</v>
      </c>
    </row>
    <row r="134" spans="1:7" x14ac:dyDescent="0.25">
      <c r="A134" s="8">
        <v>42874.535509259258</v>
      </c>
      <c r="B134" s="20" t="s">
        <v>447</v>
      </c>
      <c r="C134" s="20" t="s">
        <v>748</v>
      </c>
      <c r="D134" s="141">
        <v>2470000</v>
      </c>
      <c r="E134" s="20" t="s">
        <v>734</v>
      </c>
      <c r="F134" s="20" t="s">
        <v>735</v>
      </c>
      <c r="G134" s="8" t="str">
        <f t="shared" si="2"/>
        <v>ROMERO CHAD</v>
      </c>
    </row>
    <row r="135" spans="1:7" x14ac:dyDescent="0.25">
      <c r="A135" s="8">
        <v>42874.53702546296</v>
      </c>
      <c r="B135" s="20" t="s">
        <v>496</v>
      </c>
      <c r="C135" s="20" t="s">
        <v>749</v>
      </c>
      <c r="D135" s="141">
        <v>1540000</v>
      </c>
      <c r="E135" s="20" t="s">
        <v>501</v>
      </c>
      <c r="F135" s="20" t="s">
        <v>502</v>
      </c>
      <c r="G135" s="8" t="str">
        <f t="shared" si="2"/>
        <v>HELVIE ADAM</v>
      </c>
    </row>
    <row r="136" spans="1:7" x14ac:dyDescent="0.25">
      <c r="A136" s="8">
        <v>42874.546863425923</v>
      </c>
      <c r="B136" s="20" t="s">
        <v>500</v>
      </c>
      <c r="C136" s="20" t="s">
        <v>631</v>
      </c>
      <c r="D136" s="141">
        <v>2360000</v>
      </c>
      <c r="E136" s="20" t="s">
        <v>533</v>
      </c>
      <c r="F136" s="20" t="s">
        <v>534</v>
      </c>
      <c r="G136" s="8" t="str">
        <f t="shared" si="2"/>
        <v>BRANDNER MELINDA</v>
      </c>
    </row>
    <row r="137" spans="1:7" x14ac:dyDescent="0.25">
      <c r="A137" s="8">
        <v>42874.547650462962</v>
      </c>
      <c r="B137" s="20" t="s">
        <v>418</v>
      </c>
      <c r="C137" s="20" t="s">
        <v>750</v>
      </c>
      <c r="D137" s="141">
        <v>3030000</v>
      </c>
      <c r="E137" s="20" t="s">
        <v>394</v>
      </c>
      <c r="F137" s="20" t="s">
        <v>377</v>
      </c>
      <c r="G137" s="8" t="str">
        <f t="shared" si="2"/>
        <v>BIRENBAUM THOMAS</v>
      </c>
    </row>
    <row r="138" spans="1:7" x14ac:dyDescent="0.25">
      <c r="A138" s="8">
        <v>42874.549421296295</v>
      </c>
      <c r="B138" s="20" t="s">
        <v>713</v>
      </c>
      <c r="C138" s="20" t="s">
        <v>751</v>
      </c>
      <c r="D138" s="141">
        <v>930000</v>
      </c>
      <c r="E138" s="20" t="s">
        <v>434</v>
      </c>
      <c r="F138" s="20" t="s">
        <v>435</v>
      </c>
      <c r="G138" s="8" t="str">
        <f t="shared" si="2"/>
        <v>CLARK KATHLEEN</v>
      </c>
    </row>
    <row r="139" spans="1:7" x14ac:dyDescent="0.25">
      <c r="A139" s="8">
        <v>42874.556539351855</v>
      </c>
      <c r="B139" s="20" t="s">
        <v>382</v>
      </c>
      <c r="C139" s="20" t="s">
        <v>752</v>
      </c>
      <c r="D139" s="141">
        <v>2040000</v>
      </c>
      <c r="E139" s="20" t="s">
        <v>535</v>
      </c>
      <c r="F139" s="20" t="s">
        <v>536</v>
      </c>
      <c r="G139" s="8" t="str">
        <f t="shared" si="2"/>
        <v>MOSES BRADLEY</v>
      </c>
    </row>
    <row r="140" spans="1:7" x14ac:dyDescent="0.25">
      <c r="A140" s="8">
        <v>42874.55841435185</v>
      </c>
      <c r="B140" s="20" t="s">
        <v>407</v>
      </c>
      <c r="C140" s="20" t="s">
        <v>753</v>
      </c>
      <c r="D140" s="141">
        <v>1770000</v>
      </c>
      <c r="E140" s="20" t="s">
        <v>739</v>
      </c>
      <c r="F140" s="20" t="s">
        <v>740</v>
      </c>
      <c r="G140" s="8" t="str">
        <f t="shared" si="2"/>
        <v>BRUDER RICHARD</v>
      </c>
    </row>
    <row r="141" spans="1:7" x14ac:dyDescent="0.25">
      <c r="A141" s="8">
        <v>42874.566736111112</v>
      </c>
      <c r="B141" s="20" t="s">
        <v>412</v>
      </c>
      <c r="C141" s="20" t="s">
        <v>754</v>
      </c>
      <c r="D141" s="141">
        <v>3030000</v>
      </c>
      <c r="E141" s="20" t="s">
        <v>394</v>
      </c>
      <c r="F141" s="20" t="s">
        <v>377</v>
      </c>
      <c r="G141" s="8" t="str">
        <f t="shared" si="2"/>
        <v>BIRENBAUM THOMAS</v>
      </c>
    </row>
    <row r="142" spans="1:7" x14ac:dyDescent="0.25">
      <c r="A142" s="8">
        <v>42874.567280092589</v>
      </c>
      <c r="B142" s="20" t="s">
        <v>460</v>
      </c>
      <c r="C142" s="20" t="s">
        <v>633</v>
      </c>
      <c r="D142" s="141">
        <v>880000</v>
      </c>
      <c r="E142" s="20" t="s">
        <v>730</v>
      </c>
      <c r="F142" s="20" t="s">
        <v>196</v>
      </c>
      <c r="G142" s="8" t="str">
        <f t="shared" si="2"/>
        <v>STEWART MICHAEL</v>
      </c>
    </row>
    <row r="143" spans="1:7" x14ac:dyDescent="0.25">
      <c r="A143" s="8">
        <v>42874.56832175926</v>
      </c>
      <c r="B143" s="20" t="s">
        <v>637</v>
      </c>
      <c r="C143" s="20" t="s">
        <v>755</v>
      </c>
      <c r="D143" s="141">
        <v>2470000</v>
      </c>
      <c r="E143" s="20" t="s">
        <v>734</v>
      </c>
      <c r="F143" s="20" t="s">
        <v>735</v>
      </c>
      <c r="G143" s="8" t="str">
        <f t="shared" si="2"/>
        <v>ROMERO CHAD</v>
      </c>
    </row>
    <row r="144" spans="1:7" x14ac:dyDescent="0.25">
      <c r="A144" s="8">
        <v>42874.571793981479</v>
      </c>
      <c r="B144" s="20" t="s">
        <v>499</v>
      </c>
      <c r="C144" s="20" t="s">
        <v>632</v>
      </c>
      <c r="D144" s="141">
        <v>1540000</v>
      </c>
      <c r="E144" s="20" t="s">
        <v>501</v>
      </c>
      <c r="F144" s="20" t="s">
        <v>502</v>
      </c>
      <c r="G144" s="8" t="str">
        <f t="shared" si="2"/>
        <v>HELVIE ADAM</v>
      </c>
    </row>
    <row r="145" spans="1:7" x14ac:dyDescent="0.25">
      <c r="A145" s="8">
        <v>42874.579826388886</v>
      </c>
      <c r="B145" s="20" t="s">
        <v>491</v>
      </c>
      <c r="C145" s="20" t="s">
        <v>634</v>
      </c>
      <c r="D145" s="141">
        <v>2360000</v>
      </c>
      <c r="E145" s="20" t="s">
        <v>533</v>
      </c>
      <c r="F145" s="20" t="s">
        <v>534</v>
      </c>
      <c r="G145" s="8" t="str">
        <f t="shared" si="2"/>
        <v>BRANDNER MELINDA</v>
      </c>
    </row>
    <row r="146" spans="1:7" x14ac:dyDescent="0.25">
      <c r="A146" s="8">
        <v>42874.586296296293</v>
      </c>
      <c r="B146" s="20" t="s">
        <v>603</v>
      </c>
      <c r="C146" s="20" t="s">
        <v>756</v>
      </c>
      <c r="D146" s="141">
        <v>930000</v>
      </c>
      <c r="E146" s="20" t="s">
        <v>434</v>
      </c>
      <c r="F146" s="20" t="s">
        <v>435</v>
      </c>
      <c r="G146" s="8" t="str">
        <f t="shared" si="2"/>
        <v>CLARK KATHLEEN</v>
      </c>
    </row>
    <row r="147" spans="1:7" x14ac:dyDescent="0.25">
      <c r="A147" s="8">
        <v>42874.59103009259</v>
      </c>
      <c r="B147" s="20" t="s">
        <v>385</v>
      </c>
      <c r="C147" s="20" t="s">
        <v>757</v>
      </c>
      <c r="D147" s="141">
        <v>2040000</v>
      </c>
      <c r="E147" s="20" t="s">
        <v>535</v>
      </c>
      <c r="F147" s="20" t="s">
        <v>536</v>
      </c>
      <c r="G147" s="8" t="str">
        <f t="shared" si="2"/>
        <v>MOSES BRADLEY</v>
      </c>
    </row>
    <row r="148" spans="1:7" x14ac:dyDescent="0.25">
      <c r="A148" s="8">
        <v>42874.592569444445</v>
      </c>
      <c r="B148" s="20" t="s">
        <v>418</v>
      </c>
      <c r="C148" s="20" t="s">
        <v>758</v>
      </c>
      <c r="D148" s="141">
        <v>3030000</v>
      </c>
      <c r="E148" s="20" t="s">
        <v>394</v>
      </c>
      <c r="F148" s="20" t="s">
        <v>377</v>
      </c>
      <c r="G148" s="8" t="str">
        <f t="shared" si="2"/>
        <v>BIRENBAUM THOMAS</v>
      </c>
    </row>
    <row r="149" spans="1:7" x14ac:dyDescent="0.25">
      <c r="A149" s="8">
        <v>42874.59746527778</v>
      </c>
      <c r="B149" s="20" t="s">
        <v>444</v>
      </c>
      <c r="C149" s="20" t="s">
        <v>759</v>
      </c>
      <c r="D149" s="141">
        <v>1770000</v>
      </c>
      <c r="E149" s="20" t="s">
        <v>739</v>
      </c>
      <c r="F149" s="20" t="s">
        <v>740</v>
      </c>
      <c r="G149" s="8" t="str">
        <f t="shared" si="2"/>
        <v>BRUDER RICHARD</v>
      </c>
    </row>
    <row r="150" spans="1:7" x14ac:dyDescent="0.25">
      <c r="A150" s="8">
        <v>42874.601041666669</v>
      </c>
      <c r="B150" s="20" t="s">
        <v>459</v>
      </c>
      <c r="C150" s="20" t="s">
        <v>760</v>
      </c>
      <c r="D150" s="141">
        <v>880000</v>
      </c>
      <c r="E150" s="20" t="s">
        <v>730</v>
      </c>
      <c r="F150" s="20" t="s">
        <v>196</v>
      </c>
      <c r="G150" s="8" t="str">
        <f t="shared" si="2"/>
        <v>STEWART MICHAEL</v>
      </c>
    </row>
    <row r="151" spans="1:7" x14ac:dyDescent="0.25">
      <c r="A151" s="8">
        <v>42874.608101851853</v>
      </c>
      <c r="B151" s="20" t="s">
        <v>412</v>
      </c>
      <c r="C151" s="20" t="s">
        <v>761</v>
      </c>
      <c r="D151" s="141">
        <v>3030000</v>
      </c>
      <c r="E151" s="20" t="s">
        <v>394</v>
      </c>
      <c r="F151" s="20" t="s">
        <v>377</v>
      </c>
      <c r="G151" s="8" t="str">
        <f t="shared" si="2"/>
        <v>BIRENBAUM THOMAS</v>
      </c>
    </row>
    <row r="152" spans="1:7" x14ac:dyDescent="0.25">
      <c r="A152" s="8">
        <v>42874.608796296299</v>
      </c>
      <c r="B152" s="20" t="s">
        <v>447</v>
      </c>
      <c r="C152" s="20" t="s">
        <v>762</v>
      </c>
      <c r="D152" s="141">
        <v>2370000</v>
      </c>
      <c r="E152" s="20" t="s">
        <v>503</v>
      </c>
      <c r="F152" s="20" t="s">
        <v>504</v>
      </c>
      <c r="G152" s="8" t="str">
        <f t="shared" si="2"/>
        <v>DELGADO DIANAH</v>
      </c>
    </row>
    <row r="153" spans="1:7" x14ac:dyDescent="0.25">
      <c r="A153" s="8">
        <v>42874.609803240739</v>
      </c>
      <c r="B153" s="20" t="s">
        <v>496</v>
      </c>
      <c r="C153" s="20" t="s">
        <v>763</v>
      </c>
      <c r="D153" s="141">
        <v>1540000</v>
      </c>
      <c r="E153" s="20" t="s">
        <v>501</v>
      </c>
      <c r="F153" s="20" t="s">
        <v>502</v>
      </c>
      <c r="G153" s="8" t="str">
        <f t="shared" si="2"/>
        <v>HELVIE ADAM</v>
      </c>
    </row>
    <row r="154" spans="1:7" x14ac:dyDescent="0.25">
      <c r="A154" s="8">
        <v>42874.61922453704</v>
      </c>
      <c r="B154" s="20" t="s">
        <v>500</v>
      </c>
      <c r="C154" s="20" t="s">
        <v>764</v>
      </c>
      <c r="D154" s="141">
        <v>2360000</v>
      </c>
      <c r="E154" s="20" t="s">
        <v>533</v>
      </c>
      <c r="F154" s="20" t="s">
        <v>534</v>
      </c>
      <c r="G154" s="8" t="str">
        <f t="shared" si="2"/>
        <v>BRANDNER MELINDA</v>
      </c>
    </row>
    <row r="155" spans="1:7" x14ac:dyDescent="0.25">
      <c r="A155" s="8">
        <v>42874.621898148151</v>
      </c>
      <c r="B155" s="20" t="s">
        <v>713</v>
      </c>
      <c r="C155" s="20" t="s">
        <v>765</v>
      </c>
      <c r="D155" s="141">
        <v>930000</v>
      </c>
      <c r="E155" s="20" t="s">
        <v>434</v>
      </c>
      <c r="F155" s="20" t="s">
        <v>435</v>
      </c>
      <c r="G155" s="8" t="str">
        <f t="shared" si="2"/>
        <v>CLARK KATHLEEN</v>
      </c>
    </row>
    <row r="156" spans="1:7" x14ac:dyDescent="0.25">
      <c r="A156" s="8">
        <v>42874.62568287037</v>
      </c>
      <c r="B156" s="20" t="s">
        <v>382</v>
      </c>
      <c r="C156" s="20" t="s">
        <v>766</v>
      </c>
      <c r="D156" s="141">
        <v>2040000</v>
      </c>
      <c r="E156" s="20" t="s">
        <v>535</v>
      </c>
      <c r="F156" s="20" t="s">
        <v>536</v>
      </c>
      <c r="G156" s="8" t="str">
        <f t="shared" si="2"/>
        <v>MOSES BRADLEY</v>
      </c>
    </row>
    <row r="157" spans="1:7" x14ac:dyDescent="0.25">
      <c r="A157" s="8">
        <v>42874.631354166668</v>
      </c>
      <c r="B157" s="20" t="s">
        <v>407</v>
      </c>
      <c r="C157" s="20" t="s">
        <v>767</v>
      </c>
      <c r="D157" s="141">
        <v>1770000</v>
      </c>
      <c r="E157" s="20" t="s">
        <v>739</v>
      </c>
      <c r="F157" s="20" t="s">
        <v>740</v>
      </c>
      <c r="G157" s="8" t="str">
        <f t="shared" si="2"/>
        <v>BRUDER RICHARD</v>
      </c>
    </row>
    <row r="158" spans="1:7" x14ac:dyDescent="0.25">
      <c r="A158" s="8">
        <v>42874.634525462963</v>
      </c>
      <c r="B158" s="20" t="s">
        <v>418</v>
      </c>
      <c r="C158" s="20" t="s">
        <v>768</v>
      </c>
      <c r="D158" s="141">
        <v>3030000</v>
      </c>
      <c r="E158" s="20" t="s">
        <v>394</v>
      </c>
      <c r="F158" s="20" t="s">
        <v>377</v>
      </c>
      <c r="G158" s="8" t="str">
        <f t="shared" si="2"/>
        <v>BIRENBAUM THOMAS</v>
      </c>
    </row>
    <row r="159" spans="1:7" x14ac:dyDescent="0.25">
      <c r="A159" s="8">
        <v>42874.640451388892</v>
      </c>
      <c r="B159" s="20" t="s">
        <v>460</v>
      </c>
      <c r="C159" s="20" t="s">
        <v>769</v>
      </c>
      <c r="D159" s="141">
        <v>880000</v>
      </c>
      <c r="E159" s="20" t="s">
        <v>730</v>
      </c>
      <c r="F159" s="20" t="s">
        <v>196</v>
      </c>
      <c r="G159" s="8" t="str">
        <f t="shared" si="2"/>
        <v>STEWART MICHAEL</v>
      </c>
    </row>
    <row r="160" spans="1:7" x14ac:dyDescent="0.25">
      <c r="A160" s="8">
        <v>42874.643275462964</v>
      </c>
      <c r="B160" s="20" t="s">
        <v>490</v>
      </c>
      <c r="C160" s="20" t="s">
        <v>770</v>
      </c>
      <c r="D160" s="141">
        <v>3130000</v>
      </c>
      <c r="E160" s="20" t="s">
        <v>397</v>
      </c>
      <c r="F160" s="20" t="s">
        <v>398</v>
      </c>
      <c r="G160" s="8" t="str">
        <f t="shared" si="2"/>
        <v>ZEWDU DEREJE</v>
      </c>
    </row>
    <row r="161" spans="1:7" x14ac:dyDescent="0.25">
      <c r="A161" s="8">
        <v>42874.645439814813</v>
      </c>
      <c r="B161" s="20" t="s">
        <v>499</v>
      </c>
      <c r="C161" s="20" t="s">
        <v>771</v>
      </c>
      <c r="D161" s="141">
        <v>1540000</v>
      </c>
      <c r="E161" s="20" t="s">
        <v>501</v>
      </c>
      <c r="F161" s="20" t="s">
        <v>502</v>
      </c>
      <c r="G161" s="8" t="str">
        <f t="shared" si="2"/>
        <v>HELVIE ADAM</v>
      </c>
    </row>
    <row r="162" spans="1:7" x14ac:dyDescent="0.25">
      <c r="A162" s="8">
        <v>42874.648715277777</v>
      </c>
      <c r="B162" s="20" t="s">
        <v>637</v>
      </c>
      <c r="C162" s="20" t="s">
        <v>772</v>
      </c>
      <c r="D162" s="141">
        <v>2370000</v>
      </c>
      <c r="E162" s="20" t="s">
        <v>503</v>
      </c>
      <c r="F162" s="20" t="s">
        <v>504</v>
      </c>
      <c r="G162" s="8" t="str">
        <f t="shared" si="2"/>
        <v>DELGADO DIANAH</v>
      </c>
    </row>
    <row r="163" spans="1:7" x14ac:dyDescent="0.25">
      <c r="A163" s="8">
        <v>42874.649699074071</v>
      </c>
      <c r="B163" s="20" t="s">
        <v>412</v>
      </c>
      <c r="C163" s="20" t="s">
        <v>773</v>
      </c>
      <c r="D163" s="141">
        <v>3030000</v>
      </c>
      <c r="E163" s="20" t="s">
        <v>394</v>
      </c>
      <c r="F163" s="20" t="s">
        <v>377</v>
      </c>
      <c r="G163" s="8" t="str">
        <f t="shared" si="2"/>
        <v>BIRENBAUM THOMAS</v>
      </c>
    </row>
    <row r="164" spans="1:7" x14ac:dyDescent="0.25">
      <c r="A164" s="8">
        <v>42874.653240740743</v>
      </c>
      <c r="B164" s="20" t="s">
        <v>491</v>
      </c>
      <c r="C164" s="20" t="s">
        <v>774</v>
      </c>
      <c r="D164" s="141">
        <v>2360000</v>
      </c>
      <c r="E164" s="20" t="s">
        <v>533</v>
      </c>
      <c r="F164" s="20" t="s">
        <v>534</v>
      </c>
      <c r="G164" s="8" t="str">
        <f t="shared" si="2"/>
        <v>BRANDNER MELINDA</v>
      </c>
    </row>
    <row r="165" spans="1:7" x14ac:dyDescent="0.25">
      <c r="A165" s="8">
        <v>42874.653923611113</v>
      </c>
      <c r="B165" s="20" t="s">
        <v>429</v>
      </c>
      <c r="C165" s="20" t="s">
        <v>775</v>
      </c>
      <c r="D165" s="141">
        <v>3130000</v>
      </c>
      <c r="E165" s="20" t="s">
        <v>397</v>
      </c>
      <c r="F165" s="20" t="s">
        <v>398</v>
      </c>
      <c r="G165" s="8" t="str">
        <f t="shared" si="2"/>
        <v>ZEWDU DEREJE</v>
      </c>
    </row>
    <row r="166" spans="1:7" x14ac:dyDescent="0.25">
      <c r="A166" s="8">
        <v>42874.657870370371</v>
      </c>
      <c r="B166" s="20" t="s">
        <v>603</v>
      </c>
      <c r="C166" s="20" t="s">
        <v>776</v>
      </c>
      <c r="D166" s="141">
        <v>930000</v>
      </c>
      <c r="E166" s="20" t="s">
        <v>434</v>
      </c>
      <c r="F166" s="20" t="s">
        <v>435</v>
      </c>
      <c r="G166" s="8" t="str">
        <f t="shared" si="2"/>
        <v>CLARK KATHLEEN</v>
      </c>
    </row>
    <row r="167" spans="1:7" x14ac:dyDescent="0.25">
      <c r="A167" s="8">
        <v>42874.663773148146</v>
      </c>
      <c r="B167" s="20" t="s">
        <v>385</v>
      </c>
      <c r="C167" s="20" t="s">
        <v>777</v>
      </c>
      <c r="D167" s="141">
        <v>2040000</v>
      </c>
      <c r="E167" s="20" t="s">
        <v>535</v>
      </c>
      <c r="F167" s="20" t="s">
        <v>536</v>
      </c>
      <c r="G167" s="8" t="str">
        <f t="shared" si="2"/>
        <v>MOSES BRADLEY</v>
      </c>
    </row>
    <row r="168" spans="1:7" x14ac:dyDescent="0.25">
      <c r="A168" s="8">
        <v>42874.670034722221</v>
      </c>
      <c r="B168" s="20" t="s">
        <v>444</v>
      </c>
      <c r="C168" s="20" t="s">
        <v>778</v>
      </c>
      <c r="D168" s="141">
        <v>1770000</v>
      </c>
      <c r="E168" s="20" t="s">
        <v>739</v>
      </c>
      <c r="F168" s="20" t="s">
        <v>740</v>
      </c>
      <c r="G168" s="8" t="str">
        <f t="shared" si="2"/>
        <v>BRUDER RICHARD</v>
      </c>
    </row>
    <row r="169" spans="1:7" x14ac:dyDescent="0.25">
      <c r="A169" s="8">
        <v>42874.672222222223</v>
      </c>
      <c r="B169" s="20" t="s">
        <v>490</v>
      </c>
      <c r="C169" s="20" t="s">
        <v>779</v>
      </c>
      <c r="D169" s="141">
        <v>3130000</v>
      </c>
      <c r="E169" s="20" t="s">
        <v>397</v>
      </c>
      <c r="F169" s="20" t="s">
        <v>398</v>
      </c>
      <c r="G169" s="8" t="str">
        <f t="shared" si="2"/>
        <v>ZEWDU DEREJE</v>
      </c>
    </row>
    <row r="170" spans="1:7" x14ac:dyDescent="0.25">
      <c r="A170" s="8">
        <v>42874.673483796294</v>
      </c>
      <c r="B170" s="20" t="s">
        <v>459</v>
      </c>
      <c r="C170" s="20" t="s">
        <v>780</v>
      </c>
      <c r="D170" s="141">
        <v>880000</v>
      </c>
      <c r="E170" s="20" t="s">
        <v>730</v>
      </c>
      <c r="F170" s="20" t="s">
        <v>196</v>
      </c>
      <c r="G170" s="8" t="str">
        <f t="shared" si="2"/>
        <v>STEWART MICHAEL</v>
      </c>
    </row>
    <row r="171" spans="1:7" x14ac:dyDescent="0.25">
      <c r="A171" s="8">
        <v>42874.677314814813</v>
      </c>
      <c r="B171" s="20" t="s">
        <v>418</v>
      </c>
      <c r="C171" s="20" t="s">
        <v>781</v>
      </c>
      <c r="D171" s="141">
        <v>3030000</v>
      </c>
      <c r="E171" s="20" t="s">
        <v>394</v>
      </c>
      <c r="F171" s="20" t="s">
        <v>377</v>
      </c>
      <c r="G171" s="8" t="str">
        <f t="shared" si="2"/>
        <v>BIRENBAUM THOMAS</v>
      </c>
    </row>
    <row r="172" spans="1:7" x14ac:dyDescent="0.25">
      <c r="A172" s="8">
        <v>42874.683020833334</v>
      </c>
      <c r="B172" s="20" t="s">
        <v>447</v>
      </c>
      <c r="C172" s="20" t="s">
        <v>782</v>
      </c>
      <c r="D172" s="141">
        <v>2470000</v>
      </c>
      <c r="E172" s="20" t="s">
        <v>734</v>
      </c>
      <c r="F172" s="20" t="s">
        <v>735</v>
      </c>
      <c r="G172" s="8" t="str">
        <f t="shared" si="2"/>
        <v>ROMERO CHAD</v>
      </c>
    </row>
    <row r="173" spans="1:7" x14ac:dyDescent="0.25">
      <c r="A173" s="8">
        <v>42874.683969907404</v>
      </c>
      <c r="B173" s="20" t="s">
        <v>496</v>
      </c>
      <c r="C173" s="20" t="s">
        <v>783</v>
      </c>
      <c r="D173" s="141">
        <v>1540000</v>
      </c>
      <c r="E173" s="20" t="s">
        <v>501</v>
      </c>
      <c r="F173" s="20" t="s">
        <v>502</v>
      </c>
      <c r="G173" s="8" t="str">
        <f t="shared" si="2"/>
        <v>HELVIE ADAM</v>
      </c>
    </row>
    <row r="174" spans="1:7" x14ac:dyDescent="0.25">
      <c r="A174" s="8">
        <v>42874.686678240738</v>
      </c>
      <c r="B174" s="20" t="s">
        <v>429</v>
      </c>
      <c r="C174" s="20" t="s">
        <v>784</v>
      </c>
      <c r="D174" s="141">
        <v>3130000</v>
      </c>
      <c r="E174" s="20" t="s">
        <v>397</v>
      </c>
      <c r="F174" s="20" t="s">
        <v>398</v>
      </c>
      <c r="G174" s="8" t="str">
        <f t="shared" si="2"/>
        <v>ZEWDU DEREJE</v>
      </c>
    </row>
    <row r="175" spans="1:7" x14ac:dyDescent="0.25">
      <c r="A175" s="8">
        <v>42874.691701388889</v>
      </c>
      <c r="B175" s="20" t="s">
        <v>412</v>
      </c>
      <c r="C175" s="20" t="s">
        <v>785</v>
      </c>
      <c r="D175" s="141">
        <v>3030000</v>
      </c>
      <c r="E175" s="20" t="s">
        <v>394</v>
      </c>
      <c r="F175" s="20" t="s">
        <v>377</v>
      </c>
      <c r="G175" s="8" t="str">
        <f t="shared" si="2"/>
        <v>BIRENBAUM THOMAS</v>
      </c>
    </row>
    <row r="176" spans="1:7" x14ac:dyDescent="0.25">
      <c r="A176" s="8">
        <v>42874.692326388889</v>
      </c>
      <c r="B176" s="20" t="s">
        <v>500</v>
      </c>
      <c r="C176" s="20" t="s">
        <v>786</v>
      </c>
      <c r="D176" s="141">
        <v>2360000</v>
      </c>
      <c r="E176" s="20" t="s">
        <v>533</v>
      </c>
      <c r="F176" s="20" t="s">
        <v>534</v>
      </c>
      <c r="G176" s="8" t="str">
        <f t="shared" si="2"/>
        <v>BRANDNER MELINDA</v>
      </c>
    </row>
    <row r="177" spans="1:7" x14ac:dyDescent="0.25">
      <c r="A177" s="8">
        <v>42874.6955787037</v>
      </c>
      <c r="B177" s="20" t="s">
        <v>429</v>
      </c>
      <c r="C177" s="20" t="s">
        <v>784</v>
      </c>
      <c r="D177" s="141">
        <v>0</v>
      </c>
      <c r="E177" s="20" t="s">
        <v>787</v>
      </c>
      <c r="F177" s="20" t="s">
        <v>411</v>
      </c>
      <c r="G177" s="8" t="str">
        <f t="shared" si="2"/>
        <v>HAUSER FRANK</v>
      </c>
    </row>
    <row r="178" spans="1:7" x14ac:dyDescent="0.25">
      <c r="A178" s="8">
        <v>42874.696006944447</v>
      </c>
      <c r="B178" s="20" t="s">
        <v>713</v>
      </c>
      <c r="C178" s="20" t="s">
        <v>788</v>
      </c>
      <c r="D178" s="141">
        <v>930000</v>
      </c>
      <c r="E178" s="20" t="s">
        <v>434</v>
      </c>
      <c r="F178" s="20" t="s">
        <v>435</v>
      </c>
      <c r="G178" s="8" t="str">
        <f t="shared" si="2"/>
        <v>CLARK KATHLEEN</v>
      </c>
    </row>
    <row r="179" spans="1:7" x14ac:dyDescent="0.25">
      <c r="A179" s="8">
        <v>42874.702962962961</v>
      </c>
      <c r="B179" s="20" t="s">
        <v>382</v>
      </c>
      <c r="C179" s="20" t="s">
        <v>789</v>
      </c>
      <c r="D179" s="141">
        <v>2040000</v>
      </c>
      <c r="E179" s="20" t="s">
        <v>535</v>
      </c>
      <c r="F179" s="20" t="s">
        <v>536</v>
      </c>
      <c r="G179" s="8" t="str">
        <f t="shared" si="2"/>
        <v>MOSES BRADLEY</v>
      </c>
    </row>
    <row r="180" spans="1:7" x14ac:dyDescent="0.25">
      <c r="A180" s="8">
        <v>42874.703634259262</v>
      </c>
      <c r="B180" s="20" t="s">
        <v>407</v>
      </c>
      <c r="C180" s="20" t="s">
        <v>790</v>
      </c>
      <c r="D180" s="141">
        <v>1770000</v>
      </c>
      <c r="E180" s="20" t="s">
        <v>739</v>
      </c>
      <c r="F180" s="20" t="s">
        <v>740</v>
      </c>
      <c r="G180" s="8" t="str">
        <f t="shared" si="2"/>
        <v>BRUDER RICHARD</v>
      </c>
    </row>
    <row r="181" spans="1:7" x14ac:dyDescent="0.25">
      <c r="A181" s="8">
        <v>42874.706006944441</v>
      </c>
      <c r="B181" s="20" t="s">
        <v>489</v>
      </c>
      <c r="C181" s="20" t="s">
        <v>636</v>
      </c>
      <c r="D181" s="141">
        <v>2370000</v>
      </c>
      <c r="E181" s="20" t="s">
        <v>503</v>
      </c>
      <c r="F181" s="20" t="s">
        <v>504</v>
      </c>
      <c r="G181" s="8" t="str">
        <f t="shared" si="2"/>
        <v>DELGADO DIANAH</v>
      </c>
    </row>
    <row r="182" spans="1:7" x14ac:dyDescent="0.25">
      <c r="A182" s="8">
        <v>42874.706342592595</v>
      </c>
      <c r="B182" s="20" t="s">
        <v>526</v>
      </c>
      <c r="C182" s="20" t="s">
        <v>791</v>
      </c>
      <c r="D182" s="141">
        <v>2480000</v>
      </c>
      <c r="E182" s="20" t="s">
        <v>537</v>
      </c>
      <c r="F182" s="20" t="s">
        <v>538</v>
      </c>
      <c r="G182" s="8" t="str">
        <f t="shared" si="2"/>
        <v>WHITED DUSTIN</v>
      </c>
    </row>
    <row r="183" spans="1:7" x14ac:dyDescent="0.25">
      <c r="A183" s="8">
        <v>42874.714224537034</v>
      </c>
      <c r="B183" s="20" t="s">
        <v>499</v>
      </c>
      <c r="C183" s="20" t="s">
        <v>792</v>
      </c>
      <c r="D183" s="141">
        <v>1540000</v>
      </c>
      <c r="E183" s="20" t="s">
        <v>501</v>
      </c>
      <c r="F183" s="20" t="s">
        <v>502</v>
      </c>
      <c r="G183" s="8" t="str">
        <f t="shared" si="2"/>
        <v>HELVIE ADAM</v>
      </c>
    </row>
    <row r="184" spans="1:7" x14ac:dyDescent="0.25">
      <c r="A184" s="8">
        <v>42874.71497685185</v>
      </c>
      <c r="B184" s="20" t="s">
        <v>460</v>
      </c>
      <c r="C184" s="20" t="s">
        <v>793</v>
      </c>
      <c r="D184" s="141">
        <v>880000</v>
      </c>
      <c r="E184" s="20" t="s">
        <v>730</v>
      </c>
      <c r="F184" s="20" t="s">
        <v>196</v>
      </c>
      <c r="G184" s="8" t="str">
        <f t="shared" si="2"/>
        <v>STEWART MICHAEL</v>
      </c>
    </row>
    <row r="185" spans="1:7" x14ac:dyDescent="0.25">
      <c r="A185" s="8">
        <v>42874.715104166666</v>
      </c>
      <c r="B185" s="20" t="s">
        <v>637</v>
      </c>
      <c r="C185" s="20" t="s">
        <v>638</v>
      </c>
      <c r="D185" s="141">
        <v>2470000</v>
      </c>
      <c r="E185" s="20" t="s">
        <v>734</v>
      </c>
      <c r="F185" s="20" t="s">
        <v>735</v>
      </c>
      <c r="G185" s="8" t="str">
        <f t="shared" si="2"/>
        <v>ROMERO CHAD</v>
      </c>
    </row>
    <row r="186" spans="1:7" x14ac:dyDescent="0.25">
      <c r="A186" s="8">
        <v>42874.717060185183</v>
      </c>
      <c r="B186" s="20" t="s">
        <v>490</v>
      </c>
      <c r="C186" s="20" t="s">
        <v>635</v>
      </c>
      <c r="D186" s="141">
        <v>740000</v>
      </c>
      <c r="E186" s="20" t="s">
        <v>794</v>
      </c>
      <c r="F186" s="20" t="s">
        <v>795</v>
      </c>
      <c r="G186" s="8" t="str">
        <f t="shared" si="2"/>
        <v>ALONZO MATTHEW</v>
      </c>
    </row>
    <row r="187" spans="1:7" x14ac:dyDescent="0.25">
      <c r="A187" s="8">
        <v>42874.718587962961</v>
      </c>
      <c r="B187" s="20" t="s">
        <v>418</v>
      </c>
      <c r="C187" s="20" t="s">
        <v>796</v>
      </c>
      <c r="D187" s="141">
        <v>3030000</v>
      </c>
      <c r="E187" s="20" t="s">
        <v>394</v>
      </c>
      <c r="F187" s="20" t="s">
        <v>377</v>
      </c>
      <c r="G187" s="8" t="str">
        <f t="shared" si="2"/>
        <v>BIRENBAUM THOMAS</v>
      </c>
    </row>
    <row r="188" spans="1:7" x14ac:dyDescent="0.25">
      <c r="A188" s="8">
        <v>42874.723263888889</v>
      </c>
      <c r="B188" s="20" t="s">
        <v>490</v>
      </c>
      <c r="C188" s="20" t="s">
        <v>635</v>
      </c>
      <c r="D188" s="141">
        <v>740000</v>
      </c>
      <c r="E188" s="20" t="s">
        <v>794</v>
      </c>
      <c r="F188" s="20" t="s">
        <v>795</v>
      </c>
      <c r="G188" s="8" t="str">
        <f t="shared" si="2"/>
        <v>ALONZO MATTHEW</v>
      </c>
    </row>
    <row r="189" spans="1:7" x14ac:dyDescent="0.25">
      <c r="A189" s="8">
        <v>42874.726134259261</v>
      </c>
      <c r="B189" s="20" t="s">
        <v>491</v>
      </c>
      <c r="C189" s="20" t="s">
        <v>797</v>
      </c>
      <c r="D189" s="141">
        <v>2360000</v>
      </c>
      <c r="E189" s="20" t="s">
        <v>533</v>
      </c>
      <c r="F189" s="20" t="s">
        <v>534</v>
      </c>
      <c r="G189" s="8" t="str">
        <f t="shared" si="2"/>
        <v>BRANDNER MELINDA</v>
      </c>
    </row>
    <row r="190" spans="1:7" x14ac:dyDescent="0.25">
      <c r="A190" s="8">
        <v>42874.732893518521</v>
      </c>
      <c r="B190" s="20" t="s">
        <v>603</v>
      </c>
      <c r="C190" s="20" t="s">
        <v>798</v>
      </c>
      <c r="D190" s="141">
        <v>930000</v>
      </c>
      <c r="E190" s="20" t="s">
        <v>434</v>
      </c>
      <c r="F190" s="20" t="s">
        <v>435</v>
      </c>
      <c r="G190" s="8" t="str">
        <f t="shared" si="2"/>
        <v>CLARK KATHLEEN</v>
      </c>
    </row>
    <row r="191" spans="1:7" x14ac:dyDescent="0.25">
      <c r="A191" s="8">
        <v>42874.733842592592</v>
      </c>
      <c r="B191" s="20" t="s">
        <v>412</v>
      </c>
      <c r="C191" s="20" t="s">
        <v>799</v>
      </c>
      <c r="D191" s="141">
        <v>3030000</v>
      </c>
      <c r="E191" s="20" t="s">
        <v>394</v>
      </c>
      <c r="F191" s="20" t="s">
        <v>377</v>
      </c>
      <c r="G191" s="8" t="str">
        <f t="shared" si="2"/>
        <v>BIRENBAUM THOMAS</v>
      </c>
    </row>
    <row r="192" spans="1:7" x14ac:dyDescent="0.25">
      <c r="A192" s="8">
        <v>42874.736689814818</v>
      </c>
      <c r="B192" s="20" t="s">
        <v>448</v>
      </c>
      <c r="C192" s="20" t="s">
        <v>639</v>
      </c>
      <c r="D192" s="141">
        <v>2680000</v>
      </c>
      <c r="E192" s="20" t="s">
        <v>800</v>
      </c>
      <c r="F192" s="20" t="s">
        <v>801</v>
      </c>
      <c r="G192" s="8" t="str">
        <f t="shared" si="2"/>
        <v>DUNCAN SHEILA</v>
      </c>
    </row>
    <row r="193" spans="1:7" x14ac:dyDescent="0.25">
      <c r="A193" s="8">
        <v>42874.736770833333</v>
      </c>
      <c r="B193" s="20" t="s">
        <v>429</v>
      </c>
      <c r="C193" s="20" t="s">
        <v>802</v>
      </c>
      <c r="D193" s="141">
        <v>730000</v>
      </c>
      <c r="E193" s="20" t="s">
        <v>803</v>
      </c>
      <c r="F193" s="20" t="s">
        <v>666</v>
      </c>
      <c r="G193" s="8" t="str">
        <f t="shared" si="2"/>
        <v>HOMIK JOHN</v>
      </c>
    </row>
    <row r="194" spans="1:7" x14ac:dyDescent="0.25">
      <c r="A194" s="8">
        <v>42874.738865740743</v>
      </c>
      <c r="B194" s="20" t="s">
        <v>385</v>
      </c>
      <c r="C194" s="20" t="s">
        <v>804</v>
      </c>
      <c r="D194" s="141">
        <v>2630000</v>
      </c>
      <c r="E194" s="20" t="s">
        <v>805</v>
      </c>
      <c r="F194" s="20" t="s">
        <v>806</v>
      </c>
      <c r="G194" s="8" t="str">
        <f t="shared" si="2"/>
        <v>SAFIEF AEIMEN</v>
      </c>
    </row>
    <row r="195" spans="1:7" x14ac:dyDescent="0.25">
      <c r="A195" s="8">
        <v>42874.744375000002</v>
      </c>
      <c r="B195" s="20" t="s">
        <v>444</v>
      </c>
      <c r="C195" s="20" t="s">
        <v>807</v>
      </c>
      <c r="D195" s="141">
        <v>1770000</v>
      </c>
      <c r="E195" s="20" t="s">
        <v>739</v>
      </c>
      <c r="F195" s="20" t="s">
        <v>740</v>
      </c>
      <c r="G195" s="8" t="str">
        <f t="shared" ref="G195:G258" si="3">E195&amp;" "&amp;F195</f>
        <v>BRUDER RICHARD</v>
      </c>
    </row>
    <row r="196" spans="1:7" x14ac:dyDescent="0.25">
      <c r="A196" s="8">
        <v>42874.747719907406</v>
      </c>
      <c r="B196" s="20" t="s">
        <v>459</v>
      </c>
      <c r="C196" s="20" t="s">
        <v>808</v>
      </c>
      <c r="D196" s="141">
        <v>2040000</v>
      </c>
      <c r="E196" s="20" t="s">
        <v>535</v>
      </c>
      <c r="F196" s="20" t="s">
        <v>536</v>
      </c>
      <c r="G196" s="8" t="str">
        <f t="shared" si="3"/>
        <v>MOSES BRADLEY</v>
      </c>
    </row>
    <row r="197" spans="1:7" x14ac:dyDescent="0.25">
      <c r="A197" s="8">
        <v>42874.755671296298</v>
      </c>
      <c r="B197" s="20" t="s">
        <v>447</v>
      </c>
      <c r="C197" s="20" t="s">
        <v>809</v>
      </c>
      <c r="D197" s="141">
        <v>3090000</v>
      </c>
      <c r="E197" s="20" t="s">
        <v>388</v>
      </c>
      <c r="F197" s="20" t="s">
        <v>389</v>
      </c>
      <c r="G197" s="8" t="str">
        <f t="shared" si="3"/>
        <v>LAMAR NEKESHA</v>
      </c>
    </row>
    <row r="198" spans="1:7" x14ac:dyDescent="0.25">
      <c r="A198" s="8">
        <v>42874.75675925926</v>
      </c>
      <c r="B198" s="20" t="s">
        <v>496</v>
      </c>
      <c r="C198" s="20" t="s">
        <v>810</v>
      </c>
      <c r="D198" s="141">
        <v>1540000</v>
      </c>
      <c r="E198" s="20" t="s">
        <v>501</v>
      </c>
      <c r="F198" s="20" t="s">
        <v>502</v>
      </c>
      <c r="G198" s="8" t="str">
        <f t="shared" si="3"/>
        <v>HELVIE ADAM</v>
      </c>
    </row>
    <row r="199" spans="1:7" x14ac:dyDescent="0.25">
      <c r="A199" s="8">
        <v>42874.757824074077</v>
      </c>
      <c r="B199" s="20" t="s">
        <v>490</v>
      </c>
      <c r="C199" s="20" t="s">
        <v>811</v>
      </c>
      <c r="D199" s="141">
        <v>730000</v>
      </c>
      <c r="E199" s="20" t="s">
        <v>803</v>
      </c>
      <c r="F199" s="20" t="s">
        <v>666</v>
      </c>
      <c r="G199" s="8" t="str">
        <f t="shared" si="3"/>
        <v>HOMIK JOHN</v>
      </c>
    </row>
    <row r="200" spans="1:7" x14ac:dyDescent="0.25">
      <c r="A200" s="8">
        <v>42874.75922453704</v>
      </c>
      <c r="B200" s="20" t="s">
        <v>418</v>
      </c>
      <c r="C200" s="20" t="s">
        <v>812</v>
      </c>
      <c r="D200" s="141">
        <v>3030000</v>
      </c>
      <c r="E200" s="20" t="s">
        <v>394</v>
      </c>
      <c r="F200" s="20" t="s">
        <v>377</v>
      </c>
      <c r="G200" s="8" t="str">
        <f t="shared" si="3"/>
        <v>BIRENBAUM THOMAS</v>
      </c>
    </row>
    <row r="201" spans="1:7" x14ac:dyDescent="0.25">
      <c r="A201" s="8">
        <v>42874.764861111114</v>
      </c>
      <c r="B201" s="20" t="s">
        <v>500</v>
      </c>
      <c r="C201" s="20" t="s">
        <v>643</v>
      </c>
      <c r="D201" s="141">
        <v>2360000</v>
      </c>
      <c r="E201" s="20" t="s">
        <v>533</v>
      </c>
      <c r="F201" s="20" t="s">
        <v>534</v>
      </c>
      <c r="G201" s="8" t="str">
        <f t="shared" si="3"/>
        <v>BRANDNER MELINDA</v>
      </c>
    </row>
    <row r="202" spans="1:7" x14ac:dyDescent="0.25">
      <c r="A202" s="26">
        <v>42874.768379629626</v>
      </c>
      <c r="B202" s="20" t="s">
        <v>713</v>
      </c>
      <c r="C202" s="20" t="s">
        <v>813</v>
      </c>
      <c r="D202" s="141">
        <v>2150000</v>
      </c>
      <c r="E202" s="20" t="s">
        <v>408</v>
      </c>
      <c r="F202" s="20" t="s">
        <v>409</v>
      </c>
      <c r="G202" s="8" t="str">
        <f t="shared" si="3"/>
        <v>SWANSON BRYCE</v>
      </c>
    </row>
    <row r="203" spans="1:7" x14ac:dyDescent="0.25">
      <c r="A203" s="8">
        <v>42874.771539351852</v>
      </c>
      <c r="B203" s="20" t="s">
        <v>382</v>
      </c>
      <c r="C203" s="20" t="s">
        <v>814</v>
      </c>
      <c r="D203" s="141">
        <v>2630000</v>
      </c>
      <c r="E203" s="20" t="s">
        <v>805</v>
      </c>
      <c r="F203" s="20" t="s">
        <v>806</v>
      </c>
      <c r="G203" s="8" t="str">
        <f t="shared" si="3"/>
        <v>SAFIEF AEIMEN</v>
      </c>
    </row>
    <row r="204" spans="1:7" x14ac:dyDescent="0.25">
      <c r="A204" s="8">
        <v>42874.772569444445</v>
      </c>
      <c r="B204" s="20" t="s">
        <v>429</v>
      </c>
      <c r="C204" s="20" t="s">
        <v>815</v>
      </c>
      <c r="D204" s="141">
        <v>3130000</v>
      </c>
      <c r="E204" s="20" t="s">
        <v>397</v>
      </c>
      <c r="F204" s="20" t="s">
        <v>398</v>
      </c>
      <c r="G204" s="8" t="str">
        <f t="shared" si="3"/>
        <v>ZEWDU DEREJE</v>
      </c>
    </row>
    <row r="205" spans="1:7" x14ac:dyDescent="0.25">
      <c r="A205" s="8">
        <v>42874.774837962963</v>
      </c>
      <c r="B205" s="20" t="s">
        <v>412</v>
      </c>
      <c r="C205" s="20" t="s">
        <v>816</v>
      </c>
      <c r="D205" s="141">
        <v>3030000</v>
      </c>
      <c r="E205" s="20" t="s">
        <v>394</v>
      </c>
      <c r="F205" s="20" t="s">
        <v>377</v>
      </c>
      <c r="G205" s="8" t="str">
        <f t="shared" si="3"/>
        <v>BIRENBAUM THOMAS</v>
      </c>
    </row>
    <row r="206" spans="1:7" x14ac:dyDescent="0.25">
      <c r="A206" s="8">
        <v>42874.775740740741</v>
      </c>
      <c r="B206" s="20" t="s">
        <v>407</v>
      </c>
      <c r="C206" s="20" t="s">
        <v>817</v>
      </c>
      <c r="D206" s="141">
        <v>1770000</v>
      </c>
      <c r="E206" s="20" t="s">
        <v>739</v>
      </c>
      <c r="F206" s="20" t="s">
        <v>740</v>
      </c>
      <c r="G206" s="8" t="str">
        <f t="shared" si="3"/>
        <v>BRUDER RICHARD</v>
      </c>
    </row>
    <row r="207" spans="1:7" x14ac:dyDescent="0.25">
      <c r="A207" s="8">
        <v>42874.786631944444</v>
      </c>
      <c r="B207" s="20" t="s">
        <v>460</v>
      </c>
      <c r="C207" s="20" t="s">
        <v>818</v>
      </c>
      <c r="D207" s="141">
        <v>2040000</v>
      </c>
      <c r="E207" s="20" t="s">
        <v>535</v>
      </c>
      <c r="F207" s="20" t="s">
        <v>536</v>
      </c>
      <c r="G207" s="8" t="str">
        <f t="shared" si="3"/>
        <v>MOSES BRADLEY</v>
      </c>
    </row>
    <row r="208" spans="1:7" x14ac:dyDescent="0.25">
      <c r="A208" s="8">
        <v>42874.787743055553</v>
      </c>
      <c r="B208" s="20" t="s">
        <v>499</v>
      </c>
      <c r="C208" s="20" t="s">
        <v>642</v>
      </c>
      <c r="D208" s="141">
        <v>2270000</v>
      </c>
      <c r="E208" s="20" t="s">
        <v>413</v>
      </c>
      <c r="F208" s="20" t="s">
        <v>414</v>
      </c>
      <c r="G208" s="8" t="str">
        <f t="shared" si="3"/>
        <v>BROWN JACOB</v>
      </c>
    </row>
    <row r="209" spans="1:7" x14ac:dyDescent="0.25">
      <c r="A209" s="8">
        <v>42874.796180555553</v>
      </c>
      <c r="B209" s="20" t="s">
        <v>637</v>
      </c>
      <c r="C209" s="20" t="s">
        <v>819</v>
      </c>
      <c r="D209" s="141">
        <v>3090000</v>
      </c>
      <c r="E209" s="20" t="s">
        <v>388</v>
      </c>
      <c r="F209" s="20" t="s">
        <v>389</v>
      </c>
      <c r="G209" s="8" t="str">
        <f t="shared" si="3"/>
        <v>LAMAR NEKESHA</v>
      </c>
    </row>
    <row r="210" spans="1:7" x14ac:dyDescent="0.25">
      <c r="A210" s="8">
        <v>42874.797326388885</v>
      </c>
      <c r="B210" s="20" t="s">
        <v>490</v>
      </c>
      <c r="C210" s="20" t="s">
        <v>820</v>
      </c>
      <c r="D210" s="141">
        <v>3130000</v>
      </c>
      <c r="E210" s="20" t="s">
        <v>397</v>
      </c>
      <c r="F210" s="20" t="s">
        <v>398</v>
      </c>
      <c r="G210" s="8" t="str">
        <f t="shared" si="3"/>
        <v>ZEWDU DEREJE</v>
      </c>
    </row>
    <row r="211" spans="1:7" x14ac:dyDescent="0.25">
      <c r="A211" s="8">
        <v>42874.799409722225</v>
      </c>
      <c r="B211" s="20" t="s">
        <v>491</v>
      </c>
      <c r="C211" s="20" t="s">
        <v>821</v>
      </c>
      <c r="D211" s="141">
        <v>2360000</v>
      </c>
      <c r="E211" s="20" t="s">
        <v>533</v>
      </c>
      <c r="F211" s="20" t="s">
        <v>534</v>
      </c>
      <c r="G211" s="8" t="str">
        <f t="shared" si="3"/>
        <v>BRANDNER MELINDA</v>
      </c>
    </row>
    <row r="212" spans="1:7" x14ac:dyDescent="0.25">
      <c r="A212" s="8">
        <v>42874.800671296296</v>
      </c>
      <c r="B212" s="20" t="s">
        <v>418</v>
      </c>
      <c r="C212" s="20" t="s">
        <v>822</v>
      </c>
      <c r="D212" s="141">
        <v>3030000</v>
      </c>
      <c r="E212" s="20" t="s">
        <v>394</v>
      </c>
      <c r="F212" s="20" t="s">
        <v>377</v>
      </c>
      <c r="G212" s="8" t="str">
        <f t="shared" si="3"/>
        <v>BIRENBAUM THOMAS</v>
      </c>
    </row>
    <row r="213" spans="1:7" x14ac:dyDescent="0.25">
      <c r="A213" s="8">
        <v>42874.802268518521</v>
      </c>
      <c r="B213" s="20" t="s">
        <v>490</v>
      </c>
      <c r="C213" s="20" t="s">
        <v>820</v>
      </c>
      <c r="D213" s="141">
        <v>3130000</v>
      </c>
      <c r="E213" s="20" t="s">
        <v>397</v>
      </c>
      <c r="F213" s="20" t="s">
        <v>398</v>
      </c>
      <c r="G213" s="8" t="str">
        <f t="shared" si="3"/>
        <v>ZEWDU DEREJE</v>
      </c>
    </row>
    <row r="214" spans="1:7" x14ac:dyDescent="0.25">
      <c r="A214" s="8">
        <v>42874.808368055557</v>
      </c>
      <c r="B214" s="20" t="s">
        <v>603</v>
      </c>
      <c r="C214" s="20" t="s">
        <v>823</v>
      </c>
      <c r="D214" s="141">
        <v>2150000</v>
      </c>
      <c r="E214" s="20" t="s">
        <v>408</v>
      </c>
      <c r="F214" s="20" t="s">
        <v>409</v>
      </c>
      <c r="G214" s="8" t="str">
        <f t="shared" si="3"/>
        <v>SWANSON BRYCE</v>
      </c>
    </row>
    <row r="215" spans="1:7" x14ac:dyDescent="0.25">
      <c r="A215" s="8">
        <v>42874.810949074075</v>
      </c>
      <c r="B215" s="20" t="s">
        <v>385</v>
      </c>
      <c r="C215" s="20" t="s">
        <v>824</v>
      </c>
      <c r="D215" s="141">
        <v>2630000</v>
      </c>
      <c r="E215" s="20" t="s">
        <v>805</v>
      </c>
      <c r="F215" s="20" t="s">
        <v>806</v>
      </c>
      <c r="G215" s="8" t="str">
        <f t="shared" si="3"/>
        <v>SAFIEF AEIMEN</v>
      </c>
    </row>
    <row r="216" spans="1:7" x14ac:dyDescent="0.25">
      <c r="A216" s="8">
        <v>42874.812071759261</v>
      </c>
      <c r="B216" s="20" t="s">
        <v>541</v>
      </c>
      <c r="C216" s="20" t="s">
        <v>644</v>
      </c>
      <c r="D216" s="141">
        <v>3000000</v>
      </c>
      <c r="E216" s="20" t="s">
        <v>410</v>
      </c>
      <c r="F216" s="20" t="s">
        <v>411</v>
      </c>
      <c r="G216" s="8" t="str">
        <f t="shared" si="3"/>
        <v>FORTUNATO FRANK</v>
      </c>
    </row>
    <row r="217" spans="1:7" x14ac:dyDescent="0.25">
      <c r="A217" s="8">
        <v>42874.816412037035</v>
      </c>
      <c r="B217" s="20" t="s">
        <v>412</v>
      </c>
      <c r="C217" s="20" t="s">
        <v>825</v>
      </c>
      <c r="D217" s="141">
        <v>3030000</v>
      </c>
      <c r="E217" s="20" t="s">
        <v>394</v>
      </c>
      <c r="F217" s="20" t="s">
        <v>377</v>
      </c>
      <c r="G217" s="8" t="str">
        <f t="shared" si="3"/>
        <v>BIRENBAUM THOMAS</v>
      </c>
    </row>
    <row r="218" spans="1:7" x14ac:dyDescent="0.25">
      <c r="A218" s="8">
        <v>42874.818784722222</v>
      </c>
      <c r="B218" s="20" t="s">
        <v>459</v>
      </c>
      <c r="C218" s="20" t="s">
        <v>826</v>
      </c>
      <c r="D218" s="141">
        <v>2040000</v>
      </c>
      <c r="E218" s="20" t="s">
        <v>535</v>
      </c>
      <c r="F218" s="20" t="s">
        <v>536</v>
      </c>
      <c r="G218" s="8" t="str">
        <f t="shared" si="3"/>
        <v>MOSES BRADLEY</v>
      </c>
    </row>
    <row r="219" spans="1:7" x14ac:dyDescent="0.25">
      <c r="A219" s="8">
        <v>42874.828252314815</v>
      </c>
      <c r="B219" s="20" t="s">
        <v>496</v>
      </c>
      <c r="C219" s="20" t="s">
        <v>645</v>
      </c>
      <c r="D219" s="141">
        <v>2270000</v>
      </c>
      <c r="E219" s="20" t="s">
        <v>413</v>
      </c>
      <c r="F219" s="20" t="s">
        <v>414</v>
      </c>
      <c r="G219" s="8" t="str">
        <f t="shared" si="3"/>
        <v>BROWN JACOB</v>
      </c>
    </row>
    <row r="220" spans="1:7" x14ac:dyDescent="0.25">
      <c r="A220" s="8">
        <v>42874.829664351855</v>
      </c>
      <c r="B220" s="20" t="s">
        <v>528</v>
      </c>
      <c r="C220" s="20" t="s">
        <v>827</v>
      </c>
      <c r="D220" s="141">
        <v>3000000</v>
      </c>
      <c r="E220" s="20" t="s">
        <v>410</v>
      </c>
      <c r="F220" s="20" t="s">
        <v>411</v>
      </c>
      <c r="G220" s="8" t="str">
        <f t="shared" si="3"/>
        <v>FORTUNATO FRANK</v>
      </c>
    </row>
    <row r="221" spans="1:7" x14ac:dyDescent="0.25">
      <c r="A221" s="8">
        <v>42874.829664351855</v>
      </c>
      <c r="B221" s="20" t="s">
        <v>447</v>
      </c>
      <c r="C221" s="20" t="s">
        <v>828</v>
      </c>
      <c r="D221" s="141">
        <v>3090000</v>
      </c>
      <c r="E221" s="20" t="s">
        <v>388</v>
      </c>
      <c r="F221" s="20" t="s">
        <v>389</v>
      </c>
      <c r="G221" s="8" t="str">
        <f t="shared" si="3"/>
        <v>LAMAR NEKESHA</v>
      </c>
    </row>
    <row r="222" spans="1:7" x14ac:dyDescent="0.25">
      <c r="A222" s="8">
        <v>42874.836157407408</v>
      </c>
      <c r="B222" s="20" t="s">
        <v>527</v>
      </c>
      <c r="C222" s="20" t="s">
        <v>829</v>
      </c>
      <c r="D222" s="141">
        <v>2420000</v>
      </c>
      <c r="E222" s="20" t="s">
        <v>830</v>
      </c>
      <c r="F222" s="20" t="s">
        <v>831</v>
      </c>
      <c r="G222" s="8" t="str">
        <f t="shared" si="3"/>
        <v>HOLCOMB KAMDEN</v>
      </c>
    </row>
    <row r="223" spans="1:7" x14ac:dyDescent="0.25">
      <c r="A223" s="8">
        <v>42874.84</v>
      </c>
      <c r="B223" s="20" t="s">
        <v>532</v>
      </c>
      <c r="C223" s="20" t="s">
        <v>829</v>
      </c>
      <c r="D223" s="141">
        <v>2420000</v>
      </c>
      <c r="E223" s="20" t="s">
        <v>830</v>
      </c>
      <c r="F223" s="20" t="s">
        <v>831</v>
      </c>
      <c r="G223" s="8" t="str">
        <f t="shared" si="3"/>
        <v>HOLCOMB KAMDEN</v>
      </c>
    </row>
    <row r="224" spans="1:7" x14ac:dyDescent="0.25">
      <c r="A224" s="8">
        <v>42874.841145833336</v>
      </c>
      <c r="B224" t="s">
        <v>382</v>
      </c>
      <c r="C224" t="s">
        <v>832</v>
      </c>
      <c r="D224" s="141">
        <v>2630000</v>
      </c>
      <c r="E224" t="s">
        <v>805</v>
      </c>
      <c r="F224" s="20" t="s">
        <v>806</v>
      </c>
      <c r="G224" s="8" t="str">
        <f t="shared" si="3"/>
        <v>SAFIEF AEIMEN</v>
      </c>
    </row>
    <row r="225" spans="1:7" x14ac:dyDescent="0.25">
      <c r="A225" s="8">
        <v>42874.841620370367</v>
      </c>
      <c r="B225" t="s">
        <v>713</v>
      </c>
      <c r="C225" t="s">
        <v>833</v>
      </c>
      <c r="D225" s="141">
        <v>2150000</v>
      </c>
      <c r="E225" t="s">
        <v>408</v>
      </c>
      <c r="F225" s="20" t="s">
        <v>409</v>
      </c>
      <c r="G225" s="8" t="str">
        <f t="shared" si="3"/>
        <v>SWANSON BRYCE</v>
      </c>
    </row>
    <row r="226" spans="1:7" x14ac:dyDescent="0.25">
      <c r="A226" s="8">
        <v>42874.843368055554</v>
      </c>
      <c r="B226" t="s">
        <v>418</v>
      </c>
      <c r="C226" t="s">
        <v>834</v>
      </c>
      <c r="D226" s="141">
        <v>3030000</v>
      </c>
      <c r="E226" t="s">
        <v>394</v>
      </c>
      <c r="F226" s="20" t="s">
        <v>377</v>
      </c>
      <c r="G226" s="8" t="str">
        <f t="shared" si="3"/>
        <v>BIRENBAUM THOMAS</v>
      </c>
    </row>
    <row r="227" spans="1:7" x14ac:dyDescent="0.25">
      <c r="A227" s="8">
        <v>42874.849432870367</v>
      </c>
      <c r="B227" t="s">
        <v>713</v>
      </c>
      <c r="C227" t="s">
        <v>833</v>
      </c>
      <c r="D227" s="141">
        <v>3120000</v>
      </c>
      <c r="E227" t="s">
        <v>436</v>
      </c>
      <c r="F227" s="20" t="s">
        <v>437</v>
      </c>
      <c r="G227" s="8" t="str">
        <f t="shared" si="3"/>
        <v>THOMPSON LESTER</v>
      </c>
    </row>
    <row r="228" spans="1:7" x14ac:dyDescent="0.25">
      <c r="A228" s="8">
        <v>42874.858275462961</v>
      </c>
      <c r="B228" t="s">
        <v>412</v>
      </c>
      <c r="C228" t="s">
        <v>835</v>
      </c>
      <c r="D228" s="141">
        <v>3030000</v>
      </c>
      <c r="E228" t="s">
        <v>394</v>
      </c>
      <c r="F228" s="20" t="s">
        <v>377</v>
      </c>
      <c r="G228" s="8" t="str">
        <f t="shared" si="3"/>
        <v>BIRENBAUM THOMAS</v>
      </c>
    </row>
    <row r="229" spans="1:7" x14ac:dyDescent="0.25">
      <c r="A229" s="8">
        <v>42874.866805555554</v>
      </c>
      <c r="B229" t="s">
        <v>637</v>
      </c>
      <c r="C229" t="s">
        <v>836</v>
      </c>
      <c r="D229" s="141">
        <v>3090000</v>
      </c>
      <c r="E229" t="s">
        <v>388</v>
      </c>
      <c r="F229" s="20" t="s">
        <v>389</v>
      </c>
      <c r="G229" s="8" t="str">
        <f t="shared" si="3"/>
        <v>LAMAR NEKESHA</v>
      </c>
    </row>
    <row r="230" spans="1:7" x14ac:dyDescent="0.25">
      <c r="A230" s="8">
        <v>42874.871782407405</v>
      </c>
      <c r="B230" t="s">
        <v>499</v>
      </c>
      <c r="C230" t="s">
        <v>646</v>
      </c>
      <c r="D230" s="141">
        <v>2270000</v>
      </c>
      <c r="E230" t="s">
        <v>413</v>
      </c>
      <c r="F230" s="20" t="s">
        <v>414</v>
      </c>
      <c r="G230" s="8" t="str">
        <f t="shared" si="3"/>
        <v>BROWN JACOB</v>
      </c>
    </row>
    <row r="231" spans="1:7" x14ac:dyDescent="0.25">
      <c r="A231" s="8">
        <v>42874.876967592594</v>
      </c>
      <c r="B231" t="s">
        <v>418</v>
      </c>
      <c r="C231" t="s">
        <v>837</v>
      </c>
      <c r="D231" s="141">
        <v>3130000</v>
      </c>
      <c r="E231" t="s">
        <v>397</v>
      </c>
      <c r="F231" s="20" t="s">
        <v>398</v>
      </c>
      <c r="G231" s="8" t="str">
        <f t="shared" si="3"/>
        <v>ZEWDU DEREJE</v>
      </c>
    </row>
    <row r="232" spans="1:7" x14ac:dyDescent="0.25">
      <c r="A232" s="8">
        <v>42874.885497685187</v>
      </c>
      <c r="B232" t="s">
        <v>385</v>
      </c>
      <c r="C232" t="s">
        <v>838</v>
      </c>
      <c r="D232" s="141">
        <v>2630000</v>
      </c>
      <c r="E232" t="s">
        <v>805</v>
      </c>
      <c r="F232" s="20" t="s">
        <v>806</v>
      </c>
      <c r="G232" s="8" t="str">
        <f t="shared" si="3"/>
        <v>SAFIEF AEIMEN</v>
      </c>
    </row>
    <row r="233" spans="1:7" x14ac:dyDescent="0.25">
      <c r="A233" s="8">
        <v>42874.889097222222</v>
      </c>
      <c r="B233" t="s">
        <v>603</v>
      </c>
      <c r="C233" t="s">
        <v>839</v>
      </c>
      <c r="D233" s="141">
        <v>3120000</v>
      </c>
      <c r="E233" t="s">
        <v>436</v>
      </c>
      <c r="F233" s="20" t="s">
        <v>437</v>
      </c>
      <c r="G233" s="8" t="str">
        <f t="shared" si="3"/>
        <v>THOMPSON LESTER</v>
      </c>
    </row>
    <row r="234" spans="1:7" x14ac:dyDescent="0.25">
      <c r="A234" s="8">
        <v>42874.890185185184</v>
      </c>
      <c r="B234" t="s">
        <v>541</v>
      </c>
      <c r="C234" t="s">
        <v>840</v>
      </c>
      <c r="D234" s="141">
        <v>3000000</v>
      </c>
      <c r="E234" t="s">
        <v>410</v>
      </c>
      <c r="F234" s="20" t="s">
        <v>411</v>
      </c>
      <c r="G234" s="8" t="str">
        <f t="shared" si="3"/>
        <v>FORTUNATO FRANK</v>
      </c>
    </row>
    <row r="235" spans="1:7" x14ac:dyDescent="0.25">
      <c r="A235" s="8">
        <v>42874.90148148148</v>
      </c>
      <c r="B235" t="s">
        <v>412</v>
      </c>
      <c r="C235" t="s">
        <v>841</v>
      </c>
      <c r="D235" s="141">
        <v>3130000</v>
      </c>
      <c r="E235" t="s">
        <v>397</v>
      </c>
      <c r="F235" s="20" t="s">
        <v>398</v>
      </c>
      <c r="G235" s="8" t="str">
        <f t="shared" si="3"/>
        <v>ZEWDU DEREJE</v>
      </c>
    </row>
    <row r="236" spans="1:7" x14ac:dyDescent="0.25">
      <c r="A236" s="8">
        <v>42874.91064814815</v>
      </c>
      <c r="B236" t="s">
        <v>447</v>
      </c>
      <c r="C236" t="s">
        <v>842</v>
      </c>
      <c r="D236" s="141">
        <v>3090000</v>
      </c>
      <c r="E236" t="s">
        <v>388</v>
      </c>
      <c r="F236" s="20" t="s">
        <v>389</v>
      </c>
      <c r="G236" s="8" t="str">
        <f t="shared" si="3"/>
        <v>LAMAR NEKESHA</v>
      </c>
    </row>
    <row r="237" spans="1:7" x14ac:dyDescent="0.25">
      <c r="A237" s="8">
        <v>42874.91138888889</v>
      </c>
      <c r="B237" t="s">
        <v>496</v>
      </c>
      <c r="C237" t="s">
        <v>843</v>
      </c>
      <c r="D237" s="141">
        <v>2270000</v>
      </c>
      <c r="E237" t="s">
        <v>413</v>
      </c>
      <c r="F237" s="20" t="s">
        <v>414</v>
      </c>
      <c r="G237" s="8" t="str">
        <f t="shared" si="3"/>
        <v>BROWN JACOB</v>
      </c>
    </row>
    <row r="238" spans="1:7" x14ac:dyDescent="0.25">
      <c r="A238" s="8">
        <v>42874.919548611113</v>
      </c>
      <c r="B238" t="s">
        <v>418</v>
      </c>
      <c r="C238" t="s">
        <v>647</v>
      </c>
      <c r="D238" s="141">
        <v>3130000</v>
      </c>
      <c r="E238" t="s">
        <v>397</v>
      </c>
      <c r="F238" s="20" t="s">
        <v>398</v>
      </c>
      <c r="G238" s="8" t="str">
        <f t="shared" si="3"/>
        <v>ZEWDU DEREJE</v>
      </c>
    </row>
    <row r="239" spans="1:7" x14ac:dyDescent="0.25">
      <c r="A239" s="8">
        <v>42874.927534722221</v>
      </c>
      <c r="B239" t="s">
        <v>382</v>
      </c>
      <c r="C239" t="s">
        <v>844</v>
      </c>
      <c r="D239" s="141">
        <v>2630000</v>
      </c>
      <c r="E239" t="s">
        <v>805</v>
      </c>
      <c r="F239" s="20" t="s">
        <v>806</v>
      </c>
      <c r="G239" s="8" t="str">
        <f t="shared" si="3"/>
        <v>SAFIEF AEIMEN</v>
      </c>
    </row>
    <row r="240" spans="1:7" x14ac:dyDescent="0.25">
      <c r="A240" s="8">
        <v>42874.930995370371</v>
      </c>
      <c r="B240" t="s">
        <v>449</v>
      </c>
      <c r="C240" t="s">
        <v>639</v>
      </c>
      <c r="D240" s="141">
        <v>2680000</v>
      </c>
      <c r="E240" t="s">
        <v>800</v>
      </c>
      <c r="F240" s="20" t="s">
        <v>801</v>
      </c>
      <c r="G240" s="8" t="str">
        <f t="shared" si="3"/>
        <v>DUNCAN SHEILA</v>
      </c>
    </row>
    <row r="241" spans="1:7" x14ac:dyDescent="0.25">
      <c r="A241" s="8">
        <v>42874.935011574074</v>
      </c>
      <c r="B241" t="s">
        <v>448</v>
      </c>
      <c r="C241" t="s">
        <v>639</v>
      </c>
      <c r="D241" s="141">
        <v>2680000</v>
      </c>
      <c r="E241" t="s">
        <v>800</v>
      </c>
      <c r="F241" s="20" t="s">
        <v>801</v>
      </c>
      <c r="G241" s="8" t="str">
        <f t="shared" si="3"/>
        <v>DUNCAN SHEILA</v>
      </c>
    </row>
    <row r="242" spans="1:7" x14ac:dyDescent="0.25">
      <c r="A242" s="8">
        <v>42874.935671296298</v>
      </c>
      <c r="B242" t="s">
        <v>713</v>
      </c>
      <c r="C242" t="s">
        <v>845</v>
      </c>
      <c r="D242" s="141">
        <v>3120000</v>
      </c>
      <c r="E242" t="s">
        <v>436</v>
      </c>
      <c r="F242" s="20" t="s">
        <v>437</v>
      </c>
      <c r="G242" s="8" t="str">
        <f t="shared" si="3"/>
        <v>THOMPSON LESTER</v>
      </c>
    </row>
    <row r="243" spans="1:7" x14ac:dyDescent="0.25">
      <c r="A243" s="8">
        <v>42874.938923611109</v>
      </c>
      <c r="B243" t="s">
        <v>449</v>
      </c>
      <c r="C243" t="s">
        <v>639</v>
      </c>
      <c r="D243" s="141">
        <v>2680000</v>
      </c>
      <c r="E243" t="s">
        <v>800</v>
      </c>
      <c r="F243" s="20" t="s">
        <v>801</v>
      </c>
      <c r="G243" s="8" t="str">
        <f t="shared" si="3"/>
        <v>DUNCAN SHEILA</v>
      </c>
    </row>
    <row r="244" spans="1:7" x14ac:dyDescent="0.25">
      <c r="A244" s="8">
        <v>42874.942743055559</v>
      </c>
      <c r="B244" t="s">
        <v>412</v>
      </c>
      <c r="C244" t="s">
        <v>846</v>
      </c>
      <c r="D244" s="141">
        <v>3130000</v>
      </c>
      <c r="E244" t="s">
        <v>397</v>
      </c>
      <c r="F244" s="20" t="s">
        <v>398</v>
      </c>
      <c r="G244" s="8" t="str">
        <f t="shared" si="3"/>
        <v>ZEWDU DEREJE</v>
      </c>
    </row>
    <row r="245" spans="1:7" x14ac:dyDescent="0.25">
      <c r="A245" s="8">
        <v>42874.948518518519</v>
      </c>
      <c r="B245" t="s">
        <v>637</v>
      </c>
      <c r="C245" t="s">
        <v>847</v>
      </c>
      <c r="D245" s="141">
        <v>3090000</v>
      </c>
      <c r="E245" t="s">
        <v>388</v>
      </c>
      <c r="F245" s="20" t="s">
        <v>389</v>
      </c>
      <c r="G245" s="8" t="str">
        <f t="shared" si="3"/>
        <v>LAMAR NEKESHA</v>
      </c>
    </row>
    <row r="246" spans="1:7" x14ac:dyDescent="0.25">
      <c r="A246" s="8">
        <v>42874.950428240743</v>
      </c>
      <c r="B246" t="s">
        <v>449</v>
      </c>
      <c r="C246" t="s">
        <v>848</v>
      </c>
      <c r="D246" s="141">
        <v>2270000</v>
      </c>
      <c r="E246" t="s">
        <v>413</v>
      </c>
      <c r="F246" s="20" t="s">
        <v>414</v>
      </c>
      <c r="G246" s="8" t="str">
        <f t="shared" si="3"/>
        <v>BROWN JACOB</v>
      </c>
    </row>
    <row r="247" spans="1:7" x14ac:dyDescent="0.25">
      <c r="A247" s="8">
        <v>42874.950833333336</v>
      </c>
      <c r="B247" t="s">
        <v>418</v>
      </c>
      <c r="C247" t="s">
        <v>846</v>
      </c>
      <c r="D247" s="141">
        <v>3130000</v>
      </c>
      <c r="E247" t="s">
        <v>397</v>
      </c>
      <c r="F247" s="20" t="s">
        <v>398</v>
      </c>
      <c r="G247" s="8" t="str">
        <f t="shared" si="3"/>
        <v>ZEWDU DEREJE</v>
      </c>
    </row>
    <row r="248" spans="1:7" x14ac:dyDescent="0.25">
      <c r="A248" s="8">
        <v>42874.951249999998</v>
      </c>
      <c r="B248" t="s">
        <v>449</v>
      </c>
      <c r="C248" t="s">
        <v>848</v>
      </c>
      <c r="D248" s="141">
        <v>2270000</v>
      </c>
      <c r="E248" t="s">
        <v>413</v>
      </c>
      <c r="F248" s="20" t="s">
        <v>414</v>
      </c>
      <c r="G248" s="8" t="str">
        <f t="shared" si="3"/>
        <v>BROWN JACOB</v>
      </c>
    </row>
    <row r="249" spans="1:7" x14ac:dyDescent="0.25">
      <c r="A249" s="8">
        <v>42874.9533912037</v>
      </c>
      <c r="B249" t="s">
        <v>418</v>
      </c>
      <c r="C249" t="s">
        <v>846</v>
      </c>
      <c r="D249" s="141">
        <v>3130000</v>
      </c>
      <c r="E249" t="s">
        <v>397</v>
      </c>
      <c r="F249" s="20" t="s">
        <v>398</v>
      </c>
      <c r="G249" s="8" t="str">
        <f t="shared" si="3"/>
        <v>ZEWDU DEREJE</v>
      </c>
    </row>
    <row r="250" spans="1:7" x14ac:dyDescent="0.25">
      <c r="A250" s="8">
        <v>42874.968726851854</v>
      </c>
      <c r="B250" t="s">
        <v>385</v>
      </c>
      <c r="C250" t="s">
        <v>849</v>
      </c>
      <c r="D250" s="141">
        <v>2630000</v>
      </c>
      <c r="E250" t="s">
        <v>805</v>
      </c>
      <c r="F250" s="20" t="s">
        <v>806</v>
      </c>
      <c r="G250" s="8" t="str">
        <f t="shared" si="3"/>
        <v>SAFIEF AEIMEN</v>
      </c>
    </row>
    <row r="251" spans="1:7" x14ac:dyDescent="0.25">
      <c r="A251" s="8">
        <v>42874.973692129628</v>
      </c>
      <c r="B251" t="s">
        <v>603</v>
      </c>
      <c r="C251" t="s">
        <v>850</v>
      </c>
      <c r="D251" s="141">
        <v>3120000</v>
      </c>
      <c r="E251" t="s">
        <v>436</v>
      </c>
      <c r="F251" s="20" t="s">
        <v>437</v>
      </c>
      <c r="G251" s="8" t="str">
        <f t="shared" si="3"/>
        <v>THOMPSON LESTER</v>
      </c>
    </row>
    <row r="252" spans="1:7" x14ac:dyDescent="0.25">
      <c r="A252" s="8">
        <v>42874.980613425927</v>
      </c>
      <c r="B252" t="s">
        <v>528</v>
      </c>
      <c r="C252" t="s">
        <v>644</v>
      </c>
      <c r="D252" s="141">
        <v>3000000</v>
      </c>
      <c r="E252" t="s">
        <v>410</v>
      </c>
      <c r="F252" s="20" t="s">
        <v>411</v>
      </c>
      <c r="G252" s="8" t="str">
        <f t="shared" si="3"/>
        <v>FORTUNATO FRANK</v>
      </c>
    </row>
    <row r="253" spans="1:7" x14ac:dyDescent="0.25">
      <c r="A253" s="8">
        <v>42874.98810185185</v>
      </c>
      <c r="B253" t="s">
        <v>447</v>
      </c>
      <c r="C253" t="s">
        <v>649</v>
      </c>
      <c r="D253" s="141">
        <v>3090000</v>
      </c>
      <c r="E253" t="s">
        <v>388</v>
      </c>
      <c r="F253" s="20" t="s">
        <v>389</v>
      </c>
      <c r="G253" s="8" t="str">
        <f t="shared" si="3"/>
        <v>LAMAR NEKESHA</v>
      </c>
    </row>
    <row r="254" spans="1:7" x14ac:dyDescent="0.25">
      <c r="A254" s="8">
        <v>42874.993206018517</v>
      </c>
      <c r="B254" t="s">
        <v>448</v>
      </c>
      <c r="C254" t="s">
        <v>648</v>
      </c>
      <c r="D254" s="141">
        <v>2270000</v>
      </c>
      <c r="E254" t="s">
        <v>413</v>
      </c>
      <c r="F254" s="20" t="s">
        <v>414</v>
      </c>
      <c r="G254" s="8" t="str">
        <f t="shared" si="3"/>
        <v>BROWN JACOB</v>
      </c>
    </row>
    <row r="255" spans="1:7" x14ac:dyDescent="0.25">
      <c r="A255" s="8">
        <v>42875.005254629628</v>
      </c>
      <c r="B255" t="s">
        <v>499</v>
      </c>
      <c r="C255" t="s">
        <v>851</v>
      </c>
      <c r="D255" s="141">
        <v>2680000</v>
      </c>
      <c r="E255" t="s">
        <v>800</v>
      </c>
      <c r="F255" s="20" t="s">
        <v>801</v>
      </c>
      <c r="G255" s="8" t="str">
        <f t="shared" si="3"/>
        <v>DUNCAN SHEILA</v>
      </c>
    </row>
    <row r="256" spans="1:7" x14ac:dyDescent="0.25">
      <c r="A256" s="8">
        <v>42875.010844907411</v>
      </c>
      <c r="B256" t="s">
        <v>382</v>
      </c>
      <c r="C256" t="s">
        <v>852</v>
      </c>
      <c r="D256" s="141">
        <v>2630000</v>
      </c>
      <c r="E256" t="s">
        <v>805</v>
      </c>
      <c r="F256" s="20" t="s">
        <v>806</v>
      </c>
      <c r="G256" s="8" t="str">
        <f t="shared" si="3"/>
        <v>SAFIEF AEIMEN</v>
      </c>
    </row>
    <row r="257" spans="1:7" x14ac:dyDescent="0.25">
      <c r="A257" s="8">
        <v>42875.010879629626</v>
      </c>
      <c r="B257" t="s">
        <v>713</v>
      </c>
      <c r="C257" t="s">
        <v>853</v>
      </c>
      <c r="D257" s="141">
        <v>2150000</v>
      </c>
      <c r="E257" t="s">
        <v>408</v>
      </c>
      <c r="F257" s="20" t="s">
        <v>409</v>
      </c>
      <c r="G257" s="8" t="str">
        <f t="shared" si="3"/>
        <v>SWANSON BRYCE</v>
      </c>
    </row>
    <row r="258" spans="1:7" x14ac:dyDescent="0.25">
      <c r="A258" s="8">
        <v>42875.033645833333</v>
      </c>
      <c r="B258" t="s">
        <v>637</v>
      </c>
      <c r="C258" t="s">
        <v>854</v>
      </c>
      <c r="D258" s="141">
        <v>3090000</v>
      </c>
      <c r="E258" t="s">
        <v>388</v>
      </c>
      <c r="F258" s="20" t="s">
        <v>389</v>
      </c>
      <c r="G258" s="8" t="str">
        <f t="shared" si="3"/>
        <v>LAMAR NEKESHA</v>
      </c>
    </row>
    <row r="259" spans="1:7" x14ac:dyDescent="0.25">
      <c r="A259" s="8">
        <v>42875.037974537037</v>
      </c>
      <c r="B259" t="s">
        <v>449</v>
      </c>
      <c r="C259" t="s">
        <v>855</v>
      </c>
      <c r="D259" s="141">
        <v>2270000</v>
      </c>
      <c r="E259" t="s">
        <v>413</v>
      </c>
      <c r="F259" s="20" t="s">
        <v>414</v>
      </c>
      <c r="G259" s="8" t="str">
        <f t="shared" ref="G259:G322" si="4">E259&amp;" "&amp;F259</f>
        <v>BROWN JACOB</v>
      </c>
    </row>
    <row r="260" spans="1:7" x14ac:dyDescent="0.25">
      <c r="A260" s="8">
        <v>42875.048043981478</v>
      </c>
      <c r="B260" t="s">
        <v>385</v>
      </c>
      <c r="C260" t="s">
        <v>856</v>
      </c>
      <c r="D260" s="141">
        <v>2630000</v>
      </c>
      <c r="E260" t="s">
        <v>805</v>
      </c>
      <c r="F260" s="20" t="s">
        <v>806</v>
      </c>
      <c r="G260" s="8" t="str">
        <f t="shared" si="4"/>
        <v>SAFIEF AEIMEN</v>
      </c>
    </row>
    <row r="261" spans="1:7" x14ac:dyDescent="0.25">
      <c r="A261" s="8">
        <v>42875.058217592596</v>
      </c>
      <c r="B261" t="s">
        <v>603</v>
      </c>
      <c r="C261" t="s">
        <v>857</v>
      </c>
      <c r="D261" s="141">
        <v>2150000</v>
      </c>
      <c r="E261" t="s">
        <v>408</v>
      </c>
      <c r="F261" s="20" t="s">
        <v>409</v>
      </c>
      <c r="G261" s="8" t="str">
        <f t="shared" si="4"/>
        <v>SWANSON BRYCE</v>
      </c>
    </row>
    <row r="262" spans="1:7" x14ac:dyDescent="0.25">
      <c r="A262" s="8">
        <v>42875.066782407404</v>
      </c>
      <c r="B262" t="s">
        <v>447</v>
      </c>
      <c r="C262" t="s">
        <v>858</v>
      </c>
      <c r="D262" s="141">
        <v>3090000</v>
      </c>
      <c r="E262" t="s">
        <v>388</v>
      </c>
      <c r="F262" s="20" t="s">
        <v>389</v>
      </c>
      <c r="G262" s="8" t="str">
        <f t="shared" si="4"/>
        <v>LAMAR NEKESHA</v>
      </c>
    </row>
    <row r="263" spans="1:7" x14ac:dyDescent="0.25">
      <c r="A263" s="8">
        <v>42875.077534722222</v>
      </c>
      <c r="B263" t="s">
        <v>448</v>
      </c>
      <c r="C263" t="s">
        <v>859</v>
      </c>
      <c r="D263" s="141">
        <v>2270000</v>
      </c>
      <c r="E263" t="s">
        <v>413</v>
      </c>
      <c r="F263" s="20" t="s">
        <v>414</v>
      </c>
      <c r="G263" s="8" t="str">
        <f t="shared" si="4"/>
        <v>BROWN JACOB</v>
      </c>
    </row>
    <row r="264" spans="1:7" x14ac:dyDescent="0.25">
      <c r="A264" s="8">
        <v>42875.090358796297</v>
      </c>
      <c r="B264" t="s">
        <v>713</v>
      </c>
      <c r="C264" t="s">
        <v>860</v>
      </c>
      <c r="D264" s="141">
        <v>2150000</v>
      </c>
      <c r="E264" t="s">
        <v>408</v>
      </c>
      <c r="F264" s="20" t="s">
        <v>409</v>
      </c>
      <c r="G264" s="8" t="str">
        <f t="shared" si="4"/>
        <v>SWANSON BRYCE</v>
      </c>
    </row>
    <row r="265" spans="1:7" x14ac:dyDescent="0.25">
      <c r="A265" s="8">
        <v>42871.975798611114</v>
      </c>
      <c r="B265" t="s">
        <v>449</v>
      </c>
      <c r="C265" t="s">
        <v>464</v>
      </c>
      <c r="D265" s="141">
        <v>1810000</v>
      </c>
      <c r="E265" t="s">
        <v>378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42871.992731481485</v>
      </c>
      <c r="B266" t="s">
        <v>462</v>
      </c>
      <c r="C266" t="s">
        <v>463</v>
      </c>
      <c r="D266" s="141">
        <v>2970000</v>
      </c>
      <c r="E266" t="s">
        <v>392</v>
      </c>
      <c r="F266" s="20" t="s">
        <v>393</v>
      </c>
      <c r="G266" s="8" t="str">
        <f t="shared" si="4"/>
        <v>GUZMAN DANNY</v>
      </c>
    </row>
    <row r="267" spans="1:7" x14ac:dyDescent="0.25">
      <c r="A267" s="8">
        <v>42871.995324074072</v>
      </c>
      <c r="B267" t="s">
        <v>445</v>
      </c>
      <c r="C267" t="s">
        <v>465</v>
      </c>
      <c r="D267" s="141">
        <v>3030000</v>
      </c>
      <c r="E267" t="s">
        <v>394</v>
      </c>
      <c r="F267" s="20" t="s">
        <v>377</v>
      </c>
      <c r="G267" s="8" t="str">
        <f t="shared" si="4"/>
        <v>BIRENBAUM THOMAS</v>
      </c>
    </row>
    <row r="268" spans="1:7" x14ac:dyDescent="0.25">
      <c r="A268" s="8">
        <v>42871.995393518519</v>
      </c>
      <c r="B268" t="s">
        <v>412</v>
      </c>
      <c r="C268" t="s">
        <v>466</v>
      </c>
      <c r="D268" s="141">
        <v>1800000</v>
      </c>
      <c r="E268" t="s">
        <v>390</v>
      </c>
      <c r="F268" s="20" t="s">
        <v>391</v>
      </c>
      <c r="G268" s="8" t="str">
        <f t="shared" si="4"/>
        <v>CHANDLER KELVIN</v>
      </c>
    </row>
    <row r="269" spans="1:7" x14ac:dyDescent="0.25">
      <c r="A269" s="8">
        <v>42872.004918981482</v>
      </c>
      <c r="B269" t="s">
        <v>343</v>
      </c>
      <c r="C269" t="s">
        <v>452</v>
      </c>
      <c r="D269" s="141">
        <v>3090000</v>
      </c>
      <c r="E269" t="s">
        <v>388</v>
      </c>
      <c r="F269" s="20" t="s">
        <v>389</v>
      </c>
      <c r="G269" s="8" t="str">
        <f t="shared" si="4"/>
        <v>LAMAR NEKESHA</v>
      </c>
    </row>
    <row r="270" spans="1:7" x14ac:dyDescent="0.25">
      <c r="A270" s="8">
        <v>42872.006157407406</v>
      </c>
      <c r="B270" t="s">
        <v>448</v>
      </c>
      <c r="C270" t="s">
        <v>467</v>
      </c>
      <c r="D270" s="141">
        <v>1810000</v>
      </c>
      <c r="E270" t="s">
        <v>378</v>
      </c>
      <c r="F270" s="20" t="s">
        <v>193</v>
      </c>
      <c r="G270" s="8" t="str">
        <f t="shared" si="4"/>
        <v>NEWELL JAMES</v>
      </c>
    </row>
    <row r="271" spans="1:7" x14ac:dyDescent="0.25">
      <c r="A271" s="8">
        <v>42872.014236111114</v>
      </c>
      <c r="B271" t="s">
        <v>450</v>
      </c>
      <c r="C271" t="s">
        <v>451</v>
      </c>
      <c r="D271" s="141">
        <v>2970000</v>
      </c>
      <c r="E271" t="s">
        <v>392</v>
      </c>
      <c r="F271" s="20" t="s">
        <v>393</v>
      </c>
      <c r="G271" s="8" t="str">
        <f t="shared" si="4"/>
        <v>GUZMAN DANNY</v>
      </c>
    </row>
    <row r="272" spans="1:7" x14ac:dyDescent="0.25">
      <c r="A272" s="8">
        <v>42872.015636574077</v>
      </c>
      <c r="B272" t="s">
        <v>430</v>
      </c>
      <c r="C272" t="s">
        <v>461</v>
      </c>
      <c r="D272" s="141">
        <v>3010000</v>
      </c>
      <c r="E272" t="s">
        <v>415</v>
      </c>
      <c r="F272" s="20" t="s">
        <v>416</v>
      </c>
      <c r="G272" s="8" t="str">
        <f t="shared" si="4"/>
        <v>SULLIVAN BRANDON</v>
      </c>
    </row>
    <row r="273" spans="1:7" x14ac:dyDescent="0.25">
      <c r="A273" s="8">
        <v>42872.026469907411</v>
      </c>
      <c r="B273" t="s">
        <v>462</v>
      </c>
      <c r="C273" t="s">
        <v>463</v>
      </c>
      <c r="D273" s="141">
        <v>2970000</v>
      </c>
      <c r="E273" t="s">
        <v>392</v>
      </c>
      <c r="F273" s="20" t="s">
        <v>393</v>
      </c>
      <c r="G273" s="8" t="str">
        <f t="shared" si="4"/>
        <v>GUZMAN DANNY</v>
      </c>
    </row>
    <row r="274" spans="1:7" x14ac:dyDescent="0.25">
      <c r="A274" s="8">
        <v>42872.028356481482</v>
      </c>
      <c r="B274" t="s">
        <v>418</v>
      </c>
      <c r="C274" t="s">
        <v>468</v>
      </c>
      <c r="D274" s="141">
        <v>1800000</v>
      </c>
      <c r="E274" t="s">
        <v>390</v>
      </c>
      <c r="F274" s="20" t="s">
        <v>391</v>
      </c>
      <c r="G274" s="8" t="str">
        <f t="shared" si="4"/>
        <v>CHANDLER KELVIN</v>
      </c>
    </row>
    <row r="275" spans="1:7" x14ac:dyDescent="0.25">
      <c r="A275" s="8">
        <v>42872.035462962966</v>
      </c>
      <c r="B275" t="s">
        <v>446</v>
      </c>
      <c r="C275" t="s">
        <v>469</v>
      </c>
      <c r="D275" s="141">
        <v>3030000</v>
      </c>
      <c r="E275" t="s">
        <v>394</v>
      </c>
      <c r="F275" s="20" t="s">
        <v>377</v>
      </c>
      <c r="G275" s="8" t="str">
        <f t="shared" si="4"/>
        <v>BIRENBAUM THOMAS</v>
      </c>
    </row>
    <row r="276" spans="1:7" x14ac:dyDescent="0.25">
      <c r="A276" s="8">
        <v>42872.036921296298</v>
      </c>
      <c r="B276" t="s">
        <v>428</v>
      </c>
      <c r="C276" t="s">
        <v>461</v>
      </c>
      <c r="D276" s="141">
        <v>3010000</v>
      </c>
      <c r="E276" t="s">
        <v>415</v>
      </c>
      <c r="F276" s="20" t="s">
        <v>416</v>
      </c>
      <c r="G276" s="8" t="str">
        <f t="shared" si="4"/>
        <v>SULLIVAN BRANDON</v>
      </c>
    </row>
    <row r="277" spans="1:7" x14ac:dyDescent="0.25">
      <c r="A277" s="8">
        <v>42872.037488425929</v>
      </c>
      <c r="B277" t="s">
        <v>428</v>
      </c>
      <c r="C277" t="s">
        <v>461</v>
      </c>
      <c r="D277" s="141">
        <v>3010000</v>
      </c>
      <c r="E277" t="s">
        <v>415</v>
      </c>
      <c r="F277" s="20" t="s">
        <v>416</v>
      </c>
      <c r="G277" s="8" t="str">
        <f t="shared" si="4"/>
        <v>SULLIVAN BRANDON</v>
      </c>
    </row>
    <row r="278" spans="1:7" x14ac:dyDescent="0.25">
      <c r="A278" s="8">
        <v>42872.041689814818</v>
      </c>
      <c r="B278" t="s">
        <v>450</v>
      </c>
      <c r="C278" t="s">
        <v>451</v>
      </c>
      <c r="D278" s="141">
        <v>2970000</v>
      </c>
      <c r="E278" t="s">
        <v>392</v>
      </c>
      <c r="F278" s="20" t="s">
        <v>393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449</v>
      </c>
      <c r="C279" t="s">
        <v>470</v>
      </c>
      <c r="D279" s="141">
        <v>1810000</v>
      </c>
      <c r="E279" t="s">
        <v>378</v>
      </c>
      <c r="F279" s="20" t="s">
        <v>193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344</v>
      </c>
      <c r="C280" t="s">
        <v>471</v>
      </c>
      <c r="D280" s="141">
        <v>3090000</v>
      </c>
      <c r="E280" t="s">
        <v>388</v>
      </c>
      <c r="F280" s="20" t="s">
        <v>389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430</v>
      </c>
      <c r="C281" t="s">
        <v>461</v>
      </c>
      <c r="D281" s="141">
        <v>3010000</v>
      </c>
      <c r="E281" t="s">
        <v>415</v>
      </c>
      <c r="F281" s="20" t="s">
        <v>416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462</v>
      </c>
      <c r="C282" t="s">
        <v>463</v>
      </c>
      <c r="D282" s="141">
        <v>2970000</v>
      </c>
      <c r="E282" t="s">
        <v>392</v>
      </c>
      <c r="F282" s="20" t="s">
        <v>393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428</v>
      </c>
      <c r="C283" t="s">
        <v>461</v>
      </c>
      <c r="D283" s="141">
        <v>3010000</v>
      </c>
      <c r="E283" t="s">
        <v>415</v>
      </c>
      <c r="F283" s="20" t="s">
        <v>416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445</v>
      </c>
      <c r="C284" t="s">
        <v>472</v>
      </c>
      <c r="D284" s="141">
        <v>3030000</v>
      </c>
      <c r="E284" t="s">
        <v>394</v>
      </c>
      <c r="F284" s="20" t="s">
        <v>377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428</v>
      </c>
      <c r="C285" t="s">
        <v>461</v>
      </c>
      <c r="D285" s="141">
        <v>3010000</v>
      </c>
      <c r="E285" t="s">
        <v>415</v>
      </c>
      <c r="F285" s="20" t="s">
        <v>416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450</v>
      </c>
      <c r="C286" t="s">
        <v>451</v>
      </c>
      <c r="D286" s="141">
        <v>2970000</v>
      </c>
      <c r="E286" t="s">
        <v>392</v>
      </c>
      <c r="F286" s="20" t="s">
        <v>393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462</v>
      </c>
      <c r="C287" t="s">
        <v>463</v>
      </c>
      <c r="D287" s="141">
        <v>2970000</v>
      </c>
      <c r="E287" t="s">
        <v>392</v>
      </c>
      <c r="F287" s="20" t="s">
        <v>393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343</v>
      </c>
      <c r="C288" t="s">
        <v>473</v>
      </c>
      <c r="D288" s="141">
        <v>3090000</v>
      </c>
      <c r="E288" t="s">
        <v>388</v>
      </c>
      <c r="F288" s="20" t="s">
        <v>389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450</v>
      </c>
      <c r="C289" t="s">
        <v>451</v>
      </c>
      <c r="D289" s="141">
        <v>2970000</v>
      </c>
      <c r="E289" t="s">
        <v>392</v>
      </c>
      <c r="F289" s="20" t="s">
        <v>393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430</v>
      </c>
      <c r="C290" t="s">
        <v>461</v>
      </c>
      <c r="D290" s="141">
        <v>3010000</v>
      </c>
      <c r="E290" t="s">
        <v>415</v>
      </c>
      <c r="F290" s="20" t="s">
        <v>416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430</v>
      </c>
      <c r="C291" t="s">
        <v>461</v>
      </c>
      <c r="D291" s="141">
        <v>3010000</v>
      </c>
      <c r="E291" t="s">
        <v>415</v>
      </c>
      <c r="F291" s="20" t="s">
        <v>416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430</v>
      </c>
      <c r="C292" t="s">
        <v>461</v>
      </c>
      <c r="D292" s="141">
        <v>3010000</v>
      </c>
      <c r="E292" t="s">
        <v>415</v>
      </c>
      <c r="F292" s="20" t="s">
        <v>416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430</v>
      </c>
      <c r="C293" t="s">
        <v>461</v>
      </c>
      <c r="D293" s="141">
        <v>3010000</v>
      </c>
      <c r="E293" t="s">
        <v>415</v>
      </c>
      <c r="F293" s="20" t="s">
        <v>416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462</v>
      </c>
      <c r="C294" t="s">
        <v>463</v>
      </c>
      <c r="D294" s="141">
        <v>2970000</v>
      </c>
      <c r="E294" t="s">
        <v>392</v>
      </c>
      <c r="F294" s="20" t="s">
        <v>393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343</v>
      </c>
      <c r="C295" t="s">
        <v>399</v>
      </c>
      <c r="D295" s="141">
        <v>1800000</v>
      </c>
      <c r="E295" t="s">
        <v>390</v>
      </c>
      <c r="F295" s="20" t="s">
        <v>391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376</v>
      </c>
      <c r="C296" t="s">
        <v>400</v>
      </c>
      <c r="D296" s="141">
        <v>3030000</v>
      </c>
      <c r="E296" t="s">
        <v>394</v>
      </c>
      <c r="F296" s="20" t="s">
        <v>377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387</v>
      </c>
      <c r="C297" t="s">
        <v>383</v>
      </c>
      <c r="D297" s="141">
        <v>2970000</v>
      </c>
      <c r="E297" t="s">
        <v>392</v>
      </c>
      <c r="F297" s="20" t="s">
        <v>393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366</v>
      </c>
      <c r="C298" t="s">
        <v>401</v>
      </c>
      <c r="D298" s="141">
        <v>2230000</v>
      </c>
      <c r="E298" t="s">
        <v>346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381</v>
      </c>
      <c r="C299" t="s">
        <v>383</v>
      </c>
      <c r="D299" s="141">
        <v>2970000</v>
      </c>
      <c r="E299" t="s">
        <v>392</v>
      </c>
      <c r="F299" s="20" t="s">
        <v>393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382</v>
      </c>
      <c r="C300" t="s">
        <v>386</v>
      </c>
      <c r="D300" s="141">
        <v>3130000</v>
      </c>
      <c r="E300" t="s">
        <v>397</v>
      </c>
      <c r="F300" s="20" t="s">
        <v>398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381</v>
      </c>
      <c r="C301" t="s">
        <v>383</v>
      </c>
      <c r="D301" s="141">
        <v>2970000</v>
      </c>
      <c r="E301" t="s">
        <v>392</v>
      </c>
      <c r="F301" s="20" t="s">
        <v>393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373</v>
      </c>
      <c r="C302" t="s">
        <v>384</v>
      </c>
      <c r="D302" s="141">
        <v>3040000</v>
      </c>
      <c r="E302" t="s">
        <v>395</v>
      </c>
      <c r="F302" s="20" t="s">
        <v>396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373</v>
      </c>
      <c r="C303" t="s">
        <v>384</v>
      </c>
      <c r="D303" s="141">
        <v>3040000</v>
      </c>
      <c r="E303" t="s">
        <v>395</v>
      </c>
      <c r="F303" s="20" t="s">
        <v>396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345</v>
      </c>
      <c r="C304" t="s">
        <v>402</v>
      </c>
      <c r="D304" s="141">
        <v>3030000</v>
      </c>
      <c r="E304" t="s">
        <v>394</v>
      </c>
      <c r="F304" s="20" t="s">
        <v>377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387</v>
      </c>
      <c r="C305" t="s">
        <v>383</v>
      </c>
      <c r="D305" s="141">
        <v>2970000</v>
      </c>
      <c r="E305" t="s">
        <v>392</v>
      </c>
      <c r="F305" s="20" t="s">
        <v>393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381</v>
      </c>
      <c r="C306" t="s">
        <v>383</v>
      </c>
      <c r="D306" s="141">
        <v>2970000</v>
      </c>
      <c r="E306" t="s">
        <v>392</v>
      </c>
      <c r="F306" s="20" t="s">
        <v>393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374</v>
      </c>
      <c r="C307" t="s">
        <v>384</v>
      </c>
      <c r="D307" s="141">
        <v>3040000</v>
      </c>
      <c r="E307" t="s">
        <v>395</v>
      </c>
      <c r="F307" s="20" t="s">
        <v>396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385</v>
      </c>
      <c r="C308" t="s">
        <v>403</v>
      </c>
      <c r="D308" s="141">
        <v>3130000</v>
      </c>
      <c r="E308" t="s">
        <v>397</v>
      </c>
      <c r="F308" s="20" t="s">
        <v>398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373</v>
      </c>
      <c r="C309" t="s">
        <v>384</v>
      </c>
      <c r="D309" s="141">
        <v>3040000</v>
      </c>
      <c r="E309" t="s">
        <v>395</v>
      </c>
      <c r="F309" s="20" t="s">
        <v>396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387</v>
      </c>
      <c r="C310" t="s">
        <v>383</v>
      </c>
      <c r="D310" s="141">
        <v>2970000</v>
      </c>
      <c r="E310" t="s">
        <v>392</v>
      </c>
      <c r="F310" s="20" t="s">
        <v>393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381</v>
      </c>
      <c r="C311" t="s">
        <v>383</v>
      </c>
      <c r="D311" s="141">
        <v>2970000</v>
      </c>
      <c r="E311" t="s">
        <v>392</v>
      </c>
      <c r="F311" s="20" t="s">
        <v>393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549</v>
      </c>
      <c r="I1" s="201" t="s">
        <v>168</v>
      </c>
      <c r="J1" s="201" t="s">
        <v>169</v>
      </c>
      <c r="K1" s="201" t="s">
        <v>379</v>
      </c>
      <c r="L1" s="201" t="s">
        <v>163</v>
      </c>
      <c r="M1" s="201" t="s">
        <v>161</v>
      </c>
      <c r="N1" s="201" t="s">
        <v>156</v>
      </c>
      <c r="O1" s="201" t="s">
        <v>166</v>
      </c>
      <c r="P1" s="201" t="s">
        <v>160</v>
      </c>
      <c r="Q1" s="201" t="s">
        <v>167</v>
      </c>
      <c r="R1" s="201" t="s">
        <v>164</v>
      </c>
    </row>
    <row r="2" spans="1:18" x14ac:dyDescent="0.25">
      <c r="A2" s="168">
        <v>31.96</v>
      </c>
      <c r="B2" s="168">
        <v>1</v>
      </c>
      <c r="C2" s="168">
        <v>33.369999999999997</v>
      </c>
      <c r="D2" s="8">
        <v>42874</v>
      </c>
      <c r="E2" s="168">
        <v>0.95</v>
      </c>
      <c r="F2" s="168" t="s">
        <v>380</v>
      </c>
      <c r="G2" s="168">
        <v>400.09</v>
      </c>
      <c r="H2" s="168"/>
      <c r="I2" s="168">
        <v>6.8999999999999999E-3</v>
      </c>
      <c r="J2" s="168">
        <v>0.33</v>
      </c>
      <c r="K2" s="168" t="s">
        <v>380</v>
      </c>
      <c r="L2" s="168">
        <v>1019.75</v>
      </c>
      <c r="M2" s="168" t="s">
        <v>861</v>
      </c>
      <c r="N2" s="168">
        <v>34.619999999999997</v>
      </c>
      <c r="O2" s="168">
        <v>1495173600</v>
      </c>
      <c r="P2" s="168">
        <v>1.64</v>
      </c>
      <c r="Q2" s="168">
        <v>316</v>
      </c>
      <c r="R2" s="168">
        <v>3.25</v>
      </c>
    </row>
    <row r="3" spans="1:18" x14ac:dyDescent="0.25">
      <c r="A3" s="168">
        <v>34.590000000000003</v>
      </c>
      <c r="B3" s="168">
        <v>0.92</v>
      </c>
      <c r="C3" s="168">
        <v>33.29</v>
      </c>
      <c r="D3" s="8">
        <v>42874.041666666664</v>
      </c>
      <c r="E3" s="168">
        <v>0.95</v>
      </c>
      <c r="F3" s="168" t="s">
        <v>380</v>
      </c>
      <c r="G3" s="168">
        <v>399.85</v>
      </c>
      <c r="H3" s="168"/>
      <c r="I3" s="168">
        <v>5.8999999999999999E-3</v>
      </c>
      <c r="J3" s="168">
        <v>0.27</v>
      </c>
      <c r="K3" s="168" t="s">
        <v>380</v>
      </c>
      <c r="L3" s="168">
        <v>1019.58</v>
      </c>
      <c r="M3" s="168" t="s">
        <v>861</v>
      </c>
      <c r="N3" s="168">
        <v>34.590000000000003</v>
      </c>
      <c r="O3" s="168">
        <v>1495177200</v>
      </c>
      <c r="P3" s="168">
        <v>1.78</v>
      </c>
      <c r="Q3" s="168">
        <v>324</v>
      </c>
      <c r="R3" s="168">
        <v>2.99</v>
      </c>
    </row>
    <row r="4" spans="1:18" x14ac:dyDescent="0.25">
      <c r="A4" s="168">
        <v>30.94</v>
      </c>
      <c r="B4" s="168">
        <v>0.86</v>
      </c>
      <c r="C4" s="168">
        <v>33.090000000000003</v>
      </c>
      <c r="D4" s="8">
        <v>42874.083333333336</v>
      </c>
      <c r="E4" s="168">
        <v>0.95</v>
      </c>
      <c r="F4" s="168" t="s">
        <v>380</v>
      </c>
      <c r="G4" s="168">
        <v>399.61</v>
      </c>
      <c r="H4" s="168"/>
      <c r="I4" s="168">
        <v>5.0000000000000001E-3</v>
      </c>
      <c r="J4" s="168">
        <v>0.21</v>
      </c>
      <c r="K4" s="168" t="s">
        <v>380</v>
      </c>
      <c r="L4" s="168">
        <v>1019.45</v>
      </c>
      <c r="M4" s="168" t="s">
        <v>861</v>
      </c>
      <c r="N4" s="168">
        <v>34.31</v>
      </c>
      <c r="O4" s="168">
        <v>1495180800</v>
      </c>
      <c r="P4" s="168">
        <v>1.94</v>
      </c>
      <c r="Q4" s="168">
        <v>324</v>
      </c>
      <c r="R4" s="168">
        <v>3.82</v>
      </c>
    </row>
    <row r="5" spans="1:18" x14ac:dyDescent="0.25">
      <c r="A5" s="168">
        <v>34.6</v>
      </c>
      <c r="B5" s="168">
        <v>0.8</v>
      </c>
      <c r="C5" s="168">
        <v>33.14</v>
      </c>
      <c r="D5" s="8">
        <v>42874.125</v>
      </c>
      <c r="E5" s="168">
        <v>0.94</v>
      </c>
      <c r="F5" s="168" t="s">
        <v>862</v>
      </c>
      <c r="G5" s="168">
        <v>399.37</v>
      </c>
      <c r="H5" s="168"/>
      <c r="I5" s="168">
        <v>4.0000000000000001E-3</v>
      </c>
      <c r="J5" s="168">
        <v>0.15</v>
      </c>
      <c r="K5" s="168" t="s">
        <v>380</v>
      </c>
      <c r="L5" s="168">
        <v>1019.35</v>
      </c>
      <c r="M5" s="168" t="s">
        <v>863</v>
      </c>
      <c r="N5" s="168">
        <v>34.6</v>
      </c>
      <c r="O5" s="168">
        <v>1495184400</v>
      </c>
      <c r="P5" s="168">
        <v>5.2</v>
      </c>
      <c r="Q5" s="168">
        <v>315</v>
      </c>
      <c r="R5" s="168">
        <v>2.77</v>
      </c>
    </row>
    <row r="6" spans="1:18" x14ac:dyDescent="0.25">
      <c r="A6" s="168">
        <v>33.56</v>
      </c>
      <c r="B6" s="168">
        <v>0.79</v>
      </c>
      <c r="C6" s="168">
        <v>32.17</v>
      </c>
      <c r="D6" s="8">
        <v>42874.166666666664</v>
      </c>
      <c r="E6" s="168">
        <v>0.95</v>
      </c>
      <c r="F6" s="168" t="s">
        <v>550</v>
      </c>
      <c r="G6" s="168">
        <v>402.23</v>
      </c>
      <c r="H6" s="168">
        <v>3.3000000000000002E-2</v>
      </c>
      <c r="I6" s="168">
        <v>4.4000000000000003E-3</v>
      </c>
      <c r="J6" s="168">
        <v>0.17</v>
      </c>
      <c r="K6" s="168" t="s">
        <v>550</v>
      </c>
      <c r="L6" s="168">
        <v>1019.47</v>
      </c>
      <c r="M6" s="168" t="s">
        <v>551</v>
      </c>
      <c r="N6" s="168">
        <v>33.56</v>
      </c>
      <c r="O6" s="168">
        <v>1495188000</v>
      </c>
      <c r="P6" s="168">
        <v>2.31</v>
      </c>
      <c r="Q6" s="168">
        <v>323</v>
      </c>
      <c r="R6" s="168">
        <v>2.58</v>
      </c>
    </row>
    <row r="7" spans="1:18" x14ac:dyDescent="0.25">
      <c r="A7" s="168">
        <v>34.729999999999997</v>
      </c>
      <c r="B7" s="168">
        <v>0.89</v>
      </c>
      <c r="C7" s="168">
        <v>33.24</v>
      </c>
      <c r="D7" s="8">
        <v>42874.208333333336</v>
      </c>
      <c r="E7" s="168">
        <v>0.94</v>
      </c>
      <c r="F7" s="168" t="s">
        <v>380</v>
      </c>
      <c r="G7" s="168">
        <v>406.23</v>
      </c>
      <c r="H7" s="168"/>
      <c r="I7" s="168">
        <v>5.1999999999999998E-3</v>
      </c>
      <c r="J7" s="168">
        <v>0.22</v>
      </c>
      <c r="K7" s="168" t="s">
        <v>380</v>
      </c>
      <c r="L7" s="168">
        <v>1019.65</v>
      </c>
      <c r="M7" s="168" t="s">
        <v>861</v>
      </c>
      <c r="N7" s="168">
        <v>34.729999999999997</v>
      </c>
      <c r="O7" s="168">
        <v>1495191600</v>
      </c>
      <c r="P7" s="168">
        <v>2.8</v>
      </c>
      <c r="Q7" s="168">
        <v>311</v>
      </c>
      <c r="R7" s="168">
        <v>2.67</v>
      </c>
    </row>
    <row r="8" spans="1:18" x14ac:dyDescent="0.25">
      <c r="A8" s="168">
        <v>33.78</v>
      </c>
      <c r="B8" s="168">
        <v>0.95</v>
      </c>
      <c r="C8" s="168">
        <v>32.270000000000003</v>
      </c>
      <c r="D8" s="8">
        <v>42874.25</v>
      </c>
      <c r="E8" s="168">
        <v>0.94</v>
      </c>
      <c r="F8" s="168" t="s">
        <v>380</v>
      </c>
      <c r="G8" s="168">
        <v>408.91</v>
      </c>
      <c r="H8" s="168"/>
      <c r="I8" s="168">
        <v>5.5999999999999999E-3</v>
      </c>
      <c r="J8" s="168">
        <v>0.25</v>
      </c>
      <c r="K8" s="168" t="s">
        <v>380</v>
      </c>
      <c r="L8" s="168">
        <v>1019.78</v>
      </c>
      <c r="M8" s="168" t="s">
        <v>861</v>
      </c>
      <c r="N8" s="168">
        <v>33.78</v>
      </c>
      <c r="O8" s="168">
        <v>1495195200</v>
      </c>
      <c r="P8" s="168">
        <v>3.02</v>
      </c>
      <c r="Q8" s="168">
        <v>317</v>
      </c>
      <c r="R8" s="168">
        <v>2.9</v>
      </c>
    </row>
    <row r="9" spans="1:18" x14ac:dyDescent="0.25">
      <c r="A9" s="168">
        <v>32.479999999999997</v>
      </c>
      <c r="B9" s="168">
        <v>0.88</v>
      </c>
      <c r="C9" s="168">
        <v>33.83</v>
      </c>
      <c r="D9" s="8">
        <v>42874.291666666664</v>
      </c>
      <c r="E9" s="168">
        <v>0.93</v>
      </c>
      <c r="F9" s="168" t="s">
        <v>380</v>
      </c>
      <c r="G9" s="168">
        <v>409.62</v>
      </c>
      <c r="H9" s="168"/>
      <c r="I9" s="168">
        <v>5.1000000000000004E-3</v>
      </c>
      <c r="J9" s="168">
        <v>0.22</v>
      </c>
      <c r="K9" s="168" t="s">
        <v>380</v>
      </c>
      <c r="L9" s="168">
        <v>1019.76</v>
      </c>
      <c r="M9" s="168" t="s">
        <v>861</v>
      </c>
      <c r="N9" s="168">
        <v>35.64</v>
      </c>
      <c r="O9" s="168">
        <v>1495198800</v>
      </c>
      <c r="P9" s="168">
        <v>2.98</v>
      </c>
      <c r="Q9" s="168">
        <v>321</v>
      </c>
      <c r="R9" s="168">
        <v>3.8</v>
      </c>
    </row>
    <row r="10" spans="1:18" x14ac:dyDescent="0.25">
      <c r="A10" s="168">
        <v>34.35</v>
      </c>
      <c r="B10" s="168">
        <v>0.79</v>
      </c>
      <c r="C10" s="168">
        <v>34.1</v>
      </c>
      <c r="D10" s="8">
        <v>42874.333333333336</v>
      </c>
      <c r="E10" s="168">
        <v>0.9</v>
      </c>
      <c r="F10" s="168" t="s">
        <v>864</v>
      </c>
      <c r="G10" s="168">
        <v>409.02</v>
      </c>
      <c r="H10" s="168"/>
      <c r="I10" s="168">
        <v>4.1999999999999997E-3</v>
      </c>
      <c r="J10" s="168">
        <v>0.16</v>
      </c>
      <c r="K10" s="168" t="s">
        <v>380</v>
      </c>
      <c r="L10" s="168">
        <v>1019.61</v>
      </c>
      <c r="M10" s="168" t="s">
        <v>863</v>
      </c>
      <c r="N10" s="168">
        <v>36.68</v>
      </c>
      <c r="O10" s="168">
        <v>1495202400</v>
      </c>
      <c r="P10" s="168">
        <v>2.93</v>
      </c>
      <c r="Q10" s="168">
        <v>328</v>
      </c>
      <c r="R10" s="168">
        <v>3.21</v>
      </c>
    </row>
    <row r="11" spans="1:18" x14ac:dyDescent="0.25">
      <c r="A11" s="168">
        <v>33.79</v>
      </c>
      <c r="B11" s="168">
        <v>0.69</v>
      </c>
      <c r="C11" s="168">
        <v>34.46</v>
      </c>
      <c r="D11" s="8">
        <v>42874.375</v>
      </c>
      <c r="E11" s="168">
        <v>0.88</v>
      </c>
      <c r="F11" s="168" t="s">
        <v>864</v>
      </c>
      <c r="G11" s="168">
        <v>406.64</v>
      </c>
      <c r="H11" s="168"/>
      <c r="I11" s="168">
        <v>3.5000000000000001E-3</v>
      </c>
      <c r="J11" s="168">
        <v>0.12</v>
      </c>
      <c r="K11" s="168" t="s">
        <v>380</v>
      </c>
      <c r="L11" s="168">
        <v>1019.28</v>
      </c>
      <c r="M11" s="168" t="s">
        <v>863</v>
      </c>
      <c r="N11" s="168">
        <v>37.68</v>
      </c>
      <c r="O11" s="168">
        <v>1495206000</v>
      </c>
      <c r="P11" s="168">
        <v>2.93</v>
      </c>
      <c r="Q11" s="168">
        <v>338</v>
      </c>
      <c r="R11" s="168">
        <v>4.9400000000000004</v>
      </c>
    </row>
    <row r="12" spans="1:18" x14ac:dyDescent="0.25">
      <c r="A12" s="168">
        <v>36.49</v>
      </c>
      <c r="B12" s="168">
        <v>0.73</v>
      </c>
      <c r="C12" s="168">
        <v>35.01</v>
      </c>
      <c r="D12" s="8">
        <v>42874.416666666664</v>
      </c>
      <c r="E12" s="168">
        <v>0.84</v>
      </c>
      <c r="F12" s="168" t="s">
        <v>864</v>
      </c>
      <c r="G12" s="168">
        <v>400.86</v>
      </c>
      <c r="H12" s="168"/>
      <c r="I12" s="168">
        <v>3.3E-3</v>
      </c>
      <c r="J12" s="168">
        <v>0.11</v>
      </c>
      <c r="K12" s="168" t="s">
        <v>380</v>
      </c>
      <c r="L12" s="168">
        <v>1018.79</v>
      </c>
      <c r="M12" s="168" t="s">
        <v>863</v>
      </c>
      <c r="N12" s="168">
        <v>39.46</v>
      </c>
      <c r="O12" s="168">
        <v>1495209600</v>
      </c>
      <c r="P12" s="168">
        <v>2.95</v>
      </c>
      <c r="Q12" s="168">
        <v>345</v>
      </c>
      <c r="R12" s="168">
        <v>4.22</v>
      </c>
    </row>
    <row r="13" spans="1:18" x14ac:dyDescent="0.25">
      <c r="A13" s="168">
        <v>36.71</v>
      </c>
      <c r="B13" s="168">
        <v>0.82</v>
      </c>
      <c r="C13" s="168">
        <v>34.68</v>
      </c>
      <c r="D13" s="8">
        <v>42874.458333333336</v>
      </c>
      <c r="E13" s="168">
        <v>0.78</v>
      </c>
      <c r="F13" s="168" t="s">
        <v>864</v>
      </c>
      <c r="G13" s="168">
        <v>393.3</v>
      </c>
      <c r="H13" s="168"/>
      <c r="I13" s="168">
        <v>3.3E-3</v>
      </c>
      <c r="J13" s="168">
        <v>0.11</v>
      </c>
      <c r="K13" s="168" t="s">
        <v>380</v>
      </c>
      <c r="L13" s="168">
        <v>1018.27</v>
      </c>
      <c r="M13" s="168" t="s">
        <v>863</v>
      </c>
      <c r="N13" s="168">
        <v>40.950000000000003</v>
      </c>
      <c r="O13" s="168">
        <v>1495213200</v>
      </c>
      <c r="P13" s="168">
        <v>2.98</v>
      </c>
      <c r="Q13" s="168">
        <v>358</v>
      </c>
      <c r="R13" s="168">
        <v>6.27</v>
      </c>
    </row>
    <row r="14" spans="1:18" x14ac:dyDescent="0.25">
      <c r="A14" s="168">
        <v>37.119999999999997</v>
      </c>
      <c r="B14" s="168">
        <v>0.89</v>
      </c>
      <c r="C14" s="168">
        <v>34.81</v>
      </c>
      <c r="D14" s="8">
        <v>42874.5</v>
      </c>
      <c r="E14" s="168">
        <v>0.78</v>
      </c>
      <c r="F14" s="168" t="s">
        <v>864</v>
      </c>
      <c r="G14" s="168">
        <v>388.39</v>
      </c>
      <c r="H14" s="168"/>
      <c r="I14" s="168">
        <v>3.0999999999999999E-3</v>
      </c>
      <c r="J14" s="168">
        <v>0.1</v>
      </c>
      <c r="K14" s="168" t="s">
        <v>380</v>
      </c>
      <c r="L14" s="168">
        <v>1017.85</v>
      </c>
      <c r="M14" s="168" t="s">
        <v>863</v>
      </c>
      <c r="N14" s="168">
        <v>41.27</v>
      </c>
      <c r="O14" s="168">
        <v>1495216800</v>
      </c>
      <c r="P14" s="168">
        <v>3.04</v>
      </c>
      <c r="Q14" s="168">
        <v>357</v>
      </c>
      <c r="R14" s="168">
        <v>6.23</v>
      </c>
    </row>
    <row r="15" spans="1:18" x14ac:dyDescent="0.25">
      <c r="A15" s="168">
        <v>38.85</v>
      </c>
      <c r="B15" s="168">
        <v>0.83</v>
      </c>
      <c r="C15" s="168">
        <v>35.369999999999997</v>
      </c>
      <c r="D15" s="8">
        <v>42874.541666666664</v>
      </c>
      <c r="E15" s="168">
        <v>0.75</v>
      </c>
      <c r="F15" s="168" t="s">
        <v>864</v>
      </c>
      <c r="G15" s="168">
        <v>388.73</v>
      </c>
      <c r="H15" s="168"/>
      <c r="I15" s="168">
        <v>2.7000000000000001E-3</v>
      </c>
      <c r="J15" s="168">
        <v>0.08</v>
      </c>
      <c r="K15" s="168" t="s">
        <v>380</v>
      </c>
      <c r="L15" s="168">
        <v>1017.42</v>
      </c>
      <c r="M15" s="168" t="s">
        <v>863</v>
      </c>
      <c r="N15" s="168">
        <v>42.9</v>
      </c>
      <c r="O15" s="168">
        <v>1495220400</v>
      </c>
      <c r="P15" s="168">
        <v>10</v>
      </c>
      <c r="Q15" s="168">
        <v>5</v>
      </c>
      <c r="R15" s="168">
        <v>6.59</v>
      </c>
    </row>
    <row r="16" spans="1:18" x14ac:dyDescent="0.25">
      <c r="A16" s="168">
        <v>40.15</v>
      </c>
      <c r="B16" s="168">
        <v>0.74</v>
      </c>
      <c r="C16" s="168">
        <v>36.49</v>
      </c>
      <c r="D16" s="8">
        <v>42874.583333333336</v>
      </c>
      <c r="E16" s="168">
        <v>0.76</v>
      </c>
      <c r="F16" s="168" t="s">
        <v>864</v>
      </c>
      <c r="G16" s="168">
        <v>391.71</v>
      </c>
      <c r="H16" s="168"/>
      <c r="I16" s="168">
        <v>2.3E-3</v>
      </c>
      <c r="J16" s="168">
        <v>0.06</v>
      </c>
      <c r="K16" s="168" t="s">
        <v>380</v>
      </c>
      <c r="L16" s="168">
        <v>1017.02</v>
      </c>
      <c r="M16" s="168" t="s">
        <v>863</v>
      </c>
      <c r="N16" s="168">
        <v>43.38</v>
      </c>
      <c r="O16" s="168">
        <v>1495224000</v>
      </c>
      <c r="P16" s="168">
        <v>3.06</v>
      </c>
      <c r="Q16" s="168">
        <v>11</v>
      </c>
      <c r="R16" s="168">
        <v>5.43</v>
      </c>
    </row>
    <row r="17" spans="1:18" x14ac:dyDescent="0.25">
      <c r="A17" s="168">
        <v>40.24</v>
      </c>
      <c r="B17" s="168">
        <v>0.7</v>
      </c>
      <c r="C17" s="168">
        <v>36.82</v>
      </c>
      <c r="D17" s="8">
        <v>42874.625</v>
      </c>
      <c r="E17" s="168">
        <v>0.78</v>
      </c>
      <c r="F17" s="168" t="s">
        <v>864</v>
      </c>
      <c r="G17" s="168">
        <v>394</v>
      </c>
      <c r="H17" s="168"/>
      <c r="I17" s="168">
        <v>2E-3</v>
      </c>
      <c r="J17" s="168">
        <v>0.05</v>
      </c>
      <c r="K17" s="168" t="s">
        <v>380</v>
      </c>
      <c r="L17" s="168">
        <v>1016.84</v>
      </c>
      <c r="M17" s="168" t="s">
        <v>863</v>
      </c>
      <c r="N17" s="168">
        <v>43.26</v>
      </c>
      <c r="O17" s="168">
        <v>1495227600</v>
      </c>
      <c r="P17" s="168">
        <v>10</v>
      </c>
      <c r="Q17" s="168">
        <v>16</v>
      </c>
      <c r="R17" s="168">
        <v>5.08</v>
      </c>
    </row>
    <row r="18" spans="1:18" x14ac:dyDescent="0.25">
      <c r="A18" s="168">
        <v>39.64</v>
      </c>
      <c r="B18" s="168">
        <v>0.74</v>
      </c>
      <c r="C18" s="168">
        <v>36.42</v>
      </c>
      <c r="D18" s="8">
        <v>42874.666666666664</v>
      </c>
      <c r="E18" s="168">
        <v>0.78</v>
      </c>
      <c r="F18" s="168" t="s">
        <v>864</v>
      </c>
      <c r="G18" s="168">
        <v>394.08</v>
      </c>
      <c r="H18" s="168"/>
      <c r="I18" s="168">
        <v>2.3999999999999998E-3</v>
      </c>
      <c r="J18" s="168">
        <v>7.0000000000000007E-2</v>
      </c>
      <c r="K18" s="168" t="s">
        <v>380</v>
      </c>
      <c r="L18" s="168">
        <v>1017.38</v>
      </c>
      <c r="M18" s="168" t="s">
        <v>863</v>
      </c>
      <c r="N18" s="168">
        <v>42.68</v>
      </c>
      <c r="O18" s="168">
        <v>1495231200</v>
      </c>
      <c r="P18" s="168">
        <v>10</v>
      </c>
      <c r="Q18" s="168">
        <v>9</v>
      </c>
      <c r="R18" s="168">
        <v>4.9800000000000004</v>
      </c>
    </row>
    <row r="19" spans="1:18" x14ac:dyDescent="0.25">
      <c r="A19" s="168">
        <v>38.44</v>
      </c>
      <c r="B19" s="168">
        <v>0.83</v>
      </c>
      <c r="C19" s="168">
        <v>35.04</v>
      </c>
      <c r="D19" s="8">
        <v>42874.708333333336</v>
      </c>
      <c r="E19" s="168">
        <v>0.77</v>
      </c>
      <c r="F19" s="168" t="s">
        <v>864</v>
      </c>
      <c r="G19" s="168">
        <v>393.46</v>
      </c>
      <c r="H19" s="168"/>
      <c r="I19" s="168">
        <v>3.0000000000000001E-3</v>
      </c>
      <c r="J19" s="168">
        <v>0.1</v>
      </c>
      <c r="K19" s="168" t="s">
        <v>380</v>
      </c>
      <c r="L19" s="168">
        <v>1018.32</v>
      </c>
      <c r="M19" s="168" t="s">
        <v>863</v>
      </c>
      <c r="N19" s="168">
        <v>41.78</v>
      </c>
      <c r="O19" s="168">
        <v>1495234800</v>
      </c>
      <c r="P19" s="168">
        <v>3.68</v>
      </c>
      <c r="Q19" s="168">
        <v>13</v>
      </c>
      <c r="R19" s="168">
        <v>5.16</v>
      </c>
    </row>
    <row r="20" spans="1:18" x14ac:dyDescent="0.25">
      <c r="A20" s="168">
        <v>38.25</v>
      </c>
      <c r="B20" s="168">
        <v>0.89</v>
      </c>
      <c r="C20" s="168">
        <v>34.909999999999997</v>
      </c>
      <c r="D20" s="8">
        <v>42874.75</v>
      </c>
      <c r="E20" s="168">
        <v>0.79</v>
      </c>
      <c r="F20" s="168" t="s">
        <v>864</v>
      </c>
      <c r="G20" s="168">
        <v>393.37</v>
      </c>
      <c r="H20" s="168"/>
      <c r="I20" s="168">
        <v>2.8999999999999998E-3</v>
      </c>
      <c r="J20" s="168">
        <v>0.09</v>
      </c>
      <c r="K20" s="168" t="s">
        <v>380</v>
      </c>
      <c r="L20" s="168">
        <v>1019.18</v>
      </c>
      <c r="M20" s="168" t="s">
        <v>863</v>
      </c>
      <c r="N20" s="168">
        <v>40.94</v>
      </c>
      <c r="O20" s="168">
        <v>1495238400</v>
      </c>
      <c r="P20" s="168">
        <v>3.92</v>
      </c>
      <c r="Q20" s="168">
        <v>14</v>
      </c>
      <c r="R20" s="168">
        <v>4.18</v>
      </c>
    </row>
    <row r="21" spans="1:18" x14ac:dyDescent="0.25">
      <c r="A21" s="168">
        <v>38.869999999999997</v>
      </c>
      <c r="B21" s="168">
        <v>0.92</v>
      </c>
      <c r="C21" s="168">
        <v>34.72</v>
      </c>
      <c r="D21" s="8">
        <v>42874.791666666664</v>
      </c>
      <c r="E21" s="168">
        <v>0.85</v>
      </c>
      <c r="F21" s="168" t="s">
        <v>864</v>
      </c>
      <c r="G21" s="168">
        <v>394.49</v>
      </c>
      <c r="H21" s="168"/>
      <c r="I21" s="168">
        <v>1.9E-3</v>
      </c>
      <c r="J21" s="168">
        <v>0.04</v>
      </c>
      <c r="K21" s="168" t="s">
        <v>380</v>
      </c>
      <c r="L21" s="168">
        <v>1020.15</v>
      </c>
      <c r="M21" s="168" t="s">
        <v>863</v>
      </c>
      <c r="N21" s="168">
        <v>38.869999999999997</v>
      </c>
      <c r="O21" s="168">
        <v>1495242000</v>
      </c>
      <c r="P21" s="168">
        <v>4.53</v>
      </c>
      <c r="Q21" s="168">
        <v>10</v>
      </c>
      <c r="R21" s="168">
        <v>2.91</v>
      </c>
    </row>
    <row r="22" spans="1:18" x14ac:dyDescent="0.25">
      <c r="A22" s="168">
        <v>38.590000000000003</v>
      </c>
      <c r="B22" s="168">
        <v>0.79</v>
      </c>
      <c r="C22" s="168">
        <v>34.729999999999997</v>
      </c>
      <c r="D22" s="8">
        <v>42874.833333333336</v>
      </c>
      <c r="E22" s="168">
        <v>0.86</v>
      </c>
      <c r="F22" s="168" t="s">
        <v>864</v>
      </c>
      <c r="G22" s="168">
        <v>396.13</v>
      </c>
      <c r="H22" s="168"/>
      <c r="I22" s="168">
        <v>1E-3</v>
      </c>
      <c r="J22" s="168">
        <v>0.01</v>
      </c>
      <c r="K22" s="168" t="s">
        <v>380</v>
      </c>
      <c r="L22" s="168">
        <v>1021</v>
      </c>
      <c r="M22" s="168" t="s">
        <v>863</v>
      </c>
      <c r="N22" s="168">
        <v>38.590000000000003</v>
      </c>
      <c r="O22" s="168">
        <v>1495245600</v>
      </c>
      <c r="P22" s="168">
        <v>5.73</v>
      </c>
      <c r="Q22" s="168">
        <v>0</v>
      </c>
      <c r="R22" s="168">
        <v>2.2000000000000002</v>
      </c>
    </row>
    <row r="23" spans="1:18" x14ac:dyDescent="0.25">
      <c r="A23" s="168">
        <v>38.619999999999997</v>
      </c>
      <c r="B23" s="168">
        <v>0.73</v>
      </c>
      <c r="C23" s="168">
        <v>34.729999999999997</v>
      </c>
      <c r="D23" s="8">
        <v>42874.875</v>
      </c>
      <c r="E23" s="168">
        <v>0.86</v>
      </c>
      <c r="F23" s="168" t="s">
        <v>862</v>
      </c>
      <c r="G23" s="168">
        <v>397.41</v>
      </c>
      <c r="H23" s="168"/>
      <c r="I23" s="168">
        <v>0</v>
      </c>
      <c r="J23" s="168">
        <v>0</v>
      </c>
      <c r="K23" s="168"/>
      <c r="L23" s="168">
        <v>1021.58</v>
      </c>
      <c r="M23" s="168" t="s">
        <v>863</v>
      </c>
      <c r="N23" s="168">
        <v>38.619999999999997</v>
      </c>
      <c r="O23" s="168">
        <v>1495249200</v>
      </c>
      <c r="P23" s="168">
        <v>4.6100000000000003</v>
      </c>
      <c r="Q23" s="168">
        <v>333</v>
      </c>
      <c r="R23" s="168">
        <v>1.77</v>
      </c>
    </row>
    <row r="24" spans="1:18" x14ac:dyDescent="0.25">
      <c r="A24" s="168">
        <v>37.68</v>
      </c>
      <c r="B24" s="168">
        <v>0.87</v>
      </c>
      <c r="C24" s="168">
        <v>33.61</v>
      </c>
      <c r="D24" s="8">
        <v>42874.916666666664</v>
      </c>
      <c r="E24" s="168">
        <v>0.85</v>
      </c>
      <c r="F24" s="168" t="s">
        <v>862</v>
      </c>
      <c r="G24" s="168">
        <v>398.1</v>
      </c>
      <c r="H24" s="168"/>
      <c r="I24" s="168">
        <v>8.9999999999999998E-4</v>
      </c>
      <c r="J24" s="168">
        <v>0.01</v>
      </c>
      <c r="K24" s="168" t="s">
        <v>380</v>
      </c>
      <c r="L24" s="168">
        <v>1021.72</v>
      </c>
      <c r="M24" s="168" t="s">
        <v>863</v>
      </c>
      <c r="N24" s="168">
        <v>37.68</v>
      </c>
      <c r="O24" s="168">
        <v>1495252800</v>
      </c>
      <c r="P24" s="168">
        <v>2.82</v>
      </c>
      <c r="Q24" s="168">
        <v>313</v>
      </c>
      <c r="R24" s="168">
        <v>2.29</v>
      </c>
    </row>
    <row r="25" spans="1:18" x14ac:dyDescent="0.25">
      <c r="A25" s="168">
        <v>37.82</v>
      </c>
      <c r="B25" s="168">
        <v>0.96</v>
      </c>
      <c r="C25" s="168">
        <v>33.83</v>
      </c>
      <c r="D25" s="8">
        <v>42874.958333333336</v>
      </c>
      <c r="E25" s="168">
        <v>0.85</v>
      </c>
      <c r="F25" s="168" t="s">
        <v>865</v>
      </c>
      <c r="G25" s="168">
        <v>398.43</v>
      </c>
      <c r="H25" s="168"/>
      <c r="I25" s="168">
        <v>1.8E-3</v>
      </c>
      <c r="J25" s="168">
        <v>0.04</v>
      </c>
      <c r="K25" s="168" t="s">
        <v>380</v>
      </c>
      <c r="L25" s="168">
        <v>1021.52</v>
      </c>
      <c r="M25" s="168" t="s">
        <v>866</v>
      </c>
      <c r="N25" s="168">
        <v>37.82</v>
      </c>
      <c r="O25" s="168">
        <v>1495256400</v>
      </c>
      <c r="P25" s="168">
        <v>2</v>
      </c>
      <c r="Q25" s="168">
        <v>281</v>
      </c>
      <c r="R25" s="168">
        <v>1.1599999999999999</v>
      </c>
    </row>
    <row r="26" spans="1:18" x14ac:dyDescent="0.25">
      <c r="A26" s="168">
        <v>37.47</v>
      </c>
      <c r="B26" s="168">
        <v>1</v>
      </c>
      <c r="C26" s="168">
        <v>33.51</v>
      </c>
      <c r="D26" s="8">
        <v>42875</v>
      </c>
      <c r="E26" s="168">
        <v>0.85</v>
      </c>
      <c r="F26" s="168" t="s">
        <v>867</v>
      </c>
      <c r="G26" s="168">
        <v>398.15</v>
      </c>
      <c r="H26" s="168"/>
      <c r="I26" s="168">
        <v>1.8E-3</v>
      </c>
      <c r="J26" s="168">
        <v>0.04</v>
      </c>
      <c r="K26" s="168" t="s">
        <v>380</v>
      </c>
      <c r="L26" s="168">
        <v>1021.32</v>
      </c>
      <c r="M26" s="168" t="s">
        <v>868</v>
      </c>
      <c r="N26" s="168">
        <v>37.47</v>
      </c>
      <c r="O26" s="168">
        <v>1495260000</v>
      </c>
      <c r="P26" s="168">
        <v>1.8</v>
      </c>
      <c r="Q26" s="168">
        <v>313</v>
      </c>
      <c r="R26" s="168">
        <v>1.75</v>
      </c>
    </row>
    <row r="27" spans="1:18" x14ac:dyDescent="0.25">
      <c r="A27" s="168">
        <v>36.68</v>
      </c>
      <c r="B27" s="168">
        <v>0.94</v>
      </c>
      <c r="C27" s="168">
        <v>32.68</v>
      </c>
      <c r="D27" s="8">
        <v>42875.041666666664</v>
      </c>
      <c r="E27" s="168">
        <v>0.85</v>
      </c>
      <c r="F27" s="168" t="s">
        <v>867</v>
      </c>
      <c r="G27" s="168">
        <v>396.59</v>
      </c>
      <c r="H27" s="168"/>
      <c r="I27" s="168">
        <v>1E-3</v>
      </c>
      <c r="J27" s="168">
        <v>0.01</v>
      </c>
      <c r="K27" s="168" t="s">
        <v>380</v>
      </c>
      <c r="L27" s="168">
        <v>1021.39</v>
      </c>
      <c r="M27" s="168" t="s">
        <v>868</v>
      </c>
      <c r="N27" s="168">
        <v>36.68</v>
      </c>
      <c r="O27" s="168">
        <v>1495263600</v>
      </c>
      <c r="P27" s="168">
        <v>1.9</v>
      </c>
      <c r="Q27" s="168">
        <v>199</v>
      </c>
      <c r="R27" s="168">
        <v>1.29</v>
      </c>
    </row>
    <row r="28" spans="1:18" x14ac:dyDescent="0.25">
      <c r="A28" s="168">
        <v>35.9</v>
      </c>
      <c r="B28" s="168">
        <v>0.9</v>
      </c>
      <c r="C28" s="168">
        <v>31.86</v>
      </c>
      <c r="D28" s="8">
        <v>42875.083333333336</v>
      </c>
      <c r="E28" s="168">
        <v>0.85</v>
      </c>
      <c r="F28" s="168" t="s">
        <v>867</v>
      </c>
      <c r="G28" s="168">
        <v>395.03</v>
      </c>
      <c r="H28" s="168"/>
      <c r="I28" s="168">
        <v>0</v>
      </c>
      <c r="J28" s="168">
        <v>0</v>
      </c>
      <c r="K28" s="168"/>
      <c r="L28" s="168">
        <v>1021.43</v>
      </c>
      <c r="M28" s="168" t="s">
        <v>868</v>
      </c>
      <c r="N28" s="168">
        <v>35.9</v>
      </c>
      <c r="O28" s="168">
        <v>1495267200</v>
      </c>
      <c r="P28" s="168">
        <v>1.65</v>
      </c>
      <c r="Q28" s="168">
        <v>285</v>
      </c>
      <c r="R28" s="168">
        <v>1.91</v>
      </c>
    </row>
    <row r="29" spans="1:18" x14ac:dyDescent="0.25">
      <c r="A29" s="168">
        <v>34.71</v>
      </c>
      <c r="B29" s="168">
        <v>0.87</v>
      </c>
      <c r="C29" s="168">
        <v>30.87</v>
      </c>
      <c r="D29" s="8">
        <v>42875.125</v>
      </c>
      <c r="E29" s="168">
        <v>0.86</v>
      </c>
      <c r="F29" s="168" t="s">
        <v>867</v>
      </c>
      <c r="G29" s="168">
        <v>393.47</v>
      </c>
      <c r="H29" s="168"/>
      <c r="I29" s="168">
        <v>0</v>
      </c>
      <c r="J29" s="168">
        <v>0</v>
      </c>
      <c r="K29" s="168"/>
      <c r="L29" s="168">
        <v>1021.46</v>
      </c>
      <c r="M29" s="168" t="s">
        <v>868</v>
      </c>
      <c r="N29" s="168">
        <v>34.71</v>
      </c>
      <c r="O29" s="168">
        <v>1495270800</v>
      </c>
      <c r="P29" s="168">
        <v>1.55</v>
      </c>
      <c r="Q29" s="168">
        <v>322</v>
      </c>
      <c r="R29" s="168">
        <v>1.18</v>
      </c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8"/>
  <sheetViews>
    <sheetView workbookViewId="0">
      <selection activeCell="A33" sqref="A3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338</v>
      </c>
      <c r="U1" s="159"/>
      <c r="V1" s="159"/>
      <c r="W1" s="159"/>
      <c r="X1" s="159"/>
    </row>
    <row r="2" spans="1:24" ht="15.75" thickBot="1" x14ac:dyDescent="0.3">
      <c r="A2" s="12">
        <v>42874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339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340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341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342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1039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1040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1041</v>
      </c>
      <c r="J20" s="143" t="s">
        <v>87</v>
      </c>
      <c r="M20" s="157" t="s">
        <v>369</v>
      </c>
      <c r="N20" s="157" t="s">
        <v>337</v>
      </c>
      <c r="T20" s="158"/>
      <c r="U20" s="158"/>
      <c r="V20" s="158"/>
      <c r="W20" s="158"/>
      <c r="X20" s="158"/>
    </row>
    <row r="21" spans="3:24" x14ac:dyDescent="0.25">
      <c r="C21" t="s">
        <v>1042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1043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1044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1045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1046</v>
      </c>
      <c r="J25" s="143" t="s">
        <v>150</v>
      </c>
      <c r="M25" s="157" t="b">
        <v>1</v>
      </c>
    </row>
    <row r="26" spans="3:24" x14ac:dyDescent="0.25">
      <c r="C26" t="s">
        <v>601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C:\Users\stu\Documents\GitHub\eaglep3-reporting\EC\2017-05-19-refined-times.txt</v>
      </c>
    </row>
    <row r="27" spans="3:24" x14ac:dyDescent="0.25">
      <c r="C27" t="s">
        <v>1047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C:\Users\stu\Documents\GitHub\eaglep3-reporting\EC\2017-05-19-Enforcements.txt</v>
      </c>
    </row>
    <row r="28" spans="3:24" x14ac:dyDescent="0.25">
      <c r="C28" t="s">
        <v>1048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C:\Users\stu\Documents\GitHub\eaglep3-reporting\EC\2017-05-19-Runs-refined.txt</v>
      </c>
    </row>
    <row r="29" spans="3:24" x14ac:dyDescent="0.25">
      <c r="C29" t="s">
        <v>1049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C:\Users\stu\Documents\GitHub\eaglep3-reporting\EC\2017-05-19-Trips.txt</v>
      </c>
    </row>
    <row r="30" spans="3:24" x14ac:dyDescent="0.25">
      <c r="C30" t="s">
        <v>1050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C:\Users\stu\Documents\GitHub\eaglep3-reporting\EC\2017-05-19-Weather.txt</v>
      </c>
    </row>
    <row r="31" spans="3:24" x14ac:dyDescent="0.25">
      <c r="C31" t="s">
        <v>1051</v>
      </c>
      <c r="J31" s="143" t="s">
        <v>200</v>
      </c>
      <c r="M31" s="157" t="s">
        <v>201</v>
      </c>
    </row>
    <row r="32" spans="3:24" x14ac:dyDescent="0.25">
      <c r="C32" t="s">
        <v>1052</v>
      </c>
    </row>
    <row r="33" spans="3:3" x14ac:dyDescent="0.25">
      <c r="C33" t="s">
        <v>1053</v>
      </c>
    </row>
    <row r="34" spans="3:3" x14ac:dyDescent="0.25">
      <c r="C34" t="s">
        <v>1054</v>
      </c>
    </row>
    <row r="35" spans="3:3" x14ac:dyDescent="0.25">
      <c r="C35" t="s">
        <v>1055</v>
      </c>
    </row>
    <row r="36" spans="3:3" x14ac:dyDescent="0.25">
      <c r="C36" t="s">
        <v>1056</v>
      </c>
    </row>
    <row r="37" spans="3:3" x14ac:dyDescent="0.25">
      <c r="C37" t="s">
        <v>1057</v>
      </c>
    </row>
    <row r="38" spans="3:3" x14ac:dyDescent="0.25">
      <c r="C38" t="s">
        <v>1058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349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350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2017-05-22T15:42:57Z</dcterms:modified>
</cp:coreProperties>
</file>