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1" i="1" l="1"/>
  <c r="X192" i="1"/>
  <c r="V8" i="3" l="1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7" i="3"/>
  <c r="K216" i="1" l="1"/>
  <c r="L216" i="1"/>
  <c r="M216" i="1"/>
  <c r="N216" i="1" s="1"/>
  <c r="V216" i="1"/>
  <c r="S35" i="3" s="1"/>
  <c r="Y216" i="1"/>
  <c r="Z216" i="1"/>
  <c r="AB216" i="1"/>
  <c r="AC216" i="1"/>
  <c r="AD216" i="1"/>
  <c r="T216" i="1" s="1"/>
  <c r="AE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G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K219" i="1"/>
  <c r="L219" i="1"/>
  <c r="M219" i="1"/>
  <c r="N219" i="1" s="1"/>
  <c r="V219" i="1"/>
  <c r="Y219" i="1"/>
  <c r="AA219" i="1" s="1"/>
  <c r="Z219" i="1"/>
  <c r="AB219" i="1"/>
  <c r="AC219" i="1"/>
  <c r="AD219" i="1"/>
  <c r="AG219" i="1" s="1"/>
  <c r="AI219" i="1" s="1"/>
  <c r="AE219" i="1"/>
  <c r="K14" i="1"/>
  <c r="L14" i="1"/>
  <c r="M14" i="1"/>
  <c r="N14" i="1" s="1"/>
  <c r="V14" i="1"/>
  <c r="S13" i="3" s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B15" i="1"/>
  <c r="AC15" i="1"/>
  <c r="AD15" i="1"/>
  <c r="AE15" i="1"/>
  <c r="K16" i="1"/>
  <c r="L16" i="1"/>
  <c r="M16" i="1"/>
  <c r="N16" i="1" s="1"/>
  <c r="V16" i="1"/>
  <c r="Y16" i="1"/>
  <c r="Z16" i="1"/>
  <c r="AB16" i="1"/>
  <c r="AC16" i="1"/>
  <c r="AD16" i="1"/>
  <c r="AE16" i="1"/>
  <c r="K17" i="1"/>
  <c r="L17" i="1"/>
  <c r="M17" i="1"/>
  <c r="N17" i="1" s="1"/>
  <c r="V17" i="1"/>
  <c r="Y17" i="1"/>
  <c r="Z17" i="1"/>
  <c r="AB17" i="1"/>
  <c r="AC17" i="1"/>
  <c r="AD17" i="1"/>
  <c r="AE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K20" i="1"/>
  <c r="L20" i="1"/>
  <c r="M20" i="1"/>
  <c r="N20" i="1" s="1"/>
  <c r="V20" i="1"/>
  <c r="Y20" i="1"/>
  <c r="Z20" i="1"/>
  <c r="AB20" i="1"/>
  <c r="AC20" i="1"/>
  <c r="AD20" i="1"/>
  <c r="AE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K24" i="1"/>
  <c r="L24" i="1"/>
  <c r="M24" i="1"/>
  <c r="N24" i="1" s="1"/>
  <c r="V24" i="1"/>
  <c r="S10" i="3" s="1"/>
  <c r="Y24" i="1"/>
  <c r="Z24" i="1"/>
  <c r="AB24" i="1"/>
  <c r="AC24" i="1"/>
  <c r="AD24" i="1"/>
  <c r="AE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K29" i="1"/>
  <c r="L29" i="1"/>
  <c r="M29" i="1"/>
  <c r="N29" i="1" s="1"/>
  <c r="V29" i="1"/>
  <c r="S22" i="3" s="1"/>
  <c r="Y29" i="1"/>
  <c r="Z29" i="1"/>
  <c r="AB29" i="1"/>
  <c r="AC29" i="1"/>
  <c r="AD29" i="1"/>
  <c r="T29" i="1" s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AE31" i="1"/>
  <c r="K32" i="1"/>
  <c r="L32" i="1"/>
  <c r="M32" i="1"/>
  <c r="N32" i="1" s="1"/>
  <c r="V32" i="1"/>
  <c r="Y32" i="1"/>
  <c r="Z32" i="1"/>
  <c r="AB32" i="1"/>
  <c r="AC32" i="1"/>
  <c r="AD32" i="1"/>
  <c r="AE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K36" i="1"/>
  <c r="L36" i="1"/>
  <c r="M36" i="1"/>
  <c r="N36" i="1" s="1"/>
  <c r="V36" i="1"/>
  <c r="S7" i="3" s="1"/>
  <c r="Y36" i="1"/>
  <c r="Z36" i="1"/>
  <c r="AB36" i="1"/>
  <c r="AC36" i="1"/>
  <c r="AD36" i="1"/>
  <c r="AE36" i="1"/>
  <c r="R11" i="3" s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K42" i="1"/>
  <c r="L42" i="1"/>
  <c r="M42" i="1"/>
  <c r="N42" i="1" s="1"/>
  <c r="V42" i="1"/>
  <c r="S9" i="3" s="1"/>
  <c r="Y42" i="1"/>
  <c r="Z42" i="1"/>
  <c r="AB42" i="1"/>
  <c r="AC42" i="1"/>
  <c r="AD42" i="1"/>
  <c r="T42" i="1" s="1"/>
  <c r="AE42" i="1"/>
  <c r="R9" i="3" s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K46" i="1"/>
  <c r="L46" i="1"/>
  <c r="M46" i="1"/>
  <c r="N46" i="1" s="1"/>
  <c r="V46" i="1"/>
  <c r="S17" i="3" s="1"/>
  <c r="Y46" i="1"/>
  <c r="Z46" i="1"/>
  <c r="AB46" i="1"/>
  <c r="AC46" i="1"/>
  <c r="AD46" i="1"/>
  <c r="X46" i="1" s="1"/>
  <c r="AE46" i="1"/>
  <c r="K47" i="1"/>
  <c r="L47" i="1"/>
  <c r="M47" i="1"/>
  <c r="N47" i="1" s="1"/>
  <c r="V47" i="1"/>
  <c r="Y47" i="1"/>
  <c r="Z47" i="1"/>
  <c r="AB47" i="1"/>
  <c r="AC47" i="1"/>
  <c r="AD47" i="1"/>
  <c r="AE47" i="1"/>
  <c r="K48" i="1"/>
  <c r="L48" i="1"/>
  <c r="M48" i="1"/>
  <c r="N48" i="1" s="1"/>
  <c r="V48" i="1"/>
  <c r="Y48" i="1"/>
  <c r="Z48" i="1"/>
  <c r="AB48" i="1"/>
  <c r="AC48" i="1"/>
  <c r="AD48" i="1"/>
  <c r="AE48" i="1"/>
  <c r="K49" i="1"/>
  <c r="L49" i="1"/>
  <c r="M49" i="1"/>
  <c r="N49" i="1" s="1"/>
  <c r="V49" i="1"/>
  <c r="Y49" i="1"/>
  <c r="Z49" i="1"/>
  <c r="AB49" i="1"/>
  <c r="AC49" i="1"/>
  <c r="AD49" i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AE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S18" i="3" s="1"/>
  <c r="Y58" i="1"/>
  <c r="Z58" i="1"/>
  <c r="AB58" i="1"/>
  <c r="AC58" i="1"/>
  <c r="AD58" i="1"/>
  <c r="AE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S12" i="3" s="1"/>
  <c r="Y64" i="1"/>
  <c r="Z64" i="1"/>
  <c r="AB64" i="1"/>
  <c r="AC64" i="1"/>
  <c r="AD64" i="1"/>
  <c r="AE64" i="1"/>
  <c r="R12" i="3" s="1"/>
  <c r="K65" i="1"/>
  <c r="L65" i="1"/>
  <c r="M65" i="1"/>
  <c r="N65" i="1" s="1"/>
  <c r="V65" i="1"/>
  <c r="Y65" i="1"/>
  <c r="Z65" i="1"/>
  <c r="AB65" i="1"/>
  <c r="AC65" i="1"/>
  <c r="AD65" i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AE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R20" i="3" s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B80" i="1"/>
  <c r="AC80" i="1"/>
  <c r="AD80" i="1"/>
  <c r="AE80" i="1"/>
  <c r="K81" i="1"/>
  <c r="L81" i="1"/>
  <c r="M81" i="1"/>
  <c r="N81" i="1" s="1"/>
  <c r="V81" i="1"/>
  <c r="S23" i="3" s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K89" i="1"/>
  <c r="L89" i="1"/>
  <c r="M89" i="1"/>
  <c r="N89" i="1" s="1"/>
  <c r="V89" i="1"/>
  <c r="Y89" i="1"/>
  <c r="Z89" i="1"/>
  <c r="AB89" i="1"/>
  <c r="AC89" i="1"/>
  <c r="AD89" i="1"/>
  <c r="AE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K160" i="1"/>
  <c r="L160" i="1"/>
  <c r="M160" i="1"/>
  <c r="N160" i="1" s="1"/>
  <c r="V160" i="1"/>
  <c r="Y160" i="1"/>
  <c r="Z160" i="1"/>
  <c r="AB160" i="1"/>
  <c r="AC160" i="1"/>
  <c r="AD160" i="1"/>
  <c r="AE160" i="1"/>
  <c r="K161" i="1"/>
  <c r="L161" i="1"/>
  <c r="M161" i="1"/>
  <c r="N161" i="1" s="1"/>
  <c r="V161" i="1"/>
  <c r="Y161" i="1"/>
  <c r="Z161" i="1"/>
  <c r="AB161" i="1"/>
  <c r="AC161" i="1"/>
  <c r="AD161" i="1"/>
  <c r="AE161" i="1"/>
  <c r="K162" i="1"/>
  <c r="L162" i="1"/>
  <c r="M162" i="1"/>
  <c r="N162" i="1" s="1"/>
  <c r="V162" i="1"/>
  <c r="S26" i="3" s="1"/>
  <c r="Y162" i="1"/>
  <c r="Z162" i="1"/>
  <c r="AB162" i="1"/>
  <c r="AC162" i="1"/>
  <c r="AD162" i="1"/>
  <c r="T162" i="1" s="1"/>
  <c r="AE162" i="1"/>
  <c r="R26" i="3" s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K166" i="1"/>
  <c r="L166" i="1"/>
  <c r="M166" i="1"/>
  <c r="N166" i="1" s="1"/>
  <c r="V166" i="1"/>
  <c r="Y166" i="1"/>
  <c r="Z166" i="1"/>
  <c r="AB166" i="1"/>
  <c r="AC166" i="1"/>
  <c r="AD166" i="1"/>
  <c r="AE166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K169" i="1"/>
  <c r="L169" i="1"/>
  <c r="M169" i="1"/>
  <c r="N169" i="1" s="1"/>
  <c r="V169" i="1"/>
  <c r="Y169" i="1"/>
  <c r="Z169" i="1"/>
  <c r="AB169" i="1"/>
  <c r="AC169" i="1"/>
  <c r="AD169" i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S25" i="3" s="1"/>
  <c r="Y172" i="1"/>
  <c r="Z172" i="1"/>
  <c r="AB172" i="1"/>
  <c r="AC172" i="1"/>
  <c r="AD172" i="1"/>
  <c r="T172" i="1" s="1"/>
  <c r="AE172" i="1"/>
  <c r="R25" i="3" s="1"/>
  <c r="K173" i="1"/>
  <c r="L173" i="1"/>
  <c r="M173" i="1"/>
  <c r="N173" i="1" s="1"/>
  <c r="V173" i="1"/>
  <c r="Y173" i="1"/>
  <c r="Z173" i="1"/>
  <c r="AB173" i="1"/>
  <c r="AC173" i="1"/>
  <c r="AD173" i="1"/>
  <c r="AE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K179" i="1"/>
  <c r="L179" i="1"/>
  <c r="M179" i="1"/>
  <c r="P179" i="1" s="1"/>
  <c r="V179" i="1"/>
  <c r="S28" i="3" s="1"/>
  <c r="Y179" i="1"/>
  <c r="Z179" i="1"/>
  <c r="AB179" i="1"/>
  <c r="AC179" i="1"/>
  <c r="AD179" i="1"/>
  <c r="AG179" i="1" s="1"/>
  <c r="AE179" i="1"/>
  <c r="R28" i="3" s="1"/>
  <c r="K180" i="1"/>
  <c r="L180" i="1"/>
  <c r="M180" i="1"/>
  <c r="N180" i="1" s="1"/>
  <c r="V180" i="1"/>
  <c r="Y180" i="1"/>
  <c r="Z180" i="1"/>
  <c r="AB180" i="1"/>
  <c r="AC180" i="1"/>
  <c r="AD180" i="1"/>
  <c r="AE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K182" i="1"/>
  <c r="L182" i="1"/>
  <c r="M182" i="1"/>
  <c r="N182" i="1" s="1"/>
  <c r="V182" i="1"/>
  <c r="Y182" i="1"/>
  <c r="Z182" i="1"/>
  <c r="AB182" i="1"/>
  <c r="AC182" i="1"/>
  <c r="AD182" i="1"/>
  <c r="AE182" i="1"/>
  <c r="K183" i="1"/>
  <c r="L183" i="1"/>
  <c r="M183" i="1"/>
  <c r="N183" i="1" s="1"/>
  <c r="V183" i="1"/>
  <c r="S27" i="3" s="1"/>
  <c r="Y183" i="1"/>
  <c r="Z183" i="1"/>
  <c r="AB183" i="1"/>
  <c r="AC183" i="1"/>
  <c r="AD183" i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K190" i="1"/>
  <c r="L190" i="1"/>
  <c r="M190" i="1"/>
  <c r="N190" i="1" s="1"/>
  <c r="V190" i="1"/>
  <c r="Y190" i="1"/>
  <c r="Z190" i="1"/>
  <c r="AB190" i="1"/>
  <c r="AC190" i="1"/>
  <c r="AD190" i="1"/>
  <c r="AE190" i="1"/>
  <c r="K96" i="1"/>
  <c r="L96" i="1"/>
  <c r="M96" i="1"/>
  <c r="N96" i="1" s="1"/>
  <c r="V96" i="1"/>
  <c r="Y96" i="1"/>
  <c r="Z96" i="1"/>
  <c r="AB96" i="1"/>
  <c r="AC96" i="1"/>
  <c r="AD96" i="1"/>
  <c r="AE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K102" i="1"/>
  <c r="L102" i="1"/>
  <c r="M102" i="1"/>
  <c r="N102" i="1" s="1"/>
  <c r="V102" i="1"/>
  <c r="Y102" i="1"/>
  <c r="Z102" i="1"/>
  <c r="AB102" i="1"/>
  <c r="AC102" i="1"/>
  <c r="AD102" i="1"/>
  <c r="AE102" i="1"/>
  <c r="K204" i="1"/>
  <c r="L204" i="1"/>
  <c r="M204" i="1"/>
  <c r="N204" i="1" s="1"/>
  <c r="V204" i="1"/>
  <c r="Y204" i="1"/>
  <c r="Z204" i="1"/>
  <c r="AB204" i="1"/>
  <c r="AC204" i="1"/>
  <c r="AD204" i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R21" i="3" s="1"/>
  <c r="K107" i="1"/>
  <c r="L107" i="1"/>
  <c r="M107" i="1"/>
  <c r="N107" i="1" s="1"/>
  <c r="V107" i="1"/>
  <c r="Y107" i="1"/>
  <c r="Z107" i="1"/>
  <c r="AB107" i="1"/>
  <c r="AC107" i="1"/>
  <c r="AD107" i="1"/>
  <c r="AE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E109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E116" i="1"/>
  <c r="K117" i="1"/>
  <c r="L117" i="1"/>
  <c r="M117" i="1"/>
  <c r="N117" i="1" s="1"/>
  <c r="V117" i="1"/>
  <c r="Y117" i="1"/>
  <c r="Z117" i="1"/>
  <c r="AB117" i="1"/>
  <c r="AC117" i="1"/>
  <c r="AD117" i="1"/>
  <c r="AE117" i="1"/>
  <c r="K118" i="1"/>
  <c r="L118" i="1"/>
  <c r="M118" i="1"/>
  <c r="N118" i="1" s="1"/>
  <c r="V118" i="1"/>
  <c r="Y118" i="1"/>
  <c r="Z118" i="1"/>
  <c r="AB118" i="1"/>
  <c r="AC118" i="1"/>
  <c r="AD118" i="1"/>
  <c r="AE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E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K137" i="1"/>
  <c r="L137" i="1"/>
  <c r="M137" i="1"/>
  <c r="N137" i="1" s="1"/>
  <c r="V137" i="1"/>
  <c r="S24" i="3" s="1"/>
  <c r="Y137" i="1"/>
  <c r="Z137" i="1"/>
  <c r="AB137" i="1"/>
  <c r="AC137" i="1"/>
  <c r="AD137" i="1"/>
  <c r="AG137" i="1" s="1"/>
  <c r="AE137" i="1"/>
  <c r="R24" i="3" s="1"/>
  <c r="K138" i="1"/>
  <c r="L138" i="1"/>
  <c r="M138" i="1"/>
  <c r="N138" i="1" s="1"/>
  <c r="V138" i="1"/>
  <c r="Y138" i="1"/>
  <c r="Z138" i="1"/>
  <c r="AB138" i="1"/>
  <c r="AC138" i="1"/>
  <c r="AD138" i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K150" i="1"/>
  <c r="L150" i="1"/>
  <c r="M150" i="1"/>
  <c r="N150" i="1" s="1"/>
  <c r="V150" i="1"/>
  <c r="Y150" i="1"/>
  <c r="Z150" i="1"/>
  <c r="AB150" i="1"/>
  <c r="AC150" i="1"/>
  <c r="AD150" i="1"/>
  <c r="AE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K193" i="1"/>
  <c r="L193" i="1"/>
  <c r="M193" i="1"/>
  <c r="N193" i="1" s="1"/>
  <c r="V193" i="1"/>
  <c r="Y193" i="1"/>
  <c r="Z193" i="1"/>
  <c r="AB193" i="1"/>
  <c r="AC193" i="1"/>
  <c r="AD193" i="1"/>
  <c r="AE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K195" i="1"/>
  <c r="L195" i="1"/>
  <c r="M195" i="1"/>
  <c r="N195" i="1" s="1"/>
  <c r="V195" i="1"/>
  <c r="S32" i="3" s="1"/>
  <c r="Y195" i="1"/>
  <c r="Z195" i="1"/>
  <c r="AB195" i="1"/>
  <c r="AC195" i="1"/>
  <c r="AD195" i="1"/>
  <c r="AG195" i="1" s="1"/>
  <c r="AE195" i="1"/>
  <c r="R32" i="3" s="1"/>
  <c r="K196" i="1"/>
  <c r="L196" i="1"/>
  <c r="M196" i="1"/>
  <c r="N196" i="1" s="1"/>
  <c r="V196" i="1"/>
  <c r="Y196" i="1"/>
  <c r="Z196" i="1"/>
  <c r="AB196" i="1"/>
  <c r="AC196" i="1"/>
  <c r="AD196" i="1"/>
  <c r="AE196" i="1"/>
  <c r="K197" i="1"/>
  <c r="L197" i="1"/>
  <c r="M197" i="1"/>
  <c r="N197" i="1" s="1"/>
  <c r="V197" i="1"/>
  <c r="S33" i="3" s="1"/>
  <c r="Y197" i="1"/>
  <c r="Z197" i="1"/>
  <c r="AB197" i="1"/>
  <c r="AC197" i="1"/>
  <c r="AD197" i="1"/>
  <c r="X197" i="1" s="1"/>
  <c r="AE197" i="1"/>
  <c r="R33" i="3" s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K200" i="1"/>
  <c r="L200" i="1"/>
  <c r="M200" i="1"/>
  <c r="N200" i="1" s="1"/>
  <c r="V200" i="1"/>
  <c r="S34" i="3" s="1"/>
  <c r="Y200" i="1"/>
  <c r="Z200" i="1"/>
  <c r="AB200" i="1"/>
  <c r="AC200" i="1"/>
  <c r="AD200" i="1"/>
  <c r="T200" i="1" s="1"/>
  <c r="AE200" i="1"/>
  <c r="R34" i="3" s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S30" i="3" s="1"/>
  <c r="Y211" i="1"/>
  <c r="Z211" i="1"/>
  <c r="AB211" i="1"/>
  <c r="AC211" i="1"/>
  <c r="AD211" i="1"/>
  <c r="AG211" i="1" s="1"/>
  <c r="AE211" i="1"/>
  <c r="R31" i="3" s="1"/>
  <c r="K212" i="1"/>
  <c r="L212" i="1"/>
  <c r="M212" i="1"/>
  <c r="N212" i="1" s="1"/>
  <c r="V212" i="1"/>
  <c r="S29" i="3" s="1"/>
  <c r="Y212" i="1"/>
  <c r="Z212" i="1"/>
  <c r="AB212" i="1"/>
  <c r="AC212" i="1"/>
  <c r="AD212" i="1"/>
  <c r="T212" i="1" s="1"/>
  <c r="AE212" i="1"/>
  <c r="R29" i="3" s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R35" i="3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M33" i="3"/>
  <c r="N33" i="3"/>
  <c r="U33" i="3"/>
  <c r="W33" i="3"/>
  <c r="X33" i="3"/>
  <c r="M34" i="3"/>
  <c r="N34" i="3"/>
  <c r="U34" i="3"/>
  <c r="W34" i="3"/>
  <c r="X34" i="3"/>
  <c r="AC34" i="3"/>
  <c r="M13" i="3"/>
  <c r="N13" i="3"/>
  <c r="R13" i="3"/>
  <c r="U13" i="3"/>
  <c r="AC13" i="3" s="1"/>
  <c r="W13" i="3"/>
  <c r="X13" i="3"/>
  <c r="M14" i="3"/>
  <c r="N14" i="3"/>
  <c r="R14" i="3"/>
  <c r="S14" i="3"/>
  <c r="U14" i="3"/>
  <c r="W14" i="3"/>
  <c r="X14" i="3"/>
  <c r="M15" i="3"/>
  <c r="N15" i="3"/>
  <c r="R15" i="3"/>
  <c r="S15" i="3"/>
  <c r="U15" i="3"/>
  <c r="W15" i="3"/>
  <c r="X15" i="3"/>
  <c r="M10" i="3"/>
  <c r="N10" i="3"/>
  <c r="R10" i="3"/>
  <c r="U10" i="3"/>
  <c r="W10" i="3"/>
  <c r="X10" i="3"/>
  <c r="AC10" i="3"/>
  <c r="M22" i="3"/>
  <c r="N22" i="3"/>
  <c r="R22" i="3"/>
  <c r="U22" i="3"/>
  <c r="AC22" i="3" s="1"/>
  <c r="W22" i="3"/>
  <c r="X22" i="3"/>
  <c r="M11" i="3"/>
  <c r="N11" i="3"/>
  <c r="U11" i="3"/>
  <c r="AC11" i="3" s="1"/>
  <c r="W11" i="3"/>
  <c r="X11" i="3"/>
  <c r="M7" i="3"/>
  <c r="N7" i="3"/>
  <c r="R7" i="3"/>
  <c r="U7" i="3"/>
  <c r="W7" i="3"/>
  <c r="X7" i="3"/>
  <c r="M8" i="3"/>
  <c r="N8" i="3"/>
  <c r="R8" i="3"/>
  <c r="U8" i="3"/>
  <c r="W8" i="3"/>
  <c r="X8" i="3"/>
  <c r="AC8" i="3"/>
  <c r="M26" i="3"/>
  <c r="N26" i="3"/>
  <c r="U26" i="3"/>
  <c r="AC26" i="3" s="1"/>
  <c r="W26" i="3"/>
  <c r="X26" i="3"/>
  <c r="M9" i="3"/>
  <c r="N9" i="3"/>
  <c r="U9" i="3"/>
  <c r="W9" i="3"/>
  <c r="X9" i="3"/>
  <c r="AC9" i="3"/>
  <c r="M16" i="3"/>
  <c r="N16" i="3"/>
  <c r="U16" i="3"/>
  <c r="W16" i="3"/>
  <c r="X16" i="3"/>
  <c r="M17" i="3"/>
  <c r="N17" i="3"/>
  <c r="R17" i="3"/>
  <c r="U17" i="3"/>
  <c r="W17" i="3"/>
  <c r="X17" i="3"/>
  <c r="AC17" i="3"/>
  <c r="M18" i="3"/>
  <c r="N18" i="3"/>
  <c r="R18" i="3"/>
  <c r="U18" i="3"/>
  <c r="AC18" i="3" s="1"/>
  <c r="W18" i="3"/>
  <c r="X18" i="3"/>
  <c r="M12" i="3"/>
  <c r="N12" i="3"/>
  <c r="U12" i="3"/>
  <c r="W12" i="3"/>
  <c r="X12" i="3"/>
  <c r="AC12" i="3"/>
  <c r="M19" i="3"/>
  <c r="N19" i="3"/>
  <c r="U19" i="3"/>
  <c r="W19" i="3"/>
  <c r="X19" i="3"/>
  <c r="M23" i="3"/>
  <c r="N23" i="3"/>
  <c r="R23" i="3"/>
  <c r="U23" i="3"/>
  <c r="W23" i="3"/>
  <c r="X23" i="3"/>
  <c r="AC23" i="3"/>
  <c r="M20" i="3"/>
  <c r="N20" i="3"/>
  <c r="S20" i="3"/>
  <c r="U20" i="3"/>
  <c r="AC20" i="3" s="1"/>
  <c r="W20" i="3"/>
  <c r="X20" i="3"/>
  <c r="M25" i="3"/>
  <c r="N25" i="3"/>
  <c r="U25" i="3"/>
  <c r="AC25" i="3" s="1"/>
  <c r="W25" i="3"/>
  <c r="X25" i="3"/>
  <c r="M28" i="3"/>
  <c r="N28" i="3"/>
  <c r="U28" i="3"/>
  <c r="W28" i="3"/>
  <c r="X28" i="3"/>
  <c r="M21" i="3"/>
  <c r="N21" i="3"/>
  <c r="S21" i="3"/>
  <c r="U21" i="3"/>
  <c r="AC21" i="3" s="1"/>
  <c r="W21" i="3"/>
  <c r="X21" i="3"/>
  <c r="M30" i="3"/>
  <c r="N30" i="3"/>
  <c r="U30" i="3"/>
  <c r="AC30" i="3" s="1"/>
  <c r="W30" i="3"/>
  <c r="X30" i="3"/>
  <c r="M31" i="3"/>
  <c r="N31" i="3"/>
  <c r="U31" i="3"/>
  <c r="W31" i="3"/>
  <c r="X31" i="3"/>
  <c r="M29" i="3"/>
  <c r="N29" i="3"/>
  <c r="U29" i="3"/>
  <c r="W29" i="3"/>
  <c r="X29" i="3"/>
  <c r="M27" i="3"/>
  <c r="N27" i="3"/>
  <c r="R27" i="3"/>
  <c r="U27" i="3"/>
  <c r="W27" i="3"/>
  <c r="X27" i="3"/>
  <c r="AC27" i="3"/>
  <c r="M35" i="3"/>
  <c r="N35" i="3"/>
  <c r="U35" i="3"/>
  <c r="AC35" i="3" s="1"/>
  <c r="W35" i="3"/>
  <c r="X35" i="3"/>
  <c r="M24" i="3"/>
  <c r="N24" i="3"/>
  <c r="U24" i="3"/>
  <c r="AC24" i="3" s="1"/>
  <c r="W24" i="3"/>
  <c r="X24" i="3"/>
  <c r="M32" i="3"/>
  <c r="N32" i="3"/>
  <c r="U32" i="3"/>
  <c r="W32" i="3"/>
  <c r="X32" i="3"/>
  <c r="AC32" i="3" l="1"/>
  <c r="AC14" i="3"/>
  <c r="AG20" i="1"/>
  <c r="X20" i="1"/>
  <c r="S19" i="3"/>
  <c r="X15" i="1"/>
  <c r="AI217" i="1"/>
  <c r="AG14" i="1"/>
  <c r="S16" i="3"/>
  <c r="S11" i="3"/>
  <c r="T219" i="1"/>
  <c r="Y8" i="3"/>
  <c r="Y26" i="3"/>
  <c r="Y14" i="3"/>
  <c r="Y13" i="3"/>
  <c r="Y34" i="3"/>
  <c r="X218" i="1"/>
  <c r="AA156" i="1"/>
  <c r="AI157" i="1"/>
  <c r="AA78" i="1"/>
  <c r="W219" i="1"/>
  <c r="AA15" i="1"/>
  <c r="AA14" i="1"/>
  <c r="W14" i="1" s="1"/>
  <c r="AA218" i="1"/>
  <c r="W218" i="1" s="1"/>
  <c r="T218" i="1"/>
  <c r="Y25" i="3"/>
  <c r="Y9" i="3"/>
  <c r="Y11" i="3"/>
  <c r="Y12" i="3"/>
  <c r="Y7" i="3"/>
  <c r="AA76" i="1"/>
  <c r="W76" i="1" s="1"/>
  <c r="AI72" i="1"/>
  <c r="T55" i="1"/>
  <c r="AA138" i="1"/>
  <c r="AA137" i="1"/>
  <c r="W137" i="1" s="1"/>
  <c r="AA121" i="1"/>
  <c r="AA120" i="1"/>
  <c r="W120" i="1" s="1"/>
  <c r="T46" i="1"/>
  <c r="AA19" i="1"/>
  <c r="AA216" i="1"/>
  <c r="AA217" i="1"/>
  <c r="W217" i="1" s="1"/>
  <c r="Y30" i="3"/>
  <c r="AI218" i="1"/>
  <c r="AA124" i="1"/>
  <c r="W124" i="1" s="1"/>
  <c r="X217" i="1"/>
  <c r="AG216" i="1"/>
  <c r="Y32" i="3"/>
  <c r="Y28" i="3"/>
  <c r="Y35" i="3"/>
  <c r="Y27" i="3"/>
  <c r="S8" i="3"/>
  <c r="AI112" i="1"/>
  <c r="AA56" i="1"/>
  <c r="AG46" i="1"/>
  <c r="T19" i="1"/>
  <c r="X216" i="1"/>
  <c r="AA165" i="1"/>
  <c r="AI164" i="1"/>
  <c r="AA158" i="1"/>
  <c r="AA157" i="1"/>
  <c r="AI27" i="1"/>
  <c r="AA25" i="1"/>
  <c r="AA24" i="1"/>
  <c r="AA23" i="1"/>
  <c r="W23" i="1" s="1"/>
  <c r="AA22" i="1"/>
  <c r="X219" i="1"/>
  <c r="AA112" i="1"/>
  <c r="W112" i="1" s="1"/>
  <c r="AA104" i="1"/>
  <c r="W104" i="1" s="1"/>
  <c r="AA174" i="1"/>
  <c r="AA71" i="1"/>
  <c r="AA37" i="1"/>
  <c r="AA35" i="1"/>
  <c r="W35" i="1" s="1"/>
  <c r="AA32" i="1"/>
  <c r="Y33" i="3"/>
  <c r="AA207" i="1"/>
  <c r="W207" i="1" s="1"/>
  <c r="AA203" i="1"/>
  <c r="AA202" i="1"/>
  <c r="AA201" i="1"/>
  <c r="W201" i="1" s="1"/>
  <c r="AA188" i="1"/>
  <c r="W188" i="1" s="1"/>
  <c r="R19" i="3"/>
  <c r="AG177" i="1"/>
  <c r="AI177" i="1" s="1"/>
  <c r="AA61" i="1"/>
  <c r="AA60" i="1"/>
  <c r="W60" i="1" s="1"/>
  <c r="X38" i="1"/>
  <c r="AA29" i="1"/>
  <c r="X201" i="1"/>
  <c r="AA141" i="1"/>
  <c r="W141" i="1" s="1"/>
  <c r="AA128" i="1"/>
  <c r="T124" i="1"/>
  <c r="AA107" i="1"/>
  <c r="X188" i="1"/>
  <c r="AA95" i="1"/>
  <c r="AA179" i="1"/>
  <c r="AA91" i="1"/>
  <c r="AI88" i="1"/>
  <c r="AG78" i="1"/>
  <c r="X78" i="1"/>
  <c r="AA213" i="1"/>
  <c r="W213" i="1" s="1"/>
  <c r="AA212" i="1"/>
  <c r="AA211" i="1"/>
  <c r="W211" i="1" s="1"/>
  <c r="AA198" i="1"/>
  <c r="AA197" i="1"/>
  <c r="AA196" i="1"/>
  <c r="AA193" i="1"/>
  <c r="AA191" i="1"/>
  <c r="W191" i="1" s="1"/>
  <c r="T156" i="1"/>
  <c r="AI189" i="1"/>
  <c r="T159" i="1"/>
  <c r="AA86" i="1"/>
  <c r="AI68" i="1"/>
  <c r="AA41" i="1"/>
  <c r="AA40" i="1"/>
  <c r="AA39" i="1"/>
  <c r="W39" i="1" s="1"/>
  <c r="AG29" i="1"/>
  <c r="AI28" i="1"/>
  <c r="AA28" i="1"/>
  <c r="AA195" i="1"/>
  <c r="W195" i="1" s="1"/>
  <c r="AI192" i="1"/>
  <c r="W156" i="1"/>
  <c r="AA149" i="1"/>
  <c r="W149" i="1" s="1"/>
  <c r="AA145" i="1"/>
  <c r="W145" i="1" s="1"/>
  <c r="AA144" i="1"/>
  <c r="W144" i="1" s="1"/>
  <c r="AA140" i="1"/>
  <c r="AI133" i="1"/>
  <c r="AA129" i="1"/>
  <c r="W129" i="1" s="1"/>
  <c r="AG163" i="1"/>
  <c r="AG79" i="1"/>
  <c r="AI79" i="1" s="1"/>
  <c r="X79" i="1"/>
  <c r="AA77" i="1"/>
  <c r="AA75" i="1"/>
  <c r="AI44" i="1"/>
  <c r="X37" i="1"/>
  <c r="AA36" i="1"/>
  <c r="AA30" i="1"/>
  <c r="AA27" i="1"/>
  <c r="W27" i="1" s="1"/>
  <c r="AA125" i="1"/>
  <c r="W125" i="1" s="1"/>
  <c r="T97" i="1"/>
  <c r="X178" i="1"/>
  <c r="AA176" i="1"/>
  <c r="AA175" i="1"/>
  <c r="W175" i="1" s="1"/>
  <c r="AA172" i="1"/>
  <c r="AG93" i="1"/>
  <c r="AI93" i="1" s="1"/>
  <c r="AG159" i="1"/>
  <c r="AA84" i="1"/>
  <c r="W84" i="1" s="1"/>
  <c r="AG77" i="1"/>
  <c r="AI77" i="1" s="1"/>
  <c r="AA72" i="1"/>
  <c r="W72" i="1" s="1"/>
  <c r="AA59" i="1"/>
  <c r="AA57" i="1"/>
  <c r="AG51" i="1"/>
  <c r="AA38" i="1"/>
  <c r="AG37" i="1"/>
  <c r="W37" i="1" s="1"/>
  <c r="AA215" i="1"/>
  <c r="AG200" i="1"/>
  <c r="AA206" i="1"/>
  <c r="AA154" i="1"/>
  <c r="AG152" i="1"/>
  <c r="X144" i="1"/>
  <c r="AA119" i="1"/>
  <c r="AA98" i="1"/>
  <c r="AA187" i="1"/>
  <c r="AA186" i="1"/>
  <c r="W186" i="1" s="1"/>
  <c r="AA169" i="1"/>
  <c r="AA167" i="1"/>
  <c r="W167" i="1" s="1"/>
  <c r="X164" i="1"/>
  <c r="AA92" i="1"/>
  <c r="W92" i="1" s="1"/>
  <c r="AI87" i="1"/>
  <c r="AA87" i="1"/>
  <c r="W87" i="1" s="1"/>
  <c r="AA85" i="1"/>
  <c r="AA54" i="1"/>
  <c r="AA52" i="1"/>
  <c r="W52" i="1" s="1"/>
  <c r="X29" i="1"/>
  <c r="S31" i="3"/>
  <c r="R30" i="3"/>
  <c r="R16" i="3"/>
  <c r="AG210" i="1"/>
  <c r="AA208" i="1"/>
  <c r="X194" i="1"/>
  <c r="X193" i="1"/>
  <c r="AA150" i="1"/>
  <c r="AG148" i="1"/>
  <c r="AI148" i="1" s="1"/>
  <c r="X148" i="1"/>
  <c r="AA147" i="1"/>
  <c r="AA146" i="1"/>
  <c r="W146" i="1" s="1"/>
  <c r="AG140" i="1"/>
  <c r="X140" i="1"/>
  <c r="T136" i="1"/>
  <c r="X133" i="1"/>
  <c r="T132" i="1"/>
  <c r="AA115" i="1"/>
  <c r="AA114" i="1"/>
  <c r="AA113" i="1"/>
  <c r="W113" i="1" s="1"/>
  <c r="AG111" i="1"/>
  <c r="AI111" i="1" s="1"/>
  <c r="AA108" i="1"/>
  <c r="W108" i="1" s="1"/>
  <c r="AA105" i="1"/>
  <c r="AA103" i="1"/>
  <c r="AA204" i="1"/>
  <c r="AA102" i="1"/>
  <c r="AG100" i="1"/>
  <c r="X100" i="1"/>
  <c r="AA183" i="1"/>
  <c r="AA178" i="1"/>
  <c r="W178" i="1" s="1"/>
  <c r="AA171" i="1"/>
  <c r="W171" i="1" s="1"/>
  <c r="AA164" i="1"/>
  <c r="W164" i="1" s="1"/>
  <c r="AA88" i="1"/>
  <c r="W88" i="1" s="1"/>
  <c r="X87" i="1"/>
  <c r="AG83" i="1"/>
  <c r="AI83" i="1" s="1"/>
  <c r="AA79" i="1"/>
  <c r="AI76" i="1"/>
  <c r="AG71" i="1"/>
  <c r="AI71" i="1" s="1"/>
  <c r="X71" i="1"/>
  <c r="AA70" i="1"/>
  <c r="AA68" i="1"/>
  <c r="W68" i="1" s="1"/>
  <c r="AA67" i="1"/>
  <c r="AA63" i="1"/>
  <c r="AA48" i="1"/>
  <c r="AA42" i="1"/>
  <c r="AG34" i="1"/>
  <c r="AA26" i="1"/>
  <c r="T206" i="1"/>
  <c r="X167" i="1"/>
  <c r="X72" i="1"/>
  <c r="X52" i="1"/>
  <c r="W28" i="1"/>
  <c r="AI23" i="1"/>
  <c r="AA220" i="1"/>
  <c r="AA214" i="1"/>
  <c r="AA194" i="1"/>
  <c r="W194" i="1" s="1"/>
  <c r="AA153" i="1"/>
  <c r="W153" i="1" s="1"/>
  <c r="AI149" i="1"/>
  <c r="AG136" i="1"/>
  <c r="AA134" i="1"/>
  <c r="AA133" i="1"/>
  <c r="W133" i="1" s="1"/>
  <c r="AG132" i="1"/>
  <c r="AA131" i="1"/>
  <c r="AA130" i="1"/>
  <c r="W130" i="1" s="1"/>
  <c r="AA122" i="1"/>
  <c r="AA117" i="1"/>
  <c r="AA116" i="1"/>
  <c r="AG114" i="1"/>
  <c r="X114" i="1"/>
  <c r="X107" i="1"/>
  <c r="AG103" i="1"/>
  <c r="AI103" i="1" s="1"/>
  <c r="AA101" i="1"/>
  <c r="AA100" i="1"/>
  <c r="AA99" i="1"/>
  <c r="W99" i="1" s="1"/>
  <c r="X96" i="1"/>
  <c r="AA189" i="1"/>
  <c r="W189" i="1" s="1"/>
  <c r="AG185" i="1"/>
  <c r="AI185" i="1" s="1"/>
  <c r="AA177" i="1"/>
  <c r="W177" i="1" s="1"/>
  <c r="AA170" i="1"/>
  <c r="AA168" i="1"/>
  <c r="AA161" i="1"/>
  <c r="AI92" i="1"/>
  <c r="AA90" i="1"/>
  <c r="AA89" i="1"/>
  <c r="AI84" i="1"/>
  <c r="AA83" i="1"/>
  <c r="AA81" i="1"/>
  <c r="AG70" i="1"/>
  <c r="X70" i="1"/>
  <c r="AA65" i="1"/>
  <c r="AA64" i="1"/>
  <c r="AA58" i="1"/>
  <c r="AA53" i="1"/>
  <c r="AA43" i="1"/>
  <c r="W43" i="1" s="1"/>
  <c r="AI39" i="1"/>
  <c r="AG38" i="1"/>
  <c r="AI38" i="1" s="1"/>
  <c r="AI35" i="1"/>
  <c r="AA34" i="1"/>
  <c r="AA20" i="1"/>
  <c r="W20" i="1" s="1"/>
  <c r="AA17" i="1"/>
  <c r="AA16" i="1"/>
  <c r="AI124" i="1"/>
  <c r="AI144" i="1"/>
  <c r="T211" i="1"/>
  <c r="X215" i="1"/>
  <c r="AG214" i="1"/>
  <c r="AA210" i="1"/>
  <c r="AA209" i="1"/>
  <c r="T207" i="1"/>
  <c r="AA152" i="1"/>
  <c r="W152" i="1" s="1"/>
  <c r="AG151" i="1"/>
  <c r="AI151" i="1" s="1"/>
  <c r="X151" i="1"/>
  <c r="AA148" i="1"/>
  <c r="AA143" i="1"/>
  <c r="AA142" i="1"/>
  <c r="W142" i="1" s="1"/>
  <c r="AA135" i="1"/>
  <c r="X129" i="1"/>
  <c r="AG128" i="1"/>
  <c r="W128" i="1" s="1"/>
  <c r="AG127" i="1"/>
  <c r="AI127" i="1" s="1"/>
  <c r="X127" i="1"/>
  <c r="W121" i="1"/>
  <c r="AG119" i="1"/>
  <c r="AG115" i="1"/>
  <c r="X115" i="1"/>
  <c r="T112" i="1"/>
  <c r="T107" i="1"/>
  <c r="AI140" i="1"/>
  <c r="T104" i="1"/>
  <c r="AG101" i="1"/>
  <c r="X101" i="1"/>
  <c r="W95" i="1"/>
  <c r="X181" i="1"/>
  <c r="W179" i="1"/>
  <c r="X211" i="1"/>
  <c r="W206" i="1"/>
  <c r="T194" i="1"/>
  <c r="X152" i="1"/>
  <c r="X149" i="1"/>
  <c r="T144" i="1"/>
  <c r="T133" i="1"/>
  <c r="X128" i="1"/>
  <c r="AA111" i="1"/>
  <c r="AA109" i="1"/>
  <c r="X108" i="1"/>
  <c r="AG107" i="1"/>
  <c r="AG106" i="1"/>
  <c r="X106" i="1"/>
  <c r="AG98" i="1"/>
  <c r="X98" i="1"/>
  <c r="AA185" i="1"/>
  <c r="T180" i="1"/>
  <c r="X180" i="1"/>
  <c r="AG180" i="1"/>
  <c r="AI180" i="1" s="1"/>
  <c r="AI19" i="1"/>
  <c r="T201" i="1"/>
  <c r="T215" i="1"/>
  <c r="X207" i="1"/>
  <c r="AA200" i="1"/>
  <c r="AA199" i="1"/>
  <c r="X195" i="1"/>
  <c r="AA192" i="1"/>
  <c r="W192" i="1" s="1"/>
  <c r="X156" i="1"/>
  <c r="AA151" i="1"/>
  <c r="W151" i="1" s="1"/>
  <c r="X145" i="1"/>
  <c r="AG143" i="1"/>
  <c r="AI143" i="1" s="1"/>
  <c r="X143" i="1"/>
  <c r="AA136" i="1"/>
  <c r="AG135" i="1"/>
  <c r="X135" i="1"/>
  <c r="AA132" i="1"/>
  <c r="AA127" i="1"/>
  <c r="AA126" i="1"/>
  <c r="W126" i="1" s="1"/>
  <c r="AG122" i="1"/>
  <c r="W122" i="1" s="1"/>
  <c r="X122" i="1"/>
  <c r="T120" i="1"/>
  <c r="X112" i="1"/>
  <c r="T149" i="1"/>
  <c r="AI156" i="1"/>
  <c r="AA106" i="1"/>
  <c r="W105" i="1"/>
  <c r="W157" i="1"/>
  <c r="W85" i="1"/>
  <c r="T75" i="1"/>
  <c r="AG67" i="1"/>
  <c r="T56" i="1"/>
  <c r="W44" i="1"/>
  <c r="T22" i="1"/>
  <c r="W19" i="1"/>
  <c r="AA97" i="1"/>
  <c r="W97" i="1" s="1"/>
  <c r="T188" i="1"/>
  <c r="T186" i="1"/>
  <c r="AA181" i="1"/>
  <c r="X175" i="1"/>
  <c r="AG174" i="1"/>
  <c r="X171" i="1"/>
  <c r="AG170" i="1"/>
  <c r="T167" i="1"/>
  <c r="X92" i="1"/>
  <c r="AG91" i="1"/>
  <c r="W91" i="1" s="1"/>
  <c r="X91" i="1"/>
  <c r="T87" i="1"/>
  <c r="X76" i="1"/>
  <c r="AG75" i="1"/>
  <c r="W70" i="1"/>
  <c r="AA69" i="1"/>
  <c r="W69" i="1" s="1"/>
  <c r="AG63" i="1"/>
  <c r="W63" i="1" s="1"/>
  <c r="X60" i="1"/>
  <c r="AG59" i="1"/>
  <c r="AI59" i="1" s="1"/>
  <c r="AA55" i="1"/>
  <c r="W55" i="1" s="1"/>
  <c r="T52" i="1"/>
  <c r="X43" i="1"/>
  <c r="AG42" i="1"/>
  <c r="X42" i="1"/>
  <c r="AG36" i="1"/>
  <c r="AI36" i="1" s="1"/>
  <c r="AA31" i="1"/>
  <c r="AG30" i="1"/>
  <c r="X30" i="1"/>
  <c r="T27" i="1"/>
  <c r="X23" i="1"/>
  <c r="AG22" i="1"/>
  <c r="AG21" i="1"/>
  <c r="X21" i="1"/>
  <c r="T15" i="1"/>
  <c r="AA190" i="1"/>
  <c r="X189" i="1"/>
  <c r="AG187" i="1"/>
  <c r="W187" i="1" s="1"/>
  <c r="X187" i="1"/>
  <c r="AA182" i="1"/>
  <c r="AG181" i="1"/>
  <c r="AI181" i="1" s="1"/>
  <c r="T178" i="1"/>
  <c r="AA93" i="1"/>
  <c r="AA166" i="1"/>
  <c r="T164" i="1"/>
  <c r="AA159" i="1"/>
  <c r="AG158" i="1"/>
  <c r="AI158" i="1" s="1"/>
  <c r="X158" i="1"/>
  <c r="X88" i="1"/>
  <c r="AG86" i="1"/>
  <c r="X86" i="1"/>
  <c r="AA74" i="1"/>
  <c r="AA73" i="1"/>
  <c r="X56" i="1"/>
  <c r="AA51" i="1"/>
  <c r="AA46" i="1"/>
  <c r="W46" i="1" s="1"/>
  <c r="AG45" i="1"/>
  <c r="X45" i="1"/>
  <c r="X39" i="1"/>
  <c r="AI34" i="1"/>
  <c r="T26" i="1"/>
  <c r="AG15" i="1"/>
  <c r="W15" i="1" s="1"/>
  <c r="AA180" i="1"/>
  <c r="T175" i="1"/>
  <c r="T171" i="1"/>
  <c r="AA160" i="1"/>
  <c r="T92" i="1"/>
  <c r="AA80" i="1"/>
  <c r="T76" i="1"/>
  <c r="T60" i="1"/>
  <c r="AA50" i="1"/>
  <c r="AA47" i="1"/>
  <c r="T43" i="1"/>
  <c r="X27" i="1"/>
  <c r="AG26" i="1"/>
  <c r="AA21" i="1"/>
  <c r="AI207" i="1"/>
  <c r="AI211" i="1"/>
  <c r="AI215" i="1"/>
  <c r="W215" i="1"/>
  <c r="X200" i="1"/>
  <c r="AG199" i="1"/>
  <c r="AI199" i="1" s="1"/>
  <c r="T193" i="1"/>
  <c r="AG155" i="1"/>
  <c r="AI155" i="1" s="1"/>
  <c r="X155" i="1"/>
  <c r="T153" i="1"/>
  <c r="T150" i="1"/>
  <c r="X150" i="1"/>
  <c r="AG139" i="1"/>
  <c r="AI139" i="1" s="1"/>
  <c r="X139" i="1"/>
  <c r="T137" i="1"/>
  <c r="T134" i="1"/>
  <c r="X134" i="1"/>
  <c r="AG123" i="1"/>
  <c r="AI123" i="1" s="1"/>
  <c r="X123" i="1"/>
  <c r="AI125" i="1"/>
  <c r="AI78" i="1"/>
  <c r="X119" i="1"/>
  <c r="X118" i="1"/>
  <c r="AG118" i="1"/>
  <c r="AI118" i="1" s="1"/>
  <c r="AG116" i="1"/>
  <c r="AI116" i="1" s="1"/>
  <c r="X116" i="1"/>
  <c r="T116" i="1"/>
  <c r="AA163" i="1"/>
  <c r="W163" i="1" s="1"/>
  <c r="AG64" i="1"/>
  <c r="X64" i="1"/>
  <c r="T64" i="1"/>
  <c r="AG209" i="1"/>
  <c r="AI209" i="1" s="1"/>
  <c r="X206" i="1"/>
  <c r="AG203" i="1"/>
  <c r="AI203" i="1" s="1"/>
  <c r="AI214" i="1"/>
  <c r="X213" i="1"/>
  <c r="T213" i="1"/>
  <c r="AG212" i="1"/>
  <c r="X199" i="1"/>
  <c r="AG198" i="1"/>
  <c r="AI198" i="1" s="1"/>
  <c r="T191" i="1"/>
  <c r="T154" i="1"/>
  <c r="X154" i="1"/>
  <c r="X153" i="1"/>
  <c r="AG150" i="1"/>
  <c r="AI150" i="1" s="1"/>
  <c r="T147" i="1"/>
  <c r="AI179" i="1"/>
  <c r="AI178" i="1"/>
  <c r="T141" i="1"/>
  <c r="T138" i="1"/>
  <c r="X138" i="1"/>
  <c r="X137" i="1"/>
  <c r="AG134" i="1"/>
  <c r="AI134" i="1" s="1"/>
  <c r="T131" i="1"/>
  <c r="AI163" i="1"/>
  <c r="T125" i="1"/>
  <c r="T118" i="1"/>
  <c r="T109" i="1"/>
  <c r="X109" i="1"/>
  <c r="AG109" i="1"/>
  <c r="X103" i="1"/>
  <c r="X205" i="1"/>
  <c r="AG205" i="1"/>
  <c r="AG102" i="1"/>
  <c r="X102" i="1"/>
  <c r="T102" i="1"/>
  <c r="T169" i="1"/>
  <c r="X169" i="1"/>
  <c r="AG169" i="1"/>
  <c r="X170" i="1"/>
  <c r="AG160" i="1"/>
  <c r="AI160" i="1" s="1"/>
  <c r="X160" i="1"/>
  <c r="T160" i="1"/>
  <c r="T196" i="1"/>
  <c r="X196" i="1"/>
  <c r="T155" i="1"/>
  <c r="T146" i="1"/>
  <c r="X146" i="1"/>
  <c r="T139" i="1"/>
  <c r="AI171" i="1"/>
  <c r="T130" i="1"/>
  <c r="X130" i="1"/>
  <c r="T190" i="1"/>
  <c r="X190" i="1"/>
  <c r="AG190" i="1"/>
  <c r="X185" i="1"/>
  <c r="X184" i="1"/>
  <c r="AG184" i="1"/>
  <c r="AI184" i="1" s="1"/>
  <c r="AG182" i="1"/>
  <c r="AI182" i="1" s="1"/>
  <c r="X182" i="1"/>
  <c r="T182" i="1"/>
  <c r="X214" i="1"/>
  <c r="X210" i="1"/>
  <c r="AG196" i="1"/>
  <c r="AG220" i="1"/>
  <c r="AI206" i="1"/>
  <c r="X209" i="1"/>
  <c r="AG208" i="1"/>
  <c r="X203" i="1"/>
  <c r="AG202" i="1"/>
  <c r="AI202" i="1" s="1"/>
  <c r="T197" i="1"/>
  <c r="AG193" i="1"/>
  <c r="AI193" i="1" s="1"/>
  <c r="X220" i="1"/>
  <c r="X212" i="1"/>
  <c r="X208" i="1"/>
  <c r="X202" i="1"/>
  <c r="X198" i="1"/>
  <c r="AG197" i="1"/>
  <c r="T195" i="1"/>
  <c r="T192" i="1"/>
  <c r="AA155" i="1"/>
  <c r="AG154" i="1"/>
  <c r="AI188" i="1"/>
  <c r="AG147" i="1"/>
  <c r="AI147" i="1" s="1"/>
  <c r="T145" i="1"/>
  <c r="T142" i="1"/>
  <c r="X142" i="1"/>
  <c r="X141" i="1"/>
  <c r="AA139" i="1"/>
  <c r="W139" i="1" s="1"/>
  <c r="AG138" i="1"/>
  <c r="AG131" i="1"/>
  <c r="AI131" i="1" s="1"/>
  <c r="T129" i="1"/>
  <c r="T126" i="1"/>
  <c r="X126" i="1"/>
  <c r="X125" i="1"/>
  <c r="X124" i="1"/>
  <c r="AA123" i="1"/>
  <c r="AI141" i="1"/>
  <c r="X83" i="1"/>
  <c r="X82" i="1"/>
  <c r="AG82" i="1"/>
  <c r="T82" i="1"/>
  <c r="AI56" i="1"/>
  <c r="T50" i="1"/>
  <c r="X50" i="1"/>
  <c r="AG50" i="1"/>
  <c r="W50" i="1" s="1"/>
  <c r="X51" i="1"/>
  <c r="T113" i="1"/>
  <c r="X113" i="1"/>
  <c r="X111" i="1"/>
  <c r="AA110" i="1"/>
  <c r="T99" i="1"/>
  <c r="X99" i="1"/>
  <c r="X97" i="1"/>
  <c r="AA96" i="1"/>
  <c r="T179" i="1"/>
  <c r="X179" i="1"/>
  <c r="X177" i="1"/>
  <c r="AA94" i="1"/>
  <c r="AA173" i="1"/>
  <c r="AI108" i="1"/>
  <c r="T166" i="1"/>
  <c r="X166" i="1"/>
  <c r="AG166" i="1"/>
  <c r="AI166" i="1" s="1"/>
  <c r="X93" i="1"/>
  <c r="AI99" i="1"/>
  <c r="AI91" i="1"/>
  <c r="AI85" i="1"/>
  <c r="T73" i="1"/>
  <c r="X73" i="1"/>
  <c r="AG73" i="1"/>
  <c r="T117" i="1"/>
  <c r="X117" i="1"/>
  <c r="W114" i="1"/>
  <c r="T110" i="1"/>
  <c r="AI142" i="1"/>
  <c r="T204" i="1"/>
  <c r="X204" i="1"/>
  <c r="T96" i="1"/>
  <c r="AI126" i="1"/>
  <c r="T183" i="1"/>
  <c r="X183" i="1"/>
  <c r="T176" i="1"/>
  <c r="X176" i="1"/>
  <c r="AG176" i="1"/>
  <c r="AI176" i="1" s="1"/>
  <c r="T173" i="1"/>
  <c r="X173" i="1"/>
  <c r="AI104" i="1"/>
  <c r="X162" i="1"/>
  <c r="AG162" i="1"/>
  <c r="AI162" i="1" s="1"/>
  <c r="X163" i="1"/>
  <c r="AG80" i="1"/>
  <c r="W80" i="1" s="1"/>
  <c r="X80" i="1"/>
  <c r="T80" i="1"/>
  <c r="X67" i="1"/>
  <c r="X66" i="1"/>
  <c r="AG66" i="1"/>
  <c r="T121" i="1"/>
  <c r="X121" i="1"/>
  <c r="X120" i="1"/>
  <c r="AA118" i="1"/>
  <c r="AG117" i="1"/>
  <c r="AI117" i="1" s="1"/>
  <c r="AG110" i="1"/>
  <c r="T108" i="1"/>
  <c r="T105" i="1"/>
  <c r="X105" i="1"/>
  <c r="X104" i="1"/>
  <c r="AA205" i="1"/>
  <c r="W205" i="1" s="1"/>
  <c r="AG204" i="1"/>
  <c r="AG96" i="1"/>
  <c r="T189" i="1"/>
  <c r="T95" i="1"/>
  <c r="X95" i="1"/>
  <c r="X186" i="1"/>
  <c r="AA184" i="1"/>
  <c r="AG183" i="1"/>
  <c r="AI119" i="1"/>
  <c r="AG94" i="1"/>
  <c r="AI94" i="1" s="1"/>
  <c r="X94" i="1"/>
  <c r="X174" i="1"/>
  <c r="AG173" i="1"/>
  <c r="AI173" i="1" s="1"/>
  <c r="AI100" i="1"/>
  <c r="T89" i="1"/>
  <c r="X89" i="1"/>
  <c r="AG89" i="1"/>
  <c r="W89" i="1" s="1"/>
  <c r="AI75" i="1"/>
  <c r="AI69" i="1"/>
  <c r="T62" i="1"/>
  <c r="X62" i="1"/>
  <c r="AG62" i="1"/>
  <c r="X63" i="1"/>
  <c r="T24" i="1"/>
  <c r="X24" i="1"/>
  <c r="AG24" i="1"/>
  <c r="T157" i="1"/>
  <c r="X157" i="1"/>
  <c r="T77" i="1"/>
  <c r="X77" i="1"/>
  <c r="AI52" i="1"/>
  <c r="X49" i="1"/>
  <c r="AG49" i="1"/>
  <c r="AG31" i="1"/>
  <c r="W31" i="1" s="1"/>
  <c r="X31" i="1"/>
  <c r="T31" i="1"/>
  <c r="W26" i="1"/>
  <c r="X19" i="1"/>
  <c r="X18" i="1"/>
  <c r="AG18" i="1"/>
  <c r="AG172" i="1"/>
  <c r="AI172" i="1" s="1"/>
  <c r="AG168" i="1"/>
  <c r="AI168" i="1" s="1"/>
  <c r="AG165" i="1"/>
  <c r="AI165" i="1" s="1"/>
  <c r="T161" i="1"/>
  <c r="X161" i="1"/>
  <c r="W158" i="1"/>
  <c r="T90" i="1"/>
  <c r="T84" i="1"/>
  <c r="T81" i="1"/>
  <c r="X81" i="1"/>
  <c r="W78" i="1"/>
  <c r="T74" i="1"/>
  <c r="AI70" i="1"/>
  <c r="T68" i="1"/>
  <c r="T65" i="1"/>
  <c r="X65" i="1"/>
  <c r="T58" i="1"/>
  <c r="X58" i="1"/>
  <c r="AG58" i="1"/>
  <c r="X59" i="1"/>
  <c r="AI55" i="1"/>
  <c r="T40" i="1"/>
  <c r="X40" i="1"/>
  <c r="AG40" i="1"/>
  <c r="AI26" i="1"/>
  <c r="AI20" i="1"/>
  <c r="AG16" i="1"/>
  <c r="X16" i="1"/>
  <c r="T16" i="1"/>
  <c r="AI14" i="1"/>
  <c r="X172" i="1"/>
  <c r="X168" i="1"/>
  <c r="X165" i="1"/>
  <c r="AA162" i="1"/>
  <c r="AG161" i="1"/>
  <c r="AI161" i="1" s="1"/>
  <c r="AI95" i="1"/>
  <c r="AG90" i="1"/>
  <c r="T88" i="1"/>
  <c r="T85" i="1"/>
  <c r="X85" i="1"/>
  <c r="X84" i="1"/>
  <c r="AA82" i="1"/>
  <c r="AG81" i="1"/>
  <c r="AG74" i="1"/>
  <c r="T72" i="1"/>
  <c r="T69" i="1"/>
  <c r="X69" i="1"/>
  <c r="X68" i="1"/>
  <c r="AA66" i="1"/>
  <c r="W66" i="1" s="1"/>
  <c r="AG65" i="1"/>
  <c r="AA62" i="1"/>
  <c r="AI60" i="1"/>
  <c r="W56" i="1"/>
  <c r="T54" i="1"/>
  <c r="X54" i="1"/>
  <c r="AG54" i="1"/>
  <c r="X55" i="1"/>
  <c r="AI51" i="1"/>
  <c r="T49" i="1"/>
  <c r="AG47" i="1"/>
  <c r="X47" i="1"/>
  <c r="T47" i="1"/>
  <c r="X34" i="1"/>
  <c r="X33" i="1"/>
  <c r="AG33" i="1"/>
  <c r="AI29" i="1"/>
  <c r="T44" i="1"/>
  <c r="X44" i="1"/>
  <c r="T28" i="1"/>
  <c r="X28" i="1"/>
  <c r="AG61" i="1"/>
  <c r="AG57" i="1"/>
  <c r="AG53" i="1"/>
  <c r="W53" i="1" s="1"/>
  <c r="T48" i="1"/>
  <c r="X48" i="1"/>
  <c r="T41" i="1"/>
  <c r="T35" i="1"/>
  <c r="T32" i="1"/>
  <c r="X32" i="1"/>
  <c r="T25" i="1"/>
  <c r="AI21" i="1"/>
  <c r="T17" i="1"/>
  <c r="X17" i="1"/>
  <c r="X61" i="1"/>
  <c r="X57" i="1"/>
  <c r="X53" i="1"/>
  <c r="AA49" i="1"/>
  <c r="AG48" i="1"/>
  <c r="AI46" i="1"/>
  <c r="AG41" i="1"/>
  <c r="T39" i="1"/>
  <c r="T36" i="1"/>
  <c r="X36" i="1"/>
  <c r="X35" i="1"/>
  <c r="AA33" i="1"/>
  <c r="AG32" i="1"/>
  <c r="AG25" i="1"/>
  <c r="T23" i="1"/>
  <c r="T20" i="1"/>
  <c r="AA18" i="1"/>
  <c r="AG17" i="1"/>
  <c r="Y31" i="3"/>
  <c r="Y18" i="3"/>
  <c r="Y22" i="3"/>
  <c r="Y23" i="3"/>
  <c r="Y19" i="3"/>
  <c r="Y24" i="3"/>
  <c r="AC31" i="3"/>
  <c r="Y29" i="3"/>
  <c r="Y17" i="3"/>
  <c r="Y10" i="3"/>
  <c r="Y21" i="3"/>
  <c r="Y16" i="3"/>
  <c r="Y15" i="3"/>
  <c r="Y20" i="3"/>
  <c r="AC29" i="3"/>
  <c r="AC28" i="3"/>
  <c r="AC19" i="3"/>
  <c r="AC16" i="3"/>
  <c r="AC7" i="3"/>
  <c r="AC15" i="3"/>
  <c r="AC33" i="3"/>
  <c r="AI37" i="1" l="1"/>
  <c r="AI30" i="1"/>
  <c r="W42" i="1"/>
  <c r="W118" i="1"/>
  <c r="AI42" i="1"/>
  <c r="W190" i="1"/>
  <c r="AI210" i="1"/>
  <c r="W220" i="1"/>
  <c r="W212" i="1"/>
  <c r="W196" i="1"/>
  <c r="W159" i="1"/>
  <c r="W210" i="1"/>
  <c r="W64" i="1"/>
  <c r="W36" i="1"/>
  <c r="W29" i="1"/>
  <c r="W21" i="1"/>
  <c r="W180" i="1"/>
  <c r="W136" i="1"/>
  <c r="W34" i="1"/>
  <c r="W90" i="1"/>
  <c r="AI45" i="1"/>
  <c r="AI135" i="1"/>
  <c r="W51" i="1"/>
  <c r="AI216" i="1"/>
  <c r="W135" i="1"/>
  <c r="W174" i="1"/>
  <c r="W216" i="1"/>
  <c r="W101" i="1"/>
  <c r="W214" i="1"/>
  <c r="W160" i="1"/>
  <c r="W182" i="1"/>
  <c r="W100" i="1"/>
  <c r="W18" i="1"/>
  <c r="W47" i="1"/>
  <c r="W116" i="1"/>
  <c r="W107" i="1"/>
  <c r="W98" i="1"/>
  <c r="W111" i="1"/>
  <c r="W83" i="1"/>
  <c r="W119" i="1"/>
  <c r="W79" i="1"/>
  <c r="W86" i="1"/>
  <c r="W67" i="1"/>
  <c r="W45" i="1"/>
  <c r="W74" i="1"/>
  <c r="W82" i="1"/>
  <c r="AI86" i="1"/>
  <c r="W93" i="1"/>
  <c r="W102" i="1"/>
  <c r="W30" i="1"/>
  <c r="W59" i="1"/>
  <c r="W127" i="1"/>
  <c r="AI132" i="1"/>
  <c r="W77" i="1"/>
  <c r="W62" i="1"/>
  <c r="W115" i="1"/>
  <c r="AI63" i="1"/>
  <c r="W16" i="1"/>
  <c r="AI107" i="1"/>
  <c r="W73" i="1"/>
  <c r="AI187" i="1"/>
  <c r="AI115" i="1"/>
  <c r="W106" i="1"/>
  <c r="W132" i="1"/>
  <c r="W200" i="1"/>
  <c r="W185" i="1"/>
  <c r="W148" i="1"/>
  <c r="W140" i="1"/>
  <c r="W103" i="1"/>
  <c r="W71" i="1"/>
  <c r="W38" i="1"/>
  <c r="W172" i="1"/>
  <c r="W169" i="1"/>
  <c r="AI169" i="1"/>
  <c r="W209" i="1"/>
  <c r="W165" i="1"/>
  <c r="AI67" i="1"/>
  <c r="W170" i="1"/>
  <c r="AI15" i="1"/>
  <c r="AI22" i="1"/>
  <c r="W181" i="1"/>
  <c r="W75" i="1"/>
  <c r="W22" i="1"/>
  <c r="AI128" i="1"/>
  <c r="W143" i="1"/>
  <c r="AI49" i="1"/>
  <c r="W173" i="1"/>
  <c r="AI167" i="1"/>
  <c r="AI195" i="1"/>
  <c r="AI191" i="1"/>
  <c r="AI122" i="1"/>
  <c r="AI90" i="1"/>
  <c r="W162" i="1"/>
  <c r="AI121" i="1"/>
  <c r="AI153" i="1"/>
  <c r="AI80" i="1"/>
  <c r="AI102" i="1"/>
  <c r="W94" i="1"/>
  <c r="W166" i="1"/>
  <c r="W123" i="1"/>
  <c r="W154" i="1"/>
  <c r="AI190" i="1"/>
  <c r="AI212" i="1"/>
  <c r="W197" i="1"/>
  <c r="AI64" i="1"/>
  <c r="AI213" i="1"/>
  <c r="W183" i="1"/>
  <c r="AI48" i="1"/>
  <c r="W48" i="1"/>
  <c r="W57" i="1"/>
  <c r="AI57" i="1"/>
  <c r="AI130" i="1"/>
  <c r="AI98" i="1"/>
  <c r="AI196" i="1"/>
  <c r="AI201" i="1"/>
  <c r="AI159" i="1"/>
  <c r="AI54" i="1"/>
  <c r="W54" i="1"/>
  <c r="AI24" i="1"/>
  <c r="AI32" i="1"/>
  <c r="W32" i="1"/>
  <c r="AI31" i="1"/>
  <c r="AI114" i="1"/>
  <c r="W184" i="1"/>
  <c r="AI146" i="1"/>
  <c r="AI82" i="1"/>
  <c r="AI183" i="1"/>
  <c r="W155" i="1"/>
  <c r="AI204" i="1"/>
  <c r="AI96" i="1"/>
  <c r="AI170" i="1"/>
  <c r="AI186" i="1"/>
  <c r="AI205" i="1"/>
  <c r="AI152" i="1"/>
  <c r="W131" i="1"/>
  <c r="W147" i="1"/>
  <c r="W203" i="1"/>
  <c r="W134" i="1"/>
  <c r="W117" i="1"/>
  <c r="W198" i="1"/>
  <c r="AI17" i="1"/>
  <c r="W17" i="1"/>
  <c r="AI33" i="1"/>
  <c r="AI65" i="1"/>
  <c r="W65" i="1"/>
  <c r="AI97" i="1"/>
  <c r="W161" i="1"/>
  <c r="AI40" i="1"/>
  <c r="AI105" i="1"/>
  <c r="W168" i="1"/>
  <c r="AI110" i="1"/>
  <c r="AI73" i="1"/>
  <c r="W96" i="1"/>
  <c r="AI194" i="1"/>
  <c r="W193" i="1"/>
  <c r="AI106" i="1"/>
  <c r="AI138" i="1"/>
  <c r="AI175" i="1"/>
  <c r="AI41" i="1"/>
  <c r="W49" i="1"/>
  <c r="AI61" i="1"/>
  <c r="W61" i="1"/>
  <c r="W41" i="1"/>
  <c r="AI58" i="1"/>
  <c r="AI109" i="1"/>
  <c r="W58" i="1"/>
  <c r="AI81" i="1"/>
  <c r="W81" i="1"/>
  <c r="AI16" i="1"/>
  <c r="AI25" i="1"/>
  <c r="W33" i="1"/>
  <c r="AI53" i="1"/>
  <c r="W25" i="1"/>
  <c r="W24" i="1"/>
  <c r="AI47" i="1"/>
  <c r="AI74" i="1"/>
  <c r="AI101" i="1"/>
  <c r="AI18" i="1"/>
  <c r="W40" i="1"/>
  <c r="AI62" i="1"/>
  <c r="AI89" i="1"/>
  <c r="AI137" i="1"/>
  <c r="W204" i="1"/>
  <c r="AI66" i="1"/>
  <c r="AI113" i="1"/>
  <c r="W176" i="1"/>
  <c r="W110" i="1"/>
  <c r="AI50" i="1"/>
  <c r="W138" i="1"/>
  <c r="AI174" i="1"/>
  <c r="AI200" i="1"/>
  <c r="AI220" i="1"/>
  <c r="AI120" i="1"/>
  <c r="AI129" i="1"/>
  <c r="AI136" i="1"/>
  <c r="AI145" i="1"/>
  <c r="AI208" i="1"/>
  <c r="AI154" i="1"/>
  <c r="W109" i="1"/>
  <c r="AI197" i="1"/>
  <c r="W208" i="1"/>
  <c r="W150" i="1"/>
  <c r="W202" i="1"/>
  <c r="W199" i="1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217" i="1" l="1"/>
  <c r="AH218" i="1"/>
  <c r="AH219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215" i="1"/>
  <c r="AH220" i="1"/>
  <c r="AH216" i="1"/>
  <c r="AH212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4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8" i="1"/>
  <c r="AH182" i="1"/>
  <c r="AH186" i="1"/>
  <c r="AH190" i="1"/>
  <c r="AH177" i="1"/>
  <c r="AH181" i="1"/>
  <c r="AH185" i="1"/>
  <c r="AH189" i="1"/>
  <c r="AH213" i="1"/>
  <c r="AH176" i="1"/>
  <c r="AH180" i="1"/>
  <c r="AH184" i="1"/>
  <c r="AH188" i="1"/>
  <c r="AH175" i="1"/>
  <c r="AH179" i="1"/>
  <c r="AH183" i="1"/>
  <c r="AH187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88" i="1" l="1"/>
  <c r="S188" i="1" s="1"/>
  <c r="U171" i="1"/>
  <c r="S171" i="1" s="1"/>
  <c r="U175" i="1"/>
  <c r="S175" i="1" s="1"/>
  <c r="U218" i="1"/>
  <c r="S218" i="1" s="1"/>
  <c r="U167" i="1"/>
  <c r="S167" i="1" s="1"/>
  <c r="U217" i="1"/>
  <c r="S217" i="1" s="1"/>
  <c r="U214" i="1"/>
  <c r="S214" i="1" s="1"/>
  <c r="U158" i="1"/>
  <c r="S158" i="1" s="1"/>
  <c r="U189" i="1"/>
  <c r="S189" i="1" s="1"/>
  <c r="U194" i="1"/>
  <c r="S194" i="1" s="1"/>
  <c r="U200" i="1"/>
  <c r="S200" i="1" s="1"/>
  <c r="U219" i="1"/>
  <c r="S219" i="1" s="1"/>
  <c r="U184" i="1"/>
  <c r="S184" i="1" s="1"/>
  <c r="U183" i="1"/>
  <c r="S183" i="1" s="1"/>
  <c r="U162" i="1"/>
  <c r="S162" i="1" s="1"/>
  <c r="U208" i="1"/>
  <c r="S208" i="1" s="1"/>
  <c r="U196" i="1"/>
  <c r="S196" i="1" s="1"/>
  <c r="U202" i="1"/>
  <c r="S202" i="1" s="1"/>
  <c r="U182" i="1"/>
  <c r="S182" i="1" s="1"/>
  <c r="U212" i="1"/>
  <c r="S212" i="1" s="1"/>
  <c r="U209" i="1"/>
  <c r="S209" i="1" s="1"/>
  <c r="U207" i="1"/>
  <c r="S207" i="1" s="1"/>
  <c r="U170" i="1"/>
  <c r="S170" i="1" s="1"/>
  <c r="U201" i="1"/>
  <c r="S201" i="1" s="1"/>
  <c r="U177" i="1"/>
  <c r="S177" i="1" s="1"/>
  <c r="U181" i="1"/>
  <c r="S181" i="1" s="1"/>
  <c r="U216" i="1"/>
  <c r="S216" i="1" s="1"/>
  <c r="U159" i="1"/>
  <c r="S159" i="1" s="1"/>
  <c r="U187" i="1"/>
  <c r="S187" i="1" s="1"/>
  <c r="U185" i="1"/>
  <c r="S185" i="1" s="1"/>
  <c r="U174" i="1"/>
  <c r="S174" i="1" s="1"/>
  <c r="U165" i="1"/>
  <c r="S165" i="1" s="1"/>
  <c r="U179" i="1"/>
  <c r="S179" i="1" s="1"/>
  <c r="U164" i="1"/>
  <c r="S164" i="1" s="1"/>
  <c r="U163" i="1"/>
  <c r="S163" i="1" s="1"/>
  <c r="U211" i="1"/>
  <c r="S211" i="1" s="1"/>
  <c r="U157" i="1"/>
  <c r="S157" i="1" s="1"/>
  <c r="U191" i="1"/>
  <c r="S191" i="1" s="1"/>
  <c r="U178" i="1"/>
  <c r="S178" i="1" s="1"/>
  <c r="U206" i="1"/>
  <c r="S206" i="1" s="1"/>
  <c r="U193" i="1"/>
  <c r="S193" i="1" s="1"/>
  <c r="U198" i="1"/>
  <c r="S198" i="1" s="1"/>
  <c r="U160" i="1"/>
  <c r="S160" i="1" s="1"/>
  <c r="U161" i="1"/>
  <c r="S161" i="1" s="1"/>
  <c r="U172" i="1"/>
  <c r="S172" i="1" s="1"/>
  <c r="U204" i="1"/>
  <c r="S204" i="1" s="1"/>
  <c r="U220" i="1"/>
  <c r="S220" i="1" s="1"/>
  <c r="U199" i="1"/>
  <c r="S199" i="1" s="1"/>
  <c r="U192" i="1"/>
  <c r="S192" i="1" s="1"/>
  <c r="U195" i="1"/>
  <c r="S195" i="1" s="1"/>
  <c r="U215" i="1"/>
  <c r="S215" i="1" s="1"/>
  <c r="U186" i="1"/>
  <c r="S186" i="1" s="1"/>
  <c r="U213" i="1"/>
  <c r="S213" i="1" s="1"/>
  <c r="U210" i="1"/>
  <c r="S210" i="1" s="1"/>
  <c r="U180" i="1"/>
  <c r="S180" i="1" s="1"/>
  <c r="U197" i="1"/>
  <c r="S197" i="1" s="1"/>
  <c r="U166" i="1"/>
  <c r="S166" i="1" s="1"/>
  <c r="U168" i="1"/>
  <c r="S168" i="1" s="1"/>
  <c r="U173" i="1"/>
  <c r="S173" i="1" s="1"/>
  <c r="U169" i="1"/>
  <c r="S169" i="1" s="1"/>
  <c r="U176" i="1"/>
  <c r="S176" i="1" s="1"/>
  <c r="U190" i="1"/>
  <c r="S190" i="1" s="1"/>
  <c r="U203" i="1"/>
  <c r="S203" i="1" s="1"/>
  <c r="U205" i="1"/>
  <c r="S205" i="1" s="1"/>
  <c r="M18" i="5"/>
  <c r="AF72" i="1" l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157" i="1"/>
  <c r="AF158" i="1"/>
  <c r="AF159" i="1"/>
  <c r="AF216" i="1"/>
  <c r="AF217" i="1"/>
  <c r="AF191" i="1"/>
  <c r="AF218" i="1"/>
  <c r="AF219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160" i="1"/>
  <c r="AF164" i="1"/>
  <c r="AF167" i="1"/>
  <c r="AF171" i="1"/>
  <c r="AF175" i="1"/>
  <c r="AF178" i="1"/>
  <c r="AF182" i="1"/>
  <c r="AF186" i="1"/>
  <c r="AF189" i="1"/>
  <c r="AF98" i="1"/>
  <c r="AF102" i="1"/>
  <c r="AF104" i="1"/>
  <c r="AF163" i="1"/>
  <c r="AF93" i="1"/>
  <c r="AF170" i="1"/>
  <c r="AF174" i="1"/>
  <c r="AF177" i="1"/>
  <c r="AF181" i="1"/>
  <c r="AF185" i="1"/>
  <c r="AF188" i="1"/>
  <c r="AF97" i="1"/>
  <c r="AF101" i="1"/>
  <c r="AF103" i="1"/>
  <c r="AF156" i="1"/>
  <c r="AF162" i="1"/>
  <c r="AF166" i="1"/>
  <c r="AF169" i="1"/>
  <c r="AF173" i="1"/>
  <c r="AF94" i="1"/>
  <c r="AF180" i="1"/>
  <c r="AF184" i="1"/>
  <c r="AF187" i="1"/>
  <c r="AF96" i="1"/>
  <c r="AF100" i="1"/>
  <c r="AF2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92" i="1"/>
  <c r="AF161" i="1"/>
  <c r="AF165" i="1"/>
  <c r="AF168" i="1"/>
  <c r="AF172" i="1"/>
  <c r="AF176" i="1"/>
  <c r="AF179" i="1"/>
  <c r="AF183" i="1"/>
  <c r="AF95" i="1"/>
  <c r="AF190" i="1"/>
  <c r="AF99" i="1"/>
  <c r="AF204" i="1"/>
  <c r="AF105" i="1"/>
  <c r="AF195" i="1"/>
  <c r="AF199" i="1"/>
  <c r="AF203" i="1"/>
  <c r="AF209" i="1"/>
  <c r="AF213" i="1"/>
  <c r="AF194" i="1"/>
  <c r="AF198" i="1"/>
  <c r="AF202" i="1"/>
  <c r="AF208" i="1"/>
  <c r="AF212" i="1"/>
  <c r="AF193" i="1"/>
  <c r="AF197" i="1"/>
  <c r="AF201" i="1"/>
  <c r="AF207" i="1"/>
  <c r="AF211" i="1"/>
  <c r="AF215" i="1"/>
  <c r="AF196" i="1"/>
  <c r="AF200" i="1"/>
  <c r="AF206" i="1"/>
  <c r="AF210" i="1"/>
  <c r="AF214" i="1"/>
  <c r="AF220" i="1"/>
  <c r="T7" i="3"/>
  <c r="T21" i="3"/>
  <c r="T12" i="3"/>
  <c r="T27" i="3"/>
  <c r="T34" i="3"/>
  <c r="T30" i="3"/>
  <c r="T18" i="3"/>
  <c r="T22" i="3"/>
  <c r="T19" i="3"/>
  <c r="T14" i="3"/>
  <c r="T15" i="3"/>
  <c r="T17" i="3"/>
  <c r="T28" i="3"/>
  <c r="T24" i="3"/>
  <c r="T16" i="3"/>
  <c r="T31" i="3"/>
  <c r="T9" i="3"/>
  <c r="T8" i="3"/>
  <c r="T32" i="3"/>
  <c r="T29" i="3"/>
  <c r="T23" i="3"/>
  <c r="T33" i="3"/>
  <c r="T10" i="3"/>
  <c r="T11" i="3"/>
  <c r="T25" i="3"/>
  <c r="T35" i="3"/>
  <c r="T20" i="3"/>
  <c r="T26" i="3"/>
  <c r="T13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3" i="1" l="1"/>
  <c r="S133" i="1" s="1"/>
  <c r="U70" i="1"/>
  <c r="S70" i="1" s="1"/>
  <c r="U55" i="1"/>
  <c r="S55" i="1" s="1"/>
  <c r="U97" i="1"/>
  <c r="S97" i="1" s="1"/>
  <c r="U152" i="1"/>
  <c r="S152" i="1" s="1"/>
  <c r="U114" i="1"/>
  <c r="S114" i="1" s="1"/>
  <c r="U98" i="1"/>
  <c r="S98" i="1" s="1"/>
  <c r="U60" i="1"/>
  <c r="S60" i="1" s="1"/>
  <c r="U38" i="1"/>
  <c r="S38" i="1" s="1"/>
  <c r="U71" i="1"/>
  <c r="S71" i="1" s="1"/>
  <c r="U93" i="1"/>
  <c r="S93" i="1" s="1"/>
  <c r="U115" i="1"/>
  <c r="S115" i="1" s="1"/>
  <c r="U52" i="1"/>
  <c r="S52" i="1" s="1"/>
  <c r="U29" i="1"/>
  <c r="S29" i="1" s="1"/>
  <c r="U124" i="1"/>
  <c r="S124" i="1" s="1"/>
  <c r="U83" i="1"/>
  <c r="S83" i="1" s="1"/>
  <c r="U78" i="1"/>
  <c r="S78" i="1" s="1"/>
  <c r="U100" i="1"/>
  <c r="S100" i="1" s="1"/>
  <c r="U79" i="1"/>
  <c r="S79" i="1" s="1"/>
  <c r="U14" i="1"/>
  <c r="S14" i="1" s="1"/>
  <c r="U46" i="1"/>
  <c r="S46" i="1" s="1"/>
  <c r="U39" i="1"/>
  <c r="S39" i="1" s="1"/>
  <c r="U113" i="1"/>
  <c r="S113" i="1" s="1"/>
  <c r="U125" i="1"/>
  <c r="S125" i="1" s="1"/>
  <c r="U87" i="1"/>
  <c r="S87" i="1" s="1"/>
  <c r="U112" i="1"/>
  <c r="S112" i="1" s="1"/>
  <c r="U19" i="1"/>
  <c r="S19" i="1" s="1"/>
  <c r="U68" i="1"/>
  <c r="S68" i="1" s="1"/>
  <c r="U137" i="1"/>
  <c r="S137" i="1" s="1"/>
  <c r="U42" i="1"/>
  <c r="S42" i="1" s="1"/>
  <c r="U130" i="1"/>
  <c r="S130" i="1" s="1"/>
  <c r="U120" i="1"/>
  <c r="S120" i="1" s="1"/>
  <c r="U85" i="1"/>
  <c r="S85" i="1" s="1"/>
  <c r="U105" i="1"/>
  <c r="S105" i="1" s="1"/>
  <c r="U153" i="1"/>
  <c r="S153" i="1" s="1"/>
  <c r="U106" i="1"/>
  <c r="S106" i="1" s="1"/>
  <c r="U122" i="1"/>
  <c r="S122" i="1" s="1"/>
  <c r="U63" i="1"/>
  <c r="S63" i="1" s="1"/>
  <c r="U75" i="1"/>
  <c r="S75" i="1" s="1"/>
  <c r="U143" i="1"/>
  <c r="S143" i="1" s="1"/>
  <c r="U80" i="1"/>
  <c r="S80" i="1" s="1"/>
  <c r="U154" i="1"/>
  <c r="S154" i="1" s="1"/>
  <c r="U64" i="1"/>
  <c r="S64" i="1" s="1"/>
  <c r="U48" i="1"/>
  <c r="S48" i="1" s="1"/>
  <c r="U24" i="1"/>
  <c r="S24" i="1" s="1"/>
  <c r="U31" i="1"/>
  <c r="S31" i="1" s="1"/>
  <c r="U82" i="1"/>
  <c r="S82" i="1" s="1"/>
  <c r="U155" i="1"/>
  <c r="S155" i="1" s="1"/>
  <c r="U61" i="1"/>
  <c r="S61" i="1" s="1"/>
  <c r="U16" i="1"/>
  <c r="S16" i="1" s="1"/>
  <c r="U74" i="1"/>
  <c r="S74" i="1" s="1"/>
  <c r="U18" i="1"/>
  <c r="S18" i="1" s="1"/>
  <c r="U50" i="1"/>
  <c r="S50" i="1" s="1"/>
  <c r="U102" i="1"/>
  <c r="S102" i="1" s="1"/>
  <c r="U54" i="1"/>
  <c r="S54" i="1" s="1"/>
  <c r="U58" i="1"/>
  <c r="S58" i="1" s="1"/>
  <c r="U81" i="1"/>
  <c r="S81" i="1" s="1"/>
  <c r="U23" i="1"/>
  <c r="S23" i="1" s="1"/>
  <c r="U108" i="1"/>
  <c r="S108" i="1" s="1"/>
  <c r="U126" i="1"/>
  <c r="S126" i="1" s="1"/>
  <c r="U45" i="1"/>
  <c r="S45" i="1" s="1"/>
  <c r="U56" i="1"/>
  <c r="S56" i="1" s="1"/>
  <c r="U35" i="1"/>
  <c r="S35" i="1" s="1"/>
  <c r="U129" i="1"/>
  <c r="S129" i="1" s="1"/>
  <c r="U43" i="1"/>
  <c r="S43" i="1" s="1"/>
  <c r="U104" i="1"/>
  <c r="S104" i="1" s="1"/>
  <c r="U51" i="1"/>
  <c r="S51" i="1" s="1"/>
  <c r="U146" i="1"/>
  <c r="S146" i="1" s="1"/>
  <c r="U36" i="1"/>
  <c r="S36" i="1" s="1"/>
  <c r="U84" i="1"/>
  <c r="S84" i="1" s="1"/>
  <c r="U141" i="1"/>
  <c r="S141" i="1" s="1"/>
  <c r="U86" i="1"/>
  <c r="S86" i="1" s="1"/>
  <c r="U119" i="1"/>
  <c r="S119" i="1" s="1"/>
  <c r="U59" i="1"/>
  <c r="S59" i="1" s="1"/>
  <c r="U107" i="1"/>
  <c r="S107" i="1" s="1"/>
  <c r="U91" i="1"/>
  <c r="S91" i="1" s="1"/>
  <c r="U148" i="1"/>
  <c r="S148" i="1" s="1"/>
  <c r="U22" i="1"/>
  <c r="S22" i="1" s="1"/>
  <c r="U131" i="1"/>
  <c r="S131" i="1" s="1"/>
  <c r="U53" i="1"/>
  <c r="S53" i="1" s="1"/>
  <c r="U47" i="1"/>
  <c r="S47" i="1" s="1"/>
  <c r="U89" i="1"/>
  <c r="S89" i="1" s="1"/>
  <c r="U69" i="1"/>
  <c r="S69" i="1" s="1"/>
  <c r="U142" i="1"/>
  <c r="S142" i="1" s="1"/>
  <c r="U149" i="1"/>
  <c r="S149" i="1" s="1"/>
  <c r="U28" i="1"/>
  <c r="S28" i="1" s="1"/>
  <c r="U145" i="1"/>
  <c r="S145" i="1" s="1"/>
  <c r="U92" i="1"/>
  <c r="S92" i="1" s="1"/>
  <c r="U135" i="1"/>
  <c r="S135" i="1" s="1"/>
  <c r="U76" i="1"/>
  <c r="S76" i="1" s="1"/>
  <c r="U144" i="1"/>
  <c r="S144" i="1" s="1"/>
  <c r="U20" i="1"/>
  <c r="S20" i="1" s="1"/>
  <c r="U77" i="1"/>
  <c r="S77" i="1" s="1"/>
  <c r="U136" i="1"/>
  <c r="S136" i="1" s="1"/>
  <c r="U111" i="1"/>
  <c r="S111" i="1" s="1"/>
  <c r="U151" i="1"/>
  <c r="S151" i="1" s="1"/>
  <c r="U67" i="1"/>
  <c r="S67" i="1" s="1"/>
  <c r="U26" i="1"/>
  <c r="S26" i="1" s="1"/>
  <c r="U128" i="1"/>
  <c r="S128" i="1" s="1"/>
  <c r="U49" i="1"/>
  <c r="S49" i="1" s="1"/>
  <c r="U90" i="1"/>
  <c r="S90" i="1" s="1"/>
  <c r="U117" i="1"/>
  <c r="S117" i="1" s="1"/>
  <c r="U110" i="1"/>
  <c r="S110" i="1" s="1"/>
  <c r="U147" i="1"/>
  <c r="S147" i="1" s="1"/>
  <c r="U116" i="1"/>
  <c r="S116" i="1" s="1"/>
  <c r="U17" i="1"/>
  <c r="S17" i="1" s="1"/>
  <c r="U33" i="1"/>
  <c r="S33" i="1" s="1"/>
  <c r="U40" i="1"/>
  <c r="S40" i="1" s="1"/>
  <c r="U41" i="1"/>
  <c r="S41" i="1" s="1"/>
  <c r="U66" i="1"/>
  <c r="S66" i="1" s="1"/>
  <c r="U138" i="1"/>
  <c r="S138" i="1" s="1"/>
  <c r="U88" i="1"/>
  <c r="S88" i="1" s="1"/>
  <c r="U99" i="1"/>
  <c r="S99" i="1" s="1"/>
  <c r="U21" i="1"/>
  <c r="S21" i="1" s="1"/>
  <c r="U101" i="1"/>
  <c r="S101" i="1" s="1"/>
  <c r="U156" i="1"/>
  <c r="S156" i="1" s="1"/>
  <c r="U72" i="1"/>
  <c r="S72" i="1" s="1"/>
  <c r="U30" i="1"/>
  <c r="S30" i="1" s="1"/>
  <c r="U34" i="1"/>
  <c r="S34" i="1" s="1"/>
  <c r="U121" i="1"/>
  <c r="S121" i="1" s="1"/>
  <c r="U140" i="1"/>
  <c r="S140" i="1" s="1"/>
  <c r="U44" i="1"/>
  <c r="S44" i="1" s="1"/>
  <c r="U95" i="1"/>
  <c r="S95" i="1" s="1"/>
  <c r="U27" i="1"/>
  <c r="S27" i="1" s="1"/>
  <c r="U103" i="1"/>
  <c r="S103" i="1" s="1"/>
  <c r="U132" i="1"/>
  <c r="S132" i="1" s="1"/>
  <c r="U37" i="1"/>
  <c r="S37" i="1" s="1"/>
  <c r="U127" i="1"/>
  <c r="S127" i="1" s="1"/>
  <c r="U15" i="1"/>
  <c r="S15" i="1" s="1"/>
  <c r="U57" i="1"/>
  <c r="S57" i="1" s="1"/>
  <c r="U96" i="1"/>
  <c r="S96" i="1" s="1"/>
  <c r="U123" i="1"/>
  <c r="S123" i="1" s="1"/>
  <c r="U94" i="1"/>
  <c r="S94" i="1" s="1"/>
  <c r="U150" i="1"/>
  <c r="S150" i="1" s="1"/>
  <c r="U65" i="1"/>
  <c r="S65" i="1" s="1"/>
  <c r="U139" i="1"/>
  <c r="S139" i="1" s="1"/>
  <c r="U25" i="1"/>
  <c r="S25" i="1" s="1"/>
  <c r="U62" i="1"/>
  <c r="S62" i="1" s="1"/>
  <c r="U109" i="1"/>
  <c r="S109" i="1" s="1"/>
  <c r="U118" i="1"/>
  <c r="S118" i="1" s="1"/>
  <c r="U32" i="1"/>
  <c r="S32" i="1" s="1"/>
  <c r="U134" i="1"/>
  <c r="S134" i="1" s="1"/>
  <c r="U73" i="1"/>
  <c r="S73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<sst xmlns="http://schemas.openxmlformats.org/spreadsheetml/2006/main" count="2134" uniqueCount="768">
  <si>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</si>
  <si>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</si>
  <si>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</si>
  <si>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</si>
  <si>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</si>
  <si>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</si>
  <si>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</si>
  <si>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</si>
  <si>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</si>
  <si>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</si>
  <si>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</si>
  <si>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</si>
  <si>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</si>
  <si>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</si>
  <si>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</si>
  <si>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</si>
  <si>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</si>
  <si>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</si>
  <si>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</si>
  <si>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</si>
  <si>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</si>
  <si>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</si>
  <si>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</si>
  <si>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</si>
  <si>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</si>
  <si>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</si>
  <si>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</si>
  <si>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</si>
  <si>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</si>
  <si>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</si>
  <si>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</si>
  <si>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</si>
  <si>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</si>
  <si>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</si>
  <si>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</si>
  <si>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</si>
  <si>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</si>
  <si>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</si>
  <si>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</si>
  <si>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</si>
  <si>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</si>
  <si>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</si>
  <si>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</si>
  <si>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</si>
  <si>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</si>
  <si>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</si>
  <si>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</si>
  <si>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</si>
  <si>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</si>
  <si>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</si>
  <si>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</si>
  <si>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</si>
  <si>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</si>
  <si>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</si>
  <si>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</si>
  <si>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</si>
  <si>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</si>
  <si>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</si>
  <si>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</si>
  <si>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</si>
  <si>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</si>
  <si>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</si>
  <si>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</si>
  <si>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</si>
  <si>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</si>
  <si>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</si>
  <si>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</si>
  <si>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</si>
  <si>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</si>
  <si>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</si>
  <si>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</si>
  <si>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</si>
  <si>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</si>
  <si>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</si>
  <si>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</si>
  <si>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</si>
  <si>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</si>
  <si>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</si>
  <si>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</si>
  <si>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</si>
  <si>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</si>
  <si>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</si>
  <si>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</si>
  <si>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</si>
  <si>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</si>
  <si>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</si>
  <si>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</si>
  <si>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</si>
  <si>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</si>
  <si>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</si>
  <si>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</si>
  <si>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</si>
  <si>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</si>
  <si>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</si>
  <si>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</si>
  <si>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</si>
  <si>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</si>
  <si>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</si>
  <si>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</si>
  <si>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</si>
  <si>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</si>
  <si>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</si>
  <si>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</si>
  <si>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</si>
  <si>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</si>
  <si>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</si>
  <si>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</si>
  <si>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</si>
  <si>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</si>
  <si>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</si>
  <si>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</si>
  <si>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</si>
  <si>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</si>
  <si>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</si>
  <si>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</si>
  <si>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</si>
  <si>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</si>
  <si>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</si>
  <si>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</si>
  <si>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</si>
  <si>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</si>
  <si>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</si>
  <si>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</si>
  <si>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</si>
  <si>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</si>
  <si>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</si>
  <si>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</si>
  <si>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</si>
  <si>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</si>
  <si>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</si>
  <si>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</si>
  <si>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</si>
  <si>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</si>
  <si>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</si>
  <si>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</si>
  <si>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</si>
  <si>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</si>
  <si>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</si>
  <si>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</si>
  <si>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</si>
  <si>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</si>
  <si>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</si>
  <si>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</si>
  <si>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</si>
  <si>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</si>
  <si>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</si>
  <si>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</si>
  <si>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</si>
  <si>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</si>
  <si>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</si>
  <si>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</si>
  <si>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</si>
  <si>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</si>
  <si>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</si>
  <si>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</si>
  <si>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</si>
  <si>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</si>
  <si>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</si>
  <si>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</si>
  <si>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</si>
  <si>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</si>
  <si>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</si>
  <si>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</si>
  <si>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</si>
  <si>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</si>
  <si>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</si>
  <si>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</si>
  <si>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</si>
  <si>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</si>
  <si>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</si>
  <si>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</si>
  <si>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</si>
  <si>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</si>
  <si>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</si>
  <si>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</si>
  <si>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</si>
  <si>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</si>
  <si>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</si>
  <si>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</si>
  <si>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</si>
  <si>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</si>
  <si>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</si>
  <si>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</si>
  <si>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</si>
  <si>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</si>
  <si>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</si>
  <si>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</si>
  <si>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</si>
  <si>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</si>
  <si>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</si>
  <si>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</si>
  <si>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</si>
  <si>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</si>
  <si>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</si>
  <si>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</si>
  <si>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</si>
  <si>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</si>
  <si>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</si>
  <si>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</si>
  <si>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</si>
  <si>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</si>
  <si>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</si>
  <si>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</si>
  <si>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</si>
  <si>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</si>
  <si>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</si>
  <si>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</si>
  <si>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</si>
  <si>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</si>
  <si>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</si>
  <si>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</si>
  <si>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</si>
  <si>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</si>
  <si>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</si>
  <si>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</si>
  <si>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</si>
  <si>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</si>
  <si>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</si>
  <si>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</si>
  <si>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</si>
  <si>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</si>
  <si>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</si>
  <si>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</si>
  <si>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</si>
  <si>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</si>
  <si>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</si>
  <si>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</si>
  <si>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</si>
  <si>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</si>
  <si>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</si>
  <si>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</si>
  <si>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</si>
  <si>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</si>
  <si>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</si>
  <si>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rtdc.l.rtdc.4021:itc</t>
  </si>
  <si>
    <t>204:161</t>
  </si>
  <si>
    <t>204:464</t>
  </si>
  <si>
    <t>204:233301</t>
  </si>
  <si>
    <t>204:232981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</si>
  <si>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</si>
  <si>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</si>
  <si>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</si>
  <si>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</si>
  <si>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</si>
  <si>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</si>
  <si>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</si>
  <si>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</si>
  <si>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</si>
  <si>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</si>
  <si>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</si>
  <si>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</si>
  <si>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204:438</t>
  </si>
  <si>
    <t>204:233289</t>
  </si>
  <si>
    <t>204:232975</t>
  </si>
  <si>
    <t>204:444</t>
  </si>
  <si>
    <t>300:58613</t>
  </si>
  <si>
    <t>300:58926</t>
  </si>
  <si>
    <t>CHANDLER</t>
  </si>
  <si>
    <t>204:232973</t>
  </si>
  <si>
    <t>204:232984</t>
  </si>
  <si>
    <t>204:158</t>
  </si>
  <si>
    <t>204:475</t>
  </si>
  <si>
    <t>STARKS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</si>
  <si>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</si>
  <si>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</si>
  <si>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</si>
  <si>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</si>
  <si>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</si>
  <si>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</si>
  <si>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</si>
  <si>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</si>
  <si>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</si>
  <si>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</si>
  <si>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</si>
  <si>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</si>
  <si>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</si>
  <si>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</si>
  <si>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</si>
  <si>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</si>
  <si>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</si>
  <si>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</si>
  <si>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</si>
  <si>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204:1016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</si>
  <si>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</si>
  <si>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</si>
  <si>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</si>
  <si>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</si>
  <si>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</si>
  <si>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</si>
  <si>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</si>
  <si>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</si>
  <si>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</si>
  <si>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</si>
  <si>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</si>
  <si>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</si>
  <si>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</si>
  <si>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</si>
  <si>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</si>
  <si>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</si>
  <si>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</si>
  <si>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</si>
  <si>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</si>
  <si>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</si>
  <si>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</si>
  <si>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</si>
  <si>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</si>
  <si>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</si>
  <si>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</si>
  <si>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</si>
  <si>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</si>
  <si>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204:127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</si>
  <si>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</si>
  <si>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</si>
  <si>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</si>
  <si>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</si>
  <si>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</si>
  <si>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</si>
  <si>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</si>
  <si>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300:58931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</si>
  <si>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</si>
  <si>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</si>
  <si>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</si>
  <si>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</si>
  <si>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</si>
  <si>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</si>
  <si>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</si>
  <si>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</si>
  <si>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rtdc.l.rtdc.4053:itc</t>
  </si>
  <si>
    <t>rtdc.l.rtdc.4026:itc</t>
  </si>
  <si>
    <t>313-02</t>
  </si>
  <si>
    <t>315-02</t>
  </si>
  <si>
    <t>clear-day</t>
  </si>
  <si>
    <t>204:757</t>
  </si>
  <si>
    <t>204:232989</t>
  </si>
  <si>
    <t>204:232994</t>
  </si>
  <si>
    <t>204:232986</t>
  </si>
  <si>
    <t>204:132</t>
  </si>
  <si>
    <t>204:471</t>
  </si>
  <si>
    <t>204:233305</t>
  </si>
  <si>
    <t>204:431</t>
  </si>
  <si>
    <t>204:233315</t>
  </si>
  <si>
    <t>300:23302</t>
  </si>
  <si>
    <t>204:1023</t>
  </si>
  <si>
    <t>300:58937</t>
  </si>
  <si>
    <t>EQUIPMENT RESTRICTION</t>
  </si>
  <si>
    <t>rtdc.l.rtdc.4012:itc</t>
  </si>
  <si>
    <t>rtdc.l.rtdc.4015:itc</t>
  </si>
  <si>
    <t>rtdc.l.rtdc.4016:itc</t>
  </si>
  <si>
    <t>241-03</t>
  </si>
  <si>
    <t>ISHMAEL</t>
  </si>
  <si>
    <t>SHOOK</t>
  </si>
  <si>
    <t>BERLING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</si>
  <si>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</si>
  <si>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</si>
  <si>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</si>
  <si>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</si>
  <si>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</si>
  <si>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</si>
  <si>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</si>
  <si>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</si>
  <si>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</si>
  <si>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</si>
  <si>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204:233314</t>
  </si>
  <si>
    <t>204:232662</t>
  </si>
  <si>
    <t>204:232965</t>
  </si>
  <si>
    <t>204:160</t>
  </si>
  <si>
    <t>204:150</t>
  </si>
  <si>
    <t>204:232967</t>
  </si>
  <si>
    <t>204:233304</t>
  </si>
  <si>
    <t>204:233282</t>
  </si>
  <si>
    <t>204:233286</t>
  </si>
  <si>
    <t>204:139</t>
  </si>
  <si>
    <t>204:233283</t>
  </si>
  <si>
    <t>204:233057</t>
  </si>
  <si>
    <t>204:129</t>
  </si>
  <si>
    <t>204:233320</t>
  </si>
  <si>
    <t>204:435</t>
  </si>
  <si>
    <t>204:437</t>
  </si>
  <si>
    <t>204:233270</t>
  </si>
  <si>
    <t>204:233307</t>
  </si>
  <si>
    <t>204:427</t>
  </si>
  <si>
    <t>300:23308</t>
  </si>
  <si>
    <t>300:58617</t>
  </si>
  <si>
    <t>204:748</t>
  </si>
  <si>
    <t>300:58935</t>
  </si>
  <si>
    <t>300:58621</t>
  </si>
  <si>
    <t>300:58941</t>
  </si>
  <si>
    <t>204:719</t>
  </si>
  <si>
    <t>300:58623</t>
  </si>
  <si>
    <t>300:58916</t>
  </si>
  <si>
    <t>300:58602</t>
  </si>
  <si>
    <t>306-06</t>
  </si>
  <si>
    <t>308-06</t>
  </si>
  <si>
    <t>310-06</t>
  </si>
  <si>
    <t>rtdc.l.rtdc.4043:itc</t>
  </si>
  <si>
    <t>102-06</t>
  </si>
  <si>
    <t>rtdc.l.rtdc.4045:itc</t>
  </si>
  <si>
    <t>104-06</t>
  </si>
  <si>
    <t>112-06</t>
  </si>
  <si>
    <t>rtdc.l.rtdc.4046:itc</t>
  </si>
  <si>
    <t>117-06</t>
  </si>
  <si>
    <t>124-06</t>
  </si>
  <si>
    <t>1805-06</t>
  </si>
  <si>
    <t>130-06</t>
  </si>
  <si>
    <t>134-06</t>
  </si>
  <si>
    <t>146-06</t>
  </si>
  <si>
    <t>152-06</t>
  </si>
  <si>
    <t>169-06</t>
  </si>
  <si>
    <t>166-06</t>
  </si>
  <si>
    <t>1815-06</t>
  </si>
  <si>
    <t>1822-06</t>
  </si>
  <si>
    <t>194-06</t>
  </si>
  <si>
    <t>76-06</t>
  </si>
  <si>
    <t>77-06</t>
  </si>
  <si>
    <t>1826-06</t>
  </si>
  <si>
    <t>=^.^=-06</t>
  </si>
  <si>
    <t>225-06</t>
  </si>
  <si>
    <t>242-05</t>
  </si>
  <si>
    <t>245-05</t>
  </si>
  <si>
    <t>39-05</t>
  </si>
  <si>
    <t>SMITH</t>
  </si>
  <si>
    <t>244-05</t>
  </si>
  <si>
    <t>246-05</t>
  </si>
  <si>
    <t>41-05</t>
  </si>
  <si>
    <t>ARVIDSON</t>
  </si>
  <si>
    <t>313-05</t>
  </si>
  <si>
    <t>40-05</t>
  </si>
  <si>
    <t>315-05</t>
  </si>
  <si>
    <t>42-05</t>
  </si>
  <si>
    <t>309-05</t>
  </si>
  <si>
    <t>311-05</t>
  </si>
  <si>
    <t>302-06</t>
  </si>
  <si>
    <t>KILLION</t>
  </si>
  <si>
    <t>101-06</t>
  </si>
  <si>
    <t>304-06</t>
  </si>
  <si>
    <t>ACKERMAN</t>
  </si>
  <si>
    <t>103-06</t>
  </si>
  <si>
    <t>105-06</t>
  </si>
  <si>
    <t>DAVIS</t>
  </si>
  <si>
    <t>MALAVE</t>
  </si>
  <si>
    <t>107-06</t>
  </si>
  <si>
    <t>109-06</t>
  </si>
  <si>
    <t>111-06</t>
  </si>
  <si>
    <t>106-06</t>
  </si>
  <si>
    <t>113-06</t>
  </si>
  <si>
    <t>1901-06</t>
  </si>
  <si>
    <t>108-06</t>
  </si>
  <si>
    <t>115-06</t>
  </si>
  <si>
    <t>YORK</t>
  </si>
  <si>
    <t>1800-06</t>
  </si>
  <si>
    <t>110-06</t>
  </si>
  <si>
    <t>119-06</t>
  </si>
  <si>
    <t>1801-06</t>
  </si>
  <si>
    <t>114-06</t>
  </si>
  <si>
    <t>116-06</t>
  </si>
  <si>
    <t>121-06</t>
  </si>
  <si>
    <t>123-06</t>
  </si>
  <si>
    <t>118-06</t>
  </si>
  <si>
    <t>125-06</t>
  </si>
  <si>
    <t>1802-06</t>
  </si>
  <si>
    <t>120-06</t>
  </si>
  <si>
    <t>127-06</t>
  </si>
  <si>
    <t>122-06</t>
  </si>
  <si>
    <t>1803-06</t>
  </si>
  <si>
    <t>129-06</t>
  </si>
  <si>
    <t>131-06</t>
  </si>
  <si>
    <t>126-06</t>
  </si>
  <si>
    <t>1804-06</t>
  </si>
  <si>
    <t>133-06</t>
  </si>
  <si>
    <t>128-06</t>
  </si>
  <si>
    <t>135-06</t>
  </si>
  <si>
    <t>137-06</t>
  </si>
  <si>
    <t>132-06</t>
  </si>
  <si>
    <t>139-06</t>
  </si>
  <si>
    <t>1806-06</t>
  </si>
  <si>
    <t>141-06</t>
  </si>
  <si>
    <t>136-06</t>
  </si>
  <si>
    <t>143-06</t>
  </si>
  <si>
    <t>145-06</t>
  </si>
  <si>
    <t>138-06</t>
  </si>
  <si>
    <t>140-06</t>
  </si>
  <si>
    <t>1808-06</t>
  </si>
  <si>
    <t>1807-06</t>
  </si>
  <si>
    <t>147-06</t>
  </si>
  <si>
    <t>142-06</t>
  </si>
  <si>
    <t>144-06</t>
  </si>
  <si>
    <t>149-06</t>
  </si>
  <si>
    <t>151-06</t>
  </si>
  <si>
    <t>153-06</t>
  </si>
  <si>
    <t>148-06</t>
  </si>
  <si>
    <t>1809-06</t>
  </si>
  <si>
    <t>155-06</t>
  </si>
  <si>
    <t>CLARK</t>
  </si>
  <si>
    <t>150-06</t>
  </si>
  <si>
    <t>157-06</t>
  </si>
  <si>
    <t>1810-06</t>
  </si>
  <si>
    <t>159-06</t>
  </si>
  <si>
    <t>STEWART</t>
  </si>
  <si>
    <t>154-06</t>
  </si>
  <si>
    <t>161-06</t>
  </si>
  <si>
    <t>BARTLETT</t>
  </si>
  <si>
    <t>1811-06</t>
  </si>
  <si>
    <t>156-06</t>
  </si>
  <si>
    <t>158-06</t>
  </si>
  <si>
    <t>163-06</t>
  </si>
  <si>
    <t>BRUDER</t>
  </si>
  <si>
    <t>1812-06</t>
  </si>
  <si>
    <t>165-06</t>
  </si>
  <si>
    <t>MAHAN</t>
  </si>
  <si>
    <t>160-06</t>
  </si>
  <si>
    <t>167-06</t>
  </si>
  <si>
    <t>YOUNG</t>
  </si>
  <si>
    <t>162-06</t>
  </si>
  <si>
    <t>164-06</t>
  </si>
  <si>
    <t>1813-06</t>
  </si>
  <si>
    <t>171-06</t>
  </si>
  <si>
    <t>1814-06</t>
  </si>
  <si>
    <t>173-06</t>
  </si>
  <si>
    <t>168-06</t>
  </si>
  <si>
    <t>175-06</t>
  </si>
  <si>
    <t>170-06</t>
  </si>
  <si>
    <t>177-06</t>
  </si>
  <si>
    <t>172-06</t>
  </si>
  <si>
    <t>179-06</t>
  </si>
  <si>
    <t>174-06</t>
  </si>
  <si>
    <t>1816-06</t>
  </si>
  <si>
    <t>176-06</t>
  </si>
  <si>
    <t>181-06</t>
  </si>
  <si>
    <t>183-06</t>
  </si>
  <si>
    <t>178-06</t>
  </si>
  <si>
    <t>1817-06</t>
  </si>
  <si>
    <t>HAITHCOX</t>
  </si>
  <si>
    <t>185-06</t>
  </si>
  <si>
    <t>180-06</t>
  </si>
  <si>
    <t>187-06</t>
  </si>
  <si>
    <t>182-06</t>
  </si>
  <si>
    <t>1818-06</t>
  </si>
  <si>
    <t>189-06</t>
  </si>
  <si>
    <t>184-06</t>
  </si>
  <si>
    <t>191-06</t>
  </si>
  <si>
    <t>1819-06</t>
  </si>
  <si>
    <t>186-06</t>
  </si>
  <si>
    <t>193-06</t>
  </si>
  <si>
    <t>188-06</t>
  </si>
  <si>
    <t>190-06</t>
  </si>
  <si>
    <t>195-06</t>
  </si>
  <si>
    <t>1820-06</t>
  </si>
  <si>
    <t>197-06</t>
  </si>
  <si>
    <t>192-06</t>
  </si>
  <si>
    <t>199-06</t>
  </si>
  <si>
    <t>201-06</t>
  </si>
  <si>
    <t>196-06</t>
  </si>
  <si>
    <t>1821-06</t>
  </si>
  <si>
    <t>203-06</t>
  </si>
  <si>
    <t>198-06</t>
  </si>
  <si>
    <t>205-06</t>
  </si>
  <si>
    <t>200-06</t>
  </si>
  <si>
    <t>207-06</t>
  </si>
  <si>
    <t>1823-06</t>
  </si>
  <si>
    <t>202-06</t>
  </si>
  <si>
    <t>204-06</t>
  </si>
  <si>
    <t>69-06</t>
  </si>
  <si>
    <t>SWANSON</t>
  </si>
  <si>
    <t>209-06</t>
  </si>
  <si>
    <t>LEVERE</t>
  </si>
  <si>
    <t>211-06</t>
  </si>
  <si>
    <t>206-06</t>
  </si>
  <si>
    <t>213-06</t>
  </si>
  <si>
    <t>1824-06</t>
  </si>
  <si>
    <t>208-06</t>
  </si>
  <si>
    <t>74-06</t>
  </si>
  <si>
    <t>DELGADO</t>
  </si>
  <si>
    <t>215-06</t>
  </si>
  <si>
    <t>210-06</t>
  </si>
  <si>
    <t>78-06</t>
  </si>
  <si>
    <t>217-06</t>
  </si>
  <si>
    <t>1825-06</t>
  </si>
  <si>
    <t>212-06</t>
  </si>
  <si>
    <t>219-06</t>
  </si>
  <si>
    <t>71-06</t>
  </si>
  <si>
    <t>214-06</t>
  </si>
  <si>
    <t>303-06</t>
  </si>
  <si>
    <t>216-06</t>
  </si>
  <si>
    <t>221-06</t>
  </si>
  <si>
    <t>218-06</t>
  </si>
  <si>
    <t>NEWELL</t>
  </si>
  <si>
    <t>305-06</t>
  </si>
  <si>
    <t>1827-06</t>
  </si>
  <si>
    <t>223-06</t>
  </si>
  <si>
    <t>220-06</t>
  </si>
  <si>
    <t>307-06</t>
  </si>
  <si>
    <t>1828-06</t>
  </si>
  <si>
    <t>222-06</t>
  </si>
  <si>
    <t>DERPDERPSOUTH-06</t>
  </si>
  <si>
    <t>73-06</t>
  </si>
  <si>
    <t>1829-06</t>
  </si>
  <si>
    <t>224-06</t>
  </si>
  <si>
    <t>227-06</t>
  </si>
  <si>
    <t>1830-06</t>
  </si>
  <si>
    <t>226-06</t>
  </si>
  <si>
    <t>229-06</t>
  </si>
  <si>
    <t>1831-06</t>
  </si>
  <si>
    <t>231-06</t>
  </si>
  <si>
    <t>228-06</t>
  </si>
  <si>
    <t>1832-06</t>
  </si>
  <si>
    <t>230-06</t>
  </si>
  <si>
    <t>233-06</t>
  </si>
  <si>
    <t>1833-06</t>
  </si>
  <si>
    <t>232-06</t>
  </si>
  <si>
    <t>235-06</t>
  </si>
  <si>
    <t>1902-06</t>
  </si>
  <si>
    <t>234-06</t>
  </si>
  <si>
    <t>237-06</t>
  </si>
  <si>
    <t>239-06</t>
  </si>
  <si>
    <t>236-06</t>
  </si>
  <si>
    <t>238-06</t>
  </si>
  <si>
    <t>241-06</t>
  </si>
  <si>
    <t>240-06</t>
  </si>
  <si>
    <t>243-06</t>
  </si>
  <si>
    <t>309-06</t>
  </si>
  <si>
    <t>242-06</t>
  </si>
  <si>
    <t>313-06</t>
  </si>
  <si>
    <t>204:763</t>
  </si>
  <si>
    <t>204:703</t>
  </si>
  <si>
    <t>204:233361</t>
  </si>
  <si>
    <t>204:232734</t>
  </si>
  <si>
    <t>204:232668</t>
  </si>
  <si>
    <t>204:19151</t>
  </si>
  <si>
    <t>204:233299</t>
  </si>
  <si>
    <t>204:484</t>
  </si>
  <si>
    <t>204:232962</t>
  </si>
  <si>
    <t>204:814</t>
  </si>
  <si>
    <t>204:795</t>
  </si>
  <si>
    <t>204:232961</t>
  </si>
  <si>
    <t>204:233002</t>
  </si>
  <si>
    <t>204:446</t>
  </si>
  <si>
    <t>204:207</t>
  </si>
  <si>
    <t>204:467</t>
  </si>
  <si>
    <t>204:233343</t>
  </si>
  <si>
    <t>204:232988</t>
  </si>
  <si>
    <t>204:130</t>
  </si>
  <si>
    <t>204:232970</t>
  </si>
  <si>
    <t>204:489</t>
  </si>
  <si>
    <t>204:233287</t>
  </si>
  <si>
    <t>204:233276</t>
  </si>
  <si>
    <t>204:167</t>
  </si>
  <si>
    <t>204:232990</t>
  </si>
  <si>
    <t>204:420</t>
  </si>
  <si>
    <t>204:233317</t>
  </si>
  <si>
    <t>204:231</t>
  </si>
  <si>
    <t>204:816</t>
  </si>
  <si>
    <t>204:232963</t>
  </si>
  <si>
    <t>204:440</t>
  </si>
  <si>
    <t>204:542</t>
  </si>
  <si>
    <t>204:232966</t>
  </si>
  <si>
    <t>204:247</t>
  </si>
  <si>
    <t>204:180</t>
  </si>
  <si>
    <t>204:233223</t>
  </si>
  <si>
    <t>204:232925</t>
  </si>
  <si>
    <t>204:233359</t>
  </si>
  <si>
    <t>204:480</t>
  </si>
  <si>
    <t>204:535</t>
  </si>
  <si>
    <t>300:58609</t>
  </si>
  <si>
    <t>204:715</t>
  </si>
  <si>
    <t>204:1014</t>
  </si>
  <si>
    <t>204:684</t>
  </si>
  <si>
    <t>204:1000</t>
  </si>
  <si>
    <t>300:58944</t>
  </si>
  <si>
    <t>204:705</t>
  </si>
  <si>
    <t>204:738</t>
  </si>
  <si>
    <t>204:1021</t>
  </si>
  <si>
    <t>300:58943</t>
  </si>
  <si>
    <t>300:58628</t>
  </si>
  <si>
    <t>204:724</t>
  </si>
  <si>
    <t>204:491</t>
  </si>
  <si>
    <t>204:1025</t>
  </si>
  <si>
    <t>300:58606</t>
  </si>
  <si>
    <t>204:1018</t>
  </si>
  <si>
    <t>300:58933</t>
  </si>
  <si>
    <t>204:720</t>
  </si>
  <si>
    <t>204:1011</t>
  </si>
  <si>
    <t>300:58924</t>
  </si>
  <si>
    <t>300:58604</t>
  </si>
  <si>
    <t>204:1020</t>
  </si>
  <si>
    <t>204:687</t>
  </si>
  <si>
    <t>204:969</t>
  </si>
  <si>
    <t>300:58927</t>
  </si>
  <si>
    <t>204:176</t>
  </si>
  <si>
    <t>204:689</t>
  </si>
  <si>
    <t>204:985</t>
  </si>
  <si>
    <t>300:58608</t>
  </si>
  <si>
    <t>300:58280</t>
  </si>
  <si>
    <t>204:971</t>
  </si>
  <si>
    <t>204:692</t>
  </si>
  <si>
    <t>204:733</t>
  </si>
  <si>
    <t>300:58626</t>
  </si>
  <si>
    <t>204:974</t>
  </si>
  <si>
    <t>204:433</t>
  </si>
  <si>
    <t>300:58598</t>
  </si>
  <si>
    <t>204:717</t>
  </si>
  <si>
    <t>204:999</t>
  </si>
  <si>
    <t>300:58082</t>
  </si>
  <si>
    <t>204:233001</t>
  </si>
  <si>
    <t>204:233364</t>
  </si>
  <si>
    <t>204:233047</t>
  </si>
  <si>
    <t>204:233326</t>
  </si>
  <si>
    <t>204:233013</t>
  </si>
  <si>
    <t>300:29748</t>
  </si>
  <si>
    <t>300:58596</t>
  </si>
  <si>
    <t>300:28772</t>
  </si>
  <si>
    <t>204:125</t>
  </si>
  <si>
    <t>204:233395</t>
  </si>
  <si>
    <t>204:233048</t>
  </si>
  <si>
    <t>204:477</t>
  </si>
  <si>
    <t>204:169</t>
  </si>
  <si>
    <t>204:233336</t>
  </si>
  <si>
    <t>204:233389</t>
  </si>
  <si>
    <t>204:233046</t>
  </si>
  <si>
    <t>204:233329</t>
  </si>
  <si>
    <t>204:119</t>
  </si>
  <si>
    <t>204:488</t>
  </si>
  <si>
    <t>204:233321</t>
  </si>
  <si>
    <t>204:426</t>
  </si>
  <si>
    <t>204:232976</t>
  </si>
  <si>
    <t>204:232979</t>
  </si>
  <si>
    <t>204:233278</t>
  </si>
  <si>
    <t>300:19632</t>
  </si>
  <si>
    <t>300:22329</t>
  </si>
  <si>
    <t>204:90</t>
  </si>
  <si>
    <t>300:22992</t>
  </si>
  <si>
    <t>300:23135</t>
  </si>
  <si>
    <t>300:23316</t>
  </si>
  <si>
    <t>300:23372</t>
  </si>
  <si>
    <t>300:22848</t>
  </si>
  <si>
    <t>300:23538</t>
  </si>
  <si>
    <t>204:170</t>
  </si>
  <si>
    <t>300:23002</t>
  </si>
  <si>
    <t>300:23346</t>
  </si>
  <si>
    <t>204:233007</t>
  </si>
  <si>
    <t>204:1515</t>
  </si>
  <si>
    <t>300:23306</t>
  </si>
  <si>
    <t>204:1145</t>
  </si>
  <si>
    <t>300:23293</t>
  </si>
  <si>
    <t>204:128517</t>
  </si>
  <si>
    <t>204:1216</t>
  </si>
  <si>
    <t>204:901</t>
  </si>
  <si>
    <t>300:24409</t>
  </si>
  <si>
    <t>300:23862</t>
  </si>
  <si>
    <t>204:1461</t>
  </si>
  <si>
    <t>204:1999</t>
  </si>
  <si>
    <t>300:23299</t>
  </si>
  <si>
    <t>300:23491</t>
  </si>
  <si>
    <t>204:1147</t>
  </si>
  <si>
    <t>204:1558</t>
  </si>
  <si>
    <t>204:128964</t>
  </si>
  <si>
    <t>204:1569</t>
  </si>
  <si>
    <t>204:1886</t>
  </si>
  <si>
    <t>204:1876</t>
  </si>
  <si>
    <t>204:128900</t>
  </si>
  <si>
    <t>300:26883</t>
  </si>
  <si>
    <t>204:128526</t>
  </si>
  <si>
    <t>DUS switches not aligned for Main 1</t>
  </si>
  <si>
    <t>Trip had to start at 38th because switches at DUS were not aligned yet for the trip</t>
  </si>
  <si>
    <t>No clear controls sent to Westminster 2S</t>
  </si>
  <si>
    <t>Train was trying to depart, but no clear controls were sent to Westminster 2S in the 16:40 timeframe. Any operational reason for this?</t>
  </si>
  <si>
    <t>Early arrival</t>
  </si>
  <si>
    <t>40th 4S STOP, cleared afterward</t>
  </si>
  <si>
    <t>Early arrival; Didn't slow down quickly enough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</si>
</sst>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4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2"/>
  <sheetViews>
    <sheetView tabSelected="1" topLeftCell="A160" zoomScaleNormal="100" workbookViewId="0">
      <selection activeCell="X187" sqref="X18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42680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COUNTIFS($N$13:$N$9395,"&gt;0",$AG$13:$AG$9395,I1)</f>
        <v>143</v>
      </c>
      <c r="K5" s="44"/>
      <c r="L5" s="44"/>
      <c r="M5" s="45">
        <f>AVERAGEIFS($N$13:$N$9395,$AG$13:$AG$9395,I1)</f>
        <v>37.065384615875352</v>
      </c>
      <c r="N5" s="43">
        <f t="array" ref="N5">MIN(IF($AG$13:$AG$9395=I1,IF(ISNUMBER($N$13:$N$9395),IF($N$13:$N$9395&gt;0,$N$13:$N$9395))))</f>
        <v>33.166666666511446</v>
      </c>
      <c r="O5" s="3">
        <f t="array" ref="O5">MAX(IF($AG$13:$AG$9395=I1,IF(ISNUMBER($N$13:$N$9395),IF($N$13:$N$9395&gt;0,$N$13:$N$9395))))</f>
        <v>44.333333334652707</v>
      </c>
      <c r="P5" s="2"/>
      <c r="R5" s="80" t="s">
        <v>17</v>
      </c>
      <c r="S5" s="55">
        <f>COUNTIFS($N$13:$N$9395,"&gt;0",$AG$13:$AG$9395,R1)</f>
        <v>33</v>
      </c>
      <c r="T5" s="44"/>
      <c r="U5" s="168"/>
      <c r="V5" s="45">
        <f>AVERAGEIFS($N$13:$N$9395,$AG$13:$AG$9395,R1)</f>
        <v>14.975252525182441</v>
      </c>
      <c r="W5" s="43">
        <f t="array" ref="W5">MIN(IF($AG$13:$AG$9395=R1,IF(ISNUMBER($N$13:$N$9395),IF($N$13:$N$9395&gt;0,$N$13:$N$9395))))</f>
        <v>12.616666661342606</v>
      </c>
      <c r="X5" s="173">
        <f t="array" ref="X5">MAX(IF($AG$13:$AG$9395=R1,IF(ISNUMBER($N$13:$N$9395),IF($N$13:$N$9395&gt;0,$N$13:$N$9395))))</f>
        <v>17.950000005075708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COUNT($O$13:$O$167)</f>
        <v>0</v>
      </c>
      <c r="K6" s="44"/>
      <c r="L6" s="44"/>
      <c r="M6" s="45">
        <f>IFERROR(AVERAGE($O$13:$O$167),0)</f>
        <v>0</v>
      </c>
      <c r="N6" s="43">
        <f>MIN($O$13:$O$167)</f>
        <v>0</v>
      </c>
      <c r="O6" s="3">
        <f>MAX($O$13:$O$167)</f>
        <v>0</v>
      </c>
      <c r="P6" s="2"/>
      <c r="R6" s="81" t="s">
        <v>43</v>
      </c>
      <c r="S6" s="55">
        <f>COUNT($O$13:$O$167)</f>
        <v>0</v>
      </c>
      <c r="T6" s="44"/>
      <c r="U6" s="168"/>
      <c r="V6" s="45">
        <f>IFERROR(AVERAGE($O$13:$O$167),0)</f>
        <v>0</v>
      </c>
      <c r="W6" s="43">
        <f>MIN($O$13:$O$167)</f>
        <v>0</v>
      </c>
      <c r="X6" s="173">
        <f>MAX($O$13:$O$167)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COUNTIFS($P$13:$P$9395,"&gt;0",$AG$13:$AG$9395,I1)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COUNTIFS($P$13:$P$9395,"&gt;0",$AG$13:$AG$9395,R1)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37.065384615875352</v>
      </c>
      <c r="N8" s="43">
        <f>N5</f>
        <v>33.166666666511446</v>
      </c>
      <c r="O8" s="3">
        <f>O5</f>
        <v>44.333333334652707</v>
      </c>
      <c r="P8" s="2"/>
      <c r="R8" s="80" t="s">
        <v>16</v>
      </c>
      <c r="S8" s="55">
        <f>S5</f>
        <v>33</v>
      </c>
      <c r="T8" s="44"/>
      <c r="U8" s="168"/>
      <c r="V8" s="45">
        <f>V5</f>
        <v>14.975252525182441</v>
      </c>
      <c r="W8" s="43">
        <f>W5</f>
        <v>12.616666661342606</v>
      </c>
      <c r="X8" s="173">
        <f>X5</f>
        <v>17.950000005075708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0.99305555555555558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- 2016-11-06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433</v>
      </c>
      <c r="B13" s="7">
        <v>4007</v>
      </c>
      <c r="C13" s="22" t="s">
        <v>239</v>
      </c>
      <c r="D13" s="22" t="s">
        <v>622</v>
      </c>
      <c r="E13" s="13">
        <v>42680.130868055552</v>
      </c>
      <c r="F13" s="13">
        <v>42680.135613425926</v>
      </c>
      <c r="G13" s="7">
        <v>1</v>
      </c>
      <c r="H13" s="22" t="s">
        <v>276</v>
      </c>
      <c r="I13" s="13">
        <v>42680.160462962966</v>
      </c>
      <c r="J13" s="7">
        <v>0</v>
      </c>
      <c r="K13" s="112" t="str">
        <f t="shared" ref="K13:K75" si="0">IF(ISEVEN(B13),(B13-1)&amp;"/"&amp;B13,B13&amp;"/"&amp;(B13+1))</f>
        <v>4007/4008</v>
      </c>
      <c r="L13" s="22" t="str">
        <f>VLOOKUP(A13,'Trips&amp;Operators'!$C$1:$E$10000,3,FALSE)</f>
        <v>KILLION</v>
      </c>
      <c r="M13" s="6">
        <f t="shared" ref="M13:M75" si="1">I13-F13</f>
        <v>2.4849537039699499E-2</v>
      </c>
      <c r="N13" s="7">
        <f t="shared" ref="N13:P75" si="2">24*60*SUM($M13:$M13)</f>
        <v>35.783333337167278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https://search-rtdc-monitor-bjffxe2xuh6vdkpspy63sjmuny.us-east-1.es.amazonaws.com/_plugin/kibana/#/discover/Steve-Slow-Train-Analysis-(2080s-and-2083s)?_g=(refreshInterval:(display:Off,section:0,value:0),time:(from:'2016-11-06 02:08:27-0600',mode:absolute,to:'2016-11-06 04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" s="52" t="str">
        <f t="shared" ref="W13:W75" si="6">IF(AA13&lt;IF(AG13="EC",23,5.65),"Y","N")</f>
        <v>N</v>
      </c>
      <c r="X13" s="177" t="e">
        <f t="shared" ref="X13:X43" si="7">VALUE(LEFT(AD13,4))-VALUE(LEFT(AD12,4))</f>
        <v>#VALUE!</v>
      </c>
      <c r="Y13" s="67">
        <f t="shared" ref="Y13:Y75" si="8">RIGHT(D13,LEN(D13)-4)/10000</f>
        <v>7.6300000000000007E-2</v>
      </c>
      <c r="Z13" s="67">
        <f t="shared" ref="Z13:Z75" si="9">RIGHT(H13,LEN(H13)-4)/10000</f>
        <v>23.330200000000001</v>
      </c>
      <c r="AA13" s="67">
        <f t="shared" ref="AA13:AA75" si="10">ABS(Z13-Y13)</f>
        <v>23.253900000000002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0101-06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/stypes="app*4007*20161106*"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4007 --swversion DE.1.0.8.0 --startMP 204:763 --initTime 2016-11-06T03:08:27 --startdatetime 2016-11-06T03:15:17 --delay 1 --endMP 204:233302 --enddatetime 2016-11-06T03:51:04 --enforcementcount 0 &gt;&gt;C:\Users\stu\Documents\GitHub\eaglep3-reporting\EC\2016-11-06-refined-times.txt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ID","value":"101-06"},{"id":16,"name":"Locomotive ID","value":"4007"},{"id":130,"name":"Impact","value":""},{"id":150,"name":"Time of Event (Mountain Time)","value":"03:51:04"},{"id":151,"name":"Denver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395</v>
      </c>
      <c r="B14" s="7">
        <v>4043</v>
      </c>
      <c r="C14" s="22" t="s">
        <v>239</v>
      </c>
      <c r="D14" s="22" t="s">
        <v>363</v>
      </c>
      <c r="E14" s="13">
        <v>42680.166631944441</v>
      </c>
      <c r="F14" s="13">
        <v>42680.174502314818</v>
      </c>
      <c r="G14" s="7">
        <v>1</v>
      </c>
      <c r="H14" s="22" t="s">
        <v>365</v>
      </c>
      <c r="I14" s="13">
        <v>42680.200185185182</v>
      </c>
      <c r="J14" s="7">
        <v>0</v>
      </c>
      <c r="K14" s="112" t="str">
        <f t="shared" si="0"/>
        <v>4043/4044</v>
      </c>
      <c r="L14" s="22" t="str">
        <f>VLOOKUP(A14,'Trips&amp;Operators'!$C$1:$E$10000,3,FALSE)</f>
        <v>KILLION</v>
      </c>
      <c r="M14" s="6">
        <f t="shared" si="1"/>
        <v>2.5682870364107657E-2</v>
      </c>
      <c r="N14" s="7">
        <f t="shared" si="2"/>
        <v>36.983333324315026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23.266200000000001</v>
      </c>
      <c r="Z14" s="67">
        <f t="shared" si="9"/>
        <v>1.6E-2</v>
      </c>
      <c r="AA14" s="67">
        <f t="shared" si="10"/>
        <v>23.250200000000003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0102-06</v>
      </c>
      <c r="AE14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4" s="88" t="str">
        <f t="shared" si="13"/>
        <v>"C:\Program Files (x86)\AstroGrep\AstroGrep.exe" /spath="%USERPROFILE%\AppData\Local\Temp\OnboardLogs" /stypes="app*4043*20161106*"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4043 --swversion DE.1.0.8.0 --startMP 204:232662 --initTime 2016-11-06T03:59:57 --startdatetime 2016-11-06T04:11:17 --delay 1 --endMP 204:160 --enddatetime 2016-11-06T04:48:16 --enforcementcount 0 &gt;&gt;C:\Users\stu\Documents\GitHub\eaglep3-reporting\EC\2016-11-06-refined-times.txt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ID","value":"102-06"},{"id":16,"name":"Locomotive ID","value":"4043"},{"id":130,"name":"Impact","value":""},{"id":150,"name":"Time of Event (Mountain Time)","value":"04:48:16"},{"id":151,"name":"Denver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436</v>
      </c>
      <c r="B15" s="7">
        <v>4009</v>
      </c>
      <c r="C15" s="22" t="s">
        <v>239</v>
      </c>
      <c r="D15" s="22" t="s">
        <v>623</v>
      </c>
      <c r="E15" s="13">
        <v>42680.150706018518</v>
      </c>
      <c r="F15" s="13">
        <v>42680.156481481485</v>
      </c>
      <c r="G15" s="7">
        <v>2</v>
      </c>
      <c r="H15" s="22" t="s">
        <v>624</v>
      </c>
      <c r="I15" s="13">
        <v>42680.181319444448</v>
      </c>
      <c r="J15" s="7">
        <v>0</v>
      </c>
      <c r="K15" s="112" t="str">
        <f t="shared" si="0"/>
        <v>4009/4010</v>
      </c>
      <c r="L15" s="22" t="str">
        <f>VLOOKUP(A15,'Trips&amp;Operators'!$C$1:$E$10000,3,FALSE)</f>
        <v>ACKERMAN</v>
      </c>
      <c r="M15" s="6">
        <f t="shared" si="1"/>
        <v>2.4837962962919846E-2</v>
      </c>
      <c r="N15" s="7">
        <f t="shared" si="2"/>
        <v>35.766666666604578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02:37:01-0600',mode:absolute,to:'2016-11-06 05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7.0300000000000001E-2</v>
      </c>
      <c r="Z15" s="67">
        <f t="shared" si="9"/>
        <v>23.336099999999998</v>
      </c>
      <c r="AA15" s="67">
        <f t="shared" si="10"/>
        <v>23.265799999999999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0103-06</v>
      </c>
      <c r="AE15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" s="88" t="str">
        <f t="shared" si="13"/>
        <v>"C:\Program Files (x86)\AstroGrep\AstroGrep.exe" /spath="%USERPROFILE%\AppData\Local\Temp\OnboardLogs" /stypes="app*4009*20161106*"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103-06 --locoid 4009 --swversion DE.1.0.8.0 --startMP 204:703 --initTime 2016-11-06T03:37:01 --startdatetime 2016-11-06T03:45:20 --delay 2 --endMP 204:233361 --enddatetime 2016-11-06T04:21:06 --enforcementcount 0 &gt;&gt;C:\Users\stu\Documents\GitHub\eaglep3-reporting\EC\2016-11-06-refined-times.txt</v>
      </c>
      <c r="AI1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{"issue":{"subject":"","project_id":79,"tracker_id":40,"status_id":1,"priority_id":2,"assigned_to_id":23,"start_date":"2016-11-06","description":"","custom_fields":[{"id":1,"name":"Subdivision","value":"EC"},{"id":4,"name":"Milepost","value":"23.3361"},{"id":17,"name":"Train ID","value":"103-06"},{"id":16,"name":"Locomotive ID","value":"4009"},{"id":130,"name":"Impact","value":""},{"id":150,"name":"Time of Event (Mountain Time)","value":"04:21:06"},{"id":151,"name":"Denver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397</v>
      </c>
      <c r="B16" s="7">
        <v>4045</v>
      </c>
      <c r="C16" s="22" t="s">
        <v>239</v>
      </c>
      <c r="D16" s="22" t="s">
        <v>625</v>
      </c>
      <c r="E16" s="13">
        <v>42680.188356481478</v>
      </c>
      <c r="F16" s="13">
        <v>42680.195370370369</v>
      </c>
      <c r="G16" s="7">
        <v>1</v>
      </c>
      <c r="H16" s="22" t="s">
        <v>228</v>
      </c>
      <c r="I16" s="13">
        <v>42680.223460648151</v>
      </c>
      <c r="J16" s="7">
        <v>0</v>
      </c>
      <c r="K16" s="112" t="str">
        <f t="shared" si="0"/>
        <v>4045/4046</v>
      </c>
      <c r="L16" s="22" t="str">
        <f>VLOOKUP(A16,'Trips&amp;Operators'!$C$1:$E$10000,3,FALSE)</f>
        <v>ACKERMAN</v>
      </c>
      <c r="M16" s="6">
        <f t="shared" si="1"/>
        <v>2.8090277781302575E-2</v>
      </c>
      <c r="N16" s="7">
        <f t="shared" si="2"/>
        <v>40.450000005075708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03:31:14-0600',mode:absolute,to:'2016-11-06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23.273399999999999</v>
      </c>
      <c r="Z16" s="67">
        <f t="shared" si="9"/>
        <v>1.38E-2</v>
      </c>
      <c r="AA16" s="67">
        <f t="shared" si="10"/>
        <v>23.259599999999999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0104-06</v>
      </c>
      <c r="AE16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6" s="88" t="str">
        <f t="shared" si="13"/>
        <v>"C:\Program Files (x86)\AstroGrep\AstroGrep.exe" /spath="%USERPROFILE%\AppData\Local\Temp\OnboardLogs" /stypes="app*4045*20161106*"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104-06 --locoid 4045 --swversion DE.1.0.8.0 --startMP 204:232734 --initTime 2016-11-06T04:31:14 --startdatetime 2016-11-06T04:41:20 --delay 1 --endMP 204:138 --enddatetime 2016-11-06T05:21:47 --enforcementcount 0 &gt;&gt;C:\Users\stu\Documents\GitHub\eaglep3-reporting\EC\2016-11-06-refined-times.txt</v>
      </c>
      <c r="AI1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ID","value":"104-06"},{"id":16,"name":"Locomotive ID","value":"4045"},{"id":130,"name":"Impact","value":""},{"id":150,"name":"Time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437</v>
      </c>
      <c r="B17" s="7">
        <v>4042</v>
      </c>
      <c r="C17" s="22" t="s">
        <v>239</v>
      </c>
      <c r="D17" s="22" t="s">
        <v>383</v>
      </c>
      <c r="E17" s="13">
        <v>42680.174629629626</v>
      </c>
      <c r="F17" s="13">
        <v>42680.177361111113</v>
      </c>
      <c r="G17" s="7">
        <v>1</v>
      </c>
      <c r="H17" s="22" t="s">
        <v>280</v>
      </c>
      <c r="I17" s="13">
        <v>42680.20212962963</v>
      </c>
      <c r="J17" s="7">
        <v>0</v>
      </c>
      <c r="K17" s="112" t="str">
        <f t="shared" si="0"/>
        <v>4041/4042</v>
      </c>
      <c r="L17" s="22" t="str">
        <f>VLOOKUP(A17,'Trips&amp;Operators'!$C$1:$E$10000,3,FALSE)</f>
        <v>MAELZER</v>
      </c>
      <c r="M17" s="6">
        <f t="shared" si="1"/>
        <v>2.4768518516793847E-2</v>
      </c>
      <c r="N17" s="7">
        <f t="shared" si="2"/>
        <v>35.66666666418314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03:11:28-0600',mode:absolute,to:'2016-11-06 05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7.4800000000000005E-2</v>
      </c>
      <c r="Z17" s="67">
        <f t="shared" si="9"/>
        <v>23.331</v>
      </c>
      <c r="AA17" s="67">
        <f t="shared" si="10"/>
        <v>23.2562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0105-06</v>
      </c>
      <c r="AE17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7" s="88" t="str">
        <f t="shared" si="13"/>
        <v>"C:\Program Files (x86)\AstroGrep\AstroGrep.exe" /spath="%USERPROFILE%\AppData\Local\Temp\OnboardLogs" /stypes="app*4042*20161106*"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105-06 --locoid 4042 --swversion DE.1.0.8.0 --startMP 204:748 --initTime 2016-11-06T04:11:28 --startdatetime 2016-11-06T04:15:24 --delay 1 --endMP 204:233310 --enddatetime 2016-11-06T04:51:04 --enforcementcount 0 &gt;&gt;C:\Users\stu\Documents\GitHub\eaglep3-reporting\EC\2016-11-06-refined-times.txt</v>
      </c>
      <c r="AI1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ID","value":"105-06"},{"id":16,"name":"Locomotive ID","value":"4042"},{"id":130,"name":"Impact","value":""},{"id":150,"name":"Time of Event (Mountain Time)","value":"04:51:04"},{"id":151,"name":"Denver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443</v>
      </c>
      <c r="B18" s="7">
        <v>4030</v>
      </c>
      <c r="C18" s="22" t="s">
        <v>239</v>
      </c>
      <c r="D18" s="22" t="s">
        <v>626</v>
      </c>
      <c r="E18" s="13">
        <v>42680.210462962961</v>
      </c>
      <c r="F18" s="13">
        <v>42680.216319444444</v>
      </c>
      <c r="G18" s="7">
        <v>3</v>
      </c>
      <c r="H18" s="22" t="s">
        <v>204</v>
      </c>
      <c r="I18" s="13">
        <v>42680.241736111115</v>
      </c>
      <c r="J18" s="7">
        <v>0</v>
      </c>
      <c r="K18" s="112" t="str">
        <f t="shared" si="0"/>
        <v>4029/4030</v>
      </c>
      <c r="L18" s="22" t="str">
        <f>VLOOKUP(A18,'Trips&amp;Operators'!$C$1:$E$10000,3,FALSE)</f>
        <v>MAELZER</v>
      </c>
      <c r="M18" s="6">
        <f t="shared" si="1"/>
        <v>2.5416666670935228E-2</v>
      </c>
      <c r="N18" s="7">
        <f t="shared" si="2"/>
        <v>36.600000006146729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04:03:04-0600',mode:absolute,to:'2016-11-06 06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23.2668</v>
      </c>
      <c r="Z18" s="67">
        <f t="shared" si="9"/>
        <v>1.4500000000000001E-2</v>
      </c>
      <c r="AA18" s="67">
        <f t="shared" si="10"/>
        <v>23.252299999999998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0106-06</v>
      </c>
      <c r="AE18" s="91" t="str">
        <f t="shared" si="12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8" s="88" t="str">
        <f t="shared" si="13"/>
        <v>"C:\Program Files (x86)\AstroGrep\AstroGrep.exe" /spath="%USERPROFILE%\AppData\Local\Temp\OnboardLogs" /stypes="app*4030*20161106*"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106-06 --locoid 4030 --swversion DE.1.0.8.0 --startMP 204:232668 --initTime 2016-11-06T05:03:04 --startdatetime 2016-11-06T05:11:30 --delay 3 --endMP 204:145 --enddatetime 2016-11-06T05:48:06 --enforcementcount 0 &gt;&gt;C:\Users\stu\Documents\GitHub\eaglep3-reporting\EC\2016-11-06-refined-times.txt</v>
      </c>
      <c r="AI1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ID","value":"106-06"},{"id":16,"name":"Locomotive ID","value":"4030"},{"id":130,"name":"Impact","value":""},{"id":150,"name":"Time of Event (Mountain Time)","value":"05:48:06"},{"id":151,"name":"Denver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440</v>
      </c>
      <c r="B19" s="7">
        <v>4011</v>
      </c>
      <c r="C19" s="22" t="s">
        <v>239</v>
      </c>
      <c r="D19" s="22" t="s">
        <v>627</v>
      </c>
      <c r="E19" s="13">
        <v>42680.193194444444</v>
      </c>
      <c r="F19" s="13">
        <v>42680.194004629629</v>
      </c>
      <c r="G19" s="7">
        <v>1</v>
      </c>
      <c r="H19" s="22" t="s">
        <v>628</v>
      </c>
      <c r="I19" s="13">
        <v>42680.216643518521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2.2638888891378883E-2</v>
      </c>
      <c r="N19" s="7"/>
      <c r="O19" s="7"/>
      <c r="P19" s="7">
        <f t="shared" si="2"/>
        <v>32.600000003585592</v>
      </c>
      <c r="Q19" s="23"/>
      <c r="R19" s="23" t="s">
        <v>761</v>
      </c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03:38:12-0600',mode:absolute,to:'2016-11-06 06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Y</v>
      </c>
      <c r="X19" s="177">
        <f t="shared" si="7"/>
        <v>1</v>
      </c>
      <c r="Y19" s="67">
        <f t="shared" si="8"/>
        <v>1.9151</v>
      </c>
      <c r="Z19" s="67">
        <f t="shared" si="9"/>
        <v>23.329899999999999</v>
      </c>
      <c r="AA19" s="67">
        <f t="shared" si="10"/>
        <v>21.4148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0107-06</v>
      </c>
      <c r="AE19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9" s="88" t="str">
        <f t="shared" si="13"/>
        <v>"C:\Program Files (x86)\AstroGrep\AstroGrep.exe" /spath="%USERPROFILE%\AppData\Local\Temp\OnboardLogs" /stypes="app*4011*20161106*"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107-06 --locoid 4011 --swversion DE.1.0.8.0 --startMP 204:19151 --initTime 2016-11-06T04:38:12 --startdatetime 2016-11-06T04:39:22 --delay 1 --endMP 204:233299 --enddatetime 2016-11-06T05:11:58 --enforcementcount 0 &gt;&gt;C:\Users\stu\Documents\GitHub\eaglep3-reporting\EC\2016-11-06-refined-times.txt</v>
      </c>
      <c r="AI19" s="122" t="str">
        <f t="shared" si="18"/>
        <v>echo {"issue":{"subject":"DUS switches not aligned for Main 1","project_id":79,"tracker_id":40,"status_id":1,"priority_id":2,"assigned_to_id":23,"start_date":"2016-11-06","description":"Trip had to start at 38th because switches at DUS were not aligned yet for the trip","custom_fields":[{"id":1,"name":"Subdivision","value":"EC"},{"id":4,"name":"Milepost","value":"23.3299"},{"id":17,"name":"Train ID","value":"107-06"},{"id":16,"name":"Locomotive ID","value":"4011"},{"id":130,"name":"Impact","value":"Unexpected Cut-Out or Disengaged"},{"id":150,"name":"Time of Event (Mountain Time)","value":"05:11:58"},{"id":151,"name":"Denver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9" s="53" t="s">
        <v>762</v>
      </c>
      <c r="AK19" s="53" t="s">
        <v>131</v>
      </c>
      <c r="AL19" s="53" t="s">
        <v>283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446</v>
      </c>
      <c r="B20" s="7">
        <v>4012</v>
      </c>
      <c r="C20" s="22" t="s">
        <v>239</v>
      </c>
      <c r="D20" s="22" t="s">
        <v>253</v>
      </c>
      <c r="E20" s="13">
        <v>42680.222696759258</v>
      </c>
      <c r="F20" s="13">
        <v>42680.226597222223</v>
      </c>
      <c r="G20" s="7">
        <v>1</v>
      </c>
      <c r="H20" s="22" t="s">
        <v>374</v>
      </c>
      <c r="I20" s="13">
        <v>42680.254004629627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2.7407407404098194E-2</v>
      </c>
      <c r="N20" s="7">
        <f t="shared" si="2"/>
        <v>39.466666661901399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04:20:41-0600',mode:absolute,to:'2016-11-06 07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23.297499999999999</v>
      </c>
      <c r="Z20" s="67">
        <f t="shared" si="9"/>
        <v>1.29E-2</v>
      </c>
      <c r="AA20" s="67">
        <f t="shared" si="10"/>
        <v>23.284600000000001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0108-06</v>
      </c>
      <c r="AE20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20" s="88" t="str">
        <f t="shared" si="13"/>
        <v>"C:\Program Files (x86)\AstroGrep\AstroGrep.exe" /spath="%USERPROFILE%\AppData\Local\Temp\OnboardLogs" /stypes="app*4012*20161106*"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108-06 --locoid 4012 --swversion DE.1.0.8.0 --startMP 204:232975 --initTime 2016-11-06T05:20:41 --startdatetime 2016-11-06T05:26:18 --delay 1 --endMP 204:129 --enddatetime 2016-11-06T06:05:46 --enforcementcount 0 &gt;&gt;C:\Users\stu\Documents\GitHub\eaglep3-reporting\EC\2016-11-06-refined-times.txt</v>
      </c>
      <c r="AI2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{"issue":{"subject":"","project_id":79,"tracker_id":40,"status_id":1,"priority_id":2,"assigned_to_id":23,"start_date":"2016-11-06","description":"","custom_fields":[{"id":1,"name":"Subdivision","value":"EC"},{"id":4,"name":"Milepost","value":"0.0129"},{"id":17,"name":"Train ID","value":"108-06"},{"id":16,"name":"Locomotive ID","value":"4012"},{"id":130,"name":"Impact","value":""},{"id":150,"name":"Time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441</v>
      </c>
      <c r="B21" s="7">
        <v>4040</v>
      </c>
      <c r="C21" s="22" t="s">
        <v>239</v>
      </c>
      <c r="D21" s="22" t="s">
        <v>629</v>
      </c>
      <c r="E21" s="13">
        <v>42680.196122685185</v>
      </c>
      <c r="F21" s="13">
        <v>42680.198229166665</v>
      </c>
      <c r="G21" s="7">
        <v>1</v>
      </c>
      <c r="H21" s="22" t="s">
        <v>252</v>
      </c>
      <c r="I21" s="13">
        <v>42680.222511574073</v>
      </c>
      <c r="J21" s="7">
        <v>0</v>
      </c>
      <c r="K21" s="112" t="str">
        <f t="shared" si="0"/>
        <v>4039/4040</v>
      </c>
      <c r="L21" s="22" t="str">
        <f>VLOOKUP(A21,'Trips&amp;Operators'!$C$1:$E$10000,3,FALSE)</f>
        <v>MALAVE</v>
      </c>
      <c r="M21" s="6">
        <f t="shared" si="1"/>
        <v>2.4282407408463769E-2</v>
      </c>
      <c r="N21" s="7">
        <f t="shared" si="2"/>
        <v>34.966666668187827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03:42:25-0600',mode:absolute,to:'2016-11-06 06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4.8399999999999999E-2</v>
      </c>
      <c r="Z21" s="67">
        <f t="shared" si="9"/>
        <v>23.328900000000001</v>
      </c>
      <c r="AA21" s="67">
        <f t="shared" si="10"/>
        <v>23.2805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0109-06</v>
      </c>
      <c r="AE21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21" s="88" t="str">
        <f t="shared" si="13"/>
        <v>"C:\Program Files (x86)\AstroGrep\AstroGrep.exe" /spath="%USERPROFILE%\AppData\Local\Temp\OnboardLogs" /stypes="app*4040*20161106*"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109-06 --locoid 4040 --swversion DE.1.0.8.0 --startMP 204:484 --initTime 2016-11-06T04:42:25 --startdatetime 2016-11-06T04:45:27 --delay 1 --endMP 204:233289 --enddatetime 2016-11-06T05:20:25 --enforcementcount 0 &gt;&gt;C:\Users\stu\Documents\GitHub\eaglep3-reporting\EC\2016-11-06-refined-times.txt</v>
      </c>
      <c r="AI2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ID","value":"109-06"},{"id":16,"name":"Locomotive ID","value":"4040"},{"id":130,"name":"Impact","value":""},{"id":150,"name":"Time of Event (Mountain Time)","value":"05:20:25"},{"id":151,"name":"Denver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450</v>
      </c>
      <c r="B22" s="7">
        <v>4039</v>
      </c>
      <c r="C22" s="22" t="s">
        <v>239</v>
      </c>
      <c r="D22" s="22" t="s">
        <v>630</v>
      </c>
      <c r="E22" s="13">
        <v>42680.234780092593</v>
      </c>
      <c r="F22" s="13">
        <v>42680.237083333333</v>
      </c>
      <c r="G22" s="7">
        <v>3</v>
      </c>
      <c r="H22" s="22" t="s">
        <v>371</v>
      </c>
      <c r="I22" s="13">
        <v>42680.262442129628</v>
      </c>
      <c r="J22" s="7">
        <v>0</v>
      </c>
      <c r="K22" s="112" t="str">
        <f t="shared" si="0"/>
        <v>4039/4040</v>
      </c>
      <c r="L22" s="22" t="str">
        <f>VLOOKUP(A22,'Trips&amp;Operators'!$C$1:$E$10000,3,FALSE)</f>
        <v>MALAVE</v>
      </c>
      <c r="M22" s="6">
        <f t="shared" si="1"/>
        <v>2.5358796294312924E-2</v>
      </c>
      <c r="N22" s="7">
        <f t="shared" si="2"/>
        <v>36.516666663810611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04:38:05-0600',mode:absolute,to:'2016-11-06 07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23.296199999999999</v>
      </c>
      <c r="Z22" s="67">
        <f t="shared" si="9"/>
        <v>1.3899999999999999E-2</v>
      </c>
      <c r="AA22" s="67">
        <f t="shared" si="10"/>
        <v>23.282299999999999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0110-06</v>
      </c>
      <c r="AE22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2" s="88" t="str">
        <f t="shared" si="13"/>
        <v>"C:\Program Files (x86)\AstroGrep\AstroGrep.exe" /spath="%USERPROFILE%\AppData\Local\Temp\OnboardLogs" /stypes="app*4039*20161106*"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110-06 --locoid 4039 --swversion DE.1.0.8.0 --startMP 204:232962 --initTime 2016-11-06T05:38:05 --startdatetime 2016-11-06T05:41:24 --delay 3 --endMP 204:139 --enddatetime 2016-11-06T06:17:55 --enforcementcount 0 &gt;&gt;C:\Users\stu\Documents\GitHub\eaglep3-reporting\EC\2016-11-06-refined-times.txt</v>
      </c>
      <c r="AI2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ID","value":"110-06"},{"id":16,"name":"Locomotive ID","value":"4039"},{"id":130,"name":"Impact","value":""},{"id":150,"name":"Time of Event (Mountain Time)","value":"06:17:55"},{"id":151,"name":"Denver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442</v>
      </c>
      <c r="B23" s="7">
        <v>4007</v>
      </c>
      <c r="C23" s="22" t="s">
        <v>239</v>
      </c>
      <c r="D23" s="22" t="s">
        <v>631</v>
      </c>
      <c r="E23" s="13">
        <v>42680.202407407407</v>
      </c>
      <c r="F23" s="13">
        <v>42680.208726851852</v>
      </c>
      <c r="G23" s="7">
        <v>1</v>
      </c>
      <c r="H23" s="22" t="s">
        <v>628</v>
      </c>
      <c r="I23" s="13">
        <v>42680.233113425929</v>
      </c>
      <c r="J23" s="7">
        <v>0</v>
      </c>
      <c r="K23" s="112" t="str">
        <f t="shared" si="0"/>
        <v>4007/4008</v>
      </c>
      <c r="L23" s="22" t="str">
        <f>VLOOKUP(A23,'Trips&amp;Operators'!$C$1:$E$10000,3,FALSE)</f>
        <v>ISHMAEL</v>
      </c>
      <c r="M23" s="6">
        <f t="shared" si="1"/>
        <v>2.4386574077652767E-2</v>
      </c>
      <c r="N23" s="7">
        <f t="shared" si="2"/>
        <v>35.116666671819985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03:51:28-0600',mode:absolute,to:'2016-11-06 06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8.14E-2</v>
      </c>
      <c r="Z23" s="67">
        <f t="shared" si="9"/>
        <v>23.329899999999999</v>
      </c>
      <c r="AA23" s="67">
        <f t="shared" si="10"/>
        <v>23.2485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0111-06</v>
      </c>
      <c r="AE23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23" s="88" t="str">
        <f t="shared" si="13"/>
        <v>"C:\Program Files (x86)\AstroGrep\AstroGrep.exe" /spath="%USERPROFILE%\AppData\Local\Temp\OnboardLogs" /stypes="app*4007*20161106*"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111-06 --locoid 4007 --swversion DE.1.0.8.0 --startMP 204:814 --initTime 2016-11-06T04:51:28 --startdatetime 2016-11-06T05:00:34 --delay 1 --endMP 204:233299 --enddatetime 2016-11-06T05:35:41 --enforcementcount 0 &gt;&gt;C:\Users\stu\Documents\GitHub\eaglep3-reporting\EC\2016-11-06-refined-times.txt</v>
      </c>
      <c r="AI2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ID","value":"111-06"},{"id":16,"name":"Locomotive ID","value":"4007"},{"id":130,"name":"Impact","value":""},{"id":150,"name":"Time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398</v>
      </c>
      <c r="B24" s="7">
        <v>4008</v>
      </c>
      <c r="C24" s="22" t="s">
        <v>239</v>
      </c>
      <c r="D24" s="22" t="s">
        <v>222</v>
      </c>
      <c r="E24" s="13">
        <v>42680.24013888889</v>
      </c>
      <c r="F24" s="13">
        <v>42680.247384259259</v>
      </c>
      <c r="G24" s="7">
        <v>1</v>
      </c>
      <c r="H24" s="22" t="s">
        <v>203</v>
      </c>
      <c r="I24" s="13">
        <v>42680.273611111108</v>
      </c>
      <c r="J24" s="7">
        <v>0</v>
      </c>
      <c r="K24" s="112" t="str">
        <f t="shared" si="0"/>
        <v>4007/4008</v>
      </c>
      <c r="L24" s="22" t="str">
        <f>VLOOKUP(A24,'Trips&amp;Operators'!$C$1:$E$10000,3,FALSE)</f>
        <v>ISHMAEL</v>
      </c>
      <c r="M24" s="6">
        <f t="shared" si="1"/>
        <v>2.622685184906004E-2</v>
      </c>
      <c r="N24" s="7">
        <f t="shared" si="2"/>
        <v>37.766666662646458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04:45:48-0600',mode:absolute,to:'2016-11-06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1.54E-2</v>
      </c>
      <c r="AA24" s="67">
        <f t="shared" si="10"/>
        <v>23.282299999999999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11"/>
        <v>0112-06</v>
      </c>
      <c r="AE24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24" s="88" t="str">
        <f t="shared" si="13"/>
        <v>"C:\Program Files (x86)\AstroGrep\AstroGrep.exe" /spath="%USERPROFILE%\AppData\Local\Temp\OnboardLogs" /stypes="app*4008*20161106*"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112-06 --locoid 4008 --swversion DE.1.0.8.0 --startMP 204:232977 --initTime 2016-11-06T05:45:48 --startdatetime 2016-11-06T05:56:14 --delay 1 --endMP 204:154 --enddatetime 2016-11-06T06:34:00 --enforcementcount 0 &gt;&gt;C:\Users\stu\Documents\GitHub\eaglep3-reporting\EC\2016-11-06-refined-times.txt</v>
      </c>
      <c r="AI2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ID","value":"112-06"},{"id":16,"name":"Locomotive ID","value":"4008"},{"id":130,"name":"Impact","value":""},{"id":150,"name":"Time of Event (Mountain Time)","value":"06:34:00"},{"id":151,"name":"Denver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444</v>
      </c>
      <c r="B25" s="7">
        <v>4044</v>
      </c>
      <c r="C25" s="22" t="s">
        <v>239</v>
      </c>
      <c r="D25" s="22" t="s">
        <v>244</v>
      </c>
      <c r="E25" s="13">
        <v>42680.209085648145</v>
      </c>
      <c r="F25" s="13">
        <v>42680.218946759262</v>
      </c>
      <c r="G25" s="7">
        <v>1</v>
      </c>
      <c r="H25" s="22" t="s">
        <v>278</v>
      </c>
      <c r="I25" s="13">
        <v>42680.243645833332</v>
      </c>
      <c r="J25" s="7">
        <v>0</v>
      </c>
      <c r="K25" s="112" t="str">
        <f t="shared" si="0"/>
        <v>4043/4044</v>
      </c>
      <c r="L25" s="22" t="str">
        <f>VLOOKUP(A25,'Trips&amp;Operators'!$C$1:$E$10000,3,FALSE)</f>
        <v>KILLION</v>
      </c>
      <c r="M25" s="6">
        <f t="shared" si="1"/>
        <v>2.4699074070667848E-2</v>
      </c>
      <c r="N25" s="7">
        <f t="shared" si="2"/>
        <v>35.566666661761701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04:01:05-0600',mode:absolute,to:'2016-11-06 06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4.58E-2</v>
      </c>
      <c r="Z25" s="67">
        <f t="shared" si="9"/>
        <v>23.329799999999999</v>
      </c>
      <c r="AA25" s="67">
        <f t="shared" si="10"/>
        <v>23.283999999999999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0113-06</v>
      </c>
      <c r="AE25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25" s="88" t="str">
        <f t="shared" si="13"/>
        <v>"C:\Program Files (x86)\AstroGrep\AstroGrep.exe" /spath="%USERPROFILE%\AppData\Local\Temp\OnboardLogs" /stypes="app*4044*20161106*"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113-06 --locoid 4044 --swversion DE.1.0.8.0 --startMP 204:458 --initTime 2016-11-06T05:01:05 --startdatetime 2016-11-06T05:15:17 --delay 1 --endMP 204:233298 --enddatetime 2016-11-06T05:50:51 --enforcementcount 0 &gt;&gt;C:\Users\stu\Documents\GitHub\eaglep3-reporting\EC\2016-11-06-refined-times.txt</v>
      </c>
      <c r="AI2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ID","value":"113-06"},{"id":16,"name":"Locomotive ID","value":"4044"},{"id":130,"name":"Impact","value":""},{"id":150,"name":"Time of Event (Mountain Time)","value":"05:50:51"},{"id":151,"name":"Denver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453</v>
      </c>
      <c r="B26" s="7">
        <v>4043</v>
      </c>
      <c r="C26" s="22" t="s">
        <v>239</v>
      </c>
      <c r="D26" s="22" t="s">
        <v>238</v>
      </c>
      <c r="E26" s="13">
        <v>42680.249224537038</v>
      </c>
      <c r="F26" s="13">
        <v>42680.257881944446</v>
      </c>
      <c r="G26" s="7">
        <v>0</v>
      </c>
      <c r="H26" s="22" t="s">
        <v>224</v>
      </c>
      <c r="I26" s="13">
        <v>42680.283576388887</v>
      </c>
      <c r="J26" s="7">
        <v>0</v>
      </c>
      <c r="K26" s="112" t="str">
        <f t="shared" si="0"/>
        <v>4043/4044</v>
      </c>
      <c r="L26" s="22" t="str">
        <f>VLOOKUP(A26,'Trips&amp;Operators'!$C$1:$E$10000,3,FALSE)</f>
        <v>KILLION</v>
      </c>
      <c r="M26" s="6">
        <f t="shared" si="1"/>
        <v>2.569444444088731E-2</v>
      </c>
      <c r="N26" s="7">
        <f t="shared" si="2"/>
        <v>36.999999994877726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04:58:53-0600',mode:absolute,to:'2016-11-06 07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23.298100000000002</v>
      </c>
      <c r="Z26" s="67">
        <f t="shared" si="9"/>
        <v>1.5599999999999999E-2</v>
      </c>
      <c r="AA26" s="67">
        <f t="shared" si="10"/>
        <v>23.282500000000002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0114-06</v>
      </c>
      <c r="AE26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26" s="88" t="str">
        <f t="shared" si="13"/>
        <v>"C:\Program Files (x86)\AstroGrep\AstroGrep.exe" /spath="%USERPROFILE%\AppData\Local\Temp\OnboardLogs" /stypes="app*4043*20161106*"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114-06 --locoid 4043 --swversion DE.1.0.8.0 --startMP 204:232981 --initTime 2016-11-06T05:58:53 --startdatetime 2016-11-06T06:11:21 --delay 0 --endMP 204:156 --enddatetime 2016-11-06T06:48:21 --enforcementcount 0 &gt;&gt;C:\Users\stu\Documents\GitHub\eaglep3-reporting\EC\2016-11-06-refined-times.txt</v>
      </c>
      <c r="AI2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ID","value":"114-06"},{"id":16,"name":"Locomotive ID","value":"4043"},{"id":130,"name":"Impact","value":""},{"id":150,"name":"Time of Event (Mountain Time)","value":"06:48:21"},{"id":151,"name":"Denver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447</v>
      </c>
      <c r="B27" s="7">
        <v>4009</v>
      </c>
      <c r="C27" s="22" t="s">
        <v>239</v>
      </c>
      <c r="D27" s="22" t="s">
        <v>632</v>
      </c>
      <c r="E27" s="13">
        <v>42680.226064814815</v>
      </c>
      <c r="F27" s="13">
        <v>42680.229513888888</v>
      </c>
      <c r="G27" s="7">
        <v>1</v>
      </c>
      <c r="H27" s="22" t="s">
        <v>252</v>
      </c>
      <c r="I27" s="13">
        <v>42680.253368055557</v>
      </c>
      <c r="J27" s="7">
        <v>0</v>
      </c>
      <c r="K27" s="112" t="str">
        <f t="shared" si="0"/>
        <v>4009/4010</v>
      </c>
      <c r="L27" s="22" t="str">
        <f>VLOOKUP(A27,'Trips&amp;Operators'!$C$1:$E$10000,3,FALSE)</f>
        <v>YORK</v>
      </c>
      <c r="M27" s="6">
        <f t="shared" si="1"/>
        <v>2.3854166669480037E-2</v>
      </c>
      <c r="N27" s="7">
        <f t="shared" si="2"/>
        <v>34.350000004051253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04:25:32-0600',mode:absolute,to:'2016-11-06 07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7.9500000000000001E-2</v>
      </c>
      <c r="Z27" s="67">
        <f t="shared" si="9"/>
        <v>23.328900000000001</v>
      </c>
      <c r="AA27" s="67">
        <f t="shared" si="10"/>
        <v>23.249400000000001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0115-06</v>
      </c>
      <c r="AE27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27" s="88" t="str">
        <f t="shared" si="13"/>
        <v>"C:\Program Files (x86)\AstroGrep\AstroGrep.exe" /spath="%USERPROFILE%\AppData\Local\Temp\OnboardLogs" /stypes="app*4009*20161106*"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115-06 --locoid 4009 --swversion DE.1.0.8.0 --startMP 204:795 --initTime 2016-11-06T05:25:32 --startdatetime 2016-11-06T05:30:30 --delay 1 --endMP 204:233289 --enddatetime 2016-11-06T06:04:51 --enforcementcount 0 &gt;&gt;C:\Users\stu\Documents\GitHub\eaglep3-reporting\EC\2016-11-06-refined-times.txt</v>
      </c>
      <c r="AI2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ID","value":"115-06"},{"id":16,"name":"Locomotive ID","value":"4009"},{"id":130,"name":"Impact","value":""},{"id":150,"name":"Time of Event (Mountain Time)","value":"06:04:51"},{"id":151,"name":"Denver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454</v>
      </c>
      <c r="B28" s="7">
        <v>4010</v>
      </c>
      <c r="C28" s="22" t="s">
        <v>239</v>
      </c>
      <c r="D28" s="22" t="s">
        <v>633</v>
      </c>
      <c r="E28" s="13">
        <v>42680.254710648151</v>
      </c>
      <c r="F28" s="13">
        <v>42680.268460648149</v>
      </c>
      <c r="G28" s="7">
        <v>1</v>
      </c>
      <c r="H28" s="22" t="s">
        <v>366</v>
      </c>
      <c r="I28" s="13">
        <v>42680.293657407405</v>
      </c>
      <c r="J28" s="7">
        <v>0</v>
      </c>
      <c r="K28" s="112" t="str">
        <f t="shared" si="0"/>
        <v>4009/4010</v>
      </c>
      <c r="L28" s="22" t="str">
        <f>VLOOKUP(A28,'Trips&amp;Operators'!$C$1:$E$10000,3,FALSE)</f>
        <v>YORK</v>
      </c>
      <c r="M28" s="6">
        <f t="shared" si="1"/>
        <v>2.5196759255777579E-2</v>
      </c>
      <c r="N28" s="7">
        <f t="shared" si="2"/>
        <v>36.283333328319713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05:06:47-0600',mode:absolute,to:'2016-11-06 08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23.296099999999999</v>
      </c>
      <c r="Z28" s="67">
        <f t="shared" si="9"/>
        <v>1.4999999999999999E-2</v>
      </c>
      <c r="AA28" s="67">
        <f t="shared" si="10"/>
        <v>23.281099999999999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0116-06</v>
      </c>
      <c r="AE28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28" s="88" t="str">
        <f t="shared" si="13"/>
        <v>"C:\Program Files (x86)\AstroGrep\AstroGrep.exe" /spath="%USERPROFILE%\AppData\Local\Temp\OnboardLogs" /stypes="app*4010*20161106*"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116-06 --locoid 4010 --swversion DE.1.0.8.0 --startMP 204:232961 --initTime 2016-11-06T06:06:47 --startdatetime 2016-11-06T06:26:35 --delay 1 --endMP 204:150 --enddatetime 2016-11-06T07:02:52 --enforcementcount 0 &gt;&gt;C:\Users\stu\Documents\GitHub\eaglep3-reporting\EC\2016-11-06-refined-times.txt</v>
      </c>
      <c r="AI2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ID","value":"116-06"},{"id":16,"name":"Locomotive ID","value":"4010"},{"id":130,"name":"Impact","value":""},{"id":150,"name":"Time of Event (Mountain Time)","value":"07:02:52"},{"id":151,"name":"Denver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400</v>
      </c>
      <c r="B29" s="7">
        <v>4046</v>
      </c>
      <c r="C29" s="22" t="s">
        <v>239</v>
      </c>
      <c r="D29" s="22" t="s">
        <v>227</v>
      </c>
      <c r="E29" s="13">
        <v>42680.232025462959</v>
      </c>
      <c r="F29" s="13">
        <v>42680.239768518521</v>
      </c>
      <c r="G29" s="7">
        <v>2</v>
      </c>
      <c r="H29" s="22" t="s">
        <v>281</v>
      </c>
      <c r="I29" s="13">
        <v>42680.264293981483</v>
      </c>
      <c r="J29" s="7">
        <v>0</v>
      </c>
      <c r="K29" s="112" t="str">
        <f t="shared" si="0"/>
        <v>4045/4046</v>
      </c>
      <c r="L29" s="22" t="str">
        <f>VLOOKUP(A29,'Trips&amp;Operators'!$C$1:$E$10000,3,FALSE)</f>
        <v>ACKERMAN</v>
      </c>
      <c r="M29" s="6">
        <f t="shared" si="1"/>
        <v>2.4525462962628808E-2</v>
      </c>
      <c r="N29" s="7">
        <f t="shared" si="2"/>
        <v>35.316666666185483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04:34:07-0600',mode:absolute,to:'2016-11-06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4.4900000000000002E-2</v>
      </c>
      <c r="Z29" s="67">
        <f t="shared" si="9"/>
        <v>23.331199999999999</v>
      </c>
      <c r="AA29" s="67">
        <f t="shared" si="10"/>
        <v>23.286300000000001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0117-06</v>
      </c>
      <c r="AE29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29" s="88" t="str">
        <f t="shared" si="13"/>
        <v>"C:\Program Files (x86)\AstroGrep\AstroGrep.exe" /spath="%USERPROFILE%\AppData\Local\Temp\OnboardLogs" /stypes="app*4046*20161106*"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117-06 --locoid 4046 --swversion DE.1.0.8.0 --startMP 204:449 --initTime 2016-11-06T05:34:07 --startdatetime 2016-11-06T05:45:16 --delay 2 --endMP 204:233312 --enddatetime 2016-11-06T06:20:35 --enforcementcount 0 &gt;&gt;C:\Users\stu\Documents\GitHub\eaglep3-reporting\EC\2016-11-06-refined-times.txt</v>
      </c>
      <c r="AI2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ID","value":"117-06"},{"id":16,"name":"Locomotive ID","value":"4046"},{"id":130,"name":"Impact","value":""},{"id":150,"name":"Time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457</v>
      </c>
      <c r="B30" s="7">
        <v>4045</v>
      </c>
      <c r="C30" s="22" t="s">
        <v>239</v>
      </c>
      <c r="D30" s="22" t="s">
        <v>634</v>
      </c>
      <c r="E30" s="13">
        <v>42680.271932870368</v>
      </c>
      <c r="F30" s="13">
        <v>42680.278657407405</v>
      </c>
      <c r="G30" s="7">
        <v>2</v>
      </c>
      <c r="H30" s="22" t="s">
        <v>206</v>
      </c>
      <c r="I30" s="13">
        <v>42680.304618055554</v>
      </c>
      <c r="J30" s="7">
        <v>0</v>
      </c>
      <c r="K30" s="112" t="str">
        <f t="shared" si="0"/>
        <v>4045/4046</v>
      </c>
      <c r="L30" s="22" t="str">
        <f>VLOOKUP(A30,'Trips&amp;Operators'!$C$1:$E$10000,3,FALSE)</f>
        <v>ACKERMAN</v>
      </c>
      <c r="M30" s="6">
        <f t="shared" si="1"/>
        <v>2.5960648148611654E-2</v>
      </c>
      <c r="N30" s="7">
        <f t="shared" si="2"/>
        <v>37.383333334000781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05:31:35-0600',mode:absolute,to:'2016-11-06 08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23.3002</v>
      </c>
      <c r="Z30" s="67">
        <f t="shared" si="9"/>
        <v>1.43E-2</v>
      </c>
      <c r="AA30" s="67">
        <f t="shared" si="10"/>
        <v>23.285900000000002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0118-06</v>
      </c>
      <c r="AE30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30" s="88" t="str">
        <f t="shared" si="13"/>
        <v>"C:\Program Files (x86)\AstroGrep\AstroGrep.exe" /spath="%USERPROFILE%\AppData\Local\Temp\OnboardLogs" /stypes="app*4045*20161106*"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118-06 --locoid 4045 --swversion DE.1.0.8.0 --startMP 204:233002 --initTime 2016-11-06T06:31:35 --startdatetime 2016-11-06T06:41:16 --delay 2 --endMP 204:143 --enddatetime 2016-11-06T07:18:39 --enforcementcount 0 &gt;&gt;C:\Users\stu\Documents\GitHub\eaglep3-reporting\EC\2016-11-06-refined-times.txt</v>
      </c>
      <c r="AI3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ID","value":"118-06"},{"id":16,"name":"Locomotive ID","value":"4045"},{"id":130,"name":"Impact","value":""},{"id":150,"name":"Time of Event (Mountain Time)","value":"07:18:39"},{"id":151,"name":"Denver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451</v>
      </c>
      <c r="B31" s="7">
        <v>4042</v>
      </c>
      <c r="C31" s="22" t="s">
        <v>239</v>
      </c>
      <c r="D31" s="22" t="s">
        <v>332</v>
      </c>
      <c r="E31" s="13">
        <v>42680.245775462965</v>
      </c>
      <c r="F31" s="13">
        <v>42680.250532407408</v>
      </c>
      <c r="G31" s="7">
        <v>1</v>
      </c>
      <c r="H31" s="22" t="s">
        <v>379</v>
      </c>
      <c r="I31" s="13">
        <v>42680.274907407409</v>
      </c>
      <c r="J31" s="7">
        <v>0</v>
      </c>
      <c r="K31" s="112" t="str">
        <f t="shared" si="0"/>
        <v>4041/4042</v>
      </c>
      <c r="L31" s="22" t="str">
        <f>VLOOKUP(A31,'Trips&amp;Operators'!$C$1:$E$10000,3,FALSE)</f>
        <v>MAELZER</v>
      </c>
      <c r="M31" s="6">
        <f t="shared" si="1"/>
        <v>2.4375000000873115E-2</v>
      </c>
      <c r="N31" s="7">
        <f t="shared" si="2"/>
        <v>35.100000001257285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04:53:55-0600',mode:absolute,to:'2016-11-06 07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7.5700000000000003E-2</v>
      </c>
      <c r="Z31" s="67">
        <f t="shared" si="9"/>
        <v>23.3307</v>
      </c>
      <c r="AA31" s="67">
        <f t="shared" si="10"/>
        <v>23.254999999999999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0119-06</v>
      </c>
      <c r="AE31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31" s="88" t="str">
        <f t="shared" si="13"/>
        <v>"C:\Program Files (x86)\AstroGrep\AstroGrep.exe" /spath="%USERPROFILE%\AppData\Local\Temp\OnboardLogs" /stypes="app*4042*20161106*"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119-06 --locoid 4042 --swversion DE.1.0.8.0 --startMP 204:757 --initTime 2016-11-06T05:53:55 --startdatetime 2016-11-06T06:00:46 --delay 1 --endMP 204:233307 --enddatetime 2016-11-06T06:35:52 --enforcementcount 0 &gt;&gt;C:\Users\stu\Documents\GitHub\eaglep3-reporting\EC\2016-11-06-refined-times.txt</v>
      </c>
      <c r="AI3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ID","value":"119-06"},{"id":16,"name":"Locomotive ID","value":"4042"},{"id":130,"name":"Impact","value":""},{"id":150,"name":"Time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460</v>
      </c>
      <c r="B32" s="7">
        <v>4041</v>
      </c>
      <c r="C32" s="22" t="s">
        <v>239</v>
      </c>
      <c r="D32" s="22" t="s">
        <v>334</v>
      </c>
      <c r="E32" s="13">
        <v>42680.280543981484</v>
      </c>
      <c r="F32" s="13">
        <v>42680.289178240739</v>
      </c>
      <c r="G32" s="7">
        <v>1</v>
      </c>
      <c r="H32" s="22" t="s">
        <v>260</v>
      </c>
      <c r="I32" s="13">
        <v>42680.31490740741</v>
      </c>
      <c r="J32" s="7">
        <v>0</v>
      </c>
      <c r="K32" s="112" t="str">
        <f t="shared" si="0"/>
        <v>4041/4042</v>
      </c>
      <c r="L32" s="22" t="str">
        <f>VLOOKUP(A32,'Trips&amp;Operators'!$C$1:$E$10000,3,FALSE)</f>
        <v>MAELZER</v>
      </c>
      <c r="M32" s="6">
        <f t="shared" si="1"/>
        <v>2.5729166671226267E-2</v>
      </c>
      <c r="N32" s="7">
        <f t="shared" si="2"/>
        <v>37.050000006565824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05:43:59-0600',mode:absolute,to:'2016-11-06 08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23.299399999999999</v>
      </c>
      <c r="Z32" s="67">
        <f t="shared" si="9"/>
        <v>1.5800000000000002E-2</v>
      </c>
      <c r="AA32" s="67">
        <f t="shared" si="10"/>
        <v>23.2836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0120-06</v>
      </c>
      <c r="AE32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32" s="88" t="str">
        <f t="shared" si="13"/>
        <v>"C:\Program Files (x86)\AstroGrep\AstroGrep.exe" /spath="%USERPROFILE%\AppData\Local\Temp\OnboardLogs" /stypes="app*4041*20161106*"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120-06 --locoid 4041 --swversion DE.1.0.8.0 --startMP 204:232994 --initTime 2016-11-06T06:43:59 --startdatetime 2016-11-06T06:56:25 --delay 1 --endMP 204:158 --enddatetime 2016-11-06T07:33:28 --enforcementcount 0 &gt;&gt;C:\Users\stu\Documents\GitHub\eaglep3-reporting\EC\2016-11-06-refined-times.txt</v>
      </c>
      <c r="AI3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ID","value":"120-06"},{"id":16,"name":"Locomotive ID","value":"4041"},{"id":130,"name":"Impact","value":""},{"id":150,"name":"Time of Event (Mountain Time)","value":"07:33:28"},{"id":151,"name":"Denver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455</v>
      </c>
      <c r="B33" s="7">
        <v>4011</v>
      </c>
      <c r="C33" s="22" t="s">
        <v>239</v>
      </c>
      <c r="D33" s="22" t="s">
        <v>269</v>
      </c>
      <c r="E33" s="13">
        <v>42680.255162037036</v>
      </c>
      <c r="F33" s="13">
        <v>42680.260601851849</v>
      </c>
      <c r="G33" s="7">
        <v>1</v>
      </c>
      <c r="H33" s="22" t="s">
        <v>340</v>
      </c>
      <c r="I33" s="13">
        <v>42680.286296296297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2.5694444448163267E-2</v>
      </c>
      <c r="N33" s="7">
        <f t="shared" si="2"/>
        <v>37.000000005355105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05:07:26-0600',mode:absolute,to:'2016-11-06 07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4.4200000000000003E-2</v>
      </c>
      <c r="Z33" s="67">
        <f t="shared" si="9"/>
        <v>23.331499999999998</v>
      </c>
      <c r="AA33" s="67">
        <f t="shared" si="10"/>
        <v>23.287299999999998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0121-06</v>
      </c>
      <c r="AE33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33" s="88" t="str">
        <f t="shared" si="13"/>
        <v>"C:\Program Files (x86)\AstroGrep\AstroGrep.exe" /spath="%USERPROFILE%\AppData\Local\Temp\OnboardLogs" /stypes="app*4011*20161106*"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121-06 --locoid 4011 --swversion DE.1.0.8.0 --startMP 204:442 --initTime 2016-11-06T06:07:26 --startdatetime 2016-11-06T06:15:16 --delay 1 --endMP 204:233315 --enddatetime 2016-11-06T06:52:16 --enforcementcount 0 &gt;&gt;C:\Users\stu\Documents\GitHub\eaglep3-reporting\EC\2016-11-06-refined-times.txt</v>
      </c>
      <c r="AI3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ID","value":"121-06"},{"id":16,"name":"Locomotive ID","value":"4011"},{"id":130,"name":"Impact","value":""},{"id":150,"name":"Time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462</v>
      </c>
      <c r="B34" s="7">
        <v>4012</v>
      </c>
      <c r="C34" s="22" t="s">
        <v>239</v>
      </c>
      <c r="D34" s="22" t="s">
        <v>634</v>
      </c>
      <c r="E34" s="13">
        <v>42680.292962962965</v>
      </c>
      <c r="F34" s="13">
        <v>42680.299513888887</v>
      </c>
      <c r="G34" s="7">
        <v>1</v>
      </c>
      <c r="H34" s="22" t="s">
        <v>366</v>
      </c>
      <c r="I34" s="13">
        <v>42680.327048611114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2.7534722226846498E-2</v>
      </c>
      <c r="N34" s="7">
        <f t="shared" si="2"/>
        <v>39.650000006658956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06:01:52-0600',mode:absolute,to:'2016-11-06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23.3002</v>
      </c>
      <c r="Z34" s="67">
        <f t="shared" si="9"/>
        <v>1.4999999999999999E-2</v>
      </c>
      <c r="AA34" s="67">
        <f t="shared" si="10"/>
        <v>23.2852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0122-06</v>
      </c>
      <c r="AE34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34" s="88" t="str">
        <f t="shared" si="13"/>
        <v>"C:\Program Files (x86)\AstroGrep\AstroGrep.exe" /spath="%USERPROFILE%\AppData\Local\Temp\OnboardLogs" /stypes="app*4012*20161106*"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122-06 --locoid 4012 --swversion DE.1.0.8.0 --startMP 204:233002 --initTime 2016-11-06T07:01:52 --startdatetime 2016-11-06T07:11:18 --delay 1 --endMP 204:150 --enddatetime 2016-11-06T07:50:57 --enforcementcount 0 &gt;&gt;C:\Users\stu\Documents\GitHub\eaglep3-reporting\EC\2016-11-06-refined-times.txt</v>
      </c>
      <c r="AI3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ID","value":"122-06"},{"id":16,"name":"Locomotive ID","value":"4012"},{"id":130,"name":"Impact","value":""},{"id":150,"name":"Time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456</v>
      </c>
      <c r="B35" s="7">
        <v>4040</v>
      </c>
      <c r="C35" s="22" t="s">
        <v>239</v>
      </c>
      <c r="D35" s="22" t="s">
        <v>208</v>
      </c>
      <c r="E35" s="13">
        <v>42680.269849537035</v>
      </c>
      <c r="F35" s="13">
        <v>42680.271770833337</v>
      </c>
      <c r="G35" s="7">
        <v>2</v>
      </c>
      <c r="H35" s="22" t="s">
        <v>378</v>
      </c>
      <c r="I35" s="13">
        <v>42680.296030092592</v>
      </c>
      <c r="J35" s="7">
        <v>0</v>
      </c>
      <c r="K35" s="112" t="str">
        <f t="shared" si="0"/>
        <v>4039/4040</v>
      </c>
      <c r="L35" s="22" t="str">
        <f>VLOOKUP(A35,'Trips&amp;Operators'!$C$1:$E$10000,3,FALSE)</f>
        <v>MALAVE</v>
      </c>
      <c r="M35" s="6">
        <f t="shared" si="1"/>
        <v>2.4259259254904464E-2</v>
      </c>
      <c r="N35" s="7">
        <f t="shared" si="2"/>
        <v>34.933333327062428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05:28:35-0600',mode:absolute,to:'2016-11-06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4.53E-2</v>
      </c>
      <c r="Z35" s="67">
        <f t="shared" si="9"/>
        <v>23.327000000000002</v>
      </c>
      <c r="AA35" s="67">
        <f t="shared" si="10"/>
        <v>23.281700000000001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0123-06</v>
      </c>
      <c r="AE35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35" s="88" t="str">
        <f t="shared" si="13"/>
        <v>"C:\Program Files (x86)\AstroGrep\AstroGrep.exe" /spath="%USERPROFILE%\AppData\Local\Temp\OnboardLogs" /stypes="app*4040*20161106*"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123-06 --locoid 4040 --swversion DE.1.0.8.0 --startMP 204:453 --initTime 2016-11-06T06:28:35 --startdatetime 2016-11-06T06:31:21 --delay 2 --endMP 204:233270 --enddatetime 2016-11-06T07:06:17 --enforcementcount 0 &gt;&gt;C:\Users\stu\Documents\GitHub\eaglep3-reporting\EC\2016-11-06-refined-times.txt</v>
      </c>
      <c r="AI3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{"issue":{"subject":"","project_id":79,"tracker_id":40,"status_id":1,"priority_id":2,"assigned_to_id":23,"start_date":"2016-11-06","description":"","custom_fields":[{"id":1,"name":"Subdivision","value":"EC"},{"id":4,"name":"Milepost","value":"23.327"},{"id":17,"name":"Train ID","value":"123-06"},{"id":16,"name":"Locomotive ID","value":"4040"},{"id":130,"name":"Impact","value":""},{"id":150,"name":"Time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401</v>
      </c>
      <c r="B36" s="7">
        <v>4039</v>
      </c>
      <c r="C36" s="22" t="s">
        <v>239</v>
      </c>
      <c r="D36" s="22" t="s">
        <v>364</v>
      </c>
      <c r="E36" s="13">
        <v>42680.308055555557</v>
      </c>
      <c r="F36" s="13">
        <v>42680.309930555559</v>
      </c>
      <c r="G36" s="7">
        <v>0</v>
      </c>
      <c r="H36" s="22" t="s">
        <v>235</v>
      </c>
      <c r="I36" s="13">
        <v>42680.336365740739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MALAVE</v>
      </c>
      <c r="M36" s="6">
        <f t="shared" si="1"/>
        <v>2.643518518016208E-2</v>
      </c>
      <c r="N36" s="7">
        <f t="shared" si="2"/>
        <v>38.066666659433395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23.296500000000002</v>
      </c>
      <c r="Z36" s="67">
        <f t="shared" si="9"/>
        <v>1.61E-2</v>
      </c>
      <c r="AA36" s="67">
        <f t="shared" si="10"/>
        <v>23.2804</v>
      </c>
      <c r="AB36" s="64" t="str">
        <f>VLOOKUP(A36,Enforcements!$C$7:$K$21,8,0)</f>
        <v>Speed (6)</v>
      </c>
      <c r="AC36" s="60" t="str">
        <f>VLOOKUP(A36,Enforcements!$C$7:$E$21,3,0)</f>
        <v>EQUIPMENT RESTRICTION</v>
      </c>
      <c r="AD36" s="61" t="str">
        <f t="shared" si="11"/>
        <v>0124-06</v>
      </c>
      <c r="AE36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36" s="88" t="str">
        <f t="shared" si="13"/>
        <v>"C:\Program Files (x86)\AstroGrep\AstroGrep.exe" /spath="%USERPROFILE%\AppData\Local\Temp\OnboardLogs" /stypes="app*4039*20161106*"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124-06 --locoid 4039 --swversion DE.1.0.8.0 --startMP 204:232965 --initTime 2016-11-06T07:23:36 --startdatetime 2016-11-06T07:26:18 --delay 0 --endMP 204:161 --enddatetime 2016-11-06T08:04:22 --enforcementcount 0 &gt;&gt;C:\Users\stu\Documents\GitHub\eaglep3-reporting\EC\2016-11-06-refined-times.txt</v>
      </c>
      <c r="AI3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ID","value":"124-06"},{"id":16,"name":"Locomotive ID","value":"4039"},{"id":130,"name":"Impact","value":""},{"id":150,"name":"Time of Event (Mountain Time)","value":"08:04:22"},{"id":151,"name":"Denver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458</v>
      </c>
      <c r="B37" s="7">
        <v>4007</v>
      </c>
      <c r="C37" s="22" t="s">
        <v>239</v>
      </c>
      <c r="D37" s="22" t="s">
        <v>635</v>
      </c>
      <c r="E37" s="13">
        <v>42680.275138888886</v>
      </c>
      <c r="F37" s="13">
        <v>42680.281504629631</v>
      </c>
      <c r="G37" s="7">
        <v>2</v>
      </c>
      <c r="H37" s="22" t="s">
        <v>278</v>
      </c>
      <c r="I37" s="13">
        <v>42680.305219907408</v>
      </c>
      <c r="J37" s="7">
        <v>0</v>
      </c>
      <c r="K37" s="112" t="str">
        <f t="shared" si="0"/>
        <v>4007/4008</v>
      </c>
      <c r="L37" s="22" t="str">
        <f>VLOOKUP(A37,'Trips&amp;Operators'!$C$1:$E$10000,3,FALSE)</f>
        <v>ISHMAEL</v>
      </c>
      <c r="M37" s="6">
        <f t="shared" si="1"/>
        <v>2.3715277777228039E-2</v>
      </c>
      <c r="N37" s="7">
        <f t="shared" si="2"/>
        <v>34.149999999208376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05:36:12-0600',mode:absolute,to:'2016-11-06 08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4.4600000000000001E-2</v>
      </c>
      <c r="Z37" s="67">
        <f t="shared" si="9"/>
        <v>23.329799999999999</v>
      </c>
      <c r="AA37" s="67">
        <f t="shared" si="10"/>
        <v>23.2852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0125-06</v>
      </c>
      <c r="AE37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37" s="88" t="str">
        <f t="shared" si="13"/>
        <v>"C:\Program Files (x86)\AstroGrep\AstroGrep.exe" /spath="%USERPROFILE%\AppData\Local\Temp\OnboardLogs" /stypes="app*4007*20161106*"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125-06 --locoid 4007 --swversion DE.1.0.8.0 --startMP 204:446 --initTime 2016-11-06T06:36:12 --startdatetime 2016-11-06T06:45:22 --delay 2 --endMP 204:233298 --enddatetime 2016-11-06T07:19:31 --enforcementcount 0 &gt;&gt;C:\Users\stu\Documents\GitHub\eaglep3-reporting\EC\2016-11-06-refined-times.txt</v>
      </c>
      <c r="AI3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ID","value":"125-06"},{"id":16,"name":"Locomotive ID","value":"4007"},{"id":130,"name":"Impact","value":""},{"id":150,"name":"Time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466</v>
      </c>
      <c r="B38" s="7">
        <v>4008</v>
      </c>
      <c r="C38" s="22" t="s">
        <v>239</v>
      </c>
      <c r="D38" s="22" t="s">
        <v>267</v>
      </c>
      <c r="E38" s="13">
        <v>42680.315335648149</v>
      </c>
      <c r="F38" s="13">
        <v>42680.320335648146</v>
      </c>
      <c r="G38" s="7">
        <v>1</v>
      </c>
      <c r="H38" s="22" t="s">
        <v>175</v>
      </c>
      <c r="I38" s="13">
        <v>42680.346365740741</v>
      </c>
      <c r="J38" s="7">
        <v>0</v>
      </c>
      <c r="K38" s="112" t="str">
        <f t="shared" si="0"/>
        <v>4007/4008</v>
      </c>
      <c r="L38" s="22" t="str">
        <f>VLOOKUP(A38,'Trips&amp;Operators'!$C$1:$E$10000,3,FALSE)</f>
        <v>ISHMAEL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06:34:05-0600',mode:absolute,to:'2016-11-06 09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23.299600000000002</v>
      </c>
      <c r="Z38" s="67">
        <f t="shared" si="9"/>
        <v>1.47E-2</v>
      </c>
      <c r="AA38" s="67">
        <f t="shared" si="10"/>
        <v>23.2849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0126-06</v>
      </c>
      <c r="AE38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38" s="88" t="str">
        <f t="shared" si="13"/>
        <v>"C:\Program Files (x86)\AstroGrep\AstroGrep.exe" /spath="%USERPROFILE%\AppData\Local\Temp\OnboardLogs" /stypes="app*4008*20161106*"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126-06 --locoid 4008 --swversion DE.1.0.8.0 --startMP 204:232996 --initTime 2016-11-06T07:34:05 --startdatetime 2016-11-06T07:41:17 --delay 1 --endMP 204:147 --enddatetime 2016-11-06T08:18:46 --enforcementcount 0 &gt;&gt;C:\Users\stu\Documents\GitHub\eaglep3-reporting\EC\2016-11-06-refined-times.txt</v>
      </c>
      <c r="AI3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ID","value":"126-06"},{"id":16,"name":"Locomotive ID","value":"4008"},{"id":130,"name":"Impact","value":""},{"id":150,"name":"Time of Event (Mountain Time)","value":"08:18:46"},{"id":151,"name":"Denver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461</v>
      </c>
      <c r="B39" s="7">
        <v>4044</v>
      </c>
      <c r="C39" s="22" t="s">
        <v>239</v>
      </c>
      <c r="D39" s="22" t="s">
        <v>244</v>
      </c>
      <c r="E39" s="13">
        <v>42680.28533564815</v>
      </c>
      <c r="F39" s="13">
        <v>42680.291956018518</v>
      </c>
      <c r="G39" s="7">
        <v>1</v>
      </c>
      <c r="H39" s="22" t="s">
        <v>628</v>
      </c>
      <c r="I39" s="13">
        <v>42680.316053240742</v>
      </c>
      <c r="J39" s="7">
        <v>0</v>
      </c>
      <c r="K39" s="112" t="str">
        <f t="shared" si="0"/>
        <v>4043/4044</v>
      </c>
      <c r="L39" s="22" t="str">
        <f>VLOOKUP(A39,'Trips&amp;Operators'!$C$1:$E$10000,3,FALSE)</f>
        <v>KILLION</v>
      </c>
      <c r="M39" s="6">
        <f t="shared" si="1"/>
        <v>2.4097222223645076E-2</v>
      </c>
      <c r="N39" s="7">
        <f t="shared" si="2"/>
        <v>34.70000000204891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05:50:53-0600',mode:absolute,to:'2016-11-06 08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4.58E-2</v>
      </c>
      <c r="Z39" s="67">
        <f t="shared" si="9"/>
        <v>23.329899999999999</v>
      </c>
      <c r="AA39" s="67">
        <f t="shared" si="10"/>
        <v>23.284099999999999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0127-06</v>
      </c>
      <c r="AE39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39" s="88" t="str">
        <f t="shared" si="13"/>
        <v>"C:\Program Files (x86)\AstroGrep\AstroGrep.exe" /spath="%USERPROFILE%\AppData\Local\Temp\OnboardLogs" /stypes="app*4044*20161106*"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127-06 --locoid 4044 --swversion DE.1.0.8.0 --startMP 204:458 --initTime 2016-11-06T06:50:53 --startdatetime 2016-11-06T07:00:25 --delay 1 --endMP 204:233299 --enddatetime 2016-11-06T07:35:07 --enforcementcount 0 &gt;&gt;C:\Users\stu\Documents\GitHub\eaglep3-reporting\EC\2016-11-06-refined-times.txt</v>
      </c>
      <c r="AI3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ID","value":"127-06"},{"id":16,"name":"Locomotive ID","value":"4044"},{"id":130,"name":"Impact","value":""},{"id":150,"name":"Time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469</v>
      </c>
      <c r="B40" s="7">
        <v>4043</v>
      </c>
      <c r="C40" s="22" t="s">
        <v>239</v>
      </c>
      <c r="D40" s="22" t="s">
        <v>268</v>
      </c>
      <c r="E40" s="13">
        <v>42680.321793981479</v>
      </c>
      <c r="F40" s="13">
        <v>42680.330740740741</v>
      </c>
      <c r="G40" s="7">
        <v>1</v>
      </c>
      <c r="H40" s="22" t="s">
        <v>636</v>
      </c>
      <c r="I40" s="13">
        <v>42680.356400462966</v>
      </c>
      <c r="J40" s="7">
        <v>0</v>
      </c>
      <c r="K40" s="112" t="str">
        <f t="shared" si="0"/>
        <v>4043/4044</v>
      </c>
      <c r="L40" s="22" t="str">
        <f>VLOOKUP(A40,'Trips&amp;Operators'!$C$1:$E$10000,3,FALSE)</f>
        <v>KILLION</v>
      </c>
      <c r="M40" s="6">
        <f t="shared" si="1"/>
        <v>2.5659722225100268E-2</v>
      </c>
      <c r="N40" s="7">
        <f t="shared" si="2"/>
        <v>36.950000004144385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06:43:23-0600',mode:absolute,to:'2016-11-06 09:33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23.297999999999998</v>
      </c>
      <c r="Z40" s="67">
        <f t="shared" si="9"/>
        <v>2.07E-2</v>
      </c>
      <c r="AA40" s="67">
        <f t="shared" si="10"/>
        <v>23.277299999999997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0128-06</v>
      </c>
      <c r="AE40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40" s="88" t="str">
        <f t="shared" si="13"/>
        <v>"C:\Program Files (x86)\AstroGrep\AstroGrep.exe" /spath="%USERPROFILE%\AppData\Local\Temp\OnboardLogs" /stypes="app*4043*20161106*"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128-06 --locoid 4043 --swversion DE.1.0.8.0 --startMP 204:232980 --initTime 2016-11-06T07:43:23 --startdatetime 2016-11-06T07:56:16 --delay 1 --endMP 204:207 --enddatetime 2016-11-06T08:33:13 --enforcementcount 0 &gt;&gt;C:\Users\stu\Documents\GitHub\eaglep3-reporting\EC\2016-11-06-refined-times.txt</v>
      </c>
      <c r="AI4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{"issue":{"subject":"","project_id":79,"tracker_id":40,"status_id":1,"priority_id":2,"assigned_to_id":23,"start_date":"2016-11-06","description":"","custom_fields":[{"id":1,"name":"Subdivision","value":"EC"},{"id":4,"name":"Milepost","value":"0.0207"},{"id":17,"name":"Train ID","value":"128-06"},{"id":16,"name":"Locomotive ID","value":"4043"},{"id":130,"name":"Impact","value":""},{"id":150,"name":"Time of Event (Mountain Time)","value":"08:33:13"},{"id":151,"name":"Denver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464</v>
      </c>
      <c r="B41" s="7">
        <v>4009</v>
      </c>
      <c r="C41" s="22" t="s">
        <v>239</v>
      </c>
      <c r="D41" s="22" t="s">
        <v>637</v>
      </c>
      <c r="E41" s="13">
        <v>42680.295740740738</v>
      </c>
      <c r="F41" s="13">
        <v>42680.30228009259</v>
      </c>
      <c r="G41" s="7">
        <v>1</v>
      </c>
      <c r="H41" s="22" t="s">
        <v>211</v>
      </c>
      <c r="I41" s="13">
        <v>42680.326342592591</v>
      </c>
      <c r="J41" s="7">
        <v>0</v>
      </c>
      <c r="K41" s="112" t="str">
        <f t="shared" si="0"/>
        <v>4009/4010</v>
      </c>
      <c r="L41" s="22" t="str">
        <f>VLOOKUP(A41,'Trips&amp;Operators'!$C$1:$E$10000,3,FALSE)</f>
        <v>YORK</v>
      </c>
      <c r="M41" s="6">
        <f t="shared" si="1"/>
        <v>2.4062500000582077E-2</v>
      </c>
      <c r="N41" s="7">
        <f t="shared" si="2"/>
        <v>34.65000000083819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06:05:52-0600',mode:absolute,to:'2016-11-06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4.6699999999999998E-2</v>
      </c>
      <c r="Z41" s="67">
        <f t="shared" si="9"/>
        <v>23.329499999999999</v>
      </c>
      <c r="AA41" s="67">
        <f t="shared" si="10"/>
        <v>23.282799999999998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0129-06</v>
      </c>
      <c r="AE41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41" s="88" t="str">
        <f t="shared" si="13"/>
        <v>"C:\Program Files (x86)\AstroGrep\AstroGrep.exe" /spath="%USERPROFILE%\AppData\Local\Temp\OnboardLogs" /stypes="app*4009*20161106*"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129-06 --locoid 4009 --swversion DE.1.0.8.0 --startMP 204:467 --initTime 2016-11-06T07:05:52 --startdatetime 2016-11-06T07:15:17 --delay 1 --endMP 204:233295 --enddatetime 2016-11-06T07:49:56 --enforcementcount 0 &gt;&gt;C:\Users\stu\Documents\GitHub\eaglep3-reporting\EC\2016-11-06-refined-times.txt</v>
      </c>
      <c r="AI4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ID","value":"129-06"},{"id":16,"name":"Locomotive ID","value":"4009"},{"id":130,"name":"Impact","value":""},{"id":150,"name":"Time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403</v>
      </c>
      <c r="B42" s="7">
        <v>4010</v>
      </c>
      <c r="C42" s="22" t="s">
        <v>239</v>
      </c>
      <c r="D42" s="22" t="s">
        <v>242</v>
      </c>
      <c r="E42" s="13">
        <v>42680.338113425925</v>
      </c>
      <c r="F42" s="13">
        <v>42680.341249999998</v>
      </c>
      <c r="G42" s="7">
        <v>1</v>
      </c>
      <c r="H42" s="22" t="s">
        <v>204</v>
      </c>
      <c r="I42" s="13">
        <v>42680.366840277777</v>
      </c>
      <c r="J42" s="7">
        <v>0</v>
      </c>
      <c r="K42" s="112" t="str">
        <f t="shared" si="0"/>
        <v>4009/4010</v>
      </c>
      <c r="L42" s="22" t="str">
        <f>VLOOKUP(A42,'Trips&amp;Operators'!$C$1:$E$10000,3,FALSE)</f>
        <v>YORK</v>
      </c>
      <c r="M42" s="6">
        <f t="shared" si="1"/>
        <v>2.5590277778974269E-2</v>
      </c>
      <c r="N42" s="7">
        <f t="shared" si="2"/>
        <v>36.850000001722947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23.298300000000001</v>
      </c>
      <c r="Z42" s="67">
        <f t="shared" si="9"/>
        <v>1.4500000000000001E-2</v>
      </c>
      <c r="AA42" s="67">
        <f t="shared" si="10"/>
        <v>23.283799999999999</v>
      </c>
      <c r="AB42" s="64" t="str">
        <f>VLOOKUP(A42,Enforcements!$C$7:$K$21,8,0)</f>
        <v>Speed (6)</v>
      </c>
      <c r="AC42" s="60" t="str">
        <f>VLOOKUP(A42,Enforcements!$C$7:$E$21,3,0)</f>
        <v>PERMANENT SPEED RESTRICTION</v>
      </c>
      <c r="AD42" s="61" t="str">
        <f t="shared" si="11"/>
        <v>0130-06</v>
      </c>
      <c r="AE42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42" s="88" t="str">
        <f t="shared" si="13"/>
        <v>"C:\Program Files (x86)\AstroGrep\AstroGrep.exe" /spath="%USERPROFILE%\AppData\Local\Temp\OnboardLogs" /stypes="app*4010*20161106*"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130-06 --locoid 4010 --swversion DE.1.0.8.0 --startMP 204:232983 --initTime 2016-11-06T08:06:53 --startdatetime 2016-11-06T08:11:24 --delay 1 --endMP 204:145 --enddatetime 2016-11-06T08:48:15 --enforcementcount 0 &gt;&gt;C:\Users\stu\Documents\GitHub\eaglep3-reporting\EC\2016-11-06-refined-times.txt</v>
      </c>
      <c r="AI4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ID","value":"130-06"},{"id":16,"name":"Locomotive ID","value":"4010"},{"id":130,"name":"Impact","value":""},{"id":150,"name":"Time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465</v>
      </c>
      <c r="B43" s="7">
        <v>4046</v>
      </c>
      <c r="C43" s="22" t="s">
        <v>239</v>
      </c>
      <c r="D43" s="22" t="s">
        <v>212</v>
      </c>
      <c r="E43" s="13">
        <v>42680.306168981479</v>
      </c>
      <c r="F43" s="13">
        <v>42680.3127662037</v>
      </c>
      <c r="G43" s="7">
        <v>1</v>
      </c>
      <c r="H43" s="22" t="s">
        <v>638</v>
      </c>
      <c r="I43" s="13">
        <v>42680.336967592593</v>
      </c>
      <c r="J43" s="7">
        <v>0</v>
      </c>
      <c r="K43" s="112" t="str">
        <f t="shared" si="0"/>
        <v>4045/4046</v>
      </c>
      <c r="L43" s="22" t="str">
        <f>VLOOKUP(A43,'Trips&amp;Operators'!$C$1:$E$10000,3,FALSE)</f>
        <v>ACKERMAN</v>
      </c>
      <c r="M43" s="6">
        <f t="shared" si="1"/>
        <v>2.4201388892834075E-2</v>
      </c>
      <c r="N43" s="7">
        <f t="shared" si="2"/>
        <v>34.850000005681068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06:20:53-0600',mode:absolute,to:'2016-11-06 09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4.5999999999999999E-2</v>
      </c>
      <c r="Z43" s="67">
        <f t="shared" si="9"/>
        <v>23.334299999999999</v>
      </c>
      <c r="AA43" s="67">
        <f t="shared" si="10"/>
        <v>23.2883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0131-06</v>
      </c>
      <c r="AE43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43" s="88" t="str">
        <f t="shared" si="13"/>
        <v>"C:\Program Files (x86)\AstroGrep\AstroGrep.exe" /spath="%USERPROFILE%\AppData\Local\Temp\OnboardLogs" /stypes="app*4046*20161106*"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131-06 --locoid 4046 --swversion DE.1.0.8.0 --startMP 204:460 --initTime 2016-11-06T07:20:53 --startdatetime 2016-11-06T07:30:23 --delay 1 --endMP 204:233343 --enddatetime 2016-11-06T08:05:14 --enforcementcount 0 &gt;&gt;C:\Users\stu\Documents\GitHub\eaglep3-reporting\EC\2016-11-06-refined-times.txt</v>
      </c>
      <c r="AI4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{"issue":{"subject":"","project_id":79,"tracker_id":40,"status_id":1,"priority_id":2,"assigned_to_id":23,"start_date":"2016-11-06","description":"","custom_fields":[{"id":1,"name":"Subdivision","value":"EC"},{"id":4,"name":"Milepost","value":"23.3343"},{"id":17,"name":"Train ID","value":"131-06"},{"id":16,"name":"Locomotive ID","value":"4046"},{"id":130,"name":"Impact","value":""},{"id":150,"name":"Time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472</v>
      </c>
      <c r="B44" s="7">
        <v>4045</v>
      </c>
      <c r="C44" s="22" t="s">
        <v>239</v>
      </c>
      <c r="D44" s="22" t="s">
        <v>633</v>
      </c>
      <c r="E44" s="13">
        <v>42680.342592592591</v>
      </c>
      <c r="F44" s="13">
        <v>42680.351574074077</v>
      </c>
      <c r="G44" s="7">
        <v>1</v>
      </c>
      <c r="H44" s="22" t="s">
        <v>371</v>
      </c>
      <c r="I44" s="13">
        <v>42680.37767361111</v>
      </c>
      <c r="J44" s="7">
        <v>0</v>
      </c>
      <c r="K44" s="112" t="str">
        <f t="shared" si="0"/>
        <v>4045/4046</v>
      </c>
      <c r="L44" s="22" t="str">
        <f>VLOOKUP(A44,'Trips&amp;Operators'!$C$1:$E$10000,3,FALSE)</f>
        <v>ACKERMAN</v>
      </c>
      <c r="M44" s="6">
        <f t="shared" si="1"/>
        <v>2.6099537033587694E-2</v>
      </c>
      <c r="N44" s="7">
        <f t="shared" si="2"/>
        <v>37.58333332836628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07:13:20-0600',mode:absolute,to:'2016-11-06 10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4" s="52" t="str">
        <f t="shared" si="6"/>
        <v>N</v>
      </c>
      <c r="X44" s="177">
        <f t="shared" ref="X44:X75" si="19">VALUE(LEFT(AD44,4))-VALUE(LEFT(AD43,4))</f>
        <v>1</v>
      </c>
      <c r="Y44" s="67">
        <f t="shared" si="8"/>
        <v>23.296099999999999</v>
      </c>
      <c r="Z44" s="67">
        <f t="shared" si="9"/>
        <v>1.3899999999999999E-2</v>
      </c>
      <c r="AA44" s="67">
        <f t="shared" si="10"/>
        <v>23.2822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0132-06</v>
      </c>
      <c r="AE44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44" s="88" t="str">
        <f t="shared" si="13"/>
        <v>"C:\Program Files (x86)\AstroGrep\AstroGrep.exe" /spath="%USERPROFILE%\AppData\Local\Temp\OnboardLogs" /stypes="app*4045*20161106*"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132-06 --locoid 4045 --swversion DE.1.0.8.0 --startMP 204:232961 --initTime 2016-11-06T08:13:20 --startdatetime 2016-11-06T08:26:16 --delay 1 --endMP 204:139 --enddatetime 2016-11-06T09:03:51 --enforcementcount 0 &gt;&gt;C:\Users\stu\Documents\GitHub\eaglep3-reporting\EC\2016-11-06-refined-times.txt</v>
      </c>
      <c r="AI4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ID","value":"132-06"},{"id":16,"name":"Locomotive ID","value":"4045"},{"id":130,"name":"Impact","value":""},{"id":150,"name":"Time of Event (Mountain Time)","value":"09:03:51"},{"id":151,"name":"Denver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468</v>
      </c>
      <c r="B45" s="7">
        <v>4042</v>
      </c>
      <c r="C45" s="22" t="s">
        <v>239</v>
      </c>
      <c r="D45" s="22" t="s">
        <v>229</v>
      </c>
      <c r="E45" s="13">
        <v>42680.319467592592</v>
      </c>
      <c r="F45" s="13">
        <v>42680.323148148149</v>
      </c>
      <c r="G45" s="7">
        <v>1</v>
      </c>
      <c r="H45" s="22" t="s">
        <v>309</v>
      </c>
      <c r="I45" s="13">
        <v>42680.347511574073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MAELZER</v>
      </c>
      <c r="M45" s="6">
        <f t="shared" si="1"/>
        <v>2.4363425924093463E-2</v>
      </c>
      <c r="N45" s="7">
        <f t="shared" si="2"/>
        <v>35.083333330694586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06:40:02-0600',mode:absolute,to:'2016-11-06 09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6"/>
        <v>N</v>
      </c>
      <c r="X45" s="177">
        <f t="shared" si="19"/>
        <v>1</v>
      </c>
      <c r="Y45" s="67">
        <f t="shared" si="8"/>
        <v>4.6199999999999998E-2</v>
      </c>
      <c r="Z45" s="67">
        <f t="shared" si="9"/>
        <v>23.3308</v>
      </c>
      <c r="AA45" s="67">
        <f t="shared" si="10"/>
        <v>23.284600000000001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0133-06</v>
      </c>
      <c r="AE45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45" s="88" t="str">
        <f t="shared" si="13"/>
        <v>"C:\Program Files (x86)\AstroGrep\AstroGrep.exe" /spath="%USERPROFILE%\AppData\Local\Temp\OnboardLogs" /stypes="app*4042*20161106*"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133-06 --locoid 4042 --swversion DE.1.0.8.0 --startMP 204:462 --initTime 2016-11-06T07:40:02 --startdatetime 2016-11-06T07:45:20 --delay 1 --endMP 204:233308 --enddatetime 2016-11-06T08:20:25 --enforcementcount 0 &gt;&gt;C:\Users\stu\Documents\GitHub\eaglep3-reporting\EC\2016-11-06-refined-times.txt</v>
      </c>
      <c r="AI4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{"issue":{"subject":"","project_id":79,"tracker_id":40,"status_id":1,"priority_id":2,"assigned_to_id":23,"start_date":"2016-11-06","description":"","custom_fields":[{"id":1,"name":"Subdivision","value":"EC"},{"id":4,"name":"Milepost","value":"23.3308"},{"id":17,"name":"Train ID","value":"133-06"},{"id":16,"name":"Locomotive ID","value":"4042"},{"id":130,"name":"Impact","value":""},{"id":150,"name":"Time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404</v>
      </c>
      <c r="B46" s="7">
        <v>4041</v>
      </c>
      <c r="C46" s="22" t="s">
        <v>239</v>
      </c>
      <c r="D46" s="22" t="s">
        <v>267</v>
      </c>
      <c r="E46" s="13">
        <v>42680.354328703703</v>
      </c>
      <c r="F46" s="13">
        <v>42680.362233796295</v>
      </c>
      <c r="G46" s="7">
        <v>0</v>
      </c>
      <c r="H46" s="22" t="s">
        <v>310</v>
      </c>
      <c r="I46" s="13">
        <v>42680.387465277781</v>
      </c>
      <c r="J46" s="7">
        <v>0</v>
      </c>
      <c r="K46" s="112" t="str">
        <f t="shared" si="0"/>
        <v>4041/4042</v>
      </c>
      <c r="L46" s="22" t="str">
        <f>VLOOKUP(A46,'Trips&amp;Operators'!$C$1:$E$10000,3,FALSE)</f>
        <v>MAELZER</v>
      </c>
      <c r="M46" s="6">
        <f t="shared" si="1"/>
        <v>2.5231481486116536E-2</v>
      </c>
      <c r="N46" s="7">
        <f t="shared" si="2"/>
        <v>36.333333340007812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07:30:14-0600',mode:absolute,to:'2016-11-06 10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6"/>
        <v>N</v>
      </c>
      <c r="X46" s="177">
        <f t="shared" si="19"/>
        <v>1</v>
      </c>
      <c r="Y46" s="67">
        <f t="shared" si="8"/>
        <v>23.299600000000002</v>
      </c>
      <c r="Z46" s="67">
        <f t="shared" si="9"/>
        <v>1.2699999999999999E-2</v>
      </c>
      <c r="AA46" s="67">
        <f t="shared" si="10"/>
        <v>23.286900000000003</v>
      </c>
      <c r="AB46" s="64" t="str">
        <f>VLOOKUP(A46,Enforcements!$C$7:$K$21,8,0)</f>
        <v>Form based authority (4)</v>
      </c>
      <c r="AC46" s="60" t="str">
        <f>VLOOKUP(A46,Enforcements!$C$7:$E$21,3,0)</f>
        <v>TRACK WARRANT AUTHORITY</v>
      </c>
      <c r="AD46" s="61" t="str">
        <f t="shared" si="11"/>
        <v>0134-06</v>
      </c>
      <c r="AE46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46" s="88" t="str">
        <f t="shared" si="13"/>
        <v>"C:\Program Files (x86)\AstroGrep\AstroGrep.exe" /spath="%USERPROFILE%\AppData\Local\Temp\OnboardLogs" /stypes="app*4041*20161106*"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134-06 --locoid 4041 --swversion DE.1.0.8.0 --startMP 204:232996 --initTime 2016-11-06T08:30:14 --startdatetime 2016-11-06T08:41:37 --delay 0 --endMP 204:127 --enddatetime 2016-11-06T09:17:57 --enforcementcount 0 &gt;&gt;C:\Users\stu\Documents\GitHub\eaglep3-reporting\EC\2016-11-06-refined-times.txt</v>
      </c>
      <c r="AI4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ID","value":"134-06"},{"id":16,"name":"Locomotive ID","value":"4041"},{"id":130,"name":"Impact","value":""},{"id":150,"name":"Time of Event (Mountain Time)","value":"09:17:57"},{"id":151,"name":"Denver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470</v>
      </c>
      <c r="B47" s="7">
        <v>4011</v>
      </c>
      <c r="C47" s="22" t="s">
        <v>239</v>
      </c>
      <c r="D47" s="22" t="s">
        <v>236</v>
      </c>
      <c r="E47" s="13">
        <v>42680.328530092593</v>
      </c>
      <c r="F47" s="13">
        <v>42680.333483796298</v>
      </c>
      <c r="G47" s="7">
        <v>1</v>
      </c>
      <c r="H47" s="22" t="s">
        <v>370</v>
      </c>
      <c r="I47" s="13">
        <v>42680.358425925922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2.4942129624832887E-2</v>
      </c>
      <c r="N47" s="7">
        <f t="shared" si="2"/>
        <v>35.916666659759358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06:53:05-0600',mode:absolute,to:'2016-11-06 09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19"/>
        <v>1</v>
      </c>
      <c r="Y47" s="67">
        <f t="shared" si="8"/>
        <v>4.6399999999999997E-2</v>
      </c>
      <c r="Z47" s="67">
        <f t="shared" si="9"/>
        <v>23.328600000000002</v>
      </c>
      <c r="AA47" s="67">
        <f t="shared" si="10"/>
        <v>23.282200000000003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0135-06</v>
      </c>
      <c r="AE47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47" s="88" t="str">
        <f t="shared" si="13"/>
        <v>"C:\Program Files (x86)\AstroGrep\AstroGrep.exe" /spath="%USERPROFILE%\AppData\Local\Temp\OnboardLogs" /stypes="app*4011*20161106*"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135-06 --locoid 4011 --swversion DE.1.0.8.0 --startMP 204:464 --initTime 2016-11-06T07:53:05 --startdatetime 2016-11-06T08:00:13 --delay 1 --endMP 204:233286 --enddatetime 2016-11-06T08:36:08 --enforcementcount 0 &gt;&gt;C:\Users\stu\Documents\GitHub\eaglep3-reporting\EC\2016-11-06-refined-times.txt</v>
      </c>
      <c r="AI4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ID","value":"135-06"},{"id":16,"name":"Locomotive ID","value":"4011"},{"id":130,"name":"Impact","value":""},{"id":150,"name":"Time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4012</v>
      </c>
      <c r="C48" s="22" t="s">
        <v>239</v>
      </c>
      <c r="D48" s="22" t="s">
        <v>639</v>
      </c>
      <c r="E48" s="13">
        <v>42680.369687500002</v>
      </c>
      <c r="F48" s="13">
        <v>42680.372361111113</v>
      </c>
      <c r="G48" s="7">
        <v>1</v>
      </c>
      <c r="H48" s="22" t="s">
        <v>640</v>
      </c>
      <c r="I48" s="13">
        <v>42680.399930555555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2.7569444442633539E-2</v>
      </c>
      <c r="N48" s="7">
        <f t="shared" si="2"/>
        <v>39.699999997392297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07:52:21-0600',mode:absolute,to:'2016-11-06 10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19"/>
        <v>1</v>
      </c>
      <c r="Y48" s="67">
        <f t="shared" si="8"/>
        <v>23.2988</v>
      </c>
      <c r="Z48" s="67">
        <f t="shared" si="9"/>
        <v>1.2999999999999999E-2</v>
      </c>
      <c r="AA48" s="67">
        <f t="shared" si="10"/>
        <v>23.285799999999998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0136-06</v>
      </c>
      <c r="AE48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48" s="88" t="str">
        <f t="shared" si="13"/>
        <v>"C:\Program Files (x86)\AstroGrep\AstroGrep.exe" /spath="%USERPROFILE%\AppData\Local\Temp\OnboardLogs" /stypes="app*4012*20161106*"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136-06 --locoid 4012 --swversion DE.1.0.8.0 --startMP 204:232988 --initTime 2016-11-06T08:52:21 --startdatetime 2016-11-06T08:56:12 --delay 1 --endMP 204:130 --enddatetime 2016-11-06T09:35:54 --enforcementcount 0 &gt;&gt;C:\Users\stu\Documents\GitHub\eaglep3-reporting\EC\2016-11-06-refined-times.txt</v>
      </c>
      <c r="AI4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ID","value":"136-06"},{"id":16,"name":"Locomotive ID","value":"4012"},{"id":130,"name":"Impact","value":""},{"id":150,"name":"Time of Event (Mountain Time)","value":"09:35:54"},{"id":151,"name":"Denver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471</v>
      </c>
      <c r="B49" s="7">
        <v>4040</v>
      </c>
      <c r="C49" s="22" t="s">
        <v>239</v>
      </c>
      <c r="D49" s="22" t="s">
        <v>244</v>
      </c>
      <c r="E49" s="13">
        <v>42680.340624999997</v>
      </c>
      <c r="F49" s="13">
        <v>42680.344004629631</v>
      </c>
      <c r="G49" s="7">
        <v>1</v>
      </c>
      <c r="H49" s="22" t="s">
        <v>372</v>
      </c>
      <c r="I49" s="13">
        <v>42680.36818287037</v>
      </c>
      <c r="J49" s="7">
        <v>0</v>
      </c>
      <c r="K49" s="112" t="str">
        <f t="shared" si="0"/>
        <v>4039/4040</v>
      </c>
      <c r="L49" s="22" t="str">
        <f>VLOOKUP(A49,'Trips&amp;Operators'!$C$1:$E$10000,3,FALSE)</f>
        <v>MALAVE</v>
      </c>
      <c r="M49" s="6">
        <f t="shared" si="1"/>
        <v>2.417824073927477E-2</v>
      </c>
      <c r="N49" s="7">
        <f t="shared" si="2"/>
        <v>34.816666664555669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07:10:30-0600',mode:absolute,to:'2016-11-06 09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2" t="str">
        <f t="shared" si="6"/>
        <v>N</v>
      </c>
      <c r="X49" s="177">
        <f t="shared" si="19"/>
        <v>1</v>
      </c>
      <c r="Y49" s="67">
        <f t="shared" si="8"/>
        <v>4.58E-2</v>
      </c>
      <c r="Z49" s="67">
        <f t="shared" si="9"/>
        <v>23.328299999999999</v>
      </c>
      <c r="AA49" s="67">
        <f t="shared" si="10"/>
        <v>23.282499999999999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0137-06</v>
      </c>
      <c r="AE49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49" s="88" t="str">
        <f t="shared" si="13"/>
        <v>"C:\Program Files (x86)\AstroGrep\AstroGrep.exe" /spath="%USERPROFILE%\AppData\Local\Temp\OnboardLogs" /stypes="app*4040*20161106*"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137-06 --locoid 4040 --swversion DE.1.0.8.0 --startMP 204:458 --initTime 2016-11-06T08:10:30 --startdatetime 2016-11-06T08:15:22 --delay 1 --endMP 204:233283 --enddatetime 2016-11-06T08:50:11 --enforcementcount 0 &gt;&gt;C:\Users\stu\Documents\GitHub\eaglep3-reporting\EC\2016-11-06-refined-times.txt</v>
      </c>
      <c r="AI4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{"issue":{"subject":"","project_id":79,"tracker_id":40,"status_id":1,"priority_id":2,"assigned_to_id":23,"start_date":"2016-11-06","description":"","custom_fields":[{"id":1,"name":"Subdivision","value":"EC"},{"id":4,"name":"Milepost","value":"23.3283"},{"id":17,"name":"Train ID","value":"137-06"},{"id":16,"name":"Locomotive ID","value":"4040"},{"id":130,"name":"Impact","value":""},{"id":150,"name":"Time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479</v>
      </c>
      <c r="B50" s="7">
        <v>4039</v>
      </c>
      <c r="C50" s="22" t="s">
        <v>239</v>
      </c>
      <c r="D50" s="22" t="s">
        <v>641</v>
      </c>
      <c r="E50" s="13">
        <v>42680.380914351852</v>
      </c>
      <c r="F50" s="13">
        <v>42680.382928240739</v>
      </c>
      <c r="G50" s="7">
        <v>2</v>
      </c>
      <c r="H50" s="22" t="s">
        <v>176</v>
      </c>
      <c r="I50" s="13">
        <v>42680.408599537041</v>
      </c>
      <c r="J50" s="7">
        <v>0</v>
      </c>
      <c r="K50" s="112" t="str">
        <f t="shared" si="0"/>
        <v>4039/4040</v>
      </c>
      <c r="L50" s="22" t="str">
        <f>VLOOKUP(A50,'Trips&amp;Operators'!$C$1:$E$10000,3,FALSE)</f>
        <v>MALAVE</v>
      </c>
      <c r="M50" s="6">
        <f t="shared" si="1"/>
        <v>2.567129630187992E-2</v>
      </c>
      <c r="N50" s="7">
        <f t="shared" si="2"/>
        <v>36.966666674707085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08:08:31-0600',mode:absolute,to:'2016-11-06 10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2" t="str">
        <f t="shared" si="6"/>
        <v>N</v>
      </c>
      <c r="X50" s="177">
        <f t="shared" si="19"/>
        <v>1</v>
      </c>
      <c r="Y50" s="67">
        <f t="shared" si="8"/>
        <v>23.297000000000001</v>
      </c>
      <c r="Z50" s="67">
        <f t="shared" si="9"/>
        <v>1.52E-2</v>
      </c>
      <c r="AA50" s="67">
        <f t="shared" si="10"/>
        <v>23.2818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0138-06</v>
      </c>
      <c r="AE50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50" s="88" t="str">
        <f t="shared" si="13"/>
        <v>"C:\Program Files (x86)\AstroGrep\AstroGrep.exe" /spath="%USERPROFILE%\AppData\Local\Temp\OnboardLogs" /stypes="app*4039*20161106*"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138-06 --locoid 4039 --swversion DE.1.0.8.0 --startMP 204:232970 --initTime 2016-11-06T09:08:31 --startdatetime 2016-11-06T09:11:25 --delay 2 --endMP 204:152 --enddatetime 2016-11-06T09:48:23 --enforcementcount 0 &gt;&gt;C:\Users\stu\Documents\GitHub\eaglep3-reporting\EC\2016-11-06-refined-times.txt</v>
      </c>
      <c r="AI5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ID","value":"138-06"},{"id":16,"name":"Locomotive ID","value":"4039"},{"id":130,"name":"Impact","value":""},{"id":150,"name":"Time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473</v>
      </c>
      <c r="B51" s="7">
        <v>4007</v>
      </c>
      <c r="C51" s="22" t="s">
        <v>239</v>
      </c>
      <c r="D51" s="22" t="s">
        <v>207</v>
      </c>
      <c r="E51" s="13">
        <v>42680.347800925927</v>
      </c>
      <c r="F51" s="13">
        <v>42680.354409722226</v>
      </c>
      <c r="G51" s="7">
        <v>1</v>
      </c>
      <c r="H51" s="22" t="s">
        <v>211</v>
      </c>
      <c r="I51" s="13">
        <v>42680.378530092596</v>
      </c>
      <c r="J51" s="7">
        <v>0</v>
      </c>
      <c r="K51" s="112" t="str">
        <f t="shared" si="0"/>
        <v>4007/4008</v>
      </c>
      <c r="L51" s="22" t="str">
        <f>VLOOKUP(A51,'Trips&amp;Operators'!$C$1:$E$10000,3,FALSE)</f>
        <v>ISHMAEL</v>
      </c>
      <c r="M51" s="6">
        <f t="shared" si="1"/>
        <v>2.4120370369928423E-2</v>
      </c>
      <c r="N51" s="7">
        <f t="shared" si="2"/>
        <v>34.73333333269693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07:20:50-0600',mode:absolute,to:'2016-11-06 10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1" s="52" t="str">
        <f t="shared" si="6"/>
        <v>N</v>
      </c>
      <c r="X51" s="177">
        <f t="shared" si="19"/>
        <v>1</v>
      </c>
      <c r="Y51" s="67">
        <f t="shared" si="8"/>
        <v>4.4699999999999997E-2</v>
      </c>
      <c r="Z51" s="67">
        <f t="shared" si="9"/>
        <v>23.329499999999999</v>
      </c>
      <c r="AA51" s="67">
        <f t="shared" si="10"/>
        <v>23.284800000000001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0139-06</v>
      </c>
      <c r="AE51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51" s="88" t="str">
        <f t="shared" si="13"/>
        <v>"C:\Program Files (x86)\AstroGrep\AstroGrep.exe" /spath="%USERPROFILE%\AppData\Local\Temp\OnboardLogs" /stypes="app*4007*20161106*"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139-06 --locoid 4007 --swversion DE.1.0.8.0 --startMP 204:447 --initTime 2016-11-06T08:20:50 --startdatetime 2016-11-06T08:30:21 --delay 1 --endMP 204:233295 --enddatetime 2016-11-06T09:05:05 --enforcementcount 0 &gt;&gt;C:\Users\stu\Documents\GitHub\eaglep3-reporting\EC\2016-11-06-refined-times.txt</v>
      </c>
      <c r="AI5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ID","value":"139-06"},{"id":16,"name":"Locomotive ID","value":"4007"},{"id":130,"name":"Impact","value":""},{"id":150,"name":"Time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480</v>
      </c>
      <c r="B52" s="7">
        <v>4008</v>
      </c>
      <c r="C52" s="22" t="s">
        <v>239</v>
      </c>
      <c r="D52" s="22" t="s">
        <v>258</v>
      </c>
      <c r="E52" s="13">
        <v>42680.386747685188</v>
      </c>
      <c r="F52" s="13">
        <v>42680.39329861111</v>
      </c>
      <c r="G52" s="7">
        <v>1</v>
      </c>
      <c r="H52" s="22" t="s">
        <v>336</v>
      </c>
      <c r="I52" s="13">
        <v>42680.419062499997</v>
      </c>
      <c r="J52" s="7">
        <v>0</v>
      </c>
      <c r="K52" s="112" t="str">
        <f t="shared" si="0"/>
        <v>4007/4008</v>
      </c>
      <c r="L52" s="22" t="str">
        <f>VLOOKUP(A52,'Trips&amp;Operators'!$C$1:$E$10000,3,FALSE)</f>
        <v>ISHMAEL</v>
      </c>
      <c r="M52" s="6">
        <f t="shared" si="1"/>
        <v>2.5763888887013309E-2</v>
      </c>
      <c r="N52" s="7">
        <f t="shared" si="2"/>
        <v>37.099999997299165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08:16:55-0600',mode:absolute,to:'2016-11-06 11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2" s="52" t="str">
        <f t="shared" si="6"/>
        <v>N</v>
      </c>
      <c r="X52" s="177">
        <f t="shared" si="19"/>
        <v>1</v>
      </c>
      <c r="Y52" s="67">
        <f t="shared" si="8"/>
        <v>23.2973</v>
      </c>
      <c r="Z52" s="67">
        <f t="shared" si="9"/>
        <v>1.32E-2</v>
      </c>
      <c r="AA52" s="67">
        <f t="shared" si="10"/>
        <v>23.284099999999999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0140-06</v>
      </c>
      <c r="AE52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52" s="88" t="str">
        <f t="shared" si="13"/>
        <v>"C:\Program Files (x86)\AstroGrep\AstroGrep.exe" /spath="%USERPROFILE%\AppData\Local\Temp\OnboardLogs" /stypes="app*4008*20161106*"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140-06 --locoid 4008 --swversion DE.1.0.8.0 --startMP 204:232973 --initTime 2016-11-06T09:16:55 --startdatetime 2016-11-06T09:26:21 --delay 1 --endMP 204:132 --enddatetime 2016-11-06T10:03:27 --enforcementcount 0 &gt;&gt;C:\Users\stu\Documents\GitHub\eaglep3-reporting\EC\2016-11-06-refined-times.txt</v>
      </c>
      <c r="AI5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ID","value":"140-06"},{"id":16,"name":"Locomotive ID","value":"4008"},{"id":130,"name":"Impact","value":""},{"id":150,"name":"Time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475</v>
      </c>
      <c r="B53" s="7">
        <v>4044</v>
      </c>
      <c r="C53" s="22" t="s">
        <v>239</v>
      </c>
      <c r="D53" s="22" t="s">
        <v>642</v>
      </c>
      <c r="E53" s="13">
        <v>42680.360254629632</v>
      </c>
      <c r="F53" s="13">
        <v>42680.364837962959</v>
      </c>
      <c r="G53" s="7">
        <v>1</v>
      </c>
      <c r="H53" s="22" t="s">
        <v>643</v>
      </c>
      <c r="I53" s="13">
        <v>42680.389305555553</v>
      </c>
      <c r="J53" s="7">
        <v>0</v>
      </c>
      <c r="K53" s="112" t="str">
        <f t="shared" si="0"/>
        <v>4043/4044</v>
      </c>
      <c r="L53" s="22" t="str">
        <f>VLOOKUP(A53,'Trips&amp;Operators'!$C$1:$E$10000,3,FALSE)</f>
        <v>KILLION</v>
      </c>
      <c r="M53" s="6">
        <f t="shared" si="1"/>
        <v>2.4467592593282461E-2</v>
      </c>
      <c r="N53" s="7">
        <f t="shared" si="2"/>
        <v>35.233333334326744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07:38:46-0600',mode:absolute,to:'2016-11-06 10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19"/>
        <v>1</v>
      </c>
      <c r="Y53" s="67">
        <f t="shared" si="8"/>
        <v>4.8899999999999999E-2</v>
      </c>
      <c r="Z53" s="67">
        <f t="shared" si="9"/>
        <v>23.328700000000001</v>
      </c>
      <c r="AA53" s="67">
        <f t="shared" si="10"/>
        <v>23.279800000000002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0141-06</v>
      </c>
      <c r="AE53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53" s="88" t="str">
        <f t="shared" si="13"/>
        <v>"C:\Program Files (x86)\AstroGrep\AstroGrep.exe" /spath="%USERPROFILE%\AppData\Local\Temp\OnboardLogs" /stypes="app*4044*20161106*"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141-06 --locoid 4044 --swversion DE.1.0.8.0 --startMP 204:489 --initTime 2016-11-06T08:38:46 --startdatetime 2016-11-06T08:45:22 --delay 1 --endMP 204:233287 --enddatetime 2016-11-06T09:20:36 --enforcementcount 0 &gt;&gt;C:\Users\stu\Documents\GitHub\eaglep3-reporting\EC\2016-11-06-refined-times.txt</v>
      </c>
      <c r="AI5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{"issue":{"subject":"","project_id":79,"tracker_id":40,"status_id":1,"priority_id":2,"assigned_to_id":23,"start_date":"2016-11-06","description":"","custom_fields":[{"id":1,"name":"Subdivision","value":"EC"},{"id":4,"name":"Milepost","value":"23.3287"},{"id":17,"name":"Train ID","value":"141-06"},{"id":16,"name":"Locomotive ID","value":"4044"},{"id":130,"name":"Impact","value":""},{"id":150,"name":"Time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484</v>
      </c>
      <c r="B54" s="7">
        <v>4043</v>
      </c>
      <c r="C54" s="22" t="s">
        <v>239</v>
      </c>
      <c r="D54" s="22" t="s">
        <v>238</v>
      </c>
      <c r="E54" s="13">
        <v>42680.394641203704</v>
      </c>
      <c r="F54" s="13">
        <v>42680.40384259259</v>
      </c>
      <c r="G54" s="7">
        <v>1</v>
      </c>
      <c r="H54" s="22" t="s">
        <v>224</v>
      </c>
      <c r="I54" s="13">
        <v>42680.429247685184</v>
      </c>
      <c r="J54" s="7">
        <v>0</v>
      </c>
      <c r="K54" s="112" t="str">
        <f t="shared" si="0"/>
        <v>4043/4044</v>
      </c>
      <c r="L54" s="22" t="str">
        <f>VLOOKUP(A54,'Trips&amp;Operators'!$C$1:$E$10000,3,FALSE)</f>
        <v>KILLION</v>
      </c>
      <c r="M54" s="6">
        <f t="shared" si="1"/>
        <v>2.5405092594155576E-2</v>
      </c>
      <c r="N54" s="7">
        <f t="shared" si="2"/>
        <v>36.58333333558403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08:28:17-0600',mode:absolute,to:'2016-11-06 11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19"/>
        <v>1</v>
      </c>
      <c r="Y54" s="67">
        <f t="shared" si="8"/>
        <v>23.298100000000002</v>
      </c>
      <c r="Z54" s="67">
        <f t="shared" si="9"/>
        <v>1.5599999999999999E-2</v>
      </c>
      <c r="AA54" s="67">
        <f t="shared" si="10"/>
        <v>23.282500000000002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0142-06</v>
      </c>
      <c r="AE54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54" s="88" t="str">
        <f t="shared" si="13"/>
        <v>"C:\Program Files (x86)\AstroGrep\AstroGrep.exe" /spath="%USERPROFILE%\AppData\Local\Temp\OnboardLogs" /stypes="app*4043*20161106*"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142-06 --locoid 4043 --swversion DE.1.0.8.0 --startMP 204:232981 --initTime 2016-11-06T09:28:17 --startdatetime 2016-11-06T09:41:32 --delay 1 --endMP 204:156 --enddatetime 2016-11-06T10:18:07 --enforcementcount 0 &gt;&gt;C:\Users\stu\Documents\GitHub\eaglep3-reporting\EC\2016-11-06-refined-times.txt</v>
      </c>
      <c r="AI5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ID","value":"142-06"},{"id":16,"name":"Locomotive ID","value":"4043"},{"id":130,"name":"Impact","value":""},{"id":150,"name":"Time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477</v>
      </c>
      <c r="B55" s="7">
        <v>4009</v>
      </c>
      <c r="C55" s="22" t="s">
        <v>239</v>
      </c>
      <c r="D55" s="22" t="s">
        <v>313</v>
      </c>
      <c r="E55" s="13">
        <v>42680.374803240738</v>
      </c>
      <c r="F55" s="13">
        <v>42680.37605324074</v>
      </c>
      <c r="G55" s="7">
        <v>1</v>
      </c>
      <c r="H55" s="22" t="s">
        <v>644</v>
      </c>
      <c r="I55" s="13">
        <v>42680.39916666667</v>
      </c>
      <c r="J55" s="7">
        <v>0</v>
      </c>
      <c r="K55" s="112" t="str">
        <f t="shared" si="0"/>
        <v>4009/4010</v>
      </c>
      <c r="L55" s="22" t="str">
        <f>VLOOKUP(A55,'Trips&amp;Operators'!$C$1:$E$10000,3,FALSE)</f>
        <v>YORK</v>
      </c>
      <c r="M55" s="6">
        <f t="shared" si="1"/>
        <v>2.3113425930205267E-2</v>
      </c>
      <c r="N55" s="7">
        <f t="shared" si="2"/>
        <v>33.283333339495584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07:59:43-0600',mode:absolute,to:'2016-11-06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7">
        <f t="shared" si="19"/>
        <v>1</v>
      </c>
      <c r="Y55" s="67">
        <f t="shared" si="8"/>
        <v>4.6899999999999997E-2</v>
      </c>
      <c r="Z55" s="67">
        <f t="shared" si="9"/>
        <v>23.3276</v>
      </c>
      <c r="AA55" s="67">
        <f t="shared" si="10"/>
        <v>23.2807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0143-06</v>
      </c>
      <c r="AE55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55" s="88" t="str">
        <f t="shared" si="13"/>
        <v>"C:\Program Files (x86)\AstroGrep\AstroGrep.exe" /spath="%USERPROFILE%\AppData\Local\Temp\OnboardLogs" /stypes="app*4009*20161106*"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143-06 --locoid 4009 --swversion DE.1.0.8.0 --startMP 204:469 --initTime 2016-11-06T08:59:43 --startdatetime 2016-11-06T09:01:31 --delay 1 --endMP 204:233276 --enddatetime 2016-11-06T09:34:48 --enforcementcount 0 &gt;&gt;C:\Users\stu\Documents\GitHub\eaglep3-reporting\EC\2016-11-06-refined-times.txt</v>
      </c>
      <c r="AI5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{"issue":{"subject":"","project_id":79,"tracker_id":40,"status_id":1,"priority_id":2,"assigned_to_id":23,"start_date":"2016-11-06","description":"","custom_fields":[{"id":1,"name":"Subdivision","value":"EC"},{"id":4,"name":"Milepost","value":"23.3276"},{"id":17,"name":"Train ID","value":"143-06"},{"id":16,"name":"Locomotive ID","value":"4009"},{"id":130,"name":"Impact","value":""},{"id":150,"name":"Time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485</v>
      </c>
      <c r="B56" s="7">
        <v>4010</v>
      </c>
      <c r="C56" s="22" t="s">
        <v>239</v>
      </c>
      <c r="D56" s="22" t="s">
        <v>222</v>
      </c>
      <c r="E56" s="13">
        <v>42680.400358796294</v>
      </c>
      <c r="F56" s="13">
        <v>42680.414039351854</v>
      </c>
      <c r="G56" s="7">
        <v>1</v>
      </c>
      <c r="H56" s="22" t="s">
        <v>645</v>
      </c>
      <c r="I56" s="13">
        <v>42680.439444444448</v>
      </c>
      <c r="J56" s="7">
        <v>0</v>
      </c>
      <c r="K56" s="112" t="str">
        <f t="shared" si="0"/>
        <v>4009/4010</v>
      </c>
      <c r="L56" s="22" t="str">
        <f>VLOOKUP(A56,'Trips&amp;Operators'!$C$1:$E$10000,3,FALSE)</f>
        <v>YORK</v>
      </c>
      <c r="M56" s="6">
        <f t="shared" si="1"/>
        <v>2.5405092594155576E-2</v>
      </c>
      <c r="N56" s="7">
        <f t="shared" si="2"/>
        <v>36.58333333558403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08:36:31-0600',mode:absolute,to:'2016-11-06 11:32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7">
        <f t="shared" si="19"/>
        <v>1</v>
      </c>
      <c r="Y56" s="67">
        <f t="shared" si="8"/>
        <v>23.297699999999999</v>
      </c>
      <c r="Z56" s="67">
        <f t="shared" si="9"/>
        <v>1.67E-2</v>
      </c>
      <c r="AA56" s="67">
        <f t="shared" si="10"/>
        <v>23.280999999999999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0144-06</v>
      </c>
      <c r="AE56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56" s="88" t="str">
        <f t="shared" si="13"/>
        <v>"C:\Program Files (x86)\AstroGrep\AstroGrep.exe" /spath="%USERPROFILE%\AppData\Local\Temp\OnboardLogs" /stypes="app*4010*20161106*"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144-06 --locoid 4010 --swversion DE.1.0.8.0 --startMP 204:232977 --initTime 2016-11-06T09:36:31 --startdatetime 2016-11-06T09:56:13 --delay 1 --endMP 204:167 --enddatetime 2016-11-06T10:32:48 --enforcementcount 0 &gt;&gt;C:\Users\stu\Documents\GitHub\eaglep3-reporting\EC\2016-11-06-refined-times.txt</v>
      </c>
      <c r="AI5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ID","value":"144-06"},{"id":16,"name":"Locomotive ID","value":"4010"},{"id":130,"name":"Impact","value":""},{"id":150,"name":"Time of Event (Mountain Time)","value":"10:32:48"},{"id":151,"name":"Denver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478</v>
      </c>
      <c r="B57" s="7">
        <v>4046</v>
      </c>
      <c r="C57" s="22" t="s">
        <v>239</v>
      </c>
      <c r="D57" s="22" t="s">
        <v>207</v>
      </c>
      <c r="E57" s="13">
        <v>42680.379155092596</v>
      </c>
      <c r="F57" s="13">
        <v>42680.38559027778</v>
      </c>
      <c r="G57" s="7">
        <v>1</v>
      </c>
      <c r="H57" s="22" t="s">
        <v>315</v>
      </c>
      <c r="I57" s="13">
        <v>42680.410034722219</v>
      </c>
      <c r="J57" s="7">
        <v>0</v>
      </c>
      <c r="K57" s="112" t="str">
        <f t="shared" si="0"/>
        <v>4045/4046</v>
      </c>
      <c r="L57" s="22" t="str">
        <f>VLOOKUP(A57,'Trips&amp;Operators'!$C$1:$E$10000,3,FALSE)</f>
        <v>ACKERMAN</v>
      </c>
      <c r="M57" s="6">
        <f t="shared" si="1"/>
        <v>2.4444444439723156E-2</v>
      </c>
      <c r="N57" s="7">
        <f t="shared" si="2"/>
        <v>35.199999993201345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08:05:59-0600',mode:absolute,to:'2016-11-06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7" s="52" t="str">
        <f t="shared" si="6"/>
        <v>N</v>
      </c>
      <c r="X57" s="177">
        <f t="shared" si="19"/>
        <v>1</v>
      </c>
      <c r="Y57" s="67">
        <f t="shared" si="8"/>
        <v>4.4699999999999997E-2</v>
      </c>
      <c r="Z57" s="67">
        <f t="shared" si="9"/>
        <v>23.3306</v>
      </c>
      <c r="AA57" s="67">
        <f t="shared" si="10"/>
        <v>23.285900000000002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0145-06</v>
      </c>
      <c r="AE57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57" s="88" t="str">
        <f t="shared" si="13"/>
        <v>"C:\Program Files (x86)\AstroGrep\AstroGrep.exe" /spath="%USERPROFILE%\AppData\Local\Temp\OnboardLogs" /stypes="app*4046*20161106*"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145-06 --locoid 4046 --swversion DE.1.0.8.0 --startMP 204:447 --initTime 2016-11-06T09:05:59 --startdatetime 2016-11-06T09:15:15 --delay 1 --endMP 204:233306 --enddatetime 2016-11-06T09:50:27 --enforcementcount 0 &gt;&gt;C:\Users\stu\Documents\GitHub\eaglep3-reporting\EC\2016-11-06-refined-times.txt</v>
      </c>
      <c r="AI5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ID","value":"145-06"},{"id":16,"name":"Locomotive ID","value":"4046"},{"id":130,"name":"Impact","value":""},{"id":150,"name":"Time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405</v>
      </c>
      <c r="B58" s="7">
        <v>4045</v>
      </c>
      <c r="C58" s="22" t="s">
        <v>239</v>
      </c>
      <c r="D58" s="22" t="s">
        <v>222</v>
      </c>
      <c r="E58" s="13">
        <v>42680.41883101852</v>
      </c>
      <c r="F58" s="13">
        <v>42680.424479166664</v>
      </c>
      <c r="G58" s="7">
        <v>1</v>
      </c>
      <c r="H58" s="22" t="s">
        <v>645</v>
      </c>
      <c r="I58" s="13">
        <v>42680.450856481482</v>
      </c>
      <c r="J58" s="7">
        <v>0</v>
      </c>
      <c r="K58" s="112" t="str">
        <f t="shared" si="0"/>
        <v>4045/4046</v>
      </c>
      <c r="L58" s="22" t="str">
        <f>VLOOKUP(A58,'Trips&amp;Operators'!$C$1:$E$10000,3,FALSE)</f>
        <v>ACKERMAN</v>
      </c>
      <c r="M58" s="6">
        <f t="shared" si="1"/>
        <v>2.6377314818091691E-2</v>
      </c>
      <c r="N58" s="7">
        <f t="shared" si="2"/>
        <v>37.983333338052034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09:03:07-0600',mode:absolute,to:'2016-11-06 11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8" s="52" t="str">
        <f t="shared" si="6"/>
        <v>N</v>
      </c>
      <c r="X58" s="177">
        <f t="shared" si="19"/>
        <v>1</v>
      </c>
      <c r="Y58" s="67">
        <f t="shared" si="8"/>
        <v>23.297699999999999</v>
      </c>
      <c r="Z58" s="67">
        <f t="shared" si="9"/>
        <v>1.67E-2</v>
      </c>
      <c r="AA58" s="67">
        <f t="shared" si="10"/>
        <v>23.280999999999999</v>
      </c>
      <c r="AB58" s="64" t="str">
        <f>VLOOKUP(A58,Enforcements!$C$7:$K$21,8,0)</f>
        <v>Form based authority (4)</v>
      </c>
      <c r="AC58" s="60" t="str">
        <f>VLOOKUP(A58,Enforcements!$C$7:$E$21,3,0)</f>
        <v>TRACK WARRANT AUTHORITY</v>
      </c>
      <c r="AD58" s="61" t="str">
        <f t="shared" si="11"/>
        <v>0146-06</v>
      </c>
      <c r="AE58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58" s="88" t="str">
        <f t="shared" si="13"/>
        <v>"C:\Program Files (x86)\AstroGrep\AstroGrep.exe" /spath="%USERPROFILE%\AppData\Local\Temp\OnboardLogs" /stypes="app*4045*20161106*"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146-06 --locoid 4045 --swversion DE.1.0.8.0 --startMP 204:232977 --initTime 2016-11-06T10:03:07 --startdatetime 2016-11-06T10:11:15 --delay 1 --endMP 204:167 --enddatetime 2016-11-06T10:49:14 --enforcementcount 0 &gt;&gt;C:\Users\stu\Documents\GitHub\eaglep3-reporting\EC\2016-11-06-refined-times.txt</v>
      </c>
      <c r="AI5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ID","value":"146-06"},{"id":16,"name":"Locomotive ID","value":"4045"},{"id":130,"name":"Impact","value":""},{"id":150,"name":"Time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483</v>
      </c>
      <c r="B59" s="7">
        <v>4042</v>
      </c>
      <c r="C59" s="22" t="s">
        <v>239</v>
      </c>
      <c r="D59" s="22" t="s">
        <v>254</v>
      </c>
      <c r="E59" s="13">
        <v>42680.390381944446</v>
      </c>
      <c r="F59" s="13">
        <v>42680.396261574075</v>
      </c>
      <c r="G59" s="7">
        <v>1</v>
      </c>
      <c r="H59" s="22" t="s">
        <v>338</v>
      </c>
      <c r="I59" s="13">
        <v>42680.420590277776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MAELZER</v>
      </c>
      <c r="M59" s="6">
        <f t="shared" si="1"/>
        <v>2.4328703701030463E-2</v>
      </c>
      <c r="N59" s="7">
        <f t="shared" si="2"/>
        <v>35.033333329483867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08:22:09-0600',mode:absolute,to:'2016-11-06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7">
        <f t="shared" si="19"/>
        <v>1</v>
      </c>
      <c r="Y59" s="67">
        <f t="shared" si="8"/>
        <v>4.4400000000000002E-2</v>
      </c>
      <c r="Z59" s="67">
        <f t="shared" si="9"/>
        <v>23.330500000000001</v>
      </c>
      <c r="AA59" s="67">
        <f t="shared" si="10"/>
        <v>23.286100000000001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0147-06</v>
      </c>
      <c r="AE59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59" s="88" t="str">
        <f t="shared" si="13"/>
        <v>"C:\Program Files (x86)\AstroGrep\AstroGrep.exe" /spath="%USERPROFILE%\AppData\Local\Temp\OnboardLogs" /stypes="app*4042*20161106*"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147-06 --locoid 4042 --swversion DE.1.0.8.0 --startMP 204:444 --initTime 2016-11-06T09:22:09 --startdatetime 2016-11-06T09:30:37 --delay 1 --endMP 204:233305 --enddatetime 2016-11-06T10:05:39 --enforcementcount 0 &gt;&gt;C:\Users\stu\Documents\GitHub\eaglep3-reporting\EC\2016-11-06-refined-times.txt</v>
      </c>
      <c r="AI5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ID","value":"147-06"},{"id":16,"name":"Locomotive ID","value":"4042"},{"id":130,"name":"Impact","value":""},{"id":150,"name":"Time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489</v>
      </c>
      <c r="B60" s="7">
        <v>4041</v>
      </c>
      <c r="C60" s="22" t="s">
        <v>239</v>
      </c>
      <c r="D60" s="22" t="s">
        <v>646</v>
      </c>
      <c r="E60" s="13">
        <v>42680.42769675926</v>
      </c>
      <c r="F60" s="13">
        <v>42680.434999999998</v>
      </c>
      <c r="G60" s="7">
        <v>1</v>
      </c>
      <c r="H60" s="22" t="s">
        <v>228</v>
      </c>
      <c r="I60" s="13">
        <v>42680.460300925923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MAELZER</v>
      </c>
      <c r="M60" s="6">
        <f t="shared" si="1"/>
        <v>2.5300925924966577E-2</v>
      </c>
      <c r="N60" s="7">
        <f t="shared" si="2"/>
        <v>36.433333331951872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09:15:53-0600',mode:absolute,to:'2016-11-06 12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7">
        <f t="shared" si="19"/>
        <v>1</v>
      </c>
      <c r="Y60" s="67">
        <f t="shared" si="8"/>
        <v>23.298999999999999</v>
      </c>
      <c r="Z60" s="67">
        <f t="shared" si="9"/>
        <v>1.38E-2</v>
      </c>
      <c r="AA60" s="67">
        <f t="shared" si="10"/>
        <v>23.2852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0148-06</v>
      </c>
      <c r="AE60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60" s="88" t="str">
        <f t="shared" si="13"/>
        <v>"C:\Program Files (x86)\AstroGrep\AstroGrep.exe" /spath="%USERPROFILE%\AppData\Local\Temp\OnboardLogs" /stypes="app*4041*20161106*"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148-06 --locoid 4041 --swversion DE.1.0.8.0 --startMP 204:232990 --initTime 2016-11-06T10:15:53 --startdatetime 2016-11-06T10:26:24 --delay 1 --endMP 204:138 --enddatetime 2016-11-06T11:02:50 --enforcementcount 0 &gt;&gt;C:\Users\stu\Documents\GitHub\eaglep3-reporting\EC\2016-11-06-refined-times.txt</v>
      </c>
      <c r="AI6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ID","value":"148-06"},{"id":16,"name":"Locomotive ID","value":"4041"},{"id":130,"name":"Impact","value":""},{"id":150,"name":"Time of Event (Mountain Time)","value":"11:02:50"},{"id":151,"name":"Denver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486</v>
      </c>
      <c r="B61" s="7">
        <v>4011</v>
      </c>
      <c r="C61" s="22" t="s">
        <v>239</v>
      </c>
      <c r="D61" s="22" t="s">
        <v>647</v>
      </c>
      <c r="E61" s="13">
        <v>42680.402071759258</v>
      </c>
      <c r="F61" s="13">
        <v>42680.406469907408</v>
      </c>
      <c r="G61" s="7">
        <v>1</v>
      </c>
      <c r="H61" s="22" t="s">
        <v>648</v>
      </c>
      <c r="I61" s="13">
        <v>42680.432719907411</v>
      </c>
      <c r="J61" s="7">
        <v>0</v>
      </c>
      <c r="K61" s="112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2.6250000002619345E-2</v>
      </c>
      <c r="N61" s="7">
        <f t="shared" si="2"/>
        <v>37.800000003771856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08:38:59-0600',mode:absolute,to:'2016-11-06 11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19"/>
        <v>1</v>
      </c>
      <c r="Y61" s="67">
        <f t="shared" si="8"/>
        <v>4.2000000000000003E-2</v>
      </c>
      <c r="Z61" s="67">
        <f t="shared" si="9"/>
        <v>23.331700000000001</v>
      </c>
      <c r="AA61" s="67">
        <f t="shared" si="10"/>
        <v>23.2897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0149-06</v>
      </c>
      <c r="AE61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61" s="88" t="str">
        <f t="shared" si="13"/>
        <v>"C:\Program Files (x86)\AstroGrep\AstroGrep.exe" /spath="%USERPROFILE%\AppData\Local\Temp\OnboardLogs" /stypes="app*4011*20161106*"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149-06 --locoid 4011 --swversion DE.1.0.8.0 --startMP 204:420 --initTime 2016-11-06T09:38:59 --startdatetime 2016-11-06T09:45:19 --delay 1 --endMP 204:233317 --enddatetime 2016-11-06T10:23:07 --enforcementcount 0 &gt;&gt;C:\Users\stu\Documents\GitHub\eaglep3-reporting\EC\2016-11-06-refined-times.txt</v>
      </c>
      <c r="AI6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ID","value":"149-06"},{"id":16,"name":"Locomotive ID","value":"4011"},{"id":130,"name":"Impact","value":""},{"id":150,"name":"Time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493</v>
      </c>
      <c r="B62" s="7">
        <v>4012</v>
      </c>
      <c r="C62" s="22" t="s">
        <v>239</v>
      </c>
      <c r="D62" s="22" t="s">
        <v>333</v>
      </c>
      <c r="E62" s="13">
        <v>42680.439814814818</v>
      </c>
      <c r="F62" s="13">
        <v>42680.445300925923</v>
      </c>
      <c r="G62" s="7">
        <v>0</v>
      </c>
      <c r="H62" s="22" t="s">
        <v>204</v>
      </c>
      <c r="I62" s="13">
        <v>42680.47246527778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2.7164351857209112E-2</v>
      </c>
      <c r="N62" s="7">
        <f t="shared" si="2"/>
        <v>39.116666674381122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09:33:20-0600',mode:absolute,to:'2016-11-06 12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19"/>
        <v>1</v>
      </c>
      <c r="Y62" s="67">
        <f t="shared" si="8"/>
        <v>23.2989</v>
      </c>
      <c r="Z62" s="67">
        <f t="shared" si="9"/>
        <v>1.4500000000000001E-2</v>
      </c>
      <c r="AA62" s="67">
        <f t="shared" si="10"/>
        <v>23.284399999999998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0150-06</v>
      </c>
      <c r="AE62" s="91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62" s="88" t="str">
        <f t="shared" si="13"/>
        <v>"C:\Program Files (x86)\AstroGrep\AstroGrep.exe" /spath="%USERPROFILE%\AppData\Local\Temp\OnboardLogs" /stypes="app*4012*20161106*"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150-06 --locoid 4012 --swversion DE.1.0.8.0 --startMP 204:232989 --initTime 2016-11-06T10:33:20 --startdatetime 2016-11-06T10:41:14 --delay 0 --endMP 204:145 --enddatetime 2016-11-06T11:20:21 --enforcementcount 0 &gt;&gt;C:\Users\stu\Documents\GitHub\eaglep3-reporting\EC\2016-11-06-refined-times.txt</v>
      </c>
      <c r="AI6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ID","value":"150-06"},{"id":16,"name":"Locomotive ID","value":"4012"},{"id":130,"name":"Impact","value":""},{"id":150,"name":"Time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487</v>
      </c>
      <c r="B63" s="7">
        <v>4040</v>
      </c>
      <c r="C63" s="22" t="s">
        <v>239</v>
      </c>
      <c r="D63" s="22" t="s">
        <v>210</v>
      </c>
      <c r="E63" s="13">
        <v>42680.415636574071</v>
      </c>
      <c r="F63" s="13">
        <v>42680.417002314818</v>
      </c>
      <c r="G63" s="7">
        <v>1</v>
      </c>
      <c r="H63" s="22" t="s">
        <v>252</v>
      </c>
      <c r="I63" s="13">
        <v>42680.441365740742</v>
      </c>
      <c r="J63" s="7">
        <v>0</v>
      </c>
      <c r="K63" s="112" t="str">
        <f t="shared" si="0"/>
        <v>4039/4040</v>
      </c>
      <c r="L63" s="22" t="str">
        <f>VLOOKUP(A63,'Trips&amp;Operators'!$C$1:$E$10000,3,FALSE)</f>
        <v>MALAVE</v>
      </c>
      <c r="M63" s="6">
        <f t="shared" si="1"/>
        <v>2.4363425924093463E-2</v>
      </c>
      <c r="N63" s="7">
        <f t="shared" si="2"/>
        <v>35.083333330694586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08:58:31-0600',mode:absolute,to:'2016-11-06 11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2" t="str">
        <f t="shared" si="6"/>
        <v>N</v>
      </c>
      <c r="X63" s="177">
        <f t="shared" si="19"/>
        <v>1</v>
      </c>
      <c r="Y63" s="67">
        <f t="shared" si="8"/>
        <v>4.6600000000000003E-2</v>
      </c>
      <c r="Z63" s="67">
        <f t="shared" si="9"/>
        <v>23.328900000000001</v>
      </c>
      <c r="AA63" s="67">
        <f t="shared" si="10"/>
        <v>23.282299999999999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0151-06</v>
      </c>
      <c r="AE63" s="91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63" s="88" t="str">
        <f t="shared" si="13"/>
        <v>"C:\Program Files (x86)\AstroGrep\AstroGrep.exe" /spath="%USERPROFILE%\AppData\Local\Temp\OnboardLogs" /stypes="app*4040*20161106*"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151-06 --locoid 4040 --swversion DE.1.0.8.0 --startMP 204:466 --initTime 2016-11-06T09:58:31 --startdatetime 2016-11-06T10:00:29 --delay 1 --endMP 204:233289 --enddatetime 2016-11-06T10:35:34 --enforcementcount 0 &gt;&gt;C:\Users\stu\Documents\GitHub\eaglep3-reporting\EC\2016-11-06-refined-times.txt</v>
      </c>
      <c r="AI6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ID","value":"151-06"},{"id":16,"name":"Locomotive ID","value":"4040"},{"id":130,"name":"Impact","value":""},{"id":150,"name":"Time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406</v>
      </c>
      <c r="B64" s="7">
        <v>4039</v>
      </c>
      <c r="C64" s="22" t="s">
        <v>239</v>
      </c>
      <c r="D64" s="22" t="s">
        <v>277</v>
      </c>
      <c r="E64" s="13">
        <v>42680.453981481478</v>
      </c>
      <c r="F64" s="13">
        <v>42680.455775462964</v>
      </c>
      <c r="G64" s="7">
        <v>1</v>
      </c>
      <c r="H64" s="22" t="s">
        <v>649</v>
      </c>
      <c r="I64" s="13">
        <v>42680.48133101852</v>
      </c>
      <c r="J64" s="7">
        <v>0</v>
      </c>
      <c r="K64" s="112" t="str">
        <f t="shared" si="0"/>
        <v>4039/4040</v>
      </c>
      <c r="L64" s="22" t="str">
        <f>VLOOKUP(A64,'Trips&amp;Operators'!$C$1:$E$10000,3,FALSE)</f>
        <v>MALAVE</v>
      </c>
      <c r="M64" s="6">
        <f t="shared" si="1"/>
        <v>2.5555555555911269E-2</v>
      </c>
      <c r="N64" s="7">
        <f t="shared" si="2"/>
        <v>36.800000000512227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2" t="str">
        <f t="shared" si="6"/>
        <v>N</v>
      </c>
      <c r="X64" s="177">
        <f t="shared" si="19"/>
        <v>1</v>
      </c>
      <c r="Y64" s="67">
        <f t="shared" si="8"/>
        <v>23.2971</v>
      </c>
      <c r="Z64" s="67">
        <f t="shared" si="9"/>
        <v>2.3099999999999999E-2</v>
      </c>
      <c r="AA64" s="67">
        <f t="shared" si="10"/>
        <v>23.274000000000001</v>
      </c>
      <c r="AB64" s="64" t="str">
        <f>VLOOKUP(A64,Enforcements!$C$7:$K$21,8,0)</f>
        <v>Signal based authority (5)</v>
      </c>
      <c r="AC64" s="60" t="str">
        <f>VLOOKUP(A64,Enforcements!$C$7:$E$21,3,0)</f>
        <v>SIGNAL</v>
      </c>
      <c r="AD64" s="61" t="str">
        <f t="shared" si="11"/>
        <v>0152-06</v>
      </c>
      <c r="AE64" s="91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64" s="88" t="str">
        <f t="shared" si="13"/>
        <v>"C:\Program Files (x86)\AstroGrep\AstroGrep.exe" /spath="%USERPROFILE%\AppData\Local\Temp\OnboardLogs" /stypes="app*4039*20161106*"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152-06 --locoid 4039 --swversion DE.1.0.8.0 --startMP 204:232971 --initTime 2016-11-06T10:53:44 --startdatetime 2016-11-06T10:56:19 --delay 1 --endMP 204:231 --enddatetime 2016-11-06T11:33:07 --enforcementcount 0 &gt;&gt;C:\Users\stu\Documents\GitHub\eaglep3-reporting\EC\2016-11-06-refined-times.txt</v>
      </c>
      <c r="AI6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{"issue":{"subject":"","project_id":79,"tracker_id":40,"status_id":1,"priority_id":2,"assigned_to_id":23,"start_date":"2016-11-06","description":"","custom_fields":[{"id":1,"name":"Subdivision","value":"EC"},{"id":4,"name":"Milepost","value":"0.0231"},{"id":17,"name":"Train ID","value":"152-06"},{"id":16,"name":"Locomotive ID","value":"4039"},{"id":130,"name":"Impact","value":""},{"id":150,"name":"Time of Event (Mountain Time)","value":"11:33:07"},{"id":151,"name":"Denver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488</v>
      </c>
      <c r="B65" s="7">
        <v>4007</v>
      </c>
      <c r="C65" s="22" t="s">
        <v>239</v>
      </c>
      <c r="D65" s="22" t="s">
        <v>229</v>
      </c>
      <c r="E65" s="13">
        <v>42680.420555555553</v>
      </c>
      <c r="F65" s="13">
        <v>42680.427268518521</v>
      </c>
      <c r="G65" s="7">
        <v>1</v>
      </c>
      <c r="H65" s="22" t="s">
        <v>362</v>
      </c>
      <c r="I65" s="13">
        <v>42680.45171296296</v>
      </c>
      <c r="J65" s="7">
        <v>0</v>
      </c>
      <c r="K65" s="112" t="str">
        <f t="shared" si="0"/>
        <v>4007/4008</v>
      </c>
      <c r="L65" s="22" t="str">
        <f>VLOOKUP(A65,'Trips&amp;Operators'!$C$1:$E$10000,3,FALSE)</f>
        <v>ISHMAEL</v>
      </c>
      <c r="M65" s="6">
        <f t="shared" si="1"/>
        <v>2.4444444439723156E-2</v>
      </c>
      <c r="N65" s="7">
        <f t="shared" si="2"/>
        <v>35.199999993201345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09:05:36-0600',mode:absolute,to:'2016-11-06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52" t="str">
        <f t="shared" si="6"/>
        <v>N</v>
      </c>
      <c r="X65" s="177">
        <f t="shared" si="19"/>
        <v>1</v>
      </c>
      <c r="Y65" s="67">
        <f t="shared" si="8"/>
        <v>4.6199999999999998E-2</v>
      </c>
      <c r="Z65" s="67">
        <f t="shared" si="9"/>
        <v>23.331399999999999</v>
      </c>
      <c r="AA65" s="67">
        <f t="shared" si="10"/>
        <v>23.2852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0153-06</v>
      </c>
      <c r="AE65" s="91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65" s="88" t="str">
        <f t="shared" si="13"/>
        <v>"C:\Program Files (x86)\AstroGrep\AstroGrep.exe" /spath="%USERPROFILE%\AppData\Local\Temp\OnboardLogs" /stypes="app*4007*20161106*"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153-06 --locoid 4007 --swversion DE.1.0.8.0 --startMP 204:462 --initTime 2016-11-06T10:05:36 --startdatetime 2016-11-06T10:15:16 --delay 1 --endMP 204:233314 --enddatetime 2016-11-06T10:50:28 --enforcementcount 0 &gt;&gt;C:\Users\stu\Documents\GitHub\eaglep3-reporting\EC\2016-11-06-refined-times.txt</v>
      </c>
      <c r="AI6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ID","value":"153-06"},{"id":16,"name":"Locomotive ID","value":"4007"},{"id":130,"name":"Impact","value":""},{"id":150,"name":"Time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498</v>
      </c>
      <c r="B66" s="7">
        <v>4008</v>
      </c>
      <c r="C66" s="22" t="s">
        <v>239</v>
      </c>
      <c r="D66" s="22" t="s">
        <v>334</v>
      </c>
      <c r="E66" s="13">
        <v>42680.460023148145</v>
      </c>
      <c r="F66" s="13">
        <v>42680.466145833336</v>
      </c>
      <c r="G66" s="7">
        <v>1</v>
      </c>
      <c r="H66" s="22" t="s">
        <v>365</v>
      </c>
      <c r="I66" s="13">
        <v>42680.492002314815</v>
      </c>
      <c r="J66" s="7">
        <v>0</v>
      </c>
      <c r="K66" s="112" t="str">
        <f t="shared" si="0"/>
        <v>4007/4008</v>
      </c>
      <c r="L66" s="22" t="str">
        <f>VLOOKUP(A66,'Trips&amp;Operators'!$C$1:$E$10000,3,FALSE)</f>
        <v>ISHMAEL</v>
      </c>
      <c r="M66" s="6">
        <f t="shared" si="1"/>
        <v>2.5856481479422655E-2</v>
      </c>
      <c r="N66" s="7">
        <f t="shared" si="2"/>
        <v>37.233333330368623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10:02:26-0600',mode:absolute,to:'2016-11-06 12:48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52" t="str">
        <f t="shared" si="6"/>
        <v>N</v>
      </c>
      <c r="X66" s="177">
        <f t="shared" si="19"/>
        <v>1</v>
      </c>
      <c r="Y66" s="67">
        <f t="shared" si="8"/>
        <v>23.299399999999999</v>
      </c>
      <c r="Z66" s="67">
        <f t="shared" si="9"/>
        <v>1.6E-2</v>
      </c>
      <c r="AA66" s="67">
        <f t="shared" si="10"/>
        <v>23.2834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0154-06</v>
      </c>
      <c r="AE66" s="91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66" s="88" t="str">
        <f t="shared" si="13"/>
        <v>"C:\Program Files (x86)\AstroGrep\AstroGrep.exe" /spath="%USERPROFILE%\AppData\Local\Temp\OnboardLogs" /stypes="app*4008*20161106*"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154-06 --locoid 4008 --swversion DE.1.0.8.0 --startMP 204:232994 --initTime 2016-11-06T11:02:26 --startdatetime 2016-11-06T11:11:15 --delay 1 --endMP 204:160 --enddatetime 2016-11-06T11:48:29 --enforcementcount 0 &gt;&gt;C:\Users\stu\Documents\GitHub\eaglep3-reporting\EC\2016-11-06-refined-times.txt</v>
      </c>
      <c r="AI6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ID","value":"154-06"},{"id":16,"name":"Locomotive ID","value":"4008"},{"id":130,"name":"Impact","value":""},{"id":150,"name":"Time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491</v>
      </c>
      <c r="B67" s="7">
        <v>4044</v>
      </c>
      <c r="C67" s="22" t="s">
        <v>239</v>
      </c>
      <c r="D67" s="22" t="s">
        <v>244</v>
      </c>
      <c r="E67" s="13">
        <v>42680.431481481479</v>
      </c>
      <c r="F67" s="13">
        <v>42680.437754629631</v>
      </c>
      <c r="G67" s="7">
        <v>1</v>
      </c>
      <c r="H67" s="22" t="s">
        <v>379</v>
      </c>
      <c r="I67" s="13">
        <v>42680.462789351855</v>
      </c>
      <c r="J67" s="7">
        <v>0</v>
      </c>
      <c r="K67" s="112" t="str">
        <f t="shared" si="0"/>
        <v>4043/4044</v>
      </c>
      <c r="L67" s="22" t="str">
        <f>VLOOKUP(A67,'Trips&amp;Operators'!$C$1:$E$10000,3,FALSE)</f>
        <v>CLARK</v>
      </c>
      <c r="M67" s="6">
        <f t="shared" si="1"/>
        <v>2.5034722224518191E-2</v>
      </c>
      <c r="N67" s="7">
        <f t="shared" si="2"/>
        <v>36.050000003306195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09:21:20-0600',mode:absolute,to:'2016-11-06 12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N</v>
      </c>
      <c r="X67" s="177">
        <f t="shared" si="19"/>
        <v>1</v>
      </c>
      <c r="Y67" s="67">
        <f t="shared" si="8"/>
        <v>4.58E-2</v>
      </c>
      <c r="Z67" s="67">
        <f t="shared" si="9"/>
        <v>23.3307</v>
      </c>
      <c r="AA67" s="67">
        <f t="shared" si="10"/>
        <v>23.2849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0155-06</v>
      </c>
      <c r="AE67" s="91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67" s="88" t="str">
        <f t="shared" si="13"/>
        <v>"C:\Program Files (x86)\AstroGrep\AstroGrep.exe" /spath="%USERPROFILE%\AppData\Local\Temp\OnboardLogs" /stypes="app*4044*20161106*"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155-06 --locoid 4044 --swversion DE.1.0.8.0 --startMP 204:458 --initTime 2016-11-06T10:21:20 --startdatetime 2016-11-06T10:30:22 --delay 1 --endMP 204:233307 --enddatetime 2016-11-06T11:06:25 --enforcementcount 0 &gt;&gt;C:\Users\stu\Documents\GitHub\eaglep3-reporting\EC\2016-11-06-refined-times.txt</v>
      </c>
      <c r="AI67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ID","value":"155-06"},{"id":16,"name":"Locomotive ID","value":"4044"},{"id":130,"name":"Impact","value":""},{"id":150,"name":"Time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502</v>
      </c>
      <c r="B68" s="7">
        <v>4043</v>
      </c>
      <c r="C68" s="22" t="s">
        <v>239</v>
      </c>
      <c r="D68" s="22" t="s">
        <v>646</v>
      </c>
      <c r="E68" s="13">
        <v>42680.471400462964</v>
      </c>
      <c r="F68" s="13">
        <v>42680.4765625</v>
      </c>
      <c r="G68" s="7">
        <v>1</v>
      </c>
      <c r="H68" s="22" t="s">
        <v>311</v>
      </c>
      <c r="I68" s="13">
        <v>42680.503553240742</v>
      </c>
      <c r="J68" s="7">
        <v>0</v>
      </c>
      <c r="K68" s="112" t="str">
        <f t="shared" si="0"/>
        <v>4043/4044</v>
      </c>
      <c r="L68" s="22" t="str">
        <f>VLOOKUP(A68,'Trips&amp;Operators'!$C$1:$E$10000,3,FALSE)</f>
        <v>CLARK</v>
      </c>
      <c r="M68" s="6">
        <f t="shared" si="1"/>
        <v>2.6990740741894115E-2</v>
      </c>
      <c r="N68" s="7">
        <f t="shared" si="2"/>
        <v>38.866666668327525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10:18:49-0600',mode:absolute,to:'2016-11-06 13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19"/>
        <v>1</v>
      </c>
      <c r="Y68" s="67">
        <f t="shared" si="8"/>
        <v>23.298999999999999</v>
      </c>
      <c r="Z68" s="67">
        <f t="shared" si="9"/>
        <v>1.34E-2</v>
      </c>
      <c r="AA68" s="67">
        <f t="shared" si="10"/>
        <v>23.285599999999999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0156-06</v>
      </c>
      <c r="AE68" s="91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68" s="88" t="str">
        <f t="shared" si="13"/>
        <v>"C:\Program Files (x86)\AstroGrep\AstroGrep.exe" /spath="%USERPROFILE%\AppData\Local\Temp\OnboardLogs" /stypes="app*4043*20161106*"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156-06 --locoid 4043 --swversion DE.1.0.8.0 --startMP 204:232990 --initTime 2016-11-06T11:18:49 --startdatetime 2016-11-06T11:26:15 --delay 1 --endMP 204:134 --enddatetime 2016-11-06T12:05:07 --enforcementcount 0 &gt;&gt;C:\Users\stu\Documents\GitHub\eaglep3-reporting\EC\2016-11-06-refined-times.txt</v>
      </c>
      <c r="AI68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{"issue":{"subject":"","project_id":79,"tracker_id":40,"status_id":1,"priority_id":2,"assigned_to_id":23,"start_date":"2016-11-06","description":"","custom_fields":[{"id":1,"name":"Subdivision","value":"EC"},{"id":4,"name":"Milepost","value":"0.0134"},{"id":17,"name":"Train ID","value":"156-06"},{"id":16,"name":"Locomotive ID","value":"4043"},{"id":130,"name":"Impact","value":""},{"id":150,"name":"Time of Event (Mountain Time)","value":"12:05:07"},{"id":151,"name":"Denver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494</v>
      </c>
      <c r="B69" s="7">
        <v>4009</v>
      </c>
      <c r="C69" s="22" t="s">
        <v>239</v>
      </c>
      <c r="D69" s="22" t="s">
        <v>650</v>
      </c>
      <c r="E69" s="13">
        <v>42680.440810185188</v>
      </c>
      <c r="F69" s="13">
        <v>42680.449745370373</v>
      </c>
      <c r="G69" s="7">
        <v>12</v>
      </c>
      <c r="H69" s="22" t="s">
        <v>362</v>
      </c>
      <c r="I69" s="13">
        <v>42680.472777777781</v>
      </c>
      <c r="J69" s="7">
        <v>0</v>
      </c>
      <c r="K69" s="112" t="str">
        <f t="shared" si="0"/>
        <v>4009/4010</v>
      </c>
      <c r="L69" s="22" t="str">
        <f>VLOOKUP(A69,'Trips&amp;Operators'!$C$1:$E$10000,3,FALSE)</f>
        <v>YORK</v>
      </c>
      <c r="M69" s="6">
        <f t="shared" si="1"/>
        <v>2.3032407407299615E-2</v>
      </c>
      <c r="N69" s="7">
        <f t="shared" si="2"/>
        <v>33.166666666511446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09:34:46-0600',mode:absolute,to:'2016-11-06 12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7">
        <f t="shared" si="19"/>
        <v>1</v>
      </c>
      <c r="Y69" s="67">
        <f t="shared" si="8"/>
        <v>8.1600000000000006E-2</v>
      </c>
      <c r="Z69" s="67">
        <f t="shared" si="9"/>
        <v>23.331399999999999</v>
      </c>
      <c r="AA69" s="67">
        <f t="shared" si="10"/>
        <v>23.249799999999997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0157-06</v>
      </c>
      <c r="AE69" s="91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69" s="88" t="str">
        <f t="shared" si="13"/>
        <v>"C:\Program Files (x86)\AstroGrep\AstroGrep.exe" /spath="%USERPROFILE%\AppData\Local\Temp\OnboardLogs" /stypes="app*4009*20161106*"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157-06 --locoid 4009 --swversion DE.1.0.8.0 --startMP 204:816 --initTime 2016-11-06T10:34:46 --startdatetime 2016-11-06T10:47:38 --delay 12 --endMP 204:233314 --enddatetime 2016-11-06T11:20:48 --enforcementcount 0 &gt;&gt;C:\Users\stu\Documents\GitHub\eaglep3-reporting\EC\2016-11-06-refined-times.txt</v>
      </c>
      <c r="AI69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ID","value":"157-06"},{"id":16,"name":"Locomotive ID","value":"4009"},{"id":130,"name":"Impact","value":""},{"id":150,"name":"Time of Event (Mountain Time)","value":"11:20:48"},{"id":151,"name":"Denver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503</v>
      </c>
      <c r="B70" s="7">
        <v>4010</v>
      </c>
      <c r="C70" s="22" t="s">
        <v>239</v>
      </c>
      <c r="D70" s="22" t="s">
        <v>333</v>
      </c>
      <c r="E70" s="13">
        <v>42680.474016203705</v>
      </c>
      <c r="F70" s="13">
        <v>42680.487326388888</v>
      </c>
      <c r="G70" s="7">
        <v>1</v>
      </c>
      <c r="H70" s="22" t="s">
        <v>206</v>
      </c>
      <c r="I70" s="13">
        <v>42680.512187499997</v>
      </c>
      <c r="J70" s="7">
        <v>0</v>
      </c>
      <c r="K70" s="112" t="str">
        <f t="shared" si="0"/>
        <v>4009/4010</v>
      </c>
      <c r="L70" s="22" t="str">
        <f>VLOOKUP(A70,'Trips&amp;Operators'!$C$1:$E$10000,3,FALSE)</f>
        <v>YORK</v>
      </c>
      <c r="M70" s="6">
        <f t="shared" si="1"/>
        <v>2.4861111109203193E-2</v>
      </c>
      <c r="N70" s="7">
        <f t="shared" si="2"/>
        <v>35.799999997252598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10:22:35-0600',mode:absolute,to:'2016-11-06 13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7">
        <f t="shared" si="19"/>
        <v>1</v>
      </c>
      <c r="Y70" s="67">
        <f t="shared" si="8"/>
        <v>23.2989</v>
      </c>
      <c r="Z70" s="67">
        <f t="shared" si="9"/>
        <v>1.43E-2</v>
      </c>
      <c r="AA70" s="67">
        <f t="shared" si="10"/>
        <v>23.284600000000001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0158-06</v>
      </c>
      <c r="AE70" s="91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70" s="88" t="str">
        <f t="shared" si="13"/>
        <v>"C:\Program Files (x86)\AstroGrep\AstroGrep.exe" /spath="%USERPROFILE%\AppData\Local\Temp\OnboardLogs" /stypes="app*4010*20161106*"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158-06 --locoid 4010 --swversion DE.1.0.8.0 --startMP 204:232989 --initTime 2016-11-06T11:22:35 --startdatetime 2016-11-06T11:41:45 --delay 1 --endMP 204:143 --enddatetime 2016-11-06T12:17:33 --enforcementcount 0 &gt;&gt;C:\Users\stu\Documents\GitHub\eaglep3-reporting\EC\2016-11-06-refined-times.txt</v>
      </c>
      <c r="AI70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ID","value":"158-06"},{"id":16,"name":"Locomotive ID","value":"4010"},{"id":130,"name":"Impact","value":""},{"id":150,"name":"Time of Event (Mountain Time)","value":"12:17:33"},{"id":151,"name":"Denver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496</v>
      </c>
      <c r="B71" s="7">
        <v>4046</v>
      </c>
      <c r="C71" s="22" t="s">
        <v>239</v>
      </c>
      <c r="D71" s="22" t="s">
        <v>209</v>
      </c>
      <c r="E71" s="13">
        <v>42680.452881944446</v>
      </c>
      <c r="F71" s="13">
        <v>42680.458587962959</v>
      </c>
      <c r="G71" s="7">
        <v>2</v>
      </c>
      <c r="H71" s="22" t="s">
        <v>338</v>
      </c>
      <c r="I71" s="13">
        <v>42680.482951388891</v>
      </c>
      <c r="J71" s="7">
        <v>0</v>
      </c>
      <c r="K71" s="112" t="str">
        <f t="shared" si="0"/>
        <v>4045/4046</v>
      </c>
      <c r="L71" s="22" t="str">
        <f>VLOOKUP(A71,'Trips&amp;Operators'!$C$1:$E$10000,3,FALSE)</f>
        <v>STEWART</v>
      </c>
      <c r="M71" s="6">
        <f t="shared" si="1"/>
        <v>2.436342593136942E-2</v>
      </c>
      <c r="N71" s="7">
        <f t="shared" si="2"/>
        <v>35.083333341171965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09:52:09-0600',mode:absolute,to:'2016-11-06 12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1" s="52" t="str">
        <f t="shared" si="6"/>
        <v>N</v>
      </c>
      <c r="X71" s="177">
        <f t="shared" si="19"/>
        <v>1</v>
      </c>
      <c r="Y71" s="67">
        <f t="shared" si="8"/>
        <v>4.5499999999999999E-2</v>
      </c>
      <c r="Z71" s="67">
        <f t="shared" si="9"/>
        <v>23.330500000000001</v>
      </c>
      <c r="AA71" s="67">
        <f t="shared" si="10"/>
        <v>23.285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0159-06</v>
      </c>
      <c r="AE71" s="91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71" s="88" t="str">
        <f t="shared" si="13"/>
        <v>"C:\Program Files (x86)\AstroGrep\AstroGrep.exe" /spath="%USERPROFILE%\AppData\Local\Temp\OnboardLogs" /stypes="app*4046*20161106*"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159-06 --locoid 4046 --swversion DE.1.0.8.0 --startMP 204:455 --initTime 2016-11-06T10:52:09 --startdatetime 2016-11-06T11:00:22 --delay 2 --endMP 204:233305 --enddatetime 2016-11-06T11:35:27 --enforcementcount 0 &gt;&gt;C:\Users\stu\Documents\GitHub\eaglep3-reporting\EC\2016-11-06-refined-times.txt</v>
      </c>
      <c r="AI71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ID","value":"159-06"},{"id":16,"name":"Locomotive ID","value":"4046"},{"id":130,"name":"Impact","value":""},{"id":150,"name":"Time of Event (Mountain Time)","value":"11:35:27"},{"id":151,"name":"Denver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4045</v>
      </c>
      <c r="C72" s="22" t="s">
        <v>239</v>
      </c>
      <c r="D72" s="22" t="s">
        <v>651</v>
      </c>
      <c r="E72" s="13">
        <v>42680.494664351849</v>
      </c>
      <c r="F72" s="13">
        <v>42680.497465277775</v>
      </c>
      <c r="G72" s="7">
        <v>1</v>
      </c>
      <c r="H72" s="22" t="s">
        <v>224</v>
      </c>
      <c r="I72" s="13">
        <v>42680.523368055554</v>
      </c>
      <c r="J72" s="7">
        <v>0</v>
      </c>
      <c r="K72" s="112" t="str">
        <f t="shared" si="0"/>
        <v>4045/4046</v>
      </c>
      <c r="L72" s="22" t="str">
        <f>VLOOKUP(A72,'Trips&amp;Operators'!$C$1:$E$10000,3,FALSE)</f>
        <v>STEWART</v>
      </c>
      <c r="M72" s="6">
        <f t="shared" si="1"/>
        <v>2.5902777779265307E-2</v>
      </c>
      <c r="N72" s="7">
        <f t="shared" si="2"/>
        <v>37.300000002142042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10:52:19-0600',mode:absolute,to:'2016-11-06 13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2" s="52" t="str">
        <f t="shared" si="6"/>
        <v>N</v>
      </c>
      <c r="X72" s="177">
        <f t="shared" si="19"/>
        <v>1</v>
      </c>
      <c r="Y72" s="67">
        <f t="shared" si="8"/>
        <v>23.296299999999999</v>
      </c>
      <c r="Z72" s="67">
        <f t="shared" si="9"/>
        <v>1.5599999999999999E-2</v>
      </c>
      <c r="AA72" s="67">
        <f t="shared" si="10"/>
        <v>23.2807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0160-06</v>
      </c>
      <c r="AE72" s="91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72" s="88" t="str">
        <f t="shared" si="13"/>
        <v>"C:\Program Files (x86)\AstroGrep\AstroGrep.exe" /spath="%USERPROFILE%\AppData\Local\Temp\OnboardLogs" /stypes="app*4045*20161106*"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160-06 --locoid 4045 --swversion DE.1.0.8.0 --startMP 204:232963 --initTime 2016-11-06T11:52:19 --startdatetime 2016-11-06T11:56:21 --delay 1 --endMP 204:156 --enddatetime 2016-11-06T12:33:39 --enforcementcount 0 &gt;&gt;C:\Users\stu\Documents\GitHub\eaglep3-reporting\EC\2016-11-06-refined-times.txt</v>
      </c>
      <c r="AI72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ID","value":"160-06"},{"id":16,"name":"Locomotive ID","value":"4045"},{"id":130,"name":"Impact","value":""},{"id":150,"name":"Time of Event (Mountain Time)","value":"12:33:39"},{"id":151,"name":"Denver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499</v>
      </c>
      <c r="B73" s="7">
        <v>4042</v>
      </c>
      <c r="C73" s="22" t="s">
        <v>239</v>
      </c>
      <c r="D73" s="22" t="s">
        <v>652</v>
      </c>
      <c r="E73" s="13">
        <v>42680.462094907409</v>
      </c>
      <c r="F73" s="13">
        <v>42680.468969907408</v>
      </c>
      <c r="G73" s="7">
        <v>1</v>
      </c>
      <c r="H73" s="22" t="s">
        <v>315</v>
      </c>
      <c r="I73" s="13">
        <v>42680.494189814817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BARTLETT</v>
      </c>
      <c r="M73" s="6">
        <f t="shared" si="1"/>
        <v>2.5219907409336884E-2</v>
      </c>
      <c r="N73" s="7">
        <f t="shared" si="2"/>
        <v>36.316666669445112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10:05:25-0600',mode:absolute,to:'2016-11-06 12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7">
        <f t="shared" si="19"/>
        <v>1</v>
      </c>
      <c r="Y73" s="67">
        <f t="shared" si="8"/>
        <v>4.3999999999999997E-2</v>
      </c>
      <c r="Z73" s="67">
        <f t="shared" si="9"/>
        <v>23.3306</v>
      </c>
      <c r="AA73" s="67">
        <f t="shared" si="10"/>
        <v>23.2866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0161-06</v>
      </c>
      <c r="AE73" s="91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73" s="88" t="str">
        <f t="shared" si="13"/>
        <v>"C:\Program Files (x86)\AstroGrep\AstroGrep.exe" /spath="%USERPROFILE%\AppData\Local\Temp\OnboardLogs" /stypes="app*4042*20161106*"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161-06 --locoid 4042 --swversion DE.1.0.8.0 --startMP 204:440 --initTime 2016-11-06T11:05:25 --startdatetime 2016-11-06T11:15:19 --delay 1 --endMP 204:233306 --enddatetime 2016-11-06T11:51:38 --enforcementcount 0 &gt;&gt;C:\Users\stu\Documents\GitHub\eaglep3-reporting\EC\2016-11-06-refined-times.txt</v>
      </c>
      <c r="AI73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ID","value":"161-06"},{"id":16,"name":"Locomotive ID","value":"4042"},{"id":130,"name":"Impact","value":""},{"id":150,"name":"Time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512</v>
      </c>
      <c r="B74" s="7">
        <v>4041</v>
      </c>
      <c r="C74" s="22" t="s">
        <v>239</v>
      </c>
      <c r="D74" s="22" t="s">
        <v>308</v>
      </c>
      <c r="E74" s="13">
        <v>42680.496412037035</v>
      </c>
      <c r="F74" s="13">
        <v>42680.507916666669</v>
      </c>
      <c r="G74" s="7">
        <v>1</v>
      </c>
      <c r="H74" s="22" t="s">
        <v>366</v>
      </c>
      <c r="I74" s="13">
        <v>42680.533761574072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BARTLETT</v>
      </c>
      <c r="M74" s="6">
        <f t="shared" si="1"/>
        <v>2.5844907402643003E-2</v>
      </c>
      <c r="N74" s="7">
        <f t="shared" si="2"/>
        <v>37.216666659805924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10:54:50-0600',mode:absolute,to:'2016-11-06 13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N</v>
      </c>
      <c r="X74" s="177">
        <f t="shared" si="19"/>
        <v>1</v>
      </c>
      <c r="Y74" s="67">
        <f t="shared" si="8"/>
        <v>23.299800000000001</v>
      </c>
      <c r="Z74" s="67">
        <f t="shared" si="9"/>
        <v>1.4999999999999999E-2</v>
      </c>
      <c r="AA74" s="67">
        <f t="shared" si="10"/>
        <v>23.284800000000001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0162-06</v>
      </c>
      <c r="AE74" s="91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74" s="88" t="str">
        <f t="shared" si="13"/>
        <v>"C:\Program Files (x86)\AstroGrep\AstroGrep.exe" /spath="%USERPROFILE%\AppData\Local\Temp\OnboardLogs" /stypes="app*4041*20161106*"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162-06 --locoid 4041 --swversion DE.1.0.8.0 --startMP 204:232998 --initTime 2016-11-06T11:54:50 --startdatetime 2016-11-06T12:11:24 --delay 1 --endMP 204:150 --enddatetime 2016-11-06T12:48:37 --enforcementcount 0 &gt;&gt;C:\Users\stu\Documents\GitHub\eaglep3-reporting\EC\2016-11-06-refined-times.txt</v>
      </c>
      <c r="AI74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ID","value":"162-06"},{"id":16,"name":"Locomotive ID","value":"4041"},{"id":130,"name":"Impact","value":""},{"id":150,"name":"Time of Event (Mountain Time)","value":"12:48:37"},{"id":151,"name":"Denver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504</v>
      </c>
      <c r="B75" s="7">
        <v>4011</v>
      </c>
      <c r="C75" s="22" t="s">
        <v>239</v>
      </c>
      <c r="D75" s="22" t="s">
        <v>244</v>
      </c>
      <c r="E75" s="13">
        <v>42680.475810185184</v>
      </c>
      <c r="F75" s="13">
        <v>42680.479363425926</v>
      </c>
      <c r="G75" s="7">
        <v>1</v>
      </c>
      <c r="H75" s="22" t="s">
        <v>628</v>
      </c>
      <c r="I75" s="13">
        <v>42680.503668981481</v>
      </c>
      <c r="J75" s="7">
        <v>0</v>
      </c>
      <c r="K75" s="112" t="str">
        <f t="shared" si="0"/>
        <v>4011/4012</v>
      </c>
      <c r="L75" s="22" t="str">
        <f>VLOOKUP(A75,'Trips&amp;Operators'!$C$1:$E$10000,3,FALSE)</f>
        <v>BRUDER</v>
      </c>
      <c r="M75" s="6">
        <f t="shared" si="1"/>
        <v>2.4305555554747116E-2</v>
      </c>
      <c r="N75" s="7">
        <f t="shared" si="2"/>
        <v>34.999999998835847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10:25:10-0600',mode:absolute,to:'2016-11-06 13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19"/>
        <v>1</v>
      </c>
      <c r="Y75" s="67">
        <f t="shared" si="8"/>
        <v>4.58E-2</v>
      </c>
      <c r="Z75" s="67">
        <f t="shared" si="9"/>
        <v>23.329899999999999</v>
      </c>
      <c r="AA75" s="67">
        <f t="shared" si="10"/>
        <v>23.284099999999999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0163-06</v>
      </c>
      <c r="AE75" s="91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75" s="88" t="str">
        <f t="shared" si="13"/>
        <v>"C:\Program Files (x86)\AstroGrep\AstroGrep.exe" /spath="%USERPROFILE%\AppData\Local\Temp\OnboardLogs" /stypes="app*4011*20161106*"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163-06 --locoid 4011 --swversion DE.1.0.8.0 --startMP 204:458 --initTime 2016-11-06T11:25:10 --startdatetime 2016-11-06T11:30:17 --delay 1 --endMP 204:233299 --enddatetime 2016-11-06T12:05:17 --enforcementcount 0 &gt;&gt;C:\Users\stu\Documents\GitHub\eaglep3-reporting\EC\2016-11-06-refined-times.txt</v>
      </c>
      <c r="AI75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ID","value":"163-06"},{"id":16,"name":"Locomotive ID","value":"4011"},{"id":130,"name":"Impact","value":""},{"id":150,"name":"Time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513</v>
      </c>
      <c r="B76" s="7">
        <v>4012</v>
      </c>
      <c r="C76" s="22" t="s">
        <v>239</v>
      </c>
      <c r="D76" s="22" t="s">
        <v>259</v>
      </c>
      <c r="E76" s="13">
        <v>42680.510648148149</v>
      </c>
      <c r="F76" s="13">
        <v>42680.518252314818</v>
      </c>
      <c r="G76" s="7">
        <v>1</v>
      </c>
      <c r="H76" s="22" t="s">
        <v>224</v>
      </c>
      <c r="I76" s="13">
        <v>42680.544293981482</v>
      </c>
      <c r="J76" s="7">
        <v>0</v>
      </c>
      <c r="K76" s="112" t="str">
        <f t="shared" ref="K76:K139" si="20">IF(ISEVEN(B76),(B76-1)&amp;"/"&amp;B76,B76&amp;"/"&amp;(B76+1))</f>
        <v>4011/4012</v>
      </c>
      <c r="L76" s="22" t="str">
        <f>VLOOKUP(A76,'Trips&amp;Operators'!$C$1:$E$10000,3,FALSE)</f>
        <v>BRUDER</v>
      </c>
      <c r="M76" s="6">
        <f t="shared" ref="M76:M139" si="21">I76-F76</f>
        <v>2.6041666664241347E-2</v>
      </c>
      <c r="N76" s="7">
        <f t="shared" ref="N76:N139" si="22">24*60*SUM($M76:$M76)</f>
        <v>37.49999999650754</v>
      </c>
      <c r="O76" s="7"/>
      <c r="P76" s="7"/>
      <c r="Q76" s="23"/>
      <c r="R76" s="23"/>
      <c r="S76" s="35">
        <f t="shared" ref="S76:S139" si="23">SUM(U76:U76)/IF(AG76="EC",12,1)</f>
        <v>1</v>
      </c>
      <c r="T76" s="50" t="str">
        <f t="shared" ref="T76:T139" si="24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9" si="25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https://search-rtdc-monitor-bjffxe2xuh6vdkpspy63sjmuny.us-east-1.es.amazonaws.com/_plugin/kibana/#/discover/Steve-Slow-Train-Analysis-(2080s-and-2083s)?_g=(refreshInterval:(display:Off,section:0,value:0),time:(from:'2016-11-06 11:15:20-0600',mode:absolute,to:'2016-11-06 14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ref="W76:W139" si="26">IF(AA76&lt;IF(AG76="EC",23,5.65),"Y","N")</f>
        <v>N</v>
      </c>
      <c r="X76" s="177">
        <f t="shared" ref="X76:X107" si="27">VALUE(LEFT(AD76,4))-VALUE(LEFT(AD75,4))</f>
        <v>1</v>
      </c>
      <c r="Y76" s="67">
        <f t="shared" ref="Y76:Y139" si="28">RIGHT(D76,LEN(D76)-4)/10000</f>
        <v>23.298400000000001</v>
      </c>
      <c r="Z76" s="67">
        <f t="shared" ref="Z76:Z139" si="29">RIGHT(H76,LEN(H76)-4)/10000</f>
        <v>1.5599999999999999E-2</v>
      </c>
      <c r="AA76" s="67">
        <f t="shared" ref="AA76:AA139" si="30">ABS(Z76-Y76)</f>
        <v>23.282800000000002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9" si="31">IF(LEN(A76)=6,"0"&amp;A76,A76)</f>
        <v>0164-06</v>
      </c>
      <c r="AE76" s="91" t="str">
        <f t="shared" ref="AE76:AE139" si="32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76" s="88" t="str">
        <f t="shared" ref="AF76:AF139" si="33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/stypes="app*4012*20161106*" /stext=" 20:.+((SYSTEM_STATE.+slice.+state.+changed )|(ment ac)|(system.+state.+changed )|(\[timeout)|(PRM\|1\|D)|(kpr)|(kdp)|(\|lc)|(penalty))" /e /r /s</v>
      </c>
      <c r="AG76" s="1" t="str">
        <f t="shared" ref="AG76:AG139" si="34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164-06 --locoid 4012 --swversion DE.1.0.8.0 --startMP 204:232984 --initTime 2016-11-06T12:15:20 --startdatetime 2016-11-06T12:26:17 --delay 1 --endMP 204:156 --enddatetime 2016-11-06T13:03:47 --enforcementcount 0 &gt;&gt;C:\Users\stu\Documents\GitHub\eaglep3-reporting\EC\2016-11-06-refined-times.txt</v>
      </c>
      <c r="AI76" s="122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ID","value":"164-06"},{"id":16,"name":"Locomotive ID","value":"4012"},{"id":130,"name":"Impact","value":""},{"id":150,"name":"Time of Event (Mountain Time)","value":"13:03:47"},{"id":151,"name":"Denver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507</v>
      </c>
      <c r="B77" s="7">
        <v>4040</v>
      </c>
      <c r="C77" s="22" t="s">
        <v>239</v>
      </c>
      <c r="D77" s="22" t="s">
        <v>653</v>
      </c>
      <c r="E77" s="13">
        <v>42680.484930555554</v>
      </c>
      <c r="F77" s="13">
        <v>42680.490104166667</v>
      </c>
      <c r="G77" s="7">
        <v>1</v>
      </c>
      <c r="H77" s="22" t="s">
        <v>230</v>
      </c>
      <c r="I77" s="13">
        <v>42680.515092592592</v>
      </c>
      <c r="J77" s="7">
        <v>0</v>
      </c>
      <c r="K77" s="112" t="str">
        <f t="shared" si="20"/>
        <v>4039/4040</v>
      </c>
      <c r="L77" s="22" t="str">
        <f>VLOOKUP(A77,'Trips&amp;Operators'!$C$1:$E$10000,3,FALSE)</f>
        <v>MAHAN</v>
      </c>
      <c r="M77" s="6">
        <f t="shared" si="21"/>
        <v>2.4988425924675539E-2</v>
      </c>
      <c r="N77" s="7">
        <f t="shared" si="22"/>
        <v>35.983333331532776</v>
      </c>
      <c r="O77" s="7"/>
      <c r="P77" s="7"/>
      <c r="Q77" s="23"/>
      <c r="R77" s="23"/>
      <c r="S77" s="35">
        <f t="shared" si="23"/>
        <v>1</v>
      </c>
      <c r="T77" s="50" t="str">
        <f t="shared" si="24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10:38:18-0600',mode:absolute,to:'2016-11-06 13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si="26"/>
        <v>N</v>
      </c>
      <c r="X77" s="177">
        <f t="shared" si="27"/>
        <v>1</v>
      </c>
      <c r="Y77" s="67">
        <f t="shared" si="28"/>
        <v>5.4199999999999998E-2</v>
      </c>
      <c r="Z77" s="67">
        <f t="shared" si="29"/>
        <v>23.3291</v>
      </c>
      <c r="AA77" s="67">
        <f t="shared" si="30"/>
        <v>23.274899999999999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1"/>
        <v>0165-06</v>
      </c>
      <c r="AE77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77" s="88" t="str">
        <f t="shared" si="33"/>
        <v>"C:\Program Files (x86)\AstroGrep\AstroGrep.exe" /spath="%USERPROFILE%\AppData\Local\Temp\OnboardLogs" /stypes="app*4040*20161106*" /stext=" 19:.+((SYSTEM_STATE.+slice.+state.+changed )|(ment ac)|(system.+state.+changed )|(\[timeout)|(PRM\|1\|D)|(kpr)|(kdp)|(\|lc)|(penalty))" /e /r /s</v>
      </c>
      <c r="AG77" s="1" t="str">
        <f t="shared" si="34"/>
        <v>EC</v>
      </c>
      <c r="AH77" s="92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4040 --swversion DE.1.0.8.0 --startMP 204:542 --initTime 2016-11-06T11:38:18 --startdatetime 2016-11-06T11:45:45 --delay 1 --endMP 204:233291 --enddatetime 2016-11-06T12:21:44 --enforcementcount 0 &gt;&gt;C:\Users\stu\Documents\GitHub\eaglep3-reporting\EC\2016-11-06-refined-times.txt</v>
      </c>
      <c r="AI77" s="122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{"issue":{"subject":"","project_id":79,"tracker_id":40,"status_id":1,"priority_id":2,"assigned_to_id":23,"start_date":"2016-11-06","description":"","custom_fields":[{"id":1,"name":"Subdivision","value":"EC"},{"id":4,"name":"Milepost","value":"23.3291"},{"id":17,"name":"Train ID","value":"165-06"},{"id":16,"name":"Locomotive ID","value":"4040"},{"id":130,"name":"Impact","value":""},{"id":150,"name":"Time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408</v>
      </c>
      <c r="B78" s="7">
        <v>4039</v>
      </c>
      <c r="C78" s="22" t="s">
        <v>239</v>
      </c>
      <c r="D78" s="22" t="s">
        <v>654</v>
      </c>
      <c r="E78" s="13">
        <v>42680.522696759261</v>
      </c>
      <c r="F78" s="13">
        <v>42680.528912037036</v>
      </c>
      <c r="G78" s="7">
        <v>1</v>
      </c>
      <c r="H78" s="22" t="s">
        <v>655</v>
      </c>
      <c r="I78" s="13">
        <v>42680.555358796293</v>
      </c>
      <c r="J78" s="7">
        <v>0</v>
      </c>
      <c r="K78" s="112" t="str">
        <f t="shared" si="20"/>
        <v>4039/4040</v>
      </c>
      <c r="L78" s="22" t="str">
        <f>VLOOKUP(A78,'Trips&amp;Operators'!$C$1:$E$10000,3,FALSE)</f>
        <v>MAHAN</v>
      </c>
      <c r="M78" s="6">
        <f t="shared" si="21"/>
        <v>2.6446759256941732E-2</v>
      </c>
      <c r="N78" s="7">
        <f t="shared" si="22"/>
        <v>38.083333329996094</v>
      </c>
      <c r="O78" s="7"/>
      <c r="P78" s="7"/>
      <c r="Q78" s="23"/>
      <c r="R78" s="23"/>
      <c r="S78" s="35">
        <f t="shared" si="23"/>
        <v>1</v>
      </c>
      <c r="T78" s="50" t="str">
        <f t="shared" si="24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11:32:41-0600',mode:absolute,to:'2016-11-06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26"/>
        <v>N</v>
      </c>
      <c r="X78" s="177">
        <f t="shared" si="27"/>
        <v>1</v>
      </c>
      <c r="Y78" s="67">
        <f t="shared" si="28"/>
        <v>23.296600000000002</v>
      </c>
      <c r="Z78" s="67">
        <f t="shared" si="29"/>
        <v>2.47E-2</v>
      </c>
      <c r="AA78" s="67">
        <f t="shared" si="30"/>
        <v>23.271900000000002</v>
      </c>
      <c r="AB78" s="64" t="str">
        <f>VLOOKUP(A78,Enforcements!$C$7:$K$21,8,0)</f>
        <v>Form based authority (4)</v>
      </c>
      <c r="AC78" s="60" t="str">
        <f>VLOOKUP(A78,Enforcements!$C$7:$E$21,3,0)</f>
        <v>TRACK WARRANT AUTHORITY</v>
      </c>
      <c r="AD78" s="61" t="str">
        <f t="shared" si="31"/>
        <v>0166-06</v>
      </c>
      <c r="AE78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78" s="88" t="str">
        <f t="shared" si="33"/>
        <v>"C:\Program Files (x86)\AstroGrep\AstroGrep.exe" /spath="%USERPROFILE%\AppData\Local\Temp\OnboardLogs" /stypes="app*4039*20161106*" /stext=" 20:.+((SYSTEM_STATE.+slice.+state.+changed )|(ment ac)|(system.+state.+changed )|(\[timeout)|(PRM\|1\|D)|(kpr)|(kdp)|(\|lc)|(penalty))" /e /r /s</v>
      </c>
      <c r="AG78" s="1" t="str">
        <f t="shared" si="34"/>
        <v>EC</v>
      </c>
      <c r="AH78" s="92" t="str">
        <f t="shared" si="35"/>
        <v>"%USERPROFILE%\Documents\GitHub\eaglep3\Utilities\RefineRTDCRunTimes.py" --tripid 166-06 --locoid 4039 --swversion DE.1.0.8.0 --startMP 204:232966 --initTime 2016-11-06T12:32:41 --startdatetime 2016-11-06T12:41:38 --delay 1 --endMP 204:247 --enddatetime 2016-11-06T13:19:43 --enforcementcount 0 &gt;&gt;C:\Users\stu\Documents\GitHub\eaglep3-reporting\EC\2016-11-06-refined-times.txt</v>
      </c>
      <c r="AI7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{"issue":{"subject":"","project_id":79,"tracker_id":40,"status_id":1,"priority_id":2,"assigned_to_id":23,"start_date":"2016-11-06","description":"","custom_fields":[{"id":1,"name":"Subdivision","value":"EC"},{"id":4,"name":"Milepost","value":"0.0247"},{"id":17,"name":"Train ID","value":"166-06"},{"id":16,"name":"Locomotive ID","value":"4039"},{"id":130,"name":"Impact","value":""},{"id":150,"name":"Time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510</v>
      </c>
      <c r="B79" s="7">
        <v>4007</v>
      </c>
      <c r="C79" s="22" t="s">
        <v>239</v>
      </c>
      <c r="D79" s="22" t="s">
        <v>213</v>
      </c>
      <c r="E79" s="13">
        <v>42680.495266203703</v>
      </c>
      <c r="F79" s="13">
        <v>42680.500173611108</v>
      </c>
      <c r="G79" s="7">
        <v>2</v>
      </c>
      <c r="H79" s="22" t="s">
        <v>281</v>
      </c>
      <c r="I79" s="13">
        <v>42680.526689814818</v>
      </c>
      <c r="J79" s="7">
        <v>0</v>
      </c>
      <c r="K79" s="112" t="str">
        <f t="shared" si="20"/>
        <v>4007/4008</v>
      </c>
      <c r="L79" s="22" t="str">
        <f>VLOOKUP(A79,'Trips&amp;Operators'!$C$1:$E$10000,3,FALSE)</f>
        <v>YOUNG</v>
      </c>
      <c r="M79" s="6">
        <f t="shared" si="21"/>
        <v>2.6516203710343689E-2</v>
      </c>
      <c r="N79" s="7">
        <f t="shared" si="22"/>
        <v>38.183333342894912</v>
      </c>
      <c r="O79" s="7"/>
      <c r="P79" s="7"/>
      <c r="Q79" s="23"/>
      <c r="R79" s="23"/>
      <c r="S79" s="35">
        <f t="shared" si="23"/>
        <v>1</v>
      </c>
      <c r="T79" s="50" t="str">
        <f t="shared" si="24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10:53:11-0600',mode:absolute,to:'2016-11-06 13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2" t="str">
        <f t="shared" si="26"/>
        <v>N</v>
      </c>
      <c r="X79" s="177">
        <f t="shared" si="27"/>
        <v>1</v>
      </c>
      <c r="Y79" s="67">
        <f t="shared" si="28"/>
        <v>4.5100000000000001E-2</v>
      </c>
      <c r="Z79" s="67">
        <f t="shared" si="29"/>
        <v>23.331199999999999</v>
      </c>
      <c r="AA79" s="67">
        <f t="shared" si="30"/>
        <v>23.286099999999998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1"/>
        <v>0167-06</v>
      </c>
      <c r="AE79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79" s="88" t="str">
        <f t="shared" si="33"/>
        <v>"C:\Program Files (x86)\AstroGrep\AstroGrep.exe" /spath="%USERPROFILE%\AppData\Local\Temp\OnboardLogs" /stypes="app*4007*20161106*"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2" t="str">
        <f t="shared" si="35"/>
        <v>"%USERPROFILE%\Documents\GitHub\eaglep3\Utilities\RefineRTDCRunTimes.py" --tripid 167-06 --locoid 4007 --swversion DE.1.0.8.0 --startMP 204:451 --initTime 2016-11-06T11:53:11 --startdatetime 2016-11-06T12:00:15 --delay 2 --endMP 204:233312 --enddatetime 2016-11-06T12:38:26 --enforcementcount 0 &gt;&gt;C:\Users\stu\Documents\GitHub\eaglep3-reporting\EC\2016-11-06-refined-times.txt</v>
      </c>
      <c r="AI7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ID","value":"167-06"},{"id":16,"name":"Locomotive ID","value":"4007"},{"id":130,"name":"Impact","value":""},{"id":150,"name":"Time of Event (Mountain Time)","value":"12:38:26"},{"id":151,"name":"Denver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518</v>
      </c>
      <c r="B80" s="7">
        <v>4008</v>
      </c>
      <c r="C80" s="22" t="s">
        <v>239</v>
      </c>
      <c r="D80" s="22" t="s">
        <v>308</v>
      </c>
      <c r="E80" s="13">
        <v>42680.531469907408</v>
      </c>
      <c r="F80" s="13">
        <v>42680.539918981478</v>
      </c>
      <c r="G80" s="7">
        <v>1</v>
      </c>
      <c r="H80" s="22" t="s">
        <v>656</v>
      </c>
      <c r="I80" s="13">
        <v>42680.567893518521</v>
      </c>
      <c r="J80" s="7">
        <v>0</v>
      </c>
      <c r="K80" s="112" t="str">
        <f t="shared" si="20"/>
        <v>4007/4008</v>
      </c>
      <c r="L80" s="22" t="str">
        <f>VLOOKUP(A80,'Trips&amp;Operators'!$C$1:$E$10000,3,FALSE)</f>
        <v>YOUNG</v>
      </c>
      <c r="M80" s="6">
        <f t="shared" si="21"/>
        <v>2.7974537042609882E-2</v>
      </c>
      <c r="N80" s="7">
        <f t="shared" si="22"/>
        <v>40.28333334135823</v>
      </c>
      <c r="O80" s="7"/>
      <c r="P80" s="7"/>
      <c r="Q80" s="23"/>
      <c r="R80" s="23"/>
      <c r="S80" s="35">
        <f t="shared" si="23"/>
        <v>1</v>
      </c>
      <c r="T80" s="50" t="str">
        <f t="shared" si="24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11:45:19-0600',mode:absolute,to:'2016-11-06 14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2" t="str">
        <f t="shared" si="26"/>
        <v>N</v>
      </c>
      <c r="X80" s="177">
        <f t="shared" si="27"/>
        <v>1</v>
      </c>
      <c r="Y80" s="67">
        <f t="shared" si="28"/>
        <v>23.299800000000001</v>
      </c>
      <c r="Z80" s="67">
        <f t="shared" si="29"/>
        <v>1.7999999999999999E-2</v>
      </c>
      <c r="AA80" s="67">
        <f t="shared" si="30"/>
        <v>23.2818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1"/>
        <v>0168-06</v>
      </c>
      <c r="AE80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80" s="88" t="str">
        <f t="shared" si="33"/>
        <v>"C:\Program Files (x86)\AstroGrep\AstroGrep.exe" /spath="%USERPROFILE%\AppData\Local\Temp\OnboardLogs" /stypes="app*4008*20161106*" /stext=" 20:.+((SYSTEM_STATE.+slice.+state.+changed )|(ment ac)|(system.+state.+changed )|(\[timeout)|(PRM\|1\|D)|(kpr)|(kdp)|(\|lc)|(penalty))" /e /r /s</v>
      </c>
      <c r="AG80" s="1" t="str">
        <f t="shared" si="34"/>
        <v>EC</v>
      </c>
      <c r="AH80" s="92" t="str">
        <f t="shared" si="35"/>
        <v>"%USERPROFILE%\Documents\GitHub\eaglep3\Utilities\RefineRTDCRunTimes.py" --tripid 168-06 --locoid 4008 --swversion DE.1.0.8.0 --startMP 204:232998 --initTime 2016-11-06T12:45:19 --startdatetime 2016-11-06T12:57:29 --delay 1 --endMP 204:180 --enddatetime 2016-11-06T13:37:46 --enforcementcount 0 &gt;&gt;C:\Users\stu\Documents\GitHub\eaglep3-reporting\EC\2016-11-06-refined-times.txt</v>
      </c>
      <c r="AI8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{"issue":{"subject":"","project_id":79,"tracker_id":40,"status_id":1,"priority_id":2,"assigned_to_id":23,"start_date":"2016-11-06","description":"","custom_fields":[{"id":1,"name":"Subdivision","value":"EC"},{"id":4,"name":"Milepost","value":"0.018"},{"id":17,"name":"Train ID","value":"168-06"},{"id":16,"name":"Locomotive ID","value":"4008"},{"id":130,"name":"Impact","value":""},{"id":150,"name":"Time of Event (Mountain Time)","value":"13:37:46"},{"id":151,"name":"Denver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407</v>
      </c>
      <c r="B81" s="7">
        <v>4044</v>
      </c>
      <c r="C81" s="22" t="s">
        <v>239</v>
      </c>
      <c r="D81" s="22" t="s">
        <v>227</v>
      </c>
      <c r="E81" s="13">
        <v>42680.506111111114</v>
      </c>
      <c r="F81" s="13">
        <v>42680.510682870372</v>
      </c>
      <c r="G81" s="7">
        <v>0</v>
      </c>
      <c r="H81" s="22" t="s">
        <v>657</v>
      </c>
      <c r="I81" s="13">
        <v>42680.535601851851</v>
      </c>
      <c r="J81" s="7">
        <v>0</v>
      </c>
      <c r="K81" s="112" t="str">
        <f t="shared" si="20"/>
        <v>4043/4044</v>
      </c>
      <c r="L81" s="22" t="str">
        <f>VLOOKUP(A81,'Trips&amp;Operators'!$C$1:$E$10000,3,FALSE)</f>
        <v>CLARK</v>
      </c>
      <c r="M81" s="6">
        <f t="shared" si="21"/>
        <v>2.491898147854954E-2</v>
      </c>
      <c r="N81" s="7">
        <f t="shared" si="22"/>
        <v>35.883333329111338</v>
      </c>
      <c r="O81" s="7"/>
      <c r="P81" s="7"/>
      <c r="Q81" s="23"/>
      <c r="R81" s="23"/>
      <c r="S81" s="35">
        <f t="shared" si="23"/>
        <v>1</v>
      </c>
      <c r="T81" s="50" t="str">
        <f t="shared" si="24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11:08:48-0600',mode:absolute,to:'2016-11-06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6"/>
        <v>N</v>
      </c>
      <c r="X81" s="177">
        <f t="shared" si="27"/>
        <v>1</v>
      </c>
      <c r="Y81" s="67">
        <f t="shared" si="28"/>
        <v>4.4900000000000002E-2</v>
      </c>
      <c r="Z81" s="67">
        <f t="shared" si="29"/>
        <v>23.322299999999998</v>
      </c>
      <c r="AA81" s="67">
        <f t="shared" si="30"/>
        <v>23.2774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1"/>
        <v>0169-06</v>
      </c>
      <c r="AE81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81" s="88" t="str">
        <f t="shared" si="33"/>
        <v>"C:\Program Files (x86)\AstroGrep\AstroGrep.exe" /spath="%USERPROFILE%\AppData\Local\Temp\OnboardLogs" /stypes="app*4044*20161106*"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2" t="str">
        <f t="shared" si="35"/>
        <v>"%USERPROFILE%\Documents\GitHub\eaglep3\Utilities\RefineRTDCRunTimes.py" --tripid 169-06 --locoid 4044 --swversion DE.1.0.8.0 --startMP 204:449 --initTime 2016-11-06T12:08:48 --startdatetime 2016-11-06T12:15:23 --delay 0 --endMP 204:233223 --enddatetime 2016-11-06T12:51:16 --enforcementcount 0 &gt;&gt;C:\Users\stu\Documents\GitHub\eaglep3-reporting\EC\2016-11-06-refined-times.txt</v>
      </c>
      <c r="AI8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{"issue":{"subject":"","project_id":79,"tracker_id":40,"status_id":1,"priority_id":2,"assigned_to_id":23,"start_date":"2016-11-06","description":"","custom_fields":[{"id":1,"name":"Subdivision","value":"EC"},{"id":4,"name":"Milepost","value":"23.3223"},{"id":17,"name":"Train ID","value":"169-06"},{"id":16,"name":"Locomotive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520</v>
      </c>
      <c r="B82" s="7">
        <v>4043</v>
      </c>
      <c r="C82" s="22" t="s">
        <v>239</v>
      </c>
      <c r="D82" s="22" t="s">
        <v>658</v>
      </c>
      <c r="E82" s="13">
        <v>42680.544803240744</v>
      </c>
      <c r="F82" s="13">
        <v>42680.549479166664</v>
      </c>
      <c r="G82" s="7">
        <v>1</v>
      </c>
      <c r="H82" s="22" t="s">
        <v>310</v>
      </c>
      <c r="I82" s="13">
        <v>42680.576423611114</v>
      </c>
      <c r="J82" s="7">
        <v>0</v>
      </c>
      <c r="K82" s="112" t="str">
        <f t="shared" si="20"/>
        <v>4043/4044</v>
      </c>
      <c r="L82" s="22" t="str">
        <f>VLOOKUP(A82,'Trips&amp;Operators'!$C$1:$E$10000,3,FALSE)</f>
        <v>CLARK</v>
      </c>
      <c r="M82" s="6">
        <f t="shared" si="21"/>
        <v>2.694444444932742E-2</v>
      </c>
      <c r="N82" s="7">
        <f t="shared" si="22"/>
        <v>38.800000007031485</v>
      </c>
      <c r="O82" s="7"/>
      <c r="P82" s="7"/>
      <c r="Q82" s="23"/>
      <c r="R82" s="23"/>
      <c r="S82" s="35">
        <f t="shared" si="23"/>
        <v>1</v>
      </c>
      <c r="T82" s="50" t="str">
        <f t="shared" si="24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12:04:31-0600',mode:absolute,to:'2016-11-06 14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6"/>
        <v>N</v>
      </c>
      <c r="X82" s="177">
        <f t="shared" si="27"/>
        <v>1</v>
      </c>
      <c r="Y82" s="67">
        <f t="shared" si="28"/>
        <v>23.2925</v>
      </c>
      <c r="Z82" s="67">
        <f t="shared" si="29"/>
        <v>1.2699999999999999E-2</v>
      </c>
      <c r="AA82" s="67">
        <f t="shared" si="30"/>
        <v>23.279800000000002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1"/>
        <v>0170-06</v>
      </c>
      <c r="AE82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82" s="88" t="str">
        <f t="shared" si="33"/>
        <v>"C:\Program Files (x86)\AstroGrep\AstroGrep.exe" /spath="%USERPROFILE%\AppData\Local\Temp\OnboardLogs" /stypes="app*4043*20161106*" /stext=" 20:.+((SYSTEM_STATE.+slice.+state.+changed )|(ment ac)|(system.+state.+changed )|(\[timeout)|(PRM\|1\|D)|(kpr)|(kdp)|(\|lc)|(penalty))" /e /r /s</v>
      </c>
      <c r="AG82" s="1" t="str">
        <f t="shared" si="34"/>
        <v>EC</v>
      </c>
      <c r="AH82" s="92" t="str">
        <f t="shared" si="35"/>
        <v>"%USERPROFILE%\Documents\GitHub\eaglep3\Utilities\RefineRTDCRunTimes.py" --tripid 170-06 --locoid 4043 --swversion DE.1.0.8.0 --startMP 204:232925 --initTime 2016-11-06T13:04:31 --startdatetime 2016-11-06T13:11:15 --delay 1 --endMP 204:127 --enddatetime 2016-11-06T13:50:03 --enforcementcount 0 &gt;&gt;C:\Users\stu\Documents\GitHub\eaglep3-reporting\EC\2016-11-06-refined-times.txt</v>
      </c>
      <c r="AI8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ID","value":"170-06"},{"id":16,"name":"Locomotive ID","value":"4043"},{"id":130,"name":"Impact","value":""},{"id":150,"name":"Time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515</v>
      </c>
      <c r="B83" s="7">
        <v>4009</v>
      </c>
      <c r="C83" s="22" t="s">
        <v>239</v>
      </c>
      <c r="D83" s="22" t="s">
        <v>233</v>
      </c>
      <c r="E83" s="13">
        <v>42680.514733796299</v>
      </c>
      <c r="F83" s="13">
        <v>42680.521215277775</v>
      </c>
      <c r="G83" s="7">
        <v>1</v>
      </c>
      <c r="H83" s="22" t="s">
        <v>659</v>
      </c>
      <c r="I83" s="13">
        <v>42680.546076388891</v>
      </c>
      <c r="J83" s="7">
        <v>0</v>
      </c>
      <c r="K83" s="112" t="str">
        <f t="shared" si="20"/>
        <v>4009/4010</v>
      </c>
      <c r="L83" s="22" t="str">
        <f>VLOOKUP(A83,'Trips&amp;Operators'!$C$1:$E$10000,3,FALSE)</f>
        <v>SHOOK</v>
      </c>
      <c r="M83" s="6">
        <f t="shared" si="21"/>
        <v>2.4861111116479151E-2</v>
      </c>
      <c r="N83" s="7">
        <f t="shared" si="22"/>
        <v>35.800000007729977</v>
      </c>
      <c r="O83" s="7"/>
      <c r="P83" s="7"/>
      <c r="Q83" s="23"/>
      <c r="R83" s="23"/>
      <c r="S83" s="35">
        <f t="shared" si="23"/>
        <v>1</v>
      </c>
      <c r="T83" s="50" t="str">
        <f t="shared" si="24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11:21:13-0600',mode:absolute,to:'2016-11-06 14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6"/>
        <v>N</v>
      </c>
      <c r="X83" s="177">
        <f t="shared" si="27"/>
        <v>1</v>
      </c>
      <c r="Y83" s="67">
        <f t="shared" si="28"/>
        <v>4.5699999999999998E-2</v>
      </c>
      <c r="Z83" s="67">
        <f t="shared" si="29"/>
        <v>23.335899999999999</v>
      </c>
      <c r="AA83" s="67">
        <f t="shared" si="30"/>
        <v>23.290199999999999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1"/>
        <v>0171-06</v>
      </c>
      <c r="AE83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83" s="88" t="str">
        <f t="shared" si="33"/>
        <v>"C:\Program Files (x86)\AstroGrep\AstroGrep.exe" /spath="%USERPROFILE%\AppData\Local\Temp\OnboardLogs" /stypes="app*4009*20161106*" /stext=" 20:.+((SYSTEM_STATE.+slice.+state.+changed )|(ment ac)|(system.+state.+changed )|(\[timeout)|(PRM\|1\|D)|(kpr)|(kdp)|(\|lc)|(penalty))" /e /r /s</v>
      </c>
      <c r="AG83" s="1" t="str">
        <f t="shared" si="34"/>
        <v>EC</v>
      </c>
      <c r="AH83" s="92" t="str">
        <f t="shared" si="35"/>
        <v>"%USERPROFILE%\Documents\GitHub\eaglep3\Utilities\RefineRTDCRunTimes.py" --tripid 171-06 --locoid 4009 --swversion DE.1.0.8.0 --startMP 204:457 --initTime 2016-11-06T12:21:13 --startdatetime 2016-11-06T12:30:33 --delay 1 --endMP 204:233359 --enddatetime 2016-11-06T13:06:21 --enforcementcount 0 &gt;&gt;C:\Users\stu\Documents\GitHub\eaglep3-reporting\EC\2016-11-06-refined-times.txt</v>
      </c>
      <c r="AI8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{"issue":{"subject":"","project_id":79,"tracker_id":40,"status_id":1,"priority_id":2,"assigned_to_id":23,"start_date":"2016-11-06","description":"","custom_fields":[{"id":1,"name":"Subdivision","value":"EC"},{"id":4,"name":"Milepost","value":"23.3359"},{"id":17,"name":"Train ID","value":"171-06"},{"id":16,"name":"Locomotive ID","value":"4009"},{"id":130,"name":"Impact","value":""},{"id":150,"name":"Time of Event (Mountain Time)","value":"13:06:21"},{"id":151,"name":"Denver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522</v>
      </c>
      <c r="B84" s="7">
        <v>4010</v>
      </c>
      <c r="C84" s="22" t="s">
        <v>239</v>
      </c>
      <c r="D84" s="22" t="s">
        <v>373</v>
      </c>
      <c r="E84" s="13">
        <v>42680.554652777777</v>
      </c>
      <c r="F84" s="13">
        <v>42680.559930555559</v>
      </c>
      <c r="G84" s="7">
        <v>1</v>
      </c>
      <c r="H84" s="22" t="s">
        <v>181</v>
      </c>
      <c r="I84" s="13">
        <v>42680.585752314815</v>
      </c>
      <c r="J84" s="7">
        <v>0</v>
      </c>
      <c r="K84" s="112" t="str">
        <f t="shared" si="20"/>
        <v>4009/4010</v>
      </c>
      <c r="L84" s="22" t="str">
        <f>VLOOKUP(A84,'Trips&amp;Operators'!$C$1:$E$10000,3,FALSE)</f>
        <v>SHOOK</v>
      </c>
      <c r="M84" s="6">
        <f t="shared" si="21"/>
        <v>2.5821759256359655E-2</v>
      </c>
      <c r="N84" s="7">
        <f t="shared" si="22"/>
        <v>37.183333329157904</v>
      </c>
      <c r="O84" s="7"/>
      <c r="P84" s="7"/>
      <c r="Q84" s="23"/>
      <c r="R84" s="23"/>
      <c r="S84" s="35">
        <f t="shared" si="23"/>
        <v>1</v>
      </c>
      <c r="T84" s="50" t="str">
        <f t="shared" si="24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12:18:42-0600',mode:absolute,to:'2016-11-06 15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6"/>
        <v>N</v>
      </c>
      <c r="X84" s="177">
        <f t="shared" si="27"/>
        <v>1</v>
      </c>
      <c r="Y84" s="67">
        <f t="shared" si="28"/>
        <v>23.305700000000002</v>
      </c>
      <c r="Z84" s="67">
        <f t="shared" si="29"/>
        <v>1.41E-2</v>
      </c>
      <c r="AA84" s="67">
        <f t="shared" si="30"/>
        <v>23.291600000000003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1"/>
        <v>0172-06</v>
      </c>
      <c r="AE84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84" s="88" t="str">
        <f t="shared" si="33"/>
        <v>"C:\Program Files (x86)\AstroGrep\AstroGrep.exe" /spath="%USERPROFILE%\AppData\Local\Temp\OnboardLogs" /stypes="app*4010*20161106*" /stext=" 21:.+((SYSTEM_STATE.+slice.+state.+changed )|(ment ac)|(system.+state.+changed )|(\[timeout)|(PRM\|1\|D)|(kpr)|(kdp)|(\|lc)|(penalty))" /e /r /s</v>
      </c>
      <c r="AG84" s="1" t="str">
        <f t="shared" si="34"/>
        <v>EC</v>
      </c>
      <c r="AH84" s="92" t="str">
        <f t="shared" si="35"/>
        <v>"%USERPROFILE%\Documents\GitHub\eaglep3\Utilities\RefineRTDCRunTimes.py" --tripid 172-06 --locoid 4010 --swversion DE.1.0.8.0 --startMP 204:233057 --initTime 2016-11-06T13:18:42 --startdatetime 2016-11-06T13:26:18 --delay 1 --endMP 204:141 --enddatetime 2016-11-06T14:03:29 --enforcementcount 0 &gt;&gt;C:\Users\stu\Documents\GitHub\eaglep3-reporting\EC\2016-11-06-refined-times.txt</v>
      </c>
      <c r="AI8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ID","value":"172-06"},{"id":16,"name":"Locomotive ID","value":"4010"},{"id":130,"name":"Impact","value":""},{"id":150,"name":"Time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517</v>
      </c>
      <c r="B85" s="7">
        <v>4046</v>
      </c>
      <c r="C85" s="22" t="s">
        <v>239</v>
      </c>
      <c r="D85" s="22" t="s">
        <v>660</v>
      </c>
      <c r="E85" s="13">
        <v>42680.526238425926</v>
      </c>
      <c r="F85" s="13">
        <v>42680.531782407408</v>
      </c>
      <c r="G85" s="7">
        <v>2</v>
      </c>
      <c r="H85" s="22" t="s">
        <v>315</v>
      </c>
      <c r="I85" s="13">
        <v>42680.556041666663</v>
      </c>
      <c r="J85" s="7">
        <v>0</v>
      </c>
      <c r="K85" s="112" t="str">
        <f t="shared" si="20"/>
        <v>4045/4046</v>
      </c>
      <c r="L85" s="22" t="str">
        <f>VLOOKUP(A85,'Trips&amp;Operators'!$C$1:$E$10000,3,FALSE)</f>
        <v>STEWART</v>
      </c>
      <c r="M85" s="6">
        <f t="shared" si="21"/>
        <v>2.4259259254904464E-2</v>
      </c>
      <c r="N85" s="7">
        <f t="shared" si="22"/>
        <v>34.933333327062428</v>
      </c>
      <c r="O85" s="7"/>
      <c r="P85" s="7"/>
      <c r="Q85" s="23"/>
      <c r="R85" s="23"/>
      <c r="S85" s="35">
        <f t="shared" si="23"/>
        <v>1</v>
      </c>
      <c r="T85" s="50" t="str">
        <f t="shared" si="24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11:37:47-0600',mode:absolute,to:'2016-11-06 14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2" t="str">
        <f t="shared" si="26"/>
        <v>N</v>
      </c>
      <c r="X85" s="177">
        <f t="shared" si="27"/>
        <v>1</v>
      </c>
      <c r="Y85" s="67">
        <f t="shared" si="28"/>
        <v>4.8000000000000001E-2</v>
      </c>
      <c r="Z85" s="67">
        <f t="shared" si="29"/>
        <v>23.3306</v>
      </c>
      <c r="AA85" s="67">
        <f t="shared" si="30"/>
        <v>23.282600000000002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1"/>
        <v>0173-06</v>
      </c>
      <c r="AE85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85" s="88" t="str">
        <f t="shared" si="33"/>
        <v>"C:\Program Files (x86)\AstroGrep\AstroGrep.exe" /spath="%USERPROFILE%\AppData\Local\Temp\OnboardLogs" /stypes="app*4046*20161106*"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2" t="str">
        <f t="shared" si="35"/>
        <v>"%USERPROFILE%\Documents\GitHub\eaglep3\Utilities\RefineRTDCRunTimes.py" --tripid 173-06 --locoid 4046 --swversion DE.1.0.8.0 --startMP 204:480 --initTime 2016-11-06T12:37:47 --startdatetime 2016-11-06T12:45:46 --delay 2 --endMP 204:233306 --enddatetime 2016-11-06T13:20:42 --enforcementcount 0 &gt;&gt;C:\Users\stu\Documents\GitHub\eaglep3-reporting\EC\2016-11-06-refined-times.txt</v>
      </c>
      <c r="AI8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ID","value":"173-06"},{"id":16,"name":"Locomotive ID","value":"4046"},{"id":130,"name":"Impact","value":""},{"id":150,"name":"Time of Event (Mountain Time)","value":"13:20:42"},{"id":151,"name":"Denver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524</v>
      </c>
      <c r="B86" s="7">
        <v>4045</v>
      </c>
      <c r="C86" s="22" t="s">
        <v>239</v>
      </c>
      <c r="D86" s="22" t="s">
        <v>242</v>
      </c>
      <c r="E86" s="13">
        <v>42680.564884259256</v>
      </c>
      <c r="F86" s="13">
        <v>42680.570428240739</v>
      </c>
      <c r="G86" s="7">
        <v>1</v>
      </c>
      <c r="H86" s="22" t="s">
        <v>203</v>
      </c>
      <c r="I86" s="13">
        <v>42680.596886574072</v>
      </c>
      <c r="J86" s="7">
        <v>0</v>
      </c>
      <c r="K86" s="112" t="str">
        <f t="shared" si="20"/>
        <v>4045/4046</v>
      </c>
      <c r="L86" s="22" t="str">
        <f>VLOOKUP(A86,'Trips&amp;Operators'!$C$1:$E$10000,3,FALSE)</f>
        <v>STEWART</v>
      </c>
      <c r="M86" s="6">
        <f t="shared" si="21"/>
        <v>2.6458333333721384E-2</v>
      </c>
      <c r="N86" s="7">
        <f t="shared" si="22"/>
        <v>38.100000000558794</v>
      </c>
      <c r="O86" s="7"/>
      <c r="P86" s="7"/>
      <c r="Q86" s="23"/>
      <c r="R86" s="23"/>
      <c r="S86" s="35">
        <f t="shared" si="23"/>
        <v>1</v>
      </c>
      <c r="T86" s="50" t="str">
        <f t="shared" si="24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12:33:26-0600',mode:absolute,to:'2016-11-06 15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2" t="str">
        <f t="shared" si="26"/>
        <v>N</v>
      </c>
      <c r="X86" s="177">
        <f t="shared" si="27"/>
        <v>1</v>
      </c>
      <c r="Y86" s="67">
        <f t="shared" si="28"/>
        <v>23.298300000000001</v>
      </c>
      <c r="Z86" s="67">
        <f t="shared" si="29"/>
        <v>1.54E-2</v>
      </c>
      <c r="AA86" s="67">
        <f t="shared" si="30"/>
        <v>23.282900000000001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1"/>
        <v>0174-06</v>
      </c>
      <c r="AE86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86" s="88" t="str">
        <f t="shared" si="33"/>
        <v>"C:\Program Files (x86)\AstroGrep\AstroGrep.exe" /spath="%USERPROFILE%\AppData\Local\Temp\OnboardLogs" /stypes="app*4045*20161106*" /stext=" 21:.+((SYSTEM_STATE.+slice.+state.+changed )|(ment ac)|(system.+state.+changed )|(\[timeout)|(PRM\|1\|D)|(kpr)|(kdp)|(\|lc)|(penalty))" /e /r /s</v>
      </c>
      <c r="AG86" s="1" t="str">
        <f t="shared" si="34"/>
        <v>EC</v>
      </c>
      <c r="AH86" s="92" t="str">
        <f t="shared" si="35"/>
        <v>"%USERPROFILE%\Documents\GitHub\eaglep3\Utilities\RefineRTDCRunTimes.py" --tripid 174-06 --locoid 4045 --swversion DE.1.0.8.0 --startMP 204:232983 --initTime 2016-11-06T13:33:26 --startdatetime 2016-11-06T13:41:25 --delay 1 --endMP 204:154 --enddatetime 2016-11-06T14:19:31 --enforcementcount 0 &gt;&gt;C:\Users\stu\Documents\GitHub\eaglep3-reporting\EC\2016-11-06-refined-times.txt</v>
      </c>
      <c r="AI8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ID","value":"174-06"},{"id":16,"name":"Locomotive ID","value":"4045"},{"id":130,"name":"Impact","value":""},{"id":150,"name":"Time of Event (Mountain Time)","value":"14:19:31"},{"id":151,"name":"Denver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519</v>
      </c>
      <c r="B87" s="7">
        <v>4042</v>
      </c>
      <c r="C87" s="22" t="s">
        <v>239</v>
      </c>
      <c r="D87" s="22" t="s">
        <v>233</v>
      </c>
      <c r="E87" s="13">
        <v>42680.537673611114</v>
      </c>
      <c r="F87" s="13">
        <v>42680.542187500003</v>
      </c>
      <c r="G87" s="7">
        <v>1</v>
      </c>
      <c r="H87" s="22" t="s">
        <v>338</v>
      </c>
      <c r="I87" s="13">
        <v>42680.566550925927</v>
      </c>
      <c r="J87" s="7">
        <v>0</v>
      </c>
      <c r="K87" s="112" t="str">
        <f t="shared" si="20"/>
        <v>4041/4042</v>
      </c>
      <c r="L87" s="22" t="str">
        <f>VLOOKUP(A87,'Trips&amp;Operators'!$C$1:$E$10000,3,FALSE)</f>
        <v>BARTLETT</v>
      </c>
      <c r="M87" s="6">
        <f t="shared" si="21"/>
        <v>2.4363425924093463E-2</v>
      </c>
      <c r="N87" s="7">
        <f t="shared" si="22"/>
        <v>35.083333330694586</v>
      </c>
      <c r="O87" s="7"/>
      <c r="P87" s="7"/>
      <c r="Q87" s="23"/>
      <c r="R87" s="23"/>
      <c r="S87" s="35">
        <f t="shared" si="23"/>
        <v>1</v>
      </c>
      <c r="T87" s="50" t="str">
        <f t="shared" si="24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11:54:15-0600',mode:absolute,to:'2016-11-06 14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26"/>
        <v>N</v>
      </c>
      <c r="X87" s="177">
        <f t="shared" si="27"/>
        <v>1</v>
      </c>
      <c r="Y87" s="67">
        <f t="shared" si="28"/>
        <v>4.5699999999999998E-2</v>
      </c>
      <c r="Z87" s="67">
        <f t="shared" si="29"/>
        <v>23.330500000000001</v>
      </c>
      <c r="AA87" s="67">
        <f t="shared" si="30"/>
        <v>23.284800000000001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1"/>
        <v>0175-06</v>
      </c>
      <c r="AE87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87" s="88" t="str">
        <f t="shared" si="33"/>
        <v>"C:\Program Files (x86)\AstroGrep\AstroGrep.exe" /spath="%USERPROFILE%\AppData\Local\Temp\OnboardLogs" /stypes="app*4042*20161106*"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2" t="str">
        <f t="shared" si="35"/>
        <v>"%USERPROFILE%\Documents\GitHub\eaglep3\Utilities\RefineRTDCRunTimes.py" --tripid 175-06 --locoid 4042 --swversion DE.1.0.8.0 --startMP 204:457 --initTime 2016-11-06T12:54:15 --startdatetime 2016-11-06T13:00:45 --delay 1 --endMP 204:233305 --enddatetime 2016-11-06T13:35:50 --enforcementcount 0 &gt;&gt;C:\Users\stu\Documents\GitHub\eaglep3-reporting\EC\2016-11-06-refined-times.txt</v>
      </c>
      <c r="AI8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ID","value":"175-06"},{"id":16,"name":"Locomotive ID","value":"4042"},{"id":130,"name":"Impact","value":""},{"id":150,"name":"Time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526</v>
      </c>
      <c r="B88" s="7">
        <v>4041</v>
      </c>
      <c r="C88" s="22" t="s">
        <v>239</v>
      </c>
      <c r="D88" s="22" t="s">
        <v>646</v>
      </c>
      <c r="E88" s="13">
        <v>42680.568726851852</v>
      </c>
      <c r="F88" s="13">
        <v>42680.580983796295</v>
      </c>
      <c r="G88" s="7">
        <v>1</v>
      </c>
      <c r="H88" s="22" t="s">
        <v>205</v>
      </c>
      <c r="I88" s="13">
        <v>42680.607673611114</v>
      </c>
      <c r="J88" s="7">
        <v>0</v>
      </c>
      <c r="K88" s="112" t="str">
        <f t="shared" si="20"/>
        <v>4041/4042</v>
      </c>
      <c r="L88" s="22" t="str">
        <f>VLOOKUP(A88,'Trips&amp;Operators'!$C$1:$E$10000,3,FALSE)</f>
        <v>BARTLETT</v>
      </c>
      <c r="M88" s="6">
        <f t="shared" si="21"/>
        <v>2.6689814818382729E-2</v>
      </c>
      <c r="N88" s="7">
        <f t="shared" si="22"/>
        <v>38.43333333847113</v>
      </c>
      <c r="O88" s="7"/>
      <c r="P88" s="7"/>
      <c r="Q88" s="23"/>
      <c r="R88" s="23"/>
      <c r="S88" s="35">
        <f t="shared" si="23"/>
        <v>1</v>
      </c>
      <c r="T88" s="50" t="str">
        <f t="shared" si="24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12:38:58-0600',mode:absolute,to:'2016-11-06 15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6"/>
        <v>N</v>
      </c>
      <c r="X88" s="177">
        <f t="shared" si="27"/>
        <v>1</v>
      </c>
      <c r="Y88" s="67">
        <f t="shared" si="28"/>
        <v>23.298999999999999</v>
      </c>
      <c r="Z88" s="67">
        <f t="shared" si="29"/>
        <v>1.49E-2</v>
      </c>
      <c r="AA88" s="67">
        <f t="shared" si="30"/>
        <v>23.284099999999999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1"/>
        <v>0176-06</v>
      </c>
      <c r="AE88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88" s="88" t="str">
        <f t="shared" si="33"/>
        <v>"C:\Program Files (x86)\AstroGrep\AstroGrep.exe" /spath="%USERPROFILE%\AppData\Local\Temp\OnboardLogs" /stypes="app*4041*20161106*" /stext=" 21:.+((SYSTEM_STATE.+slice.+state.+changed )|(ment ac)|(system.+state.+changed )|(\[timeout)|(PRM\|1\|D)|(kpr)|(kdp)|(\|lc)|(penalty))" /e /r /s</v>
      </c>
      <c r="AG88" s="1" t="str">
        <f t="shared" si="34"/>
        <v>EC</v>
      </c>
      <c r="AH88" s="92" t="str">
        <f t="shared" si="35"/>
        <v>"%USERPROFILE%\Documents\GitHub\eaglep3\Utilities\RefineRTDCRunTimes.py" --tripid 176-06 --locoid 4041 --swversion DE.1.0.8.0 --startMP 204:232990 --initTime 2016-11-06T13:38:58 --startdatetime 2016-11-06T13:56:37 --delay 1 --endMP 204:149 --enddatetime 2016-11-06T14:35:03 --enforcementcount 0 &gt;&gt;C:\Users\stu\Documents\GitHub\eaglep3-reporting\EC\2016-11-06-refined-times.txt</v>
      </c>
      <c r="AI8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ID","value":"176-06"},{"id":16,"name":"Locomotive ID","value":"4041"},{"id":130,"name":"Impact","value":""},{"id":150,"name":"Time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521</v>
      </c>
      <c r="B89" s="7">
        <v>4011</v>
      </c>
      <c r="C89" s="22" t="s">
        <v>239</v>
      </c>
      <c r="D89" s="22" t="s">
        <v>339</v>
      </c>
      <c r="E89" s="13">
        <v>42680.546122685184</v>
      </c>
      <c r="F89" s="13">
        <v>42680.55228009259</v>
      </c>
      <c r="G89" s="7">
        <v>1</v>
      </c>
      <c r="H89" s="22" t="s">
        <v>276</v>
      </c>
      <c r="I89" s="13">
        <v>42680.576597222222</v>
      </c>
      <c r="J89" s="7">
        <v>0</v>
      </c>
      <c r="K89" s="112" t="str">
        <f t="shared" si="20"/>
        <v>4011/4012</v>
      </c>
      <c r="L89" s="22" t="str">
        <f>VLOOKUP(A89,'Trips&amp;Operators'!$C$1:$E$10000,3,FALSE)</f>
        <v>BRUDER</v>
      </c>
      <c r="M89" s="6">
        <f t="shared" si="21"/>
        <v>2.4317129631526768E-2</v>
      </c>
      <c r="N89" s="7">
        <f t="shared" si="22"/>
        <v>35.016666669398546</v>
      </c>
      <c r="O89" s="7"/>
      <c r="P89" s="7"/>
      <c r="Q89" s="23"/>
      <c r="R89" s="23"/>
      <c r="S89" s="35">
        <f t="shared" si="23"/>
        <v>1</v>
      </c>
      <c r="T89" s="50" t="str">
        <f t="shared" si="24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12:06:25-0600',mode:absolute,to:'2016-11-06 14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6"/>
        <v>N</v>
      </c>
      <c r="X89" s="177">
        <f t="shared" si="27"/>
        <v>1</v>
      </c>
      <c r="Y89" s="67">
        <f t="shared" si="28"/>
        <v>4.3099999999999999E-2</v>
      </c>
      <c r="Z89" s="67">
        <f t="shared" si="29"/>
        <v>23.330200000000001</v>
      </c>
      <c r="AA89" s="67">
        <f t="shared" si="30"/>
        <v>23.287100000000002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1"/>
        <v>0177-06</v>
      </c>
      <c r="AE89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89" s="88" t="str">
        <f t="shared" si="33"/>
        <v>"C:\Program Files (x86)\AstroGrep\AstroGrep.exe" /spath="%USERPROFILE%\AppData\Local\Temp\OnboardLogs" /stypes="app*4011*20161106*"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2" t="str">
        <f t="shared" si="35"/>
        <v>"%USERPROFILE%\Documents\GitHub\eaglep3\Utilities\RefineRTDCRunTimes.py" --tripid 177-06 --locoid 4011 --swversion DE.1.0.8.0 --startMP 204:431 --initTime 2016-11-06T13:06:25 --startdatetime 2016-11-06T13:15:17 --delay 1 --endMP 204:233302 --enddatetime 2016-11-06T13:50:18 --enforcementcount 0 &gt;&gt;C:\Users\stu\Documents\GitHub\eaglep3-reporting\EC\2016-11-06-refined-times.txt</v>
      </c>
      <c r="AI8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ID","value":"177-06"},{"id":16,"name":"Locomotive ID","value":"4011"},{"id":130,"name":"Impact","value":""},{"id":150,"name":"Time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529</v>
      </c>
      <c r="B90" s="7">
        <v>4012</v>
      </c>
      <c r="C90" s="22" t="s">
        <v>239</v>
      </c>
      <c r="D90" s="22" t="s">
        <v>231</v>
      </c>
      <c r="E90" s="13">
        <v>42680.583275462966</v>
      </c>
      <c r="F90" s="13">
        <v>42680.591215277775</v>
      </c>
      <c r="G90" s="7">
        <v>1</v>
      </c>
      <c r="H90" s="22" t="s">
        <v>205</v>
      </c>
      <c r="I90" s="13">
        <v>42680.617106481484</v>
      </c>
      <c r="J90" s="7">
        <v>0</v>
      </c>
      <c r="K90" s="112" t="str">
        <f t="shared" si="20"/>
        <v>4011/4012</v>
      </c>
      <c r="L90" s="22" t="str">
        <f>VLOOKUP(A90,'Trips&amp;Operators'!$C$1:$E$10000,3,FALSE)</f>
        <v>BRUDER</v>
      </c>
      <c r="M90" s="6">
        <f t="shared" si="21"/>
        <v>2.5891203709761612E-2</v>
      </c>
      <c r="N90" s="7">
        <f t="shared" si="22"/>
        <v>37.283333342056721</v>
      </c>
      <c r="O90" s="7"/>
      <c r="P90" s="7"/>
      <c r="Q90" s="23"/>
      <c r="R90" s="23"/>
      <c r="S90" s="35">
        <f t="shared" si="23"/>
        <v>1</v>
      </c>
      <c r="T90" s="50" t="str">
        <f t="shared" si="24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12:59:55-0600',mode:absolute,to:'2016-11-06 15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6"/>
        <v>N</v>
      </c>
      <c r="X90" s="177">
        <f t="shared" si="27"/>
        <v>1</v>
      </c>
      <c r="Y90" s="67">
        <f t="shared" si="28"/>
        <v>23.298500000000001</v>
      </c>
      <c r="Z90" s="67">
        <f t="shared" si="29"/>
        <v>1.49E-2</v>
      </c>
      <c r="AA90" s="67">
        <f t="shared" si="30"/>
        <v>23.2836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1"/>
        <v>0178-06</v>
      </c>
      <c r="AE90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90" s="88" t="str">
        <f t="shared" si="33"/>
        <v>"C:\Program Files (x86)\AstroGrep\AstroGrep.exe" /spath="%USERPROFILE%\AppData\Local\Temp\OnboardLogs" /stypes="app*4012*20161106*" /stext=" 21:.+((SYSTEM_STATE.+slice.+state.+changed )|(ment ac)|(system.+state.+changed )|(\[timeout)|(PRM\|1\|D)|(kpr)|(kdp)|(\|lc)|(penalty))" /e /r /s</v>
      </c>
      <c r="AG90" s="1" t="str">
        <f t="shared" si="34"/>
        <v>EC</v>
      </c>
      <c r="AH90" s="92" t="str">
        <f t="shared" si="35"/>
        <v>"%USERPROFILE%\Documents\GitHub\eaglep3\Utilities\RefineRTDCRunTimes.py" --tripid 178-06 --locoid 4012 --swversion DE.1.0.8.0 --startMP 204:232985 --initTime 2016-11-06T13:59:55 --startdatetime 2016-11-06T14:11:21 --delay 1 --endMP 204:149 --enddatetime 2016-11-06T14:48:38 --enforcementcount 0 &gt;&gt;C:\Users\stu\Documents\GitHub\eaglep3-reporting\EC\2016-11-06-refined-times.txt</v>
      </c>
      <c r="AI9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ID","value":"178-06"},{"id":16,"name":"Locomotive ID","value":"4012"},{"id":130,"name":"Impact","value":""},{"id":150,"name":"Time of Event (Mountain Time)","value":"14:48:38"},{"id":151,"name":"Denver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523</v>
      </c>
      <c r="B91" s="7">
        <v>4040</v>
      </c>
      <c r="C91" s="22" t="s">
        <v>239</v>
      </c>
      <c r="D91" s="22" t="s">
        <v>661</v>
      </c>
      <c r="E91" s="13">
        <v>42680.557673611111</v>
      </c>
      <c r="F91" s="13">
        <v>42680.563067129631</v>
      </c>
      <c r="G91" s="7">
        <v>1</v>
      </c>
      <c r="H91" s="22" t="s">
        <v>369</v>
      </c>
      <c r="I91" s="13">
        <v>42680.589513888888</v>
      </c>
      <c r="J91" s="7">
        <v>0</v>
      </c>
      <c r="K91" s="112" t="str">
        <f t="shared" si="20"/>
        <v>4039/4040</v>
      </c>
      <c r="L91" s="22" t="str">
        <f>VLOOKUP(A91,'Trips&amp;Operators'!$C$1:$E$10000,3,FALSE)</f>
        <v>MAHAN</v>
      </c>
      <c r="M91" s="6">
        <f t="shared" si="21"/>
        <v>2.6446759256941732E-2</v>
      </c>
      <c r="N91" s="7">
        <f t="shared" si="22"/>
        <v>38.083333329996094</v>
      </c>
      <c r="O91" s="7"/>
      <c r="P91" s="7"/>
      <c r="Q91" s="23"/>
      <c r="R91" s="23"/>
      <c r="S91" s="35">
        <f t="shared" si="23"/>
        <v>1</v>
      </c>
      <c r="T91" s="50" t="str">
        <f t="shared" si="24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12:23:03-0600',mode:absolute,to:'2016-11-06 15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26"/>
        <v>N</v>
      </c>
      <c r="X91" s="177">
        <f t="shared" si="27"/>
        <v>1</v>
      </c>
      <c r="Y91" s="67">
        <f t="shared" si="28"/>
        <v>5.3499999999999999E-2</v>
      </c>
      <c r="Z91" s="67">
        <f t="shared" si="29"/>
        <v>23.328199999999999</v>
      </c>
      <c r="AA91" s="67">
        <f t="shared" si="30"/>
        <v>23.274699999999999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1"/>
        <v>0179-06</v>
      </c>
      <c r="AE91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91" s="88" t="str">
        <f t="shared" si="33"/>
        <v>"C:\Program Files (x86)\AstroGrep\AstroGrep.exe" /spath="%USERPROFILE%\AppData\Local\Temp\OnboardLogs" /stypes="app*4040*20161106*" /stext=" 21:.+((SYSTEM_STATE.+slice.+state.+changed )|(ment ac)|(system.+state.+changed )|(\[timeout)|(PRM\|1\|D)|(kpr)|(kdp)|(\|lc)|(penalty))" /e /r /s</v>
      </c>
      <c r="AG91" s="1" t="str">
        <f t="shared" si="34"/>
        <v>EC</v>
      </c>
      <c r="AH91" s="92" t="str">
        <f t="shared" si="35"/>
        <v>"%USERPROFILE%\Documents\GitHub\eaglep3\Utilities\RefineRTDCRunTimes.py" --tripid 179-06 --locoid 4040 --swversion DE.1.0.8.0 --startMP 204:535 --initTime 2016-11-06T13:23:03 --startdatetime 2016-11-06T13:30:49 --delay 1 --endMP 204:233282 --enddatetime 2016-11-06T14:08:54 --enforcementcount 0 &gt;&gt;C:\Users\stu\Documents\GitHub\eaglep3-reporting\EC\2016-11-06-refined-times.txt</v>
      </c>
      <c r="AI9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{"issue":{"subject":"","project_id":79,"tracker_id":40,"status_id":1,"priority_id":2,"assigned_to_id":23,"start_date":"2016-11-06","description":"","custom_fields":[{"id":1,"name":"Subdivision","value":"EC"},{"id":4,"name":"Milepost","value":"23.3282"},{"id":17,"name":"Train ID","value":"179-06"},{"id":16,"name":"Locomotive ID","value":"4040"},{"id":130,"name":"Impact","value":""},{"id":150,"name":"Time of Event (Mountain Time)","value":"14:08:54"},{"id":151,"name":"Denver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533</v>
      </c>
      <c r="B92" s="7">
        <v>4039</v>
      </c>
      <c r="C92" s="22" t="s">
        <v>239</v>
      </c>
      <c r="D92" s="22" t="s">
        <v>367</v>
      </c>
      <c r="E92" s="13">
        <v>42680.592430555553</v>
      </c>
      <c r="F92" s="13">
        <v>42680.601643518516</v>
      </c>
      <c r="G92" s="7">
        <v>1</v>
      </c>
      <c r="H92" s="22" t="s">
        <v>640</v>
      </c>
      <c r="I92" s="13">
        <v>42680.628240740742</v>
      </c>
      <c r="J92" s="7">
        <v>0</v>
      </c>
      <c r="K92" s="112" t="str">
        <f t="shared" si="20"/>
        <v>4039/4040</v>
      </c>
      <c r="L92" s="22" t="str">
        <f>VLOOKUP(A92,'Trips&amp;Operators'!$C$1:$E$10000,3,FALSE)</f>
        <v>MAHAN</v>
      </c>
      <c r="M92" s="6">
        <f t="shared" si="21"/>
        <v>2.6597222225973383E-2</v>
      </c>
      <c r="N92" s="7">
        <f t="shared" si="22"/>
        <v>38.300000005401671</v>
      </c>
      <c r="O92" s="7"/>
      <c r="P92" s="7"/>
      <c r="Q92" s="23"/>
      <c r="R92" s="23"/>
      <c r="S92" s="35">
        <f t="shared" si="23"/>
        <v>1</v>
      </c>
      <c r="T92" s="50" t="str">
        <f t="shared" si="24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13:13:06-0600',mode:absolute,to:'2016-11-06 16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26"/>
        <v>N</v>
      </c>
      <c r="X92" s="177">
        <f t="shared" si="27"/>
        <v>1</v>
      </c>
      <c r="Y92" s="67">
        <f t="shared" si="28"/>
        <v>23.296700000000001</v>
      </c>
      <c r="Z92" s="67">
        <f t="shared" si="29"/>
        <v>1.2999999999999999E-2</v>
      </c>
      <c r="AA92" s="67">
        <f t="shared" si="30"/>
        <v>23.2837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1"/>
        <v>0180-06</v>
      </c>
      <c r="AE92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92" s="88" t="str">
        <f t="shared" si="33"/>
        <v>"C:\Program Files (x86)\AstroGrep\AstroGrep.exe" /spath="%USERPROFILE%\AppData\Local\Temp\OnboardLogs" /stypes="app*4039*20161106*" /stext=" 22:.+((SYSTEM_STATE.+slice.+state.+changed )|(ment ac)|(system.+state.+changed )|(\[timeout)|(PRM\|1\|D)|(kpr)|(kdp)|(\|lc)|(penalty))" /e /r /s</v>
      </c>
      <c r="AG92" s="1" t="str">
        <f t="shared" si="34"/>
        <v>EC</v>
      </c>
      <c r="AH92" s="92" t="str">
        <f t="shared" si="35"/>
        <v>"%USERPROFILE%\Documents\GitHub\eaglep3\Utilities\RefineRTDCRunTimes.py" --tripid 180-06 --locoid 4039 --swversion DE.1.0.8.0 --startMP 204:232967 --initTime 2016-11-06T14:13:06 --startdatetime 2016-11-06T14:26:22 --delay 1 --endMP 204:130 --enddatetime 2016-11-06T15:04:40 --enforcementcount 0 &gt;&gt;C:\Users\stu\Documents\GitHub\eaglep3-reporting\EC\2016-11-06-refined-times.txt</v>
      </c>
      <c r="AI9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ID","value":"180-06"},{"id":16,"name":"Locomotive ID","value":"4039"},{"id":130,"name":"Impact","value":""},{"id":150,"name":"Time of Event (Mountain Time)","value":"15:04:40"},{"id":151,"name":"Denver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527</v>
      </c>
      <c r="B93" s="7">
        <v>4007</v>
      </c>
      <c r="C93" s="22" t="s">
        <v>239</v>
      </c>
      <c r="D93" s="22" t="s">
        <v>674</v>
      </c>
      <c r="E93" s="13">
        <v>42680.569849537038</v>
      </c>
      <c r="F93" s="13">
        <v>42680.573182870372</v>
      </c>
      <c r="G93" s="7">
        <v>2</v>
      </c>
      <c r="H93" s="22" t="s">
        <v>276</v>
      </c>
      <c r="I93" s="13">
        <v>42680.599143518521</v>
      </c>
      <c r="J93" s="7">
        <v>0</v>
      </c>
      <c r="K93" s="112" t="str">
        <f t="shared" si="20"/>
        <v>4007/4008</v>
      </c>
      <c r="L93" s="22" t="str">
        <f>VLOOKUP(A93,'Trips&amp;Operators'!$C$1:$E$10000,3,FALSE)</f>
        <v>YOUNG</v>
      </c>
      <c r="M93" s="6">
        <f t="shared" si="21"/>
        <v>2.5960648148611654E-2</v>
      </c>
      <c r="N93" s="7">
        <f t="shared" si="22"/>
        <v>37.383333334000781</v>
      </c>
      <c r="O93" s="7"/>
      <c r="P93" s="7"/>
      <c r="Q93" s="23"/>
      <c r="R93" s="23"/>
      <c r="S93" s="35">
        <f t="shared" si="23"/>
        <v>1</v>
      </c>
      <c r="T93" s="50" t="str">
        <f t="shared" si="24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12:40:35-0600',mode:absolute,to:'2016-11-06 15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2" t="str">
        <f t="shared" si="26"/>
        <v>N</v>
      </c>
      <c r="X93" s="177">
        <f t="shared" si="27"/>
        <v>1</v>
      </c>
      <c r="Y93" s="67">
        <f t="shared" si="28"/>
        <v>4.9099999999999998E-2</v>
      </c>
      <c r="Z93" s="67">
        <f t="shared" si="29"/>
        <v>23.330200000000001</v>
      </c>
      <c r="AA93" s="67">
        <f t="shared" si="30"/>
        <v>23.281100000000002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1"/>
        <v>0181-06</v>
      </c>
      <c r="AE93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93" s="88" t="str">
        <f t="shared" si="33"/>
        <v>"C:\Program Files (x86)\AstroGrep\AstroGrep.exe" /spath="%USERPROFILE%\AppData\Local\Temp\OnboardLogs" /stypes="app*4007*20161106*"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2" t="str">
        <f t="shared" si="35"/>
        <v>"%USERPROFILE%\Documents\GitHub\eaglep3\Utilities\RefineRTDCRunTimes.py" --tripid 181-06 --locoid 4007 --swversion DE.1.0.8.0 --startMP 204:491 --initTime 2016-11-06T13:40:35 --startdatetime 2016-11-06T13:45:23 --delay 2 --endMP 204:233302 --enddatetime 2016-11-06T14:22:46 --enforcementcount 0 &gt;&gt;C:\Users\stu\Documents\GitHub\eaglep3-reporting\EC\2016-11-06-refined-times.txt</v>
      </c>
      <c r="AI9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ID","value":"181-06"},{"id":16,"name":"Locomotive ID","value":"4007"},{"id":130,"name":"Impact","value":""},{"id":150,"name":"Time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535</v>
      </c>
      <c r="B94" s="7">
        <v>4008</v>
      </c>
      <c r="C94" s="22" t="s">
        <v>239</v>
      </c>
      <c r="D94" s="22" t="s">
        <v>333</v>
      </c>
      <c r="E94" s="13">
        <v>42680.604143518518</v>
      </c>
      <c r="F94" s="13">
        <v>42680.612037037034</v>
      </c>
      <c r="G94" s="7">
        <v>1</v>
      </c>
      <c r="H94" s="22" t="s">
        <v>687</v>
      </c>
      <c r="I94" s="13">
        <v>42680.641215277778</v>
      </c>
      <c r="J94" s="7">
        <v>0</v>
      </c>
      <c r="K94" s="112" t="str">
        <f t="shared" si="20"/>
        <v>4007/4008</v>
      </c>
      <c r="L94" s="22" t="str">
        <f>VLOOKUP(A94,'Trips&amp;Operators'!$C$1:$E$10000,3,FALSE)</f>
        <v>YOUNG</v>
      </c>
      <c r="M94" s="6">
        <f t="shared" si="21"/>
        <v>2.9178240743931383E-2</v>
      </c>
      <c r="N94" s="7">
        <f t="shared" si="22"/>
        <v>42.016666671261191</v>
      </c>
      <c r="O94" s="7"/>
      <c r="P94" s="7"/>
      <c r="Q94" s="23"/>
      <c r="R94" s="23"/>
      <c r="S94" s="35">
        <f t="shared" si="23"/>
        <v>1</v>
      </c>
      <c r="T94" s="50" t="str">
        <f t="shared" si="24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13:29:58-0600',mode:absolute,to:'2016-11-06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4" s="52" t="str">
        <f t="shared" si="26"/>
        <v>N</v>
      </c>
      <c r="X94" s="177">
        <f t="shared" si="27"/>
        <v>1</v>
      </c>
      <c r="Y94" s="67">
        <f t="shared" si="28"/>
        <v>23.2989</v>
      </c>
      <c r="Z94" s="67">
        <f t="shared" si="29"/>
        <v>1.7600000000000001E-2</v>
      </c>
      <c r="AA94" s="67">
        <f t="shared" si="30"/>
        <v>23.281299999999998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1"/>
        <v>0182-06</v>
      </c>
      <c r="AE94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94" s="88" t="str">
        <f t="shared" si="33"/>
        <v>"C:\Program Files (x86)\AstroGrep\AstroGrep.exe" /spath="%USERPROFILE%\AppData\Local\Temp\OnboardLogs" /stypes="app*4008*20161106*" /stext=" 22:.+((SYSTEM_STATE.+slice.+state.+changed )|(ment ac)|(system.+state.+changed )|(\[timeout)|(PRM\|1\|D)|(kpr)|(kdp)|(\|lc)|(penalty))" /e /r /s</v>
      </c>
      <c r="AG94" s="1" t="str">
        <f t="shared" si="34"/>
        <v>EC</v>
      </c>
      <c r="AH94" s="92" t="str">
        <f t="shared" si="35"/>
        <v>"%USERPROFILE%\Documents\GitHub\eaglep3\Utilities\RefineRTDCRunTimes.py" --tripid 182-06 --locoid 4008 --swversion DE.1.0.8.0 --startMP 204:232989 --initTime 2016-11-06T14:29:58 --startdatetime 2016-11-06T14:41:20 --delay 1 --endMP 204:176 --enddatetime 2016-11-06T15:23:21 --enforcementcount 0 &gt;&gt;C:\Users\stu\Documents\GitHub\eaglep3-reporting\EC\2016-11-06-refined-times.txt</v>
      </c>
      <c r="AI9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{"issue":{"subject":"","project_id":79,"tracker_id":40,"status_id":1,"priority_id":2,"assigned_to_id":23,"start_date":"2016-11-06","description":"","custom_fields":[{"id":1,"name":"Subdivision","value":"EC"},{"id":4,"name":"Milepost","value":"0.0176"},{"id":17,"name":"Train ID","value":"182-06"},{"id":16,"name":"Locomotive ID","value":"4008"},{"id":130,"name":"Impact","value":""},{"id":150,"name":"Time of Event (Mountain Time)","value":"15:23:21"},{"id":151,"name":"Denver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528</v>
      </c>
      <c r="B95" s="7">
        <v>4044</v>
      </c>
      <c r="C95" s="22" t="s">
        <v>239</v>
      </c>
      <c r="D95" s="22" t="s">
        <v>697</v>
      </c>
      <c r="E95" s="13">
        <v>42680.57912037037</v>
      </c>
      <c r="F95" s="13">
        <v>42680.583518518521</v>
      </c>
      <c r="G95" s="7">
        <v>1</v>
      </c>
      <c r="H95" s="22" t="s">
        <v>375</v>
      </c>
      <c r="I95" s="13">
        <v>42680.60864583333</v>
      </c>
      <c r="J95" s="7">
        <v>0</v>
      </c>
      <c r="K95" s="112" t="str">
        <f t="shared" si="20"/>
        <v>4043/4044</v>
      </c>
      <c r="L95" s="22" t="str">
        <f>VLOOKUP(A95,'Trips&amp;Operators'!$C$1:$E$10000,3,FALSE)</f>
        <v>CLARK</v>
      </c>
      <c r="M95" s="6">
        <f t="shared" si="21"/>
        <v>2.512731480965158E-2</v>
      </c>
      <c r="N95" s="7">
        <f t="shared" si="22"/>
        <v>36.183333325898275</v>
      </c>
      <c r="O95" s="7"/>
      <c r="P95" s="7"/>
      <c r="Q95" s="23"/>
      <c r="R95" s="23"/>
      <c r="S95" s="35">
        <f t="shared" si="23"/>
        <v>1</v>
      </c>
      <c r="T95" s="50" t="str">
        <f t="shared" si="24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12:53:56-0600',mode:absolute,to:'2016-11-06 15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6"/>
        <v>N</v>
      </c>
      <c r="X95" s="177">
        <f t="shared" si="27"/>
        <v>1</v>
      </c>
      <c r="Y95" s="67">
        <f t="shared" si="28"/>
        <v>4.3299999999999998E-2</v>
      </c>
      <c r="Z95" s="67">
        <f t="shared" si="29"/>
        <v>23.332000000000001</v>
      </c>
      <c r="AA95" s="67">
        <f t="shared" si="30"/>
        <v>23.288700000000002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1"/>
        <v>0183-06</v>
      </c>
      <c r="AE95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95" s="88" t="str">
        <f t="shared" si="33"/>
        <v>"C:\Program Files (x86)\AstroGrep\AstroGrep.exe" /spath="%USERPROFILE%\AppData\Local\Temp\OnboardLogs" /stypes="app*4044*20161106*"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2" t="str">
        <f t="shared" si="35"/>
        <v>"%USERPROFILE%\Documents\GitHub\eaglep3\Utilities\RefineRTDCRunTimes.py" --tripid 183-06 --locoid 4044 --swversion DE.1.0.8.0 --startMP 204:433 --initTime 2016-11-06T13:53:56 --startdatetime 2016-11-06T14:00:16 --delay 1 --endMP 204:233320 --enddatetime 2016-11-06T14:36:27 --enforcementcount 0 &gt;&gt;C:\Users\stu\Documents\GitHub\eaglep3-reporting\EC\2016-11-06-refined-times.txt</v>
      </c>
      <c r="AI9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{"issue":{"subject":"","project_id":79,"tracker_id":40,"status_id":1,"priority_id":2,"assigned_to_id":23,"start_date":"2016-11-06","description":"","custom_fields":[{"id":1,"name":"Subdivision","value":"EC"},{"id":4,"name":"Milepost","value":"23.332"},{"id":17,"name":"Train ID","value":"183-06"},{"id":16,"name":"Locomotive ID","value":"4044"},{"id":130,"name":"Impact","value":""},{"id":150,"name":"Time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538</v>
      </c>
      <c r="B96" s="7">
        <v>4043</v>
      </c>
      <c r="C96" s="22" t="s">
        <v>239</v>
      </c>
      <c r="D96" s="22" t="s">
        <v>702</v>
      </c>
      <c r="E96" s="13">
        <v>42680.617546296293</v>
      </c>
      <c r="F96" s="13">
        <v>42680.622407407405</v>
      </c>
      <c r="G96" s="7">
        <v>1</v>
      </c>
      <c r="H96" s="22" t="s">
        <v>175</v>
      </c>
      <c r="I96" s="13">
        <v>42680.649583333332</v>
      </c>
      <c r="J96" s="7">
        <v>0</v>
      </c>
      <c r="K96" s="112" t="str">
        <f t="shared" si="20"/>
        <v>4043/4044</v>
      </c>
      <c r="L96" s="22" t="str">
        <f>VLOOKUP(A96,'Trips&amp;Operators'!$C$1:$E$10000,3,FALSE)</f>
        <v>CLARK</v>
      </c>
      <c r="M96" s="6">
        <f t="shared" si="21"/>
        <v>2.7175925926712807E-2</v>
      </c>
      <c r="N96" s="7">
        <f t="shared" si="22"/>
        <v>39.133333334466442</v>
      </c>
      <c r="O96" s="7"/>
      <c r="P96" s="7"/>
      <c r="Q96" s="23"/>
      <c r="R96" s="23"/>
      <c r="S96" s="35">
        <f t="shared" si="23"/>
        <v>1</v>
      </c>
      <c r="T96" s="50" t="str">
        <f t="shared" si="24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13:49:16-0600',mode:absolute,to:'2016-11-06 16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6"/>
        <v>N</v>
      </c>
      <c r="X96" s="177">
        <f t="shared" si="27"/>
        <v>1</v>
      </c>
      <c r="Y96" s="67">
        <f t="shared" si="28"/>
        <v>23.3001</v>
      </c>
      <c r="Z96" s="67">
        <f t="shared" si="29"/>
        <v>1.47E-2</v>
      </c>
      <c r="AA96" s="67">
        <f t="shared" si="30"/>
        <v>23.285399999999999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1"/>
        <v>0184-06</v>
      </c>
      <c r="AE96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96" s="88" t="str">
        <f t="shared" si="33"/>
        <v>"C:\Program Files (x86)\AstroGrep\AstroGrep.exe" /spath="%USERPROFILE%\AppData\Local\Temp\OnboardLogs" /stypes="app*4043*20161106*" /stext=" 22:.+((SYSTEM_STATE.+slice.+state.+changed )|(ment ac)|(system.+state.+changed )|(\[timeout)|(PRM\|1\|D)|(kpr)|(kdp)|(\|lc)|(penalty))" /e /r /s</v>
      </c>
      <c r="AG96" s="1" t="str">
        <f t="shared" si="34"/>
        <v>EC</v>
      </c>
      <c r="AH96" s="92" t="str">
        <f t="shared" si="35"/>
        <v>"%USERPROFILE%\Documents\GitHub\eaglep3\Utilities\RefineRTDCRunTimes.py" --tripid 184-06 --locoid 4043 --swversion DE.1.0.8.0 --startMP 204:233001 --initTime 2016-11-06T14:49:16 --startdatetime 2016-11-06T14:56:16 --delay 1 --endMP 204:147 --enddatetime 2016-11-06T15:35:24 --enforcementcount 0 &gt;&gt;C:\Users\stu\Documents\GitHub\eaglep3-reporting\EC\2016-11-06-refined-times.txt</v>
      </c>
      <c r="AI9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ID","value":"184-06"},{"id":16,"name":"Locomotive ID","value":"4043"},{"id":130,"name":"Impact","value":""},{"id":150,"name":"Time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s="21" customFormat="1" x14ac:dyDescent="0.25">
      <c r="A97" s="37" t="s">
        <v>532</v>
      </c>
      <c r="B97" s="7">
        <v>4009</v>
      </c>
      <c r="C97" s="22" t="s">
        <v>239</v>
      </c>
      <c r="D97" s="22" t="s">
        <v>377</v>
      </c>
      <c r="E97" s="13">
        <v>42680.587685185186</v>
      </c>
      <c r="F97" s="13">
        <v>42680.593923611108</v>
      </c>
      <c r="G97" s="7">
        <v>1</v>
      </c>
      <c r="H97" s="22" t="s">
        <v>703</v>
      </c>
      <c r="I97" s="13">
        <v>42680.619375000002</v>
      </c>
      <c r="J97" s="7">
        <v>0</v>
      </c>
      <c r="K97" s="112" t="str">
        <f t="shared" si="20"/>
        <v>4009/4010</v>
      </c>
      <c r="L97" s="22" t="str">
        <f>VLOOKUP(A97,'Trips&amp;Operators'!$C$1:$E$10000,3,FALSE)</f>
        <v>SHOOK</v>
      </c>
      <c r="M97" s="6">
        <f t="shared" si="21"/>
        <v>2.5451388893998228E-2</v>
      </c>
      <c r="N97" s="7">
        <f t="shared" si="22"/>
        <v>36.650000007357448</v>
      </c>
      <c r="O97" s="7"/>
      <c r="P97" s="7"/>
      <c r="Q97" s="23"/>
      <c r="R97" s="23"/>
      <c r="S97" s="35">
        <f t="shared" si="23"/>
        <v>1</v>
      </c>
      <c r="T97" s="50" t="str">
        <f t="shared" si="24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13:06:16-0600',mode:absolute,to:'2016-11-06 15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26"/>
        <v>N</v>
      </c>
      <c r="X97" s="177">
        <f t="shared" si="27"/>
        <v>1</v>
      </c>
      <c r="Y97" s="67">
        <f t="shared" si="28"/>
        <v>4.3700000000000003E-2</v>
      </c>
      <c r="Z97" s="67">
        <f t="shared" si="29"/>
        <v>23.336400000000001</v>
      </c>
      <c r="AA97" s="67">
        <f t="shared" si="30"/>
        <v>23.2927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1"/>
        <v>0185-06</v>
      </c>
      <c r="AE97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97" s="88" t="str">
        <f t="shared" si="33"/>
        <v>"C:\Program Files (x86)\AstroGrep\AstroGrep.exe" /spath="%USERPROFILE%\AppData\Local\Temp\OnboardLogs" /stypes="app*4009*20161106*"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2" t="str">
        <f t="shared" si="35"/>
        <v>"%USERPROFILE%\Documents\GitHub\eaglep3\Utilities\RefineRTDCRunTimes.py" --tripid 185-06 --locoid 4009 --swversion DE.1.0.8.0 --startMP 204:437 --initTime 2016-11-06T14:06:16 --startdatetime 2016-11-06T14:15:15 --delay 1 --endMP 204:233364 --enddatetime 2016-11-06T14:51:54 --enforcementcount 0 &gt;&gt;C:\Users\stu\Documents\GitHub\eaglep3-reporting\EC\2016-11-06-refined-times.txt</v>
      </c>
      <c r="AI9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{"issue":{"subject":"","project_id":79,"tracker_id":40,"status_id":1,"priority_id":2,"assigned_to_id":23,"start_date":"2016-11-06","description":"","custom_fields":[{"id":1,"name":"Subdivision","value":"EC"},{"id":4,"name":"Milepost","value":"23.3364"},{"id":17,"name":"Train ID","value":"185-06"},{"id":16,"name":"Locomotive ID","value":"4009"},{"id":130,"name":"Impact","value":""},{"id":150,"name":"Time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541</v>
      </c>
      <c r="B98" s="7">
        <v>4010</v>
      </c>
      <c r="C98" s="22" t="s">
        <v>239</v>
      </c>
      <c r="D98" s="22" t="s">
        <v>704</v>
      </c>
      <c r="E98" s="13">
        <v>42680.629074074073</v>
      </c>
      <c r="F98" s="13">
        <v>42680.632835648146</v>
      </c>
      <c r="G98" s="7">
        <v>1</v>
      </c>
      <c r="H98" s="22" t="s">
        <v>205</v>
      </c>
      <c r="I98" s="13">
        <v>42680.658622685187</v>
      </c>
      <c r="J98" s="7">
        <v>0</v>
      </c>
      <c r="K98" s="112" t="str">
        <f t="shared" si="20"/>
        <v>4009/4010</v>
      </c>
      <c r="L98" s="22" t="str">
        <f>VLOOKUP(A98,'Trips&amp;Operators'!$C$1:$E$10000,3,FALSE)</f>
        <v>SHOOK</v>
      </c>
      <c r="M98" s="6">
        <f t="shared" si="21"/>
        <v>2.5787037040572613E-2</v>
      </c>
      <c r="N98" s="7">
        <f t="shared" si="22"/>
        <v>37.133333338424563</v>
      </c>
      <c r="O98" s="7"/>
      <c r="P98" s="7"/>
      <c r="Q98" s="23"/>
      <c r="R98" s="23"/>
      <c r="S98" s="35">
        <f t="shared" si="23"/>
        <v>1</v>
      </c>
      <c r="T98" s="50" t="str">
        <f t="shared" si="24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14:05:52-0600',mode:absolute,to:'2016-11-06 16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2" t="str">
        <f t="shared" si="26"/>
        <v>N</v>
      </c>
      <c r="X98" s="177">
        <f t="shared" si="27"/>
        <v>1</v>
      </c>
      <c r="Y98" s="67">
        <f t="shared" si="28"/>
        <v>23.3047</v>
      </c>
      <c r="Z98" s="67">
        <f t="shared" si="29"/>
        <v>1.49E-2</v>
      </c>
      <c r="AA98" s="67">
        <f t="shared" si="30"/>
        <v>23.2898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1"/>
        <v>0186-06</v>
      </c>
      <c r="AE98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98" s="88" t="str">
        <f t="shared" si="33"/>
        <v>"C:\Program Files (x86)\AstroGrep\AstroGrep.exe" /spath="%USERPROFILE%\AppData\Local\Temp\OnboardLogs" /stypes="app*4010*20161106*" /stext=" 22:.+((SYSTEM_STATE.+slice.+state.+changed )|(ment ac)|(system.+state.+changed )|(\[timeout)|(PRM\|1\|D)|(kpr)|(kdp)|(\|lc)|(penalty))" /e /r /s</v>
      </c>
      <c r="AG98" s="1" t="str">
        <f t="shared" si="34"/>
        <v>EC</v>
      </c>
      <c r="AH98" s="92" t="str">
        <f t="shared" si="35"/>
        <v>"%USERPROFILE%\Documents\GitHub\eaglep3\Utilities\RefineRTDCRunTimes.py" --tripid 186-06 --locoid 4010 --swversion DE.1.0.8.0 --startMP 204:233047 --initTime 2016-11-06T15:05:52 --startdatetime 2016-11-06T15:11:17 --delay 1 --endMP 204:149 --enddatetime 2016-11-06T15:48:25 --enforcementcount 0 &gt;&gt;C:\Users\stu\Documents\GitHub\eaglep3-reporting\EC\2016-11-06-refined-times.txt</v>
      </c>
      <c r="AI9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ID","value":"186-06"},{"id":16,"name":"Locomotive ID","value":"4010"},{"id":130,"name":"Impact","value":""},{"id":150,"name":"Time of Event (Mountain Time)","value":"15:48:25"},{"id":151,"name":"Denver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534</v>
      </c>
      <c r="B99" s="7">
        <v>4046</v>
      </c>
      <c r="C99" s="22" t="s">
        <v>239</v>
      </c>
      <c r="D99" s="22" t="s">
        <v>229</v>
      </c>
      <c r="E99" s="13">
        <v>42680.599803240744</v>
      </c>
      <c r="F99" s="13">
        <v>42680.604444444441</v>
      </c>
      <c r="G99" s="7">
        <v>1</v>
      </c>
      <c r="H99" s="22" t="s">
        <v>705</v>
      </c>
      <c r="I99" s="13">
        <v>42680.62877314815</v>
      </c>
      <c r="J99" s="7">
        <v>0</v>
      </c>
      <c r="K99" s="112" t="str">
        <f t="shared" si="20"/>
        <v>4045/4046</v>
      </c>
      <c r="L99" s="22" t="str">
        <f>VLOOKUP(A99,'Trips&amp;Operators'!$C$1:$E$10000,3,FALSE)</f>
        <v>STEWART</v>
      </c>
      <c r="M99" s="6">
        <f t="shared" si="21"/>
        <v>2.4328703708306421E-2</v>
      </c>
      <c r="N99" s="7">
        <f t="shared" si="22"/>
        <v>35.033333339961246</v>
      </c>
      <c r="O99" s="7"/>
      <c r="P99" s="7"/>
      <c r="Q99" s="23"/>
      <c r="R99" s="23"/>
      <c r="S99" s="35">
        <f t="shared" si="23"/>
        <v>1</v>
      </c>
      <c r="T99" s="50" t="str">
        <f t="shared" si="24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13:23:43-0600',mode:absolute,to:'2016-11-06 16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2" t="str">
        <f t="shared" si="26"/>
        <v>N</v>
      </c>
      <c r="X99" s="177">
        <f t="shared" si="27"/>
        <v>1</v>
      </c>
      <c r="Y99" s="67">
        <f t="shared" si="28"/>
        <v>4.6199999999999998E-2</v>
      </c>
      <c r="Z99" s="67">
        <f t="shared" si="29"/>
        <v>23.332599999999999</v>
      </c>
      <c r="AA99" s="67">
        <f t="shared" si="30"/>
        <v>23.2864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1"/>
        <v>0187-06</v>
      </c>
      <c r="AE99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99" s="88" t="str">
        <f t="shared" si="33"/>
        <v>"C:\Program Files (x86)\AstroGrep\AstroGrep.exe" /spath="%USERPROFILE%\AppData\Local\Temp\OnboardLogs" /stypes="app*4046*20161106*" /stext=" 22:.+((SYSTEM_STATE.+slice.+state.+changed )|(ment ac)|(system.+state.+changed )|(\[timeout)|(PRM\|1\|D)|(kpr)|(kdp)|(\|lc)|(penalty))" /e /r /s</v>
      </c>
      <c r="AG99" s="1" t="str">
        <f t="shared" si="34"/>
        <v>EC</v>
      </c>
      <c r="AH99" s="92" t="str">
        <f t="shared" si="35"/>
        <v>"%USERPROFILE%\Documents\GitHub\eaglep3\Utilities\RefineRTDCRunTimes.py" --tripid 187-06 --locoid 4046 --swversion DE.1.0.8.0 --startMP 204:462 --initTime 2016-11-06T14:23:43 --startdatetime 2016-11-06T14:30:24 --delay 1 --endMP 204:233326 --enddatetime 2016-11-06T15:05:26 --enforcementcount 0 &gt;&gt;C:\Users\stu\Documents\GitHub\eaglep3-reporting\EC\2016-11-06-refined-times.txt</v>
      </c>
      <c r="AI9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{"issue":{"subject":"","project_id":79,"tracker_id":40,"status_id":1,"priority_id":2,"assigned_to_id":23,"start_date":"2016-11-06","description":"","custom_fields":[{"id":1,"name":"Subdivision","value":"EC"},{"id":4,"name":"Milepost","value":"23.3326"},{"id":17,"name":"Train ID","value":"187-06"},{"id":16,"name":"Locomotive ID","value":"4046"},{"id":130,"name":"Impact","value":""},{"id":150,"name":"Time of Event (Mountain Time)","value":"15:05:26"},{"id":151,"name":"Denver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543</v>
      </c>
      <c r="B100" s="7">
        <v>4045</v>
      </c>
      <c r="C100" s="22" t="s">
        <v>239</v>
      </c>
      <c r="D100" s="22" t="s">
        <v>268</v>
      </c>
      <c r="E100" s="13">
        <v>42680.638784722221</v>
      </c>
      <c r="F100" s="13">
        <v>42680.643321759257</v>
      </c>
      <c r="G100" s="7">
        <v>1</v>
      </c>
      <c r="H100" s="22" t="s">
        <v>204</v>
      </c>
      <c r="I100" s="13">
        <v>42680.670092592591</v>
      </c>
      <c r="J100" s="7">
        <v>0</v>
      </c>
      <c r="K100" s="112" t="str">
        <f t="shared" si="20"/>
        <v>4045/4046</v>
      </c>
      <c r="L100" s="22" t="str">
        <f>VLOOKUP(A100,'Trips&amp;Operators'!$C$1:$E$10000,3,FALSE)</f>
        <v>STEWART</v>
      </c>
      <c r="M100" s="6">
        <f t="shared" si="21"/>
        <v>2.6770833334012423E-2</v>
      </c>
      <c r="N100" s="7">
        <f t="shared" si="22"/>
        <v>38.550000000977889</v>
      </c>
      <c r="O100" s="7"/>
      <c r="P100" s="7"/>
      <c r="Q100" s="23"/>
      <c r="R100" s="23"/>
      <c r="S100" s="35">
        <f t="shared" si="23"/>
        <v>1</v>
      </c>
      <c r="T100" s="50" t="str">
        <f t="shared" si="24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14:19:51-0600',mode:absolute,to:'2016-11-06 17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52" t="str">
        <f t="shared" si="26"/>
        <v>N</v>
      </c>
      <c r="X100" s="177">
        <f t="shared" si="27"/>
        <v>1</v>
      </c>
      <c r="Y100" s="67">
        <f t="shared" si="28"/>
        <v>23.297999999999998</v>
      </c>
      <c r="Z100" s="67">
        <f t="shared" si="29"/>
        <v>1.4500000000000001E-2</v>
      </c>
      <c r="AA100" s="67">
        <f t="shared" si="30"/>
        <v>23.283499999999997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1"/>
        <v>0188-06</v>
      </c>
      <c r="AE100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00" s="88" t="str">
        <f t="shared" si="33"/>
        <v>"C:\Program Files (x86)\AstroGrep\AstroGrep.exe" /spath="%USERPROFILE%\AppData\Local\Temp\OnboardLogs" /stypes="app*4045*20161106*" /stext=" 23:.+((SYSTEM_STATE.+slice.+state.+changed )|(ment ac)|(system.+state.+changed )|(\[timeout)|(PRM\|1\|D)|(kpr)|(kdp)|(\|lc)|(penalty))" /e /r /s</v>
      </c>
      <c r="AG100" s="1" t="str">
        <f t="shared" si="34"/>
        <v>EC</v>
      </c>
      <c r="AH100" s="92" t="str">
        <f t="shared" si="35"/>
        <v>"%USERPROFILE%\Documents\GitHub\eaglep3\Utilities\RefineRTDCRunTimes.py" --tripid 188-06 --locoid 4045 --swversion DE.1.0.8.0 --startMP 204:232980 --initTime 2016-11-06T15:19:51 --startdatetime 2016-11-06T15:26:23 --delay 1 --endMP 204:145 --enddatetime 2016-11-06T16:04:56 --enforcementcount 0 &gt;&gt;C:\Users\stu\Documents\GitHub\eaglep3-reporting\EC\2016-11-06-refined-times.txt</v>
      </c>
      <c r="AI10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ID","value":"188-06"},{"id":16,"name":"Locomotive ID","value":"4045"},{"id":130,"name":"Impact","value":""},{"id":150,"name":"Time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537</v>
      </c>
      <c r="B101" s="7">
        <v>4042</v>
      </c>
      <c r="C101" s="22" t="s">
        <v>239</v>
      </c>
      <c r="D101" s="22" t="s">
        <v>236</v>
      </c>
      <c r="E101" s="13">
        <v>42680.609965277778</v>
      </c>
      <c r="F101" s="13">
        <v>42680.614953703705</v>
      </c>
      <c r="G101" s="7">
        <v>1</v>
      </c>
      <c r="H101" s="22" t="s">
        <v>648</v>
      </c>
      <c r="I101" s="13">
        <v>42680.639687499999</v>
      </c>
      <c r="J101" s="7">
        <v>0</v>
      </c>
      <c r="K101" s="112" t="str">
        <f t="shared" si="20"/>
        <v>4041/4042</v>
      </c>
      <c r="L101" s="22" t="str">
        <f>VLOOKUP(A101,'Trips&amp;Operators'!$C$1:$E$10000,3,FALSE)</f>
        <v>BARTLETT</v>
      </c>
      <c r="M101" s="6">
        <f t="shared" si="21"/>
        <v>2.4733796293730848E-2</v>
      </c>
      <c r="N101" s="7">
        <f t="shared" si="22"/>
        <v>35.61666666297242</v>
      </c>
      <c r="O101" s="7"/>
      <c r="P101" s="7"/>
      <c r="Q101" s="23"/>
      <c r="R101" s="23"/>
      <c r="S101" s="35">
        <f t="shared" si="23"/>
        <v>1</v>
      </c>
      <c r="T101" s="50" t="str">
        <f t="shared" si="24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13:38:21-0600',mode:absolute,to:'2016-11-06 16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26"/>
        <v>N</v>
      </c>
      <c r="X101" s="177">
        <f t="shared" si="27"/>
        <v>1</v>
      </c>
      <c r="Y101" s="67">
        <f t="shared" si="28"/>
        <v>4.6399999999999997E-2</v>
      </c>
      <c r="Z101" s="67">
        <f t="shared" si="29"/>
        <v>23.331700000000001</v>
      </c>
      <c r="AA101" s="67">
        <f t="shared" si="30"/>
        <v>23.285300000000003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1"/>
        <v>0189-06</v>
      </c>
      <c r="AE101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01" s="88" t="str">
        <f t="shared" si="33"/>
        <v>"C:\Program Files (x86)\AstroGrep\AstroGrep.exe" /spath="%USERPROFILE%\AppData\Local\Temp\OnboardLogs" /stypes="app*4042*20161106*"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2" t="str">
        <f t="shared" si="35"/>
        <v>"%USERPROFILE%\Documents\GitHub\eaglep3\Utilities\RefineRTDCRunTimes.py" --tripid 189-06 --locoid 4042 --swversion DE.1.0.8.0 --startMP 204:464 --initTime 2016-11-06T14:38:21 --startdatetime 2016-11-06T14:45:32 --delay 1 --endMP 204:233317 --enddatetime 2016-11-06T15:21:09 --enforcementcount 0 &gt;&gt;C:\Users\stu\Documents\GitHub\eaglep3-reporting\EC\2016-11-06-refined-times.txt</v>
      </c>
      <c r="AI10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ID","value":"189-06"},{"id":16,"name":"Locomotive ID","value":"4042"},{"id":130,"name":"Impact","value":""},{"id":150,"name":"Time of Event (Mountain Time)","value":"15:21:09"},{"id":151,"name":"Denver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544</v>
      </c>
      <c r="B102" s="7">
        <v>4041</v>
      </c>
      <c r="C102" s="22" t="s">
        <v>239</v>
      </c>
      <c r="D102" s="22" t="s">
        <v>706</v>
      </c>
      <c r="E102" s="13">
        <v>42680.641631944447</v>
      </c>
      <c r="F102" s="13">
        <v>42680.653657407405</v>
      </c>
      <c r="G102" s="7">
        <v>1</v>
      </c>
      <c r="H102" s="22" t="s">
        <v>366</v>
      </c>
      <c r="I102" s="13">
        <v>42680.679988425924</v>
      </c>
      <c r="J102" s="7">
        <v>0</v>
      </c>
      <c r="K102" s="112" t="str">
        <f t="shared" si="20"/>
        <v>4041/4042</v>
      </c>
      <c r="L102" s="22" t="str">
        <f>VLOOKUP(A102,'Trips&amp;Operators'!$C$1:$E$10000,3,FALSE)</f>
        <v>BARTLETT</v>
      </c>
      <c r="M102" s="6">
        <f t="shared" si="21"/>
        <v>2.6331018518249039E-2</v>
      </c>
      <c r="N102" s="7">
        <f t="shared" si="22"/>
        <v>37.916666666278616</v>
      </c>
      <c r="O102" s="7"/>
      <c r="P102" s="7"/>
      <c r="Q102" s="23"/>
      <c r="R102" s="23"/>
      <c r="S102" s="35">
        <f t="shared" si="23"/>
        <v>1</v>
      </c>
      <c r="T102" s="50" t="str">
        <f t="shared" si="24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14:23:57-0600',mode:absolute,to:'2016-11-06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26"/>
        <v>N</v>
      </c>
      <c r="X102" s="177">
        <f t="shared" si="27"/>
        <v>1</v>
      </c>
      <c r="Y102" s="67">
        <f t="shared" si="28"/>
        <v>23.301300000000001</v>
      </c>
      <c r="Z102" s="67">
        <f t="shared" si="29"/>
        <v>1.4999999999999999E-2</v>
      </c>
      <c r="AA102" s="67">
        <f t="shared" si="30"/>
        <v>23.286300000000001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1"/>
        <v>0190-06</v>
      </c>
      <c r="AE102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02" s="88" t="str">
        <f t="shared" si="33"/>
        <v>"C:\Program Files (x86)\AstroGrep\AstroGrep.exe" /spath="%USERPROFILE%\AppData\Local\Temp\OnboardLogs" /stypes="app*4041*20161106*" /stext=" 23:.+((SYSTEM_STATE.+slice.+state.+changed )|(ment ac)|(system.+state.+changed )|(\[timeout)|(PRM\|1\|D)|(kpr)|(kdp)|(\|lc)|(penalty))" /e /r /s</v>
      </c>
      <c r="AG102" s="1" t="str">
        <f t="shared" si="34"/>
        <v>EC</v>
      </c>
      <c r="AH102" s="92" t="str">
        <f t="shared" si="35"/>
        <v>"%USERPROFILE%\Documents\GitHub\eaglep3\Utilities\RefineRTDCRunTimes.py" --tripid 190-06 --locoid 4041 --swversion DE.1.0.8.0 --startMP 204:233013 --initTime 2016-11-06T15:23:57 --startdatetime 2016-11-06T15:41:16 --delay 1 --endMP 204:150 --enddatetime 2016-11-06T16:19:11 --enforcementcount 0 &gt;&gt;C:\Users\stu\Documents\GitHub\eaglep3-reporting\EC\2016-11-06-refined-times.txt</v>
      </c>
      <c r="AI10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ID","value":"190-06"},{"id":16,"name":"Locomotive ID","value":"4041"},{"id":130,"name":"Impact","value":""},{"id":150,"name":"Time of Event (Mountain Time)","value":"16:19:11"},{"id":151,"name":"Denver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539</v>
      </c>
      <c r="B103" s="7">
        <v>4011</v>
      </c>
      <c r="C103" s="22" t="s">
        <v>239</v>
      </c>
      <c r="D103" s="22" t="s">
        <v>236</v>
      </c>
      <c r="E103" s="13">
        <v>42680.61917824074</v>
      </c>
      <c r="F103" s="13">
        <v>42680.625347222223</v>
      </c>
      <c r="G103" s="7">
        <v>1</v>
      </c>
      <c r="H103" s="22" t="s">
        <v>211</v>
      </c>
      <c r="I103" s="13">
        <v>42680.649328703701</v>
      </c>
      <c r="J103" s="7">
        <v>0</v>
      </c>
      <c r="K103" s="112" t="str">
        <f t="shared" si="20"/>
        <v>4011/4012</v>
      </c>
      <c r="L103" s="22" t="str">
        <f>VLOOKUP(A103,'Trips&amp;Operators'!$C$1:$E$10000,3,FALSE)</f>
        <v>BRUDER</v>
      </c>
      <c r="M103" s="6">
        <f t="shared" si="21"/>
        <v>2.3981481477676425E-2</v>
      </c>
      <c r="N103" s="7">
        <f t="shared" si="22"/>
        <v>34.533333327854052</v>
      </c>
      <c r="O103" s="7"/>
      <c r="P103" s="7"/>
      <c r="Q103" s="23"/>
      <c r="R103" s="23"/>
      <c r="S103" s="35">
        <f t="shared" si="23"/>
        <v>1</v>
      </c>
      <c r="T103" s="50" t="str">
        <f t="shared" si="24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13:51:37-0600',mode:absolute,to:'2016-11-06 16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6"/>
        <v>N</v>
      </c>
      <c r="X103" s="177">
        <f t="shared" si="27"/>
        <v>1</v>
      </c>
      <c r="Y103" s="67">
        <f t="shared" si="28"/>
        <v>4.6399999999999997E-2</v>
      </c>
      <c r="Z103" s="67">
        <f t="shared" si="29"/>
        <v>23.329499999999999</v>
      </c>
      <c r="AA103" s="67">
        <f t="shared" si="30"/>
        <v>23.283100000000001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1"/>
        <v>0191-06</v>
      </c>
      <c r="AE103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03" s="88" t="str">
        <f t="shared" si="33"/>
        <v>"C:\Program Files (x86)\AstroGrep\AstroGrep.exe" /spath="%USERPROFILE%\AppData\Local\Temp\OnboardLogs" /stypes="app*4011*20161106*"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2" t="str">
        <f t="shared" si="35"/>
        <v>"%USERPROFILE%\Documents\GitHub\eaglep3\Utilities\RefineRTDCRunTimes.py" --tripid 191-06 --locoid 4011 --swversion DE.1.0.8.0 --startMP 204:464 --initTime 2016-11-06T14:51:37 --startdatetime 2016-11-06T15:00:30 --delay 1 --endMP 204:233295 --enddatetime 2016-11-06T15:35:02 --enforcementcount 0 &gt;&gt;C:\Users\stu\Documents\GitHub\eaglep3-reporting\EC\2016-11-06-refined-times.txt</v>
      </c>
      <c r="AI10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ID","value":"191-06"},{"id":16,"name":"Locomotive ID","value":"4011"},{"id":130,"name":"Impact","value":""},{"id":150,"name":"Time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548</v>
      </c>
      <c r="B104" s="7">
        <v>4012</v>
      </c>
      <c r="C104" s="22" t="s">
        <v>239</v>
      </c>
      <c r="D104" s="22" t="s">
        <v>335</v>
      </c>
      <c r="E104" s="13">
        <v>42680.657905092594</v>
      </c>
      <c r="F104" s="13">
        <v>42680.664085648146</v>
      </c>
      <c r="G104" s="7">
        <v>6</v>
      </c>
      <c r="H104" s="22" t="s">
        <v>224</v>
      </c>
      <c r="I104" s="13">
        <v>42680.690150462964</v>
      </c>
      <c r="J104" s="7">
        <v>0</v>
      </c>
      <c r="K104" s="112" t="str">
        <f t="shared" si="20"/>
        <v>4011/4012</v>
      </c>
      <c r="L104" s="22" t="str">
        <f>VLOOKUP(A104,'Trips&amp;Operators'!$C$1:$E$10000,3,FALSE)</f>
        <v>BRUDER</v>
      </c>
      <c r="M104" s="6">
        <f t="shared" si="21"/>
        <v>2.6064814817800652E-2</v>
      </c>
      <c r="N104" s="7">
        <f t="shared" si="22"/>
        <v>37.533333337632939</v>
      </c>
      <c r="O104" s="7"/>
      <c r="P104" s="7"/>
      <c r="Q104" s="23"/>
      <c r="R104" s="23"/>
      <c r="S104" s="35">
        <f t="shared" si="23"/>
        <v>1</v>
      </c>
      <c r="T104" s="50" t="str">
        <f t="shared" si="24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14:47:23-0600',mode:absolute,to:'2016-11-06 17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6"/>
        <v>N</v>
      </c>
      <c r="X104" s="177">
        <f t="shared" si="27"/>
        <v>1</v>
      </c>
      <c r="Y104" s="67">
        <f t="shared" si="28"/>
        <v>23.2986</v>
      </c>
      <c r="Z104" s="67">
        <f t="shared" si="29"/>
        <v>1.5599999999999999E-2</v>
      </c>
      <c r="AA104" s="67">
        <f t="shared" si="30"/>
        <v>23.283000000000001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1"/>
        <v>0192-06</v>
      </c>
      <c r="AE104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04" s="88" t="str">
        <f t="shared" si="33"/>
        <v>"C:\Program Files (x86)\AstroGrep\AstroGrep.exe" /spath="%USERPROFILE%\AppData\Local\Temp\OnboardLogs" /stypes="app*4012*20161106*" /stext=" 23:.+((SYSTEM_STATE.+slice.+state.+changed )|(ment ac)|(system.+state.+changed )|(\[timeout)|(PRM\|1\|D)|(kpr)|(kdp)|(\|lc)|(penalty))" /e /r /s</v>
      </c>
      <c r="AG104" s="1" t="str">
        <f t="shared" si="34"/>
        <v>EC</v>
      </c>
      <c r="AH104" s="92" t="str">
        <f t="shared" si="35"/>
        <v>"%USERPROFILE%\Documents\GitHub\eaglep3\Utilities\RefineRTDCRunTimes.py" --tripid 192-06 --locoid 4012 --swversion DE.1.0.8.0 --startMP 204:232986 --initTime 2016-11-06T15:47:23 --startdatetime 2016-11-06T15:56:17 --delay 6 --endMP 204:156 --enddatetime 2016-11-06T16:33:49 --enforcementcount 0 &gt;&gt;C:\Users\stu\Documents\GitHub\eaglep3-reporting\EC\2016-11-06-refined-times.txt</v>
      </c>
      <c r="AI10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ID","value":"192-06"},{"id":16,"name":"Locomotive ID","value":"4012"},{"id":130,"name":"Impact","value":""},{"id":150,"name":"Time of Event (Mountain Time)","value":"16:33:49"},{"id":151,"name":"Denver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542</v>
      </c>
      <c r="B105" s="7">
        <v>4040</v>
      </c>
      <c r="C105" s="22" t="s">
        <v>239</v>
      </c>
      <c r="D105" s="22" t="s">
        <v>652</v>
      </c>
      <c r="E105" s="13">
        <v>42680.63013888889</v>
      </c>
      <c r="F105" s="13">
        <v>42680.635706018518</v>
      </c>
      <c r="G105" s="7">
        <v>1</v>
      </c>
      <c r="H105" s="22" t="s">
        <v>276</v>
      </c>
      <c r="I105" s="13">
        <v>42680.660150462965</v>
      </c>
      <c r="J105" s="7">
        <v>0</v>
      </c>
      <c r="K105" s="112" t="str">
        <f t="shared" si="20"/>
        <v>4039/4040</v>
      </c>
      <c r="L105" s="22" t="str">
        <f>VLOOKUP(A105,'Trips&amp;Operators'!$C$1:$E$10000,3,FALSE)</f>
        <v>MAHAN</v>
      </c>
      <c r="M105" s="6">
        <f t="shared" si="21"/>
        <v>2.4444444446999114E-2</v>
      </c>
      <c r="N105" s="7">
        <f t="shared" si="22"/>
        <v>35.200000003678724</v>
      </c>
      <c r="O105" s="7"/>
      <c r="P105" s="7"/>
      <c r="Q105" s="23"/>
      <c r="R105" s="23"/>
      <c r="S105" s="35">
        <f t="shared" si="23"/>
        <v>1</v>
      </c>
      <c r="T105" s="50" t="str">
        <f t="shared" si="24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14:07:24-0600',mode:absolute,to:'2016-11-06 16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26"/>
        <v>N</v>
      </c>
      <c r="X105" s="177">
        <f t="shared" si="27"/>
        <v>1</v>
      </c>
      <c r="Y105" s="67">
        <f t="shared" si="28"/>
        <v>4.3999999999999997E-2</v>
      </c>
      <c r="Z105" s="67">
        <f t="shared" si="29"/>
        <v>23.330200000000001</v>
      </c>
      <c r="AA105" s="67">
        <f t="shared" si="30"/>
        <v>23.286200000000001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1"/>
        <v>0193-06</v>
      </c>
      <c r="AE105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05" s="88" t="str">
        <f t="shared" si="33"/>
        <v>"C:\Program Files (x86)\AstroGrep\AstroGrep.exe" /spath="%USERPROFILE%\AppData\Local\Temp\OnboardLogs" /stypes="app*4040*20161106*"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2" t="str">
        <f t="shared" si="35"/>
        <v>"%USERPROFILE%\Documents\GitHub\eaglep3\Utilities\RefineRTDCRunTimes.py" --tripid 193-06 --locoid 4040 --swversion DE.1.0.8.0 --startMP 204:440 --initTime 2016-11-06T15:07:24 --startdatetime 2016-11-06T15:15:25 --delay 1 --endMP 204:233302 --enddatetime 2016-11-06T15:50:37 --enforcementcount 0 &gt;&gt;C:\Users\stu\Documents\GitHub\eaglep3-reporting\EC\2016-11-06-refined-times.txt</v>
      </c>
      <c r="AI10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ID","value":"193-06"},{"id":16,"name":"Locomotive ID","value":"4040"},{"id":130,"name":"Impact","value":""},{"id":150,"name":"Time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411</v>
      </c>
      <c r="B106" s="7">
        <v>4039</v>
      </c>
      <c r="C106" s="22" t="s">
        <v>239</v>
      </c>
      <c r="D106" s="22" t="s">
        <v>333</v>
      </c>
      <c r="E106" s="13">
        <v>42680.669537037036</v>
      </c>
      <c r="F106" s="13">
        <v>42680.674583333333</v>
      </c>
      <c r="G106" s="7">
        <v>1</v>
      </c>
      <c r="H106" s="22" t="s">
        <v>228</v>
      </c>
      <c r="I106" s="13">
        <v>42680.701574074075</v>
      </c>
      <c r="J106" s="7">
        <v>0</v>
      </c>
      <c r="K106" s="112" t="str">
        <f t="shared" si="20"/>
        <v>4039/4040</v>
      </c>
      <c r="L106" s="22" t="str">
        <f>VLOOKUP(A106,'Trips&amp;Operators'!$C$1:$E$10000,3,FALSE)</f>
        <v>MAHAN</v>
      </c>
      <c r="M106" s="6">
        <f t="shared" si="21"/>
        <v>2.6990740741894115E-2</v>
      </c>
      <c r="N106" s="7">
        <f t="shared" si="22"/>
        <v>38.866666668327525</v>
      </c>
      <c r="O106" s="7"/>
      <c r="P106" s="7"/>
      <c r="Q106" s="23"/>
      <c r="R106" s="23"/>
      <c r="S106" s="35">
        <f t="shared" si="23"/>
        <v>1</v>
      </c>
      <c r="T106" s="50" t="str">
        <f t="shared" si="24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15:04:08-0600',mode:absolute,to:'2016-11-06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26"/>
        <v>N</v>
      </c>
      <c r="X106" s="177">
        <f t="shared" si="27"/>
        <v>1</v>
      </c>
      <c r="Y106" s="67">
        <f t="shared" si="28"/>
        <v>23.2989</v>
      </c>
      <c r="Z106" s="67">
        <f t="shared" si="29"/>
        <v>1.38E-2</v>
      </c>
      <c r="AA106" s="67">
        <f t="shared" si="30"/>
        <v>23.2851</v>
      </c>
      <c r="AB106" s="64" t="str">
        <f>VLOOKUP(A106,Enforcements!$C$7:$K$21,8,0)</f>
        <v>Form based authority (4)</v>
      </c>
      <c r="AC106" s="60" t="str">
        <f>VLOOKUP(A106,Enforcements!$C$7:$E$21,3,0)</f>
        <v>TRACK WARRANT AUTHORITY</v>
      </c>
      <c r="AD106" s="61" t="str">
        <f t="shared" si="31"/>
        <v>0194-06</v>
      </c>
      <c r="AE106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06" s="88" t="str">
        <f t="shared" si="33"/>
        <v>"C:\Program Files (x86)\AstroGrep\AstroGrep.exe" /spath="%USERPROFILE%\AppData\Local\Temp\OnboardLogs" /stypes="app*4039*20161106*" /stext=" 23:.+((SYSTEM_STATE.+slice.+state.+changed )|(ment ac)|(system.+state.+changed )|(\[timeout)|(PRM\|1\|D)|(kpr)|(kdp)|(\|lc)|(penalty))" /e /r /s</v>
      </c>
      <c r="AG106" s="1" t="str">
        <f t="shared" si="34"/>
        <v>EC</v>
      </c>
      <c r="AH106" s="92" t="str">
        <f t="shared" si="35"/>
        <v>"%USERPROFILE%\Documents\GitHub\eaglep3\Utilities\RefineRTDCRunTimes.py" --tripid 194-06 --locoid 4039 --swversion DE.1.0.8.0 --startMP 204:232989 --initTime 2016-11-06T16:04:08 --startdatetime 2016-11-06T16:11:24 --delay 1 --endMP 204:138 --enddatetime 2016-11-06T16:50:16 --enforcementcount 0 &gt;&gt;C:\Users\stu\Documents\GitHub\eaglep3-reporting\EC\2016-11-06-refined-times.txt</v>
      </c>
      <c r="AI10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ID","value":"194-06"},{"id":16,"name":"Locomotive ID","value":"4039"},{"id":130,"name":"Impact","value":""},{"id":150,"name":"Time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545</v>
      </c>
      <c r="B107" s="7">
        <v>4007</v>
      </c>
      <c r="C107" s="22" t="s">
        <v>239</v>
      </c>
      <c r="D107" s="22" t="s">
        <v>337</v>
      </c>
      <c r="E107" s="13">
        <v>42680.644131944442</v>
      </c>
      <c r="F107" s="13">
        <v>42680.646469907406</v>
      </c>
      <c r="G107" s="7">
        <v>1</v>
      </c>
      <c r="H107" s="22" t="s">
        <v>191</v>
      </c>
      <c r="I107" s="13">
        <v>42680.672453703701</v>
      </c>
      <c r="J107" s="7">
        <v>0</v>
      </c>
      <c r="K107" s="112" t="str">
        <f t="shared" si="20"/>
        <v>4007/4008</v>
      </c>
      <c r="L107" s="22" t="str">
        <f>VLOOKUP(A107,'Trips&amp;Operators'!$C$1:$E$10000,3,FALSE)</f>
        <v>YOUNG</v>
      </c>
      <c r="M107" s="6">
        <f t="shared" si="21"/>
        <v>2.5983796294895001E-2</v>
      </c>
      <c r="N107" s="7">
        <f t="shared" si="22"/>
        <v>37.416666664648801</v>
      </c>
      <c r="O107" s="7"/>
      <c r="P107" s="7"/>
      <c r="Q107" s="23"/>
      <c r="R107" s="23"/>
      <c r="S107" s="35">
        <f t="shared" si="23"/>
        <v>1</v>
      </c>
      <c r="T107" s="50" t="str">
        <f t="shared" si="24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14:27:33-0600',mode:absolute,to:'2016-11-06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7" s="52" t="str">
        <f t="shared" si="26"/>
        <v>N</v>
      </c>
      <c r="X107" s="177">
        <f t="shared" si="27"/>
        <v>1</v>
      </c>
      <c r="Y107" s="67">
        <f t="shared" si="28"/>
        <v>4.7100000000000003E-2</v>
      </c>
      <c r="Z107" s="67">
        <f t="shared" si="29"/>
        <v>23.329699999999999</v>
      </c>
      <c r="AA107" s="67">
        <f t="shared" si="30"/>
        <v>23.282599999999999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1"/>
        <v>0195-06</v>
      </c>
      <c r="AE107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07" s="88" t="str">
        <f t="shared" si="33"/>
        <v>"C:\Program Files (x86)\AstroGrep\AstroGrep.exe" /spath="%USERPROFILE%\AppData\Local\Temp\OnboardLogs" /stypes="app*4007*20161106*" /stext=" 23:.+((SYSTEM_STATE.+slice.+state.+changed )|(ment ac)|(system.+state.+changed )|(\[timeout)|(PRM\|1\|D)|(kpr)|(kdp)|(\|lc)|(penalty))" /e /r /s</v>
      </c>
      <c r="AG107" s="1" t="str">
        <f t="shared" si="34"/>
        <v>EC</v>
      </c>
      <c r="AH107" s="92" t="str">
        <f t="shared" si="35"/>
        <v>"%USERPROFILE%\Documents\GitHub\eaglep3\Utilities\RefineRTDCRunTimes.py" --tripid 195-06 --locoid 4007 --swversion DE.1.0.8.0 --startMP 204:471 --initTime 2016-11-06T15:27:33 --startdatetime 2016-11-06T15:30:55 --delay 1 --endMP 204:233297 --enddatetime 2016-11-06T16:08:20 --enforcementcount 0 &gt;&gt;C:\Users\stu\Documents\GitHub\eaglep3-reporting\EC\2016-11-06-refined-times.txt</v>
      </c>
      <c r="AI10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ID","value":"195-06"},{"id":16,"name":"Locomotive ID","value":"4007"},{"id":130,"name":"Impact","value":""},{"id":150,"name":"Time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551</v>
      </c>
      <c r="B108" s="7">
        <v>4008</v>
      </c>
      <c r="C108" s="22" t="s">
        <v>239</v>
      </c>
      <c r="D108" s="22" t="s">
        <v>268</v>
      </c>
      <c r="E108" s="13">
        <v>42680.675671296296</v>
      </c>
      <c r="F108" s="13">
        <v>42680.684895833336</v>
      </c>
      <c r="G108" s="7">
        <v>1</v>
      </c>
      <c r="H108" s="22" t="s">
        <v>710</v>
      </c>
      <c r="I108" s="13">
        <v>42680.713865740741</v>
      </c>
      <c r="J108" s="7">
        <v>0</v>
      </c>
      <c r="K108" s="112" t="str">
        <f t="shared" si="20"/>
        <v>4007/4008</v>
      </c>
      <c r="L108" s="22" t="str">
        <f>VLOOKUP(A108,'Trips&amp;Operators'!$C$1:$E$10000,3,FALSE)</f>
        <v>YOUNG</v>
      </c>
      <c r="M108" s="6">
        <f t="shared" si="21"/>
        <v>2.8969907405553386E-2</v>
      </c>
      <c r="N108" s="7">
        <f t="shared" si="22"/>
        <v>41.716666663996875</v>
      </c>
      <c r="O108" s="7"/>
      <c r="P108" s="7"/>
      <c r="Q108" s="23"/>
      <c r="R108" s="23"/>
      <c r="S108" s="35">
        <f t="shared" si="23"/>
        <v>1</v>
      </c>
      <c r="T108" s="50" t="str">
        <f t="shared" si="24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15:12:58-0600',mode:absolute,to:'2016-11-06 18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8" s="52" t="str">
        <f t="shared" si="26"/>
        <v>N</v>
      </c>
      <c r="X108" s="177">
        <f t="shared" ref="X108:X139" si="37">VALUE(LEFT(AD108,4))-VALUE(LEFT(AD107,4))</f>
        <v>1</v>
      </c>
      <c r="Y108" s="67">
        <f t="shared" si="28"/>
        <v>23.297999999999998</v>
      </c>
      <c r="Z108" s="67">
        <f t="shared" si="29"/>
        <v>1.2500000000000001E-2</v>
      </c>
      <c r="AA108" s="67">
        <f t="shared" si="30"/>
        <v>23.285499999999999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1"/>
        <v>0196-06</v>
      </c>
      <c r="AE108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08" s="88" t="str">
        <f t="shared" si="33"/>
        <v>"C:\Program Files (x86)\AstroGrep\AstroGrep.exe" /spath="%USERPROFILE%\AppData\Local\Temp\OnboardLogs" /stypes="app*4008*20161107*" /stext=" 00:.+((SYSTEM_STATE.+slice.+state.+changed )|(ment ac)|(system.+state.+changed )|(\[timeout)|(PRM\|1\|D)|(kpr)|(kdp)|(\|lc)|(penalty))" /e /r /s</v>
      </c>
      <c r="AG108" s="1" t="str">
        <f t="shared" si="34"/>
        <v>EC</v>
      </c>
      <c r="AH108" s="92" t="str">
        <f t="shared" si="35"/>
        <v>"%USERPROFILE%\Documents\GitHub\eaglep3\Utilities\RefineRTDCRunTimes.py" --tripid 196-06 --locoid 4008 --swversion DE.1.0.8.0 --startMP 204:232980 --initTime 2016-11-06T16:12:58 --startdatetime 2016-11-06T16:26:15 --delay 1 --endMP 204:125 --enddatetime 2016-11-06T17:07:58 --enforcementcount 0 &gt;&gt;C:\Users\stu\Documents\GitHub\eaglep3-reporting\EC\2016-11-06-refined-times.txt</v>
      </c>
      <c r="AI10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{"issue":{"subject":"","project_id":79,"tracker_id":40,"status_id":1,"priority_id":2,"assigned_to_id":23,"start_date":"2016-11-06","description":"","custom_fields":[{"id":1,"name":"Subdivision","value":"EC"},{"id":4,"name":"Milepost","value":"0.0125"},{"id":17,"name":"Train ID","value":"196-06"},{"id":16,"name":"Locomotive ID","value":"4008"},{"id":130,"name":"Impact","value":""},{"id":150,"name":"Time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547</v>
      </c>
      <c r="B109" s="7">
        <v>4044</v>
      </c>
      <c r="C109" s="22" t="s">
        <v>239</v>
      </c>
      <c r="D109" s="22" t="s">
        <v>376</v>
      </c>
      <c r="E109" s="13">
        <v>42680.651122685187</v>
      </c>
      <c r="F109" s="13">
        <v>42680.656435185185</v>
      </c>
      <c r="G109" s="7">
        <v>1</v>
      </c>
      <c r="H109" s="22" t="s">
        <v>368</v>
      </c>
      <c r="I109" s="13">
        <v>42680.682256944441</v>
      </c>
      <c r="J109" s="7">
        <v>0</v>
      </c>
      <c r="K109" s="112" t="str">
        <f t="shared" si="20"/>
        <v>4043/4044</v>
      </c>
      <c r="L109" s="22" t="str">
        <f>VLOOKUP(A109,'Trips&amp;Operators'!$C$1:$E$10000,3,FALSE)</f>
        <v>CLARK</v>
      </c>
      <c r="M109" s="6">
        <f t="shared" si="21"/>
        <v>2.5821759256359655E-2</v>
      </c>
      <c r="N109" s="7">
        <f t="shared" si="22"/>
        <v>37.183333329157904</v>
      </c>
      <c r="O109" s="7"/>
      <c r="P109" s="7"/>
      <c r="Q109" s="23"/>
      <c r="R109" s="23"/>
      <c r="S109" s="35">
        <f t="shared" si="23"/>
        <v>1</v>
      </c>
      <c r="T109" s="50" t="str">
        <f t="shared" si="24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14:37:37-0600',mode:absolute,to:'2016-11-06 17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6"/>
        <v>N</v>
      </c>
      <c r="X109" s="177">
        <f t="shared" si="37"/>
        <v>1</v>
      </c>
      <c r="Y109" s="67">
        <f t="shared" si="28"/>
        <v>4.3499999999999997E-2</v>
      </c>
      <c r="Z109" s="67">
        <f t="shared" si="29"/>
        <v>23.330400000000001</v>
      </c>
      <c r="AA109" s="67">
        <f t="shared" si="30"/>
        <v>23.286899999999999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1"/>
        <v>0197-06</v>
      </c>
      <c r="AE109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09" s="88" t="str">
        <f t="shared" si="33"/>
        <v>"C:\Program Files (x86)\AstroGrep\AstroGrep.exe" /spath="%USERPROFILE%\AppData\Local\Temp\OnboardLogs" /stypes="app*4044*20161106*"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2" t="str">
        <f t="shared" si="35"/>
        <v>"%USERPROFILE%\Documents\GitHub\eaglep3\Utilities\RefineRTDCRunTimes.py" --tripid 197-06 --locoid 4044 --swversion DE.1.0.8.0 --startMP 204:435 --initTime 2016-11-06T15:37:37 --startdatetime 2016-11-06T15:45:16 --delay 1 --endMP 204:233304 --enddatetime 2016-11-06T16:22:27 --enforcementcount 0 &gt;&gt;C:\Users\stu\Documents\GitHub\eaglep3-reporting\EC\2016-11-06-refined-times.txt</v>
      </c>
      <c r="AI10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ID","value":"197-06"},{"id":16,"name":"Locomotive ID","value":"4044"},{"id":130,"name":"Impact","value":""},{"id":150,"name":"Time of Event (Mountain Time)","value":"16:22:27"},{"id":151,"name":"Denver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554</v>
      </c>
      <c r="B110" s="7">
        <v>4043</v>
      </c>
      <c r="C110" s="22" t="s">
        <v>239</v>
      </c>
      <c r="D110" s="22" t="s">
        <v>307</v>
      </c>
      <c r="E110" s="13">
        <v>42680.689918981479</v>
      </c>
      <c r="F110" s="13">
        <v>42680.6953125</v>
      </c>
      <c r="G110" s="7">
        <v>1</v>
      </c>
      <c r="H110" s="22" t="s">
        <v>203</v>
      </c>
      <c r="I110" s="13">
        <v>42680.722326388888</v>
      </c>
      <c r="J110" s="7">
        <v>0</v>
      </c>
      <c r="K110" s="112" t="str">
        <f t="shared" si="20"/>
        <v>4043/4044</v>
      </c>
      <c r="L110" s="22" t="str">
        <f>VLOOKUP(A110,'Trips&amp;Operators'!$C$1:$E$10000,3,FALSE)</f>
        <v>CLARK</v>
      </c>
      <c r="M110" s="6">
        <f t="shared" si="21"/>
        <v>2.7013888888177462E-2</v>
      </c>
      <c r="N110" s="7">
        <f t="shared" si="22"/>
        <v>38.899999998975545</v>
      </c>
      <c r="O110" s="7"/>
      <c r="P110" s="7"/>
      <c r="Q110" s="23"/>
      <c r="R110" s="23"/>
      <c r="S110" s="35">
        <f t="shared" si="23"/>
        <v>1</v>
      </c>
      <c r="T110" s="50" t="str">
        <f t="shared" si="24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15:33:29-0600',mode:absolute,to:'2016-11-06 18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6"/>
        <v>N</v>
      </c>
      <c r="X110" s="177">
        <f t="shared" si="37"/>
        <v>1</v>
      </c>
      <c r="Y110" s="67">
        <f t="shared" si="28"/>
        <v>23.2987</v>
      </c>
      <c r="Z110" s="67">
        <f t="shared" si="29"/>
        <v>1.54E-2</v>
      </c>
      <c r="AA110" s="67">
        <f t="shared" si="30"/>
        <v>23.283300000000001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1"/>
        <v>0198-06</v>
      </c>
      <c r="AE110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10" s="88" t="str">
        <f t="shared" si="33"/>
        <v>"C:\Program Files (x86)\AstroGrep\AstroGrep.exe" /spath="%USERPROFILE%\AppData\Local\Temp\OnboardLogs" /stypes="app*4043*20161107*" /stext=" 00:.+((SYSTEM_STATE.+slice.+state.+changed )|(ment ac)|(system.+state.+changed )|(\[timeout)|(PRM\|1\|D)|(kpr)|(kdp)|(\|lc)|(penalty))" /e /r /s</v>
      </c>
      <c r="AG110" s="1" t="str">
        <f t="shared" si="34"/>
        <v>EC</v>
      </c>
      <c r="AH110" s="92" t="str">
        <f t="shared" si="35"/>
        <v>"%USERPROFILE%\Documents\GitHub\eaglep3\Utilities\RefineRTDCRunTimes.py" --tripid 198-06 --locoid 4043 --swversion DE.1.0.8.0 --startMP 204:232987 --initTime 2016-11-06T16:33:29 --startdatetime 2016-11-06T16:41:15 --delay 1 --endMP 204:154 --enddatetime 2016-11-06T17:20:09 --enforcementcount 0 &gt;&gt;C:\Users\stu\Documents\GitHub\eaglep3-reporting\EC\2016-11-06-refined-times.txt</v>
      </c>
      <c r="AI11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ID","value":"198-06"},{"id":16,"name":"Locomotive ID","value":"4043"},{"id":130,"name":"Impact","value":""},{"id":150,"name":"Time of Event (Mountain Time)","value":"17:20:09"},{"id":151,"name":"Denver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549</v>
      </c>
      <c r="B111" s="7">
        <v>4009</v>
      </c>
      <c r="C111" s="22" t="s">
        <v>239</v>
      </c>
      <c r="D111" s="22" t="s">
        <v>313</v>
      </c>
      <c r="E111" s="13">
        <v>42680.661076388889</v>
      </c>
      <c r="F111" s="13">
        <v>42680.666909722226</v>
      </c>
      <c r="G111" s="7">
        <v>1</v>
      </c>
      <c r="H111" s="22" t="s">
        <v>711</v>
      </c>
      <c r="I111" s="13">
        <v>42680.692233796297</v>
      </c>
      <c r="J111" s="7">
        <v>0</v>
      </c>
      <c r="K111" s="112" t="str">
        <f t="shared" si="20"/>
        <v>4009/4010</v>
      </c>
      <c r="L111" s="22" t="str">
        <f>VLOOKUP(A111,'Trips&amp;Operators'!$C$1:$E$10000,3,FALSE)</f>
        <v>SHOOK</v>
      </c>
      <c r="M111" s="6">
        <f t="shared" si="21"/>
        <v>2.5324074071249925E-2</v>
      </c>
      <c r="N111" s="7">
        <f t="shared" si="22"/>
        <v>36.466666662599891</v>
      </c>
      <c r="O111" s="7"/>
      <c r="P111" s="7"/>
      <c r="Q111" s="23"/>
      <c r="R111" s="23"/>
      <c r="S111" s="35">
        <f t="shared" si="23"/>
        <v>1</v>
      </c>
      <c r="T111" s="50" t="str">
        <f t="shared" si="24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14:51:57-0600',mode:absolute,to:'2016-11-06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26"/>
        <v>N</v>
      </c>
      <c r="X111" s="177">
        <f t="shared" si="37"/>
        <v>1</v>
      </c>
      <c r="Y111" s="67">
        <f t="shared" si="28"/>
        <v>4.6899999999999997E-2</v>
      </c>
      <c r="Z111" s="67">
        <f t="shared" si="29"/>
        <v>23.339500000000001</v>
      </c>
      <c r="AA111" s="67">
        <f t="shared" si="30"/>
        <v>23.2926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1"/>
        <v>0199-06</v>
      </c>
      <c r="AE111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11" s="88" t="str">
        <f t="shared" si="33"/>
        <v>"C:\Program Files (x86)\AstroGrep\AstroGrep.exe" /spath="%USERPROFILE%\AppData\Local\Temp\OnboardLogs" /stypes="app*4009*20161106*"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2" t="str">
        <f t="shared" si="35"/>
        <v>"%USERPROFILE%\Documents\GitHub\eaglep3\Utilities\RefineRTDCRunTimes.py" --tripid 199-06 --locoid 4009 --swversion DE.1.0.8.0 --startMP 204:469 --initTime 2016-11-06T15:51:57 --startdatetime 2016-11-06T16:00:21 --delay 1 --endMP 204:233395 --enddatetime 2016-11-06T16:36:49 --enforcementcount 0 &gt;&gt;C:\Users\stu\Documents\GitHub\eaglep3-reporting\EC\2016-11-06-refined-times.txt</v>
      </c>
      <c r="AI11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{"issue":{"subject":"","project_id":79,"tracker_id":40,"status_id":1,"priority_id":2,"assigned_to_id":23,"start_date":"2016-11-06","description":"","custom_fields":[{"id":1,"name":"Subdivision","value":"EC"},{"id":4,"name":"Milepost","value":"23.3395"},{"id":17,"name":"Train ID","value":"199-06"},{"id":16,"name":"Locomotive ID","value":"4009"},{"id":130,"name":"Impact","value":""},{"id":150,"name":"Time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556</v>
      </c>
      <c r="B112" s="7">
        <v>4010</v>
      </c>
      <c r="C112" s="22" t="s">
        <v>239</v>
      </c>
      <c r="D112" s="22" t="s">
        <v>712</v>
      </c>
      <c r="E112" s="13">
        <v>42680.7</v>
      </c>
      <c r="F112" s="13">
        <v>42680.705740740741</v>
      </c>
      <c r="G112" s="7">
        <v>1</v>
      </c>
      <c r="H112" s="22" t="s">
        <v>260</v>
      </c>
      <c r="I112" s="13">
        <v>42680.731736111113</v>
      </c>
      <c r="J112" s="7">
        <v>0</v>
      </c>
      <c r="K112" s="112" t="str">
        <f t="shared" si="20"/>
        <v>4009/4010</v>
      </c>
      <c r="L112" s="22" t="str">
        <f>VLOOKUP(A112,'Trips&amp;Operators'!$C$1:$E$10000,3,FALSE)</f>
        <v>SHOOK</v>
      </c>
      <c r="M112" s="6">
        <f t="shared" si="21"/>
        <v>2.5995370371674653E-2</v>
      </c>
      <c r="N112" s="7">
        <f t="shared" si="22"/>
        <v>37.433333335211501</v>
      </c>
      <c r="O112" s="7"/>
      <c r="P112" s="7"/>
      <c r="Q112" s="23"/>
      <c r="R112" s="23"/>
      <c r="S112" s="35">
        <f t="shared" si="23"/>
        <v>1</v>
      </c>
      <c r="T112" s="50" t="str">
        <f t="shared" si="2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15:48:00-0600',mode:absolute,to:'2016-11-06 18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26"/>
        <v>N</v>
      </c>
      <c r="X112" s="177">
        <f t="shared" si="37"/>
        <v>1</v>
      </c>
      <c r="Y112" s="67">
        <f t="shared" si="28"/>
        <v>23.3048</v>
      </c>
      <c r="Z112" s="67">
        <f t="shared" si="29"/>
        <v>1.5800000000000002E-2</v>
      </c>
      <c r="AA112" s="67">
        <f t="shared" si="30"/>
        <v>23.289000000000001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1"/>
        <v>0200-06</v>
      </c>
      <c r="AE112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12" s="88" t="str">
        <f t="shared" si="33"/>
        <v>"C:\Program Files (x86)\AstroGrep\AstroGrep.exe" /spath="%USERPROFILE%\AppData\Local\Temp\OnboardLogs" /stypes="app*4010*20161107*" /stext=" 00:.+((SYSTEM_STATE.+slice.+state.+changed )|(ment ac)|(system.+state.+changed )|(\[timeout)|(PRM\|1\|D)|(kpr)|(kdp)|(\|lc)|(penalty))" /e /r /s</v>
      </c>
      <c r="AG112" s="1" t="str">
        <f t="shared" si="34"/>
        <v>EC</v>
      </c>
      <c r="AH112" s="92" t="str">
        <f t="shared" si="35"/>
        <v>"%USERPROFILE%\Documents\GitHub\eaglep3\Utilities\RefineRTDCRunTimes.py" --tripid 200-06 --locoid 4010 --swversion DE.1.0.8.0 --startMP 204:233048 --initTime 2016-11-06T16:48:00 --startdatetime 2016-11-06T16:56:16 --delay 1 --endMP 204:158 --enddatetime 2016-11-06T17:33:42 --enforcementcount 0 &gt;&gt;C:\Users\stu\Documents\GitHub\eaglep3-reporting\EC\2016-11-06-refined-times.txt</v>
      </c>
      <c r="AI11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ID","value":"200-06"},{"id":16,"name":"Locomotive ID","value":"4010"},{"id":130,"name":"Impact","value":""},{"id":150,"name":"Time of Event (Mountain Time)","value":"17:33:42"},{"id":151,"name":"Denver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550</v>
      </c>
      <c r="B113" s="7">
        <v>4046</v>
      </c>
      <c r="C113" s="22" t="s">
        <v>239</v>
      </c>
      <c r="D113" s="22" t="s">
        <v>652</v>
      </c>
      <c r="E113" s="13">
        <v>42680.673402777778</v>
      </c>
      <c r="F113" s="13">
        <v>42680.677442129629</v>
      </c>
      <c r="G113" s="7">
        <v>2</v>
      </c>
      <c r="H113" s="22" t="s">
        <v>280</v>
      </c>
      <c r="I113" s="13">
        <v>42680.701851851853</v>
      </c>
      <c r="J113" s="7">
        <v>0</v>
      </c>
      <c r="K113" s="112" t="str">
        <f t="shared" si="20"/>
        <v>4045/4046</v>
      </c>
      <c r="L113" s="22" t="str">
        <f>VLOOKUP(A113,'Trips&amp;Operators'!$C$1:$E$10000,3,FALSE)</f>
        <v>STEWART</v>
      </c>
      <c r="M113" s="6">
        <f t="shared" si="21"/>
        <v>2.4409722223936114E-2</v>
      </c>
      <c r="N113" s="7">
        <f t="shared" si="22"/>
        <v>35.150000002468005</v>
      </c>
      <c r="O113" s="7"/>
      <c r="P113" s="7"/>
      <c r="Q113" s="23"/>
      <c r="R113" s="23"/>
      <c r="S113" s="35">
        <f t="shared" si="23"/>
        <v>1</v>
      </c>
      <c r="T113" s="50" t="str">
        <f t="shared" si="2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15:09:42-0600',mode:absolute,to:'2016-11-06 17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3" s="52" t="str">
        <f t="shared" si="26"/>
        <v>N</v>
      </c>
      <c r="X113" s="177">
        <f t="shared" si="37"/>
        <v>1</v>
      </c>
      <c r="Y113" s="67">
        <f t="shared" si="28"/>
        <v>4.3999999999999997E-2</v>
      </c>
      <c r="Z113" s="67">
        <f t="shared" si="29"/>
        <v>23.331</v>
      </c>
      <c r="AA113" s="67">
        <f t="shared" si="30"/>
        <v>23.286999999999999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1"/>
        <v>0201-06</v>
      </c>
      <c r="AE113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13" s="88" t="str">
        <f t="shared" si="33"/>
        <v>"C:\Program Files (x86)\AstroGrep\AstroGrep.exe" /spath="%USERPROFILE%\AppData\Local\Temp\OnboardLogs" /stypes="app*4046*20161106*"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2" t="str">
        <f t="shared" si="35"/>
        <v>"%USERPROFILE%\Documents\GitHub\eaglep3\Utilities\RefineRTDCRunTimes.py" --tripid 201-06 --locoid 4046 --swversion DE.1.0.8.0 --startMP 204:440 --initTime 2016-11-06T16:09:42 --startdatetime 2016-11-06T16:15:31 --delay 2 --endMP 204:233310 --enddatetime 2016-11-06T16:50:40 --enforcementcount 0 &gt;&gt;C:\Users\stu\Documents\GitHub\eaglep3-reporting\EC\2016-11-06-refined-times.txt</v>
      </c>
      <c r="AI11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ID","value":"201-06"},{"id":16,"name":"Locomotive ID","value":"4046"},{"id":130,"name":"Impact","value":""},{"id":150,"name":"Time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559</v>
      </c>
      <c r="B114" s="7">
        <v>4045</v>
      </c>
      <c r="C114" s="22" t="s">
        <v>239</v>
      </c>
      <c r="D114" s="22" t="s">
        <v>222</v>
      </c>
      <c r="E114" s="13">
        <v>42680.709988425922</v>
      </c>
      <c r="F114" s="13">
        <v>42680.716249999998</v>
      </c>
      <c r="G114" s="7">
        <v>1</v>
      </c>
      <c r="H114" s="22" t="s">
        <v>365</v>
      </c>
      <c r="I114" s="13">
        <v>42680.742743055554</v>
      </c>
      <c r="J114" s="7">
        <v>0</v>
      </c>
      <c r="K114" s="112" t="str">
        <f t="shared" si="20"/>
        <v>4045/4046</v>
      </c>
      <c r="L114" s="22" t="str">
        <f>VLOOKUP(A114,'Trips&amp;Operators'!$C$1:$E$10000,3,FALSE)</f>
        <v>STEWART</v>
      </c>
      <c r="M114" s="6">
        <f t="shared" si="21"/>
        <v>2.6493055556784384E-2</v>
      </c>
      <c r="N114" s="7">
        <f t="shared" si="22"/>
        <v>38.150000001769513</v>
      </c>
      <c r="O114" s="7"/>
      <c r="P114" s="7"/>
      <c r="Q114" s="23"/>
      <c r="R114" s="23"/>
      <c r="S114" s="35">
        <f t="shared" si="23"/>
        <v>1</v>
      </c>
      <c r="T114" s="50" t="str">
        <f t="shared" si="2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16:02:23-0600',mode:absolute,to:'2016-11-06 18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4" s="52" t="str">
        <f t="shared" si="26"/>
        <v>N</v>
      </c>
      <c r="X114" s="177">
        <f t="shared" si="37"/>
        <v>1</v>
      </c>
      <c r="Y114" s="67">
        <f t="shared" si="28"/>
        <v>23.297699999999999</v>
      </c>
      <c r="Z114" s="67">
        <f t="shared" si="29"/>
        <v>1.6E-2</v>
      </c>
      <c r="AA114" s="67">
        <f t="shared" si="30"/>
        <v>23.281700000000001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1"/>
        <v>0202-06</v>
      </c>
      <c r="AE114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14" s="88" t="str">
        <f t="shared" si="33"/>
        <v>"C:\Program Files (x86)\AstroGrep\AstroGrep.exe" /spath="%USERPROFILE%\AppData\Local\Temp\OnboardLogs" /stypes="app*4045*20161107*" /stext=" 00:.+((SYSTEM_STATE.+slice.+state.+changed )|(ment ac)|(system.+state.+changed )|(\[timeout)|(PRM\|1\|D)|(kpr)|(kdp)|(\|lc)|(penalty))" /e /r /s</v>
      </c>
      <c r="AG114" s="1" t="str">
        <f t="shared" si="34"/>
        <v>EC</v>
      </c>
      <c r="AH114" s="92" t="str">
        <f t="shared" si="35"/>
        <v>"%USERPROFILE%\Documents\GitHub\eaglep3\Utilities\RefineRTDCRunTimes.py" --tripid 202-06 --locoid 4045 --swversion DE.1.0.8.0 --startMP 204:232977 --initTime 2016-11-06T17:02:23 --startdatetime 2016-11-06T17:11:24 --delay 1 --endMP 204:160 --enddatetime 2016-11-06T17:49:33 --enforcementcount 0 &gt;&gt;C:\Users\stu\Documents\GitHub\eaglep3-reporting\EC\2016-11-06-refined-times.txt</v>
      </c>
      <c r="AI11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ID","value":"202-06"},{"id":16,"name":"Locomotive ID","value":"4045"},{"id":130,"name":"Impact","value":""},{"id":150,"name":"Time of Event (Mountain Time)","value":"17:49:33"},{"id":151,"name":"Denver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553</v>
      </c>
      <c r="B115" s="7">
        <v>4042</v>
      </c>
      <c r="C115" s="22" t="s">
        <v>239</v>
      </c>
      <c r="D115" s="22" t="s">
        <v>261</v>
      </c>
      <c r="E115" s="13">
        <v>42680.684641203705</v>
      </c>
      <c r="F115" s="13">
        <v>42680.68855324074</v>
      </c>
      <c r="G115" s="7">
        <v>1</v>
      </c>
      <c r="H115" s="22" t="s">
        <v>338</v>
      </c>
      <c r="I115" s="13">
        <v>42680.71297453704</v>
      </c>
      <c r="J115" s="7">
        <v>0</v>
      </c>
      <c r="K115" s="112" t="str">
        <f t="shared" si="20"/>
        <v>4041/4042</v>
      </c>
      <c r="L115" s="22" t="str">
        <f>VLOOKUP(A115,'Trips&amp;Operators'!$C$1:$E$10000,3,FALSE)</f>
        <v>BARTLETT</v>
      </c>
      <c r="M115" s="6">
        <f t="shared" si="21"/>
        <v>2.4421296300715767E-2</v>
      </c>
      <c r="N115" s="7">
        <f t="shared" si="22"/>
        <v>35.166666673030704</v>
      </c>
      <c r="O115" s="7"/>
      <c r="P115" s="7"/>
      <c r="Q115" s="23"/>
      <c r="R115" s="23"/>
      <c r="S115" s="35">
        <f t="shared" si="23"/>
        <v>1</v>
      </c>
      <c r="T115" s="50" t="str">
        <f t="shared" si="24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15:25:53-0600',mode:absolute,to:'2016-11-06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6"/>
        <v>N</v>
      </c>
      <c r="X115" s="177">
        <f t="shared" si="37"/>
        <v>1</v>
      </c>
      <c r="Y115" s="67">
        <f t="shared" si="28"/>
        <v>4.7500000000000001E-2</v>
      </c>
      <c r="Z115" s="67">
        <f t="shared" si="29"/>
        <v>23.330500000000001</v>
      </c>
      <c r="AA115" s="67">
        <f t="shared" si="30"/>
        <v>23.283000000000001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1"/>
        <v>0203-06</v>
      </c>
      <c r="AE115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15" s="88" t="str">
        <f t="shared" si="33"/>
        <v>"C:\Program Files (x86)\AstroGrep\AstroGrep.exe" /spath="%USERPROFILE%\AppData\Local\Temp\OnboardLogs" /stypes="app*4042*20161107*" /stext=" 00:.+((SYSTEM_STATE.+slice.+state.+changed )|(ment ac)|(system.+state.+changed )|(\[timeout)|(PRM\|1\|D)|(kpr)|(kdp)|(\|lc)|(penalty))" /e /r /s</v>
      </c>
      <c r="AG115" s="1" t="str">
        <f t="shared" si="34"/>
        <v>EC</v>
      </c>
      <c r="AH115" s="92" t="str">
        <f t="shared" si="35"/>
        <v>"%USERPROFILE%\Documents\GitHub\eaglep3\Utilities\RefineRTDCRunTimes.py" --tripid 203-06 --locoid 4042 --swversion DE.1.0.8.0 --startMP 204:475 --initTime 2016-11-06T16:25:53 --startdatetime 2016-11-06T16:31:31 --delay 1 --endMP 204:233305 --enddatetime 2016-11-06T17:06:41 --enforcementcount 0 &gt;&gt;C:\Users\stu\Documents\GitHub\eaglep3-reporting\EC\2016-11-06-refined-times.txt</v>
      </c>
      <c r="AI11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ID","value":"203-06"},{"id":16,"name":"Locomotive ID","value":"4042"},{"id":130,"name":"Impact","value":""},{"id":150,"name":"Time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4041</v>
      </c>
      <c r="C116" s="22" t="s">
        <v>239</v>
      </c>
      <c r="D116" s="22" t="s">
        <v>279</v>
      </c>
      <c r="E116" s="13">
        <v>42680.714768518519</v>
      </c>
      <c r="F116" s="13">
        <v>42680.726863425924</v>
      </c>
      <c r="G116" s="7">
        <v>1</v>
      </c>
      <c r="H116" s="22" t="s">
        <v>366</v>
      </c>
      <c r="I116" s="13">
        <v>42680.752962962964</v>
      </c>
      <c r="J116" s="7">
        <v>0</v>
      </c>
      <c r="K116" s="112" t="str">
        <f t="shared" si="20"/>
        <v>4041/4042</v>
      </c>
      <c r="L116" s="22" t="str">
        <f>VLOOKUP(A116,'Trips&amp;Operators'!$C$1:$E$10000,3,FALSE)</f>
        <v>BARTLETT</v>
      </c>
      <c r="M116" s="6">
        <f t="shared" si="21"/>
        <v>2.6099537040863652E-2</v>
      </c>
      <c r="N116" s="7">
        <f t="shared" si="22"/>
        <v>37.583333338843659</v>
      </c>
      <c r="O116" s="7"/>
      <c r="P116" s="7"/>
      <c r="Q116" s="23"/>
      <c r="R116" s="23"/>
      <c r="S116" s="35">
        <f t="shared" si="23"/>
        <v>1</v>
      </c>
      <c r="T116" s="50" t="str">
        <f t="shared" si="24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16:09:16-0600',mode:absolute,to:'2016-11-06 19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6"/>
        <v>N</v>
      </c>
      <c r="X116" s="177">
        <f t="shared" si="37"/>
        <v>1</v>
      </c>
      <c r="Y116" s="67">
        <f t="shared" si="28"/>
        <v>23.298200000000001</v>
      </c>
      <c r="Z116" s="67">
        <f t="shared" si="29"/>
        <v>1.4999999999999999E-2</v>
      </c>
      <c r="AA116" s="67">
        <f t="shared" si="30"/>
        <v>23.283200000000001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1"/>
        <v>0204-06</v>
      </c>
      <c r="AE116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16" s="88" t="str">
        <f t="shared" si="33"/>
        <v>"C:\Program Files (x86)\AstroGrep\AstroGrep.exe" /spath="%USERPROFILE%\AppData\Local\Temp\OnboardLogs" /stypes="app*4041*20161107*" /stext=" 01:.+((SYSTEM_STATE.+slice.+state.+changed )|(ment ac)|(system.+state.+changed )|(\[timeout)|(PRM\|1\|D)|(kpr)|(kdp)|(\|lc)|(penalty))" /e /r /s</v>
      </c>
      <c r="AG116" s="1" t="str">
        <f t="shared" si="34"/>
        <v>EC</v>
      </c>
      <c r="AH116" s="92" t="str">
        <f t="shared" si="35"/>
        <v>"%USERPROFILE%\Documents\GitHub\eaglep3\Utilities\RefineRTDCRunTimes.py" --tripid 204-06 --locoid 4041 --swversion DE.1.0.8.0 --startMP 204:232982 --initTime 2016-11-06T17:09:16 --startdatetime 2016-11-06T17:26:41 --delay 1 --endMP 204:150 --enddatetime 2016-11-06T18:04:16 --enforcementcount 0 &gt;&gt;C:\Users\stu\Documents\GitHub\eaglep3-reporting\EC\2016-11-06-refined-times.txt</v>
      </c>
      <c r="AI11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ID","value":"204-06"},{"id":16,"name":"Locomotive ID","value":"4041"},{"id":130,"name":"Impact","value":""},{"id":150,"name":"Time of Event (Mountain Time)","value":"18:04:16"},{"id":151,"name":"Denver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555</v>
      </c>
      <c r="B117" s="7">
        <v>4011</v>
      </c>
      <c r="C117" s="22" t="s">
        <v>239</v>
      </c>
      <c r="D117" s="22" t="s">
        <v>380</v>
      </c>
      <c r="E117" s="13">
        <v>42680.69226851852</v>
      </c>
      <c r="F117" s="13">
        <v>42680.698229166665</v>
      </c>
      <c r="G117" s="7">
        <v>1</v>
      </c>
      <c r="H117" s="22" t="s">
        <v>362</v>
      </c>
      <c r="I117" s="13">
        <v>42680.722488425927</v>
      </c>
      <c r="J117" s="7">
        <v>0</v>
      </c>
      <c r="K117" s="112" t="str">
        <f t="shared" si="20"/>
        <v>4011/4012</v>
      </c>
      <c r="L117" s="22" t="str">
        <f>VLOOKUP(A117,'Trips&amp;Operators'!$C$1:$E$10000,3,FALSE)</f>
        <v>BRUDER</v>
      </c>
      <c r="M117" s="6">
        <f t="shared" si="21"/>
        <v>2.4259259262180422E-2</v>
      </c>
      <c r="N117" s="7">
        <f t="shared" si="22"/>
        <v>34.933333337539807</v>
      </c>
      <c r="O117" s="7"/>
      <c r="P117" s="7"/>
      <c r="Q117" s="23"/>
      <c r="R117" s="23"/>
      <c r="S117" s="35">
        <f t="shared" si="23"/>
        <v>1</v>
      </c>
      <c r="T117" s="50" t="str">
        <f t="shared" si="24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15:36:52-0600',mode:absolute,to:'2016-11-06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6"/>
        <v>N</v>
      </c>
      <c r="X117" s="177">
        <f t="shared" si="37"/>
        <v>1</v>
      </c>
      <c r="Y117" s="67">
        <f t="shared" si="28"/>
        <v>4.2700000000000002E-2</v>
      </c>
      <c r="Z117" s="67">
        <f t="shared" si="29"/>
        <v>23.331399999999999</v>
      </c>
      <c r="AA117" s="67">
        <f t="shared" si="30"/>
        <v>23.288699999999999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1"/>
        <v>0205-06</v>
      </c>
      <c r="AE117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17" s="88" t="str">
        <f t="shared" si="33"/>
        <v>"C:\Program Files (x86)\AstroGrep\AstroGrep.exe" /spath="%USERPROFILE%\AppData\Local\Temp\OnboardLogs" /stypes="app*4011*20161107*"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2" t="str">
        <f t="shared" si="35"/>
        <v>"%USERPROFILE%\Documents\GitHub\eaglep3\Utilities\RefineRTDCRunTimes.py" --tripid 205-06 --locoid 4011 --swversion DE.1.0.8.0 --startMP 204:427 --initTime 2016-11-06T16:36:52 --startdatetime 2016-11-06T16:45:27 --delay 1 --endMP 204:233314 --enddatetime 2016-11-06T17:20:23 --enforcementcount 0 &gt;&gt;C:\Users\stu\Documents\GitHub\eaglep3-reporting\EC\2016-11-06-refined-times.txt</v>
      </c>
      <c r="AI11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ID","value":"205-06"},{"id":16,"name":"Locomotive ID","value":"4011"},{"id":130,"name":"Impact","value":""},{"id":150,"name":"Time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566</v>
      </c>
      <c r="B118" s="7">
        <v>4012</v>
      </c>
      <c r="C118" s="22" t="s">
        <v>239</v>
      </c>
      <c r="D118" s="22" t="s">
        <v>634</v>
      </c>
      <c r="E118" s="13">
        <v>42680.729953703703</v>
      </c>
      <c r="F118" s="13">
        <v>42680.737060185187</v>
      </c>
      <c r="G118" s="7">
        <v>1</v>
      </c>
      <c r="H118" s="22" t="s">
        <v>235</v>
      </c>
      <c r="I118" s="13">
        <v>42680.762824074074</v>
      </c>
      <c r="J118" s="7">
        <v>0</v>
      </c>
      <c r="K118" s="112" t="str">
        <f t="shared" si="20"/>
        <v>4011/4012</v>
      </c>
      <c r="L118" s="22" t="str">
        <f>VLOOKUP(A118,'Trips&amp;Operators'!$C$1:$E$10000,3,FALSE)</f>
        <v>BRUDER</v>
      </c>
      <c r="M118" s="6">
        <f t="shared" si="21"/>
        <v>2.5763888887013309E-2</v>
      </c>
      <c r="N118" s="7">
        <f t="shared" si="22"/>
        <v>37.099999997299165</v>
      </c>
      <c r="O118" s="7"/>
      <c r="P118" s="7"/>
      <c r="Q118" s="23"/>
      <c r="R118" s="23"/>
      <c r="S118" s="35">
        <f t="shared" si="23"/>
        <v>1</v>
      </c>
      <c r="T118" s="50" t="str">
        <f t="shared" si="24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16:31:08-0600',mode:absolute,to:'2016-11-06 19:18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6"/>
        <v>N</v>
      </c>
      <c r="X118" s="177">
        <f t="shared" si="37"/>
        <v>1</v>
      </c>
      <c r="Y118" s="67">
        <f t="shared" si="28"/>
        <v>23.3002</v>
      </c>
      <c r="Z118" s="67">
        <f t="shared" si="29"/>
        <v>1.61E-2</v>
      </c>
      <c r="AA118" s="67">
        <f t="shared" si="30"/>
        <v>23.284099999999999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1"/>
        <v>0206-06</v>
      </c>
      <c r="AE118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18" s="88" t="str">
        <f t="shared" si="33"/>
        <v>"C:\Program Files (x86)\AstroGrep\AstroGrep.exe" /spath="%USERPROFILE%\AppData\Local\Temp\OnboardLogs" /stypes="app*4012*20161107*" /stext=" 01:.+((SYSTEM_STATE.+slice.+state.+changed )|(ment ac)|(system.+state.+changed )|(\[timeout)|(PRM\|1\|D)|(kpr)|(kdp)|(\|lc)|(penalty))" /e /r /s</v>
      </c>
      <c r="AG118" s="1" t="str">
        <f t="shared" si="34"/>
        <v>EC</v>
      </c>
      <c r="AH118" s="92" t="str">
        <f t="shared" si="35"/>
        <v>"%USERPROFILE%\Documents\GitHub\eaglep3\Utilities\RefineRTDCRunTimes.py" --tripid 206-06 --locoid 4012 --swversion DE.1.0.8.0 --startMP 204:233002 --initTime 2016-11-06T17:31:08 --startdatetime 2016-11-06T17:41:22 --delay 1 --endMP 204:161 --enddatetime 2016-11-06T18:18:28 --enforcementcount 0 &gt;&gt;C:\Users\stu\Documents\GitHub\eaglep3-reporting\EC\2016-11-06-refined-times.txt</v>
      </c>
      <c r="AI11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ID","value":"206-06"},{"id":16,"name":"Locomotive ID","value":"4012"},{"id":130,"name":"Impact","value":""},{"id":150,"name":"Time of Event (Mountain Time)","value":"18:18:28"},{"id":151,"name":"Denver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4040</v>
      </c>
      <c r="C119" s="22" t="s">
        <v>239</v>
      </c>
      <c r="D119" s="22" t="s">
        <v>713</v>
      </c>
      <c r="E119" s="13">
        <v>42680.703611111108</v>
      </c>
      <c r="F119" s="13">
        <v>42680.708912037036</v>
      </c>
      <c r="G119" s="7">
        <v>1</v>
      </c>
      <c r="H119" s="22" t="s">
        <v>370</v>
      </c>
      <c r="I119" s="13">
        <v>42680.733854166669</v>
      </c>
      <c r="J119" s="7">
        <v>0</v>
      </c>
      <c r="K119" s="112" t="str">
        <f t="shared" si="20"/>
        <v>4039/4040</v>
      </c>
      <c r="L119" s="22" t="str">
        <f>VLOOKUP(A119,'Trips&amp;Operators'!$C$1:$E$10000,3,FALSE)</f>
        <v>MAHAN</v>
      </c>
      <c r="M119" s="6">
        <f t="shared" si="21"/>
        <v>2.4942129632108845E-2</v>
      </c>
      <c r="N119" s="7">
        <f t="shared" si="22"/>
        <v>35.916666670236737</v>
      </c>
      <c r="O119" s="7"/>
      <c r="P119" s="7"/>
      <c r="Q119" s="23"/>
      <c r="R119" s="23"/>
      <c r="S119" s="35">
        <f t="shared" si="23"/>
        <v>1</v>
      </c>
      <c r="T119" s="50" t="str">
        <f t="shared" si="24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15:53:12-0600',mode:absolute,to:'2016-11-06 18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26"/>
        <v>N</v>
      </c>
      <c r="X119" s="177">
        <f t="shared" si="37"/>
        <v>1</v>
      </c>
      <c r="Y119" s="67">
        <f t="shared" si="28"/>
        <v>4.7699999999999999E-2</v>
      </c>
      <c r="Z119" s="67">
        <f t="shared" si="29"/>
        <v>23.328600000000002</v>
      </c>
      <c r="AA119" s="67">
        <f t="shared" si="30"/>
        <v>23.280900000000003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1"/>
        <v>0207-06</v>
      </c>
      <c r="AE119" s="91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19" s="88" t="str">
        <f t="shared" si="33"/>
        <v>"C:\Program Files (x86)\AstroGrep\AstroGrep.exe" /spath="%USERPROFILE%\AppData\Local\Temp\OnboardLogs" /stypes="app*4040*20161107*"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2" t="str">
        <f t="shared" si="35"/>
        <v>"%USERPROFILE%\Documents\GitHub\eaglep3\Utilities\RefineRTDCRunTimes.py" --tripid 207-06 --locoid 4040 --swversion DE.1.0.8.0 --startMP 204:477 --initTime 2016-11-06T16:53:12 --startdatetime 2016-11-06T17:00:50 --delay 1 --endMP 204:233286 --enddatetime 2016-11-06T17:36:45 --enforcementcount 0 &gt;&gt;C:\Users\stu\Documents\GitHub\eaglep3-reporting\EC\2016-11-06-refined-times.txt</v>
      </c>
      <c r="AI11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ID","value":"207-06"},{"id":16,"name":"Locomotive ID","value":"4040"},{"id":130,"name":"Impact","value":""},{"id":150,"name":"Time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569</v>
      </c>
      <c r="B120" s="7">
        <v>4039</v>
      </c>
      <c r="C120" s="22" t="s">
        <v>239</v>
      </c>
      <c r="D120" s="22" t="s">
        <v>651</v>
      </c>
      <c r="E120" s="13">
        <v>42680.741770833331</v>
      </c>
      <c r="F120" s="13">
        <v>42680.747754629629</v>
      </c>
      <c r="G120" s="7">
        <v>1</v>
      </c>
      <c r="H120" s="22" t="s">
        <v>176</v>
      </c>
      <c r="I120" s="13">
        <v>42680.77542824074</v>
      </c>
      <c r="J120" s="7">
        <v>0</v>
      </c>
      <c r="K120" s="112" t="str">
        <f t="shared" si="20"/>
        <v>4039/4040</v>
      </c>
      <c r="L120" s="22" t="str">
        <f>VLOOKUP(A120,'Trips&amp;Operators'!$C$1:$E$10000,3,FALSE)</f>
        <v>MAHAN</v>
      </c>
      <c r="M120" s="6">
        <f t="shared" si="21"/>
        <v>2.7673611111822538E-2</v>
      </c>
      <c r="N120" s="7">
        <f t="shared" si="22"/>
        <v>39.850000001024455</v>
      </c>
      <c r="O120" s="7"/>
      <c r="P120" s="7"/>
      <c r="Q120" s="23"/>
      <c r="R120" s="23"/>
      <c r="S120" s="35">
        <f t="shared" si="23"/>
        <v>1</v>
      </c>
      <c r="T120" s="50" t="str">
        <f t="shared" si="24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16:48:09-0600',mode:absolute,to:'2016-11-06 19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26"/>
        <v>N</v>
      </c>
      <c r="X120" s="177">
        <f t="shared" si="37"/>
        <v>1</v>
      </c>
      <c r="Y120" s="67">
        <f t="shared" si="28"/>
        <v>23.296299999999999</v>
      </c>
      <c r="Z120" s="67">
        <f t="shared" si="29"/>
        <v>1.52E-2</v>
      </c>
      <c r="AA120" s="67">
        <f t="shared" si="30"/>
        <v>23.281099999999999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1"/>
        <v>0208-06</v>
      </c>
      <c r="AE120" s="91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20" s="88" t="str">
        <f t="shared" si="33"/>
        <v>"C:\Program Files (x86)\AstroGrep\AstroGrep.exe" /spath="%USERPROFILE%\AppData\Local\Temp\OnboardLogs" /stypes="app*4039*20161107*" /stext=" 01:.+((SYSTEM_STATE.+slice.+state.+changed )|(ment ac)|(system.+state.+changed )|(\[timeout)|(PRM\|1\|D)|(kpr)|(kdp)|(\|lc)|(penalty))" /e /r /s</v>
      </c>
      <c r="AG120" s="1" t="str">
        <f t="shared" si="34"/>
        <v>EC</v>
      </c>
      <c r="AH120" s="92" t="str">
        <f t="shared" si="35"/>
        <v>"%USERPROFILE%\Documents\GitHub\eaglep3\Utilities\RefineRTDCRunTimes.py" --tripid 208-06 --locoid 4039 --swversion DE.1.0.8.0 --startMP 204:232963 --initTime 2016-11-06T17:48:09 --startdatetime 2016-11-06T17:56:46 --delay 1 --endMP 204:152 --enddatetime 2016-11-06T18:36:37 --enforcementcount 0 &gt;&gt;C:\Users\stu\Documents\GitHub\eaglep3-reporting\EC\2016-11-06-refined-times.txt</v>
      </c>
      <c r="AI12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ID","value":"208-06"},{"id":16,"name":"Locomotive ID","value":"4039"},{"id":130,"name":"Impact","value":""},{"id":150,"name":"Time of Event (Mountain Time)","value":"18:36:37"},{"id":151,"name":"Denver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563</v>
      </c>
      <c r="B121" s="7">
        <v>4007</v>
      </c>
      <c r="C121" s="22" t="s">
        <v>239</v>
      </c>
      <c r="D121" s="22" t="s">
        <v>269</v>
      </c>
      <c r="E121" s="13">
        <v>42680.715902777774</v>
      </c>
      <c r="F121" s="13">
        <v>42680.719201388885</v>
      </c>
      <c r="G121" s="7">
        <v>1</v>
      </c>
      <c r="H121" s="22" t="s">
        <v>276</v>
      </c>
      <c r="I121" s="13">
        <v>42680.744074074071</v>
      </c>
      <c r="J121" s="7">
        <v>0</v>
      </c>
      <c r="K121" s="112" t="str">
        <f t="shared" si="20"/>
        <v>4007/4008</v>
      </c>
      <c r="L121" s="22" t="str">
        <f>VLOOKUP(A121,'Trips&amp;Operators'!$C$1:$E$10000,3,FALSE)</f>
        <v>LEVERE</v>
      </c>
      <c r="M121" s="6">
        <f t="shared" si="21"/>
        <v>2.4872685185982846E-2</v>
      </c>
      <c r="N121" s="7">
        <f t="shared" si="22"/>
        <v>35.816666667815298</v>
      </c>
      <c r="O121" s="7"/>
      <c r="P121" s="7"/>
      <c r="Q121" s="23"/>
      <c r="R121" s="23"/>
      <c r="S121" s="35">
        <f t="shared" si="23"/>
        <v>1</v>
      </c>
      <c r="T121" s="50" t="str">
        <f t="shared" si="24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16:10:54-0600',mode:absolute,to:'2016-11-06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1" s="52" t="str">
        <f t="shared" si="26"/>
        <v>N</v>
      </c>
      <c r="X121" s="177">
        <f t="shared" si="37"/>
        <v>1</v>
      </c>
      <c r="Y121" s="67">
        <f t="shared" si="28"/>
        <v>4.4200000000000003E-2</v>
      </c>
      <c r="Z121" s="67">
        <f t="shared" si="29"/>
        <v>23.330200000000001</v>
      </c>
      <c r="AA121" s="67">
        <f t="shared" si="30"/>
        <v>23.286000000000001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1"/>
        <v>0209-06</v>
      </c>
      <c r="AE121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21" s="88" t="str">
        <f t="shared" si="33"/>
        <v>"C:\Program Files (x86)\AstroGrep\AstroGrep.exe" /spath="%USERPROFILE%\AppData\Local\Temp\OnboardLogs" /stypes="app*4007*20161107*"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2" t="str">
        <f t="shared" si="35"/>
        <v>"%USERPROFILE%\Documents\GitHub\eaglep3\Utilities\RefineRTDCRunTimes.py" --tripid 209-06 --locoid 4007 --swversion DE.1.0.8.0 --startMP 204:442 --initTime 2016-11-06T17:10:54 --startdatetime 2016-11-06T17:15:39 --delay 1 --endMP 204:233302 --enddatetime 2016-11-06T17:51:28 --enforcementcount 0 &gt;&gt;C:\Users\stu\Documents\GitHub\eaglep3-reporting\EC\2016-11-06-refined-times.txt</v>
      </c>
      <c r="AI12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ID","value":"209-06"},{"id":16,"name":"Locomotive ID","value":"4007"},{"id":130,"name":"Impact","value":""},{"id":150,"name":"Time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4008</v>
      </c>
      <c r="C122" s="22" t="s">
        <v>239</v>
      </c>
      <c r="D122" s="22" t="s">
        <v>317</v>
      </c>
      <c r="E122" s="13">
        <v>42680.752812500003</v>
      </c>
      <c r="F122" s="13">
        <v>42680.757870370369</v>
      </c>
      <c r="G122" s="7">
        <v>1</v>
      </c>
      <c r="H122" s="22" t="s">
        <v>176</v>
      </c>
      <c r="I122" s="13">
        <v>42680.784479166665</v>
      </c>
      <c r="J122" s="7">
        <v>0</v>
      </c>
      <c r="K122" s="112" t="str">
        <f t="shared" si="20"/>
        <v>4007/4008</v>
      </c>
      <c r="L122" s="22" t="str">
        <f>VLOOKUP(A122,'Trips&amp;Operators'!$C$1:$E$10000,3,FALSE)</f>
        <v>LEVERE</v>
      </c>
      <c r="M122" s="6">
        <f t="shared" si="21"/>
        <v>2.6608796295477077E-2</v>
      </c>
      <c r="N122" s="7">
        <f t="shared" si="22"/>
        <v>38.316666665486991</v>
      </c>
      <c r="O122" s="7"/>
      <c r="P122" s="7"/>
      <c r="Q122" s="23"/>
      <c r="R122" s="23"/>
      <c r="S122" s="35">
        <f t="shared" si="23"/>
        <v>1</v>
      </c>
      <c r="T122" s="50" t="str">
        <f t="shared" si="24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17:04:03-0600',mode:absolute,to:'2016-11-06 19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2" s="52" t="str">
        <f t="shared" si="26"/>
        <v>N</v>
      </c>
      <c r="X122" s="177">
        <f t="shared" si="37"/>
        <v>1</v>
      </c>
      <c r="Y122" s="67">
        <f t="shared" si="28"/>
        <v>23.299099999999999</v>
      </c>
      <c r="Z122" s="67">
        <f t="shared" si="29"/>
        <v>1.52E-2</v>
      </c>
      <c r="AA122" s="67">
        <f t="shared" si="30"/>
        <v>23.283899999999999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1"/>
        <v>0210-06</v>
      </c>
      <c r="AE122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22" s="88" t="str">
        <f t="shared" si="33"/>
        <v>"C:\Program Files (x86)\AstroGrep\AstroGrep.exe" /spath="%USERPROFILE%\AppData\Local\Temp\OnboardLogs" /stypes="app*4008*20161107*" /stext=" 01:.+((SYSTEM_STATE.+slice.+state.+changed )|(ment ac)|(system.+state.+changed )|(\[timeout)|(PRM\|1\|D)|(kpr)|(kdp)|(\|lc)|(penalty))" /e /r /s</v>
      </c>
      <c r="AG122" s="1" t="str">
        <f t="shared" si="34"/>
        <v>EC</v>
      </c>
      <c r="AH122" s="92" t="str">
        <f t="shared" si="35"/>
        <v>"%USERPROFILE%\Documents\GitHub\eaglep3\Utilities\RefineRTDCRunTimes.py" --tripid 210-06 --locoid 4008 --swversion DE.1.0.8.0 --startMP 204:232991 --initTime 2016-11-06T18:04:03 --startdatetime 2016-11-06T18:11:20 --delay 1 --endMP 204:152 --enddatetime 2016-11-06T18:49:39 --enforcementcount 0 &gt;&gt;C:\Users\stu\Documents\GitHub\eaglep3-reporting\EC\2016-11-06-refined-times.txt</v>
      </c>
      <c r="AI12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ID","value":"210-06"},{"id":16,"name":"Locomotive ID","value":"4008"},{"id":130,"name":"Impact","value":""},{"id":150,"name":"Time of Event (Mountain Time)","value":"18:49:39"},{"id":151,"name":"Denver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565</v>
      </c>
      <c r="B123" s="7">
        <v>4044</v>
      </c>
      <c r="C123" s="22" t="s">
        <v>239</v>
      </c>
      <c r="D123" s="22" t="s">
        <v>213</v>
      </c>
      <c r="E123" s="13">
        <v>42680.724270833336</v>
      </c>
      <c r="F123" s="13">
        <v>42680.729432870372</v>
      </c>
      <c r="G123" s="7">
        <v>1</v>
      </c>
      <c r="H123" s="22" t="s">
        <v>243</v>
      </c>
      <c r="I123" s="13">
        <v>42680.756608796299</v>
      </c>
      <c r="J123" s="7">
        <v>0</v>
      </c>
      <c r="K123" s="112" t="str">
        <f t="shared" si="20"/>
        <v>4043/4044</v>
      </c>
      <c r="L123" s="22" t="str">
        <f>VLOOKUP(A123,'Trips&amp;Operators'!$C$1:$E$10000,3,FALSE)</f>
        <v>YOUNG</v>
      </c>
      <c r="M123" s="6">
        <f t="shared" si="21"/>
        <v>2.7175925926712807E-2</v>
      </c>
      <c r="N123" s="7">
        <f t="shared" si="22"/>
        <v>39.133333334466442</v>
      </c>
      <c r="O123" s="7"/>
      <c r="P123" s="7"/>
      <c r="Q123" s="23"/>
      <c r="R123" s="23"/>
      <c r="S123" s="35">
        <f t="shared" si="23"/>
        <v>1</v>
      </c>
      <c r="T123" s="50" t="str">
        <f t="shared" si="24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16:22:57-0600',mode:absolute,to:'2016-11-06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6"/>
        <v>N</v>
      </c>
      <c r="X123" s="177">
        <f t="shared" si="37"/>
        <v>1</v>
      </c>
      <c r="Y123" s="67">
        <f t="shared" si="28"/>
        <v>4.5100000000000001E-2</v>
      </c>
      <c r="Z123" s="67">
        <f t="shared" si="29"/>
        <v>23.328800000000001</v>
      </c>
      <c r="AA123" s="67">
        <f t="shared" si="30"/>
        <v>23.2837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1"/>
        <v>0211-06</v>
      </c>
      <c r="AE123" s="91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23" s="88" t="str">
        <f t="shared" si="33"/>
        <v>"C:\Program Files (x86)\AstroGrep\AstroGrep.exe" /spath="%USERPROFILE%\AppData\Local\Temp\OnboardLogs" /stypes="app*4044*20161107*" /stext=" 01:.+((SYSTEM_STATE.+slice.+state.+changed )|(ment ac)|(system.+state.+changed )|(\[timeout)|(PRM\|1\|D)|(kpr)|(kdp)|(\|lc)|(penalty))" /e /r /s</v>
      </c>
      <c r="AG123" s="1" t="str">
        <f t="shared" si="34"/>
        <v>EC</v>
      </c>
      <c r="AH123" s="92" t="str">
        <f t="shared" si="35"/>
        <v>"%USERPROFILE%\Documents\GitHub\eaglep3\Utilities\RefineRTDCRunTimes.py" --tripid 211-06 --locoid 4044 --swversion DE.1.0.8.0 --startMP 204:451 --initTime 2016-11-06T17:22:57 --startdatetime 2016-11-06T17:30:23 --delay 1 --endMP 204:233288 --enddatetime 2016-11-06T18:09:31 --enforcementcount 0 &gt;&gt;C:\Users\stu\Documents\GitHub\eaglep3-reporting\EC\2016-11-06-refined-times.txt</v>
      </c>
      <c r="AI12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{"issue":{"subject":"","project_id":79,"tracker_id":40,"status_id":1,"priority_id":2,"assigned_to_id":23,"start_date":"2016-11-06","description":"","custom_fields":[{"id":1,"name":"Subdivision","value":"EC"},{"id":4,"name":"Milepost","value":"23.3288"},{"id":17,"name":"Train ID","value":"211-06"},{"id":16,"name":"Locomotive ID","value":"4044"},{"id":130,"name":"Impact","value":""},{"id":150,"name":"Time of Event (Mountain Time)","value":"18:09:31"},{"id":151,"name":"Denver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4043</v>
      </c>
      <c r="C124" s="22" t="s">
        <v>239</v>
      </c>
      <c r="D124" s="22" t="s">
        <v>335</v>
      </c>
      <c r="E124" s="13">
        <v>42680.760752314818</v>
      </c>
      <c r="F124" s="13">
        <v>42680.768263888887</v>
      </c>
      <c r="G124" s="7">
        <v>2</v>
      </c>
      <c r="H124" s="22" t="s">
        <v>714</v>
      </c>
      <c r="I124" s="13">
        <v>42680.798310185186</v>
      </c>
      <c r="J124" s="7">
        <v>0</v>
      </c>
      <c r="K124" s="112" t="str">
        <f t="shared" si="20"/>
        <v>4043/4044</v>
      </c>
      <c r="L124" s="22" t="str">
        <f>VLOOKUP(A124,'Trips&amp;Operators'!$C$1:$E$10000,3,FALSE)</f>
        <v>YOUNG</v>
      </c>
      <c r="M124" s="6">
        <f t="shared" si="21"/>
        <v>3.0046296298678499E-2</v>
      </c>
      <c r="N124" s="7">
        <f t="shared" si="22"/>
        <v>43.266666670097038</v>
      </c>
      <c r="O124" s="7"/>
      <c r="P124" s="7"/>
      <c r="Q124" s="23"/>
      <c r="R124" s="23"/>
      <c r="S124" s="35">
        <f t="shared" si="23"/>
        <v>1</v>
      </c>
      <c r="T124" s="50" t="str">
        <f t="shared" si="24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17:15:29-0600',mode:absolute,to:'2016-11-06 20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6"/>
        <v>N</v>
      </c>
      <c r="X124" s="177">
        <f t="shared" si="37"/>
        <v>1</v>
      </c>
      <c r="Y124" s="67">
        <f t="shared" si="28"/>
        <v>23.2986</v>
      </c>
      <c r="Z124" s="67">
        <f t="shared" si="29"/>
        <v>1.6899999999999998E-2</v>
      </c>
      <c r="AA124" s="67">
        <f t="shared" si="30"/>
        <v>23.281700000000001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1"/>
        <v>0212-06</v>
      </c>
      <c r="AE124" s="91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24" s="88" t="str">
        <f t="shared" si="33"/>
        <v>"C:\Program Files (x86)\AstroGrep\AstroGrep.exe" /spath="%USERPROFILE%\AppData\Local\Temp\OnboardLogs" /stypes="app*4043*20161107*" /stext=" 02:.+((SYSTEM_STATE.+slice.+state.+changed )|(ment ac)|(system.+state.+changed )|(\[timeout)|(PRM\|1\|D)|(kpr)|(kdp)|(\|lc)|(penalty))" /e /r /s</v>
      </c>
      <c r="AG124" s="1" t="str">
        <f t="shared" si="34"/>
        <v>EC</v>
      </c>
      <c r="AH124" s="92" t="str">
        <f t="shared" si="35"/>
        <v>"%USERPROFILE%\Documents\GitHub\eaglep3\Utilities\RefineRTDCRunTimes.py" --tripid 212-06 --locoid 4043 --swversion DE.1.0.8.0 --startMP 204:232986 --initTime 2016-11-06T18:15:29 --startdatetime 2016-11-06T18:26:18 --delay 2 --endMP 204:169 --enddatetime 2016-11-06T19:09:34 --enforcementcount 0 &gt;&gt;C:\Users\stu\Documents\GitHub\eaglep3-reporting\EC\2016-11-06-refined-times.txt</v>
      </c>
      <c r="AI12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{"issue":{"subject":"","project_id":79,"tracker_id":40,"status_id":1,"priority_id":2,"assigned_to_id":23,"start_date":"2016-11-06","description":"","custom_fields":[{"id":1,"name":"Subdivision","value":"EC"},{"id":4,"name":"Milepost","value":"0.0169"},{"id":17,"name":"Train ID","value":"212-06"},{"id":16,"name":"Locomotive ID","value":"4043"},{"id":130,"name":"Impact","value":""},{"id":150,"name":"Time of Event (Mountain Time)","value":"19:09:34"},{"id":151,"name":"Denver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567</v>
      </c>
      <c r="B125" s="7">
        <v>4009</v>
      </c>
      <c r="C125" s="22" t="s">
        <v>239</v>
      </c>
      <c r="D125" s="22" t="s">
        <v>313</v>
      </c>
      <c r="E125" s="13">
        <v>42680.733472222222</v>
      </c>
      <c r="F125" s="13">
        <v>42680.739756944444</v>
      </c>
      <c r="G125" s="7">
        <v>1</v>
      </c>
      <c r="H125" s="22" t="s">
        <v>715</v>
      </c>
      <c r="I125" s="13">
        <v>42680.764699074076</v>
      </c>
      <c r="J125" s="7">
        <v>0</v>
      </c>
      <c r="K125" s="112" t="str">
        <f t="shared" si="20"/>
        <v>4009/4010</v>
      </c>
      <c r="L125" s="22" t="str">
        <f>VLOOKUP(A125,'Trips&amp;Operators'!$C$1:$E$10000,3,FALSE)</f>
        <v>CRAYTON</v>
      </c>
      <c r="M125" s="6">
        <f t="shared" si="21"/>
        <v>2.4942129632108845E-2</v>
      </c>
      <c r="N125" s="7">
        <f t="shared" si="22"/>
        <v>35.916666670236737</v>
      </c>
      <c r="O125" s="7"/>
      <c r="P125" s="7"/>
      <c r="Q125" s="23"/>
      <c r="R125" s="23"/>
      <c r="S125" s="35">
        <f t="shared" si="23"/>
        <v>1</v>
      </c>
      <c r="T125" s="50" t="str">
        <f t="shared" si="24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16:36:12-0600',mode:absolute,to:'2016-11-06 19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26"/>
        <v>N</v>
      </c>
      <c r="X125" s="177">
        <f t="shared" si="37"/>
        <v>1</v>
      </c>
      <c r="Y125" s="67">
        <f t="shared" si="28"/>
        <v>4.6899999999999997E-2</v>
      </c>
      <c r="Z125" s="67">
        <f t="shared" si="29"/>
        <v>23.333600000000001</v>
      </c>
      <c r="AA125" s="67">
        <f t="shared" si="30"/>
        <v>23.2867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1"/>
        <v>0213-06</v>
      </c>
      <c r="AE125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25" s="88" t="str">
        <f t="shared" si="33"/>
        <v>"C:\Program Files (x86)\AstroGrep\AstroGrep.exe" /spath="%USERPROFILE%\AppData\Local\Temp\OnboardLogs" /stypes="app*4009*20161107*"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2" t="str">
        <f t="shared" si="35"/>
        <v>"%USERPROFILE%\Documents\GitHub\eaglep3\Utilities\RefineRTDCRunTimes.py" --tripid 213-06 --locoid 4009 --swversion DE.1.0.8.0 --startMP 204:469 --initTime 2016-11-06T17:36:12 --startdatetime 2016-11-06T17:45:15 --delay 1 --endMP 204:233336 --enddatetime 2016-11-06T18:21:10 --enforcementcount 0 &gt;&gt;C:\Users\stu\Documents\GitHub\eaglep3-reporting\EC\2016-11-06-refined-times.txt</v>
      </c>
      <c r="AI12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{"issue":{"subject":"","project_id":79,"tracker_id":40,"status_id":1,"priority_id":2,"assigned_to_id":23,"start_date":"2016-11-06","description":"","custom_fields":[{"id":1,"name":"Subdivision","value":"EC"},{"id":4,"name":"Milepost","value":"23.3336"},{"id":17,"name":"Train ID","value":"213-06"},{"id":16,"name":"Locomotive ID","value":"4009"},{"id":130,"name":"Impact","value":""},{"id":150,"name":"Time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580</v>
      </c>
      <c r="B126" s="7">
        <v>4010</v>
      </c>
      <c r="C126" s="22" t="s">
        <v>239</v>
      </c>
      <c r="D126" s="22" t="s">
        <v>316</v>
      </c>
      <c r="E126" s="13">
        <v>42680.771874999999</v>
      </c>
      <c r="F126" s="13">
        <v>42680.778726851851</v>
      </c>
      <c r="G126" s="7">
        <v>1</v>
      </c>
      <c r="H126" s="22" t="s">
        <v>260</v>
      </c>
      <c r="I126" s="13">
        <v>42680.80537037037</v>
      </c>
      <c r="J126" s="7">
        <v>0</v>
      </c>
      <c r="K126" s="112" t="str">
        <f t="shared" si="20"/>
        <v>4009/4010</v>
      </c>
      <c r="L126" s="22" t="str">
        <f>VLOOKUP(A126,'Trips&amp;Operators'!$C$1:$E$10000,3,FALSE)</f>
        <v>CRAYTON</v>
      </c>
      <c r="M126" s="6">
        <f t="shared" si="21"/>
        <v>2.6643518518540077E-2</v>
      </c>
      <c r="N126" s="7">
        <f t="shared" si="22"/>
        <v>38.366666666697711</v>
      </c>
      <c r="O126" s="7"/>
      <c r="P126" s="7"/>
      <c r="Q126" s="23"/>
      <c r="R126" s="23"/>
      <c r="S126" s="35">
        <f t="shared" si="23"/>
        <v>1</v>
      </c>
      <c r="T126" s="50" t="str">
        <f t="shared" si="24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17:31:30-0600',mode:absolute,to:'2016-11-06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26"/>
        <v>N</v>
      </c>
      <c r="X126" s="177">
        <f t="shared" si="37"/>
        <v>1</v>
      </c>
      <c r="Y126" s="67">
        <f t="shared" si="28"/>
        <v>23.3004</v>
      </c>
      <c r="Z126" s="67">
        <f t="shared" si="29"/>
        <v>1.5800000000000002E-2</v>
      </c>
      <c r="AA126" s="67">
        <f t="shared" si="30"/>
        <v>23.284600000000001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1"/>
        <v>0214-06</v>
      </c>
      <c r="AE126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26" s="88" t="str">
        <f t="shared" si="33"/>
        <v>"C:\Program Files (x86)\AstroGrep\AstroGrep.exe" /spath="%USERPROFILE%\AppData\Local\Temp\OnboardLogs" /stypes="app*4010*20161107*" /stext=" 02:.+((SYSTEM_STATE.+slice.+state.+changed )|(ment ac)|(system.+state.+changed )|(\[timeout)|(PRM\|1\|D)|(kpr)|(kdp)|(\|lc)|(penalty))" /e /r /s</v>
      </c>
      <c r="AG126" s="1" t="str">
        <f t="shared" si="34"/>
        <v>EC</v>
      </c>
      <c r="AH126" s="92" t="str">
        <f t="shared" si="35"/>
        <v>"%USERPROFILE%\Documents\GitHub\eaglep3\Utilities\RefineRTDCRunTimes.py" --tripid 214-06 --locoid 4010 --swversion DE.1.0.8.0 --startMP 204:233004 --initTime 2016-11-06T18:31:30 --startdatetime 2016-11-06T18:41:22 --delay 1 --endMP 204:158 --enddatetime 2016-11-06T19:19:44 --enforcementcount 0 &gt;&gt;C:\Users\stu\Documents\GitHub\eaglep3-reporting\EC\2016-11-06-refined-times.txt</v>
      </c>
      <c r="AI12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ID","value":"214-06"},{"id":16,"name":"Locomotive ID","value":"4010"},{"id":130,"name":"Impact","value":""},{"id":150,"name":"Time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572</v>
      </c>
      <c r="B127" s="7">
        <v>4046</v>
      </c>
      <c r="C127" s="22" t="s">
        <v>239</v>
      </c>
      <c r="D127" s="22" t="s">
        <v>212</v>
      </c>
      <c r="E127" s="13">
        <v>42680.744976851849</v>
      </c>
      <c r="F127" s="13">
        <v>42680.750196759262</v>
      </c>
      <c r="G127" s="7">
        <v>1</v>
      </c>
      <c r="H127" s="22" t="s">
        <v>716</v>
      </c>
      <c r="I127" s="13">
        <v>42680.775879629633</v>
      </c>
      <c r="J127" s="7">
        <v>0</v>
      </c>
      <c r="K127" s="112" t="str">
        <f t="shared" si="20"/>
        <v>4045/4046</v>
      </c>
      <c r="L127" s="22" t="str">
        <f>VLOOKUP(A127,'Trips&amp;Operators'!$C$1:$E$10000,3,FALSE)</f>
        <v>SHOOK</v>
      </c>
      <c r="M127" s="6">
        <f t="shared" si="21"/>
        <v>2.5682870371383615E-2</v>
      </c>
      <c r="N127" s="7">
        <f t="shared" si="22"/>
        <v>36.983333334792405</v>
      </c>
      <c r="O127" s="7"/>
      <c r="P127" s="7"/>
      <c r="Q127" s="23"/>
      <c r="R127" s="23"/>
      <c r="S127" s="35">
        <f t="shared" si="23"/>
        <v>1</v>
      </c>
      <c r="T127" s="50" t="str">
        <f t="shared" si="24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16:52:46-0600',mode:absolute,to:'2016-11-06 19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2" t="str">
        <f t="shared" si="26"/>
        <v>N</v>
      </c>
      <c r="X127" s="177">
        <f t="shared" si="37"/>
        <v>1</v>
      </c>
      <c r="Y127" s="67">
        <f t="shared" si="28"/>
        <v>4.5999999999999999E-2</v>
      </c>
      <c r="Z127" s="67">
        <f t="shared" si="29"/>
        <v>23.338899999999999</v>
      </c>
      <c r="AA127" s="67">
        <f t="shared" si="30"/>
        <v>23.292899999999999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1"/>
        <v>0215-06</v>
      </c>
      <c r="AE127" s="91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27" s="88" t="str">
        <f t="shared" si="33"/>
        <v>"C:\Program Files (x86)\AstroGrep\AstroGrep.exe" /spath="%USERPROFILE%\AppData\Local\Temp\OnboardLogs" /stypes="app*4046*20161107*"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2" t="str">
        <f t="shared" si="35"/>
        <v>"%USERPROFILE%\Documents\GitHub\eaglep3\Utilities\RefineRTDCRunTimes.py" --tripid 215-06 --locoid 4046 --swversion DE.1.0.8.0 --startMP 204:460 --initTime 2016-11-06T17:52:46 --startdatetime 2016-11-06T18:00:17 --delay 1 --endMP 204:233389 --enddatetime 2016-11-06T18:37:16 --enforcementcount 0 &gt;&gt;C:\Users\stu\Documents\GitHub\eaglep3-reporting\EC\2016-11-06-refined-times.txt</v>
      </c>
      <c r="AI12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{"issue":{"subject":"","project_id":79,"tracker_id":40,"status_id":1,"priority_id":2,"assigned_to_id":23,"start_date":"2016-11-06","description":"","custom_fields":[{"id":1,"name":"Subdivision","value":"EC"},{"id":4,"name":"Milepost","value":"23.3389"},{"id":17,"name":"Train ID","value":"215-06"},{"id":16,"name":"Locomotive ID","value":"4046"},{"id":130,"name":"Impact","value":""},{"id":150,"name":"Time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4045</v>
      </c>
      <c r="C128" s="22" t="s">
        <v>239</v>
      </c>
      <c r="D128" s="22" t="s">
        <v>717</v>
      </c>
      <c r="E128" s="13">
        <v>42680.784942129627</v>
      </c>
      <c r="F128" s="13">
        <v>42680.789085648146</v>
      </c>
      <c r="G128" s="7">
        <v>1</v>
      </c>
      <c r="H128" s="22" t="s">
        <v>204</v>
      </c>
      <c r="I128" s="13">
        <v>42680.81523148148</v>
      </c>
      <c r="J128" s="7">
        <v>0</v>
      </c>
      <c r="K128" s="112" t="str">
        <f t="shared" si="20"/>
        <v>4045/4046</v>
      </c>
      <c r="L128" s="22" t="str">
        <f>VLOOKUP(A128,'Trips&amp;Operators'!$C$1:$E$10000,3,FALSE)</f>
        <v>SHOOK</v>
      </c>
      <c r="M128" s="6">
        <f t="shared" si="21"/>
        <v>2.6145833333430346E-2</v>
      </c>
      <c r="N128" s="7">
        <f t="shared" si="22"/>
        <v>37.650000000139698</v>
      </c>
      <c r="O128" s="7"/>
      <c r="P128" s="7"/>
      <c r="Q128" s="23"/>
      <c r="R128" s="23"/>
      <c r="S128" s="35">
        <f t="shared" si="23"/>
        <v>1</v>
      </c>
      <c r="T128" s="50" t="str">
        <f t="shared" si="24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17:50:19-0600',mode:absolute,to:'2016-11-06 20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2" t="str">
        <f t="shared" si="26"/>
        <v>N</v>
      </c>
      <c r="X128" s="177">
        <f t="shared" si="37"/>
        <v>1</v>
      </c>
      <c r="Y128" s="67">
        <f t="shared" si="28"/>
        <v>23.304600000000001</v>
      </c>
      <c r="Z128" s="67">
        <f t="shared" si="29"/>
        <v>1.4500000000000001E-2</v>
      </c>
      <c r="AA128" s="67">
        <f t="shared" si="30"/>
        <v>23.290099999999999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1"/>
        <v>0216-06</v>
      </c>
      <c r="AE128" s="91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28" s="88" t="str">
        <f t="shared" si="33"/>
        <v>"C:\Program Files (x86)\AstroGrep\AstroGrep.exe" /spath="%USERPROFILE%\AppData\Local\Temp\OnboardLogs" /stypes="app*4045*20161107*" /stext=" 02:.+((SYSTEM_STATE.+slice.+state.+changed )|(ment ac)|(system.+state.+changed )|(\[timeout)|(PRM\|1\|D)|(kpr)|(kdp)|(\|lc)|(penalty))" /e /r /s</v>
      </c>
      <c r="AG128" s="1" t="str">
        <f t="shared" si="34"/>
        <v>EC</v>
      </c>
      <c r="AH128" s="92" t="str">
        <f t="shared" si="35"/>
        <v>"%USERPROFILE%\Documents\GitHub\eaglep3\Utilities\RefineRTDCRunTimes.py" --tripid 216-06 --locoid 4045 --swversion DE.1.0.8.0 --startMP 204:233046 --initTime 2016-11-06T18:50:19 --startdatetime 2016-11-06T18:56:17 --delay 1 --endMP 204:145 --enddatetime 2016-11-06T19:33:56 --enforcementcount 0 &gt;&gt;C:\Users\stu\Documents\GitHub\eaglep3-reporting\EC\2016-11-06-refined-times.txt</v>
      </c>
      <c r="AI12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ID","value":"216-06"},{"id":16,"name":"Locomotive ID","value":"4045"},{"id":130,"name":"Impact","value":""},{"id":150,"name":"Time of Event (Mountain Time)","value":"19:33:56"},{"id":151,"name":"Denver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575</v>
      </c>
      <c r="B129" s="7">
        <v>4042</v>
      </c>
      <c r="C129" s="22" t="s">
        <v>239</v>
      </c>
      <c r="D129" s="22" t="s">
        <v>244</v>
      </c>
      <c r="E129" s="13">
        <v>42680.755636574075</v>
      </c>
      <c r="F129" s="13">
        <v>42680.760671296295</v>
      </c>
      <c r="G129" s="7">
        <v>2</v>
      </c>
      <c r="H129" s="22" t="s">
        <v>718</v>
      </c>
      <c r="I129" s="13">
        <v>42680.785636574074</v>
      </c>
      <c r="J129" s="7">
        <v>0</v>
      </c>
      <c r="K129" s="112" t="str">
        <f t="shared" si="20"/>
        <v>4041/4042</v>
      </c>
      <c r="L129" s="22" t="str">
        <f>VLOOKUP(A129,'Trips&amp;Operators'!$C$1:$E$10000,3,FALSE)</f>
        <v>BERLING</v>
      </c>
      <c r="M129" s="6">
        <f t="shared" si="21"/>
        <v>2.4965277778392192E-2</v>
      </c>
      <c r="N129" s="7">
        <f t="shared" si="22"/>
        <v>35.950000000884756</v>
      </c>
      <c r="O129" s="7"/>
      <c r="P129" s="7"/>
      <c r="Q129" s="23"/>
      <c r="R129" s="23"/>
      <c r="S129" s="35">
        <f t="shared" si="23"/>
        <v>1</v>
      </c>
      <c r="T129" s="50" t="str">
        <f t="shared" si="24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17:08:07-0600',mode:absolute,to:'2016-11-06 19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6"/>
        <v>N</v>
      </c>
      <c r="X129" s="177">
        <f t="shared" si="37"/>
        <v>1</v>
      </c>
      <c r="Y129" s="67">
        <f t="shared" si="28"/>
        <v>4.58E-2</v>
      </c>
      <c r="Z129" s="67">
        <f t="shared" si="29"/>
        <v>23.332899999999999</v>
      </c>
      <c r="AA129" s="67">
        <f t="shared" si="30"/>
        <v>23.287099999999999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1"/>
        <v>0217-06</v>
      </c>
      <c r="AE129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29" s="88" t="str">
        <f t="shared" si="33"/>
        <v>"C:\Program Files (x86)\AstroGrep\AstroGrep.exe" /spath="%USERPROFILE%\AppData\Local\Temp\OnboardLogs" /stypes="app*4042*20161107*"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2" t="str">
        <f t="shared" si="35"/>
        <v>"%USERPROFILE%\Documents\GitHub\eaglep3\Utilities\RefineRTDCRunTimes.py" --tripid 217-06 --locoid 4042 --swversion DE.1.0.8.0 --startMP 204:458 --initTime 2016-11-06T18:08:07 --startdatetime 2016-11-06T18:15:22 --delay 2 --endMP 204:233329 --enddatetime 2016-11-06T18:51:19 --enforcementcount 0 &gt;&gt;C:\Users\stu\Documents\GitHub\eaglep3-reporting\EC\2016-11-06-refined-times.txt</v>
      </c>
      <c r="AI12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{"issue":{"subject":"","project_id":79,"tracker_id":40,"status_id":1,"priority_id":2,"assigned_to_id":23,"start_date":"2016-11-06","description":"","custom_fields":[{"id":1,"name":"Subdivision","value":"EC"},{"id":4,"name":"Milepost","value":"23.3329"},{"id":17,"name":"Train ID","value":"217-06"},{"id":16,"name":"Locomotive ID","value":"4042"},{"id":130,"name":"Impact","value":""},{"id":150,"name":"Time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584</v>
      </c>
      <c r="B130" s="7">
        <v>4041</v>
      </c>
      <c r="C130" s="22" t="s">
        <v>239</v>
      </c>
      <c r="D130" s="22" t="s">
        <v>316</v>
      </c>
      <c r="E130" s="13">
        <v>42680.796655092592</v>
      </c>
      <c r="F130" s="13">
        <v>42680.799641203703</v>
      </c>
      <c r="G130" s="7">
        <v>1</v>
      </c>
      <c r="H130" s="22" t="s">
        <v>719</v>
      </c>
      <c r="I130" s="13">
        <v>42680.826122685183</v>
      </c>
      <c r="J130" s="7">
        <v>0</v>
      </c>
      <c r="K130" s="112" t="str">
        <f t="shared" si="20"/>
        <v>4041/4042</v>
      </c>
      <c r="L130" s="22" t="str">
        <f>VLOOKUP(A130,'Trips&amp;Operators'!$C$1:$E$10000,3,FALSE)</f>
        <v>BERLING</v>
      </c>
      <c r="M130" s="6">
        <f t="shared" si="21"/>
        <v>2.6481481480004732E-2</v>
      </c>
      <c r="N130" s="7">
        <f t="shared" si="22"/>
        <v>38.133333331206813</v>
      </c>
      <c r="O130" s="7"/>
      <c r="P130" s="7"/>
      <c r="Q130" s="23"/>
      <c r="R130" s="23"/>
      <c r="S130" s="35">
        <f t="shared" si="23"/>
        <v>1</v>
      </c>
      <c r="T130" s="50" t="str">
        <f t="shared" si="24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18:07:11-0600',mode:absolute,to:'2016-11-06 20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6"/>
        <v>N</v>
      </c>
      <c r="X130" s="177">
        <f t="shared" si="37"/>
        <v>1</v>
      </c>
      <c r="Y130" s="67">
        <f t="shared" si="28"/>
        <v>23.3004</v>
      </c>
      <c r="Z130" s="67">
        <f t="shared" si="29"/>
        <v>1.1900000000000001E-2</v>
      </c>
      <c r="AA130" s="67">
        <f t="shared" si="30"/>
        <v>23.288499999999999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1"/>
        <v>0218-06</v>
      </c>
      <c r="AE130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0" s="88" t="str">
        <f t="shared" si="33"/>
        <v>"C:\Program Files (x86)\AstroGrep\AstroGrep.exe" /spath="%USERPROFILE%\AppData\Local\Temp\OnboardLogs" /stypes="app*4041*20161107*" /stext=" 02:.+((SYSTEM_STATE.+slice.+state.+changed )|(ment ac)|(system.+state.+changed )|(\[timeout)|(PRM\|1\|D)|(kpr)|(kdp)|(\|lc)|(penalty))" /e /r /s</v>
      </c>
      <c r="AG130" s="1" t="str">
        <f t="shared" si="34"/>
        <v>EC</v>
      </c>
      <c r="AH130" s="92" t="str">
        <f t="shared" si="35"/>
        <v>"%USERPROFILE%\Documents\GitHub\eaglep3\Utilities\RefineRTDCRunTimes.py" --tripid 218-06 --locoid 4041 --swversion DE.1.0.8.0 --startMP 204:233004 --initTime 2016-11-06T19:07:11 --startdatetime 2016-11-06T19:11:29 --delay 1 --endMP 204:119 --enddatetime 2016-11-06T19:49:37 --enforcementcount 0 &gt;&gt;C:\Users\stu\Documents\GitHub\eaglep3-reporting\EC\2016-11-06-refined-times.txt</v>
      </c>
      <c r="AI13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{"issue":{"subject":"","project_id":79,"tracker_id":40,"status_id":1,"priority_id":2,"assigned_to_id":23,"start_date":"2016-11-06","description":"","custom_fields":[{"id":1,"name":"Subdivision","value":"EC"},{"id":4,"name":"Milepost","value":"0.0119"},{"id":17,"name":"Train ID","value":"218-06"},{"id":16,"name":"Locomotive ID","value":"4041"},{"id":130,"name":"Impact","value":""},{"id":150,"name":"Time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578</v>
      </c>
      <c r="B131" s="7">
        <v>4011</v>
      </c>
      <c r="C131" s="22" t="s">
        <v>239</v>
      </c>
      <c r="D131" s="22" t="s">
        <v>251</v>
      </c>
      <c r="E131" s="13">
        <v>42680.769849537035</v>
      </c>
      <c r="F131" s="13">
        <v>42680.771122685182</v>
      </c>
      <c r="G131" s="7">
        <v>1</v>
      </c>
      <c r="H131" s="22" t="s">
        <v>237</v>
      </c>
      <c r="I131" s="13">
        <v>42680.795868055553</v>
      </c>
      <c r="J131" s="7">
        <v>0</v>
      </c>
      <c r="K131" s="112" t="str">
        <f t="shared" si="20"/>
        <v>4011/4012</v>
      </c>
      <c r="L131" s="22" t="str">
        <f>VLOOKUP(A131,'Trips&amp;Operators'!$C$1:$E$10000,3,FALSE)</f>
        <v>CHANDLER</v>
      </c>
      <c r="M131" s="6">
        <f t="shared" si="21"/>
        <v>2.47453703705105E-2</v>
      </c>
      <c r="N131" s="7">
        <f t="shared" si="22"/>
        <v>35.63333333353512</v>
      </c>
      <c r="O131" s="7"/>
      <c r="P131" s="7"/>
      <c r="Q131" s="23"/>
      <c r="R131" s="23"/>
      <c r="S131" s="35">
        <f t="shared" si="23"/>
        <v>1</v>
      </c>
      <c r="T131" s="50" t="str">
        <f t="shared" si="24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17:28:35-0600',mode:absolute,to:'2016-11-06 20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6"/>
        <v>N</v>
      </c>
      <c r="X131" s="177">
        <f t="shared" si="37"/>
        <v>1</v>
      </c>
      <c r="Y131" s="67">
        <f t="shared" si="28"/>
        <v>4.3799999999999999E-2</v>
      </c>
      <c r="Z131" s="67">
        <f t="shared" si="29"/>
        <v>23.330100000000002</v>
      </c>
      <c r="AA131" s="67">
        <f t="shared" si="30"/>
        <v>23.286300000000001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1"/>
        <v>0219-06</v>
      </c>
      <c r="AE131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1" s="88" t="str">
        <f t="shared" si="33"/>
        <v>"C:\Program Files (x86)\AstroGrep\AstroGrep.exe" /spath="%USERPROFILE%\AppData\Local\Temp\OnboardLogs" /stypes="app*4011*20161107*" /stext=" 02:.+((SYSTEM_STATE.+slice.+state.+changed )|(ment ac)|(system.+state.+changed )|(\[timeout)|(PRM\|1\|D)|(kpr)|(kdp)|(\|lc)|(penalty))" /e /r /s</v>
      </c>
      <c r="AG131" s="1" t="str">
        <f t="shared" si="34"/>
        <v>EC</v>
      </c>
      <c r="AH131" s="92" t="str">
        <f t="shared" si="35"/>
        <v>"%USERPROFILE%\Documents\GitHub\eaglep3\Utilities\RefineRTDCRunTimes.py" --tripid 219-06 --locoid 4011 --swversion DE.1.0.8.0 --startMP 204:438 --initTime 2016-11-06T18:28:35 --startdatetime 2016-11-06T18:30:25 --delay 1 --endMP 204:233301 --enddatetime 2016-11-06T19:06:03 --enforcementcount 0 &gt;&gt;C:\Users\stu\Documents\GitHub\eaglep3-reporting\EC\2016-11-06-refined-times.txt</v>
      </c>
      <c r="AI131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{"issue":{"subject":"","project_id":79,"tracker_id":40,"status_id":1,"priority_id":2,"assigned_to_id":23,"start_date":"2016-11-06","description":"","custom_fields":[{"id":1,"name":"Subdivision","value":"EC"},{"id":4,"name":"Milepost","value":"23.3301"},{"id":17,"name":"Train ID","value":"219-06"},{"id":16,"name":"Locomotive ID","value":"4011"},{"id":130,"name":"Impact","value":""},{"id":150,"name":"Time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589</v>
      </c>
      <c r="B132" s="7">
        <v>4012</v>
      </c>
      <c r="C132" s="22" t="s">
        <v>239</v>
      </c>
      <c r="D132" s="22" t="s">
        <v>268</v>
      </c>
      <c r="E132" s="13">
        <v>42680.808333333334</v>
      </c>
      <c r="F132" s="13">
        <v>42680.810173611113</v>
      </c>
      <c r="G132" s="7">
        <v>1</v>
      </c>
      <c r="H132" s="22" t="s">
        <v>206</v>
      </c>
      <c r="I132" s="13">
        <v>42680.840960648151</v>
      </c>
      <c r="J132" s="7">
        <v>0</v>
      </c>
      <c r="K132" s="112" t="str">
        <f t="shared" si="20"/>
        <v>4011/4012</v>
      </c>
      <c r="L132" s="22" t="str">
        <f>VLOOKUP(A132,'Trips&amp;Operators'!$C$1:$E$10000,3,FALSE)</f>
        <v>CHANDLER</v>
      </c>
      <c r="M132" s="6">
        <f t="shared" si="21"/>
        <v>3.0787037037953269E-2</v>
      </c>
      <c r="N132" s="7">
        <f t="shared" si="22"/>
        <v>44.333333334652707</v>
      </c>
      <c r="O132" s="7"/>
      <c r="P132" s="7"/>
      <c r="Q132" s="23"/>
      <c r="R132" s="23"/>
      <c r="S132" s="35">
        <f t="shared" si="23"/>
        <v>1</v>
      </c>
      <c r="T132" s="50" t="str">
        <f t="shared" si="24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18:24:00-0600',mode:absolute,to:'2016-11-06 21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6"/>
        <v>N</v>
      </c>
      <c r="X132" s="177">
        <f t="shared" si="37"/>
        <v>1</v>
      </c>
      <c r="Y132" s="67">
        <f t="shared" si="28"/>
        <v>23.297999999999998</v>
      </c>
      <c r="Z132" s="67">
        <f t="shared" si="29"/>
        <v>1.43E-2</v>
      </c>
      <c r="AA132" s="67">
        <f t="shared" si="30"/>
        <v>23.2837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1"/>
        <v>0220-06</v>
      </c>
      <c r="AE132" s="91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32" s="88" t="str">
        <f t="shared" si="33"/>
        <v>"C:\Program Files (x86)\AstroGrep\AstroGrep.exe" /spath="%USERPROFILE%\AppData\Local\Temp\OnboardLogs" /stypes="app*4012*20161107*" /stext=" 03:.+((SYSTEM_STATE.+slice.+state.+changed )|(ment ac)|(system.+state.+changed )|(\[timeout)|(PRM\|1\|D)|(kpr)|(kdp)|(\|lc)|(penalty))" /e /r /s</v>
      </c>
      <c r="AG132" s="1" t="str">
        <f t="shared" si="34"/>
        <v>EC</v>
      </c>
      <c r="AH132" s="92" t="str">
        <f t="shared" si="35"/>
        <v>"%USERPROFILE%\Documents\GitHub\eaglep3\Utilities\RefineRTDCRunTimes.py" --tripid 220-06 --locoid 4012 --swversion DE.1.0.8.0 --startMP 204:232980 --initTime 2016-11-06T19:24:00 --startdatetime 2016-11-06T19:26:39 --delay 1 --endMP 204:143 --enddatetime 2016-11-06T20:10:59 --enforcementcount 0 &gt;&gt;C:\Users\stu\Documents\GitHub\eaglep3-reporting\EC\2016-11-06-refined-times.txt</v>
      </c>
      <c r="AI132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ID","value":"220-06"},{"id":16,"name":"Locomotive ID","value":"4012"},{"id":130,"name":"Impact","value":""},{"id":150,"name":"Time of Event (Mountain Time)","value":"20:10:59"},{"id":151,"name":"Denver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583</v>
      </c>
      <c r="B133" s="7">
        <v>4007</v>
      </c>
      <c r="C133" s="22" t="s">
        <v>239</v>
      </c>
      <c r="D133" s="22" t="s">
        <v>212</v>
      </c>
      <c r="E133" s="13">
        <v>42680.786412037036</v>
      </c>
      <c r="F133" s="13">
        <v>42680.791967592595</v>
      </c>
      <c r="G133" s="7">
        <v>1</v>
      </c>
      <c r="H133" s="22" t="s">
        <v>252</v>
      </c>
      <c r="I133" s="13">
        <v>42680.816666666666</v>
      </c>
      <c r="J133" s="7">
        <v>0</v>
      </c>
      <c r="K133" s="112" t="str">
        <f t="shared" si="20"/>
        <v>4007/4008</v>
      </c>
      <c r="L133" s="22" t="str">
        <f>VLOOKUP(A133,'Trips&amp;Operators'!$C$1:$E$10000,3,FALSE)</f>
        <v>LEVERE</v>
      </c>
      <c r="M133" s="6">
        <f t="shared" si="21"/>
        <v>2.4699074070667848E-2</v>
      </c>
      <c r="N133" s="7">
        <f t="shared" si="22"/>
        <v>35.566666661761701</v>
      </c>
      <c r="O133" s="7"/>
      <c r="P133" s="7"/>
      <c r="Q133" s="23"/>
      <c r="R133" s="23"/>
      <c r="S133" s="35">
        <f t="shared" si="23"/>
        <v>1</v>
      </c>
      <c r="T133" s="50" t="str">
        <f t="shared" si="24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17:52:26-0600',mode:absolute,to:'2016-11-06 20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2" t="str">
        <f t="shared" si="26"/>
        <v>N</v>
      </c>
      <c r="X133" s="177">
        <f t="shared" si="37"/>
        <v>1</v>
      </c>
      <c r="Y133" s="67">
        <f t="shared" si="28"/>
        <v>4.5999999999999999E-2</v>
      </c>
      <c r="Z133" s="67">
        <f t="shared" si="29"/>
        <v>23.328900000000001</v>
      </c>
      <c r="AA133" s="67">
        <f t="shared" si="30"/>
        <v>23.282900000000001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1"/>
        <v>0221-06</v>
      </c>
      <c r="AE133" s="91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3" s="88" t="str">
        <f t="shared" si="33"/>
        <v>"C:\Program Files (x86)\AstroGrep\AstroGrep.exe" /spath="%USERPROFILE%\AppData\Local\Temp\OnboardLogs" /stypes="app*4007*20161107*"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2" t="str">
        <f t="shared" si="35"/>
        <v>"%USERPROFILE%\Documents\GitHub\eaglep3\Utilities\RefineRTDCRunTimes.py" --tripid 221-06 --locoid 4007 --swversion DE.1.0.8.0 --startMP 204:460 --initTime 2016-11-06T18:52:26 --startdatetime 2016-11-06T19:00:26 --delay 1 --endMP 204:233289 --enddatetime 2016-11-06T19:36:00 --enforcementcount 0 &gt;&gt;C:\Users\stu\Documents\GitHub\eaglep3-reporting\EC\2016-11-06-refined-times.txt</v>
      </c>
      <c r="AI133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ID","value":"221-06"},{"id":16,"name":"Locomotive ID","value":"4007"},{"id":130,"name":"Impact","value":""},{"id":150,"name":"Time of Event (Mountain Time)","value":"19:36:00"},{"id":151,"name":"Denver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592</v>
      </c>
      <c r="B134" s="7">
        <v>4008</v>
      </c>
      <c r="C134" s="22" t="s">
        <v>239</v>
      </c>
      <c r="D134" s="22" t="s">
        <v>258</v>
      </c>
      <c r="E134" s="13">
        <v>42680.822534722225</v>
      </c>
      <c r="F134" s="13">
        <v>42680.830729166664</v>
      </c>
      <c r="G134" s="7">
        <v>1</v>
      </c>
      <c r="H134" s="22" t="s">
        <v>260</v>
      </c>
      <c r="I134" s="13">
        <v>42680.860277777778</v>
      </c>
      <c r="J134" s="7">
        <v>0</v>
      </c>
      <c r="K134" s="112" t="str">
        <f t="shared" si="20"/>
        <v>4007/4008</v>
      </c>
      <c r="L134" s="22" t="str">
        <f>VLOOKUP(A134,'Trips&amp;Operators'!$C$1:$E$10000,3,FALSE)</f>
        <v>LEVERE</v>
      </c>
      <c r="M134" s="6">
        <f t="shared" si="21"/>
        <v>2.9548611113568768E-2</v>
      </c>
      <c r="N134" s="7">
        <f t="shared" si="22"/>
        <v>42.550000003539026</v>
      </c>
      <c r="O134" s="7"/>
      <c r="P134" s="7"/>
      <c r="Q134" s="23"/>
      <c r="R134" s="23"/>
      <c r="S134" s="35">
        <f t="shared" si="23"/>
        <v>1</v>
      </c>
      <c r="T134" s="50" t="str">
        <f t="shared" si="24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18:44:27-0600',mode:absolute,to:'2016-11-06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2" t="str">
        <f t="shared" si="26"/>
        <v>N</v>
      </c>
      <c r="X134" s="177">
        <f t="shared" si="37"/>
        <v>1</v>
      </c>
      <c r="Y134" s="67">
        <f t="shared" si="28"/>
        <v>23.2973</v>
      </c>
      <c r="Z134" s="67">
        <f t="shared" si="29"/>
        <v>1.5800000000000002E-2</v>
      </c>
      <c r="AA134" s="67">
        <f t="shared" si="30"/>
        <v>23.281500000000001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1"/>
        <v>0222-06</v>
      </c>
      <c r="AE134" s="91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34" s="88" t="str">
        <f t="shared" si="33"/>
        <v>"C:\Program Files (x86)\AstroGrep\AstroGrep.exe" /spath="%USERPROFILE%\AppData\Local\Temp\OnboardLogs" /stypes="app*4008*20161107*" /stext=" 03:.+((SYSTEM_STATE.+slice.+state.+changed )|(ment ac)|(system.+state.+changed )|(\[timeout)|(PRM\|1\|D)|(kpr)|(kdp)|(\|lc)|(penalty))" /e /r /s</v>
      </c>
      <c r="AG134" s="1" t="str">
        <f t="shared" si="34"/>
        <v>EC</v>
      </c>
      <c r="AH134" s="92" t="str">
        <f t="shared" si="35"/>
        <v>"%USERPROFILE%\Documents\GitHub\eaglep3\Utilities\RefineRTDCRunTimes.py" --tripid 222-06 --locoid 4008 --swversion DE.1.0.8.0 --startMP 204:232973 --initTime 2016-11-06T19:44:27 --startdatetime 2016-11-06T19:56:15 --delay 1 --endMP 204:158 --enddatetime 2016-11-06T20:38:48 --enforcementcount 0 &gt;&gt;C:\Users\stu\Documents\GitHub\eaglep3-reporting\EC\2016-11-06-refined-times.txt</v>
      </c>
      <c r="AI134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ID","value":"222-06"},{"id":16,"name":"Locomotive ID","value":"4008"},{"id":130,"name":"Impact","value":""},{"id":150,"name":"Time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588</v>
      </c>
      <c r="B135" s="7">
        <v>4009</v>
      </c>
      <c r="C135" s="22" t="s">
        <v>239</v>
      </c>
      <c r="D135" s="22" t="s">
        <v>720</v>
      </c>
      <c r="E135" s="13">
        <v>42680.806979166664</v>
      </c>
      <c r="F135" s="13">
        <v>42680.812673611108</v>
      </c>
      <c r="G135" s="7">
        <v>1</v>
      </c>
      <c r="H135" s="22" t="s">
        <v>721</v>
      </c>
      <c r="I135" s="13">
        <v>42680.839745370373</v>
      </c>
      <c r="J135" s="7">
        <v>0</v>
      </c>
      <c r="K135" s="112" t="str">
        <f t="shared" si="20"/>
        <v>4009/4010</v>
      </c>
      <c r="L135" s="22" t="str">
        <f>VLOOKUP(A135,'Trips&amp;Operators'!$C$1:$E$10000,3,FALSE)</f>
        <v>CRAYTON</v>
      </c>
      <c r="M135" s="6">
        <f t="shared" si="21"/>
        <v>2.7071759264799766E-2</v>
      </c>
      <c r="N135" s="7">
        <f t="shared" si="22"/>
        <v>38.983333341311663</v>
      </c>
      <c r="O135" s="7"/>
      <c r="P135" s="7"/>
      <c r="Q135" s="23"/>
      <c r="R135" s="23"/>
      <c r="S135" s="35">
        <f t="shared" si="23"/>
        <v>1</v>
      </c>
      <c r="T135" s="50" t="str">
        <f t="shared" si="24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18:22:03-0600',mode:absolute,to:'2016-11-06 21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6"/>
        <v>N</v>
      </c>
      <c r="X135" s="177">
        <f t="shared" si="37"/>
        <v>1</v>
      </c>
      <c r="Y135" s="67">
        <f t="shared" si="28"/>
        <v>4.8800000000000003E-2</v>
      </c>
      <c r="Z135" s="67">
        <f t="shared" si="29"/>
        <v>23.332100000000001</v>
      </c>
      <c r="AA135" s="67">
        <f t="shared" si="30"/>
        <v>23.283300000000001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1"/>
        <v>0223-06</v>
      </c>
      <c r="AE135" s="91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35" s="88" t="str">
        <f t="shared" si="33"/>
        <v>"C:\Program Files (x86)\AstroGrep\AstroGrep.exe" /spath="%USERPROFILE%\AppData\Local\Temp\OnboardLogs" /stypes="app*4009*20161107*" /stext=" 03:.+((SYSTEM_STATE.+slice.+state.+changed )|(ment ac)|(system.+state.+changed )|(\[timeout)|(PRM\|1\|D)|(kpr)|(kdp)|(\|lc)|(penalty))" /e /r /s</v>
      </c>
      <c r="AG135" s="1" t="str">
        <f t="shared" si="34"/>
        <v>EC</v>
      </c>
      <c r="AH135" s="92" t="str">
        <f t="shared" si="35"/>
        <v>"%USERPROFILE%\Documents\GitHub\eaglep3\Utilities\RefineRTDCRunTimes.py" --tripid 223-06 --locoid 4009 --swversion DE.1.0.8.0 --startMP 204:488 --initTime 2016-11-06T19:22:03 --startdatetime 2016-11-06T19:30:15 --delay 1 --endMP 204:233321 --enddatetime 2016-11-06T20:09:14 --enforcementcount 0 &gt;&gt;C:\Users\stu\Documents\GitHub\eaglep3-reporting\EC\2016-11-06-refined-times.txt</v>
      </c>
      <c r="AI135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{"issue":{"subject":"","project_id":79,"tracker_id":40,"status_id":1,"priority_id":2,"assigned_to_id":23,"start_date":"2016-11-06","description":"","custom_fields":[{"id":1,"name":"Subdivision","value":"EC"},{"id":4,"name":"Milepost","value":"23.3321"},{"id":17,"name":"Train ID","value":"223-06"},{"id":16,"name":"Locomotive ID","value":"4009"},{"id":130,"name":"Impact","value":""},{"id":150,"name":"Time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596</v>
      </c>
      <c r="B136" s="7">
        <v>4010</v>
      </c>
      <c r="C136" s="22" t="s">
        <v>239</v>
      </c>
      <c r="D136" s="22" t="s">
        <v>267</v>
      </c>
      <c r="E136" s="13">
        <v>42680.844502314816</v>
      </c>
      <c r="F136" s="13">
        <v>42680.851620370369</v>
      </c>
      <c r="G136" s="7">
        <v>1</v>
      </c>
      <c r="H136" s="22" t="s">
        <v>176</v>
      </c>
      <c r="I136" s="13">
        <v>42680.878263888888</v>
      </c>
      <c r="J136" s="7">
        <v>0</v>
      </c>
      <c r="K136" s="112" t="str">
        <f t="shared" si="20"/>
        <v>4009/4010</v>
      </c>
      <c r="L136" s="22" t="str">
        <f>VLOOKUP(A136,'Trips&amp;Operators'!$C$1:$E$10000,3,FALSE)</f>
        <v>CRAYTON</v>
      </c>
      <c r="M136" s="6">
        <f t="shared" si="21"/>
        <v>2.6643518518540077E-2</v>
      </c>
      <c r="N136" s="7">
        <f t="shared" si="22"/>
        <v>38.366666666697711</v>
      </c>
      <c r="O136" s="7"/>
      <c r="P136" s="7"/>
      <c r="Q136" s="23"/>
      <c r="R136" s="23"/>
      <c r="S136" s="35">
        <f t="shared" si="23"/>
        <v>1</v>
      </c>
      <c r="T136" s="50" t="str">
        <f t="shared" si="24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19:16:05-0600',mode:absolute,to:'2016-11-06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6"/>
        <v>N</v>
      </c>
      <c r="X136" s="177">
        <f t="shared" si="37"/>
        <v>1</v>
      </c>
      <c r="Y136" s="67">
        <f t="shared" si="28"/>
        <v>23.299600000000002</v>
      </c>
      <c r="Z136" s="67">
        <f t="shared" si="29"/>
        <v>1.52E-2</v>
      </c>
      <c r="AA136" s="67">
        <f t="shared" si="30"/>
        <v>23.284400000000002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1"/>
        <v>0224-06</v>
      </c>
      <c r="AE136" s="91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36" s="88" t="str">
        <f t="shared" si="33"/>
        <v>"C:\Program Files (x86)\AstroGrep\AstroGrep.exe" /spath="%USERPROFILE%\AppData\Local\Temp\OnboardLogs" /stypes="app*4010*20161107*" /stext=" 04:.+((SYSTEM_STATE.+slice.+state.+changed )|(ment ac)|(system.+state.+changed )|(\[timeout)|(PRM\|1\|D)|(kpr)|(kdp)|(\|lc)|(penalty))" /e /r /s</v>
      </c>
      <c r="AG136" s="1" t="str">
        <f t="shared" si="34"/>
        <v>EC</v>
      </c>
      <c r="AH136" s="92" t="str">
        <f t="shared" si="35"/>
        <v>"%USERPROFILE%\Documents\GitHub\eaglep3\Utilities\RefineRTDCRunTimes.py" --tripid 224-06 --locoid 4010 --swversion DE.1.0.8.0 --startMP 204:232996 --initTime 2016-11-06T20:16:05 --startdatetime 2016-11-06T20:26:20 --delay 1 --endMP 204:152 --enddatetime 2016-11-06T21:04:42 --enforcementcount 0 &gt;&gt;C:\Users\stu\Documents\GitHub\eaglep3-reporting\EC\2016-11-06-refined-times.txt</v>
      </c>
      <c r="AI136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ID","value":"224-06"},{"id":16,"name":"Locomotive ID","value":"4010"},{"id":130,"name":"Impact","value":""},{"id":150,"name":"Time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416</v>
      </c>
      <c r="B137" s="7">
        <v>4042</v>
      </c>
      <c r="C137" s="22" t="s">
        <v>239</v>
      </c>
      <c r="D137" s="22" t="s">
        <v>722</v>
      </c>
      <c r="E137" s="13">
        <v>42680.827870370369</v>
      </c>
      <c r="F137" s="13">
        <v>42680.833518518521</v>
      </c>
      <c r="G137" s="7">
        <v>1</v>
      </c>
      <c r="H137" s="22" t="s">
        <v>314</v>
      </c>
      <c r="I137" s="13">
        <v>42680.858287037037</v>
      </c>
      <c r="J137" s="7">
        <v>0</v>
      </c>
      <c r="K137" s="112" t="str">
        <f t="shared" si="20"/>
        <v>4041/4042</v>
      </c>
      <c r="L137" s="22" t="str">
        <f>VLOOKUP(A137,'Trips&amp;Operators'!$C$1:$E$10000,3,FALSE)</f>
        <v>BERLING</v>
      </c>
      <c r="M137" s="6">
        <f t="shared" si="21"/>
        <v>2.4768518516793847E-2</v>
      </c>
      <c r="N137" s="7">
        <f t="shared" si="22"/>
        <v>35.66666666418314</v>
      </c>
      <c r="O137" s="7"/>
      <c r="P137" s="7"/>
      <c r="Q137" s="23"/>
      <c r="R137" s="23"/>
      <c r="S137" s="35">
        <f t="shared" si="23"/>
        <v>1</v>
      </c>
      <c r="T137" s="50" t="str">
        <f t="shared" si="24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18:52:08-0600',mode:absolute,to:'2016-11-06 21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6"/>
        <v>N</v>
      </c>
      <c r="X137" s="177">
        <f t="shared" si="37"/>
        <v>1</v>
      </c>
      <c r="Y137" s="67">
        <f t="shared" si="28"/>
        <v>4.2599999999999999E-2</v>
      </c>
      <c r="Z137" s="67">
        <f t="shared" si="29"/>
        <v>23.332699999999999</v>
      </c>
      <c r="AA137" s="67">
        <f t="shared" si="30"/>
        <v>23.290099999999999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1"/>
        <v>0225-06</v>
      </c>
      <c r="AE137" s="91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37" s="88" t="str">
        <f t="shared" si="33"/>
        <v>"C:\Program Files (x86)\AstroGrep\AstroGrep.exe" /spath="%USERPROFILE%\AppData\Local\Temp\OnboardLogs" /stypes="app*4042*20161107*" /stext=" 03:.+((SYSTEM_STATE.+slice.+state.+changed )|(ment ac)|(system.+state.+changed )|(\[timeout)|(PRM\|1\|D)|(kpr)|(kdp)|(\|lc)|(penalty))" /e /r /s</v>
      </c>
      <c r="AG137" s="1" t="str">
        <f t="shared" si="34"/>
        <v>EC</v>
      </c>
      <c r="AH137" s="92" t="str">
        <f t="shared" si="35"/>
        <v>"%USERPROFILE%\Documents\GitHub\eaglep3\Utilities\RefineRTDCRunTimes.py" --tripid 225-06 --locoid 4042 --swversion DE.1.0.8.0 --startMP 204:426 --initTime 2016-11-06T19:52:08 --startdatetime 2016-11-06T20:00:16 --delay 1 --endMP 204:233327 --enddatetime 2016-11-06T20:35:56 --enforcementcount 0 &gt;&gt;C:\Users\stu\Documents\GitHub\eaglep3-reporting\EC\2016-11-06-refined-times.txt</v>
      </c>
      <c r="AI137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ID","value":"225-06"},{"id":16,"name":"Locomotive ID","value":"4042"},{"id":130,"name":"Impact","value":""},{"id":150,"name":"Time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599</v>
      </c>
      <c r="B138" s="7">
        <v>4041</v>
      </c>
      <c r="C138" s="22" t="s">
        <v>239</v>
      </c>
      <c r="D138" s="22" t="s">
        <v>316</v>
      </c>
      <c r="E138" s="13">
        <v>42680.865162037036</v>
      </c>
      <c r="F138" s="13">
        <v>42680.872812499998</v>
      </c>
      <c r="G138" s="7">
        <v>2</v>
      </c>
      <c r="H138" s="22" t="s">
        <v>640</v>
      </c>
      <c r="I138" s="13">
        <v>42680.901354166665</v>
      </c>
      <c r="J138" s="7">
        <v>0</v>
      </c>
      <c r="K138" s="112" t="str">
        <f t="shared" si="20"/>
        <v>4041/4042</v>
      </c>
      <c r="L138" s="22" t="str">
        <f>VLOOKUP(A138,'Trips&amp;Operators'!$C$1:$E$10000,3,FALSE)</f>
        <v>BERLING</v>
      </c>
      <c r="M138" s="6">
        <f t="shared" si="21"/>
        <v>2.8541666666569654E-2</v>
      </c>
      <c r="N138" s="7">
        <f t="shared" si="22"/>
        <v>41.099999999860302</v>
      </c>
      <c r="O138" s="7"/>
      <c r="P138" s="7"/>
      <c r="Q138" s="23"/>
      <c r="R138" s="23"/>
      <c r="S138" s="35">
        <f t="shared" si="23"/>
        <v>1</v>
      </c>
      <c r="T138" s="50" t="str">
        <f t="shared" si="24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19:45:50-0600',mode:absolute,to:'2016-11-06 22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6"/>
        <v>N</v>
      </c>
      <c r="X138" s="177">
        <f t="shared" si="37"/>
        <v>1</v>
      </c>
      <c r="Y138" s="67">
        <f t="shared" si="28"/>
        <v>23.3004</v>
      </c>
      <c r="Z138" s="67">
        <f t="shared" si="29"/>
        <v>1.2999999999999999E-2</v>
      </c>
      <c r="AA138" s="67">
        <f t="shared" si="30"/>
        <v>23.287399999999998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1"/>
        <v>0226-06</v>
      </c>
      <c r="AE138" s="91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8" s="88" t="str">
        <f t="shared" si="33"/>
        <v>"C:\Program Files (x86)\AstroGrep\AstroGrep.exe" /spath="%USERPROFILE%\AppData\Local\Temp\OnboardLogs" /stypes="app*4041*20161107*" /stext=" 04:.+((SYSTEM_STATE.+slice.+state.+changed )|(ment ac)|(system.+state.+changed )|(\[timeout)|(PRM\|1\|D)|(kpr)|(kdp)|(\|lc)|(penalty))" /e /r /s</v>
      </c>
      <c r="AG138" s="1" t="str">
        <f t="shared" si="34"/>
        <v>EC</v>
      </c>
      <c r="AH138" s="92" t="str">
        <f t="shared" si="35"/>
        <v>"%USERPROFILE%\Documents\GitHub\eaglep3\Utilities\RefineRTDCRunTimes.py" --tripid 226-06 --locoid 4041 --swversion DE.1.0.8.0 --startMP 204:233004 --initTime 2016-11-06T20:45:50 --startdatetime 2016-11-06T20:56:51 --delay 2 --endMP 204:130 --enddatetime 2016-11-06T21:37:57 --enforcementcount 0 &gt;&gt;C:\Users\stu\Documents\GitHub\eaglep3-reporting\EC\2016-11-06-refined-times.txt</v>
      </c>
      <c r="AI138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ID","value":"226-06"},{"id":16,"name":"Locomotive ID","value":"4041"},{"id":130,"name":"Impact","value":""},{"id":150,"name":"Time of Event (Mountain Time)","value":"21:37:57"},{"id":151,"name":"Denver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597</v>
      </c>
      <c r="B139" s="7">
        <v>4011</v>
      </c>
      <c r="C139" s="22" t="s">
        <v>239</v>
      </c>
      <c r="D139" s="22" t="s">
        <v>635</v>
      </c>
      <c r="E139" s="13">
        <v>42680.854826388888</v>
      </c>
      <c r="F139" s="13">
        <v>42680.855879629627</v>
      </c>
      <c r="G139" s="7">
        <v>1</v>
      </c>
      <c r="H139" s="22" t="s">
        <v>191</v>
      </c>
      <c r="I139" s="13">
        <v>42680.880358796298</v>
      </c>
      <c r="J139" s="7">
        <v>0</v>
      </c>
      <c r="K139" s="112" t="str">
        <f t="shared" si="20"/>
        <v>4011/4012</v>
      </c>
      <c r="L139" s="22" t="str">
        <f>VLOOKUP(A139,'Trips&amp;Operators'!$C$1:$E$10000,3,FALSE)</f>
        <v>CHANDLER</v>
      </c>
      <c r="M139" s="6">
        <f t="shared" si="21"/>
        <v>2.4479166670062114E-2</v>
      </c>
      <c r="N139" s="7">
        <f t="shared" si="22"/>
        <v>35.250000004889444</v>
      </c>
      <c r="O139" s="7"/>
      <c r="P139" s="7"/>
      <c r="Q139" s="23"/>
      <c r="R139" s="23"/>
      <c r="S139" s="35">
        <f t="shared" si="23"/>
        <v>1</v>
      </c>
      <c r="T139" s="50" t="str">
        <f t="shared" si="24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19:30:57-0600',mode:absolute,to:'2016-11-06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6"/>
        <v>N</v>
      </c>
      <c r="X139" s="177">
        <f t="shared" si="37"/>
        <v>1</v>
      </c>
      <c r="Y139" s="67">
        <f t="shared" si="28"/>
        <v>4.4600000000000001E-2</v>
      </c>
      <c r="Z139" s="67">
        <f t="shared" si="29"/>
        <v>23.329699999999999</v>
      </c>
      <c r="AA139" s="67">
        <f t="shared" si="30"/>
        <v>23.2851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1"/>
        <v>0227-06</v>
      </c>
      <c r="AE139" s="91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9" s="88" t="str">
        <f t="shared" si="33"/>
        <v>"C:\Program Files (x86)\AstroGrep\AstroGrep.exe" /spath="%USERPROFILE%\AppData\Local\Temp\OnboardLogs" /stypes="app*4011*20161107*" /stext=" 04:.+((SYSTEM_STATE.+slice.+state.+changed )|(ment ac)|(system.+state.+changed )|(\[timeout)|(PRM\|1\|D)|(kpr)|(kdp)|(\|lc)|(penalty))" /e /r /s</v>
      </c>
      <c r="AG139" s="1" t="str">
        <f t="shared" si="34"/>
        <v>EC</v>
      </c>
      <c r="AH139" s="92" t="str">
        <f t="shared" si="35"/>
        <v>"%USERPROFILE%\Documents\GitHub\eaglep3\Utilities\RefineRTDCRunTimes.py" --tripid 227-06 --locoid 4011 --swversion DE.1.0.8.0 --startMP 204:446 --initTime 2016-11-06T20:30:57 --startdatetime 2016-11-06T20:32:28 --delay 1 --endMP 204:233297 --enddatetime 2016-11-06T21:07:43 --enforcementcount 0 &gt;&gt;C:\Users\stu\Documents\GitHub\eaglep3-reporting\EC\2016-11-06-refined-times.txt</v>
      </c>
      <c r="AI139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ID","value":"227-06"},{"id":16,"name":"Locomotive ID","value":"4011"},{"id":130,"name":"Impact","value":""},{"id":150,"name":"Time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603</v>
      </c>
      <c r="B140" s="7">
        <v>4012</v>
      </c>
      <c r="C140" s="22" t="s">
        <v>239</v>
      </c>
      <c r="D140" s="22" t="s">
        <v>723</v>
      </c>
      <c r="E140" s="13">
        <v>42680.891597222224</v>
      </c>
      <c r="F140" s="13">
        <v>42680.893391203703</v>
      </c>
      <c r="G140" s="7">
        <v>1</v>
      </c>
      <c r="H140" s="22" t="s">
        <v>205</v>
      </c>
      <c r="I140" s="13">
        <v>42680.92083333333</v>
      </c>
      <c r="J140" s="7">
        <v>0</v>
      </c>
      <c r="K140" s="112" t="str">
        <f t="shared" ref="K140:K203" si="38">IF(ISEVEN(B140),(B140-1)&amp;"/"&amp;B140,B140&amp;"/"&amp;(B140+1))</f>
        <v>4011/4012</v>
      </c>
      <c r="L140" s="22" t="str">
        <f>VLOOKUP(A140,'Trips&amp;Operators'!$C$1:$E$10000,3,FALSE)</f>
        <v>CHANDLER</v>
      </c>
      <c r="M140" s="6">
        <f t="shared" ref="M140:M203" si="39">I140-F140</f>
        <v>2.7442129627161194E-2</v>
      </c>
      <c r="N140" s="7">
        <f t="shared" ref="N140:P203" si="40">24*60*SUM($M140:$M140)</f>
        <v>39.516666663112119</v>
      </c>
      <c r="O140" s="7"/>
      <c r="P140" s="7"/>
      <c r="Q140" s="23"/>
      <c r="R140" s="23"/>
      <c r="S140" s="35">
        <f t="shared" ref="S140:S203" si="41">SUM(U140:U140)/IF(AG140="EC",12,1)</f>
        <v>1</v>
      </c>
      <c r="T140" s="50" t="str">
        <f t="shared" ref="T140:T203" si="42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3" si="43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https://search-rtdc-monitor-bjffxe2xuh6vdkpspy63sjmuny.us-east-1.es.amazonaws.com/_plugin/kibana/#/discover/Steve-Slow-Train-Analysis-(2080s-and-2083s)?_g=(refreshInterval:(display:Off,section:0,value:0),time:(from:'2016-11-06 20:23:54-0600',mode:absolute,to:'2016-11-06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ref="W140:W203" si="44">IF(AA140&lt;IF(AG140="EC",23,5.65),"Y","N")</f>
        <v>N</v>
      </c>
      <c r="X140" s="177">
        <f t="shared" ref="X140:X171" si="45">VALUE(LEFT(AD140,4))-VALUE(LEFT(AD139,4))</f>
        <v>1</v>
      </c>
      <c r="Y140" s="67">
        <f t="shared" ref="Y140:Y203" si="46">RIGHT(D140,LEN(D140)-4)/10000</f>
        <v>23.297599999999999</v>
      </c>
      <c r="Z140" s="67">
        <f t="shared" ref="Z140:Z203" si="47">RIGHT(H140,LEN(H140)-4)/10000</f>
        <v>1.49E-2</v>
      </c>
      <c r="AA140" s="67">
        <f t="shared" ref="AA140:AA203" si="48">ABS(Z140-Y140)</f>
        <v>23.282699999999998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3" si="49">IF(LEN(A140)=6,"0"&amp;A140,A140)</f>
        <v>0228-06</v>
      </c>
      <c r="AE140" s="91" t="str">
        <f t="shared" ref="AE140:AE203" si="5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0" s="88" t="str">
        <f t="shared" ref="AF140:AF203" si="51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/stypes="app*4012*20161107*" /stext=" 05:.+((SYSTEM_STATE.+slice.+state.+changed )|(ment ac)|(system.+state.+changed )|(\[timeout)|(PRM\|1\|D)|(kpr)|(kdp)|(\|lc)|(penalty))" /e /r /s</v>
      </c>
      <c r="AG140" s="1" t="str">
        <f t="shared" ref="AG140:AG203" si="52">IFERROR(IF(VALUE(LEFT(AD140,2))&lt;=2,"EC",IF(OR(VALUE(LEFT(AD140,2))=8,VALUE(LEFT(AD140,2))=18),"NW","Other")),"Other")</f>
        <v>EC</v>
      </c>
      <c r="AH140" s="92" t="str">
        <f t="shared" si="35"/>
        <v>"%USERPROFILE%\Documents\GitHub\eaglep3\Utilities\RefineRTDCRunTimes.py" --tripid 228-06 --locoid 4012 --swversion DE.1.0.8.0 --startMP 204:232976 --initTime 2016-11-06T21:23:54 --startdatetime 2016-11-06T21:26:29 --delay 1 --endMP 204:149 --enddatetime 2016-11-06T22:06:00 --enforcementcount 0 &gt;&gt;C:\Users\stu\Documents\GitHub\eaglep3-reporting\EC\2016-11-06-refined-times.txt</v>
      </c>
      <c r="AI140" s="122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ID","value":"228-06"},{"id":16,"name":"Locomotive ID","value":"4012"},{"id":130,"name":"Impact","value":""},{"id":150,"name":"Time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600</v>
      </c>
      <c r="B141" s="7">
        <v>4007</v>
      </c>
      <c r="C141" s="22" t="s">
        <v>239</v>
      </c>
      <c r="D141" s="22" t="s">
        <v>212</v>
      </c>
      <c r="E141" s="13">
        <v>42680.868819444448</v>
      </c>
      <c r="F141" s="13">
        <v>42680.8753125</v>
      </c>
      <c r="G141" s="7">
        <v>1</v>
      </c>
      <c r="H141" s="22" t="s">
        <v>278</v>
      </c>
      <c r="I141" s="13">
        <v>42680.900590277779</v>
      </c>
      <c r="J141" s="7">
        <v>0</v>
      </c>
      <c r="K141" s="112" t="str">
        <f t="shared" si="38"/>
        <v>4007/4008</v>
      </c>
      <c r="L141" s="22" t="str">
        <f>VLOOKUP(A141,'Trips&amp;Operators'!$C$1:$E$10000,3,FALSE)</f>
        <v>LEVERE</v>
      </c>
      <c r="M141" s="6">
        <f t="shared" si="39"/>
        <v>2.527777777868323E-2</v>
      </c>
      <c r="N141" s="7">
        <f t="shared" si="40"/>
        <v>36.400000001303852</v>
      </c>
      <c r="O141" s="7"/>
      <c r="P141" s="7"/>
      <c r="Q141" s="23"/>
      <c r="R141" s="23"/>
      <c r="S141" s="35">
        <f t="shared" si="41"/>
        <v>1</v>
      </c>
      <c r="T141" s="50" t="str">
        <f t="shared" si="42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19:51:06-0600',mode:absolute,to:'2016-11-06 22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2" t="str">
        <f t="shared" si="44"/>
        <v>N</v>
      </c>
      <c r="X141" s="177">
        <f t="shared" si="45"/>
        <v>1</v>
      </c>
      <c r="Y141" s="67">
        <f t="shared" si="46"/>
        <v>4.5999999999999999E-2</v>
      </c>
      <c r="Z141" s="67">
        <f t="shared" si="47"/>
        <v>23.329799999999999</v>
      </c>
      <c r="AA141" s="67">
        <f t="shared" si="48"/>
        <v>23.283799999999999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9"/>
        <v>0229-06</v>
      </c>
      <c r="AE141" s="91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1" s="88" t="str">
        <f t="shared" si="51"/>
        <v>"C:\Program Files (x86)\AstroGrep\AstroGrep.exe" /spath="%USERPROFILE%\AppData\Local\Temp\OnboardLogs" /stypes="app*4007*20161107*" /stext=" 04:.+((SYSTEM_STATE.+slice.+state.+changed )|(ment ac)|(system.+state.+changed )|(\[timeout)|(PRM\|1\|D)|(kpr)|(kdp)|(\|lc)|(penalty))" /e /r /s</v>
      </c>
      <c r="AG141" s="1" t="str">
        <f t="shared" si="52"/>
        <v>EC</v>
      </c>
      <c r="AH141" s="92" t="str">
        <f t="shared" ref="AH141:AH200" si="5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229-06 --locoid 4007 --swversion DE.1.0.8.0 --startMP 204:460 --initTime 2016-11-06T20:51:06 --startdatetime 2016-11-06T21:00:27 --delay 1 --endMP 204:233298 --enddatetime 2016-11-06T21:36:51 --enforcementcount 0 &gt;&gt;C:\Users\stu\Documents\GitHub\eaglep3-reporting\EC\2016-11-06-refined-times.txt</v>
      </c>
      <c r="AI141" s="122" t="str">
        <f t="shared" ref="AI141:AI200" si="5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ID","value":"229-06"},{"id":16,"name":"Locomotive ID","value":"4007"},{"id":130,"name":"Impact","value":""},{"id":150,"name":"Time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605</v>
      </c>
      <c r="B142" s="7">
        <v>4008</v>
      </c>
      <c r="C142" s="22" t="s">
        <v>239</v>
      </c>
      <c r="D142" s="22" t="s">
        <v>238</v>
      </c>
      <c r="E142" s="13">
        <v>42680.909398148149</v>
      </c>
      <c r="F142" s="13">
        <v>42680.914178240739</v>
      </c>
      <c r="G142" s="7">
        <v>1</v>
      </c>
      <c r="H142" s="22" t="s">
        <v>260</v>
      </c>
      <c r="I142" s="13">
        <v>42680.941157407404</v>
      </c>
      <c r="J142" s="7">
        <v>0</v>
      </c>
      <c r="K142" s="112" t="str">
        <f t="shared" si="38"/>
        <v>4007/4008</v>
      </c>
      <c r="L142" s="22" t="str">
        <f>VLOOKUP(A142,'Trips&amp;Operators'!$C$1:$E$10000,3,FALSE)</f>
        <v>LEVERE</v>
      </c>
      <c r="M142" s="6">
        <f t="shared" si="39"/>
        <v>2.6979166665114462E-2</v>
      </c>
      <c r="N142" s="7">
        <f t="shared" si="40"/>
        <v>38.849999997764826</v>
      </c>
      <c r="O142" s="7"/>
      <c r="P142" s="7"/>
      <c r="Q142" s="23"/>
      <c r="R142" s="23"/>
      <c r="S142" s="35">
        <f t="shared" si="41"/>
        <v>1</v>
      </c>
      <c r="T142" s="50" t="str">
        <f t="shared" si="42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20:49:32-0600',mode:absolute,to:'2016-11-06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2" t="str">
        <f t="shared" si="44"/>
        <v>N</v>
      </c>
      <c r="X142" s="177">
        <f t="shared" si="45"/>
        <v>1</v>
      </c>
      <c r="Y142" s="67">
        <f t="shared" si="46"/>
        <v>23.298100000000002</v>
      </c>
      <c r="Z142" s="67">
        <f t="shared" si="47"/>
        <v>1.5800000000000002E-2</v>
      </c>
      <c r="AA142" s="67">
        <f t="shared" si="48"/>
        <v>23.282300000000003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9"/>
        <v>0230-06</v>
      </c>
      <c r="AE142" s="91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42" s="88" t="str">
        <f t="shared" si="51"/>
        <v>"C:\Program Files (x86)\AstroGrep\AstroGrep.exe" /spath="%USERPROFILE%\AppData\Local\Temp\OnboardLogs" /stypes="app*4008*20161107*" /stext=" 05:.+((SYSTEM_STATE.+slice.+state.+changed )|(ment ac)|(system.+state.+changed )|(\[timeout)|(PRM\|1\|D)|(kpr)|(kdp)|(\|lc)|(penalty))" /e /r /s</v>
      </c>
      <c r="AG142" s="1" t="str">
        <f t="shared" si="52"/>
        <v>EC</v>
      </c>
      <c r="AH142" s="92" t="str">
        <f t="shared" si="53"/>
        <v>"%USERPROFILE%\Documents\GitHub\eaglep3\Utilities\RefineRTDCRunTimes.py" --tripid 230-06 --locoid 4008 --swversion DE.1.0.8.0 --startMP 204:232981 --initTime 2016-11-06T21:49:32 --startdatetime 2016-11-06T21:56:25 --delay 1 --endMP 204:158 --enddatetime 2016-11-06T22:35:16 --enforcementcount 0 &gt;&gt;C:\Users\stu\Documents\GitHub\eaglep3-reporting\EC\2016-11-06-refined-times.txt</v>
      </c>
      <c r="AI142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ID","value":"230-06"},{"id":16,"name":"Locomotive ID","value":"4008"},{"id":130,"name":"Impact","value":""},{"id":150,"name":"Time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602</v>
      </c>
      <c r="B143" s="7">
        <v>4009</v>
      </c>
      <c r="C143" s="22" t="s">
        <v>239</v>
      </c>
      <c r="D143" s="22" t="s">
        <v>642</v>
      </c>
      <c r="E143" s="13">
        <v>42680.888668981483</v>
      </c>
      <c r="F143" s="13">
        <v>42680.896111111113</v>
      </c>
      <c r="G143" s="7">
        <v>1</v>
      </c>
      <c r="H143" s="22" t="s">
        <v>281</v>
      </c>
      <c r="I143" s="13">
        <v>42680.920937499999</v>
      </c>
      <c r="J143" s="7">
        <v>0</v>
      </c>
      <c r="K143" s="112" t="str">
        <f t="shared" si="38"/>
        <v>4009/4010</v>
      </c>
      <c r="L143" s="22" t="str">
        <f>VLOOKUP(A143,'Trips&amp;Operators'!$C$1:$E$10000,3,FALSE)</f>
        <v>CRAYTON</v>
      </c>
      <c r="M143" s="6">
        <f t="shared" si="39"/>
        <v>2.4826388886140194E-2</v>
      </c>
      <c r="N143" s="7">
        <f t="shared" si="40"/>
        <v>35.749999996041879</v>
      </c>
      <c r="O143" s="7"/>
      <c r="P143" s="7"/>
      <c r="Q143" s="23"/>
      <c r="R143" s="23"/>
      <c r="S143" s="35">
        <f t="shared" si="41"/>
        <v>1</v>
      </c>
      <c r="T143" s="50" t="str">
        <f t="shared" si="42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20:19:41-0600',mode:absolute,to:'2016-11-06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4"/>
        <v>N</v>
      </c>
      <c r="X143" s="177">
        <f t="shared" si="45"/>
        <v>1</v>
      </c>
      <c r="Y143" s="67">
        <f t="shared" si="46"/>
        <v>4.8899999999999999E-2</v>
      </c>
      <c r="Z143" s="67">
        <f t="shared" si="47"/>
        <v>23.331199999999999</v>
      </c>
      <c r="AA143" s="67">
        <f t="shared" si="48"/>
        <v>23.282299999999999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9"/>
        <v>0231-06</v>
      </c>
      <c r="AE143" s="91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43" s="88" t="str">
        <f t="shared" si="51"/>
        <v>"C:\Program Files (x86)\AstroGrep\AstroGrep.exe" /spath="%USERPROFILE%\AppData\Local\Temp\OnboardLogs" /stypes="app*4009*20161107*" /stext=" 05:.+((SYSTEM_STATE.+slice.+state.+changed )|(ment ac)|(system.+state.+changed )|(\[timeout)|(PRM\|1\|D)|(kpr)|(kdp)|(\|lc)|(penalty))" /e /r /s</v>
      </c>
      <c r="AG143" s="1" t="str">
        <f t="shared" si="52"/>
        <v>EC</v>
      </c>
      <c r="AH143" s="92" t="str">
        <f t="shared" si="53"/>
        <v>"%USERPROFILE%\Documents\GitHub\eaglep3\Utilities\RefineRTDCRunTimes.py" --tripid 231-06 --locoid 4009 --swversion DE.1.0.8.0 --startMP 204:489 --initTime 2016-11-06T21:19:41 --startdatetime 2016-11-06T21:30:24 --delay 1 --endMP 204:233312 --enddatetime 2016-11-06T22:06:09 --enforcementcount 0 &gt;&gt;C:\Users\stu\Documents\GitHub\eaglep3-reporting\EC\2016-11-06-refined-times.txt</v>
      </c>
      <c r="AI143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ID","value":"231-06"},{"id":16,"name":"Locomotive ID","value":"4009"},{"id":130,"name":"Impact","value":""},{"id":150,"name":"Time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608</v>
      </c>
      <c r="B144" s="7">
        <v>4010</v>
      </c>
      <c r="C144" s="22" t="s">
        <v>239</v>
      </c>
      <c r="D144" s="22" t="s">
        <v>724</v>
      </c>
      <c r="E144" s="13">
        <v>42680.925138888888</v>
      </c>
      <c r="F144" s="13">
        <v>42680.935185185182</v>
      </c>
      <c r="G144" s="7">
        <v>0</v>
      </c>
      <c r="H144" s="22" t="s">
        <v>206</v>
      </c>
      <c r="I144" s="13">
        <v>42680.96197916667</v>
      </c>
      <c r="J144" s="7">
        <v>0</v>
      </c>
      <c r="K144" s="112" t="str">
        <f t="shared" si="38"/>
        <v>4009/4010</v>
      </c>
      <c r="L144" s="22" t="str">
        <f>VLOOKUP(A144,'Trips&amp;Operators'!$C$1:$E$10000,3,FALSE)</f>
        <v>CRAYTON</v>
      </c>
      <c r="M144" s="6">
        <f t="shared" si="39"/>
        <v>2.6793981487571727E-2</v>
      </c>
      <c r="N144" s="7">
        <f t="shared" si="40"/>
        <v>38.583333342103288</v>
      </c>
      <c r="O144" s="7"/>
      <c r="P144" s="7"/>
      <c r="Q144" s="23"/>
      <c r="R144" s="23"/>
      <c r="S144" s="35">
        <f t="shared" si="41"/>
        <v>1</v>
      </c>
      <c r="T144" s="50" t="str">
        <f t="shared" si="42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21:12:12-0600',mode:absolute,to:'2016-11-07 00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4"/>
        <v>N</v>
      </c>
      <c r="X144" s="177">
        <f t="shared" si="45"/>
        <v>1</v>
      </c>
      <c r="Y144" s="67">
        <f t="shared" si="46"/>
        <v>23.297899999999998</v>
      </c>
      <c r="Z144" s="67">
        <f t="shared" si="47"/>
        <v>1.43E-2</v>
      </c>
      <c r="AA144" s="67">
        <f t="shared" si="48"/>
        <v>23.2836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9"/>
        <v>0232-06</v>
      </c>
      <c r="AE144" s="91" t="str">
        <f t="shared" si="50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44" s="88" t="str">
        <f t="shared" si="51"/>
        <v>"C:\Program Files (x86)\AstroGrep\AstroGrep.exe" /spath="%USERPROFILE%\AppData\Local\Temp\OnboardLogs" /stypes="app*4010*20161107*" /stext=" 06:.+((SYSTEM_STATE.+slice.+state.+changed )|(ment ac)|(system.+state.+changed )|(\[timeout)|(PRM\|1\|D)|(kpr)|(kdp)|(\|lc)|(penalty))" /e /r /s</v>
      </c>
      <c r="AG144" s="1" t="str">
        <f t="shared" si="52"/>
        <v>EC</v>
      </c>
      <c r="AH144" s="92" t="str">
        <f t="shared" si="53"/>
        <v>"%USERPROFILE%\Documents\GitHub\eaglep3\Utilities\RefineRTDCRunTimes.py" --tripid 232-06 --locoid 4010 --swversion DE.1.0.8.0 --startMP 204:232979 --initTime 2016-11-06T22:12:12 --startdatetime 2016-11-06T22:26:40 --delay 0 --endMP 204:143 --enddatetime 2016-11-06T23:05:15 --enforcementcount 0 &gt;&gt;C:\Users\stu\Documents\GitHub\eaglep3-reporting\EC\2016-11-06-refined-times.txt</v>
      </c>
      <c r="AI144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ID","value":"232-06"},{"id":16,"name":"Locomotive ID","value":"4010"},{"id":130,"name":"Impact","value":""},{"id":150,"name":"Time of Event (Mountain Time)","value":"23:05:15"},{"id":151,"name":"Denver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606</v>
      </c>
      <c r="B145" s="7">
        <v>4042</v>
      </c>
      <c r="C145" s="22" t="s">
        <v>239</v>
      </c>
      <c r="D145" s="22" t="s">
        <v>236</v>
      </c>
      <c r="E145" s="13">
        <v>42680.909537037034</v>
      </c>
      <c r="F145" s="13">
        <v>42680.917002314818</v>
      </c>
      <c r="G145" s="7">
        <v>1</v>
      </c>
      <c r="H145" s="22" t="s">
        <v>314</v>
      </c>
      <c r="I145" s="13">
        <v>42680.943113425928</v>
      </c>
      <c r="J145" s="7">
        <v>0</v>
      </c>
      <c r="K145" s="112" t="str">
        <f t="shared" si="38"/>
        <v>4041/4042</v>
      </c>
      <c r="L145" s="22" t="str">
        <f>VLOOKUP(A145,'Trips&amp;Operators'!$C$1:$E$10000,3,FALSE)</f>
        <v>DELGADO</v>
      </c>
      <c r="M145" s="6">
        <f t="shared" si="39"/>
        <v>2.6111111110367347E-2</v>
      </c>
      <c r="N145" s="7">
        <f t="shared" si="40"/>
        <v>37.599999998928979</v>
      </c>
      <c r="O145" s="7"/>
      <c r="P145" s="7"/>
      <c r="Q145" s="23"/>
      <c r="R145" s="23"/>
      <c r="S145" s="35">
        <f t="shared" si="41"/>
        <v>1</v>
      </c>
      <c r="T145" s="50" t="str">
        <f t="shared" si="42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20:49:44-0600',mode:absolute,to:'2016-11-06 23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44"/>
        <v>N</v>
      </c>
      <c r="X145" s="177">
        <f t="shared" si="45"/>
        <v>1</v>
      </c>
      <c r="Y145" s="67">
        <f t="shared" si="46"/>
        <v>4.6399999999999997E-2</v>
      </c>
      <c r="Z145" s="67">
        <f t="shared" si="47"/>
        <v>23.332699999999999</v>
      </c>
      <c r="AA145" s="67">
        <f t="shared" si="48"/>
        <v>23.286300000000001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9"/>
        <v>0233-06</v>
      </c>
      <c r="AE145" s="91" t="str">
        <f t="shared" si="50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45" s="88" t="str">
        <f t="shared" si="51"/>
        <v>"C:\Program Files (x86)\AstroGrep\AstroGrep.exe" /spath="%USERPROFILE%\AppData\Local\Temp\OnboardLogs" /stypes="app*4042*20161107*" /stext=" 05:.+((SYSTEM_STATE.+slice.+state.+changed )|(ment ac)|(system.+state.+changed )|(\[timeout)|(PRM\|1\|D)|(kpr)|(kdp)|(\|lc)|(penalty))" /e /r /s</v>
      </c>
      <c r="AG145" s="1" t="str">
        <f t="shared" si="52"/>
        <v>EC</v>
      </c>
      <c r="AH145" s="92" t="str">
        <f t="shared" si="53"/>
        <v>"%USERPROFILE%\Documents\GitHub\eaglep3\Utilities\RefineRTDCRunTimes.py" --tripid 233-06 --locoid 4042 --swversion DE.1.0.8.0 --startMP 204:464 --initTime 2016-11-06T21:49:44 --startdatetime 2016-11-06T22:00:29 --delay 1 --endMP 204:233327 --enddatetime 2016-11-06T22:38:05 --enforcementcount 0 &gt;&gt;C:\Users\stu\Documents\GitHub\eaglep3-reporting\EC\2016-11-06-refined-times.txt</v>
      </c>
      <c r="AI145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ID","value":"233-06"},{"id":16,"name":"Locomotive ID","value":"4042"},{"id":130,"name":"Impact","value":""},{"id":150,"name":"Time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611</v>
      </c>
      <c r="B146" s="7">
        <v>4041</v>
      </c>
      <c r="C146" s="22" t="s">
        <v>239</v>
      </c>
      <c r="D146" s="22" t="s">
        <v>724</v>
      </c>
      <c r="E146" s="13">
        <v>42680.949953703705</v>
      </c>
      <c r="F146" s="13">
        <v>42680.955983796295</v>
      </c>
      <c r="G146" s="7">
        <v>1</v>
      </c>
      <c r="H146" s="22" t="s">
        <v>181</v>
      </c>
      <c r="I146" s="13">
        <v>42680.983553240738</v>
      </c>
      <c r="J146" s="7">
        <v>0</v>
      </c>
      <c r="K146" s="112" t="str">
        <f t="shared" si="38"/>
        <v>4041/4042</v>
      </c>
      <c r="L146" s="22" t="str">
        <f>VLOOKUP(A146,'Trips&amp;Operators'!$C$1:$E$10000,3,FALSE)</f>
        <v>DELGADO</v>
      </c>
      <c r="M146" s="6">
        <f t="shared" si="39"/>
        <v>2.7569444442633539E-2</v>
      </c>
      <c r="N146" s="7">
        <f t="shared" si="40"/>
        <v>39.699999997392297</v>
      </c>
      <c r="O146" s="7"/>
      <c r="P146" s="7"/>
      <c r="Q146" s="23"/>
      <c r="R146" s="23"/>
      <c r="S146" s="35">
        <f t="shared" si="41"/>
        <v>1</v>
      </c>
      <c r="T146" s="50" t="str">
        <f t="shared" si="42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21:47:56-0600',mode:absolute,to:'2016-11-07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44"/>
        <v>N</v>
      </c>
      <c r="X146" s="177">
        <f t="shared" si="45"/>
        <v>1</v>
      </c>
      <c r="Y146" s="67">
        <f t="shared" si="46"/>
        <v>23.297899999999998</v>
      </c>
      <c r="Z146" s="67">
        <f t="shared" si="47"/>
        <v>1.41E-2</v>
      </c>
      <c r="AA146" s="67">
        <f t="shared" si="48"/>
        <v>23.283799999999999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9"/>
        <v>0234-06</v>
      </c>
      <c r="AE146" s="91" t="str">
        <f t="shared" si="50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46" s="88" t="str">
        <f t="shared" si="51"/>
        <v>"C:\Program Files (x86)\AstroGrep\AstroGrep.exe" /spath="%USERPROFILE%\AppData\Local\Temp\OnboardLogs" /stypes="app*4041*20161107*" /stext=" 06:.+((SYSTEM_STATE.+slice.+state.+changed )|(ment ac)|(system.+state.+changed )|(\[timeout)|(PRM\|1\|D)|(kpr)|(kdp)|(\|lc)|(penalty))" /e /r /s</v>
      </c>
      <c r="AG146" s="1" t="str">
        <f t="shared" si="52"/>
        <v>EC</v>
      </c>
      <c r="AH146" s="92" t="str">
        <f t="shared" si="53"/>
        <v>"%USERPROFILE%\Documents\GitHub\eaglep3\Utilities\RefineRTDCRunTimes.py" --tripid 234-06 --locoid 4041 --swversion DE.1.0.8.0 --startMP 204:232979 --initTime 2016-11-06T22:47:56 --startdatetime 2016-11-06T22:56:37 --delay 1 --endMP 204:141 --enddatetime 2016-11-06T23:36:19 --enforcementcount 0 &gt;&gt;C:\Users\stu\Documents\GitHub\eaglep3-reporting\EC\2016-11-06-refined-times.txt</v>
      </c>
      <c r="AI146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ID","value":"234-06"},{"id":16,"name":"Locomotive ID","value":"4041"},{"id":130,"name":"Impact","value":""},{"id":150,"name":"Time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609</v>
      </c>
      <c r="B147" s="7">
        <v>4011</v>
      </c>
      <c r="C147" s="22" t="s">
        <v>239</v>
      </c>
      <c r="D147" s="22" t="s">
        <v>713</v>
      </c>
      <c r="E147" s="13">
        <v>42680.935347222221</v>
      </c>
      <c r="F147" s="13">
        <v>42680.937800925924</v>
      </c>
      <c r="G147" s="7">
        <v>1</v>
      </c>
      <c r="H147" s="22" t="s">
        <v>340</v>
      </c>
      <c r="I147" s="13">
        <v>42680.963368055556</v>
      </c>
      <c r="J147" s="7">
        <v>0</v>
      </c>
      <c r="K147" s="112" t="str">
        <f t="shared" si="38"/>
        <v>4011/4012</v>
      </c>
      <c r="L147" s="22" t="str">
        <f>VLOOKUP(A147,'Trips&amp;Operators'!$C$1:$E$10000,3,FALSE)</f>
        <v>CHANDLER</v>
      </c>
      <c r="M147" s="6">
        <f t="shared" si="39"/>
        <v>2.5567129632690921E-2</v>
      </c>
      <c r="N147" s="7">
        <f t="shared" si="40"/>
        <v>36.816666671074927</v>
      </c>
      <c r="O147" s="7"/>
      <c r="P147" s="7"/>
      <c r="Q147" s="23"/>
      <c r="R147" s="23"/>
      <c r="S147" s="35">
        <f t="shared" si="41"/>
        <v>1</v>
      </c>
      <c r="T147" s="50" t="str">
        <f t="shared" si="42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21:26:54-0600',mode:absolute,to:'2016-11-07 00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44"/>
        <v>N</v>
      </c>
      <c r="X147" s="177">
        <f t="shared" si="45"/>
        <v>1</v>
      </c>
      <c r="Y147" s="67">
        <f t="shared" si="46"/>
        <v>4.7699999999999999E-2</v>
      </c>
      <c r="Z147" s="67">
        <f t="shared" si="47"/>
        <v>23.331499999999998</v>
      </c>
      <c r="AA147" s="67">
        <f t="shared" si="48"/>
        <v>23.283799999999999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9"/>
        <v>0235-06</v>
      </c>
      <c r="AE147" s="91" t="str">
        <f t="shared" si="50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47" s="88" t="str">
        <f t="shared" si="51"/>
        <v>"C:\Program Files (x86)\AstroGrep\AstroGrep.exe" /spath="%USERPROFILE%\AppData\Local\Temp\OnboardLogs" /stypes="app*4011*20161107*" /stext=" 06:.+((SYSTEM_STATE.+slice.+state.+changed )|(ment ac)|(system.+state.+changed )|(\[timeout)|(PRM\|1\|D)|(kpr)|(kdp)|(\|lc)|(penalty))" /e /r /s</v>
      </c>
      <c r="AG147" s="1" t="str">
        <f t="shared" si="52"/>
        <v>EC</v>
      </c>
      <c r="AH147" s="92" t="str">
        <f t="shared" si="53"/>
        <v>"%USERPROFILE%\Documents\GitHub\eaglep3\Utilities\RefineRTDCRunTimes.py" --tripid 235-06 --locoid 4011 --swversion DE.1.0.8.0 --startMP 204:477 --initTime 2016-11-06T22:26:54 --startdatetime 2016-11-06T22:30:26 --delay 1 --endMP 204:233315 --enddatetime 2016-11-06T23:07:15 --enforcementcount 0 &gt;&gt;C:\Users\stu\Documents\GitHub\eaglep3-reporting\EC\2016-11-06-refined-times.txt</v>
      </c>
      <c r="AI147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ID","value":"235-06"},{"id":16,"name":"Locomotive ID","value":"4011"},{"id":130,"name":"Impact","value":""},{"id":150,"name":"Time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614</v>
      </c>
      <c r="B148" s="7">
        <v>4012</v>
      </c>
      <c r="C148" s="22" t="s">
        <v>239</v>
      </c>
      <c r="D148" s="22" t="s">
        <v>267</v>
      </c>
      <c r="E148" s="13">
        <v>42680.97488425926</v>
      </c>
      <c r="F148" s="13">
        <v>42680.976631944446</v>
      </c>
      <c r="G148" s="7">
        <v>1</v>
      </c>
      <c r="H148" s="22" t="s">
        <v>205</v>
      </c>
      <c r="I148" s="13">
        <v>42681.005312499998</v>
      </c>
      <c r="J148" s="7">
        <v>0</v>
      </c>
      <c r="K148" s="112" t="str">
        <f t="shared" si="38"/>
        <v>4011/4012</v>
      </c>
      <c r="L148" s="22" t="str">
        <f>VLOOKUP(A148,'Trips&amp;Operators'!$C$1:$E$10000,3,FALSE)</f>
        <v>CHANDLER</v>
      </c>
      <c r="M148" s="6">
        <f t="shared" si="39"/>
        <v>2.8680555551545694E-2</v>
      </c>
      <c r="N148" s="7">
        <f t="shared" si="40"/>
        <v>41.2999999942258</v>
      </c>
      <c r="O148" s="7"/>
      <c r="P148" s="7"/>
      <c r="Q148" s="23"/>
      <c r="R148" s="23"/>
      <c r="S148" s="35">
        <f t="shared" si="41"/>
        <v>1</v>
      </c>
      <c r="T148" s="50" t="str">
        <f t="shared" si="42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22:23:50-0600',mode:absolute,to:'2016-11-07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44"/>
        <v>N</v>
      </c>
      <c r="X148" s="177">
        <f t="shared" si="45"/>
        <v>1</v>
      </c>
      <c r="Y148" s="67">
        <f t="shared" si="46"/>
        <v>23.299600000000002</v>
      </c>
      <c r="Z148" s="67">
        <f t="shared" si="47"/>
        <v>1.49E-2</v>
      </c>
      <c r="AA148" s="67">
        <f t="shared" si="48"/>
        <v>23.284700000000001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9"/>
        <v>0236-06</v>
      </c>
      <c r="AE148" s="91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8" s="88" t="str">
        <f t="shared" si="51"/>
        <v>"C:\Program Files (x86)\AstroGrep\AstroGrep.exe" /spath="%USERPROFILE%\AppData\Local\Temp\OnboardLogs" /stypes="app*4012*20161107*" /stext=" 07:.+((SYSTEM_STATE.+slice.+state.+changed )|(ment ac)|(system.+state.+changed )|(\[timeout)|(PRM\|1\|D)|(kpr)|(kdp)|(\|lc)|(penalty))" /e /r /s</v>
      </c>
      <c r="AG148" s="1" t="str">
        <f t="shared" si="52"/>
        <v>EC</v>
      </c>
      <c r="AH148" s="92" t="str">
        <f t="shared" si="53"/>
        <v>"%USERPROFILE%\Documents\GitHub\eaglep3\Utilities\RefineRTDCRunTimes.py" --tripid 236-06 --locoid 4012 --swversion DE.1.0.8.0 --startMP 204:232996 --initTime 2016-11-06T23:23:50 --startdatetime 2016-11-06T23:26:21 --delay 1 --endMP 204:149 --enddatetime 2016-11-07T00:07:39 --enforcementcount 0 &gt;&gt;C:\Users\stu\Documents\GitHub\eaglep3-reporting\EC\2016-11-06-refined-times.txt</v>
      </c>
      <c r="AI148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ID","value":"236-06"},{"id":16,"name":"Locomotive ID","value":"4012"},{"id":130,"name":"Impact","value":""},{"id":150,"name":"Time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612</v>
      </c>
      <c r="B149" s="7">
        <v>4007</v>
      </c>
      <c r="C149" s="22" t="s">
        <v>239</v>
      </c>
      <c r="D149" s="22" t="s">
        <v>313</v>
      </c>
      <c r="E149" s="13">
        <v>42680.951990740738</v>
      </c>
      <c r="F149" s="13">
        <v>42680.958703703705</v>
      </c>
      <c r="G149" s="7">
        <v>1</v>
      </c>
      <c r="H149" s="22" t="s">
        <v>368</v>
      </c>
      <c r="I149" s="13">
        <v>42680.983854166669</v>
      </c>
      <c r="J149" s="7">
        <v>0</v>
      </c>
      <c r="K149" s="112" t="str">
        <f t="shared" si="38"/>
        <v>4007/4008</v>
      </c>
      <c r="L149" s="22" t="str">
        <f>VLOOKUP(A149,'Trips&amp;Operators'!$C$1:$E$10000,3,FALSE)</f>
        <v>LEVERE</v>
      </c>
      <c r="M149" s="6">
        <f t="shared" si="39"/>
        <v>2.5150462963210884E-2</v>
      </c>
      <c r="N149" s="7">
        <f t="shared" si="40"/>
        <v>36.216666667023674</v>
      </c>
      <c r="O149" s="7"/>
      <c r="P149" s="7"/>
      <c r="Q149" s="23"/>
      <c r="R149" s="23"/>
      <c r="S149" s="35">
        <f t="shared" si="41"/>
        <v>1</v>
      </c>
      <c r="T149" s="50" t="str">
        <f t="shared" si="4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21:50:52-0600',mode:absolute,to:'2016-11-07 00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2" t="str">
        <f t="shared" si="44"/>
        <v>N</v>
      </c>
      <c r="X149" s="177">
        <f t="shared" si="45"/>
        <v>1</v>
      </c>
      <c r="Y149" s="67">
        <f t="shared" si="46"/>
        <v>4.6899999999999997E-2</v>
      </c>
      <c r="Z149" s="67">
        <f t="shared" si="47"/>
        <v>23.330400000000001</v>
      </c>
      <c r="AA149" s="67">
        <f t="shared" si="48"/>
        <v>23.2835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9"/>
        <v>0237-06</v>
      </c>
      <c r="AE149" s="91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9" s="88" t="str">
        <f t="shared" si="51"/>
        <v>"C:\Program Files (x86)\AstroGrep\AstroGrep.exe" /spath="%USERPROFILE%\AppData\Local\Temp\OnboardLogs" /stypes="app*4007*20161107*" /stext=" 06:.+((SYSTEM_STATE.+slice.+state.+changed )|(ment ac)|(system.+state.+changed )|(\[timeout)|(PRM\|1\|D)|(kpr)|(kdp)|(\|lc)|(penalty))" /e /r /s</v>
      </c>
      <c r="AG149" s="1" t="str">
        <f t="shared" si="52"/>
        <v>EC</v>
      </c>
      <c r="AH149" s="92" t="str">
        <f t="shared" si="53"/>
        <v>"%USERPROFILE%\Documents\GitHub\eaglep3\Utilities\RefineRTDCRunTimes.py" --tripid 237-06 --locoid 4007 --swversion DE.1.0.8.0 --startMP 204:469 --initTime 2016-11-06T22:50:52 --startdatetime 2016-11-06T23:00:32 --delay 1 --endMP 204:233304 --enddatetime 2016-11-06T23:36:45 --enforcementcount 0 &gt;&gt;C:\Users\stu\Documents\GitHub\eaglep3-reporting\EC\2016-11-06-refined-times.txt</v>
      </c>
      <c r="AI149" s="122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ID","value":"237-06"},{"id":16,"name":"Locomotive ID","value":"4007"},{"id":130,"name":"Impact","value":""},{"id":150,"name":"Time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615</v>
      </c>
      <c r="B150" s="7">
        <v>4008</v>
      </c>
      <c r="C150" s="22" t="s">
        <v>239</v>
      </c>
      <c r="D150" s="22" t="s">
        <v>333</v>
      </c>
      <c r="E150" s="13">
        <v>42680.993460648147</v>
      </c>
      <c r="F150" s="13">
        <v>42680.998263888891</v>
      </c>
      <c r="G150" s="7">
        <v>1</v>
      </c>
      <c r="H150" s="22" t="s">
        <v>260</v>
      </c>
      <c r="I150" s="13">
        <v>42681.024305555555</v>
      </c>
      <c r="J150" s="7">
        <v>0</v>
      </c>
      <c r="K150" s="112" t="str">
        <f t="shared" si="38"/>
        <v>4007/4008</v>
      </c>
      <c r="L150" s="22" t="str">
        <f>VLOOKUP(A150,'Trips&amp;Operators'!$C$1:$E$10000,3,FALSE)</f>
        <v>LEVERE</v>
      </c>
      <c r="M150" s="6">
        <f t="shared" si="39"/>
        <v>2.6041666664241347E-2</v>
      </c>
      <c r="N150" s="7">
        <f t="shared" si="40"/>
        <v>37.49999999650754</v>
      </c>
      <c r="O150" s="7"/>
      <c r="P150" s="7"/>
      <c r="Q150" s="23"/>
      <c r="R150" s="23"/>
      <c r="S150" s="35">
        <f t="shared" si="41"/>
        <v>1</v>
      </c>
      <c r="T150" s="50" t="str">
        <f t="shared" si="4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22:50:35-0600',mode:absolute,to:'2016-11-07 01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2" t="str">
        <f t="shared" si="44"/>
        <v>N</v>
      </c>
      <c r="X150" s="177">
        <f t="shared" si="45"/>
        <v>1</v>
      </c>
      <c r="Y150" s="67">
        <f t="shared" si="46"/>
        <v>23.2989</v>
      </c>
      <c r="Z150" s="67">
        <f t="shared" si="47"/>
        <v>1.5800000000000002E-2</v>
      </c>
      <c r="AA150" s="67">
        <f t="shared" si="48"/>
        <v>23.283100000000001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9"/>
        <v>0238-06</v>
      </c>
      <c r="AE150" s="91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50" s="88" t="str">
        <f t="shared" si="51"/>
        <v>"C:\Program Files (x86)\AstroGrep\AstroGrep.exe" /spath="%USERPROFILE%\AppData\Local\Temp\OnboardLogs" /stypes="app*4008*20161107*" /stext=" 07:.+((SYSTEM_STATE.+slice.+state.+changed )|(ment ac)|(system.+state.+changed )|(\[timeout)|(PRM\|1\|D)|(kpr)|(kdp)|(\|lc)|(penalty))" /e /r /s</v>
      </c>
      <c r="AG150" s="1" t="str">
        <f t="shared" si="52"/>
        <v>EC</v>
      </c>
      <c r="AH150" s="92" t="str">
        <f t="shared" si="53"/>
        <v>"%USERPROFILE%\Documents\GitHub\eaglep3\Utilities\RefineRTDCRunTimes.py" --tripid 238-06 --locoid 4008 --swversion DE.1.0.8.0 --startMP 204:232989 --initTime 2016-11-06T23:50:35 --startdatetime 2016-11-06T23:57:30 --delay 1 --endMP 204:158 --enddatetime 2016-11-07T00:35:00 --enforcementcount 0 &gt;&gt;C:\Users\stu\Documents\GitHub\eaglep3-reporting\EC\2016-11-06-refined-times.txt</v>
      </c>
      <c r="AI150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ID","value":"238-06"},{"id":16,"name":"Locomotive ID","value":"4008"},{"id":130,"name":"Impact","value":""},{"id":150,"name":"Time of Event (Mountain Time)","value":"00:35:00"},{"id":151,"name":"Denver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4009</v>
      </c>
      <c r="C151" s="22" t="s">
        <v>239</v>
      </c>
      <c r="D151" s="22" t="s">
        <v>236</v>
      </c>
      <c r="E151" s="13">
        <v>42680.966736111113</v>
      </c>
      <c r="F151" s="13">
        <v>42680.979351851849</v>
      </c>
      <c r="G151" s="7">
        <v>1</v>
      </c>
      <c r="H151" s="22" t="s">
        <v>309</v>
      </c>
      <c r="I151" s="13">
        <v>42681.004687499997</v>
      </c>
      <c r="J151" s="7">
        <v>0</v>
      </c>
      <c r="K151" s="112" t="str">
        <f t="shared" si="38"/>
        <v>4009/4010</v>
      </c>
      <c r="L151" s="22" t="str">
        <f>VLOOKUP(A151,'Trips&amp;Operators'!$C$1:$E$10000,3,FALSE)</f>
        <v>CRAYTON</v>
      </c>
      <c r="M151" s="6">
        <f t="shared" si="39"/>
        <v>2.5335648148029577E-2</v>
      </c>
      <c r="N151" s="7">
        <f t="shared" si="40"/>
        <v>36.483333333162591</v>
      </c>
      <c r="O151" s="7"/>
      <c r="P151" s="7"/>
      <c r="Q151" s="23"/>
      <c r="R151" s="23"/>
      <c r="S151" s="35">
        <f t="shared" si="41"/>
        <v>1</v>
      </c>
      <c r="T151" s="50" t="str">
        <f t="shared" si="4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22:12:06-0600',mode:absolute,to:'2016-11-07 01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4"/>
        <v>N</v>
      </c>
      <c r="X151" s="177">
        <f t="shared" si="45"/>
        <v>1</v>
      </c>
      <c r="Y151" s="67">
        <f t="shared" si="46"/>
        <v>4.6399999999999997E-2</v>
      </c>
      <c r="Z151" s="67">
        <f t="shared" si="47"/>
        <v>23.3308</v>
      </c>
      <c r="AA151" s="67">
        <f t="shared" si="48"/>
        <v>23.284400000000002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9"/>
        <v>0239-06</v>
      </c>
      <c r="AE151" s="91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1" s="88" t="str">
        <f t="shared" si="51"/>
        <v>"C:\Program Files (x86)\AstroGrep\AstroGrep.exe" /spath="%USERPROFILE%\AppData\Local\Temp\OnboardLogs" /stypes="app*4009*20161107*" /stext=" 07:.+((SYSTEM_STATE.+slice.+state.+changed )|(ment ac)|(system.+state.+changed )|(\[timeout)|(PRM\|1\|D)|(kpr)|(kdp)|(\|lc)|(penalty))" /e /r /s</v>
      </c>
      <c r="AG151" s="1" t="str">
        <f t="shared" si="52"/>
        <v>EC</v>
      </c>
      <c r="AH151" s="92" t="str">
        <f t="shared" si="53"/>
        <v>"%USERPROFILE%\Documents\GitHub\eaglep3\Utilities\RefineRTDCRunTimes.py" --tripid 239-06 --locoid 4009 --swversion DE.1.0.8.0 --startMP 204:464 --initTime 2016-11-06T23:12:06 --startdatetime 2016-11-06T23:30:16 --delay 1 --endMP 204:233308 --enddatetime 2016-11-07T00:06:45 --enforcementcount 0 &gt;&gt;C:\Users\stu\Documents\GitHub\eaglep3-reporting\EC\2016-11-06-refined-times.txt</v>
      </c>
      <c r="AI151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{"issue":{"subject":"","project_id":79,"tracker_id":40,"status_id":1,"priority_id":2,"assigned_to_id":23,"start_date":"2016-11-07","description":"","custom_fields":[{"id":1,"name":"Subdivision","value":"EC"},{"id":4,"name":"Milepost","value":"23.3308"},{"id":17,"name":"Train ID","value":"239-06"},{"id":16,"name":"Locomotive ID","value":"4009"},{"id":130,"name":"Impact","value":""},{"id":150,"name":"Time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617</v>
      </c>
      <c r="B152" s="7">
        <v>4010</v>
      </c>
      <c r="C152" s="22" t="s">
        <v>239</v>
      </c>
      <c r="D152" s="22" t="s">
        <v>308</v>
      </c>
      <c r="E152" s="13">
        <v>42681.010671296295</v>
      </c>
      <c r="F152" s="13">
        <v>42681.018252314818</v>
      </c>
      <c r="G152" s="7">
        <v>1</v>
      </c>
      <c r="H152" s="22" t="s">
        <v>175</v>
      </c>
      <c r="I152" s="13">
        <v>42681.044664351852</v>
      </c>
      <c r="J152" s="7">
        <v>0</v>
      </c>
      <c r="K152" s="112" t="str">
        <f t="shared" si="38"/>
        <v>4009/4010</v>
      </c>
      <c r="L152" s="22" t="str">
        <f>VLOOKUP(A152,'Trips&amp;Operators'!$C$1:$E$10000,3,FALSE)</f>
        <v>CRAYTON</v>
      </c>
      <c r="M152" s="6">
        <f t="shared" si="39"/>
        <v>2.6412037033878732E-2</v>
      </c>
      <c r="N152" s="7">
        <f t="shared" si="40"/>
        <v>38.033333328785375</v>
      </c>
      <c r="O152" s="7"/>
      <c r="P152" s="7"/>
      <c r="Q152" s="23"/>
      <c r="R152" s="23"/>
      <c r="S152" s="35">
        <f t="shared" si="41"/>
        <v>1</v>
      </c>
      <c r="T152" s="50" t="str">
        <f t="shared" si="4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23:15:22-0600',mode:absolute,to:'2016-11-07 02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4"/>
        <v>N</v>
      </c>
      <c r="X152" s="177">
        <f t="shared" si="45"/>
        <v>1</v>
      </c>
      <c r="Y152" s="67">
        <f t="shared" si="46"/>
        <v>23.299800000000001</v>
      </c>
      <c r="Z152" s="67">
        <f t="shared" si="47"/>
        <v>1.47E-2</v>
      </c>
      <c r="AA152" s="67">
        <f t="shared" si="48"/>
        <v>23.2851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9"/>
        <v>0240-06</v>
      </c>
      <c r="AE152" s="91" t="str">
        <f t="shared" si="50"/>
        <v>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 &amp; aws s3 cp s3://rtdc.mdm.uploadarchive.raw/RTDC4010/ "%USERPROFILE%\AppData\Local\Temp\OnboardLogs"\RTDC4010\2016-11-08 --exclude "*" --recursive --include "*20161108*" &amp; "%USERPROFILE%\Documents\GitHub\mrs-test-scripts\Headless Mode &amp; Sideloading\WalkAndUnGZ.bat" "%USERPROFILE%\AppData\Local\Temp\OnboardLogs"\RTDC4010\2016-11-08</v>
      </c>
      <c r="AF152" s="88" t="str">
        <f t="shared" si="51"/>
        <v>"C:\Program Files (x86)\AstroGrep\AstroGrep.exe" /spath="%USERPROFILE%\AppData\Local\Temp\OnboardLogs" /stypes="app*4010*20161107*" /stext=" 08:.+((SYSTEM_STATE.+slice.+state.+changed )|(ment ac)|(system.+state.+changed )|(\[timeout)|(PRM\|1\|D)|(kpr)|(kdp)|(\|lc)|(penalty))" /e /r /s</v>
      </c>
      <c r="AG152" s="1" t="str">
        <f t="shared" si="52"/>
        <v>EC</v>
      </c>
      <c r="AH152" s="92" t="str">
        <f t="shared" si="53"/>
        <v>"%USERPROFILE%\Documents\GitHub\eaglep3\Utilities\RefineRTDCRunTimes.py" --tripid 240-06 --locoid 4010 --swversion DE.1.0.8.0 --startMP 204:232998 --initTime 2016-11-07T00:15:22 --startdatetime 2016-11-07T00:26:17 --delay 1 --endMP 204:147 --enddatetime 2016-11-07T01:04:19 --enforcementcount 0 &gt;&gt;C:\Users\stu\Documents\GitHub\eaglep3-reporting\EC\2016-11-06-refined-times.txt</v>
      </c>
      <c r="AI152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ID","value":"240-06"},{"id":16,"name":"Locomotive ID","value":"4010"},{"id":130,"name":"Impact","value":""},{"id":150,"name":"Time of Event (Mountain Time)","value":"01:04:19"},{"id":151,"name":"Denver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616</v>
      </c>
      <c r="B153" s="7">
        <v>4042</v>
      </c>
      <c r="C153" s="22" t="s">
        <v>239</v>
      </c>
      <c r="D153" s="22" t="s">
        <v>647</v>
      </c>
      <c r="E153" s="13">
        <v>42680.993275462963</v>
      </c>
      <c r="F153" s="13">
        <v>42681.000347222223</v>
      </c>
      <c r="G153" s="7">
        <v>1</v>
      </c>
      <c r="H153" s="22" t="s">
        <v>280</v>
      </c>
      <c r="I153" s="13">
        <v>42681.025520833333</v>
      </c>
      <c r="J153" s="7">
        <v>0</v>
      </c>
      <c r="K153" s="112" t="str">
        <f t="shared" si="38"/>
        <v>4041/4042</v>
      </c>
      <c r="L153" s="22" t="str">
        <f>VLOOKUP(A153,'Trips&amp;Operators'!$C$1:$E$10000,3,FALSE)</f>
        <v>DELGADO</v>
      </c>
      <c r="M153" s="6">
        <f t="shared" si="39"/>
        <v>2.5173611109494232E-2</v>
      </c>
      <c r="N153" s="7">
        <f t="shared" si="40"/>
        <v>36.249999997671694</v>
      </c>
      <c r="O153" s="7"/>
      <c r="P153" s="7"/>
      <c r="Q153" s="23"/>
      <c r="R153" s="23"/>
      <c r="S153" s="35">
        <f t="shared" si="41"/>
        <v>1</v>
      </c>
      <c r="T153" s="50" t="str">
        <f t="shared" si="4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22:50:19-0600',mode:absolute,to:'2016-11-07 01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44"/>
        <v>N</v>
      </c>
      <c r="X153" s="177">
        <f t="shared" si="45"/>
        <v>1</v>
      </c>
      <c r="Y153" s="67">
        <f t="shared" si="46"/>
        <v>4.2000000000000003E-2</v>
      </c>
      <c r="Z153" s="67">
        <f t="shared" si="47"/>
        <v>23.331</v>
      </c>
      <c r="AA153" s="67">
        <f t="shared" si="48"/>
        <v>23.288999999999998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9"/>
        <v>0241-06</v>
      </c>
      <c r="AE153" s="91" t="str">
        <f t="shared" si="50"/>
        <v>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 &amp; 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</v>
      </c>
      <c r="AF153" s="88" t="str">
        <f t="shared" si="51"/>
        <v>"C:\Program Files (x86)\AstroGrep\AstroGrep.exe" /spath="%USERPROFILE%\AppData\Local\Temp\OnboardLogs" /stypes="app*4042*20161107*" /stext=" 07:.+((SYSTEM_STATE.+slice.+state.+changed )|(ment ac)|(system.+state.+changed )|(\[timeout)|(PRM\|1\|D)|(kpr)|(kdp)|(\|lc)|(penalty))" /e /r /s</v>
      </c>
      <c r="AG153" s="1" t="str">
        <f t="shared" si="52"/>
        <v>EC</v>
      </c>
      <c r="AH153" s="92" t="str">
        <f t="shared" si="53"/>
        <v>"%USERPROFILE%\Documents\GitHub\eaglep3\Utilities\RefineRTDCRunTimes.py" --tripid 241-06 --locoid 4042 --swversion DE.1.0.8.0 --startMP 204:420 --initTime 2016-11-06T23:50:19 --startdatetime 2016-11-07T00:00:30 --delay 1 --endMP 204:233310 --enddatetime 2016-11-07T00:36:45 --enforcementcount 0 &gt;&gt;C:\Users\stu\Documents\GitHub\eaglep3-reporting\EC\2016-11-06-refined-times.txt</v>
      </c>
      <c r="AI153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{"issue":{"subject":"","project_id":79,"tracker_id":40,"status_id":1,"priority_id":2,"assigned_to_id":23,"start_date":"2016-11-07","description":"","custom_fields":[{"id":1,"name":"Subdivision","value":"EC"},{"id":4,"name":"Milepost","value":"23.331"},{"id":17,"name":"Train ID","value":"241-06"},{"id":16,"name":"Locomotive ID","value":"4042"},{"id":130,"name":"Impact","value":""},{"id":150,"name":"Time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620</v>
      </c>
      <c r="B154" s="7">
        <v>4041</v>
      </c>
      <c r="C154" s="22" t="s">
        <v>239</v>
      </c>
      <c r="D154" s="22" t="s">
        <v>312</v>
      </c>
      <c r="E154" s="13">
        <v>42681.033402777779</v>
      </c>
      <c r="F154" s="13">
        <v>42681.039074074077</v>
      </c>
      <c r="G154" s="7">
        <v>1</v>
      </c>
      <c r="H154" s="22" t="s">
        <v>260</v>
      </c>
      <c r="I154" s="13">
        <v>42681.065370370372</v>
      </c>
      <c r="J154" s="7">
        <v>0</v>
      </c>
      <c r="K154" s="112" t="str">
        <f t="shared" si="38"/>
        <v>4041/4042</v>
      </c>
      <c r="L154" s="22" t="str">
        <f>VLOOKUP(A154,'Trips&amp;Operators'!$C$1:$E$10000,3,FALSE)</f>
        <v>BERLING</v>
      </c>
      <c r="M154" s="6">
        <f t="shared" si="39"/>
        <v>2.6296296295186039E-2</v>
      </c>
      <c r="N154" s="7">
        <f t="shared" si="40"/>
        <v>37.866666665067896</v>
      </c>
      <c r="O154" s="7"/>
      <c r="P154" s="7"/>
      <c r="Q154" s="23"/>
      <c r="R154" s="23"/>
      <c r="S154" s="35">
        <f t="shared" si="41"/>
        <v>1</v>
      </c>
      <c r="T154" s="50" t="str">
        <f t="shared" si="42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23:48:06-0600',mode:absolute,to:'2016-11-07 02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44"/>
        <v>N</v>
      </c>
      <c r="X154" s="177">
        <f t="shared" si="45"/>
        <v>1</v>
      </c>
      <c r="Y154" s="67">
        <f t="shared" si="46"/>
        <v>23.299299999999999</v>
      </c>
      <c r="Z154" s="67">
        <f t="shared" si="47"/>
        <v>1.5800000000000002E-2</v>
      </c>
      <c r="AA154" s="67">
        <f t="shared" si="48"/>
        <v>23.2835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9"/>
        <v>0242-06</v>
      </c>
      <c r="AE154" s="91" t="str">
        <f t="shared" si="50"/>
        <v>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 &amp; 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</v>
      </c>
      <c r="AF154" s="88" t="str">
        <f t="shared" si="51"/>
        <v>"C:\Program Files (x86)\AstroGrep\AstroGrep.exe" /spath="%USERPROFILE%\AppData\Local\Temp\OnboardLogs" /stypes="app*4041*20161107*" /stext=" 08:.+((SYSTEM_STATE.+slice.+state.+changed )|(ment ac)|(system.+state.+changed )|(\[timeout)|(PRM\|1\|D)|(kpr)|(kdp)|(\|lc)|(penalty))" /e /r /s</v>
      </c>
      <c r="AG154" s="1" t="str">
        <f t="shared" si="52"/>
        <v>EC</v>
      </c>
      <c r="AH154" s="92" t="str">
        <f t="shared" si="53"/>
        <v>"%USERPROFILE%\Documents\GitHub\eaglep3\Utilities\RefineRTDCRunTimes.py" --tripid 242-06 --locoid 4041 --swversion DE.1.0.8.0 --startMP 204:232993 --initTime 2016-11-07T00:48:06 --startdatetime 2016-11-07T00:56:16 --delay 1 --endMP 204:158 --enddatetime 2016-11-07T01:34:08 --enforcementcount 0 &gt;&gt;C:\Users\stu\Documents\GitHub\eaglep3-reporting\EC\2016-11-06-refined-times.txt</v>
      </c>
      <c r="AI154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ID","value":"242-06"},{"id":16,"name":"Locomotive ID","value":"4041"},{"id":130,"name":"Impact","value":""},{"id":150,"name":"Time of Event (Mountain Time)","value":"01:34:08"},{"id":151,"name":"Denver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618</v>
      </c>
      <c r="B155" s="7">
        <v>4011</v>
      </c>
      <c r="C155" s="22" t="s">
        <v>239</v>
      </c>
      <c r="D155" s="22" t="s">
        <v>313</v>
      </c>
      <c r="E155" s="13">
        <v>42681.016296296293</v>
      </c>
      <c r="F155" s="13">
        <v>42681.021064814813</v>
      </c>
      <c r="G155" s="7">
        <v>1</v>
      </c>
      <c r="H155" s="22" t="s">
        <v>725</v>
      </c>
      <c r="I155" s="13">
        <v>42681.046493055554</v>
      </c>
      <c r="J155" s="7">
        <v>0</v>
      </c>
      <c r="K155" s="112" t="str">
        <f t="shared" si="38"/>
        <v>4011/4012</v>
      </c>
      <c r="L155" s="22" t="str">
        <f>VLOOKUP(A155,'Trips&amp;Operators'!$C$1:$E$10000,3,FALSE)</f>
        <v>CHANDLER</v>
      </c>
      <c r="M155" s="6">
        <f t="shared" si="39"/>
        <v>2.5428240740438923E-2</v>
      </c>
      <c r="N155" s="7">
        <f t="shared" si="40"/>
        <v>36.616666666232049</v>
      </c>
      <c r="O155" s="7"/>
      <c r="P155" s="7"/>
      <c r="Q155" s="23"/>
      <c r="R155" s="23"/>
      <c r="S155" s="35">
        <f t="shared" si="41"/>
        <v>1</v>
      </c>
      <c r="T155" s="50" t="str">
        <f t="shared" si="42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23:23:28-0600',mode:absolute,to:'2016-11-07 02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44"/>
        <v>N</v>
      </c>
      <c r="X155" s="177">
        <f t="shared" si="45"/>
        <v>1</v>
      </c>
      <c r="Y155" s="67">
        <f t="shared" si="46"/>
        <v>4.6899999999999997E-2</v>
      </c>
      <c r="Z155" s="67">
        <f t="shared" si="47"/>
        <v>23.3278</v>
      </c>
      <c r="AA155" s="67">
        <f t="shared" si="48"/>
        <v>23.280899999999999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9"/>
        <v>0243-06</v>
      </c>
      <c r="AE155" s="91" t="str">
        <f t="shared" si="50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55" s="88" t="str">
        <f t="shared" si="51"/>
        <v>"C:\Program Files (x86)\AstroGrep\AstroGrep.exe" /spath="%USERPROFILE%\AppData\Local\Temp\OnboardLogs" /stypes="app*4011*20161107*" /stext=" 08:.+((SYSTEM_STATE.+slice.+state.+changed )|(ment ac)|(system.+state.+changed )|(\[timeout)|(PRM\|1\|D)|(kpr)|(kdp)|(\|lc)|(penalty))" /e /r /s</v>
      </c>
      <c r="AG155" s="1" t="str">
        <f t="shared" si="52"/>
        <v>EC</v>
      </c>
      <c r="AH155" s="92" t="str">
        <f t="shared" si="53"/>
        <v>"%USERPROFILE%\Documents\GitHub\eaglep3\Utilities\RefineRTDCRunTimes.py" --tripid 243-06 --locoid 4011 --swversion DE.1.0.8.0 --startMP 204:469 --initTime 2016-11-07T00:23:28 --startdatetime 2016-11-07T00:30:20 --delay 1 --endMP 204:233278 --enddatetime 2016-11-07T01:06:57 --enforcementcount 0 &gt;&gt;C:\Users\stu\Documents\GitHub\eaglep3-reporting\EC\2016-11-06-refined-times.txt</v>
      </c>
      <c r="AI155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{"issue":{"subject":"","project_id":79,"tracker_id":40,"status_id":1,"priority_id":2,"assigned_to_id":23,"start_date":"2016-11-07","description":"","custom_fields":[{"id":1,"name":"Subdivision","value":"EC"},{"id":4,"name":"Milepost","value":"23.3278"},{"id":17,"name":"Train ID","value":"243-06"},{"id":16,"name":"Locomotive ID","value":"4011"},{"id":130,"name":"Impact","value":""},{"id":150,"name":"Time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195</v>
      </c>
      <c r="B156" s="7">
        <v>4012</v>
      </c>
      <c r="C156" s="22" t="s">
        <v>239</v>
      </c>
      <c r="D156" s="22" t="s">
        <v>307</v>
      </c>
      <c r="E156" s="13">
        <v>42681.05773148148</v>
      </c>
      <c r="F156" s="13">
        <v>42681.060254629629</v>
      </c>
      <c r="G156" s="7">
        <v>1</v>
      </c>
      <c r="H156" s="22" t="s">
        <v>175</v>
      </c>
      <c r="I156" s="13">
        <v>42681.087488425925</v>
      </c>
      <c r="J156" s="7">
        <v>0</v>
      </c>
      <c r="K156" s="112" t="str">
        <f t="shared" si="38"/>
        <v>4011/4012</v>
      </c>
      <c r="L156" s="22" t="str">
        <f>VLOOKUP(A156,'Trips&amp;Operators'!$C$1:$E$10000,3,FALSE)</f>
        <v>CHANDLER</v>
      </c>
      <c r="M156" s="6">
        <f t="shared" si="39"/>
        <v>2.7233796296059154E-2</v>
      </c>
      <c r="N156" s="7">
        <f t="shared" si="40"/>
        <v>39.216666666325182</v>
      </c>
      <c r="O156" s="7"/>
      <c r="P156" s="7"/>
      <c r="Q156" s="23"/>
      <c r="R156" s="23"/>
      <c r="S156" s="35">
        <f t="shared" si="41"/>
        <v>1</v>
      </c>
      <c r="T156" s="50" t="str">
        <f t="shared" si="42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00:23:08-0600',mode:absolute,to:'2016-11-07 03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44"/>
        <v>N</v>
      </c>
      <c r="X156" s="177">
        <f t="shared" si="45"/>
        <v>1</v>
      </c>
      <c r="Y156" s="67">
        <f t="shared" si="46"/>
        <v>23.2987</v>
      </c>
      <c r="Z156" s="67">
        <f t="shared" si="47"/>
        <v>1.47E-2</v>
      </c>
      <c r="AA156" s="67">
        <f t="shared" si="48"/>
        <v>23.283999999999999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9"/>
        <v>0244-06</v>
      </c>
      <c r="AE156" s="91" t="str">
        <f t="shared" si="50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56" s="88" t="str">
        <f t="shared" si="51"/>
        <v>"C:\Program Files (x86)\AstroGrep\AstroGrep.exe" /spath="%USERPROFILE%\AppData\Local\Temp\OnboardLogs" /stypes="app*4012*20161107*" /stext=" 09:.+((SYSTEM_STATE.+slice.+state.+changed )|(ment ac)|(system.+state.+changed )|(\[timeout)|(PRM\|1\|D)|(kpr)|(kdp)|(\|lc)|(penalty))" /e /r /s</v>
      </c>
      <c r="AG156" s="1" t="str">
        <f t="shared" si="52"/>
        <v>EC</v>
      </c>
      <c r="AH156" s="92" t="str">
        <f t="shared" si="53"/>
        <v>"%USERPROFILE%\Documents\GitHub\eaglep3\Utilities\RefineRTDCRunTimes.py" --tripid 244-06 --locoid 4012 --swversion DE.1.0.8.0 --startMP 204:232987 --initTime 2016-11-07T01:23:08 --startdatetime 2016-11-07T01:26:46 --delay 1 --endMP 204:147 --enddatetime 2016-11-07T02:05:59 --enforcementcount 0 &gt;&gt;C:\Users\stu\Documents\GitHub\eaglep3-reporting\EC\2016-11-06-refined-times.txt</v>
      </c>
      <c r="AI156" s="122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ID","value":"244-06"},{"id":16,"name":"Locomotive ID","value":"4012"},{"id":130,"name":"Impact","value":""},{"id":150,"name":"Time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449</v>
      </c>
      <c r="B157" s="7">
        <v>4032</v>
      </c>
      <c r="C157" s="22" t="s">
        <v>239</v>
      </c>
      <c r="D157" s="22" t="s">
        <v>662</v>
      </c>
      <c r="E157" s="13">
        <v>42680.233252314814</v>
      </c>
      <c r="F157" s="13">
        <v>42680.235023148147</v>
      </c>
      <c r="G157" s="7">
        <v>1</v>
      </c>
      <c r="H157" s="22" t="s">
        <v>663</v>
      </c>
      <c r="I157" s="13">
        <v>42680.246921296297</v>
      </c>
      <c r="J157" s="7">
        <v>0</v>
      </c>
      <c r="K157" s="112" t="str">
        <f t="shared" si="38"/>
        <v>4031/4032</v>
      </c>
      <c r="L157" s="22" t="str">
        <f>VLOOKUP(A157,'Trips&amp;Operators'!$C$1:$E$10000,3,FALSE)</f>
        <v>STARKS</v>
      </c>
      <c r="M157" s="6">
        <f t="shared" si="39"/>
        <v>1.1898148150066845E-2</v>
      </c>
      <c r="N157" s="7">
        <f t="shared" si="40"/>
        <v>17.133333336096257</v>
      </c>
      <c r="O157" s="7"/>
      <c r="P157" s="7"/>
      <c r="Q157" s="23"/>
      <c r="R157" s="23"/>
      <c r="S157" s="35">
        <f t="shared" si="41"/>
        <v>1</v>
      </c>
      <c r="T157" s="50" t="str">
        <f t="shared" si="42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04:35:53-0600',mode:absolute,to:'2016-11-06 06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7" s="52" t="str">
        <f t="shared" si="44"/>
        <v>N</v>
      </c>
      <c r="X157" s="177">
        <f t="shared" si="45"/>
        <v>1556</v>
      </c>
      <c r="Y157" s="67">
        <f t="shared" si="46"/>
        <v>5.8609</v>
      </c>
      <c r="Z157" s="67">
        <f t="shared" si="47"/>
        <v>7.1499999999999994E-2</v>
      </c>
      <c r="AA157" s="67">
        <f t="shared" si="48"/>
        <v>5.7893999999999997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9"/>
        <v>1800-06</v>
      </c>
      <c r="AE15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7" s="88" t="str">
        <f t="shared" si="51"/>
        <v>"C:\Program Files (x86)\AstroGrep\AstroGrep.exe" /spath="%USERPROFILE%\AppData\Local\Temp\OnboardLogs" /stypes="app*4032*20161106*" /stext=" 12:.+((SYSTEM_STATE.+slice.+state.+changed )|(ment ac)|(system.+state.+changed )|(\[timeout)|(PRM\|1\|D)|(kpr)|(kdp)|(\|lc)|(penalty))" /e /r /s</v>
      </c>
      <c r="AG157" s="1" t="str">
        <f t="shared" si="52"/>
        <v>NW</v>
      </c>
      <c r="AH157" s="92" t="str">
        <f t="shared" si="53"/>
        <v>"%USERPROFILE%\Documents\GitHub\eaglep3\Utilities\RefineRTDCRunTimes.py" --tripid 1800-06 --locoid 4032 --swversion DE.1.0.8.0 --startMP 300:58609 --initTime 2016-11-06T05:35:53 --startdatetime 2016-11-06T05:38:26 --delay 1 --endMP 204:715 --enddatetime 2016-11-06T05:55:34 --enforcementcount 0 &gt;&gt;C:\Users\stu\Documents\GitHub\eaglep3-reporting\EC\2016-11-06-refined-times.txt</v>
      </c>
      <c r="AI15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{"issue":{"subject":"","project_id":79,"tracker_id":40,"status_id":1,"priority_id":2,"assigned_to_id":23,"start_date":"2016-11-06","description":"","custom_fields":[{"id":1,"name":"Subdivision","value":"NW"},{"id":4,"name":"Milepost","value":"0.0715"},{"id":17,"name":"Train ID","value":"1800-06"},{"id":16,"name":"Locomotive ID","value":"4032"},{"id":130,"name":"Impact","value":""},{"id":150,"name":"Time of Event (Mountain Time)","value":"05:55:34"},{"id":151,"name":"Denver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452</v>
      </c>
      <c r="B158" s="7">
        <v>4031</v>
      </c>
      <c r="C158" s="22" t="s">
        <v>239</v>
      </c>
      <c r="D158" s="22" t="s">
        <v>664</v>
      </c>
      <c r="E158" s="13">
        <v>42680.24795138889</v>
      </c>
      <c r="F158" s="13">
        <v>42680.265601851854</v>
      </c>
      <c r="G158" s="7">
        <v>1</v>
      </c>
      <c r="H158" s="22" t="s">
        <v>343</v>
      </c>
      <c r="I158" s="13">
        <v>42680.274363425924</v>
      </c>
      <c r="J158" s="7">
        <v>0</v>
      </c>
      <c r="K158" s="112" t="str">
        <f t="shared" si="38"/>
        <v>4031/4032</v>
      </c>
      <c r="L158" s="22" t="str">
        <f>VLOOKUP(A158,'Trips&amp;Operators'!$C$1:$E$10000,3,FALSE)</f>
        <v>STARKS</v>
      </c>
      <c r="M158" s="6">
        <f t="shared" si="39"/>
        <v>8.7615740703768097E-3</v>
      </c>
      <c r="N158" s="7">
        <f t="shared" si="40"/>
        <v>12.616666661342606</v>
      </c>
      <c r="O158" s="7"/>
      <c r="P158" s="7"/>
      <c r="Q158" s="23"/>
      <c r="R158" s="23"/>
      <c r="S158" s="35">
        <f t="shared" si="41"/>
        <v>1</v>
      </c>
      <c r="T158" s="50" t="str">
        <f t="shared" si="42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04:57:03-0600',mode:absolute,to:'2016-11-06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2" t="str">
        <f t="shared" si="44"/>
        <v>N</v>
      </c>
      <c r="X158" s="177">
        <f t="shared" si="45"/>
        <v>1</v>
      </c>
      <c r="Y158" s="67">
        <f t="shared" si="46"/>
        <v>0.1014</v>
      </c>
      <c r="Z158" s="67">
        <f t="shared" si="47"/>
        <v>5.8936999999999999</v>
      </c>
      <c r="AA158" s="67">
        <f t="shared" si="48"/>
        <v>5.7923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9"/>
        <v>1801-06</v>
      </c>
      <c r="AE15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58" s="88" t="str">
        <f t="shared" si="51"/>
        <v>"C:\Program Files (x86)\AstroGrep\AstroGrep.exe" /spath="%USERPROFILE%\AppData\Local\Temp\OnboardLogs" /stypes="app*4031*20161106*" /stext=" 13:.+((SYSTEM_STATE.+slice.+state.+changed )|(ment ac)|(system.+state.+changed )|(\[timeout)|(PRM\|1\|D)|(kpr)|(kdp)|(\|lc)|(penalty))" /e /r /s</v>
      </c>
      <c r="AG158" s="1" t="str">
        <f t="shared" si="52"/>
        <v>NW</v>
      </c>
      <c r="AH158" s="92" t="str">
        <f t="shared" si="53"/>
        <v>"%USERPROFILE%\Documents\GitHub\eaglep3\Utilities\RefineRTDCRunTimes.py" --tripid 1801-06 --locoid 4031 --swversion DE.1.0.8.0 --startMP 204:1014 --initTime 2016-11-06T05:57:03 --startdatetime 2016-11-06T06:22:28 --delay 1 --endMP 300:58937 --enddatetime 2016-11-06T06:35:05 --enforcementcount 0 &gt;&gt;C:\Users\stu\Documents\GitHub\eaglep3-reporting\EC\2016-11-06-refined-times.txt</v>
      </c>
      <c r="AI15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{"issue":{"subject":"","project_id":79,"tracker_id":40,"status_id":1,"priority_id":2,"assigned_to_id":23,"start_date":"2016-11-06","description":"","custom_fields":[{"id":1,"name":"Subdivision","value":"NW"},{"id":4,"name":"Milepost","value":"5.8937"},{"id":17,"name":"Train ID","value":"1801-06"},{"id":16,"name":"Locomotive ID","value":"4031"},{"id":130,"name":"Impact","value":""},{"id":150,"name":"Time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459</v>
      </c>
      <c r="B159" s="7">
        <v>4032</v>
      </c>
      <c r="C159" s="22" t="s">
        <v>239</v>
      </c>
      <c r="D159" s="22" t="s">
        <v>319</v>
      </c>
      <c r="E159" s="13">
        <v>42680.276134259257</v>
      </c>
      <c r="F159" s="13">
        <v>42680.277384259258</v>
      </c>
      <c r="G159" s="7">
        <v>1</v>
      </c>
      <c r="H159" s="22" t="s">
        <v>665</v>
      </c>
      <c r="I159" s="13">
        <v>42680.288217592592</v>
      </c>
      <c r="J159" s="7">
        <v>0</v>
      </c>
      <c r="K159" s="112" t="str">
        <f t="shared" si="38"/>
        <v>4031/4032</v>
      </c>
      <c r="L159" s="22" t="str">
        <f>VLOOKUP(A159,'Trips&amp;Operators'!$C$1:$E$10000,3,FALSE)</f>
        <v>STARKS</v>
      </c>
      <c r="M159" s="6">
        <f t="shared" si="39"/>
        <v>1.0833333333721384E-2</v>
      </c>
      <c r="N159" s="7">
        <f t="shared" si="40"/>
        <v>15.600000000558794</v>
      </c>
      <c r="O159" s="7"/>
      <c r="P159" s="7"/>
      <c r="Q159" s="23"/>
      <c r="R159" s="23"/>
      <c r="S159" s="35">
        <f t="shared" si="41"/>
        <v>1</v>
      </c>
      <c r="T159" s="50" t="str">
        <f t="shared" si="42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05:37:38-0600',mode:absolute,to:'2016-11-06 07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2" t="str">
        <f t="shared" si="44"/>
        <v>N</v>
      </c>
      <c r="X159" s="177">
        <f t="shared" si="45"/>
        <v>1</v>
      </c>
      <c r="Y159" s="67">
        <f t="shared" si="46"/>
        <v>5.8615000000000004</v>
      </c>
      <c r="Z159" s="67">
        <f t="shared" si="47"/>
        <v>6.8400000000000002E-2</v>
      </c>
      <c r="AA159" s="67">
        <f t="shared" si="48"/>
        <v>5.7931000000000008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9"/>
        <v>1802-06</v>
      </c>
      <c r="AE15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9" s="88" t="str">
        <f t="shared" si="51"/>
        <v>"C:\Program Files (x86)\AstroGrep\AstroGrep.exe" /spath="%USERPROFILE%\AppData\Local\Temp\OnboardLogs" /stypes="app*4032*20161106*" /stext=" 13:.+((SYSTEM_STATE.+slice.+state.+changed )|(ment ac)|(system.+state.+changed )|(\[timeout)|(PRM\|1\|D)|(kpr)|(kdp)|(\|lc)|(penalty))" /e /r /s</v>
      </c>
      <c r="AG159" s="1" t="str">
        <f t="shared" si="52"/>
        <v>NW</v>
      </c>
      <c r="AH159" s="92" t="str">
        <f t="shared" si="53"/>
        <v>"%USERPROFILE%\Documents\GitHub\eaglep3\Utilities\RefineRTDCRunTimes.py" --tripid 1802-06 --locoid 4032 --swversion DE.1.0.8.0 --startMP 300:58615 --initTime 2016-11-06T06:37:38 --startdatetime 2016-11-06T06:39:26 --delay 1 --endMP 204:684 --enddatetime 2016-11-06T06:55:02 --enforcementcount 0 &gt;&gt;C:\Users\stu\Documents\GitHub\eaglep3-reporting\EC\2016-11-06-refined-times.txt</v>
      </c>
      <c r="AI15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ID","value":"1802-06"},{"id":16,"name":"Locomotive ID","value":"4032"},{"id":130,"name":"Impact","value":""},{"id":150,"name":"Time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463</v>
      </c>
      <c r="B160" s="7">
        <v>4031</v>
      </c>
      <c r="C160" s="22" t="s">
        <v>239</v>
      </c>
      <c r="D160" s="22" t="s">
        <v>666</v>
      </c>
      <c r="E160" s="13">
        <v>42680.293483796297</v>
      </c>
      <c r="F160" s="13">
        <v>42680.306446759256</v>
      </c>
      <c r="G160" s="7">
        <v>1</v>
      </c>
      <c r="H160" s="22" t="s">
        <v>667</v>
      </c>
      <c r="I160" s="13">
        <v>42680.315601851849</v>
      </c>
      <c r="J160" s="7">
        <v>0</v>
      </c>
      <c r="K160" s="112" t="str">
        <f t="shared" si="38"/>
        <v>4031/4032</v>
      </c>
      <c r="L160" s="22" t="str">
        <f>VLOOKUP(A160,'Trips&amp;Operators'!$C$1:$E$10000,3,FALSE)</f>
        <v>STARKS</v>
      </c>
      <c r="M160" s="6">
        <f t="shared" si="39"/>
        <v>9.1550925935734995E-3</v>
      </c>
      <c r="N160" s="7">
        <f t="shared" si="40"/>
        <v>13.183333334745839</v>
      </c>
      <c r="O160" s="7"/>
      <c r="P160" s="7"/>
      <c r="Q160" s="23"/>
      <c r="R160" s="23"/>
      <c r="S160" s="35">
        <f t="shared" si="41"/>
        <v>1</v>
      </c>
      <c r="T160" s="50" t="str">
        <f t="shared" si="42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06:02:37-0600',mode:absolute,to:'2016-11-06 08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0" s="52" t="str">
        <f t="shared" si="44"/>
        <v>N</v>
      </c>
      <c r="X160" s="177">
        <f t="shared" si="45"/>
        <v>1</v>
      </c>
      <c r="Y160" s="67">
        <f t="shared" si="46"/>
        <v>0.1</v>
      </c>
      <c r="Z160" s="67">
        <f t="shared" si="47"/>
        <v>5.8944000000000001</v>
      </c>
      <c r="AA160" s="67">
        <f t="shared" si="48"/>
        <v>5.7944000000000004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9"/>
        <v>1803-06</v>
      </c>
      <c r="AE16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0" s="88" t="str">
        <f t="shared" si="51"/>
        <v>"C:\Program Files (x86)\AstroGrep\AstroGrep.exe" /spath="%USERPROFILE%\AppData\Local\Temp\OnboardLogs" /stypes="app*4031*20161106*" /stext=" 14:.+((SYSTEM_STATE.+slice.+state.+changed )|(ment ac)|(system.+state.+changed )|(\[timeout)|(PRM\|1\|D)|(kpr)|(kdp)|(\|lc)|(penalty))" /e /r /s</v>
      </c>
      <c r="AG160" s="1" t="str">
        <f t="shared" si="52"/>
        <v>NW</v>
      </c>
      <c r="AH160" s="92" t="str">
        <f t="shared" si="53"/>
        <v>"%USERPROFILE%\Documents\GitHub\eaglep3\Utilities\RefineRTDCRunTimes.py" --tripid 1803-06 --locoid 4031 --swversion DE.1.0.8.0 --startMP 204:1000 --initTime 2016-11-06T07:02:37 --startdatetime 2016-11-06T07:21:17 --delay 1 --endMP 300:58944 --enddatetime 2016-11-06T07:34:28 --enforcementcount 0 &gt;&gt;C:\Users\stu\Documents\GitHub\eaglep3-reporting\EC\2016-11-06-refined-times.txt</v>
      </c>
      <c r="AI16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ID","value":"1803-06"},{"id":16,"name":"Locomotive ID","value":"4031"},{"id":130,"name":"Impact","value":""},{"id":150,"name":"Time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467</v>
      </c>
      <c r="B161" s="7">
        <v>4032</v>
      </c>
      <c r="C161" s="22" t="s">
        <v>239</v>
      </c>
      <c r="D161" s="22" t="s">
        <v>388</v>
      </c>
      <c r="E161" s="13">
        <v>42680.316828703704</v>
      </c>
      <c r="F161" s="13">
        <v>42680.318298611113</v>
      </c>
      <c r="G161" s="7">
        <v>1</v>
      </c>
      <c r="H161" s="22" t="s">
        <v>668</v>
      </c>
      <c r="I161" s="13">
        <v>42680.32980324074</v>
      </c>
      <c r="J161" s="7">
        <v>0</v>
      </c>
      <c r="K161" s="112" t="str">
        <f t="shared" si="38"/>
        <v>4031/4032</v>
      </c>
      <c r="L161" s="22" t="str">
        <f>VLOOKUP(A161,'Trips&amp;Operators'!$C$1:$E$10000,3,FALSE)</f>
        <v>STARKS</v>
      </c>
      <c r="M161" s="6">
        <f t="shared" si="39"/>
        <v>1.1504629626870155E-2</v>
      </c>
      <c r="N161" s="7">
        <f t="shared" si="40"/>
        <v>16.566666662693024</v>
      </c>
      <c r="O161" s="7"/>
      <c r="P161" s="7"/>
      <c r="Q161" s="23"/>
      <c r="R161" s="23"/>
      <c r="S161" s="35">
        <f t="shared" si="41"/>
        <v>1</v>
      </c>
      <c r="T161" s="50" t="str">
        <f t="shared" si="42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06:36:14-0600',mode:absolute,to:'2016-11-06 08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1" s="52" t="str">
        <f t="shared" si="44"/>
        <v>N</v>
      </c>
      <c r="X161" s="177">
        <f t="shared" si="45"/>
        <v>1</v>
      </c>
      <c r="Y161" s="67">
        <f t="shared" si="46"/>
        <v>5.8623000000000003</v>
      </c>
      <c r="Z161" s="67">
        <f t="shared" si="47"/>
        <v>7.0499999999999993E-2</v>
      </c>
      <c r="AA161" s="67">
        <f t="shared" si="48"/>
        <v>5.7918000000000003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9"/>
        <v>1804-06</v>
      </c>
      <c r="AE16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1" s="88" t="str">
        <f t="shared" si="51"/>
        <v>"C:\Program Files (x86)\AstroGrep\AstroGrep.exe" /spath="%USERPROFILE%\AppData\Local\Temp\OnboardLogs" /stypes="app*4032*20161106*" /stext=" 14:.+((SYSTEM_STATE.+slice.+state.+changed )|(ment ac)|(system.+state.+changed )|(\[timeout)|(PRM\|1\|D)|(kpr)|(kdp)|(\|lc)|(penalty))" /e /r /s</v>
      </c>
      <c r="AG161" s="1" t="str">
        <f t="shared" si="52"/>
        <v>NW</v>
      </c>
      <c r="AH161" s="92" t="str">
        <f t="shared" si="53"/>
        <v>"%USERPROFILE%\Documents\GitHub\eaglep3\Utilities\RefineRTDCRunTimes.py" --tripid 1804-06 --locoid 4032 --swversion DE.1.0.8.0 --startMP 300:58623 --initTime 2016-11-06T07:36:14 --startdatetime 2016-11-06T07:38:21 --delay 1 --endMP 204:705 --enddatetime 2016-11-06T07:54:55 --enforcementcount 0 &gt;&gt;C:\Users\stu\Documents\GitHub\eaglep3-reporting\EC\2016-11-06-refined-times.txt</v>
      </c>
      <c r="AI16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{"issue":{"subject":"","project_id":79,"tracker_id":40,"status_id":1,"priority_id":2,"assigned_to_id":23,"start_date":"2016-11-06","description":"","custom_fields":[{"id":1,"name":"Subdivision","value":"NW"},{"id":4,"name":"Milepost","value":"0.0705"},{"id":17,"name":"Train ID","value":"1804-06"},{"id":16,"name":"Locomotive ID","value":"4032"},{"id":130,"name":"Impact","value":""},{"id":150,"name":"Time of Event (Mountain Time)","value":"07:54:55"},{"id":151,"name":"Denver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x14ac:dyDescent="0.25">
      <c r="A162" s="37" t="s">
        <v>402</v>
      </c>
      <c r="B162" s="7">
        <v>4031</v>
      </c>
      <c r="C162" s="22" t="s">
        <v>239</v>
      </c>
      <c r="D162" s="22" t="s">
        <v>666</v>
      </c>
      <c r="E162" s="13">
        <v>42680.346678240741</v>
      </c>
      <c r="F162" s="13">
        <v>42680.348090277781</v>
      </c>
      <c r="G162" s="7">
        <v>1</v>
      </c>
      <c r="H162" s="22" t="s">
        <v>384</v>
      </c>
      <c r="I162" s="13">
        <v>42680.357523148145</v>
      </c>
      <c r="J162" s="7">
        <v>0</v>
      </c>
      <c r="K162" s="112" t="str">
        <f t="shared" si="38"/>
        <v>4031/4032</v>
      </c>
      <c r="L162" s="22" t="str">
        <f>VLOOKUP(A162,'Trips&amp;Operators'!$C$1:$E$10000,3,FALSE)</f>
        <v>STARKS</v>
      </c>
      <c r="M162" s="6">
        <f t="shared" si="39"/>
        <v>9.4328703635255806E-3</v>
      </c>
      <c r="N162" s="7">
        <f t="shared" si="40"/>
        <v>13.583333323476836</v>
      </c>
      <c r="O162" s="7"/>
      <c r="P162" s="7"/>
      <c r="Q162" s="23"/>
      <c r="R162" s="23"/>
      <c r="S162" s="35">
        <f t="shared" si="41"/>
        <v>1</v>
      </c>
      <c r="T162" s="50" t="str">
        <f t="shared" si="42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07:19:13-0600',mode:absolute,to:'2016-11-06 09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2" t="str">
        <f t="shared" si="44"/>
        <v>N</v>
      </c>
      <c r="X162" s="177">
        <f t="shared" si="45"/>
        <v>1</v>
      </c>
      <c r="Y162" s="67">
        <f t="shared" si="46"/>
        <v>0.1</v>
      </c>
      <c r="Z162" s="67">
        <f t="shared" si="47"/>
        <v>5.8935000000000004</v>
      </c>
      <c r="AA162" s="67">
        <f t="shared" si="48"/>
        <v>5.7935000000000008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9"/>
        <v>1805-06</v>
      </c>
      <c r="AE16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2" s="88" t="str">
        <f t="shared" si="51"/>
        <v>"C:\Program Files (x86)\AstroGrep\AstroGrep.exe" /spath="%USERPROFILE%\AppData\Local\Temp\OnboardLogs" /stypes="app*4031*20161106*" /stext=" 15:.+((SYSTEM_STATE.+slice.+state.+changed )|(ment ac)|(system.+state.+changed )|(\[timeout)|(PRM\|1\|D)|(kpr)|(kdp)|(\|lc)|(penalty))" /e /r /s</v>
      </c>
      <c r="AG162" s="1" t="str">
        <f t="shared" si="52"/>
        <v>NW</v>
      </c>
      <c r="AH162" s="92" t="str">
        <f t="shared" si="53"/>
        <v>"%USERPROFILE%\Documents\GitHub\eaglep3\Utilities\RefineRTDCRunTimes.py" --tripid 1805-06 --locoid 4031 --swversion DE.1.0.8.0 --startMP 204:1000 --initTime 2016-11-06T08:19:13 --startdatetime 2016-11-06T08:21:15 --delay 1 --endMP 300:58935 --enddatetime 2016-11-06T08:34:50 --enforcementcount 0 &gt;&gt;C:\Users\stu\Documents\GitHub\eaglep3-reporting\EC\2016-11-06-refined-times.txt</v>
      </c>
      <c r="AI16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ID","value":"1805-06"},{"id":16,"name":"Locomotive ID","value":"4031"},{"id":130,"name":"Impact","value":""},{"id":150,"name":"Time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474</v>
      </c>
      <c r="B163" s="7">
        <v>4032</v>
      </c>
      <c r="C163" s="22" t="s">
        <v>239</v>
      </c>
      <c r="D163" s="22" t="s">
        <v>388</v>
      </c>
      <c r="E163" s="13">
        <v>42680.358668981484</v>
      </c>
      <c r="F163" s="13">
        <v>42680.360081018516</v>
      </c>
      <c r="G163" s="7">
        <v>1</v>
      </c>
      <c r="H163" s="22" t="s">
        <v>669</v>
      </c>
      <c r="I163" s="13">
        <v>42680.372025462966</v>
      </c>
      <c r="J163" s="7">
        <v>0</v>
      </c>
      <c r="K163" s="112" t="str">
        <f t="shared" si="38"/>
        <v>4031/4032</v>
      </c>
      <c r="L163" s="22" t="str">
        <f>VLOOKUP(A163,'Trips&amp;Operators'!$C$1:$E$10000,3,FALSE)</f>
        <v>STARKS</v>
      </c>
      <c r="M163" s="6">
        <f t="shared" si="39"/>
        <v>1.1944444449909497E-2</v>
      </c>
      <c r="N163" s="7">
        <f t="shared" si="40"/>
        <v>17.200000007869676</v>
      </c>
      <c r="O163" s="7"/>
      <c r="P163" s="7"/>
      <c r="Q163" s="23"/>
      <c r="R163" s="23"/>
      <c r="S163" s="35">
        <f t="shared" si="41"/>
        <v>1</v>
      </c>
      <c r="T163" s="50" t="str">
        <f t="shared" si="4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07:36:29-0600',mode:absolute,to:'2016-11-06 09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2" t="str">
        <f t="shared" si="44"/>
        <v>N</v>
      </c>
      <c r="X163" s="177">
        <f t="shared" si="45"/>
        <v>1</v>
      </c>
      <c r="Y163" s="67">
        <f t="shared" si="46"/>
        <v>5.8623000000000003</v>
      </c>
      <c r="Z163" s="67">
        <f t="shared" si="47"/>
        <v>7.3800000000000004E-2</v>
      </c>
      <c r="AA163" s="67">
        <f t="shared" si="48"/>
        <v>5.7885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9"/>
        <v>1806-06</v>
      </c>
      <c r="AE16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3" s="88" t="str">
        <f t="shared" si="51"/>
        <v>"C:\Program Files (x86)\AstroGrep\AstroGrep.exe" /spath="%USERPROFILE%\AppData\Local\Temp\OnboardLogs" /stypes="app*4032*20161106*" /stext=" 15:.+((SYSTEM_STATE.+slice.+state.+changed )|(ment ac)|(system.+state.+changed )|(\[timeout)|(PRM\|1\|D)|(kpr)|(kdp)|(\|lc)|(penalty))" /e /r /s</v>
      </c>
      <c r="AG163" s="1" t="str">
        <f t="shared" si="52"/>
        <v>NW</v>
      </c>
      <c r="AH163" s="92" t="str">
        <f t="shared" si="53"/>
        <v>"%USERPROFILE%\Documents\GitHub\eaglep3\Utilities\RefineRTDCRunTimes.py" --tripid 1806-06 --locoid 4032 --swversion DE.1.0.8.0 --startMP 300:58623 --initTime 2016-11-06T08:36:29 --startdatetime 2016-11-06T08:38:31 --delay 1 --endMP 204:738 --enddatetime 2016-11-06T08:55:43 --enforcementcount 0 &gt;&gt;C:\Users\stu\Documents\GitHub\eaglep3-reporting\EC\2016-11-06-refined-times.txt</v>
      </c>
      <c r="AI16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ID","value":"1806-06"},{"id":16,"name":"Locomotive ID","value":"4032"},{"id":130,"name":"Impact","value":""},{"id":150,"name":"Time of Event (Mountain Time)","value":"08:55:43"},{"id":151,"name":"Denver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482</v>
      </c>
      <c r="B164" s="7">
        <v>4031</v>
      </c>
      <c r="C164" s="22" t="s">
        <v>239</v>
      </c>
      <c r="D164" s="22" t="s">
        <v>670</v>
      </c>
      <c r="E164" s="13">
        <v>42680.38894675926</v>
      </c>
      <c r="F164" s="13">
        <v>42680.390150462961</v>
      </c>
      <c r="G164" s="7">
        <v>1</v>
      </c>
      <c r="H164" s="22" t="s">
        <v>671</v>
      </c>
      <c r="I164" s="13">
        <v>42680.399027777778</v>
      </c>
      <c r="J164" s="7">
        <v>0</v>
      </c>
      <c r="K164" s="112" t="str">
        <f t="shared" si="38"/>
        <v>4031/4032</v>
      </c>
      <c r="L164" s="22" t="str">
        <f>VLOOKUP(A164,'Trips&amp;Operators'!$C$1:$E$10000,3,FALSE)</f>
        <v>STARKS</v>
      </c>
      <c r="M164" s="6">
        <f t="shared" si="39"/>
        <v>8.8773148163454607E-3</v>
      </c>
      <c r="N164" s="7">
        <f t="shared" si="40"/>
        <v>12.783333335537463</v>
      </c>
      <c r="O164" s="7"/>
      <c r="P164" s="7"/>
      <c r="Q164" s="23"/>
      <c r="R164" s="23"/>
      <c r="S164" s="35">
        <f t="shared" si="41"/>
        <v>1</v>
      </c>
      <c r="T164" s="50" t="str">
        <f t="shared" si="4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08:20:05-0600',mode:absolute,to:'2016-11-06 10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2" t="str">
        <f t="shared" si="44"/>
        <v>N</v>
      </c>
      <c r="X164" s="177">
        <f t="shared" si="45"/>
        <v>1</v>
      </c>
      <c r="Y164" s="67">
        <f t="shared" si="46"/>
        <v>0.1021</v>
      </c>
      <c r="Z164" s="67">
        <f t="shared" si="47"/>
        <v>5.8943000000000003</v>
      </c>
      <c r="AA164" s="67">
        <f t="shared" si="48"/>
        <v>5.7922000000000002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9"/>
        <v>1807-06</v>
      </c>
      <c r="AE16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4" s="88" t="str">
        <f t="shared" si="51"/>
        <v>"C:\Program Files (x86)\AstroGrep\AstroGrep.exe" /spath="%USERPROFILE%\AppData\Local\Temp\OnboardLogs" /stypes="app*4031*20161106*" /stext=" 16:.+((SYSTEM_STATE.+slice.+state.+changed )|(ment ac)|(system.+state.+changed )|(\[timeout)|(PRM\|1\|D)|(kpr)|(kdp)|(\|lc)|(penalty))" /e /r /s</v>
      </c>
      <c r="AG164" s="1" t="str">
        <f t="shared" si="52"/>
        <v>NW</v>
      </c>
      <c r="AH164" s="92" t="str">
        <f t="shared" si="53"/>
        <v>"%USERPROFILE%\Documents\GitHub\eaglep3\Utilities\RefineRTDCRunTimes.py" --tripid 1807-06 --locoid 4031 --swversion DE.1.0.8.0 --startMP 204:1021 --initTime 2016-11-06T09:20:05 --startdatetime 2016-11-06T09:21:49 --delay 1 --endMP 300:58943 --enddatetime 2016-11-06T09:34:36 --enforcementcount 0 &gt;&gt;C:\Users\stu\Documents\GitHub\eaglep3-reporting\EC\2016-11-06-refined-times.txt</v>
      </c>
      <c r="AI16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{"issue":{"subject":"","project_id":79,"tracker_id":40,"status_id":1,"priority_id":2,"assigned_to_id":23,"start_date":"2016-11-06","description":"","custom_fields":[{"id":1,"name":"Subdivision","value":"NW"},{"id":4,"name":"Milepost","value":"5.8943"},{"id":17,"name":"Train ID","value":"1807-06"},{"id":16,"name":"Locomotive ID","value":"4031"},{"id":130,"name":"Impact","value":""},{"id":150,"name":"Time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481</v>
      </c>
      <c r="B165" s="7">
        <v>4032</v>
      </c>
      <c r="C165" s="22" t="s">
        <v>239</v>
      </c>
      <c r="D165" s="22" t="s">
        <v>672</v>
      </c>
      <c r="E165" s="13">
        <v>42680.400578703702</v>
      </c>
      <c r="F165" s="13">
        <v>42680.401886574073</v>
      </c>
      <c r="G165" s="7">
        <v>1</v>
      </c>
      <c r="H165" s="22" t="s">
        <v>673</v>
      </c>
      <c r="I165" s="13">
        <v>42680.413229166668</v>
      </c>
      <c r="J165" s="7">
        <v>0</v>
      </c>
      <c r="K165" s="112" t="str">
        <f t="shared" si="38"/>
        <v>4031/4032</v>
      </c>
      <c r="L165" s="22" t="str">
        <f>VLOOKUP(A165,'Trips&amp;Operators'!$C$1:$E$10000,3,FALSE)</f>
        <v>STARKS</v>
      </c>
      <c r="M165" s="6">
        <f t="shared" si="39"/>
        <v>1.1342592595610768E-2</v>
      </c>
      <c r="N165" s="7">
        <f t="shared" si="40"/>
        <v>16.333333337679505</v>
      </c>
      <c r="O165" s="7"/>
      <c r="P165" s="7"/>
      <c r="Q165" s="23"/>
      <c r="R165" s="23"/>
      <c r="S165" s="35">
        <f t="shared" si="41"/>
        <v>1</v>
      </c>
      <c r="T165" s="50" t="str">
        <f t="shared" si="4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08:36:50-0600',mode:absolute,to:'2016-11-06 10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2" t="str">
        <f t="shared" si="44"/>
        <v>N</v>
      </c>
      <c r="X165" s="177">
        <f t="shared" si="45"/>
        <v>1</v>
      </c>
      <c r="Y165" s="67">
        <f t="shared" si="46"/>
        <v>5.8628</v>
      </c>
      <c r="Z165" s="67">
        <f t="shared" si="47"/>
        <v>7.2400000000000006E-2</v>
      </c>
      <c r="AA165" s="67">
        <f t="shared" si="48"/>
        <v>5.7904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9"/>
        <v>1808-06</v>
      </c>
      <c r="AE16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5" s="88" t="str">
        <f t="shared" si="51"/>
        <v>"C:\Program Files (x86)\AstroGrep\AstroGrep.exe" /spath="%USERPROFILE%\AppData\Local\Temp\OnboardLogs" /stypes="app*4032*20161106*" /stext=" 16:.+((SYSTEM_STATE.+slice.+state.+changed )|(ment ac)|(system.+state.+changed )|(\[timeout)|(PRM\|1\|D)|(kpr)|(kdp)|(\|lc)|(penalty))" /e /r /s</v>
      </c>
      <c r="AG165" s="1" t="str">
        <f t="shared" si="52"/>
        <v>NW</v>
      </c>
      <c r="AH165" s="92" t="str">
        <f t="shared" si="53"/>
        <v>"%USERPROFILE%\Documents\GitHub\eaglep3\Utilities\RefineRTDCRunTimes.py" --tripid 1808-06 --locoid 4032 --swversion DE.1.0.8.0 --startMP 300:58628 --initTime 2016-11-06T09:36:50 --startdatetime 2016-11-06T09:38:43 --delay 1 --endMP 204:724 --enddatetime 2016-11-06T09:55:03 --enforcementcount 0 &gt;&gt;C:\Users\stu\Documents\GitHub\eaglep3-reporting\EC\2016-11-06-refined-times.txt</v>
      </c>
      <c r="AI16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{"issue":{"subject":"","project_id":79,"tracker_id":40,"status_id":1,"priority_id":2,"assigned_to_id":23,"start_date":"2016-11-06","description":"","custom_fields":[{"id":1,"name":"Subdivision","value":"NW"},{"id":4,"name":"Milepost","value":"0.0724"},{"id":17,"name":"Train ID","value":"1808-06"},{"id":16,"name":"Locomotive ID","value":"4032"},{"id":130,"name":"Impact","value":""},{"id":150,"name":"Time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490</v>
      </c>
      <c r="B166" s="7">
        <v>4031</v>
      </c>
      <c r="C166" s="22" t="s">
        <v>239</v>
      </c>
      <c r="D166" s="22" t="s">
        <v>282</v>
      </c>
      <c r="E166" s="13">
        <v>42680.427870370368</v>
      </c>
      <c r="F166" s="13">
        <v>42680.431446759256</v>
      </c>
      <c r="G166" s="7">
        <v>1</v>
      </c>
      <c r="H166" s="22" t="s">
        <v>256</v>
      </c>
      <c r="I166" s="13">
        <v>42680.440960648149</v>
      </c>
      <c r="J166" s="7">
        <v>0</v>
      </c>
      <c r="K166" s="112" t="str">
        <f t="shared" si="38"/>
        <v>4031/4032</v>
      </c>
      <c r="L166" s="22" t="str">
        <f>VLOOKUP(A166,'Trips&amp;Operators'!$C$1:$E$10000,3,FALSE)</f>
        <v>STARKS</v>
      </c>
      <c r="M166" s="6">
        <f t="shared" si="39"/>
        <v>9.5138888937071897E-3</v>
      </c>
      <c r="N166" s="7">
        <f t="shared" si="40"/>
        <v>13.700000006938353</v>
      </c>
      <c r="O166" s="7"/>
      <c r="P166" s="7"/>
      <c r="Q166" s="23"/>
      <c r="R166" s="23"/>
      <c r="S166" s="35">
        <f t="shared" si="41"/>
        <v>1</v>
      </c>
      <c r="T166" s="50" t="str">
        <f t="shared" si="4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09:16:08-0600',mode:absolute,to:'2016-11-06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2" t="str">
        <f t="shared" si="44"/>
        <v>N</v>
      </c>
      <c r="X166" s="177">
        <f t="shared" si="45"/>
        <v>1</v>
      </c>
      <c r="Y166" s="67">
        <f t="shared" si="46"/>
        <v>0.1016</v>
      </c>
      <c r="Z166" s="67">
        <f t="shared" si="47"/>
        <v>5.8925999999999998</v>
      </c>
      <c r="AA166" s="67">
        <f t="shared" si="48"/>
        <v>5.7909999999999995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9"/>
        <v>1809-06</v>
      </c>
      <c r="AE16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6" s="88" t="str">
        <f t="shared" si="51"/>
        <v>"C:\Program Files (x86)\AstroGrep\AstroGrep.exe" /spath="%USERPROFILE%\AppData\Local\Temp\OnboardLogs" /stypes="app*4031*20161106*" /stext=" 17:.+((SYSTEM_STATE.+slice.+state.+changed )|(ment ac)|(system.+state.+changed )|(\[timeout)|(PRM\|1\|D)|(kpr)|(kdp)|(\|lc)|(penalty))" /e /r /s</v>
      </c>
      <c r="AG166" s="1" t="str">
        <f t="shared" si="52"/>
        <v>NW</v>
      </c>
      <c r="AH166" s="92" t="str">
        <f t="shared" si="53"/>
        <v>"%USERPROFILE%\Documents\GitHub\eaglep3\Utilities\RefineRTDCRunTimes.py" --tripid 1809-06 --locoid 4031 --swversion DE.1.0.8.0 --startMP 204:1016 --initTime 2016-11-06T10:16:08 --startdatetime 2016-11-06T10:21:17 --delay 1 --endMP 300:58926 --enddatetime 2016-11-06T10:34:59 --enforcementcount 0 &gt;&gt;C:\Users\stu\Documents\GitHub\eaglep3-reporting\EC\2016-11-06-refined-times.txt</v>
      </c>
      <c r="AI16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{"issue":{"subject":"","project_id":79,"tracker_id":40,"status_id":1,"priority_id":2,"assigned_to_id":23,"start_date":"2016-11-06","description":"","custom_fields":[{"id":1,"name":"Subdivision","value":"NW"},{"id":4,"name":"Milepost","value":"5.8926"},{"id":17,"name":"Train ID","value":"1809-06"},{"id":16,"name":"Locomotive ID","value":"4031"},{"id":130,"name":"Impact","value":""},{"id":150,"name":"Time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495</v>
      </c>
      <c r="B167" s="7">
        <v>4032</v>
      </c>
      <c r="C167" s="22" t="s">
        <v>239</v>
      </c>
      <c r="D167" s="22" t="s">
        <v>255</v>
      </c>
      <c r="E167" s="13">
        <v>42680.44222222222</v>
      </c>
      <c r="F167" s="13">
        <v>42680.443599537037</v>
      </c>
      <c r="G167" s="7">
        <v>1</v>
      </c>
      <c r="H167" s="22" t="s">
        <v>383</v>
      </c>
      <c r="I167" s="13">
        <v>42680.454884259256</v>
      </c>
      <c r="J167" s="7">
        <v>0</v>
      </c>
      <c r="K167" s="112" t="str">
        <f t="shared" si="38"/>
        <v>4031/4032</v>
      </c>
      <c r="L167" s="22" t="str">
        <f>VLOOKUP(A167,'Trips&amp;Operators'!$C$1:$E$10000,3,FALSE)</f>
        <v>STARKS</v>
      </c>
      <c r="M167" s="6">
        <f t="shared" si="39"/>
        <v>1.1284722218988463E-2</v>
      </c>
      <c r="N167" s="7">
        <f t="shared" si="40"/>
        <v>16.249999995343387</v>
      </c>
      <c r="O167" s="7"/>
      <c r="P167" s="7"/>
      <c r="Q167" s="23"/>
      <c r="R167" s="23"/>
      <c r="S167" s="35">
        <f t="shared" si="41"/>
        <v>1</v>
      </c>
      <c r="T167" s="50" t="str">
        <f t="shared" si="4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09:36:48-0600',mode:absolute,to:'2016-11-06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2" t="str">
        <f t="shared" si="44"/>
        <v>N</v>
      </c>
      <c r="X167" s="177">
        <f t="shared" si="45"/>
        <v>1</v>
      </c>
      <c r="Y167" s="67">
        <f t="shared" si="46"/>
        <v>5.8613</v>
      </c>
      <c r="Z167" s="67">
        <f t="shared" si="47"/>
        <v>7.4800000000000005E-2</v>
      </c>
      <c r="AA167" s="67">
        <f t="shared" si="48"/>
        <v>5.7865000000000002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9"/>
        <v>1810-06</v>
      </c>
      <c r="AE16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7" s="88" t="str">
        <f t="shared" si="51"/>
        <v>"C:\Program Files (x86)\AstroGrep\AstroGrep.exe" /spath="%USERPROFILE%\AppData\Local\Temp\OnboardLogs" /stypes="app*4032*20161106*" /stext=" 17:.+((SYSTEM_STATE.+slice.+state.+changed )|(ment ac)|(system.+state.+changed )|(\[timeout)|(PRM\|1\|D)|(kpr)|(kdp)|(\|lc)|(penalty))" /e /r /s</v>
      </c>
      <c r="AG167" s="1" t="str">
        <f t="shared" si="52"/>
        <v>NW</v>
      </c>
      <c r="AH167" s="92" t="str">
        <f t="shared" si="53"/>
        <v>"%USERPROFILE%\Documents\GitHub\eaglep3\Utilities\RefineRTDCRunTimes.py" --tripid 1810-06 --locoid 4032 --swversion DE.1.0.8.0 --startMP 300:58613 --initTime 2016-11-06T10:36:48 --startdatetime 2016-11-06T10:38:47 --delay 1 --endMP 204:748 --enddatetime 2016-11-06T10:55:02 --enforcementcount 0 &gt;&gt;C:\Users\stu\Documents\GitHub\eaglep3-reporting\EC\2016-11-06-refined-times.txt</v>
      </c>
      <c r="AI16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{"issue":{"subject":"","project_id":79,"tracker_id":40,"status_id":1,"priority_id":2,"assigned_to_id":23,"start_date":"2016-11-06","description":"","custom_fields":[{"id":1,"name":"Subdivision","value":"NW"},{"id":4,"name":"Milepost","value":"0.0748"},{"id":17,"name":"Train ID","value":"1810-06"},{"id":16,"name":"Locomotive ID","value":"4032"},{"id":130,"name":"Impact","value":""},{"id":150,"name":"Time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4031</v>
      </c>
      <c r="C168" s="22" t="s">
        <v>239</v>
      </c>
      <c r="D168" s="22" t="s">
        <v>675</v>
      </c>
      <c r="E168" s="13">
        <v>42680.469618055555</v>
      </c>
      <c r="F168" s="13">
        <v>42680.473090277781</v>
      </c>
      <c r="G168" s="7">
        <v>1</v>
      </c>
      <c r="H168" s="22" t="s">
        <v>384</v>
      </c>
      <c r="I168" s="13">
        <v>42680.482465277775</v>
      </c>
      <c r="J168" s="7">
        <v>0</v>
      </c>
      <c r="K168" s="112" t="str">
        <f t="shared" si="38"/>
        <v>4031/4032</v>
      </c>
      <c r="L168" s="22" t="str">
        <f>VLOOKUP(A168,'Trips&amp;Operators'!$C$1:$E$10000,3,FALSE)</f>
        <v>STARKS</v>
      </c>
      <c r="M168" s="6">
        <f t="shared" si="39"/>
        <v>9.3749999941792339E-3</v>
      </c>
      <c r="N168" s="7">
        <f t="shared" si="40"/>
        <v>13.499999991618097</v>
      </c>
      <c r="O168" s="7"/>
      <c r="P168" s="7"/>
      <c r="Q168" s="23"/>
      <c r="R168" s="23"/>
      <c r="S168" s="35">
        <f t="shared" si="41"/>
        <v>1</v>
      </c>
      <c r="T168" s="50" t="str">
        <f t="shared" si="4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10:16:15-0600',mode:absolute,to:'2016-11-06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2" t="str">
        <f t="shared" si="44"/>
        <v>N</v>
      </c>
      <c r="X168" s="177">
        <f t="shared" si="45"/>
        <v>1</v>
      </c>
      <c r="Y168" s="67">
        <f t="shared" si="46"/>
        <v>0.10249999999999999</v>
      </c>
      <c r="Z168" s="67">
        <f t="shared" si="47"/>
        <v>5.8935000000000004</v>
      </c>
      <c r="AA168" s="67">
        <f t="shared" si="48"/>
        <v>5.7910000000000004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9"/>
        <v>1811-06</v>
      </c>
      <c r="AE16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8" s="88" t="str">
        <f t="shared" si="51"/>
        <v>"C:\Program Files (x86)\AstroGrep\AstroGrep.exe" /spath="%USERPROFILE%\AppData\Local\Temp\OnboardLogs" /stypes="app*4031*20161106*" /stext=" 18:.+((SYSTEM_STATE.+slice.+state.+changed )|(ment ac)|(system.+state.+changed )|(\[timeout)|(PRM\|1\|D)|(kpr)|(kdp)|(\|lc)|(penalty))" /e /r /s</v>
      </c>
      <c r="AG168" s="1" t="str">
        <f t="shared" si="52"/>
        <v>NW</v>
      </c>
      <c r="AH168" s="92" t="str">
        <f t="shared" si="53"/>
        <v>"%USERPROFILE%\Documents\GitHub\eaglep3\Utilities\RefineRTDCRunTimes.py" --tripid 1811-06 --locoid 4031 --swversion DE.1.0.8.0 --startMP 204:1025 --initTime 2016-11-06T11:16:15 --startdatetime 2016-11-06T11:21:15 --delay 1 --endMP 300:58935 --enddatetime 2016-11-06T11:34:45 --enforcementcount 0 &gt;&gt;C:\Users\stu\Documents\GitHub\eaglep3-reporting\EC\2016-11-06-refined-times.txt</v>
      </c>
      <c r="AI16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ID","value":"1811-06"},{"id":16,"name":"Locomotive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506</v>
      </c>
      <c r="B169" s="7">
        <v>4032</v>
      </c>
      <c r="C169" s="22" t="s">
        <v>239</v>
      </c>
      <c r="D169" s="22" t="s">
        <v>676</v>
      </c>
      <c r="E169" s="13">
        <v>42680.483634259261</v>
      </c>
      <c r="F169" s="13">
        <v>42680.485000000001</v>
      </c>
      <c r="G169" s="7">
        <v>1</v>
      </c>
      <c r="H169" s="22" t="s">
        <v>387</v>
      </c>
      <c r="I169" s="13">
        <v>42680.496539351851</v>
      </c>
      <c r="J169" s="7">
        <v>0</v>
      </c>
      <c r="K169" s="112" t="str">
        <f t="shared" si="38"/>
        <v>4031/4032</v>
      </c>
      <c r="L169" s="22" t="str">
        <f>VLOOKUP(A169,'Trips&amp;Operators'!$C$1:$E$10000,3,FALSE)</f>
        <v>STARKS</v>
      </c>
      <c r="M169" s="6">
        <f t="shared" si="39"/>
        <v>1.1539351849933155E-2</v>
      </c>
      <c r="N169" s="7">
        <f t="shared" si="40"/>
        <v>16.616666663903743</v>
      </c>
      <c r="O169" s="7"/>
      <c r="P169" s="7"/>
      <c r="Q169" s="23"/>
      <c r="R169" s="23"/>
      <c r="S169" s="35">
        <f t="shared" si="41"/>
        <v>1</v>
      </c>
      <c r="T169" s="50" t="str">
        <f t="shared" si="4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10:36:26-0600',mode:absolute,to:'2016-11-06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44"/>
        <v>N</v>
      </c>
      <c r="X169" s="177">
        <f t="shared" si="45"/>
        <v>1</v>
      </c>
      <c r="Y169" s="67">
        <f t="shared" si="46"/>
        <v>5.8605999999999998</v>
      </c>
      <c r="Z169" s="67">
        <f t="shared" si="47"/>
        <v>7.1900000000000006E-2</v>
      </c>
      <c r="AA169" s="67">
        <f t="shared" si="48"/>
        <v>5.7886999999999995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9"/>
        <v>1812-06</v>
      </c>
      <c r="AE16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9" s="88" t="str">
        <f t="shared" si="51"/>
        <v>"C:\Program Files (x86)\AstroGrep\AstroGrep.exe" /spath="%USERPROFILE%\AppData\Local\Temp\OnboardLogs" /stypes="app*4032*20161106*" /stext=" 18:.+((SYSTEM_STATE.+slice.+state.+changed )|(ment ac)|(system.+state.+changed )|(\[timeout)|(PRM\|1\|D)|(kpr)|(kdp)|(\|lc)|(penalty))" /e /r /s</v>
      </c>
      <c r="AG169" s="1" t="str">
        <f t="shared" si="52"/>
        <v>NW</v>
      </c>
      <c r="AH169" s="92" t="str">
        <f t="shared" si="53"/>
        <v>"%USERPROFILE%\Documents\GitHub\eaglep3\Utilities\RefineRTDCRunTimes.py" --tripid 1812-06 --locoid 4032 --swversion DE.1.0.8.0 --startMP 300:58606 --initTime 2016-11-06T11:36:26 --startdatetime 2016-11-06T11:38:24 --delay 1 --endMP 204:719 --enddatetime 2016-11-06T11:55:01 --enforcementcount 0 &gt;&gt;C:\Users\stu\Documents\GitHub\eaglep3-reporting\EC\2016-11-06-refined-times.txt</v>
      </c>
      <c r="AI16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{"issue":{"subject":"","project_id":79,"tracker_id":40,"status_id":1,"priority_id":2,"assigned_to_id":23,"start_date":"2016-11-06","description":"","custom_fields":[{"id":1,"name":"Subdivision","value":"NW"},{"id":4,"name":"Milepost","value":"0.0719"},{"id":17,"name":"Train ID","value":"1812-06"},{"id":16,"name":"Locomotive ID","value":"4032"},{"id":130,"name":"Impact","value":""},{"id":150,"name":"Time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514</v>
      </c>
      <c r="B170" s="7">
        <v>4031</v>
      </c>
      <c r="C170" s="22" t="s">
        <v>239</v>
      </c>
      <c r="D170" s="22" t="s">
        <v>677</v>
      </c>
      <c r="E170" s="13">
        <v>42680.511203703703</v>
      </c>
      <c r="F170" s="13">
        <v>42680.514791666668</v>
      </c>
      <c r="G170" s="7">
        <v>1</v>
      </c>
      <c r="H170" s="22" t="s">
        <v>678</v>
      </c>
      <c r="I170" s="13">
        <v>42680.523900462962</v>
      </c>
      <c r="J170" s="7">
        <v>0</v>
      </c>
      <c r="K170" s="112" t="str">
        <f t="shared" si="38"/>
        <v>4031/4032</v>
      </c>
      <c r="L170" s="22" t="str">
        <f>VLOOKUP(A170,'Trips&amp;Operators'!$C$1:$E$10000,3,FALSE)</f>
        <v>STARKS</v>
      </c>
      <c r="M170" s="6">
        <f t="shared" si="39"/>
        <v>9.1087962937308475E-3</v>
      </c>
      <c r="N170" s="7">
        <f t="shared" si="40"/>
        <v>13.11666666297242</v>
      </c>
      <c r="O170" s="7"/>
      <c r="P170" s="7"/>
      <c r="Q170" s="23"/>
      <c r="R170" s="23"/>
      <c r="S170" s="35">
        <f t="shared" si="41"/>
        <v>1</v>
      </c>
      <c r="T170" s="50" t="str">
        <f t="shared" si="4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11:16:08-0600',mode:absolute,to:'2016-11-06 13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44"/>
        <v>N</v>
      </c>
      <c r="X170" s="177">
        <f t="shared" si="45"/>
        <v>1</v>
      </c>
      <c r="Y170" s="67">
        <f t="shared" si="46"/>
        <v>0.1018</v>
      </c>
      <c r="Z170" s="67">
        <f t="shared" si="47"/>
        <v>5.8933</v>
      </c>
      <c r="AA170" s="67">
        <f t="shared" si="48"/>
        <v>5.7915000000000001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9"/>
        <v>1813-06</v>
      </c>
      <c r="AE17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0" s="88" t="str">
        <f t="shared" si="51"/>
        <v>"C:\Program Files (x86)\AstroGrep\AstroGrep.exe" /spath="%USERPROFILE%\AppData\Local\Temp\OnboardLogs" /stypes="app*4031*20161106*" /stext=" 19:.+((SYSTEM_STATE.+slice.+state.+changed )|(ment ac)|(system.+state.+changed )|(\[timeout)|(PRM\|1\|D)|(kpr)|(kdp)|(\|lc)|(penalty))" /e /r /s</v>
      </c>
      <c r="AG170" s="1" t="str">
        <f t="shared" si="52"/>
        <v>NW</v>
      </c>
      <c r="AH170" s="92" t="str">
        <f t="shared" si="53"/>
        <v>"%USERPROFILE%\Documents\GitHub\eaglep3\Utilities\RefineRTDCRunTimes.py" --tripid 1813-06 --locoid 4031 --swversion DE.1.0.8.0 --startMP 204:1018 --initTime 2016-11-06T12:16:08 --startdatetime 2016-11-06T12:21:18 --delay 1 --endMP 300:58933 --enddatetime 2016-11-06T12:34:25 --enforcementcount 0 &gt;&gt;C:\Users\stu\Documents\GitHub\eaglep3-reporting\EC\2016-11-06-refined-times.txt</v>
      </c>
      <c r="AI17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{"issue":{"subject":"","project_id":79,"tracker_id":40,"status_id":1,"priority_id":2,"assigned_to_id":23,"start_date":"2016-11-06","description":"","custom_fields":[{"id":1,"name":"Subdivision","value":"NW"},{"id":4,"name":"Milepost","value":"5.8933"},{"id":17,"name":"Train ID","value":"1813-06"},{"id":16,"name":"Locomotive ID","value":"4031"},{"id":130,"name":"Impact","value":""},{"id":150,"name":"Time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516</v>
      </c>
      <c r="B171" s="7">
        <v>4032</v>
      </c>
      <c r="C171" s="22" t="s">
        <v>239</v>
      </c>
      <c r="D171" s="22" t="s">
        <v>385</v>
      </c>
      <c r="E171" s="13">
        <v>42680.525196759256</v>
      </c>
      <c r="F171" s="13">
        <v>42680.526747685188</v>
      </c>
      <c r="G171" s="7">
        <v>0</v>
      </c>
      <c r="H171" s="22" t="s">
        <v>679</v>
      </c>
      <c r="I171" s="13">
        <v>42680.53802083333</v>
      </c>
      <c r="J171" s="7">
        <v>0</v>
      </c>
      <c r="K171" s="112" t="str">
        <f t="shared" si="38"/>
        <v>4031/4032</v>
      </c>
      <c r="L171" s="22" t="str">
        <f>VLOOKUP(A171,'Trips&amp;Operators'!$C$1:$E$10000,3,FALSE)</f>
        <v>STARKS</v>
      </c>
      <c r="M171" s="6">
        <f t="shared" si="39"/>
        <v>1.1273148142208811E-2</v>
      </c>
      <c r="N171" s="7">
        <f t="shared" si="40"/>
        <v>16.233333324780688</v>
      </c>
      <c r="O171" s="7"/>
      <c r="P171" s="7"/>
      <c r="Q171" s="23"/>
      <c r="R171" s="23"/>
      <c r="S171" s="35">
        <f t="shared" si="41"/>
        <v>1</v>
      </c>
      <c r="T171" s="50" t="str">
        <f t="shared" si="4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11:36:17-0600',mode:absolute,to:'2016-11-06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44"/>
        <v>N</v>
      </c>
      <c r="X171" s="177">
        <f t="shared" si="45"/>
        <v>1</v>
      </c>
      <c r="Y171" s="67">
        <f t="shared" si="46"/>
        <v>5.8620999999999999</v>
      </c>
      <c r="Z171" s="67">
        <f t="shared" si="47"/>
        <v>7.1999999999999995E-2</v>
      </c>
      <c r="AA171" s="67">
        <f t="shared" si="48"/>
        <v>5.7900999999999998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9"/>
        <v>1814-06</v>
      </c>
      <c r="AE17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1" s="88" t="str">
        <f t="shared" si="51"/>
        <v>"C:\Program Files (x86)\AstroGrep\AstroGrep.exe" /spath="%USERPROFILE%\AppData\Local\Temp\OnboardLogs" /stypes="app*4032*20161106*" /stext=" 19:.+((SYSTEM_STATE.+slice.+state.+changed )|(ment ac)|(system.+state.+changed )|(\[timeout)|(PRM\|1\|D)|(kpr)|(kdp)|(\|lc)|(penalty))" /e /r /s</v>
      </c>
      <c r="AG171" s="1" t="str">
        <f t="shared" si="52"/>
        <v>NW</v>
      </c>
      <c r="AH171" s="92" t="str">
        <f t="shared" si="53"/>
        <v>"%USERPROFILE%\Documents\GitHub\eaglep3\Utilities\RefineRTDCRunTimes.py" --tripid 1814-06 --locoid 4032 --swversion DE.1.0.8.0 --startMP 300:58621 --initTime 2016-11-06T12:36:17 --startdatetime 2016-11-06T12:38:31 --delay 0 --endMP 204:720 --enddatetime 2016-11-06T12:54:45 --enforcementcount 0 &gt;&gt;C:\Users\stu\Documents\GitHub\eaglep3-reporting\EC\2016-11-06-refined-times.txt</v>
      </c>
      <c r="AI17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{"issue":{"subject":"","project_id":79,"tracker_id":40,"status_id":1,"priority_id":2,"assigned_to_id":23,"start_date":"2016-11-06","description":"","custom_fields":[{"id":1,"name":"Subdivision","value":"NW"},{"id":4,"name":"Milepost","value":"0.072"},{"id":17,"name":"Train ID","value":"1814-06"},{"id":16,"name":"Locomotive ID","value":"4032"},{"id":130,"name":"Impact","value":""},{"id":150,"name":"Time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409</v>
      </c>
      <c r="B172" s="7">
        <v>4031</v>
      </c>
      <c r="C172" s="22" t="s">
        <v>239</v>
      </c>
      <c r="D172" s="22" t="s">
        <v>680</v>
      </c>
      <c r="E172" s="13">
        <v>42680.55164351852</v>
      </c>
      <c r="F172" s="13">
        <v>42680.55641203704</v>
      </c>
      <c r="G172" s="7">
        <v>2</v>
      </c>
      <c r="H172" s="22" t="s">
        <v>681</v>
      </c>
      <c r="I172" s="13">
        <v>42680.566782407404</v>
      </c>
      <c r="J172" s="7">
        <v>0</v>
      </c>
      <c r="K172" s="112" t="str">
        <f t="shared" si="38"/>
        <v>4031/4032</v>
      </c>
      <c r="L172" s="22" t="str">
        <f>VLOOKUP(A172,'Trips&amp;Operators'!$C$1:$E$10000,3,FALSE)</f>
        <v>STARKS</v>
      </c>
      <c r="M172" s="6">
        <f t="shared" si="39"/>
        <v>1.0370370364398696E-2</v>
      </c>
      <c r="N172" s="7">
        <f t="shared" si="40"/>
        <v>14.933333324734122</v>
      </c>
      <c r="O172" s="7"/>
      <c r="P172" s="7"/>
      <c r="Q172" s="23"/>
      <c r="R172" s="23"/>
      <c r="S172" s="35">
        <f t="shared" si="41"/>
        <v>1</v>
      </c>
      <c r="T172" s="50" t="str">
        <f t="shared" si="4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12:14:22-0600',mode:absolute,to:'2016-11-06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44"/>
        <v>N</v>
      </c>
      <c r="X172" s="177">
        <f t="shared" ref="X172:X192" si="55">VALUE(LEFT(AD172,4))-VALUE(LEFT(AD171,4))</f>
        <v>1</v>
      </c>
      <c r="Y172" s="67">
        <f t="shared" si="46"/>
        <v>0.1011</v>
      </c>
      <c r="Z172" s="67">
        <f t="shared" si="47"/>
        <v>5.8924000000000003</v>
      </c>
      <c r="AA172" s="67">
        <f t="shared" si="48"/>
        <v>5.7913000000000006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9"/>
        <v>1815-06</v>
      </c>
      <c r="AE17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2" s="88" t="str">
        <f t="shared" si="51"/>
        <v>"C:\Program Files (x86)\AstroGrep\AstroGrep.exe" /spath="%USERPROFILE%\AppData\Local\Temp\OnboardLogs" /stypes="app*4031*20161106*" /stext=" 20:.+((SYSTEM_STATE.+slice.+state.+changed )|(ment ac)|(system.+state.+changed )|(\[timeout)|(PRM\|1\|D)|(kpr)|(kdp)|(\|lc)|(penalty))" /e /r /s</v>
      </c>
      <c r="AG172" s="1" t="str">
        <f t="shared" si="52"/>
        <v>NW</v>
      </c>
      <c r="AH172" s="92" t="str">
        <f t="shared" si="53"/>
        <v>"%USERPROFILE%\Documents\GitHub\eaglep3\Utilities\RefineRTDCRunTimes.py" --tripid 1815-06 --locoid 4031 --swversion DE.1.0.8.0 --startMP 204:1011 --initTime 2016-11-06T13:14:22 --startdatetime 2016-11-06T13:21:14 --delay 2 --endMP 300:58924 --enddatetime 2016-11-06T13:36:10 --enforcementcount 0 &gt;&gt;C:\Users\stu\Documents\GitHub\eaglep3-reporting\EC\2016-11-06-refined-times.txt</v>
      </c>
      <c r="AI17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ID","value":"1815-06"},{"id":16,"name":"Locomotive ID","value":"4031"},{"id":130,"name":"Impact","value":""},{"id":150,"name":"Time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525</v>
      </c>
      <c r="B173" s="7">
        <v>4032</v>
      </c>
      <c r="C173" s="22" t="s">
        <v>239</v>
      </c>
      <c r="D173" s="22" t="s">
        <v>682</v>
      </c>
      <c r="E173" s="13">
        <v>42680.56821759259</v>
      </c>
      <c r="F173" s="13">
        <v>42680.56931712963</v>
      </c>
      <c r="G173" s="7">
        <v>1</v>
      </c>
      <c r="H173" s="22" t="s">
        <v>669</v>
      </c>
      <c r="I173" s="13">
        <v>42680.579791666663</v>
      </c>
      <c r="J173" s="7">
        <v>0</v>
      </c>
      <c r="K173" s="112" t="str">
        <f t="shared" si="38"/>
        <v>4031/4032</v>
      </c>
      <c r="L173" s="22" t="str">
        <f>VLOOKUP(A173,'Trips&amp;Operators'!$C$1:$E$10000,3,FALSE)</f>
        <v>STARKS</v>
      </c>
      <c r="M173" s="6">
        <f t="shared" si="39"/>
        <v>1.0474537033587694E-2</v>
      </c>
      <c r="N173" s="7">
        <f t="shared" si="40"/>
        <v>15.08333332836628</v>
      </c>
      <c r="O173" s="7"/>
      <c r="P173" s="7"/>
      <c r="Q173" s="23"/>
      <c r="R173" s="23"/>
      <c r="S173" s="35">
        <f t="shared" si="41"/>
        <v>1</v>
      </c>
      <c r="T173" s="50" t="str">
        <f t="shared" si="4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12:38:14-0600',mode:absolute,to:'2016-11-06 14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44"/>
        <v>N</v>
      </c>
      <c r="X173" s="177">
        <f t="shared" si="55"/>
        <v>1</v>
      </c>
      <c r="Y173" s="67">
        <f t="shared" si="46"/>
        <v>5.8604000000000003</v>
      </c>
      <c r="Z173" s="67">
        <f t="shared" si="47"/>
        <v>7.3800000000000004E-2</v>
      </c>
      <c r="AA173" s="67">
        <f t="shared" si="48"/>
        <v>5.7866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9"/>
        <v>1816-06</v>
      </c>
      <c r="AE17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3" s="88" t="str">
        <f t="shared" si="51"/>
        <v>"C:\Program Files (x86)\AstroGrep\AstroGrep.exe" /spath="%USERPROFILE%\AppData\Local\Temp\OnboardLogs" /stypes="app*4032*20161106*" /stext=" 20:.+((SYSTEM_STATE.+slice.+state.+changed )|(ment ac)|(system.+state.+changed )|(\[timeout)|(PRM\|1\|D)|(kpr)|(kdp)|(\|lc)|(penalty))" /e /r /s</v>
      </c>
      <c r="AG173" s="1" t="str">
        <f t="shared" si="52"/>
        <v>NW</v>
      </c>
      <c r="AH173" s="92" t="str">
        <f t="shared" si="53"/>
        <v>"%USERPROFILE%\Documents\GitHub\eaglep3\Utilities\RefineRTDCRunTimes.py" --tripid 1816-06 --locoid 4032 --swversion DE.1.0.8.0 --startMP 300:58604 --initTime 2016-11-06T13:38:14 --startdatetime 2016-11-06T13:39:49 --delay 1 --endMP 204:738 --enddatetime 2016-11-06T13:54:54 --enforcementcount 0 &gt;&gt;C:\Users\stu\Documents\GitHub\eaglep3-reporting\EC\2016-11-06-refined-times.txt</v>
      </c>
      <c r="AI17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ID","value":"1816-06"},{"id":16,"name":"Locomotive ID","value":"4032"},{"id":130,"name":"Impact","value":""},{"id":150,"name":"Time of Event (Mountain Time)","value":"13:54:54"},{"id":151,"name":"Denver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530</v>
      </c>
      <c r="B174" s="7">
        <v>4031</v>
      </c>
      <c r="C174" s="22" t="s">
        <v>239</v>
      </c>
      <c r="D174" s="22" t="s">
        <v>683</v>
      </c>
      <c r="E174" s="13">
        <v>42680.586701388886</v>
      </c>
      <c r="F174" s="13">
        <v>42680.598310185182</v>
      </c>
      <c r="G174" s="7">
        <v>1</v>
      </c>
      <c r="H174" s="22" t="s">
        <v>318</v>
      </c>
      <c r="I174" s="13">
        <v>42680.608344907407</v>
      </c>
      <c r="J174" s="7">
        <v>0</v>
      </c>
      <c r="K174" s="112" t="str">
        <f t="shared" si="38"/>
        <v>4031/4032</v>
      </c>
      <c r="L174" s="22" t="str">
        <f>VLOOKUP(A174,'Trips&amp;Operators'!$C$1:$E$10000,3,FALSE)</f>
        <v>HAITHCOX</v>
      </c>
      <c r="M174" s="6">
        <f t="shared" si="39"/>
        <v>1.0034722225100268E-2</v>
      </c>
      <c r="N174" s="7">
        <f t="shared" si="40"/>
        <v>14.450000004144385</v>
      </c>
      <c r="O174" s="7"/>
      <c r="P174" s="7"/>
      <c r="Q174" s="23"/>
      <c r="R174" s="23"/>
      <c r="S174" s="35">
        <f t="shared" si="41"/>
        <v>1</v>
      </c>
      <c r="T174" s="50" t="str">
        <f t="shared" si="4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13:04:51-0600',mode:absolute,to:'2016-11-06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44"/>
        <v>N</v>
      </c>
      <c r="X174" s="177">
        <f t="shared" si="55"/>
        <v>1</v>
      </c>
      <c r="Y174" s="67">
        <f t="shared" si="46"/>
        <v>0.10199999999999999</v>
      </c>
      <c r="Z174" s="67">
        <f t="shared" si="47"/>
        <v>5.8930999999999996</v>
      </c>
      <c r="AA174" s="67">
        <f t="shared" si="48"/>
        <v>5.7910999999999992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9"/>
        <v>1817-06</v>
      </c>
      <c r="AE17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4" s="88" t="str">
        <f t="shared" si="51"/>
        <v>"C:\Program Files (x86)\AstroGrep\AstroGrep.exe" /spath="%USERPROFILE%\AppData\Local\Temp\OnboardLogs" /stypes="app*4031*20161106*" /stext=" 21:.+((SYSTEM_STATE.+slice.+state.+changed )|(ment ac)|(system.+state.+changed )|(\[timeout)|(PRM\|1\|D)|(kpr)|(kdp)|(\|lc)|(penalty))" /e /r /s</v>
      </c>
      <c r="AG174" s="1" t="str">
        <f t="shared" si="52"/>
        <v>NW</v>
      </c>
      <c r="AH174" s="92" t="str">
        <f t="shared" si="53"/>
        <v>"%USERPROFILE%\Documents\GitHub\eaglep3\Utilities\RefineRTDCRunTimes.py" --tripid 1817-06 --locoid 4031 --swversion DE.1.0.8.0 --startMP 204:1020 --initTime 2016-11-06T14:04:51 --startdatetime 2016-11-06T14:21:34 --delay 1 --endMP 300:58931 --enddatetime 2016-11-06T14:36:01 --enforcementcount 0 &gt;&gt;C:\Users\stu\Documents\GitHub\eaglep3-reporting\EC\2016-11-06-refined-times.txt</v>
      </c>
      <c r="AI17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{"issue":{"subject":"","project_id":79,"tracker_id":40,"status_id":1,"priority_id":2,"assigned_to_id":23,"start_date":"2016-11-06","description":"","custom_fields":[{"id":1,"name":"Subdivision","value":"NW"},{"id":4,"name":"Milepost","value":"5.8931"},{"id":17,"name":"Train ID","value":"1817-06"},{"id":16,"name":"Locomotive ID","value":"4031"},{"id":130,"name":"Impact","value":""},{"id":150,"name":"Time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536</v>
      </c>
      <c r="B175" s="7">
        <v>4032</v>
      </c>
      <c r="C175" s="22" t="s">
        <v>239</v>
      </c>
      <c r="D175" s="22" t="s">
        <v>382</v>
      </c>
      <c r="E175" s="13">
        <v>42680.609629629631</v>
      </c>
      <c r="F175" s="13">
        <v>42680.611585648148</v>
      </c>
      <c r="G175" s="7">
        <v>1</v>
      </c>
      <c r="H175" s="22" t="s">
        <v>684</v>
      </c>
      <c r="I175" s="13">
        <v>42680.621550925927</v>
      </c>
      <c r="J175" s="7">
        <v>0</v>
      </c>
      <c r="K175" s="112" t="str">
        <f t="shared" si="38"/>
        <v>4031/4032</v>
      </c>
      <c r="L175" s="22" t="str">
        <f>VLOOKUP(A175,'Trips&amp;Operators'!$C$1:$E$10000,3,FALSE)</f>
        <v>HAITHCOX</v>
      </c>
      <c r="M175" s="6">
        <f t="shared" si="39"/>
        <v>9.9652777789742686E-3</v>
      </c>
      <c r="N175" s="7">
        <f t="shared" si="40"/>
        <v>14.350000001722947</v>
      </c>
      <c r="O175" s="7"/>
      <c r="P175" s="7"/>
      <c r="Q175" s="23"/>
      <c r="R175" s="23"/>
      <c r="S175" s="35">
        <f t="shared" si="41"/>
        <v>1</v>
      </c>
      <c r="T175" s="50" t="str">
        <f t="shared" si="4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13:37:52-0600',mode:absolute,to:'2016-11-06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44"/>
        <v>N</v>
      </c>
      <c r="X175" s="177">
        <f t="shared" si="55"/>
        <v>1</v>
      </c>
      <c r="Y175" s="67">
        <f t="shared" si="46"/>
        <v>5.8616999999999999</v>
      </c>
      <c r="Z175" s="67">
        <f t="shared" si="47"/>
        <v>6.8699999999999997E-2</v>
      </c>
      <c r="AA175" s="67">
        <f t="shared" si="48"/>
        <v>5.7930000000000001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9"/>
        <v>1818-06</v>
      </c>
      <c r="AE17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5" s="88" t="str">
        <f t="shared" si="51"/>
        <v>"C:\Program Files (x86)\AstroGrep\AstroGrep.exe" /spath="%USERPROFILE%\AppData\Local\Temp\OnboardLogs" /stypes="app*4032*20161106*" /stext=" 21:.+((SYSTEM_STATE.+slice.+state.+changed )|(ment ac)|(system.+state.+changed )|(\[timeout)|(PRM\|1\|D)|(kpr)|(kdp)|(\|lc)|(penalty))" /e /r /s</v>
      </c>
      <c r="AG175" s="1" t="str">
        <f t="shared" si="52"/>
        <v>NW</v>
      </c>
      <c r="AH175" s="92" t="str">
        <f t="shared" si="53"/>
        <v>"%USERPROFILE%\Documents\GitHub\eaglep3\Utilities\RefineRTDCRunTimes.py" --tripid 1818-06 --locoid 4032 --swversion DE.1.0.8.0 --startMP 300:58617 --initTime 2016-11-06T14:37:52 --startdatetime 2016-11-06T14:40:41 --delay 1 --endMP 204:687 --enddatetime 2016-11-06T14:55:02 --enforcementcount 0 &gt;&gt;C:\Users\stu\Documents\GitHub\eaglep3-reporting\EC\2016-11-06-refined-times.txt</v>
      </c>
      <c r="AI17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{"issue":{"subject":"","project_id":79,"tracker_id":40,"status_id":1,"priority_id":2,"assigned_to_id":23,"start_date":"2016-11-06","description":"","custom_fields":[{"id":1,"name":"Subdivision","value":"NW"},{"id":4,"name":"Milepost","value":"0.0687"},{"id":17,"name":"Train ID","value":"1818-06"},{"id":16,"name":"Locomotive ID","value":"4032"},{"id":130,"name":"Impact","value":""},{"id":150,"name":"Time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540</v>
      </c>
      <c r="B176" s="7">
        <v>4031</v>
      </c>
      <c r="C176" s="22" t="s">
        <v>239</v>
      </c>
      <c r="D176" s="22" t="s">
        <v>685</v>
      </c>
      <c r="E176" s="13">
        <v>42680.625486111108</v>
      </c>
      <c r="F176" s="13">
        <v>42680.639884259261</v>
      </c>
      <c r="G176" s="7">
        <v>1</v>
      </c>
      <c r="H176" s="22" t="s">
        <v>686</v>
      </c>
      <c r="I176" s="13">
        <v>42680.649780092594</v>
      </c>
      <c r="J176" s="7">
        <v>0</v>
      </c>
      <c r="K176" s="112" t="str">
        <f t="shared" si="38"/>
        <v>4031/4032</v>
      </c>
      <c r="L176" s="22" t="str">
        <f>VLOOKUP(A176,'Trips&amp;Operators'!$C$1:$E$10000,3,FALSE)</f>
        <v>HAITHCOX</v>
      </c>
      <c r="M176" s="6">
        <f t="shared" si="39"/>
        <v>9.8958333328482695E-3</v>
      </c>
      <c r="N176" s="7">
        <f t="shared" si="40"/>
        <v>14.249999999301508</v>
      </c>
      <c r="O176" s="7"/>
      <c r="P176" s="7"/>
      <c r="Q176" s="23"/>
      <c r="R176" s="23"/>
      <c r="S176" s="35">
        <f t="shared" si="41"/>
        <v>1</v>
      </c>
      <c r="T176" s="50" t="str">
        <f t="shared" si="4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14:00:42-0600',mode:absolute,to:'2016-11-06 16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44"/>
        <v>N</v>
      </c>
      <c r="X176" s="177">
        <f t="shared" si="55"/>
        <v>1</v>
      </c>
      <c r="Y176" s="67">
        <f t="shared" si="46"/>
        <v>9.69E-2</v>
      </c>
      <c r="Z176" s="67">
        <f t="shared" si="47"/>
        <v>5.8926999999999996</v>
      </c>
      <c r="AA176" s="67">
        <f t="shared" si="48"/>
        <v>5.7957999999999998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9"/>
        <v>1819-06</v>
      </c>
      <c r="AE17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6" s="88" t="str">
        <f t="shared" si="51"/>
        <v>"C:\Program Files (x86)\AstroGrep\AstroGrep.exe" /spath="%USERPROFILE%\AppData\Local\Temp\OnboardLogs" /stypes="app*4031*20161106*" /stext=" 22:.+((SYSTEM_STATE.+slice.+state.+changed )|(ment ac)|(system.+state.+changed )|(\[timeout)|(PRM\|1\|D)|(kpr)|(kdp)|(\|lc)|(penalty))" /e /r /s</v>
      </c>
      <c r="AG176" s="1" t="str">
        <f t="shared" si="52"/>
        <v>NW</v>
      </c>
      <c r="AH176" s="92" t="str">
        <f t="shared" si="53"/>
        <v>"%USERPROFILE%\Documents\GitHub\eaglep3\Utilities\RefineRTDCRunTimes.py" --tripid 1819-06 --locoid 4031 --swversion DE.1.0.8.0 --startMP 204:969 --initTime 2016-11-06T15:00:42 --startdatetime 2016-11-06T15:21:26 --delay 1 --endMP 300:58927 --enddatetime 2016-11-06T15:35:41 --enforcementcount 0 &gt;&gt;C:\Users\stu\Documents\GitHub\eaglep3-reporting\EC\2016-11-06-refined-times.txt</v>
      </c>
      <c r="AI17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ID","value":"1819-06"},{"id":16,"name":"Locomotive ID","value":"4031"},{"id":130,"name":"Impact","value":""},{"id":150,"name":"Time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546</v>
      </c>
      <c r="B177" s="7">
        <v>4032</v>
      </c>
      <c r="C177" s="22" t="s">
        <v>239</v>
      </c>
      <c r="D177" s="22" t="s">
        <v>676</v>
      </c>
      <c r="E177" s="13">
        <v>42680.650763888887</v>
      </c>
      <c r="F177" s="13">
        <v>42680.652604166666</v>
      </c>
      <c r="G177" s="7">
        <v>1</v>
      </c>
      <c r="H177" s="22" t="s">
        <v>688</v>
      </c>
      <c r="I177" s="13">
        <v>42680.663761574076</v>
      </c>
      <c r="J177" s="7">
        <v>0</v>
      </c>
      <c r="K177" s="112" t="str">
        <f t="shared" si="38"/>
        <v>4031/4032</v>
      </c>
      <c r="L177" s="22" t="str">
        <f>VLOOKUP(A177,'Trips&amp;Operators'!$C$1:$E$10000,3,FALSE)</f>
        <v>HAITHCOX</v>
      </c>
      <c r="M177" s="6">
        <f t="shared" si="39"/>
        <v>1.1157407410792075E-2</v>
      </c>
      <c r="N177" s="7">
        <f t="shared" si="40"/>
        <v>16.066666671540588</v>
      </c>
      <c r="O177" s="7"/>
      <c r="P177" s="7"/>
      <c r="Q177" s="23"/>
      <c r="R177" s="23"/>
      <c r="S177" s="35">
        <f t="shared" si="41"/>
        <v>1</v>
      </c>
      <c r="T177" s="50" t="str">
        <f t="shared" si="4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14:37:06-0600',mode:absolute,to:'2016-11-06 16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44"/>
        <v>N</v>
      </c>
      <c r="X177" s="177">
        <f t="shared" si="55"/>
        <v>1</v>
      </c>
      <c r="Y177" s="67">
        <f t="shared" si="46"/>
        <v>5.8605999999999998</v>
      </c>
      <c r="Z177" s="67">
        <f t="shared" si="47"/>
        <v>6.8900000000000003E-2</v>
      </c>
      <c r="AA177" s="67">
        <f t="shared" si="48"/>
        <v>5.7916999999999996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9"/>
        <v>1820-06</v>
      </c>
      <c r="AE17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7" s="88" t="str">
        <f t="shared" si="51"/>
        <v>"C:\Program Files (x86)\AstroGrep\AstroGrep.exe" /spath="%USERPROFILE%\AppData\Local\Temp\OnboardLogs" /stypes="app*4032*20161106*" /stext=" 22:.+((SYSTEM_STATE.+slice.+state.+changed )|(ment ac)|(system.+state.+changed )|(\[timeout)|(PRM\|1\|D)|(kpr)|(kdp)|(\|lc)|(penalty))" /e /r /s</v>
      </c>
      <c r="AG177" s="1" t="str">
        <f t="shared" si="52"/>
        <v>NW</v>
      </c>
      <c r="AH177" s="92" t="str">
        <f t="shared" si="53"/>
        <v>"%USERPROFILE%\Documents\GitHub\eaglep3\Utilities\RefineRTDCRunTimes.py" --tripid 1820-06 --locoid 4032 --swversion DE.1.0.8.0 --startMP 300:58606 --initTime 2016-11-06T15:37:06 --startdatetime 2016-11-06T15:39:45 --delay 1 --endMP 204:689 --enddatetime 2016-11-06T15:55:49 --enforcementcount 0 &gt;&gt;C:\Users\stu\Documents\GitHub\eaglep3-reporting\EC\2016-11-06-refined-times.txt</v>
      </c>
      <c r="AI17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{"issue":{"subject":"","project_id":79,"tracker_id":40,"status_id":1,"priority_id":2,"assigned_to_id":23,"start_date":"2016-11-06","description":"","custom_fields":[{"id":1,"name":"Subdivision","value":"NW"},{"id":4,"name":"Milepost","value":"0.0689"},{"id":17,"name":"Train ID","value":"1820-06"},{"id":16,"name":"Locomotive ID","value":"4032"},{"id":130,"name":"Impact","value":""},{"id":150,"name":"Time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552</v>
      </c>
      <c r="B178" s="7">
        <v>4031</v>
      </c>
      <c r="C178" s="22" t="s">
        <v>239</v>
      </c>
      <c r="D178" s="22" t="s">
        <v>689</v>
      </c>
      <c r="E178" s="13">
        <v>42680.678414351853</v>
      </c>
      <c r="F178" s="13">
        <v>42680.681643518517</v>
      </c>
      <c r="G178" s="7">
        <v>0</v>
      </c>
      <c r="H178" s="22" t="s">
        <v>686</v>
      </c>
      <c r="I178" s="13">
        <v>42680.691574074073</v>
      </c>
      <c r="J178" s="7">
        <v>0</v>
      </c>
      <c r="K178" s="112" t="str">
        <f t="shared" si="38"/>
        <v>4031/4032</v>
      </c>
      <c r="L178" s="22" t="str">
        <f>VLOOKUP(A178,'Trips&amp;Operators'!$C$1:$E$10000,3,FALSE)</f>
        <v>HAITHCOX</v>
      </c>
      <c r="M178" s="6">
        <f t="shared" si="39"/>
        <v>9.930555555911269E-3</v>
      </c>
      <c r="N178" s="7">
        <f t="shared" si="40"/>
        <v>14.300000000512227</v>
      </c>
      <c r="O178" s="7"/>
      <c r="P178" s="7"/>
      <c r="Q178" s="23"/>
      <c r="R178" s="23"/>
      <c r="S178" s="35">
        <f t="shared" si="41"/>
        <v>1</v>
      </c>
      <c r="T178" s="50" t="str">
        <f t="shared" si="4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15:16:55-0600',mode:absolute,to:'2016-11-06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44"/>
        <v>N</v>
      </c>
      <c r="X178" s="177">
        <f t="shared" si="55"/>
        <v>1</v>
      </c>
      <c r="Y178" s="67">
        <f t="shared" si="46"/>
        <v>9.8500000000000004E-2</v>
      </c>
      <c r="Z178" s="67">
        <f t="shared" si="47"/>
        <v>5.8926999999999996</v>
      </c>
      <c r="AA178" s="67">
        <f t="shared" si="48"/>
        <v>5.7942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9"/>
        <v>1821-06</v>
      </c>
      <c r="AE17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8" s="88" t="str">
        <f t="shared" si="51"/>
        <v>"C:\Program Files (x86)\AstroGrep\AstroGrep.exe" /spath="%USERPROFILE%\AppData\Local\Temp\OnboardLogs" /stypes="app*4031*20161106*" /stext=" 23:.+((SYSTEM_STATE.+slice.+state.+changed )|(ment ac)|(system.+state.+changed )|(\[timeout)|(PRM\|1\|D)|(kpr)|(kdp)|(\|lc)|(penalty))" /e /r /s</v>
      </c>
      <c r="AG178" s="1" t="str">
        <f t="shared" si="52"/>
        <v>NW</v>
      </c>
      <c r="AH178" s="92" t="str">
        <f t="shared" si="53"/>
        <v>"%USERPROFILE%\Documents\GitHub\eaglep3\Utilities\RefineRTDCRunTimes.py" --tripid 1821-06 --locoid 4031 --swversion DE.1.0.8.0 --startMP 204:985 --initTime 2016-11-06T16:16:55 --startdatetime 2016-11-06T16:21:34 --delay 0 --endMP 300:58927 --enddatetime 2016-11-06T16:35:52 --enforcementcount 0 &gt;&gt;C:\Users\stu\Documents\GitHub\eaglep3-reporting\EC\2016-11-06-refined-times.txt</v>
      </c>
      <c r="AI17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ID","value":"1821-06"},{"id":16,"name":"Locomotive ID","value":"4031"},{"id":130,"name":"Impact","value":""},{"id":150,"name":"Time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410</v>
      </c>
      <c r="B179" s="7">
        <v>4032</v>
      </c>
      <c r="C179" s="22" t="s">
        <v>239</v>
      </c>
      <c r="D179" s="22" t="s">
        <v>690</v>
      </c>
      <c r="E179" s="13">
        <v>42680.693715277775</v>
      </c>
      <c r="F179" s="13">
        <v>42680.695081018515</v>
      </c>
      <c r="G179" s="7">
        <v>1</v>
      </c>
      <c r="H179" s="22" t="s">
        <v>691</v>
      </c>
      <c r="I179" s="13">
        <v>42680.696527777778</v>
      </c>
      <c r="J179" s="7">
        <v>0</v>
      </c>
      <c r="K179" s="112" t="str">
        <f t="shared" si="38"/>
        <v>4031/4032</v>
      </c>
      <c r="L179" s="22" t="str">
        <f>VLOOKUP(A179,'Trips&amp;Operators'!$C$1:$E$10000,3,FALSE)</f>
        <v>HAITHCOX</v>
      </c>
      <c r="M179" s="6">
        <f t="shared" si="39"/>
        <v>1.4467592627624981E-3</v>
      </c>
      <c r="N179" s="7"/>
      <c r="O179" s="7"/>
      <c r="P179" s="7">
        <f t="shared" si="40"/>
        <v>2.0833333383779973</v>
      </c>
      <c r="Q179" s="23"/>
      <c r="R179" s="23" t="s">
        <v>763</v>
      </c>
      <c r="S179" s="35">
        <f t="shared" si="41"/>
        <v>0</v>
      </c>
      <c r="T179" s="50" t="str">
        <f t="shared" si="4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15:38:57-0600',mode:absolute,to:'2016-11-06 17:43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44"/>
        <v>Y</v>
      </c>
      <c r="X179" s="177">
        <f t="shared" si="55"/>
        <v>1</v>
      </c>
      <c r="Y179" s="67">
        <f t="shared" si="46"/>
        <v>5.8608000000000002</v>
      </c>
      <c r="Z179" s="67">
        <f t="shared" si="47"/>
        <v>5.8280000000000003</v>
      </c>
      <c r="AA179" s="67">
        <f t="shared" si="48"/>
        <v>3.279999999999994E-2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9"/>
        <v>1822-06</v>
      </c>
      <c r="AE17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9" s="88" t="str">
        <f t="shared" si="51"/>
        <v>"C:\Program Files (x86)\AstroGrep\AstroGrep.exe" /spath="%USERPROFILE%\AppData\Local\Temp\OnboardLogs" /stypes="app*4032*20161106*" /stext=" 23:.+((SYSTEM_STATE.+slice.+state.+changed )|(ment ac)|(system.+state.+changed )|(\[timeout)|(PRM\|1\|D)|(kpr)|(kdp)|(\|lc)|(penalty))" /e /r /s</v>
      </c>
      <c r="AG179" s="1" t="str">
        <f t="shared" si="52"/>
        <v>NW</v>
      </c>
      <c r="AH179" s="92" t="str">
        <f t="shared" si="53"/>
        <v>"%USERPROFILE%\Documents\GitHub\eaglep3\Utilities\RefineRTDCRunTimes.py" --tripid 1822-06 --locoid 4032 --swversion DE.1.0.8.0 --startMP 300:58608 --initTime 2016-11-06T16:38:57 --startdatetime 2016-11-06T16:40:55 --delay 1 --endMP 300:58280 --enddatetime 2016-11-06T16:43:00 --enforcementcount 0 &gt;&gt;C:\Users\stu\Documents\GitHub\eaglep3-reporting\EC\2016-11-06-refined-times.txt</v>
      </c>
      <c r="AI179" s="122" t="str">
        <f t="shared" si="54"/>
        <v>echo {"issue":{"subject":"No clear controls sent to Westminster 2S","project_id":79,"tracker_id":40,"status_id":1,"priority_id":2,"assigned_to_id":23,"start_date":"2016-11-06","description":"Train was trying to depart, but no clear controls were sent to Westminster 2S in the 16:40 timeframe. Any operational reason for this?","custom_fields":[{"id":1,"name":"Subdivision","value":"NW"},{"id":4,"name":"Milepost","value":"5.828"},{"id":17,"name":"Train ID","value":"1822-06"},{"id":16,"name":"Locomotive ID","value":"4032"},{"id":130,"name":"Impact","value":"Unexpected Cut-Out or Disengaged"},{"id":150,"name":"Time of Event (Mountain Time)","value":"16:43:00"},{"id":151,"name":"Denver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79" s="53" t="s">
        <v>764</v>
      </c>
      <c r="AK179" s="53" t="s">
        <v>131</v>
      </c>
      <c r="AL179" s="53" t="s">
        <v>134</v>
      </c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558</v>
      </c>
      <c r="B180" s="7">
        <v>4031</v>
      </c>
      <c r="C180" s="22" t="s">
        <v>239</v>
      </c>
      <c r="D180" s="22" t="s">
        <v>692</v>
      </c>
      <c r="E180" s="13">
        <v>42680.709444444445</v>
      </c>
      <c r="F180" s="13">
        <v>42680.723182870373</v>
      </c>
      <c r="G180" s="7">
        <v>1</v>
      </c>
      <c r="H180" s="22" t="s">
        <v>386</v>
      </c>
      <c r="I180" s="13">
        <v>42680.733194444445</v>
      </c>
      <c r="J180" s="7">
        <v>0</v>
      </c>
      <c r="K180" s="112" t="str">
        <f t="shared" si="38"/>
        <v>4031/4032</v>
      </c>
      <c r="L180" s="22" t="str">
        <f>VLOOKUP(A180,'Trips&amp;Operators'!$C$1:$E$10000,3,FALSE)</f>
        <v>HAITHCOX</v>
      </c>
      <c r="M180" s="6">
        <f t="shared" si="39"/>
        <v>1.0011574071540963E-2</v>
      </c>
      <c r="N180" s="7">
        <f t="shared" si="40"/>
        <v>14.416666663018987</v>
      </c>
      <c r="O180" s="7"/>
      <c r="P180" s="7"/>
      <c r="Q180" s="23"/>
      <c r="R180" s="23"/>
      <c r="S180" s="35">
        <f t="shared" si="41"/>
        <v>1</v>
      </c>
      <c r="T180" s="50" t="str">
        <f t="shared" si="4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16:01:36-0600',mode:absolute,to:'2016-11-06 18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44"/>
        <v>N</v>
      </c>
      <c r="X180" s="177">
        <f t="shared" si="55"/>
        <v>1</v>
      </c>
      <c r="Y180" s="67">
        <f t="shared" si="46"/>
        <v>9.7100000000000006E-2</v>
      </c>
      <c r="Z180" s="67">
        <f t="shared" si="47"/>
        <v>5.8940999999999999</v>
      </c>
      <c r="AA180" s="67">
        <f t="shared" si="48"/>
        <v>5.7969999999999997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9"/>
        <v>1823-06</v>
      </c>
      <c r="AE18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0" s="88" t="str">
        <f t="shared" si="51"/>
        <v>"C:\Program Files (x86)\AstroGrep\AstroGrep.exe" /spath="%USERPROFILE%\AppData\Local\Temp\OnboardLogs" /stypes="app*4031*20161107*" /stext=" 00:.+((SYSTEM_STATE.+slice.+state.+changed )|(ment ac)|(system.+state.+changed )|(\[timeout)|(PRM\|1\|D)|(kpr)|(kdp)|(\|lc)|(penalty))" /e /r /s</v>
      </c>
      <c r="AG180" s="1" t="str">
        <f t="shared" si="52"/>
        <v>NW</v>
      </c>
      <c r="AH180" s="92" t="str">
        <f t="shared" si="53"/>
        <v>"%USERPROFILE%\Documents\GitHub\eaglep3\Utilities\RefineRTDCRunTimes.py" --tripid 1823-06 --locoid 4031 --swversion DE.1.0.8.0 --startMP 204:971 --initTime 2016-11-06T17:01:36 --startdatetime 2016-11-06T17:21:23 --delay 1 --endMP 300:58941 --enddatetime 2016-11-06T17:35:48 --enforcementcount 0 &gt;&gt;C:\Users\stu\Documents\GitHub\eaglep3-reporting\EC\2016-11-06-refined-times.txt</v>
      </c>
      <c r="AI18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{"issue":{"subject":"","project_id":79,"tracker_id":40,"status_id":1,"priority_id":2,"assigned_to_id":23,"start_date":"2016-11-06","description":"","custom_fields":[{"id":1,"name":"Subdivision","value":"NW"},{"id":4,"name":"Milepost","value":"5.8941"},{"id":17,"name":"Train ID","value":"1823-06"},{"id":16,"name":"Locomotive ID","value":"4031"},{"id":130,"name":"Impact","value":""},{"id":150,"name":"Time of Event (Mountain Time)","value":"17:35:48"},{"id":151,"name":"Denver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568</v>
      </c>
      <c r="B181" s="7">
        <v>4032</v>
      </c>
      <c r="C181" s="22" t="s">
        <v>239</v>
      </c>
      <c r="D181" s="22" t="s">
        <v>385</v>
      </c>
      <c r="E181" s="13">
        <v>42680.734270833331</v>
      </c>
      <c r="F181" s="13">
        <v>42680.735775462963</v>
      </c>
      <c r="G181" s="7">
        <v>1</v>
      </c>
      <c r="H181" s="22" t="s">
        <v>693</v>
      </c>
      <c r="I181" s="13">
        <v>42680.747013888889</v>
      </c>
      <c r="J181" s="7">
        <v>0</v>
      </c>
      <c r="K181" s="112" t="str">
        <f t="shared" si="38"/>
        <v>4031/4032</v>
      </c>
      <c r="L181" s="22" t="str">
        <f>VLOOKUP(A181,'Trips&amp;Operators'!$C$1:$E$10000,3,FALSE)</f>
        <v>HAITHCOX</v>
      </c>
      <c r="M181" s="6">
        <f t="shared" si="39"/>
        <v>1.1238425926421769E-2</v>
      </c>
      <c r="N181" s="7">
        <f t="shared" si="40"/>
        <v>16.183333334047347</v>
      </c>
      <c r="O181" s="7"/>
      <c r="P181" s="7"/>
      <c r="Q181" s="23"/>
      <c r="R181" s="23"/>
      <c r="S181" s="35">
        <f t="shared" si="41"/>
        <v>1</v>
      </c>
      <c r="T181" s="50" t="str">
        <f t="shared" si="4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16:37:21-0600',mode:absolute,to:'2016-11-06 18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44"/>
        <v>N</v>
      </c>
      <c r="X181" s="177">
        <f t="shared" si="55"/>
        <v>1</v>
      </c>
      <c r="Y181" s="67">
        <f t="shared" si="46"/>
        <v>5.8620999999999999</v>
      </c>
      <c r="Z181" s="67">
        <f t="shared" si="47"/>
        <v>6.9199999999999998E-2</v>
      </c>
      <c r="AA181" s="67">
        <f t="shared" si="48"/>
        <v>5.7928999999999995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9"/>
        <v>1824-06</v>
      </c>
      <c r="AE181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1" s="88" t="str">
        <f t="shared" si="51"/>
        <v>"C:\Program Files (x86)\AstroGrep\AstroGrep.exe" /spath="%USERPROFILE%\AppData\Local\Temp\OnboardLogs" /stypes="app*4032*20161107*" /stext=" 00:.+((SYSTEM_STATE.+slice.+state.+changed )|(ment ac)|(system.+state.+changed )|(\[timeout)|(PRM\|1\|D)|(kpr)|(kdp)|(\|lc)|(penalty))" /e /r /s</v>
      </c>
      <c r="AG181" s="1" t="str">
        <f t="shared" si="52"/>
        <v>NW</v>
      </c>
      <c r="AH181" s="92" t="str">
        <f t="shared" si="53"/>
        <v>"%USERPROFILE%\Documents\GitHub\eaglep3\Utilities\RefineRTDCRunTimes.py" --tripid 1824-06 --locoid 4032 --swversion DE.1.0.8.0 --startMP 300:58621 --initTime 2016-11-06T17:37:21 --startdatetime 2016-11-06T17:39:31 --delay 1 --endMP 204:692 --enddatetime 2016-11-06T17:55:42 --enforcementcount 0 &gt;&gt;C:\Users\stu\Documents\GitHub\eaglep3-reporting\EC\2016-11-06-refined-times.txt</v>
      </c>
      <c r="AI181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{"issue":{"subject":"","project_id":79,"tracker_id":40,"status_id":1,"priority_id":2,"assigned_to_id":23,"start_date":"2016-11-06","description":"","custom_fields":[{"id":1,"name":"Subdivision","value":"NW"},{"id":4,"name":"Milepost","value":"0.0692"},{"id":17,"name":"Train ID","value":"1824-06"},{"id":16,"name":"Locomotive ID","value":"4032"},{"id":130,"name":"Impact","value":""},{"id":150,"name":"Time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576</v>
      </c>
      <c r="B182" s="7">
        <v>4031</v>
      </c>
      <c r="C182" s="22" t="s">
        <v>239</v>
      </c>
      <c r="D182" s="22" t="s">
        <v>685</v>
      </c>
      <c r="E182" s="13">
        <v>42680.75986111111</v>
      </c>
      <c r="F182" s="13">
        <v>42680.765023148146</v>
      </c>
      <c r="G182" s="7">
        <v>1</v>
      </c>
      <c r="H182" s="22" t="s">
        <v>681</v>
      </c>
      <c r="I182" s="13">
        <v>42680.775254629632</v>
      </c>
      <c r="J182" s="7">
        <v>0</v>
      </c>
      <c r="K182" s="112" t="str">
        <f t="shared" si="38"/>
        <v>4031/4032</v>
      </c>
      <c r="L182" s="22" t="str">
        <f>VLOOKUP(A182,'Trips&amp;Operators'!$C$1:$E$10000,3,FALSE)</f>
        <v>ARVIDSON</v>
      </c>
      <c r="M182" s="6">
        <f t="shared" si="39"/>
        <v>1.0231481486698613E-2</v>
      </c>
      <c r="N182" s="7">
        <f t="shared" si="40"/>
        <v>14.733333340846002</v>
      </c>
      <c r="O182" s="7"/>
      <c r="P182" s="7"/>
      <c r="Q182" s="23"/>
      <c r="R182" s="23"/>
      <c r="S182" s="35">
        <f t="shared" si="41"/>
        <v>1</v>
      </c>
      <c r="T182" s="50" t="str">
        <f t="shared" si="4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17:14:12-0600',mode:absolute,to:'2016-11-06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44"/>
        <v>N</v>
      </c>
      <c r="X182" s="177">
        <f t="shared" si="55"/>
        <v>1</v>
      </c>
      <c r="Y182" s="67">
        <f t="shared" si="46"/>
        <v>9.69E-2</v>
      </c>
      <c r="Z182" s="67">
        <f t="shared" si="47"/>
        <v>5.8924000000000003</v>
      </c>
      <c r="AA182" s="67">
        <f t="shared" si="48"/>
        <v>5.7955000000000005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9"/>
        <v>1825-06</v>
      </c>
      <c r="AE182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2" s="88" t="str">
        <f t="shared" si="51"/>
        <v>"C:\Program Files (x86)\AstroGrep\AstroGrep.exe" /spath="%USERPROFILE%\AppData\Local\Temp\OnboardLogs" /stypes="app*4031*20161107*" /stext=" 01:.+((SYSTEM_STATE.+slice.+state.+changed )|(ment ac)|(system.+state.+changed )|(\[timeout)|(PRM\|1\|D)|(kpr)|(kdp)|(\|lc)|(penalty))" /e /r /s</v>
      </c>
      <c r="AG182" s="1" t="str">
        <f t="shared" si="52"/>
        <v>NW</v>
      </c>
      <c r="AH182" s="92" t="str">
        <f t="shared" si="53"/>
        <v>"%USERPROFILE%\Documents\GitHub\eaglep3\Utilities\RefineRTDCRunTimes.py" --tripid 1825-06 --locoid 4031 --swversion DE.1.0.8.0 --startMP 204:969 --initTime 2016-11-06T18:14:12 --startdatetime 2016-11-06T18:21:38 --delay 1 --endMP 300:58924 --enddatetime 2016-11-06T18:36:22 --enforcementcount 0 &gt;&gt;C:\Users\stu\Documents\GitHub\eaglep3-reporting\EC\2016-11-06-refined-times.txt</v>
      </c>
      <c r="AI182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ID","value":"1825-06"},{"id":16,"name":"Locomotive ID","value":"4031"},{"id":130,"name":"Impact","value":""},{"id":150,"name":"Time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414</v>
      </c>
      <c r="B183" s="7">
        <v>4032</v>
      </c>
      <c r="C183" s="22" t="s">
        <v>239</v>
      </c>
      <c r="D183" s="22" t="s">
        <v>662</v>
      </c>
      <c r="E183" s="13">
        <v>42680.779456018521</v>
      </c>
      <c r="F183" s="13">
        <v>42680.780995370369</v>
      </c>
      <c r="G183" s="7">
        <v>1</v>
      </c>
      <c r="H183" s="22" t="s">
        <v>694</v>
      </c>
      <c r="I183" s="13">
        <v>42680.79346064815</v>
      </c>
      <c r="J183" s="7">
        <v>0</v>
      </c>
      <c r="K183" s="112" t="str">
        <f t="shared" si="38"/>
        <v>4031/4032</v>
      </c>
      <c r="L183" s="22" t="str">
        <f>VLOOKUP(A183,'Trips&amp;Operators'!$C$1:$E$10000,3,FALSE)</f>
        <v>ARVIDSON</v>
      </c>
      <c r="M183" s="6">
        <f t="shared" si="39"/>
        <v>1.2465277781302575E-2</v>
      </c>
      <c r="N183" s="7">
        <f t="shared" si="40"/>
        <v>17.950000005075708</v>
      </c>
      <c r="O183" s="7"/>
      <c r="P183" s="7"/>
      <c r="Q183" s="23"/>
      <c r="R183" s="23"/>
      <c r="S183" s="35">
        <f t="shared" si="41"/>
        <v>1</v>
      </c>
      <c r="T183" s="50" t="str">
        <f t="shared" si="4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17:42:25-0600',mode:absolute,to:'2016-11-06 20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44"/>
        <v>N</v>
      </c>
      <c r="X183" s="177">
        <f t="shared" si="55"/>
        <v>1</v>
      </c>
      <c r="Y183" s="67">
        <f t="shared" si="46"/>
        <v>5.8609</v>
      </c>
      <c r="Z183" s="67">
        <f t="shared" si="47"/>
        <v>7.3300000000000004E-2</v>
      </c>
      <c r="AA183" s="67">
        <f t="shared" si="48"/>
        <v>5.7876000000000003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9"/>
        <v>1826-06</v>
      </c>
      <c r="AE183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3" s="88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3" s="1" t="str">
        <f t="shared" si="52"/>
        <v>NW</v>
      </c>
      <c r="AH183" s="92" t="str">
        <f t="shared" si="53"/>
        <v>"%USERPROFILE%\Documents\GitHub\eaglep3\Utilities\RefineRTDCRunTimes.py" --tripid 1826-06 --locoid 4032 --swversion DE.1.0.8.0 --startMP 300:58609 --initTime 2016-11-06T18:42:25 --startdatetime 2016-11-06T18:44:38 --delay 1 --endMP 204:733 --enddatetime 2016-11-06T19:02:35 --enforcementcount 0 &gt;&gt;C:\Users\stu\Documents\GitHub\eaglep3-reporting\EC\2016-11-06-refined-times.txt</v>
      </c>
      <c r="AI183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{"issue":{"subject":"","project_id":79,"tracker_id":40,"status_id":1,"priority_id":2,"assigned_to_id":23,"start_date":"2016-11-06","description":"","custom_fields":[{"id":1,"name":"Subdivision","value":"NW"},{"id":4,"name":"Milepost","value":"0.0733"},{"id":17,"name":"Train ID","value":"1826-06"},{"id":16,"name":"Locomotive ID","value":"4032"},{"id":130,"name":"Impact","value":""},{"id":150,"name":"Time of Event (Mountain Time)","value":"19:02:35"},{"id":151,"name":"Denver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587</v>
      </c>
      <c r="B184" s="7">
        <v>4031</v>
      </c>
      <c r="C184" s="22" t="s">
        <v>239</v>
      </c>
      <c r="D184" s="22" t="s">
        <v>342</v>
      </c>
      <c r="E184" s="13">
        <v>42680.803298611114</v>
      </c>
      <c r="F184" s="13">
        <v>42680.820543981485</v>
      </c>
      <c r="G184" s="7">
        <v>1</v>
      </c>
      <c r="H184" s="22" t="s">
        <v>667</v>
      </c>
      <c r="I184" s="13">
        <v>42680.830567129633</v>
      </c>
      <c r="J184" s="7">
        <v>0</v>
      </c>
      <c r="K184" s="112" t="str">
        <f t="shared" si="38"/>
        <v>4031/4032</v>
      </c>
      <c r="L184" s="22" t="str">
        <f>VLOOKUP(A184,'Trips&amp;Operators'!$C$1:$E$10000,3,FALSE)</f>
        <v>ARVIDSON</v>
      </c>
      <c r="M184" s="6">
        <f t="shared" si="39"/>
        <v>1.0023148148320615E-2</v>
      </c>
      <c r="N184" s="7">
        <f t="shared" si="40"/>
        <v>14.433333333581686</v>
      </c>
      <c r="O184" s="7"/>
      <c r="P184" s="7"/>
      <c r="Q184" s="23"/>
      <c r="R184" s="23"/>
      <c r="S184" s="35">
        <f t="shared" si="41"/>
        <v>1</v>
      </c>
      <c r="T184" s="50" t="str">
        <f t="shared" si="4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18:16:45-0600',mode:absolute,to:'2016-11-06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2" t="str">
        <f t="shared" si="44"/>
        <v>N</v>
      </c>
      <c r="X184" s="177">
        <f t="shared" si="55"/>
        <v>1</v>
      </c>
      <c r="Y184" s="67">
        <f t="shared" si="46"/>
        <v>0.1023</v>
      </c>
      <c r="Z184" s="67">
        <f t="shared" si="47"/>
        <v>5.8944000000000001</v>
      </c>
      <c r="AA184" s="67">
        <f t="shared" si="48"/>
        <v>5.7921000000000005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9"/>
        <v>1827-06</v>
      </c>
      <c r="AE184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4" s="88" t="str">
        <f t="shared" si="51"/>
        <v>"C:\Program Files (x86)\AstroGrep\AstroGrep.exe" /spath="%USERPROFILE%\AppData\Local\Temp\OnboardLogs" /stypes="app*4031*20161107*" /stext=" 02:.+((SYSTEM_STATE.+slice.+state.+changed )|(ment ac)|(system.+state.+changed )|(\[timeout)|(PRM\|1\|D)|(kpr)|(kdp)|(\|lc)|(penalty))" /e /r /s</v>
      </c>
      <c r="AG184" s="1" t="str">
        <f t="shared" si="52"/>
        <v>NW</v>
      </c>
      <c r="AH184" s="92" t="str">
        <f t="shared" si="53"/>
        <v>"%USERPROFILE%\Documents\GitHub\eaglep3\Utilities\RefineRTDCRunTimes.py" --tripid 1827-06 --locoid 4031 --swversion DE.1.0.8.0 --startMP 204:1023 --initTime 2016-11-06T19:16:45 --startdatetime 2016-11-06T19:41:35 --delay 1 --endMP 300:58944 --enddatetime 2016-11-06T19:56:01 --enforcementcount 0 &gt;&gt;C:\Users\stu\Documents\GitHub\eaglep3-reporting\EC\2016-11-06-refined-times.txt</v>
      </c>
      <c r="AI184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ID","value":"1827-06"},{"id":16,"name":"Locomotive ID","value":"4031"},{"id":130,"name":"Impact","value":""},{"id":150,"name":"Time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591</v>
      </c>
      <c r="B185" s="7">
        <v>4032</v>
      </c>
      <c r="C185" s="22" t="s">
        <v>239</v>
      </c>
      <c r="D185" s="22" t="s">
        <v>695</v>
      </c>
      <c r="E185" s="13">
        <v>42680.818993055553</v>
      </c>
      <c r="F185" s="13">
        <v>42680.820543981485</v>
      </c>
      <c r="G185" s="7">
        <v>1</v>
      </c>
      <c r="H185" s="22" t="s">
        <v>665</v>
      </c>
      <c r="I185" s="13">
        <v>42680.830567129633</v>
      </c>
      <c r="J185" s="7">
        <v>0</v>
      </c>
      <c r="K185" s="112" t="str">
        <f t="shared" si="38"/>
        <v>4031/4032</v>
      </c>
      <c r="L185" s="22" t="str">
        <f>VLOOKUP(A185,'Trips&amp;Operators'!$C$1:$E$10000,3,FALSE)</f>
        <v>ARVIDSON</v>
      </c>
      <c r="M185" s="6">
        <f t="shared" si="39"/>
        <v>1.0023148148320615E-2</v>
      </c>
      <c r="N185" s="7">
        <f t="shared" si="40"/>
        <v>14.433333333581686</v>
      </c>
      <c r="O185" s="7"/>
      <c r="P185" s="7"/>
      <c r="Q185" s="23"/>
      <c r="R185" s="23"/>
      <c r="S185" s="35">
        <f t="shared" si="41"/>
        <v>1</v>
      </c>
      <c r="T185" s="50" t="str">
        <f t="shared" si="4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18:39:21-0600',mode:absolute,to:'2016-11-06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2" t="str">
        <f t="shared" si="44"/>
        <v>N</v>
      </c>
      <c r="X185" s="177">
        <f t="shared" si="55"/>
        <v>1</v>
      </c>
      <c r="Y185" s="67">
        <f t="shared" si="46"/>
        <v>5.8625999999999996</v>
      </c>
      <c r="Z185" s="67">
        <f t="shared" si="47"/>
        <v>6.8400000000000002E-2</v>
      </c>
      <c r="AA185" s="67">
        <f t="shared" si="48"/>
        <v>5.7942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9"/>
        <v>1828-06</v>
      </c>
      <c r="AE185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5" s="88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5" s="1" t="str">
        <f t="shared" si="52"/>
        <v>NW</v>
      </c>
      <c r="AH185" s="92" t="str">
        <f t="shared" si="53"/>
        <v>"%USERPROFILE%\Documents\GitHub\eaglep3\Utilities\RefineRTDCRunTimes.py" --tripid 1828-06 --locoid 4032 --swversion DE.1.0.8.0 --startMP 300:58626 --initTime 2016-11-06T19:39:21 --startdatetime 2016-11-06T19:41:35 --delay 1 --endMP 204:684 --enddatetime 2016-11-06T19:56:01 --enforcementcount 0 &gt;&gt;C:\Users\stu\Documents\GitHub\eaglep3-reporting\EC\2016-11-06-refined-times.txt</v>
      </c>
      <c r="AI185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ID","value":"1828-06"},{"id":16,"name":"Locomotive ID","value":"4032"},{"id":130,"name":"Impact","value":""},{"id":150,"name":"Time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595</v>
      </c>
      <c r="B186" s="7">
        <v>4031</v>
      </c>
      <c r="C186" s="22" t="s">
        <v>239</v>
      </c>
      <c r="D186" s="22" t="s">
        <v>696</v>
      </c>
      <c r="E186" s="13">
        <v>42680.844224537039</v>
      </c>
      <c r="F186" s="13">
        <v>42680.848217592589</v>
      </c>
      <c r="G186" s="7">
        <v>1</v>
      </c>
      <c r="H186" s="22" t="s">
        <v>389</v>
      </c>
      <c r="I186" s="13">
        <v>42680.858148148145</v>
      </c>
      <c r="J186" s="7">
        <v>0</v>
      </c>
      <c r="K186" s="112" t="str">
        <f t="shared" si="38"/>
        <v>4031/4032</v>
      </c>
      <c r="L186" s="22" t="str">
        <f>VLOOKUP(A186,'Trips&amp;Operators'!$C$1:$E$10000,3,FALSE)</f>
        <v>ARVIDSON</v>
      </c>
      <c r="M186" s="6">
        <f t="shared" si="39"/>
        <v>9.930555555911269E-3</v>
      </c>
      <c r="N186" s="7">
        <f t="shared" si="40"/>
        <v>14.300000000512227</v>
      </c>
      <c r="O186" s="7"/>
      <c r="P186" s="7"/>
      <c r="Q186" s="23"/>
      <c r="R186" s="23"/>
      <c r="S186" s="35">
        <f t="shared" si="41"/>
        <v>1</v>
      </c>
      <c r="T186" s="50" t="str">
        <f t="shared" si="4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19:15:41-0600',mode:absolute,to:'2016-11-06 21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2" t="str">
        <f t="shared" si="44"/>
        <v>N</v>
      </c>
      <c r="X186" s="177">
        <f t="shared" si="55"/>
        <v>1</v>
      </c>
      <c r="Y186" s="67">
        <f t="shared" si="46"/>
        <v>9.74E-2</v>
      </c>
      <c r="Z186" s="67">
        <f t="shared" si="47"/>
        <v>5.8916000000000004</v>
      </c>
      <c r="AA186" s="67">
        <f t="shared" si="48"/>
        <v>5.7942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9"/>
        <v>1829-06</v>
      </c>
      <c r="AE186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6" s="88" t="str">
        <f t="shared" si="51"/>
        <v>"C:\Program Files (x86)\AstroGrep\AstroGrep.exe" /spath="%USERPROFILE%\AppData\Local\Temp\OnboardLogs" /stypes="app*4031*20161107*" /stext=" 03:.+((SYSTEM_STATE.+slice.+state.+changed )|(ment ac)|(system.+state.+changed )|(\[timeout)|(PRM\|1\|D)|(kpr)|(kdp)|(\|lc)|(penalty))" /e /r /s</v>
      </c>
      <c r="AG186" s="1" t="str">
        <f t="shared" si="52"/>
        <v>NW</v>
      </c>
      <c r="AH186" s="92" t="str">
        <f t="shared" si="53"/>
        <v>"%USERPROFILE%\Documents\GitHub\eaglep3\Utilities\RefineRTDCRunTimes.py" --tripid 1829-06 --locoid 4031 --swversion DE.1.0.8.0 --startMP 204:974 --initTime 2016-11-06T20:15:41 --startdatetime 2016-11-06T20:21:26 --delay 1 --endMP 300:58916 --enddatetime 2016-11-06T20:35:44 --enforcementcount 0 &gt;&gt;C:\Users\stu\Documents\GitHub\eaglep3-reporting\EC\2016-11-06-refined-times.txt</v>
      </c>
      <c r="AI186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{"issue":{"subject":"","project_id":79,"tracker_id":40,"status_id":1,"priority_id":2,"assigned_to_id":23,"start_date":"2016-11-06","description":"","custom_fields":[{"id":1,"name":"Subdivision","value":"NW"},{"id":4,"name":"Milepost","value":"5.8916"},{"id":17,"name":"Train ID","value":"1829-06"},{"id":16,"name":"Locomotive ID","value":"4031"},{"id":130,"name":"Impact","value":""},{"id":150,"name":"Time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598</v>
      </c>
      <c r="B187" s="7">
        <v>4032</v>
      </c>
      <c r="C187" s="22" t="s">
        <v>239</v>
      </c>
      <c r="D187" s="22" t="s">
        <v>698</v>
      </c>
      <c r="E187" s="13">
        <v>42680.859236111108</v>
      </c>
      <c r="F187" s="13">
        <v>42680.860775462963</v>
      </c>
      <c r="G187" s="7">
        <v>1</v>
      </c>
      <c r="H187" s="22" t="s">
        <v>699</v>
      </c>
      <c r="I187" s="13">
        <v>42680.871898148151</v>
      </c>
      <c r="J187" s="7">
        <v>0</v>
      </c>
      <c r="K187" s="112" t="str">
        <f t="shared" si="38"/>
        <v>4031/4032</v>
      </c>
      <c r="L187" s="22" t="str">
        <f>VLOOKUP(A187,'Trips&amp;Operators'!$C$1:$E$10000,3,FALSE)</f>
        <v>ARVIDSON</v>
      </c>
      <c r="M187" s="6">
        <f t="shared" si="39"/>
        <v>1.1122685187729076E-2</v>
      </c>
      <c r="N187" s="7">
        <f t="shared" si="40"/>
        <v>16.016666670329869</v>
      </c>
      <c r="O187" s="7"/>
      <c r="P187" s="7"/>
      <c r="Q187" s="23"/>
      <c r="R187" s="23"/>
      <c r="S187" s="35">
        <f t="shared" si="41"/>
        <v>1</v>
      </c>
      <c r="T187" s="50" t="str">
        <f t="shared" si="4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19:37:18-0600',mode:absolute,to:'2016-11-06 21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44"/>
        <v>N</v>
      </c>
      <c r="X187" s="177">
        <f t="shared" si="55"/>
        <v>1</v>
      </c>
      <c r="Y187" s="67">
        <f t="shared" si="46"/>
        <v>5.8597999999999999</v>
      </c>
      <c r="Z187" s="67">
        <f t="shared" si="47"/>
        <v>7.17E-2</v>
      </c>
      <c r="AA187" s="67">
        <f t="shared" si="48"/>
        <v>5.7881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9"/>
        <v>1830-06</v>
      </c>
      <c r="AE187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7" s="88" t="str">
        <f t="shared" si="51"/>
        <v>"C:\Program Files (x86)\AstroGrep\AstroGrep.exe" /spath="%USERPROFILE%\AppData\Local\Temp\OnboardLogs" /stypes="app*4032*20161107*" /stext=" 03:.+((SYSTEM_STATE.+slice.+state.+changed )|(ment ac)|(system.+state.+changed )|(\[timeout)|(PRM\|1\|D)|(kpr)|(kdp)|(\|lc)|(penalty))" /e /r /s</v>
      </c>
      <c r="AG187" s="1" t="str">
        <f t="shared" si="52"/>
        <v>NW</v>
      </c>
      <c r="AH187" s="92" t="str">
        <f t="shared" si="53"/>
        <v>"%USERPROFILE%\Documents\GitHub\eaglep3\Utilities\RefineRTDCRunTimes.py" --tripid 1830-06 --locoid 4032 --swversion DE.1.0.8.0 --startMP 300:58598 --initTime 2016-11-06T20:37:18 --startdatetime 2016-11-06T20:39:31 --delay 1 --endMP 204:717 --enddatetime 2016-11-06T20:55:32 --enforcementcount 0 &gt;&gt;C:\Users\stu\Documents\GitHub\eaglep3-reporting\EC\2016-11-06-refined-times.txt</v>
      </c>
      <c r="AI187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{"issue":{"subject":"","project_id":79,"tracker_id":40,"status_id":1,"priority_id":2,"assigned_to_id":23,"start_date":"2016-11-06","description":"","custom_fields":[{"id":1,"name":"Subdivision","value":"NW"},{"id":4,"name":"Milepost","value":"0.0717"},{"id":17,"name":"Train ID","value":"1830-06"},{"id":16,"name":"Locomotive ID","value":"4032"},{"id":130,"name":"Impact","value":""},{"id":150,"name":"Time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601</v>
      </c>
      <c r="B188" s="7">
        <v>4031</v>
      </c>
      <c r="C188" s="22" t="s">
        <v>239</v>
      </c>
      <c r="D188" s="22" t="s">
        <v>700</v>
      </c>
      <c r="E188" s="13">
        <v>42680.887812499997</v>
      </c>
      <c r="F188" s="13">
        <v>42680.889930555553</v>
      </c>
      <c r="G188" s="7">
        <v>1</v>
      </c>
      <c r="H188" s="22" t="s">
        <v>686</v>
      </c>
      <c r="I188" s="13">
        <v>42680.899768518517</v>
      </c>
      <c r="J188" s="7">
        <v>0</v>
      </c>
      <c r="K188" s="112" t="str">
        <f t="shared" si="38"/>
        <v>4031/4032</v>
      </c>
      <c r="L188" s="22" t="str">
        <f>VLOOKUP(A188,'Trips&amp;Operators'!$C$1:$E$10000,3,FALSE)</f>
        <v>ARVIDSON</v>
      </c>
      <c r="M188" s="6">
        <f t="shared" si="39"/>
        <v>9.8379629635019228E-3</v>
      </c>
      <c r="N188" s="7">
        <f t="shared" si="40"/>
        <v>14.166666667442769</v>
      </c>
      <c r="O188" s="7"/>
      <c r="P188" s="7"/>
      <c r="Q188" s="23"/>
      <c r="R188" s="23"/>
      <c r="S188" s="35">
        <f t="shared" si="41"/>
        <v>1</v>
      </c>
      <c r="T188" s="50" t="str">
        <f t="shared" si="4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20:18:27-0600',mode:absolute,to:'2016-11-06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2" t="str">
        <f t="shared" si="44"/>
        <v>N</v>
      </c>
      <c r="X188" s="177">
        <f t="shared" si="55"/>
        <v>1</v>
      </c>
      <c r="Y188" s="67">
        <f t="shared" si="46"/>
        <v>9.9900000000000003E-2</v>
      </c>
      <c r="Z188" s="67">
        <f t="shared" si="47"/>
        <v>5.8926999999999996</v>
      </c>
      <c r="AA188" s="67">
        <f t="shared" si="48"/>
        <v>5.7927999999999997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9"/>
        <v>1831-06</v>
      </c>
      <c r="AE188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8" s="88" t="str">
        <f t="shared" si="51"/>
        <v>"C:\Program Files (x86)\AstroGrep\AstroGrep.exe" /spath="%USERPROFILE%\AppData\Local\Temp\OnboardLogs" /stypes="app*4031*20161107*" /stext=" 04:.+((SYSTEM_STATE.+slice.+state.+changed )|(ment ac)|(system.+state.+changed )|(\[timeout)|(PRM\|1\|D)|(kpr)|(kdp)|(\|lc)|(penalty))" /e /r /s</v>
      </c>
      <c r="AG188" s="1" t="str">
        <f t="shared" si="52"/>
        <v>NW</v>
      </c>
      <c r="AH188" s="92" t="str">
        <f t="shared" si="53"/>
        <v>"%USERPROFILE%\Documents\GitHub\eaglep3\Utilities\RefineRTDCRunTimes.py" --tripid 1831-06 --locoid 4031 --swversion DE.1.0.8.0 --startMP 204:999 --initTime 2016-11-06T21:18:27 --startdatetime 2016-11-06T21:21:30 --delay 1 --endMP 300:58927 --enddatetime 2016-11-06T21:35:40 --enforcementcount 0 &gt;&gt;C:\Users\stu\Documents\GitHub\eaglep3-reporting\EC\2016-11-06-refined-times.txt</v>
      </c>
      <c r="AI188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ID","value":"1831-06"},{"id":16,"name":"Locomotive ID","value":"4031"},{"id":130,"name":"Impact","value":""},{"id":150,"name":"Time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604</v>
      </c>
      <c r="B189" s="7">
        <v>4032</v>
      </c>
      <c r="C189" s="22" t="s">
        <v>239</v>
      </c>
      <c r="D189" s="22" t="s">
        <v>390</v>
      </c>
      <c r="E189" s="13">
        <v>42680.900914351849</v>
      </c>
      <c r="F189" s="13">
        <v>42680.902812499997</v>
      </c>
      <c r="G189" s="7">
        <v>1</v>
      </c>
      <c r="H189" s="22" t="s">
        <v>665</v>
      </c>
      <c r="I189" s="13">
        <v>42680.913541666669</v>
      </c>
      <c r="J189" s="7">
        <v>0</v>
      </c>
      <c r="K189" s="112" t="str">
        <f t="shared" si="38"/>
        <v>4031/4032</v>
      </c>
      <c r="L189" s="22" t="str">
        <f>VLOOKUP(A189,'Trips&amp;Operators'!$C$1:$E$10000,3,FALSE)</f>
        <v>ARVIDSON</v>
      </c>
      <c r="M189" s="6">
        <f t="shared" si="39"/>
        <v>1.0729166671808343E-2</v>
      </c>
      <c r="N189" s="7">
        <f t="shared" si="40"/>
        <v>15.450000007404014</v>
      </c>
      <c r="O189" s="7"/>
      <c r="P189" s="7"/>
      <c r="Q189" s="23"/>
      <c r="R189" s="23"/>
      <c r="S189" s="35">
        <f t="shared" si="41"/>
        <v>1</v>
      </c>
      <c r="T189" s="50" t="str">
        <f t="shared" si="4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20:37:19-0600',mode:absolute,to:'2016-11-06 22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2" t="str">
        <f t="shared" si="44"/>
        <v>N</v>
      </c>
      <c r="X189" s="177">
        <f t="shared" si="55"/>
        <v>1</v>
      </c>
      <c r="Y189" s="67">
        <f t="shared" si="46"/>
        <v>5.8601999999999999</v>
      </c>
      <c r="Z189" s="67">
        <f t="shared" si="47"/>
        <v>6.8400000000000002E-2</v>
      </c>
      <c r="AA189" s="67">
        <f t="shared" si="48"/>
        <v>5.7918000000000003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9"/>
        <v>1832-06</v>
      </c>
      <c r="AE189" s="91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9" s="88" t="str">
        <f t="shared" si="51"/>
        <v>"C:\Program Files (x86)\AstroGrep\AstroGrep.exe" /spath="%USERPROFILE%\AppData\Local\Temp\OnboardLogs" /stypes="app*4032*20161107*" /stext=" 04:.+((SYSTEM_STATE.+slice.+state.+changed )|(ment ac)|(system.+state.+changed )|(\[timeout)|(PRM\|1\|D)|(kpr)|(kdp)|(\|lc)|(penalty))" /e /r /s</v>
      </c>
      <c r="AG189" s="1" t="str">
        <f t="shared" si="52"/>
        <v>NW</v>
      </c>
      <c r="AH189" s="92" t="str">
        <f t="shared" si="53"/>
        <v>"%USERPROFILE%\Documents\GitHub\eaglep3\Utilities\RefineRTDCRunTimes.py" --tripid 1832-06 --locoid 4032 --swversion DE.1.0.8.0 --startMP 300:58602 --initTime 2016-11-06T21:37:19 --startdatetime 2016-11-06T21:40:03 --delay 1 --endMP 204:684 --enddatetime 2016-11-06T21:55:30 --enforcementcount 0 &gt;&gt;C:\Users\stu\Documents\GitHub\eaglep3-reporting\EC\2016-11-06-refined-times.txt</v>
      </c>
      <c r="AI189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ID","value":"1832-06"},{"id":16,"name":"Locomotive ID","value":"4032"},{"id":130,"name":"Impact","value":""},{"id":150,"name":"Time of Event (Mountain Time)","value":"21:55:30"},{"id":151,"name":"Denver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607</v>
      </c>
      <c r="B190" s="7">
        <v>4031</v>
      </c>
      <c r="C190" s="22" t="s">
        <v>239</v>
      </c>
      <c r="D190" s="22" t="s">
        <v>666</v>
      </c>
      <c r="E190" s="13">
        <v>42680.923773148148</v>
      </c>
      <c r="F190" s="13">
        <v>42680.931493055556</v>
      </c>
      <c r="G190" s="7">
        <v>1</v>
      </c>
      <c r="H190" s="22" t="s">
        <v>701</v>
      </c>
      <c r="I190" s="13">
        <v>42680.941388888888</v>
      </c>
      <c r="J190" s="7">
        <v>0</v>
      </c>
      <c r="K190" s="112" t="str">
        <f t="shared" si="38"/>
        <v>4031/4032</v>
      </c>
      <c r="L190" s="22" t="str">
        <f>VLOOKUP(A190,'Trips&amp;Operators'!$C$1:$E$10000,3,FALSE)</f>
        <v>ARVIDSON</v>
      </c>
      <c r="M190" s="6">
        <f t="shared" si="39"/>
        <v>9.8958333328482695E-3</v>
      </c>
      <c r="N190" s="7">
        <f t="shared" si="40"/>
        <v>14.249999999301508</v>
      </c>
      <c r="O190" s="7"/>
      <c r="P190" s="7"/>
      <c r="Q190" s="23"/>
      <c r="R190" s="23"/>
      <c r="S190" s="35">
        <f t="shared" si="41"/>
        <v>1</v>
      </c>
      <c r="T190" s="50" t="str">
        <f t="shared" si="4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21:10:14-0600',mode:absolute,to:'2016-11-06 23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2" t="str">
        <f t="shared" si="44"/>
        <v>N</v>
      </c>
      <c r="X190" s="177">
        <f t="shared" si="55"/>
        <v>1</v>
      </c>
      <c r="Y190" s="67">
        <f t="shared" si="46"/>
        <v>0.1</v>
      </c>
      <c r="Z190" s="67">
        <f t="shared" si="47"/>
        <v>5.8082000000000003</v>
      </c>
      <c r="AA190" s="67">
        <f t="shared" si="48"/>
        <v>5.7082000000000006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9"/>
        <v>1833-06</v>
      </c>
      <c r="AE190" s="91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90" s="88" t="str">
        <f t="shared" si="51"/>
        <v>"C:\Program Files (x86)\AstroGrep\AstroGrep.exe" /spath="%USERPROFILE%\AppData\Local\Temp\OnboardLogs" /stypes="app*4031*20161107*" /stext=" 05:.+((SYSTEM_STATE.+slice.+state.+changed )|(ment ac)|(system.+state.+changed )|(\[timeout)|(PRM\|1\|D)|(kpr)|(kdp)|(\|lc)|(penalty))" /e /r /s</v>
      </c>
      <c r="AG190" s="1" t="str">
        <f t="shared" si="52"/>
        <v>NW</v>
      </c>
      <c r="AH190" s="92" t="str">
        <f t="shared" si="53"/>
        <v>"%USERPROFILE%\Documents\GitHub\eaglep3\Utilities\RefineRTDCRunTimes.py" --tripid 1833-06 --locoid 4031 --swversion DE.1.0.8.0 --startMP 204:1000 --initTime 2016-11-06T22:10:14 --startdatetime 2016-11-06T22:21:21 --delay 1 --endMP 300:58082 --enddatetime 2016-11-06T22:35:36 --enforcementcount 0 &gt;&gt;C:\Users\stu\Documents\GitHub\eaglep3-reporting\EC\2016-11-06-refined-times.txt</v>
      </c>
      <c r="AI190" s="122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{"issue":{"subject":"","project_id":79,"tracker_id":40,"status_id":1,"priority_id":2,"assigned_to_id":23,"start_date":"2016-11-06","description":"","custom_fields":[{"id":1,"name":"Subdivision","value":"NW"},{"id":4,"name":"Milepost","value":"5.8082"},{"id":17,"name":"Train ID","value":"1833-06"},{"id":16,"name":"Locomotive ID","value":"4031"},{"id":130,"name":"Impact","value":""},{"id":150,"name":"Time of Event (Mountain Time)","value":"22:35:36"},{"id":151,"name":"Denver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431</v>
      </c>
      <c r="B191" s="7">
        <v>4043</v>
      </c>
      <c r="C191" s="22" t="s">
        <v>239</v>
      </c>
      <c r="D191" s="22" t="s">
        <v>726</v>
      </c>
      <c r="E191" s="13">
        <v>42680.114120370374</v>
      </c>
      <c r="F191" s="13">
        <v>42680.123229166667</v>
      </c>
      <c r="G191" s="7">
        <v>13</v>
      </c>
      <c r="H191" s="22" t="s">
        <v>204</v>
      </c>
      <c r="I191" s="13">
        <v>42680.128842592596</v>
      </c>
      <c r="J191" s="7">
        <v>0</v>
      </c>
      <c r="K191" s="112" t="str">
        <f t="shared" si="38"/>
        <v>4043/4044</v>
      </c>
      <c r="L191" s="22" t="str">
        <f>VLOOKUP(A191,'Trips&amp;Operators'!$C$1:$E$10000,3,FALSE)</f>
        <v>KILLION</v>
      </c>
      <c r="M191" s="6">
        <f t="shared" si="39"/>
        <v>5.6134259284590371E-3</v>
      </c>
      <c r="N191" s="7">
        <f t="shared" si="40"/>
        <v>8.0833333369810134</v>
      </c>
      <c r="O191" s="7"/>
      <c r="P191" s="7"/>
      <c r="Q191" s="23"/>
      <c r="R191" s="23"/>
      <c r="S191" s="35">
        <f t="shared" si="41"/>
        <v>1</v>
      </c>
      <c r="T191" s="50" t="str">
        <f t="shared" si="4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01:44:20-0600',mode:absolute,to:'2016-11-06 04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2" t="str">
        <f t="shared" si="44"/>
        <v>Y</v>
      </c>
      <c r="X191" s="177">
        <f t="shared" si="55"/>
        <v>-1531</v>
      </c>
      <c r="Y191" s="67">
        <f t="shared" si="46"/>
        <v>1.9632000000000001</v>
      </c>
      <c r="Z191" s="67">
        <f t="shared" si="47"/>
        <v>1.4500000000000001E-2</v>
      </c>
      <c r="AA191" s="67">
        <f t="shared" si="48"/>
        <v>1.9487000000000001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9"/>
        <v>0302-06</v>
      </c>
      <c r="AE191" s="91" t="str">
        <f t="shared" si="50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91" s="88" t="str">
        <f t="shared" si="51"/>
        <v>"C:\Program Files (x86)\AstroGrep\AstroGrep.exe" /spath="%USERPROFILE%\AppData\Local\Temp\OnboardLogs" /stypes="app*4043*20161106*" /stext=" 10:.+((SYSTEM_STATE.+slice.+state.+changed )|(ment ac)|(system.+state.+changed )|(\[timeout)|(PRM\|1\|D)|(kpr)|(kdp)|(\|lc)|(penalty))" /e /r /s</v>
      </c>
      <c r="AG191" s="1" t="str">
        <f t="shared" si="52"/>
        <v>Other</v>
      </c>
      <c r="AH191" s="92" t="str">
        <f t="shared" si="53"/>
        <v>"%USERPROFILE%\Documents\GitHub\eaglep3\Utilities\RefineRTDCRunTimes.py" --tripid 302-06 --locoid 4043 --swversion DE.1.0.8.0 --startMP 300:19632 --initTime 2016-11-06T02:44:20 --startdatetime 2016-11-06T02:57:27 --delay 13 --endMP 204:145 --enddatetime 2016-11-06T03:05:32 --enforcementcount 0 &gt;&gt;C:\Users\stu\Documents\GitHub\eaglep3-reporting\EC\2016-11-06-refined-times.txt</v>
      </c>
      <c r="AI191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{"issue":{"subject":"","project_id":79,"tracker_id":40,"status_id":1,"priority_id":2,"assigned_to_id":23,"start_date":"2016-11-06","description":"","custom_fields":[{"id":1,"name":"Subdivision","value":"Other"},{"id":4,"name":"Milepost","value":"0.0145"},{"id":17,"name":"Train ID","value":"302-06"},{"id":16,"name":"Locomotive ID","value":"4043"},{"id":130,"name":"Impact","value":""},{"id":150,"name":"Time of Event (Mountain Time)","value":"03:05:32"},{"id":151,"name":"Denver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581</v>
      </c>
      <c r="B192" s="7">
        <v>4040</v>
      </c>
      <c r="C192" s="22" t="s">
        <v>239</v>
      </c>
      <c r="D192" s="22" t="s">
        <v>254</v>
      </c>
      <c r="E192" s="13">
        <v>42680.77915509259</v>
      </c>
      <c r="F192" s="13">
        <v>42680.781377314815</v>
      </c>
      <c r="G192" s="7">
        <v>1</v>
      </c>
      <c r="H192" s="22" t="s">
        <v>381</v>
      </c>
      <c r="I192" s="13">
        <v>42680.786736111113</v>
      </c>
      <c r="J192" s="7">
        <v>0</v>
      </c>
      <c r="K192" s="112" t="str">
        <f t="shared" si="38"/>
        <v>4039/4040</v>
      </c>
      <c r="L192" s="22" t="str">
        <f>VLOOKUP(A192,'Trips&amp;Operators'!$C$1:$E$10000,3,FALSE)</f>
        <v>MAHAN</v>
      </c>
      <c r="M192" s="6">
        <f t="shared" si="39"/>
        <v>5.3587962975143455E-3</v>
      </c>
      <c r="N192" s="7">
        <f t="shared" si="40"/>
        <v>7.7166666684206575</v>
      </c>
      <c r="O192" s="7"/>
      <c r="P192" s="7"/>
      <c r="Q192" s="23"/>
      <c r="R192" s="23"/>
      <c r="S192" s="35">
        <f t="shared" si="41"/>
        <v>1</v>
      </c>
      <c r="T192" s="50" t="str">
        <f t="shared" si="4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17:41:59-0600',mode:absolute,to:'2016-11-06 19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44"/>
        <v>Y</v>
      </c>
      <c r="X192" s="177">
        <f t="shared" si="55"/>
        <v>1</v>
      </c>
      <c r="Y192" s="67">
        <f t="shared" si="46"/>
        <v>4.4400000000000002E-2</v>
      </c>
      <c r="Z192" s="67">
        <f t="shared" si="47"/>
        <v>2.3308</v>
      </c>
      <c r="AA192" s="67">
        <f t="shared" si="48"/>
        <v>2.2864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9"/>
        <v>0303-06</v>
      </c>
      <c r="AE192" s="91" t="str">
        <f t="shared" si="50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92" s="88" t="str">
        <f t="shared" si="51"/>
        <v>"C:\Program Files (x86)\AstroGrep\AstroGrep.exe" /spath="%USERPROFILE%\AppData\Local\Temp\OnboardLogs" /stypes="app*4040*20161107*" /stext=" 01:.+((SYSTEM_STATE.+slice.+state.+changed )|(ment ac)|(system.+state.+changed )|(\[timeout)|(PRM\|1\|D)|(kpr)|(kdp)|(\|lc)|(penalty))" /e /r /s</v>
      </c>
      <c r="AG192" s="1" t="str">
        <f t="shared" si="52"/>
        <v>Other</v>
      </c>
      <c r="AH192" s="92" t="str">
        <f t="shared" si="53"/>
        <v>"%USERPROFILE%\Documents\GitHub\eaglep3\Utilities\RefineRTDCRunTimes.py" --tripid 303-06 --locoid 4040 --swversion DE.1.0.8.0 --startMP 204:444 --initTime 2016-11-06T18:41:59 --startdatetime 2016-11-06T18:45:11 --delay 1 --endMP 300:23308 --enddatetime 2016-11-06T18:52:54 --enforcementcount 0 &gt;&gt;C:\Users\stu\Documents\GitHub\eaglep3-reporting\EC\2016-11-06-refined-times.txt</v>
      </c>
      <c r="AI192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{"issue":{"subject":"","project_id":79,"tracker_id":40,"status_id":1,"priority_id":2,"assigned_to_id":23,"start_date":"2016-11-06","description":"","custom_fields":[{"id":1,"name":"Subdivision","value":"Other"},{"id":4,"name":"Milepost","value":"2.3308"},{"id":17,"name":"Train ID","value":"303-06"},{"id":16,"name":"Locomotive ID","value":"4040"},{"id":130,"name":"Impact","value":""},{"id":150,"name":"Time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434</v>
      </c>
      <c r="B193" s="7">
        <v>4045</v>
      </c>
      <c r="C193" s="22" t="s">
        <v>239</v>
      </c>
      <c r="D193" s="22" t="s">
        <v>727</v>
      </c>
      <c r="E193" s="13">
        <v>42680.140127314815</v>
      </c>
      <c r="F193" s="13">
        <v>42680.141458333332</v>
      </c>
      <c r="G193" s="7">
        <v>1</v>
      </c>
      <c r="H193" s="22" t="s">
        <v>728</v>
      </c>
      <c r="I193" s="13">
        <v>42680.147916666669</v>
      </c>
      <c r="J193" s="7">
        <v>0</v>
      </c>
      <c r="K193" s="112" t="str">
        <f t="shared" si="38"/>
        <v>4045/4046</v>
      </c>
      <c r="L193" s="22" t="str">
        <f>VLOOKUP(A193,'Trips&amp;Operators'!$C$1:$E$10000,3,FALSE)</f>
        <v>ACKERMAN</v>
      </c>
      <c r="M193" s="6">
        <f t="shared" si="39"/>
        <v>6.4583333369228058E-3</v>
      </c>
      <c r="N193" s="7">
        <f t="shared" si="40"/>
        <v>9.3000000051688403</v>
      </c>
      <c r="O193" s="7"/>
      <c r="P193" s="7"/>
      <c r="Q193" s="23"/>
      <c r="R193" s="23"/>
      <c r="S193" s="35">
        <f t="shared" si="41"/>
        <v>1</v>
      </c>
      <c r="T193" s="50" t="str">
        <f t="shared" si="4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02:21:47-0600',mode:absolute,to:'2016-11-06 04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2" t="str">
        <f t="shared" si="44"/>
        <v>Y</v>
      </c>
      <c r="X193" s="177">
        <f t="shared" ref="X192:X215" si="56">VALUE(LEFT(AD193,4))-VALUE(LEFT(AD192,4))</f>
        <v>1</v>
      </c>
      <c r="Y193" s="67">
        <f t="shared" si="46"/>
        <v>2.2328999999999999</v>
      </c>
      <c r="Z193" s="67">
        <f t="shared" si="47"/>
        <v>8.9999999999999993E-3</v>
      </c>
      <c r="AA193" s="67">
        <f t="shared" si="48"/>
        <v>2.2239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9"/>
        <v>0304-06</v>
      </c>
      <c r="AE193" s="91" t="str">
        <f t="shared" si="50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93" s="88" t="str">
        <f t="shared" si="51"/>
        <v>"C:\Program Files (x86)\AstroGrep\AstroGrep.exe" /spath="%USERPROFILE%\AppData\Local\Temp\OnboardLogs" /stypes="app*4045*20161106*" /stext=" 10:.+((SYSTEM_STATE.+slice.+state.+changed )|(ment ac)|(system.+state.+changed )|(\[timeout)|(PRM\|1\|D)|(kpr)|(kdp)|(\|lc)|(penalty))" /e /r /s</v>
      </c>
      <c r="AG193" s="1" t="str">
        <f t="shared" si="52"/>
        <v>Other</v>
      </c>
      <c r="AH193" s="92" t="str">
        <f t="shared" si="53"/>
        <v>"%USERPROFILE%\Documents\GitHub\eaglep3\Utilities\RefineRTDCRunTimes.py" --tripid 304-06 --locoid 4045 --swversion DE.1.0.8.0 --startMP 300:22329 --initTime 2016-11-06T03:21:47 --startdatetime 2016-11-06T03:23:42 --delay 1 --endMP 204:90 --enddatetime 2016-11-06T03:33:00 --enforcementcount 0 &gt;&gt;C:\Users\stu\Documents\GitHub\eaglep3-reporting\EC\2016-11-06-refined-times.txt</v>
      </c>
      <c r="AI193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{"issue":{"subject":"","project_id":79,"tracker_id":40,"status_id":1,"priority_id":2,"assigned_to_id":23,"start_date":"2016-11-06","description":"","custom_fields":[{"id":1,"name":"Subdivision","value":"Other"},{"id":4,"name":"Milepost","value":"0.009"},{"id":17,"name":"Train ID","value":"304-06"},{"id":16,"name":"Locomotive ID","value":"4045"},{"id":130,"name":"Impact","value":""},{"id":150,"name":"Time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586</v>
      </c>
      <c r="B194" s="7">
        <v>4044</v>
      </c>
      <c r="C194" s="22" t="s">
        <v>239</v>
      </c>
      <c r="D194" s="22" t="s">
        <v>210</v>
      </c>
      <c r="E194" s="13">
        <v>42680.800451388888</v>
      </c>
      <c r="F194" s="13">
        <v>42680.803993055553</v>
      </c>
      <c r="G194" s="7">
        <v>1</v>
      </c>
      <c r="H194" s="22" t="s">
        <v>729</v>
      </c>
      <c r="I194" s="13">
        <v>42680.811597222222</v>
      </c>
      <c r="J194" s="7">
        <v>0</v>
      </c>
      <c r="K194" s="112" t="str">
        <f t="shared" si="38"/>
        <v>4043/4044</v>
      </c>
      <c r="L194" s="22" t="str">
        <f>VLOOKUP(A194,'Trips&amp;Operators'!$C$1:$E$10000,3,FALSE)</f>
        <v>YOUNG</v>
      </c>
      <c r="M194" s="6">
        <f t="shared" si="39"/>
        <v>7.6041666688979603E-3</v>
      </c>
      <c r="N194" s="7">
        <f t="shared" si="40"/>
        <v>10.950000003213063</v>
      </c>
      <c r="O194" s="7"/>
      <c r="P194" s="7"/>
      <c r="Q194" s="23"/>
      <c r="R194" s="23"/>
      <c r="S194" s="35">
        <f t="shared" si="41"/>
        <v>1</v>
      </c>
      <c r="T194" s="50" t="str">
        <f t="shared" si="4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18:12:39-0600',mode:absolute,to:'2016-11-06 20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4" s="52" t="str">
        <f t="shared" si="44"/>
        <v>Y</v>
      </c>
      <c r="X194" s="177">
        <f t="shared" si="56"/>
        <v>1</v>
      </c>
      <c r="Y194" s="67">
        <f t="shared" si="46"/>
        <v>4.6600000000000003E-2</v>
      </c>
      <c r="Z194" s="67">
        <f t="shared" si="47"/>
        <v>2.2991999999999999</v>
      </c>
      <c r="AA194" s="67">
        <f t="shared" si="48"/>
        <v>2.2525999999999997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9"/>
        <v>0305-06</v>
      </c>
      <c r="AE194" s="91" t="str">
        <f t="shared" si="50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94" s="88" t="str">
        <f t="shared" si="51"/>
        <v>"C:\Program Files (x86)\AstroGrep\AstroGrep.exe" /spath="%USERPROFILE%\AppData\Local\Temp\OnboardLogs" /stypes="app*4044*20161107*" /stext=" 02:.+((SYSTEM_STATE.+slice.+state.+changed )|(ment ac)|(system.+state.+changed )|(\[timeout)|(PRM\|1\|D)|(kpr)|(kdp)|(\|lc)|(penalty))" /e /r /s</v>
      </c>
      <c r="AG194" s="1" t="str">
        <f t="shared" si="52"/>
        <v>Other</v>
      </c>
      <c r="AH194" s="92" t="str">
        <f t="shared" si="53"/>
        <v>"%USERPROFILE%\Documents\GitHub\eaglep3\Utilities\RefineRTDCRunTimes.py" --tripid 305-06 --locoid 4044 --swversion DE.1.0.8.0 --startMP 204:466 --initTime 2016-11-06T19:12:39 --startdatetime 2016-11-06T19:17:45 --delay 1 --endMP 300:22992 --enddatetime 2016-11-06T19:28:42 --enforcementcount 0 &gt;&gt;C:\Users\stu\Documents\GitHub\eaglep3-reporting\EC\2016-11-06-refined-times.txt</v>
      </c>
      <c r="AI194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{"issue":{"subject":"","project_id":79,"tracker_id":40,"status_id":1,"priority_id":2,"assigned_to_id":23,"start_date":"2016-11-06","description":"","custom_fields":[{"id":1,"name":"Subdivision","value":"Other"},{"id":4,"name":"Milepost","value":"2.2992"},{"id":17,"name":"Train ID","value":"305-06"},{"id":16,"name":"Locomotive ID","value":"4044"},{"id":130,"name":"Impact","value":""},{"id":150,"name":"Time of Event (Mountain Time)","value":"19:28:42"},{"id":151,"name":"Denver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391</v>
      </c>
      <c r="B195" s="7">
        <v>4030</v>
      </c>
      <c r="C195" s="22" t="s">
        <v>239</v>
      </c>
      <c r="D195" s="22" t="s">
        <v>730</v>
      </c>
      <c r="E195" s="13">
        <v>42680.163194444445</v>
      </c>
      <c r="F195" s="13">
        <v>42680.164629629631</v>
      </c>
      <c r="G195" s="7">
        <v>1</v>
      </c>
      <c r="H195" s="22" t="s">
        <v>366</v>
      </c>
      <c r="I195" s="13">
        <v>42680.170682870368</v>
      </c>
      <c r="J195" s="7">
        <v>0</v>
      </c>
      <c r="K195" s="112" t="str">
        <f t="shared" si="38"/>
        <v>4029/4030</v>
      </c>
      <c r="L195" s="22" t="str">
        <f>VLOOKUP(A195,'Trips&amp;Operators'!$C$1:$E$10000,3,FALSE)</f>
        <v>MAELZER</v>
      </c>
      <c r="M195" s="6">
        <f t="shared" si="39"/>
        <v>6.0532407369464636E-3</v>
      </c>
      <c r="N195" s="7">
        <f t="shared" si="40"/>
        <v>8.7166666612029076</v>
      </c>
      <c r="O195" s="7"/>
      <c r="P195" s="7"/>
      <c r="Q195" s="23"/>
      <c r="R195" s="23"/>
      <c r="S195" s="35">
        <f t="shared" si="41"/>
        <v>1</v>
      </c>
      <c r="T195" s="50" t="str">
        <f t="shared" si="4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02:55:00-0600',mode:absolute,to:'2016-11-06 05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2" t="str">
        <f t="shared" si="44"/>
        <v>Y</v>
      </c>
      <c r="X195" s="177">
        <f t="shared" si="56"/>
        <v>1</v>
      </c>
      <c r="Y195" s="67">
        <f t="shared" si="46"/>
        <v>2.3134999999999999</v>
      </c>
      <c r="Z195" s="67">
        <f t="shared" si="47"/>
        <v>1.4999999999999999E-2</v>
      </c>
      <c r="AA195" s="67">
        <f t="shared" si="48"/>
        <v>2.2984999999999998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9"/>
        <v>0306-06</v>
      </c>
      <c r="AE195" s="91" t="str">
        <f t="shared" si="50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95" s="88" t="str">
        <f t="shared" si="51"/>
        <v>"C:\Program Files (x86)\AstroGrep\AstroGrep.exe" /spath="%USERPROFILE%\AppData\Local\Temp\OnboardLogs" /stypes="app*4030*20161106*" /stext=" 11:.+((SYSTEM_STATE.+slice.+state.+changed )|(ment ac)|(system.+state.+changed )|(\[timeout)|(PRM\|1\|D)|(kpr)|(kdp)|(\|lc)|(penalty))" /e /r /s</v>
      </c>
      <c r="AG195" s="1" t="str">
        <f t="shared" si="52"/>
        <v>Other</v>
      </c>
      <c r="AH195" s="92" t="str">
        <f t="shared" si="53"/>
        <v>"%USERPROFILE%\Documents\GitHub\eaglep3\Utilities\RefineRTDCRunTimes.py" --tripid 306-06 --locoid 4030 --swversion DE.1.0.8.0 --startMP 300:23135 --initTime 2016-11-06T03:55:00 --startdatetime 2016-11-06T03:57:04 --delay 1 --endMP 204:150 --enddatetime 2016-11-06T04:05:47 --enforcementcount 0 &gt;&gt;C:\Users\stu\Documents\GitHub\eaglep3-reporting\EC\2016-11-06-refined-times.txt</v>
      </c>
      <c r="AI195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{"issue":{"subject":"","project_id":79,"tracker_id":40,"status_id":1,"priority_id":2,"assigned_to_id":23,"start_date":"2016-11-06","description":"","custom_fields":[{"id":1,"name":"Subdivision","value":"Other"},{"id":4,"name":"Milepost","value":"0.015"},{"id":17,"name":"Train ID","value":"306-06"},{"id":16,"name":"Locomotive ID","value":"4030"},{"id":130,"name":"Impact","value":""},{"id":150,"name":"Time of Event (Mountain Time)","value":"04:05:47"},{"id":151,"name":"Denver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590</v>
      </c>
      <c r="B196" s="7">
        <v>4046</v>
      </c>
      <c r="C196" s="22" t="s">
        <v>239</v>
      </c>
      <c r="D196" s="22" t="s">
        <v>637</v>
      </c>
      <c r="E196" s="13">
        <v>42680.816990740743</v>
      </c>
      <c r="F196" s="13">
        <v>25568.708333333332</v>
      </c>
      <c r="G196" s="7">
        <v>1</v>
      </c>
      <c r="H196" s="22" t="s">
        <v>731</v>
      </c>
      <c r="I196" s="13">
        <v>25568.708333333332</v>
      </c>
      <c r="J196" s="7">
        <v>0</v>
      </c>
      <c r="K196" s="112" t="str">
        <f t="shared" si="38"/>
        <v>4045/4046</v>
      </c>
      <c r="L196" s="22" t="str">
        <f>VLOOKUP(A196,'Trips&amp;Operators'!$C$1:$E$10000,3,FALSE)</f>
        <v>SHOOK</v>
      </c>
      <c r="M196" s="6">
        <f t="shared" si="39"/>
        <v>0</v>
      </c>
      <c r="N196" s="7">
        <f t="shared" si="40"/>
        <v>0</v>
      </c>
      <c r="O196" s="7"/>
      <c r="P196" s="7"/>
      <c r="Q196" s="23"/>
      <c r="R196" s="23"/>
      <c r="S196" s="35">
        <f t="shared" si="41"/>
        <v>1</v>
      </c>
      <c r="T196" s="50" t="str">
        <f t="shared" si="4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18:36:28-0600',mode:absolute,to:'1969-12-31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6" s="52" t="str">
        <f t="shared" si="44"/>
        <v>Y</v>
      </c>
      <c r="X196" s="177">
        <f t="shared" si="56"/>
        <v>1</v>
      </c>
      <c r="Y196" s="67">
        <f t="shared" si="46"/>
        <v>4.6699999999999998E-2</v>
      </c>
      <c r="Z196" s="67">
        <f t="shared" si="47"/>
        <v>2.3315999999999999</v>
      </c>
      <c r="AA196" s="67">
        <f t="shared" si="48"/>
        <v>2.2848999999999999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9"/>
        <v>0307-06</v>
      </c>
      <c r="AE196" s="91" t="str">
        <f t="shared" si="50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196" s="88" t="str">
        <f t="shared" si="51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196" s="1" t="str">
        <f t="shared" si="52"/>
        <v>Other</v>
      </c>
      <c r="AH196" s="92" t="str">
        <f t="shared" si="53"/>
        <v>"%USERPROFILE%\Documents\GitHub\eaglep3\Utilities\RefineRTDCRunTimes.py" --tripid 307-06 --locoid 4046 --swversion DE.1.0.8.0 --startMP 204:467 --initTime 2016-11-06T19:36:28 --startdatetime 1969-12-31T17:00:00 --delay 1 --endMP 300:23316 --enddatetime 1969-12-31T17:00:00 --enforcementcount 0 &gt;&gt;C:\Users\stu\Documents\GitHub\eaglep3-reporting\EC\2016-11-06-refined-times.txt</v>
      </c>
      <c r="AI196" s="122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ID","value":"307-06"},{"id":16,"name":"Locomotive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392</v>
      </c>
      <c r="B197" s="7">
        <v>4012</v>
      </c>
      <c r="C197" s="22" t="s">
        <v>239</v>
      </c>
      <c r="D197" s="22" t="s">
        <v>732</v>
      </c>
      <c r="E197" s="13">
        <v>42680.175902777781</v>
      </c>
      <c r="F197" s="13">
        <v>42680.177581018521</v>
      </c>
      <c r="G197" s="7">
        <v>2</v>
      </c>
      <c r="H197" s="22" t="s">
        <v>203</v>
      </c>
      <c r="I197" s="13">
        <v>42680.185740740744</v>
      </c>
      <c r="J197" s="7">
        <v>0</v>
      </c>
      <c r="K197" s="112" t="str">
        <f t="shared" si="38"/>
        <v>4011/4012</v>
      </c>
      <c r="L197" s="22" t="str">
        <f>VLOOKUP(A197,'Trips&amp;Operators'!$C$1:$E$10000,3,FALSE)</f>
        <v>DAVIS</v>
      </c>
      <c r="M197" s="6">
        <f t="shared" si="39"/>
        <v>8.1597222233540379E-3</v>
      </c>
      <c r="N197" s="7">
        <f t="shared" si="40"/>
        <v>11.750000001629815</v>
      </c>
      <c r="O197" s="7"/>
      <c r="P197" s="7"/>
      <c r="Q197" s="23"/>
      <c r="R197" s="23"/>
      <c r="S197" s="35">
        <f t="shared" si="41"/>
        <v>1</v>
      </c>
      <c r="T197" s="50" t="str">
        <f t="shared" si="4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03:13:18-0600',mode:absolute,to:'2016-11-06 05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2" t="str">
        <f t="shared" si="44"/>
        <v>Y</v>
      </c>
      <c r="X197" s="177">
        <f t="shared" si="56"/>
        <v>1</v>
      </c>
      <c r="Y197" s="67">
        <f t="shared" si="46"/>
        <v>2.3372000000000002</v>
      </c>
      <c r="Z197" s="67">
        <f t="shared" si="47"/>
        <v>1.54E-2</v>
      </c>
      <c r="AA197" s="67">
        <f t="shared" si="48"/>
        <v>2.3218000000000001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9"/>
        <v>0308-06</v>
      </c>
      <c r="AE197" s="91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97" s="88" t="str">
        <f t="shared" si="51"/>
        <v>"C:\Program Files (x86)\AstroGrep\AstroGrep.exe" /spath="%USERPROFILE%\AppData\Local\Temp\OnboardLogs" /stypes="app*4012*20161106*" /stext=" 11:.+((SYSTEM_STATE.+slice.+state.+changed )|(ment ac)|(system.+state.+changed )|(\[timeout)|(PRM\|1\|D)|(kpr)|(kdp)|(\|lc)|(penalty))" /e /r /s</v>
      </c>
      <c r="AG197" s="1" t="str">
        <f t="shared" si="52"/>
        <v>Other</v>
      </c>
      <c r="AH197" s="92" t="str">
        <f t="shared" si="53"/>
        <v>"%USERPROFILE%\Documents\GitHub\eaglep3\Utilities\RefineRTDCRunTimes.py" --tripid 308-06 --locoid 4012 --swversion DE.1.0.8.0 --startMP 300:23372 --initTime 2016-11-06T04:13:18 --startdatetime 2016-11-06T04:15:43 --delay 2 --endMP 204:154 --enddatetime 2016-11-06T04:27:28 --enforcementcount 0 &gt;&gt;C:\Users\stu\Documents\GitHub\eaglep3-reporting\EC\2016-11-06-refined-times.txt</v>
      </c>
      <c r="AI197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{"issue":{"subject":"","project_id":79,"tracker_id":40,"status_id":1,"priority_id":2,"assigned_to_id":23,"start_date":"2016-11-06","description":"","custom_fields":[{"id":1,"name":"Subdivision","value":"Other"},{"id":4,"name":"Milepost","value":"0.0154"},{"id":17,"name":"Train ID","value":"308-06"},{"id":16,"name":"Locomotive ID","value":"4012"},{"id":130,"name":"Impact","value":""},{"id":150,"name":"Time of Event (Mountain Time)","value":"04:27:28"},{"id":151,"name":"Denver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429</v>
      </c>
      <c r="B198" s="7">
        <v>4025</v>
      </c>
      <c r="C198" s="22" t="s">
        <v>239</v>
      </c>
      <c r="D198" s="22" t="s">
        <v>207</v>
      </c>
      <c r="E198" s="13">
        <v>42680.088553240741</v>
      </c>
      <c r="F198" s="13">
        <v>25568.708333333332</v>
      </c>
      <c r="G198" s="7">
        <v>1</v>
      </c>
      <c r="H198" s="22" t="s">
        <v>381</v>
      </c>
      <c r="I198" s="13">
        <v>25568.708333333332</v>
      </c>
      <c r="J198" s="7">
        <v>0</v>
      </c>
      <c r="K198" s="112" t="str">
        <f t="shared" si="38"/>
        <v>4025/4026</v>
      </c>
      <c r="L198" s="22" t="str">
        <f>VLOOKUP(A198,'Trips&amp;Operators'!$C$1:$E$10000,3,FALSE)</f>
        <v>SMITH</v>
      </c>
      <c r="M198" s="6">
        <f t="shared" si="39"/>
        <v>0</v>
      </c>
      <c r="N198" s="7">
        <f t="shared" si="40"/>
        <v>0</v>
      </c>
      <c r="O198" s="7"/>
      <c r="P198" s="7"/>
      <c r="Q198" s="23"/>
      <c r="R198" s="23"/>
      <c r="S198" s="35">
        <f t="shared" si="41"/>
        <v>1</v>
      </c>
      <c r="T198" s="50" t="str">
        <f t="shared" si="4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01:07:31-0600',mode:absolute,to:'1969-12-31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2" t="str">
        <f t="shared" si="44"/>
        <v>Y</v>
      </c>
      <c r="X198" s="177">
        <f t="shared" si="56"/>
        <v>1</v>
      </c>
      <c r="Y198" s="67">
        <f t="shared" si="46"/>
        <v>4.4699999999999997E-2</v>
      </c>
      <c r="Z198" s="67">
        <f t="shared" si="47"/>
        <v>2.3308</v>
      </c>
      <c r="AA198" s="67">
        <f t="shared" si="48"/>
        <v>2.2860999999999998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9"/>
        <v>0309-05</v>
      </c>
      <c r="AE198" s="91" t="str">
        <f t="shared" si="5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8" s="88" t="str">
        <f t="shared" si="51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198" s="1" t="str">
        <f t="shared" si="52"/>
        <v>Other</v>
      </c>
      <c r="AH198" s="92" t="str">
        <f t="shared" si="53"/>
        <v>"%USERPROFILE%\Documents\GitHub\eaglep3\Utilities\RefineRTDCRunTimes.py" --tripid 309-05 --locoid 4025 --swversion DE.1.0.8.0 --startMP 204:447 --initTime 2016-11-06T02:07:31 --startdatetime 1969-12-31T17:00:00 --delay 1 --endMP 300:23308 --enddatetime 1969-12-31T17:00:00 --enforcementcount 0 &gt;&gt;C:\Users\stu\Documents\GitHub\eaglep3-reporting\EC\2016-11-06-refined-times.txt</v>
      </c>
      <c r="AI198" s="122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619</v>
      </c>
      <c r="B199" s="7">
        <v>4007</v>
      </c>
      <c r="C199" s="22" t="s">
        <v>239</v>
      </c>
      <c r="D199" s="22" t="s">
        <v>213</v>
      </c>
      <c r="E199" s="13">
        <v>42681.028067129628</v>
      </c>
      <c r="F199" s="13">
        <v>42681.029351851852</v>
      </c>
      <c r="G199" s="7">
        <v>1</v>
      </c>
      <c r="H199" s="22" t="s">
        <v>733</v>
      </c>
      <c r="I199" s="13">
        <v>42681.03570601852</v>
      </c>
      <c r="J199" s="7">
        <v>0</v>
      </c>
      <c r="K199" s="112" t="str">
        <f t="shared" si="38"/>
        <v>4007/4008</v>
      </c>
      <c r="L199" s="22" t="str">
        <f>VLOOKUP(A199,'Trips&amp;Operators'!$C$1:$E$10000,3,FALSE)</f>
        <v>LEVERE</v>
      </c>
      <c r="M199" s="6">
        <f t="shared" si="39"/>
        <v>6.3541666677338071E-3</v>
      </c>
      <c r="N199" s="7">
        <f t="shared" si="40"/>
        <v>9.1500000015366822</v>
      </c>
      <c r="O199" s="7"/>
      <c r="P199" s="7"/>
      <c r="Q199" s="23"/>
      <c r="R199" s="23"/>
      <c r="S199" s="35">
        <f t="shared" si="41"/>
        <v>1</v>
      </c>
      <c r="T199" s="50" t="str">
        <f t="shared" si="42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23:40:25-0600',mode:absolute,to:'2016-11-07 01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9" s="52" t="str">
        <f t="shared" si="44"/>
        <v>Y</v>
      </c>
      <c r="X199" s="177">
        <f t="shared" si="56"/>
        <v>0</v>
      </c>
      <c r="Y199" s="67">
        <f t="shared" si="46"/>
        <v>4.5100000000000001E-2</v>
      </c>
      <c r="Z199" s="67">
        <f t="shared" si="47"/>
        <v>2.2848000000000002</v>
      </c>
      <c r="AA199" s="67">
        <f t="shared" si="48"/>
        <v>2.2397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9"/>
        <v>0309-06</v>
      </c>
      <c r="AE199" s="91" t="str">
        <f t="shared" si="50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99" s="88" t="str">
        <f t="shared" si="51"/>
        <v>"C:\Program Files (x86)\AstroGrep\AstroGrep.exe" /spath="%USERPROFILE%\AppData\Local\Temp\OnboardLogs" /stypes="app*4007*20161107*" /stext=" 07:.+((SYSTEM_STATE.+slice.+state.+changed )|(ment ac)|(system.+state.+changed )|(\[timeout)|(PRM\|1\|D)|(kpr)|(kdp)|(\|lc)|(penalty))" /e /r /s</v>
      </c>
      <c r="AG199" s="1" t="str">
        <f t="shared" si="52"/>
        <v>Other</v>
      </c>
      <c r="AH199" s="92" t="str">
        <f t="shared" si="53"/>
        <v>"%USERPROFILE%\Documents\GitHub\eaglep3\Utilities\RefineRTDCRunTimes.py" --tripid 309-06 --locoid 4007 --swversion DE.1.0.8.0 --startMP 204:451 --initTime 2016-11-07T00:40:25 --startdatetime 2016-11-07T00:42:16 --delay 1 --endMP 300:22848 --enddatetime 2016-11-07T00:51:25 --enforcementcount 0 &gt;&gt;C:\Users\stu\Documents\GitHub\eaglep3-reporting\EC\2016-11-06-refined-times.txt</v>
      </c>
      <c r="AI199" s="122" t="str">
        <f t="shared" si="54"/>
        <v>echo {"issue":{"subject":"","project_id":79,"tracker_id":40,"status_id":1,"priority_id":2,"assigned_to_id":23,"start_date":"2016-11-07","description":"","custom_fields":[{"id":1,"name":"Subdivision","value":"Other"},{"id":4,"name":"Milepost","value":"2.2848"},{"id":17,"name":"Train ID","value":"309-06"},{"id":16,"name":"Locomotive ID","value":"4007"},{"id":130,"name":"Impact","value":""},{"id":150,"name":"Time of Event (Mountain Time)","value":"00:51:25"},{"id":151,"name":"Denver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393</v>
      </c>
      <c r="B200" s="7">
        <v>4039</v>
      </c>
      <c r="C200" s="22" t="s">
        <v>239</v>
      </c>
      <c r="D200" s="22" t="s">
        <v>734</v>
      </c>
      <c r="E200" s="13">
        <v>42680.179976851854</v>
      </c>
      <c r="F200" s="13">
        <v>42680.181921296295</v>
      </c>
      <c r="G200" s="7">
        <v>1</v>
      </c>
      <c r="H200" s="22" t="s">
        <v>735</v>
      </c>
      <c r="I200" s="13">
        <v>42680.187997685185</v>
      </c>
      <c r="J200" s="7">
        <v>0</v>
      </c>
      <c r="K200" s="112" t="str">
        <f t="shared" si="38"/>
        <v>4039/4040</v>
      </c>
      <c r="L200" s="22" t="str">
        <f>VLOOKUP(A200,'Trips&amp;Operators'!$C$1:$E$10000,3,FALSE)</f>
        <v>MALAVE</v>
      </c>
      <c r="M200" s="6">
        <f t="shared" si="39"/>
        <v>6.0763888905057684E-3</v>
      </c>
      <c r="N200" s="7">
        <f t="shared" si="40"/>
        <v>8.7500000023283064</v>
      </c>
      <c r="O200" s="7"/>
      <c r="P200" s="7"/>
      <c r="Q200" s="23"/>
      <c r="R200" s="23"/>
      <c r="S200" s="35">
        <f t="shared" si="41"/>
        <v>1</v>
      </c>
      <c r="T200" s="50" t="str">
        <f t="shared" si="42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03:19:10-0600',mode:absolute,to:'2016-11-06 05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44"/>
        <v>Y</v>
      </c>
      <c r="X200" s="177">
        <f t="shared" si="56"/>
        <v>1</v>
      </c>
      <c r="Y200" s="67">
        <f t="shared" si="46"/>
        <v>2.3538000000000001</v>
      </c>
      <c r="Z200" s="67">
        <f t="shared" si="47"/>
        <v>1.7000000000000001E-2</v>
      </c>
      <c r="AA200" s="67">
        <f t="shared" si="48"/>
        <v>2.3368000000000002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9"/>
        <v>0310-06</v>
      </c>
      <c r="AE200" s="91" t="str">
        <f t="shared" si="50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00" s="88" t="str">
        <f t="shared" si="51"/>
        <v>"C:\Program Files (x86)\AstroGrep\AstroGrep.exe" /spath="%USERPROFILE%\AppData\Local\Temp\OnboardLogs" /stypes="app*4039*20161106*" /stext=" 11:.+((SYSTEM_STATE.+slice.+state.+changed )|(ment ac)|(system.+state.+changed )|(\[timeout)|(PRM\|1\|D)|(kpr)|(kdp)|(\|lc)|(penalty))" /e /r /s</v>
      </c>
      <c r="AG200" s="1" t="str">
        <f t="shared" si="52"/>
        <v>Other</v>
      </c>
      <c r="AH200" s="92" t="str">
        <f t="shared" si="53"/>
        <v>"%USERPROFILE%\Documents\GitHub\eaglep3\Utilities\RefineRTDCRunTimes.py" --tripid 310-06 --locoid 4039 --swversion DE.1.0.8.0 --startMP 300:23538 --initTime 2016-11-06T04:19:10 --startdatetime 2016-11-06T04:21:58 --delay 1 --endMP 204:170 --enddatetime 2016-11-06T04:30:43 --enforcementcount 0 &gt;&gt;C:\Users\stu\Documents\GitHub\eaglep3-reporting\EC\2016-11-06-refined-times.txt</v>
      </c>
      <c r="AI200" s="122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{"issue":{"subject":"","project_id":79,"tracker_id":40,"status_id":1,"priority_id":2,"assigned_to_id":23,"start_date":"2016-11-06","description":"","custom_fields":[{"id":1,"name":"Subdivision","value":"Other"},{"id":4,"name":"Milepost","value":"0.017"},{"id":17,"name":"Train ID","value":"310-06"},{"id":16,"name":"Locomotive ID","value":"4039"},{"id":130,"name":"Impact","value":""},{"id":150,"name":"Time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430</v>
      </c>
      <c r="B201" s="7">
        <v>4053</v>
      </c>
      <c r="C201" s="22" t="s">
        <v>239</v>
      </c>
      <c r="D201" s="22" t="s">
        <v>254</v>
      </c>
      <c r="E201" s="13">
        <v>42680.111284722225</v>
      </c>
      <c r="F201" s="13">
        <v>25568.708333333332</v>
      </c>
      <c r="G201" s="7">
        <v>1</v>
      </c>
      <c r="H201" s="22" t="s">
        <v>736</v>
      </c>
      <c r="I201" s="13">
        <v>25568.708333333332</v>
      </c>
      <c r="J201" s="7">
        <v>0</v>
      </c>
      <c r="K201" s="112" t="str">
        <f t="shared" si="38"/>
        <v>4053/4054</v>
      </c>
      <c r="L201" s="22" t="str">
        <f>VLOOKUP(A201,'Trips&amp;Operators'!$C$1:$E$10000,3,FALSE)</f>
        <v>ARVIDSON</v>
      </c>
      <c r="M201" s="6">
        <f t="shared" si="39"/>
        <v>0</v>
      </c>
      <c r="N201" s="7">
        <f t="shared" si="40"/>
        <v>0</v>
      </c>
      <c r="O201" s="7"/>
      <c r="P201" s="7"/>
      <c r="Q201" s="23"/>
      <c r="R201" s="23"/>
      <c r="S201" s="35">
        <f t="shared" si="41"/>
        <v>1</v>
      </c>
      <c r="T201" s="50" t="str">
        <f t="shared" si="42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1" s="52" t="str">
        <f t="shared" si="44"/>
        <v>Y</v>
      </c>
      <c r="X201" s="177">
        <f t="shared" si="56"/>
        <v>1</v>
      </c>
      <c r="Y201" s="67">
        <f t="shared" si="46"/>
        <v>4.4400000000000002E-2</v>
      </c>
      <c r="Z201" s="67">
        <f t="shared" si="47"/>
        <v>2.3001999999999998</v>
      </c>
      <c r="AA201" s="67">
        <f t="shared" si="48"/>
        <v>2.2557999999999998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9"/>
        <v>0311-05</v>
      </c>
      <c r="AE201" s="91" t="str">
        <f t="shared" si="5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1" s="88" t="str">
        <f t="shared" si="51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01" s="1" t="str">
        <f t="shared" si="52"/>
        <v>Other</v>
      </c>
      <c r="AH201" s="92" t="str">
        <f t="shared" ref="AH201:AH220" si="57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311-05 --locoid 4053 --swversion DE.1.0.8.0 --startMP 204:444 --initTime 2016-11-06T02:40:15 --startdatetime 1969-12-31T17:00:00 --delay 1 --endMP 300:23002 --enddatetime 1969-12-31T17:00:00 --enforcementcount 0 &gt;&gt;C:\Users\stu\Documents\GitHub\eaglep3-reporting\EC\2016-11-06-refined-times.txt</v>
      </c>
      <c r="AI201" s="122" t="str">
        <f t="shared" ref="AI201:AI220" si="58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ID","value":"311-05"},{"id":16,"name":"Locomotive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621</v>
      </c>
      <c r="B202" s="7">
        <v>4042</v>
      </c>
      <c r="C202" s="22" t="s">
        <v>239</v>
      </c>
      <c r="D202" s="22" t="s">
        <v>660</v>
      </c>
      <c r="E202" s="13">
        <v>42681.067557870374</v>
      </c>
      <c r="F202" s="13">
        <v>25568.708333333332</v>
      </c>
      <c r="G202" s="7">
        <v>1</v>
      </c>
      <c r="H202" s="22" t="s">
        <v>737</v>
      </c>
      <c r="I202" s="13">
        <v>25568.708333333332</v>
      </c>
      <c r="J202" s="7">
        <v>0</v>
      </c>
      <c r="K202" s="112" t="str">
        <f t="shared" si="38"/>
        <v>4041/4042</v>
      </c>
      <c r="L202" s="22" t="str">
        <f>VLOOKUP(A202,'Trips&amp;Operators'!$C$1:$E$10000,3,FALSE)</f>
        <v>BERLING</v>
      </c>
      <c r="M202" s="6">
        <f t="shared" si="39"/>
        <v>0</v>
      </c>
      <c r="N202" s="7">
        <f t="shared" si="40"/>
        <v>0</v>
      </c>
      <c r="O202" s="7"/>
      <c r="P202" s="7"/>
      <c r="Q202" s="23"/>
      <c r="R202" s="23"/>
      <c r="S202" s="35">
        <f t="shared" si="41"/>
        <v>1</v>
      </c>
      <c r="T202" s="50" t="str">
        <f t="shared" si="4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00:37:17-0600',mode:absolute,to:'1969-12-31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44"/>
        <v>Y</v>
      </c>
      <c r="X202" s="177">
        <f t="shared" si="56"/>
        <v>2</v>
      </c>
      <c r="Y202" s="67">
        <f t="shared" si="46"/>
        <v>4.8000000000000001E-2</v>
      </c>
      <c r="Z202" s="67">
        <f t="shared" si="47"/>
        <v>2.3346</v>
      </c>
      <c r="AA202" s="67">
        <f t="shared" si="48"/>
        <v>2.2866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9"/>
        <v>0313-06</v>
      </c>
      <c r="AE202" s="91" t="str">
        <f t="shared" si="5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8" t="str">
        <f t="shared" si="51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02" s="1" t="str">
        <f t="shared" si="52"/>
        <v>Other</v>
      </c>
      <c r="AH202" s="92" t="str">
        <f t="shared" si="57"/>
        <v>"%USERPROFILE%\Documents\GitHub\eaglep3\Utilities\RefineRTDCRunTimes.py" --tripid 313-06 --locoid 4042 --swversion DE.1.0.8.0 --startMP 204:480 --initTime 2016-11-07T01:37:17 --startdatetime 1969-12-31T17:00:00 --delay 1 --endMP 300:23346 --enddatetime 1969-12-31T17:00:00 --enforcementcount 0 &gt;&gt;C:\Users\stu\Documents\GitHub\eaglep3-reporting\EC\2016-11-06-refined-times.txt</v>
      </c>
      <c r="AI202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ID","value":"313-06"},{"id":16,"name":"Locomotive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427</v>
      </c>
      <c r="B203" s="7">
        <v>4014</v>
      </c>
      <c r="C203" s="22" t="s">
        <v>239</v>
      </c>
      <c r="D203" s="22" t="s">
        <v>233</v>
      </c>
      <c r="E203" s="13">
        <v>42680.077037037037</v>
      </c>
      <c r="F203" s="13">
        <v>25568.708333333332</v>
      </c>
      <c r="G203" s="7">
        <v>1</v>
      </c>
      <c r="H203" s="22" t="s">
        <v>341</v>
      </c>
      <c r="I203" s="13">
        <v>25568.708333333332</v>
      </c>
      <c r="J203" s="7">
        <v>0</v>
      </c>
      <c r="K203" s="112" t="str">
        <f t="shared" si="38"/>
        <v>4013/4014</v>
      </c>
      <c r="L203" s="22" t="str">
        <f>VLOOKUP(A203,'Trips&amp;Operators'!$C$1:$E$10000,3,FALSE)</f>
        <v>LEVIN</v>
      </c>
      <c r="M203" s="6">
        <f t="shared" si="39"/>
        <v>0</v>
      </c>
      <c r="N203" s="7">
        <f t="shared" si="40"/>
        <v>0</v>
      </c>
      <c r="O203" s="7"/>
      <c r="P203" s="7"/>
      <c r="Q203" s="23"/>
      <c r="R203" s="23"/>
      <c r="S203" s="35">
        <f t="shared" si="41"/>
        <v>1</v>
      </c>
      <c r="T203" s="50" t="str">
        <f t="shared" si="42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00:50:56-0600',mode:absolute,to:'1969-12-31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2" t="str">
        <f t="shared" si="44"/>
        <v>Y</v>
      </c>
      <c r="X203" s="177">
        <f t="shared" si="56"/>
        <v>2</v>
      </c>
      <c r="Y203" s="67">
        <f t="shared" si="46"/>
        <v>4.5699999999999998E-2</v>
      </c>
      <c r="Z203" s="67">
        <f t="shared" si="47"/>
        <v>2.3302</v>
      </c>
      <c r="AA203" s="67">
        <f t="shared" si="48"/>
        <v>2.2845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49"/>
        <v>0315-05</v>
      </c>
      <c r="AE203" s="91" t="str">
        <f t="shared" si="50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88" t="str">
        <f t="shared" si="51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3" s="1" t="str">
        <f t="shared" si="52"/>
        <v>Other</v>
      </c>
      <c r="AH203" s="92" t="str">
        <f t="shared" si="57"/>
        <v>"%USERPROFILE%\Documents\GitHub\eaglep3\Utilities\RefineRTDCRunTimes.py" --tripid 315-05 --locoid 4014 --swversion DE.1.0.8.0 --startMP 204:457 --initTime 2016-11-06T01:50:56 --startdatetime 1969-12-31T17:00:00 --delay 1 --endMP 300:23302 --enddatetime 1969-12-31T17:00:00 --enforcementcount 0 &gt;&gt;C:\Users\stu\Documents\GitHub\eaglep3-reporting\EC\2016-11-06-refined-times.txt</v>
      </c>
      <c r="AI203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ID","value":"315-05"},{"id":16,"name":"Locomotive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445</v>
      </c>
      <c r="B204" s="7">
        <v>4031</v>
      </c>
      <c r="C204" s="22" t="s">
        <v>239</v>
      </c>
      <c r="D204" s="22" t="s">
        <v>707</v>
      </c>
      <c r="E204" s="13">
        <v>42680.221666666665</v>
      </c>
      <c r="F204" s="13">
        <v>42680.226631944446</v>
      </c>
      <c r="G204" s="7">
        <v>7</v>
      </c>
      <c r="H204" s="22" t="s">
        <v>318</v>
      </c>
      <c r="I204" s="13">
        <v>42680.232048611113</v>
      </c>
      <c r="J204" s="7">
        <v>0</v>
      </c>
      <c r="K204" s="112" t="str">
        <f t="shared" ref="K204:K220" si="59">IF(ISEVEN(B204),(B204-1)&amp;"/"&amp;B204,B204&amp;"/"&amp;(B204+1))</f>
        <v>4031/4032</v>
      </c>
      <c r="L204" s="22" t="str">
        <f>VLOOKUP(A204,'Trips&amp;Operators'!$C$1:$E$10000,3,FALSE)</f>
        <v>STARKS</v>
      </c>
      <c r="M204" s="6">
        <f t="shared" ref="M204:M220" si="60">I204-F204</f>
        <v>5.4166666668606922E-3</v>
      </c>
      <c r="N204" s="7">
        <f t="shared" ref="N204:N220" si="61">24*60*SUM($M204:$M204)</f>
        <v>7.8000000002793968</v>
      </c>
      <c r="O204" s="7"/>
      <c r="P204" s="7"/>
      <c r="Q204" s="23"/>
      <c r="R204" s="23"/>
      <c r="S204" s="35">
        <f t="shared" ref="S204:S220" si="62">SUM(U204:U204)/IF(AG204="EC",12,1)</f>
        <v>0</v>
      </c>
      <c r="T204" s="50" t="str">
        <f t="shared" ref="T204:T220" si="63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ref="V204:V220" si="64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https://search-rtdc-monitor-bjffxe2xuh6vdkpspy63sjmuny.us-east-1.es.amazonaws.com/_plugin/kibana/#/discover/Steve-Slow-Train-Analysis-(2080s-and-2083s)?_g=(refreshInterval:(display:Off,section:0,value:0),time:(from:'2016-11-06 04:19:12-0600',mode:absolute,to:'2016-11-06 06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ref="W204:W220" si="65">IF(AA204&lt;IF(AG204="EC",23,5.65),"Y","N")</f>
        <v>Y</v>
      </c>
      <c r="X204" s="177">
        <f t="shared" si="56"/>
        <v>1586</v>
      </c>
      <c r="Y204" s="67">
        <f t="shared" ref="Y204:Y220" si="66">RIGHT(D204,LEN(D204)-4)/10000</f>
        <v>2.9748000000000001</v>
      </c>
      <c r="Z204" s="67">
        <f t="shared" ref="Z204:Z220" si="67">RIGHT(H204,LEN(H204)-4)/10000</f>
        <v>5.8930999999999996</v>
      </c>
      <c r="AA204" s="67">
        <f t="shared" ref="AA204:AA220" si="68">ABS(Z204-Y204)</f>
        <v>2.9182999999999995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ref="AD204:AD220" si="69">IF(LEN(A204)=6,"0"&amp;A204,A204)</f>
        <v>1901-06</v>
      </c>
      <c r="AE204" s="91" t="str">
        <f t="shared" ref="AE204:AE220" si="7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204" s="88" t="str">
        <f t="shared" ref="AF204:AF220" si="71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/stypes="app*4031*20161106*" /stext=" 12:.+((SYSTEM_STATE.+slice.+state.+changed )|(ment ac)|(system.+state.+changed )|(\[timeout)|(PRM\|1\|D)|(kpr)|(kdp)|(\|lc)|(penalty))" /e /r /s</v>
      </c>
      <c r="AG204" s="1" t="str">
        <f t="shared" ref="AG204:AG220" si="72">IFERROR(IF(VALUE(LEFT(AD204,2))&lt;=2,"EC",IF(OR(VALUE(LEFT(AD204,2))=8,VALUE(LEFT(AD204,2))=18),"NW","Other")),"Other")</f>
        <v>Other</v>
      </c>
      <c r="AH204" s="92" t="str">
        <f t="shared" si="57"/>
        <v>"%USERPROFILE%\Documents\GitHub\eaglep3\Utilities\RefineRTDCRunTimes.py" --tripid 1901-06 --locoid 4031 --swversion DE.1.0.8.0 --startMP 300:29748 --initTime 2016-11-06T05:19:12 --startdatetime 2016-11-06T05:26:21 --delay 7 --endMP 300:58931 --enddatetime 2016-11-06T05:34:09 --enforcementcount 0 &gt;&gt;C:\Users\stu\Documents\GitHub\eaglep3-reporting\EC\2016-11-06-refined-times.txt</v>
      </c>
      <c r="AI204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{"issue":{"subject":"","project_id":79,"tracker_id":40,"status_id":1,"priority_id":2,"assigned_to_id":23,"start_date":"2016-11-06","description":"","custom_fields":[{"id":1,"name":"Subdivision","value":"Other"},{"id":4,"name":"Milepost","value":"5.8931"},{"id":17,"name":"Train ID","value":"1901-06"},{"id":16,"name":"Locomotive ID","value":"4031"},{"id":130,"name":"Impact","value":""},{"id":150,"name":"Time of Event (Mountain Time)","value":"05:34:09"},{"id":151,"name":"Denver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610</v>
      </c>
      <c r="B205" s="7">
        <v>4032</v>
      </c>
      <c r="C205" s="22" t="s">
        <v>239</v>
      </c>
      <c r="D205" s="22" t="s">
        <v>708</v>
      </c>
      <c r="E205" s="13">
        <v>42680.943356481483</v>
      </c>
      <c r="F205" s="13">
        <v>25568.708333333332</v>
      </c>
      <c r="G205" s="7">
        <v>1</v>
      </c>
      <c r="H205" s="22" t="s">
        <v>709</v>
      </c>
      <c r="I205" s="13">
        <v>25568.708333333332</v>
      </c>
      <c r="J205" s="7">
        <v>0</v>
      </c>
      <c r="K205" s="112" t="str">
        <f t="shared" si="59"/>
        <v>4031/4032</v>
      </c>
      <c r="L205" s="22" t="str">
        <f>VLOOKUP(A205,'Trips&amp;Operators'!$C$1:$E$10000,3,FALSE)</f>
        <v>ARVIDSON</v>
      </c>
      <c r="M205" s="6">
        <f t="shared" si="60"/>
        <v>0</v>
      </c>
      <c r="N205" s="7">
        <f t="shared" si="61"/>
        <v>0</v>
      </c>
      <c r="O205" s="7"/>
      <c r="P205" s="7"/>
      <c r="Q205" s="23"/>
      <c r="R205" s="23"/>
      <c r="S205" s="35">
        <f t="shared" si="62"/>
        <v>0</v>
      </c>
      <c r="T205" s="50" t="str">
        <f t="shared" si="63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21:38:26-0600',mode:absolute,to:'1969-12-31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52" t="str">
        <f t="shared" si="65"/>
        <v>Y</v>
      </c>
      <c r="X205" s="177">
        <f t="shared" si="56"/>
        <v>1</v>
      </c>
      <c r="Y205" s="67">
        <f t="shared" si="66"/>
        <v>5.8596000000000004</v>
      </c>
      <c r="Z205" s="67">
        <f t="shared" si="67"/>
        <v>2.8772000000000002</v>
      </c>
      <c r="AA205" s="67">
        <f t="shared" si="68"/>
        <v>2.9824000000000002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9"/>
        <v>1902-06</v>
      </c>
      <c r="AE205" s="91" t="str">
        <f t="shared" si="70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05" s="88" t="str">
        <f t="shared" si="71"/>
        <v>"C:\Program Files (x86)\AstroGrep\AstroGrep.exe" /spath="%USERPROFILE%\AppData\Local\Temp\OnboardLogs" /stypes="app*4032*19700101*" /stext=" 00:.+((SYSTEM_STATE.+slice.+state.+changed )|(ment ac)|(system.+state.+changed )|(\[timeout)|(PRM\|1\|D)|(kpr)|(kdp)|(\|lc)|(penalty))" /e /r /s</v>
      </c>
      <c r="AG205" s="1" t="str">
        <f t="shared" si="72"/>
        <v>Other</v>
      </c>
      <c r="AH205" s="92" t="str">
        <f t="shared" si="57"/>
        <v>"%USERPROFILE%\Documents\GitHub\eaglep3\Utilities\RefineRTDCRunTimes.py" --tripid 1902-06 --locoid 4032 --swversion DE.1.0.8.0 --startMP 300:58596 --initTime 2016-11-06T22:38:26 --startdatetime 1969-12-31T17:00:00 --delay 1 --endMP 300:28772 --enddatetime 1969-12-31T17:00:00 --enforcementcount 0 &gt;&gt;C:\Users\stu\Documents\GitHub\eaglep3-reporting\EC\2016-11-06-refined-times.txt</v>
      </c>
      <c r="AI205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ID","value":"1902-06"},{"id":16,"name":"Locomotive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428</v>
      </c>
      <c r="B206" s="7">
        <v>4054</v>
      </c>
      <c r="C206" s="22" t="s">
        <v>239</v>
      </c>
      <c r="D206" s="22" t="s">
        <v>738</v>
      </c>
      <c r="E206" s="13">
        <v>42680.081435185188</v>
      </c>
      <c r="F206" s="13">
        <v>42680.083460648151</v>
      </c>
      <c r="G206" s="7">
        <v>1</v>
      </c>
      <c r="H206" s="22" t="s">
        <v>310</v>
      </c>
      <c r="I206" s="13">
        <v>42680.109212962961</v>
      </c>
      <c r="J206" s="7">
        <v>0</v>
      </c>
      <c r="K206" s="112" t="str">
        <f t="shared" si="59"/>
        <v>4053/4054</v>
      </c>
      <c r="L206" s="22" t="str">
        <f>VLOOKUP(A206,'Trips&amp;Operators'!$C$1:$E$10000,3,FALSE)</f>
        <v>ARVIDSON</v>
      </c>
      <c r="M206" s="6">
        <f t="shared" si="60"/>
        <v>2.5752314810233656E-2</v>
      </c>
      <c r="N206" s="7">
        <f t="shared" si="61"/>
        <v>37.083333326736465</v>
      </c>
      <c r="O206" s="7"/>
      <c r="P206" s="7"/>
      <c r="Q206" s="23"/>
      <c r="R206" s="23"/>
      <c r="S206" s="35">
        <f t="shared" si="62"/>
        <v>0</v>
      </c>
      <c r="T206" s="50" t="e">
        <f t="shared" si="63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00:57:16-0600',mode:absolute,to:'2016-11-06 03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6" s="52" t="str">
        <f t="shared" si="65"/>
        <v>N</v>
      </c>
      <c r="X206" s="177" t="e">
        <f t="shared" si="56"/>
        <v>#VALUE!</v>
      </c>
      <c r="Y206" s="67">
        <f t="shared" si="66"/>
        <v>23.300699999999999</v>
      </c>
      <c r="Z206" s="67">
        <f t="shared" si="67"/>
        <v>1.2699999999999999E-2</v>
      </c>
      <c r="AA206" s="67">
        <f t="shared" si="68"/>
        <v>23.288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9"/>
        <v>42-05</v>
      </c>
      <c r="AE206" s="91" t="str">
        <f t="shared" si="70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206" s="88" t="str">
        <f t="shared" si="71"/>
        <v>"C:\Program Files (x86)\AstroGrep\AstroGrep.exe" /spath="%USERPROFILE%\AppData\Local\Temp\OnboardLogs" /stypes="app*4054*20161106*" /stext=" 09:.+((SYSTEM_STATE.+slice.+state.+changed )|(ment ac)|(system.+state.+changed )|(\[timeout)|(PRM\|1\|D)|(kpr)|(kdp)|(\|lc)|(penalty))" /e /r /s</v>
      </c>
      <c r="AG206" s="1" t="str">
        <f t="shared" si="72"/>
        <v>Other</v>
      </c>
      <c r="AH206" s="92" t="str">
        <f t="shared" si="57"/>
        <v>"%USERPROFILE%\Documents\GitHub\eaglep3\Utilities\RefineRTDCRunTimes.py" --tripid 42-05 --locoid 4054 --swversion DE.1.0.8.0 --startMP 204:233007 --initTime 2016-11-06T01:57:16 --startdatetime 2016-11-06T02:00:11 --delay 1 --endMP 204:127 --enddatetime 2016-11-06T02:37:16 --enforcementcount 0 &gt;&gt;C:\Users\stu\Documents\GitHub\eaglep3-reporting\EC\2016-11-06-refined-times.txt</v>
      </c>
      <c r="AI206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{"issue":{"subject":"","project_id":79,"tracker_id":40,"status_id":1,"priority_id":2,"assigned_to_id":23,"start_date":"2016-11-06","description":"","custom_fields":[{"id":1,"name":"Subdivision","value":"Other"},{"id":4,"name":"Milepost","value":"0.0127"},{"id":17,"name":"Train ID","value":"42-05"},{"id":16,"name":"Locomotive ID","value":"4054"},{"id":130,"name":"Impact","value":""},{"id":150,"name":"Time of Event (Mountain Time)","value":"02:37:16"},{"id":151,"name":"Denver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561</v>
      </c>
      <c r="B207" s="7">
        <v>4029</v>
      </c>
      <c r="C207" s="22" t="s">
        <v>239</v>
      </c>
      <c r="D207" s="22" t="s">
        <v>739</v>
      </c>
      <c r="E207" s="13">
        <v>42680.715729166666</v>
      </c>
      <c r="F207" s="13">
        <v>25568.708333333332</v>
      </c>
      <c r="G207" s="7">
        <v>1</v>
      </c>
      <c r="H207" s="22" t="s">
        <v>740</v>
      </c>
      <c r="I207" s="13">
        <v>25568.708333333332</v>
      </c>
      <c r="J207" s="7">
        <v>0</v>
      </c>
      <c r="K207" s="112" t="str">
        <f t="shared" si="59"/>
        <v>4029/4030</v>
      </c>
      <c r="L207" s="22" t="str">
        <f>VLOOKUP(A207,'Trips&amp;Operators'!$C$1:$E$10000,3,FALSE)</f>
        <v>SWANSON</v>
      </c>
      <c r="M207" s="6">
        <f t="shared" si="60"/>
        <v>0</v>
      </c>
      <c r="N207" s="7">
        <f t="shared" si="61"/>
        <v>0</v>
      </c>
      <c r="O207" s="7"/>
      <c r="P207" s="7"/>
      <c r="Q207" s="23"/>
      <c r="R207" s="23"/>
      <c r="S207" s="35">
        <f t="shared" si="62"/>
        <v>0</v>
      </c>
      <c r="T207" s="50" t="e">
        <f t="shared" si="63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16:10:39-0600',mode:absolute,to:'1969-12-31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2" t="str">
        <f t="shared" si="65"/>
        <v>Y</v>
      </c>
      <c r="X207" s="177" t="e">
        <f t="shared" si="56"/>
        <v>#VALUE!</v>
      </c>
      <c r="Y207" s="67">
        <f t="shared" si="66"/>
        <v>0.1515</v>
      </c>
      <c r="Z207" s="67">
        <f t="shared" si="67"/>
        <v>2.3306</v>
      </c>
      <c r="AA207" s="67">
        <f t="shared" si="68"/>
        <v>2.1791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9"/>
        <v>69-06</v>
      </c>
      <c r="AE207" s="91" t="str">
        <f t="shared" si="70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8" t="str">
        <f t="shared" si="71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7" s="1" t="str">
        <f t="shared" si="72"/>
        <v>Other</v>
      </c>
      <c r="AH207" s="92" t="str">
        <f t="shared" si="57"/>
        <v>"%USERPROFILE%\Documents\GitHub\eaglep3\Utilities\RefineRTDCRunTimes.py" --tripid 69-06 --locoid 4029 --swversion DE.1.0.8.0 --startMP 204:1515 --initTime 2016-11-06T17:10:39 --startdatetime 1969-12-31T17:00:00 --delay 1 --endMP 300:23306 --enddatetime 1969-12-31T17:00:00 --enforcementcount 0 &gt;&gt;C:\Users\stu\Documents\GitHub\eaglep3-reporting\EC\2016-11-06-refined-times.txt</v>
      </c>
      <c r="AI207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ID","value":"69-06"},{"id":16,"name":"Locomotive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579</v>
      </c>
      <c r="B208" s="7">
        <v>4022</v>
      </c>
      <c r="C208" s="22" t="s">
        <v>239</v>
      </c>
      <c r="D208" s="22" t="s">
        <v>741</v>
      </c>
      <c r="E208" s="13">
        <v>42680.770300925928</v>
      </c>
      <c r="F208" s="13">
        <v>42680.775069444448</v>
      </c>
      <c r="G208" s="7">
        <v>1</v>
      </c>
      <c r="H208" s="22" t="s">
        <v>742</v>
      </c>
      <c r="I208" s="13">
        <v>42680.779432870368</v>
      </c>
      <c r="J208" s="7">
        <v>0</v>
      </c>
      <c r="K208" s="112" t="str">
        <f t="shared" si="59"/>
        <v>4021/4022</v>
      </c>
      <c r="L208" s="22" t="str">
        <f>VLOOKUP(A208,'Trips&amp;Operators'!$C$1:$E$10000,3,FALSE)</f>
        <v>BRUDER</v>
      </c>
      <c r="M208" s="6">
        <f t="shared" si="60"/>
        <v>4.3634259200189263E-3</v>
      </c>
      <c r="N208" s="7">
        <f t="shared" si="61"/>
        <v>6.2833333248272538</v>
      </c>
      <c r="O208" s="7"/>
      <c r="P208" s="7"/>
      <c r="Q208" s="23"/>
      <c r="R208" s="23"/>
      <c r="S208" s="35">
        <f t="shared" si="62"/>
        <v>0</v>
      </c>
      <c r="T208" s="50" t="e">
        <f t="shared" si="63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17:29:14-0600',mode:absolute,to:'2016-11-06 19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52" t="str">
        <f t="shared" si="65"/>
        <v>Y</v>
      </c>
      <c r="X208" s="177" t="e">
        <f t="shared" si="56"/>
        <v>#VALUE!</v>
      </c>
      <c r="Y208" s="67">
        <f t="shared" si="66"/>
        <v>0.1145</v>
      </c>
      <c r="Z208" s="67">
        <f t="shared" si="67"/>
        <v>2.3292999999999999</v>
      </c>
      <c r="AA208" s="67">
        <f t="shared" si="68"/>
        <v>2.2147999999999999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9"/>
        <v>71-06</v>
      </c>
      <c r="AE208" s="91" t="str">
        <f t="shared" si="70"/>
        <v>aws s3 cp s3://rtdc.mdm.uploadarchive.raw/RTDC4022/ "%USERPROFILE%\AppData\Local\Temp\OnboardLogs"\RTDC4022\2016-11-06 --exclude "*" --recursive --include "*20161106*" &amp; "%USERPROFILE%\Documents\GitHub\mrs-test-scripts\Headless Mode &amp; Sideloading\WalkAndUnGZ.bat" "%USERPROFILE%\AppData\Local\Temp\OnboardLogs"\RTDC4022\2016-11-06 &amp; aws s3 cp s3://rtdc.mdm.uploadarchive.raw/RTDC4022/ "%USERPROFILE%\AppData\Local\Temp\OnboardLogs"\RTDC4022\2016-11-07 --exclude "*" --recursive --include "*20161107*" &amp; "%USERPROFILE%\Documents\GitHub\mrs-test-scripts\Headless Mode &amp; Sideloading\WalkAndUnGZ.bat" "%USERPROFILE%\AppData\Local\Temp\OnboardLogs"\RTDC4022\2016-11-07</v>
      </c>
      <c r="AF208" s="88" t="str">
        <f t="shared" si="71"/>
        <v>"C:\Program Files (x86)\AstroGrep\AstroGrep.exe" /spath="%USERPROFILE%\AppData\Local\Temp\OnboardLogs" /stypes="app*4022*20161107*" /stext=" 01:.+((SYSTEM_STATE.+slice.+state.+changed )|(ment ac)|(system.+state.+changed )|(\[timeout)|(PRM\|1\|D)|(kpr)|(kdp)|(\|lc)|(penalty))" /e /r /s</v>
      </c>
      <c r="AG208" s="1" t="str">
        <f t="shared" si="72"/>
        <v>Other</v>
      </c>
      <c r="AH208" s="92" t="str">
        <f t="shared" si="57"/>
        <v>"%USERPROFILE%\Documents\GitHub\eaglep3\Utilities\RefineRTDCRunTimes.py" --tripid 71-06 --locoid 4022 --swversion DE.1.0.8.0 --startMP 204:1145 --initTime 2016-11-06T18:29:14 --startdatetime 2016-11-06T18:36:06 --delay 1 --endMP 300:23293 --enddatetime 2016-11-06T18:42:23 --enforcementcount 0 &gt;&gt;C:\Users\stu\Documents\GitHub\eaglep3-reporting\EC\2016-11-06-refined-times.txt</v>
      </c>
      <c r="AI208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{"issue":{"subject":"","project_id":79,"tracker_id":40,"status_id":1,"priority_id":2,"assigned_to_id":23,"start_date":"2016-11-06","description":"","custom_fields":[{"id":1,"name":"Subdivision","value":"Other"},{"id":4,"name":"Milepost","value":"2.3293"},{"id":17,"name":"Train ID","value":"71-06"},{"id":16,"name":"Locomotive ID","value":"4022"},{"id":130,"name":"Impact","value":""},{"id":150,"name":"Time of Event (Mountain Time)","value":"18:42:23"},{"id":151,"name":"Denver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594</v>
      </c>
      <c r="B209" s="7">
        <v>4052</v>
      </c>
      <c r="C209" s="22" t="s">
        <v>239</v>
      </c>
      <c r="D209" s="22" t="s">
        <v>743</v>
      </c>
      <c r="E209" s="13">
        <v>42680.833032407405</v>
      </c>
      <c r="F209" s="13">
        <v>42680.836284722223</v>
      </c>
      <c r="G209" s="7">
        <v>1</v>
      </c>
      <c r="H209" s="22" t="s">
        <v>744</v>
      </c>
      <c r="I209" s="13">
        <v>42680.848506944443</v>
      </c>
      <c r="J209" s="7">
        <v>0</v>
      </c>
      <c r="K209" s="112" t="str">
        <f t="shared" si="59"/>
        <v>4051/4052</v>
      </c>
      <c r="L209" s="22" t="str">
        <f>VLOOKUP(A209,'Trips&amp;Operators'!$C$1:$E$10000,3,FALSE)</f>
        <v>NEWELL</v>
      </c>
      <c r="M209" s="6">
        <f t="shared" si="60"/>
        <v>1.2222222219861578E-2</v>
      </c>
      <c r="N209" s="7">
        <f t="shared" si="61"/>
        <v>17.599999996600673</v>
      </c>
      <c r="O209" s="7"/>
      <c r="P209" s="7"/>
      <c r="Q209" s="23"/>
      <c r="R209" s="23"/>
      <c r="S209" s="35">
        <f t="shared" si="62"/>
        <v>0</v>
      </c>
      <c r="T209" s="50" t="e">
        <f t="shared" si="63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18:59:34-0600',mode:absolute,to:'2016-11-06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2" t="str">
        <f t="shared" si="65"/>
        <v>N</v>
      </c>
      <c r="X209" s="177" t="e">
        <f t="shared" si="56"/>
        <v>#VALUE!</v>
      </c>
      <c r="Y209" s="67">
        <f t="shared" si="66"/>
        <v>12.851699999999999</v>
      </c>
      <c r="Z209" s="67">
        <f t="shared" si="67"/>
        <v>0.1216</v>
      </c>
      <c r="AA209" s="67">
        <f t="shared" si="68"/>
        <v>12.730099999999998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9"/>
        <v>73-06</v>
      </c>
      <c r="AE209" s="91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09" s="88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09" s="1" t="str">
        <f t="shared" si="72"/>
        <v>Other</v>
      </c>
      <c r="AH209" s="92" t="str">
        <f t="shared" si="57"/>
        <v>"%USERPROFILE%\Documents\GitHub\eaglep3\Utilities\RefineRTDCRunTimes.py" --tripid 73-06 --locoid 4052 --swversion DE.1.0.8.0 --startMP 204:128517 --initTime 2016-11-06T19:59:34 --startdatetime 2016-11-06T20:04:15 --delay 1 --endMP 204:1216 --enddatetime 2016-11-06T20:21:51 --enforcementcount 0 &gt;&gt;C:\Users\stu\Documents\GitHub\eaglep3-reporting\EC\2016-11-06-refined-times.txt</v>
      </c>
      <c r="AI209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{"issue":{"subject":"","project_id":79,"tracker_id":40,"status_id":1,"priority_id":2,"assigned_to_id":23,"start_date":"2016-11-06","description":"","custom_fields":[{"id":1,"name":"Subdivision","value":"Other"},{"id":4,"name":"Milepost","value":"0.1216"},{"id":17,"name":"Train ID","value":"73-06"},{"id":16,"name":"Locomotive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570</v>
      </c>
      <c r="B210" s="7">
        <v>4015</v>
      </c>
      <c r="C210" s="22" t="s">
        <v>239</v>
      </c>
      <c r="D210" s="22" t="s">
        <v>742</v>
      </c>
      <c r="E210" s="13">
        <v>42680.745219907411</v>
      </c>
      <c r="F210" s="13">
        <v>42680.747199074074</v>
      </c>
      <c r="G210" s="7">
        <v>2</v>
      </c>
      <c r="H210" s="22" t="s">
        <v>745</v>
      </c>
      <c r="I210" s="13">
        <v>42680.755219907405</v>
      </c>
      <c r="J210" s="7">
        <v>0</v>
      </c>
      <c r="K210" s="112" t="str">
        <f t="shared" si="59"/>
        <v>4015/4016</v>
      </c>
      <c r="L210" s="22" t="str">
        <f>VLOOKUP(A210,'Trips&amp;Operators'!$C$1:$E$10000,3,FALSE)</f>
        <v>DELGADO</v>
      </c>
      <c r="M210" s="6">
        <f t="shared" si="60"/>
        <v>8.0208333311020397E-3</v>
      </c>
      <c r="N210" s="7">
        <f t="shared" si="61"/>
        <v>11.549999996786937</v>
      </c>
      <c r="O210" s="7"/>
      <c r="P210" s="7"/>
      <c r="Q210" s="23"/>
      <c r="R210" s="23"/>
      <c r="S210" s="35">
        <f t="shared" si="62"/>
        <v>0</v>
      </c>
      <c r="T210" s="50" t="e">
        <f t="shared" si="63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16:53:07-0600',mode:absolute,to:'2016-11-06 19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0" s="52" t="str">
        <f t="shared" si="65"/>
        <v>Y</v>
      </c>
      <c r="X210" s="177" t="e">
        <f t="shared" si="56"/>
        <v>#VALUE!</v>
      </c>
      <c r="Y210" s="67">
        <f t="shared" si="66"/>
        <v>2.3292999999999999</v>
      </c>
      <c r="Z210" s="67">
        <f t="shared" si="67"/>
        <v>9.01E-2</v>
      </c>
      <c r="AA210" s="67">
        <f t="shared" si="68"/>
        <v>2.2391999999999999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9"/>
        <v>74-06</v>
      </c>
      <c r="AE210" s="91" t="str">
        <f t="shared" si="70"/>
        <v>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 &amp; aws s3 cp s3://rtdc.mdm.uploadarchive.raw/RTDC4015/ "%USERPROFILE%\AppData\Local\Temp\OnboardLogs"\RTDC4015\2016-11-07 --exclude "*" --recursive --include "*20161107*" &amp; "%USERPROFILE%\Documents\GitHub\mrs-test-scripts\Headless Mode &amp; Sideloading\WalkAndUnGZ.bat" "%USERPROFILE%\AppData\Local\Temp\OnboardLogs"\RTDC4015\2016-11-07</v>
      </c>
      <c r="AF210" s="88" t="str">
        <f t="shared" si="71"/>
        <v>"C:\Program Files (x86)\AstroGrep\AstroGrep.exe" /spath="%USERPROFILE%\AppData\Local\Temp\OnboardLogs" /stypes="app*4015*20161107*" /stext=" 01:.+((SYSTEM_STATE.+slice.+state.+changed )|(ment ac)|(system.+state.+changed )|(\[timeout)|(PRM\|1\|D)|(kpr)|(kdp)|(\|lc)|(penalty))" /e /r /s</v>
      </c>
      <c r="AG210" s="1" t="str">
        <f t="shared" si="72"/>
        <v>Other</v>
      </c>
      <c r="AH210" s="92" t="str">
        <f t="shared" si="57"/>
        <v>"%USERPROFILE%\Documents\GitHub\eaglep3\Utilities\RefineRTDCRunTimes.py" --tripid 74-06 --locoid 4015 --swversion DE.1.0.8.0 --startMP 300:23293 --initTime 2016-11-06T17:53:07 --startdatetime 2016-11-06T17:55:58 --delay 2 --endMP 204:901 --enddatetime 2016-11-06T18:07:31 --enforcementcount 0 &gt;&gt;C:\Users\stu\Documents\GitHub\eaglep3-reporting\EC\2016-11-06-refined-times.txt</v>
      </c>
      <c r="AI210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{"issue":{"subject":"","project_id":79,"tracker_id":40,"status_id":1,"priority_id":2,"assigned_to_id":23,"start_date":"2016-11-06","description":"","custom_fields":[{"id":1,"name":"Subdivision","value":"Other"},{"id":4,"name":"Milepost","value":"0.0901"},{"id":17,"name":"Train ID","value":"74-06"},{"id":16,"name":"Locomotive ID","value":"4015"},{"id":130,"name":"Impact","value":""},{"id":150,"name":"Time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412</v>
      </c>
      <c r="B211" s="7">
        <v>4021</v>
      </c>
      <c r="C211" s="22" t="s">
        <v>239</v>
      </c>
      <c r="D211" s="22" t="s">
        <v>746</v>
      </c>
      <c r="E211" s="13">
        <v>42680.733344907407</v>
      </c>
      <c r="F211" s="13">
        <v>25568.708333333332</v>
      </c>
      <c r="G211" s="7">
        <v>4</v>
      </c>
      <c r="H211" s="22" t="s">
        <v>747</v>
      </c>
      <c r="I211" s="13">
        <v>25568.708333333332</v>
      </c>
      <c r="J211" s="7">
        <v>0</v>
      </c>
      <c r="K211" s="112" t="str">
        <f t="shared" si="59"/>
        <v>4021/4022</v>
      </c>
      <c r="L211" s="22" t="str">
        <f>VLOOKUP(A211,'Trips&amp;Operators'!$C$1:$E$10000,3,FALSE)</f>
        <v>BERLING</v>
      </c>
      <c r="M211" s="6">
        <f t="shared" si="60"/>
        <v>0</v>
      </c>
      <c r="N211" s="7">
        <f t="shared" si="61"/>
        <v>0</v>
      </c>
      <c r="O211" s="7"/>
      <c r="P211" s="7"/>
      <c r="Q211" s="23"/>
      <c r="R211" s="23"/>
      <c r="S211" s="35">
        <f t="shared" si="62"/>
        <v>0</v>
      </c>
      <c r="T211" s="50" t="e">
        <f t="shared" si="63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65"/>
        <v>Y</v>
      </c>
      <c r="X211" s="177" t="e">
        <f t="shared" si="56"/>
        <v>#VALUE!</v>
      </c>
      <c r="Y211" s="67">
        <f t="shared" si="66"/>
        <v>2.4409000000000001</v>
      </c>
      <c r="Z211" s="67">
        <f t="shared" si="67"/>
        <v>2.3862000000000001</v>
      </c>
      <c r="AA211" s="67">
        <f t="shared" si="68"/>
        <v>5.4699999999999971E-2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9"/>
        <v>76-06</v>
      </c>
      <c r="AE211" s="91" t="str">
        <f t="shared" si="70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11" s="88" t="str">
        <f t="shared" si="71"/>
        <v>"C:\Program Files (x86)\AstroGrep\AstroGrep.exe" /spath="%USERPROFILE%\AppData\Local\Temp\OnboardLogs" /stypes="app*4021*19700101*" /stext=" 00:.+((SYSTEM_STATE.+slice.+state.+changed )|(ment ac)|(system.+state.+changed )|(\[timeout)|(PRM\|1\|D)|(kpr)|(kdp)|(\|lc)|(penalty))" /e /r /s</v>
      </c>
      <c r="AG211" s="1" t="str">
        <f t="shared" si="72"/>
        <v>Other</v>
      </c>
      <c r="AH211" s="92" t="str">
        <f t="shared" si="57"/>
        <v>"%USERPROFILE%\Documents\GitHub\eaglep3\Utilities\RefineRTDCRunTimes.py" --tripid 76-06 --locoid 4021 --swversion DE.1.0.8.0 --startMP 300:24409 --initTime 2016-11-06T17:36:01 --startdatetime 1969-12-31T17:00:00 --delay 4 --endMP 300:23862 --enddatetime 1969-12-31T17:00:00 --enforcementcount 0 &gt;&gt;C:\Users\stu\Documents\GitHub\eaglep3-reporting\EC\2016-11-06-refined-times.txt</v>
      </c>
      <c r="AI211" s="122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{"issue":{"subject":"","project_id":79,"tracker_id":40,"status_id":1,"priority_id":2,"assigned_to_id":23,"start_date":"1969-12-31","description":"","custom_fields":[{"id":1,"name":"Subdivision","value":"Other"},{"id":4,"name":"Milepost","value":"2.3862"},{"id":17,"name":"Train ID","value":"76-06"},{"id":16,"name":"Locomotive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413</v>
      </c>
      <c r="B212" s="7">
        <v>4018</v>
      </c>
      <c r="C212" s="22" t="s">
        <v>239</v>
      </c>
      <c r="D212" s="22" t="s">
        <v>748</v>
      </c>
      <c r="E212" s="13">
        <v>42680.765243055554</v>
      </c>
      <c r="F212" s="13">
        <v>42680.768391203703</v>
      </c>
      <c r="G212" s="7">
        <v>1</v>
      </c>
      <c r="H212" s="22" t="s">
        <v>749</v>
      </c>
      <c r="I212" s="13">
        <v>42680.772743055553</v>
      </c>
      <c r="J212" s="7">
        <v>0</v>
      </c>
      <c r="K212" s="112" t="str">
        <f t="shared" si="59"/>
        <v>4017/4018</v>
      </c>
      <c r="L212" s="22" t="str">
        <f>VLOOKUP(A212,'Trips&amp;Operators'!$C$1:$E$10000,3,FALSE)</f>
        <v>BARTLETT</v>
      </c>
      <c r="M212" s="6">
        <f t="shared" si="60"/>
        <v>4.3518518505152315E-3</v>
      </c>
      <c r="N212" s="7">
        <f t="shared" si="61"/>
        <v>6.2666666647419333</v>
      </c>
      <c r="O212" s="7"/>
      <c r="P212" s="7"/>
      <c r="Q212" s="23"/>
      <c r="R212" s="23"/>
      <c r="S212" s="35">
        <f t="shared" si="62"/>
        <v>0</v>
      </c>
      <c r="T212" s="50" t="e">
        <f t="shared" si="63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17:21:57-0600',mode:absolute,to:'2016-11-06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2" t="str">
        <f t="shared" si="65"/>
        <v>Y</v>
      </c>
      <c r="X212" s="177" t="e">
        <f t="shared" si="56"/>
        <v>#VALUE!</v>
      </c>
      <c r="Y212" s="67">
        <f t="shared" si="66"/>
        <v>0.14610000000000001</v>
      </c>
      <c r="Z212" s="67">
        <f t="shared" si="67"/>
        <v>0.19989999999999999</v>
      </c>
      <c r="AA212" s="67">
        <f t="shared" si="68"/>
        <v>5.3799999999999987E-2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9"/>
        <v>77-06</v>
      </c>
      <c r="AE212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2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2" s="1" t="str">
        <f t="shared" si="72"/>
        <v>Other</v>
      </c>
      <c r="AH212" s="92" t="str">
        <f t="shared" si="57"/>
        <v>"%USERPROFILE%\Documents\GitHub\eaglep3\Utilities\RefineRTDCRunTimes.py" --tripid 77-06 --locoid 4018 --swversion DE.1.0.8.0 --startMP 204:1461 --initTime 2016-11-06T18:21:57 --startdatetime 2016-11-06T18:26:29 --delay 1 --endMP 204:1999 --enddatetime 2016-11-06T18:32:45 --enforcementcount 0 &gt;&gt;C:\Users\stu\Documents\GitHub\eaglep3-reporting\EC\2016-11-06-refined-times.txt</v>
      </c>
      <c r="AI212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{"issue":{"subject":"","project_id":79,"tracker_id":40,"status_id":1,"priority_id":2,"assigned_to_id":23,"start_date":"2016-11-06","description":"","custom_fields":[{"id":1,"name":"Subdivision","value":"Other"},{"id":4,"name":"Milepost","value":"0.1999"},{"id":17,"name":"Train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413</v>
      </c>
      <c r="B213" s="7">
        <v>4018</v>
      </c>
      <c r="C213" s="22" t="s">
        <v>239</v>
      </c>
      <c r="D213" s="22" t="s">
        <v>749</v>
      </c>
      <c r="E213" s="13">
        <v>42680.767650462964</v>
      </c>
      <c r="F213" s="13">
        <v>42680.768391203703</v>
      </c>
      <c r="G213" s="7">
        <v>0</v>
      </c>
      <c r="H213" s="22" t="s">
        <v>750</v>
      </c>
      <c r="I213" s="13">
        <v>42680.772743055553</v>
      </c>
      <c r="J213" s="7">
        <v>0</v>
      </c>
      <c r="K213" s="112" t="str">
        <f t="shared" si="59"/>
        <v>4017/4018</v>
      </c>
      <c r="L213" s="22" t="str">
        <f>VLOOKUP(A213,'Trips&amp;Operators'!$C$1:$E$10000,3,FALSE)</f>
        <v>BARTLETT</v>
      </c>
      <c r="M213" s="6">
        <f t="shared" si="60"/>
        <v>4.3518518505152315E-3</v>
      </c>
      <c r="N213" s="7">
        <f t="shared" si="61"/>
        <v>6.2666666647419333</v>
      </c>
      <c r="O213" s="7"/>
      <c r="P213" s="7"/>
      <c r="Q213" s="23"/>
      <c r="R213" s="23"/>
      <c r="S213" s="35">
        <f t="shared" si="62"/>
        <v>0</v>
      </c>
      <c r="T213" s="50" t="e">
        <f t="shared" si="63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65"/>
        <v>Y</v>
      </c>
      <c r="X213" s="177" t="e">
        <f t="shared" si="56"/>
        <v>#VALUE!</v>
      </c>
      <c r="Y213" s="67">
        <f t="shared" si="66"/>
        <v>0.19989999999999999</v>
      </c>
      <c r="Z213" s="67">
        <f t="shared" si="67"/>
        <v>2.3298999999999999</v>
      </c>
      <c r="AA213" s="67">
        <f t="shared" si="68"/>
        <v>2.13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9"/>
        <v>77-06</v>
      </c>
      <c r="AE213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3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3" s="1" t="str">
        <f t="shared" si="72"/>
        <v>Other</v>
      </c>
      <c r="AH213" s="92" t="str">
        <f t="shared" si="57"/>
        <v>"%USERPROFILE%\Documents\GitHub\eaglep3\Utilities\RefineRTDCRunTimes.py" --tripid 77-06 --locoid 4018 --swversion DE.1.0.8.0 --startMP 204:1999 --initTime 2016-11-06T18:25:25 --startdatetime 2016-11-06T18:26:29 --delay 0 --endMP 300:23299 --enddatetime 2016-11-06T18:32:45 --enforcementcount 0 &gt;&gt;C:\Users\stu\Documents\GitHub\eaglep3-reporting\EC\2016-11-06-refined-times.txt</v>
      </c>
      <c r="AI213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413</v>
      </c>
      <c r="B214" s="7">
        <v>4018</v>
      </c>
      <c r="C214" s="22" t="s">
        <v>239</v>
      </c>
      <c r="D214" s="22" t="s">
        <v>742</v>
      </c>
      <c r="E214" s="13">
        <v>42680.767650462964</v>
      </c>
      <c r="F214" s="13">
        <v>42680.768391203703</v>
      </c>
      <c r="G214" s="7">
        <v>9</v>
      </c>
      <c r="H214" s="22" t="s">
        <v>750</v>
      </c>
      <c r="I214" s="13">
        <v>42680.772743055553</v>
      </c>
      <c r="J214" s="7">
        <v>0</v>
      </c>
      <c r="K214" s="112" t="str">
        <f t="shared" si="59"/>
        <v>4017/4018</v>
      </c>
      <c r="L214" s="22" t="str">
        <f>VLOOKUP(A214,'Trips&amp;Operators'!$C$1:$E$10000,3,FALSE)</f>
        <v>BARTLETT</v>
      </c>
      <c r="M214" s="6">
        <f t="shared" si="60"/>
        <v>4.3518518505152315E-3</v>
      </c>
      <c r="N214" s="7">
        <f t="shared" si="61"/>
        <v>6.2666666647419333</v>
      </c>
      <c r="O214" s="7"/>
      <c r="P214" s="7"/>
      <c r="Q214" s="23"/>
      <c r="R214" s="23"/>
      <c r="S214" s="35">
        <f t="shared" si="62"/>
        <v>0</v>
      </c>
      <c r="T214" s="50" t="e">
        <f t="shared" si="63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65"/>
        <v>Y</v>
      </c>
      <c r="X214" s="177" t="e">
        <f t="shared" si="56"/>
        <v>#VALUE!</v>
      </c>
      <c r="Y214" s="67">
        <f t="shared" si="66"/>
        <v>2.3292999999999999</v>
      </c>
      <c r="Z214" s="67">
        <f t="shared" si="67"/>
        <v>2.3298999999999999</v>
      </c>
      <c r="AA214" s="67">
        <f t="shared" si="68"/>
        <v>5.9999999999993392E-4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9"/>
        <v>77-06</v>
      </c>
      <c r="AE214" s="91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4" s="88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4" s="1" t="str">
        <f t="shared" si="72"/>
        <v>Other</v>
      </c>
      <c r="AH214" s="92" t="str">
        <f t="shared" si="57"/>
        <v>"%USERPROFILE%\Documents\GitHub\eaglep3\Utilities\RefineRTDCRunTimes.py" --tripid 77-06 --locoid 4018 --swversion DE.1.0.8.0 --startMP 300:23293 --initTime 2016-11-06T18:25:25 --startdatetime 2016-11-06T18:26:29 --delay 9 --endMP 300:23299 --enddatetime 2016-11-06T18:32:45 --enforcementcount 0 &gt;&gt;C:\Users\stu\Documents\GitHub\eaglep3-reporting\EC\2016-11-06-refined-times.txt</v>
      </c>
      <c r="AI214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574</v>
      </c>
      <c r="B215" s="7">
        <v>4017</v>
      </c>
      <c r="C215" s="22" t="s">
        <v>239</v>
      </c>
      <c r="D215" s="22" t="s">
        <v>751</v>
      </c>
      <c r="E215" s="13">
        <v>42680.750023148146</v>
      </c>
      <c r="F215" s="13">
        <v>42680.755613425928</v>
      </c>
      <c r="G215" s="7">
        <v>7</v>
      </c>
      <c r="H215" s="22" t="s">
        <v>752</v>
      </c>
      <c r="I215" s="13">
        <v>42680.762557870374</v>
      </c>
      <c r="J215" s="7">
        <v>0</v>
      </c>
      <c r="K215" s="112" t="str">
        <f t="shared" si="59"/>
        <v>4017/4018</v>
      </c>
      <c r="L215" s="22" t="str">
        <f>VLOOKUP(A215,'Trips&amp;Operators'!$C$1:$E$10000,3,FALSE)</f>
        <v>CHANDLER</v>
      </c>
      <c r="M215" s="6">
        <f t="shared" si="60"/>
        <v>6.9444444452528842E-3</v>
      </c>
      <c r="N215" s="7">
        <f t="shared" si="61"/>
        <v>10.000000001164153</v>
      </c>
      <c r="O215" s="7"/>
      <c r="P215" s="7"/>
      <c r="Q215" s="23"/>
      <c r="R215" s="23"/>
      <c r="S215" s="35">
        <f t="shared" si="62"/>
        <v>0</v>
      </c>
      <c r="T215" s="50" t="e">
        <f t="shared" si="63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17:00:02-0600',mode:absolute,to:'2016-11-06 19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2" t="str">
        <f t="shared" si="65"/>
        <v>Y</v>
      </c>
      <c r="X215" s="177" t="e">
        <f t="shared" si="56"/>
        <v>#VALUE!</v>
      </c>
      <c r="Y215" s="67">
        <f t="shared" si="66"/>
        <v>2.3491</v>
      </c>
      <c r="Z215" s="67">
        <f t="shared" si="67"/>
        <v>0.1147</v>
      </c>
      <c r="AA215" s="67">
        <f t="shared" si="68"/>
        <v>2.2343999999999999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9"/>
        <v>78-06</v>
      </c>
      <c r="AE215" s="91" t="str">
        <f t="shared" si="70"/>
        <v>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 &amp; aws s3 cp s3://rtdc.mdm.uploadarchive.raw/RTDC4017/ "%USERPROFILE%\AppData\Local\Temp\OnboardLogs"\RTDC4017\2016-11-07 --exclude "*" --recursive --include "*20161107*" &amp; "%USERPROFILE%\Documents\GitHub\mrs-test-scripts\Headless Mode &amp; Sideloading\WalkAndUnGZ.bat" "%USERPROFILE%\AppData\Local\Temp\OnboardLogs"\RTDC4017\2016-11-07</v>
      </c>
      <c r="AF215" s="88" t="str">
        <f t="shared" si="71"/>
        <v>"C:\Program Files (x86)\AstroGrep\AstroGrep.exe" /spath="%USERPROFILE%\AppData\Local\Temp\OnboardLogs" /stypes="app*4017*20161107*" /stext=" 01:.+((SYSTEM_STATE.+slice.+state.+changed )|(ment ac)|(system.+state.+changed )|(\[timeout)|(PRM\|1\|D)|(kpr)|(kdp)|(\|lc)|(penalty))" /e /r /s</v>
      </c>
      <c r="AG215" s="1" t="str">
        <f t="shared" si="72"/>
        <v>Other</v>
      </c>
      <c r="AH215" s="92" t="str">
        <f t="shared" si="57"/>
        <v>"%USERPROFILE%\Documents\GitHub\eaglep3\Utilities\RefineRTDCRunTimes.py" --tripid 78-06 --locoid 4017 --swversion DE.1.0.8.0 --startMP 300:23491 --initTime 2016-11-06T18:00:02 --startdatetime 2016-11-06T18:08:05 --delay 7 --endMP 204:1147 --enddatetime 2016-11-06T18:18:05 --enforcementcount 0 &gt;&gt;C:\Users\stu\Documents\GitHub\eaglep3-reporting\EC\2016-11-06-refined-times.txt</v>
      </c>
      <c r="AI215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{"issue":{"subject":"","project_id":79,"tracker_id":40,"status_id":1,"priority_id":2,"assigned_to_id":23,"start_date":"2016-11-06","description":"","custom_fields":[{"id":1,"name":"Subdivision","value":"Other"},{"id":4,"name":"Milepost","value":"0.1147"},{"id":17,"name":"Train ID","value":"78-06"},{"id":16,"name":"Locomotive ID","value":"4017"},{"id":130,"name":"Impact","value":""},{"id":150,"name":"Time of Event (Mountain Time)","value":"18:18:05"},{"id":151,"name":"Denver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415</v>
      </c>
      <c r="B216" s="7">
        <v>4051</v>
      </c>
      <c r="C216" s="22" t="s">
        <v>239</v>
      </c>
      <c r="D216" s="22" t="s">
        <v>753</v>
      </c>
      <c r="E216" s="13">
        <v>42680.856585648151</v>
      </c>
      <c r="F216" s="13">
        <v>42680.893391203703</v>
      </c>
      <c r="G216" s="7">
        <v>2</v>
      </c>
      <c r="H216" s="22" t="s">
        <v>754</v>
      </c>
      <c r="I216" s="13">
        <v>42680.92083333333</v>
      </c>
      <c r="J216" s="7">
        <v>0</v>
      </c>
      <c r="K216" s="112" t="str">
        <f t="shared" si="59"/>
        <v>4051/4052</v>
      </c>
      <c r="L216" s="22" t="str">
        <f>VLOOKUP(A216,'Trips&amp;Operators'!$C$1:$E$10000,3,FALSE)</f>
        <v>NEWELL</v>
      </c>
      <c r="M216" s="6">
        <f t="shared" si="60"/>
        <v>2.7442129627161194E-2</v>
      </c>
      <c r="N216" s="7">
        <f t="shared" si="61"/>
        <v>39.516666663112119</v>
      </c>
      <c r="O216" s="7"/>
      <c r="P216" s="7"/>
      <c r="Q216" s="23"/>
      <c r="R216" s="23"/>
      <c r="S216" s="35">
        <f t="shared" si="62"/>
        <v>0</v>
      </c>
      <c r="T216" s="50" t="e">
        <f t="shared" si="63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19:33:29-0600',mode:absolute,to:'2016-11-06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2" t="str">
        <f t="shared" si="65"/>
        <v>N</v>
      </c>
      <c r="X216" s="177" t="e">
        <f>VALUE(LEFT(AD216,4))-VALUE(LEFT(AD190,4))</f>
        <v>#VALUE!</v>
      </c>
      <c r="Y216" s="67">
        <f t="shared" si="66"/>
        <v>0.15579999999999999</v>
      </c>
      <c r="Z216" s="67">
        <f t="shared" si="67"/>
        <v>12.8964</v>
      </c>
      <c r="AA216" s="67">
        <f t="shared" si="68"/>
        <v>12.740600000000001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9"/>
        <v>=^.^=-06</v>
      </c>
      <c r="AE216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6" s="88" t="str">
        <f t="shared" si="71"/>
        <v>"C:\Program Files (x86)\AstroGrep\AstroGrep.exe" /spath="%USERPROFILE%\AppData\Local\Temp\OnboardLogs" /stypes="app*4051*20161107*" /stext=" 05:.+((SYSTEM_STATE.+slice.+state.+changed )|(ment ac)|(system.+state.+changed )|(\[timeout)|(PRM\|1\|D)|(kpr)|(kdp)|(\|lc)|(penalty))" /e /r /s</v>
      </c>
      <c r="AG216" s="1" t="str">
        <f t="shared" si="72"/>
        <v>Other</v>
      </c>
      <c r="AH216" s="92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=^.^=-06 --locoid 4051 --swversion DE.1.0.8.0 --startMP 204:1558 --initTime 2016-11-06T20:33:29 --startdatetime 2016-11-06T21:26:29 --delay 2 --endMP 204:128964 --enddatetime 2016-11-06T22:06:00 --enforcementcount 0 &gt;&gt;C:\Users\stu\Documents\GitHub\eaglep3-reporting\EC\2016-11-06-refined-times.txt</v>
      </c>
      <c r="AI216" s="122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{"issue":{"subject":"","project_id":79,"tracker_id":40,"status_id":1,"priority_id":2,"assigned_to_id":23,"start_date":"2016-11-06","description":"","custom_fields":[{"id":1,"name":"Subdivision","value":"Other"},{"id":4,"name":"Milepost","value":"12.8964"},{"id":17,"name":"Train ID","value":"=^.^=-06"},{"id":16,"name":"Locomotive ID","value":"4051"},{"id":130,"name":"Impact","value":""},{"id":150,"name":"Time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415</v>
      </c>
      <c r="B217" s="7">
        <v>4051</v>
      </c>
      <c r="C217" s="22" t="s">
        <v>239</v>
      </c>
      <c r="D217" s="22" t="s">
        <v>755</v>
      </c>
      <c r="E217" s="13">
        <v>42680.798634259256</v>
      </c>
      <c r="F217" s="13">
        <v>42680.836284722223</v>
      </c>
      <c r="G217" s="7">
        <v>2</v>
      </c>
      <c r="H217" s="22" t="s">
        <v>756</v>
      </c>
      <c r="I217" s="13">
        <v>42680.848506944443</v>
      </c>
      <c r="J217" s="7">
        <v>0</v>
      </c>
      <c r="K217" s="112" t="str">
        <f t="shared" si="59"/>
        <v>4051/4052</v>
      </c>
      <c r="L217" s="22" t="str">
        <f>VLOOKUP(A217,'Trips&amp;Operators'!$C$1:$E$10000,3,FALSE)</f>
        <v>NEWELL</v>
      </c>
      <c r="M217" s="6">
        <f t="shared" si="60"/>
        <v>1.2222222219861578E-2</v>
      </c>
      <c r="N217" s="7">
        <f t="shared" si="61"/>
        <v>17.599999996600673</v>
      </c>
      <c r="O217" s="7"/>
      <c r="P217" s="7"/>
      <c r="Q217" s="23"/>
      <c r="R217" s="23"/>
      <c r="S217" s="35">
        <f t="shared" si="62"/>
        <v>0</v>
      </c>
      <c r="T217" s="50" t="e">
        <f t="shared" si="63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18:10:02-0600',mode:absolute,to:'2016-11-06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7" s="52" t="str">
        <f t="shared" si="65"/>
        <v>Y</v>
      </c>
      <c r="X217" s="177" t="e">
        <f>VALUE(LEFT(AD217,4))-VALUE(LEFT(AD216,4))</f>
        <v>#VALUE!</v>
      </c>
      <c r="Y217" s="67">
        <f t="shared" si="66"/>
        <v>0.15690000000000001</v>
      </c>
      <c r="Z217" s="67">
        <f t="shared" si="67"/>
        <v>0.18859999999999999</v>
      </c>
      <c r="AA217" s="67">
        <f t="shared" si="68"/>
        <v>3.1699999999999978E-2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9"/>
        <v>=^.^=-06</v>
      </c>
      <c r="AE217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7" s="88" t="str">
        <f t="shared" si="71"/>
        <v>"C:\Program Files (x86)\AstroGrep\AstroGrep.exe" /spath="%USERPROFILE%\AppData\Local\Temp\OnboardLogs" /stypes="app*4051*20161107*" /stext=" 03:.+((SYSTEM_STATE.+slice.+state.+changed )|(ment ac)|(system.+state.+changed )|(\[timeout)|(PRM\|1\|D)|(kpr)|(kdp)|(\|lc)|(penalty))" /e /r /s</v>
      </c>
      <c r="AG217" s="1" t="str">
        <f t="shared" si="72"/>
        <v>Other</v>
      </c>
      <c r="AH217" s="92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=^.^=-06 --locoid 4051 --swversion DE.1.0.8.0 --startMP 204:1569 --initTime 2016-11-06T19:10:02 --startdatetime 2016-11-06T20:04:15 --delay 2 --endMP 204:1886 --enddatetime 2016-11-06T20:21:51 --enforcementcount 0 &gt;&gt;C:\Users\stu\Documents\GitHub\eaglep3-reporting\EC\2016-11-06-refined-times.txt</v>
      </c>
      <c r="AI217" s="122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{"issue":{"subject":"","project_id":79,"tracker_id":40,"status_id":1,"priority_id":2,"assigned_to_id":23,"start_date":"2016-11-06","description":"","custom_fields":[{"id":1,"name":"Subdivision","value":"Other"},{"id":4,"name":"Milepost","value":"0.1886"},{"id":17,"name":"Train ID","value":"=^.^=-06"},{"id":16,"name":"Locomotive ID","value":"4051"},{"id":130,"name":"Impact","value":""},{"id":150,"name":"Time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415</v>
      </c>
      <c r="B218" s="7">
        <v>4051</v>
      </c>
      <c r="C218" s="22" t="s">
        <v>239</v>
      </c>
      <c r="D218" s="22" t="s">
        <v>757</v>
      </c>
      <c r="E218" s="13">
        <v>42680.807685185187</v>
      </c>
      <c r="F218" s="13">
        <v>42680.851620370369</v>
      </c>
      <c r="G218" s="7">
        <v>0</v>
      </c>
      <c r="H218" s="22" t="s">
        <v>758</v>
      </c>
      <c r="I218" s="13">
        <v>42680.878263888888</v>
      </c>
      <c r="J218" s="7">
        <v>0</v>
      </c>
      <c r="K218" s="112" t="str">
        <f t="shared" si="59"/>
        <v>4051/4052</v>
      </c>
      <c r="L218" s="22" t="str">
        <f>VLOOKUP(A218,'Trips&amp;Operators'!$C$1:$E$10000,3,FALSE)</f>
        <v>NEWELL</v>
      </c>
      <c r="M218" s="6">
        <f t="shared" si="60"/>
        <v>2.6643518518540077E-2</v>
      </c>
      <c r="N218" s="7">
        <f t="shared" si="61"/>
        <v>38.366666666697711</v>
      </c>
      <c r="O218" s="7"/>
      <c r="P218" s="7"/>
      <c r="Q218" s="23"/>
      <c r="R218" s="23"/>
      <c r="S218" s="35">
        <f t="shared" si="62"/>
        <v>0</v>
      </c>
      <c r="T218" s="50" t="e">
        <f t="shared" si="63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18:23:04-0600',mode:absolute,to:'2016-11-06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65"/>
        <v>N</v>
      </c>
      <c r="X218" s="177" t="e">
        <f>VALUE(LEFT(AD218,4))-VALUE(LEFT(AD217,4))</f>
        <v>#VALUE!</v>
      </c>
      <c r="Y218" s="67">
        <f t="shared" si="66"/>
        <v>0.18759999999999999</v>
      </c>
      <c r="Z218" s="67">
        <f t="shared" si="67"/>
        <v>12.89</v>
      </c>
      <c r="AA218" s="67">
        <f t="shared" si="68"/>
        <v>12.702400000000001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9"/>
        <v>=^.^=-06</v>
      </c>
      <c r="AE218" s="91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8" s="88" t="str">
        <f t="shared" si="71"/>
        <v>"C:\Program Files (x86)\AstroGrep\AstroGrep.exe" /spath="%USERPROFILE%\AppData\Local\Temp\OnboardLogs" /stypes="app*4051*20161107*" /stext=" 04:.+((SYSTEM_STATE.+slice.+state.+changed )|(ment ac)|(system.+state.+changed )|(\[timeout)|(PRM\|1\|D)|(kpr)|(kdp)|(\|lc)|(penalty))" /e /r /s</v>
      </c>
      <c r="AG218" s="1" t="str">
        <f t="shared" si="72"/>
        <v>Other</v>
      </c>
      <c r="AH218" s="92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=^.^=-06 --locoid 4051 --swversion DE.1.0.8.0 --startMP 204:1876 --initTime 2016-11-06T19:23:04 --startdatetime 2016-11-06T20:26:20 --delay 0 --endMP 204:128900 --enddatetime 2016-11-06T21:04:42 --enforcementcount 0 &gt;&gt;C:\Users\stu\Documents\GitHub\eaglep3-reporting\EC\2016-11-06-refined-times.txt</v>
      </c>
      <c r="AI218" s="122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{"issue":{"subject":"","project_id":79,"tracker_id":40,"status_id":1,"priority_id":2,"assigned_to_id":23,"start_date":"2016-11-06","description":"","custom_fields":[{"id":1,"name":"Subdivision","value":"Other"},{"id":4,"name":"Milepost","value":"12.89"},{"id":17,"name":"Train ID","value":"=^.^=-06"},{"id":16,"name":"Locomotive ID","value":"4051"},{"id":130,"name":"Impact","value":""},{"id":150,"name":"Time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415</v>
      </c>
      <c r="B219" s="7">
        <v>4051</v>
      </c>
      <c r="C219" s="22" t="s">
        <v>239</v>
      </c>
      <c r="D219" s="22" t="s">
        <v>229</v>
      </c>
      <c r="E219" s="13">
        <v>42680.897638888891</v>
      </c>
      <c r="F219" s="13">
        <v>25568.708333333332</v>
      </c>
      <c r="G219" s="7">
        <v>1</v>
      </c>
      <c r="H219" s="22" t="s">
        <v>759</v>
      </c>
      <c r="I219" s="13">
        <v>25568.708333333332</v>
      </c>
      <c r="J219" s="7">
        <v>0</v>
      </c>
      <c r="K219" s="112" t="str">
        <f t="shared" si="59"/>
        <v>4051/4052</v>
      </c>
      <c r="L219" s="22" t="str">
        <f>VLOOKUP(A219,'Trips&amp;Operators'!$C$1:$E$10000,3,FALSE)</f>
        <v>NEWELL</v>
      </c>
      <c r="M219" s="6">
        <f t="shared" si="60"/>
        <v>0</v>
      </c>
      <c r="N219" s="7">
        <f t="shared" si="61"/>
        <v>0</v>
      </c>
      <c r="O219" s="7"/>
      <c r="P219" s="7"/>
      <c r="Q219" s="23"/>
      <c r="R219" s="23"/>
      <c r="S219" s="35">
        <f t="shared" si="62"/>
        <v>0</v>
      </c>
      <c r="T219" s="50" t="e">
        <f t="shared" si="63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20:32:36-0600',mode:absolute,to:'1969-12-31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2" t="str">
        <f t="shared" si="65"/>
        <v>Y</v>
      </c>
      <c r="X219" s="177" t="e">
        <f>VALUE(LEFT(AD219,4))-VALUE(LEFT(AD218,4))</f>
        <v>#VALUE!</v>
      </c>
      <c r="Y219" s="67">
        <f t="shared" si="66"/>
        <v>4.6199999999999998E-2</v>
      </c>
      <c r="Z219" s="67">
        <f t="shared" si="67"/>
        <v>2.6882999999999999</v>
      </c>
      <c r="AA219" s="67">
        <f t="shared" si="68"/>
        <v>2.6421000000000001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9"/>
        <v>=^.^=-06</v>
      </c>
      <c r="AE219" s="91" t="str">
        <f t="shared" si="70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9" s="88" t="str">
        <f t="shared" si="71"/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19" s="1" t="str">
        <f t="shared" si="72"/>
        <v>Other</v>
      </c>
      <c r="AH219" s="92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=^.^=-06 --locoid 4051 --swversion DE.1.0.8.0 --startMP 204:462 --initTime 2016-11-06T21:32:36 --startdatetime 1969-12-31T17:00:00 --delay 1 --endMP 300:26883 --enddatetime 1969-12-31T17:00:00 --enforcementcount 0 &gt;&gt;C:\Users\stu\Documents\GitHub\eaglep3-reporting\EC\2016-11-06-refined-times.txt</v>
      </c>
      <c r="AI219" s="122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{"issue":{"subject":"","project_id":79,"tracker_id":40,"status_id":1,"priority_id":2,"assigned_to_id":23,"start_date":"1969-12-31","description":"","custom_fields":[{"id":1,"name":"Subdivision","value":"Other"},{"id":4,"name":"Milepost","value":"2.6883"},{"id":17,"name":"Train ID","value":"=^.^=-06"},{"id":16,"name":"Locomotive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593</v>
      </c>
      <c r="B220" s="7">
        <v>4052</v>
      </c>
      <c r="C220" s="22" t="s">
        <v>239</v>
      </c>
      <c r="D220" s="22" t="s">
        <v>743</v>
      </c>
      <c r="E220" s="13">
        <v>42680.825370370374</v>
      </c>
      <c r="F220" s="13">
        <v>42680.836284722223</v>
      </c>
      <c r="G220" s="7">
        <v>2</v>
      </c>
      <c r="H220" s="22" t="s">
        <v>760</v>
      </c>
      <c r="I220" s="13">
        <v>42680.848506944443</v>
      </c>
      <c r="J220" s="7">
        <v>0</v>
      </c>
      <c r="K220" s="112" t="str">
        <f t="shared" si="59"/>
        <v>4051/4052</v>
      </c>
      <c r="L220" s="22" t="str">
        <f>VLOOKUP(A220,'Trips&amp;Operators'!$C$1:$E$10000,3,FALSE)</f>
        <v>NEWELL</v>
      </c>
      <c r="M220" s="6">
        <f t="shared" si="60"/>
        <v>1.2222222219861578E-2</v>
      </c>
      <c r="N220" s="7">
        <f t="shared" si="61"/>
        <v>17.599999996600673</v>
      </c>
      <c r="O220" s="7"/>
      <c r="P220" s="7"/>
      <c r="Q220" s="23"/>
      <c r="R220" s="23"/>
      <c r="S220" s="35">
        <f t="shared" si="62"/>
        <v>0</v>
      </c>
      <c r="T220" s="50" t="e">
        <f t="shared" si="63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18:48:32-0600',mode:absolute,to:'2016-11-06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0" s="52" t="str">
        <f t="shared" si="65"/>
        <v>Y</v>
      </c>
      <c r="X220" s="177" t="e">
        <f>VALUE(LEFT(AD220,4))-VALUE(LEFT(AD215,4))</f>
        <v>#VALUE!</v>
      </c>
      <c r="Y220" s="67">
        <f t="shared" si="66"/>
        <v>12.851699999999999</v>
      </c>
      <c r="Z220" s="67">
        <f t="shared" si="67"/>
        <v>12.852600000000001</v>
      </c>
      <c r="AA220" s="67">
        <f t="shared" si="68"/>
        <v>9.0000000000145519E-4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9"/>
        <v>DERPDERPSOUTH-06</v>
      </c>
      <c r="AE220" s="91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20" s="88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20" s="1" t="str">
        <f t="shared" si="72"/>
        <v>Other</v>
      </c>
      <c r="AH220" s="92" t="str">
        <f t="shared" si="57"/>
        <v>"%USERPROFILE%\Documents\GitHub\eaglep3\Utilities\RefineRTDCRunTimes.py" --tripid DERPDERPSOUTH-06 --locoid 4052 --swversion DE.1.0.8.0 --startMP 204:128517 --initTime 2016-11-06T19:48:32 --startdatetime 2016-11-06T20:04:15 --delay 2 --endMP 204:128526 --enddatetime 2016-11-06T20:21:51 --enforcementcount 0 &gt;&gt;C:\Users\stu\Documents\GitHub\eaglep3-reporting\EC\2016-11-06-refined-times.txt</v>
      </c>
      <c r="AI220" s="122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{"issue":{"subject":"","project_id":79,"tracker_id":40,"status_id":1,"priority_id":2,"assigned_to_id":23,"start_date":"2016-11-06","description":"","custom_fields":[{"id":1,"name":"Subdivision","value":"Other"},{"id":4,"name":"Milepost","value":"12.8526"},{"id":17,"name":"Train ID","value":"DERPDERPSOUTH-06"},{"id":16,"name":"Locomotive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3:X1048576 W13:X220">
    <cfRule type="cellIs" dxfId="13" priority="344" operator="equal">
      <formula>"Y"</formula>
    </cfRule>
  </conditionalFormatting>
  <conditionalFormatting sqref="X263:X1048576 X13:X220">
    <cfRule type="cellIs" dxfId="12" priority="327" operator="greaterThan">
      <formula>1</formula>
    </cfRule>
  </conditionalFormatting>
  <conditionalFormatting sqref="X263:X1048576 X12:X220">
    <cfRule type="cellIs" dxfId="11" priority="324" operator="equal">
      <formula>0</formula>
    </cfRule>
  </conditionalFormatting>
  <conditionalFormatting sqref="A13:S220">
    <cfRule type="expression" dxfId="10" priority="318" stopIfTrue="1">
      <formula>$P13&gt;0</formula>
    </cfRule>
    <cfRule type="expression" dxfId="9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1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28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- 2016-11-06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42680.322650462964</v>
      </c>
      <c r="B7" s="31" t="s">
        <v>270</v>
      </c>
      <c r="C7" s="31" t="s">
        <v>401</v>
      </c>
      <c r="D7" s="31" t="s">
        <v>98</v>
      </c>
      <c r="E7" s="31" t="s">
        <v>344</v>
      </c>
      <c r="F7" s="47">
        <v>790</v>
      </c>
      <c r="G7" s="47">
        <v>840</v>
      </c>
      <c r="H7" s="47">
        <v>97316</v>
      </c>
      <c r="I7" s="47">
        <v>92670</v>
      </c>
      <c r="J7" s="31" t="s">
        <v>216</v>
      </c>
      <c r="K7" s="47">
        <v>126678</v>
      </c>
      <c r="L7" s="157" t="s">
        <v>51</v>
      </c>
      <c r="M7" s="158">
        <f t="shared" ref="M7:M35" si="0">CONVERT((I7-K7)/10000,"mi","ft")*IF(L7="Increasing Mileposts (1)",-1,1)</f>
        <v>-17956.223999999998</v>
      </c>
      <c r="N7" s="159" t="str">
        <f>VLOOKUP(C7,'Trips&amp;Operators'!$C$1:$E$99999,3,FALSE)</f>
        <v>MALAVE</v>
      </c>
      <c r="O7" s="184" t="s">
        <v>214</v>
      </c>
      <c r="P7" s="160"/>
      <c r="Q7" s="31"/>
      <c r="R7" s="100" t="str">
        <f>VLOOKUP(C7,'Train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7" s="103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7" s="9" t="str">
        <f t="shared" ref="U7:U35" si="2">MID(B7,13,4)</f>
        <v>4039</v>
      </c>
      <c r="V7" s="36">
        <f t="shared" ref="V7:V35" si="3">A7-utc_offset/24</f>
        <v>42680.614317129628</v>
      </c>
      <c r="W7" s="50" t="str">
        <f t="shared" ref="W7:W35" si="4">IF(VALUE(LEFT(IF(LEN(C7)=6,"0"&amp;C7,C7),2))&lt;=2,"EC",IF(OR(VALUE(LEFT(IF(LEN(C7)=6,"0"&amp;C7,C7),2))=8,VALUE(LEFT(IF(LEN(C7)=6,"0"&amp;C7,C7),2))=18),"NW","Other"))</f>
        <v>EC</v>
      </c>
      <c r="X7" s="50" t="str">
        <f t="shared" ref="X7:X35" si="5">IF(AND(E7="TRACK WARRANT AUTHORITY",G7&lt;10),"OMIT","KEEP")</f>
        <v>KEEP</v>
      </c>
      <c r="Y7" s="122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{"issue":{"subject":"","project_id":79,"tracker_id":40,"status_id":1,"priority_id":2,"assigned_to_id":23,"start_date":"2016-11-06","description":"","custom_fields":[{"id":1,"name":"Subdivision","value":"EC"},{"id":4,"name":"Milepost","value":"12.6678"},{"id":17,"name":"Train ID","value":"124-06"},{"id":16,"name":"Locomotive ID","value":"4039"},{"id":130,"name":"Impact","value":""},{"id":150,"name":"Time of Event (Mountain Time)","value":"07:44:37"},{"id":151,"name":"Denver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"%USERPROFILE%\AppData\Local\Temp\OnboardLogs"\RTDC4039\*4039*201611061* | grep -SE "((Enforcement Ac)|(PRM))" -</v>
      </c>
    </row>
    <row r="8" spans="1:29" s="1" customFormat="1" x14ac:dyDescent="0.25">
      <c r="A8" s="36">
        <v>42680.325787037036</v>
      </c>
      <c r="B8" s="31" t="s">
        <v>270</v>
      </c>
      <c r="C8" s="31" t="s">
        <v>401</v>
      </c>
      <c r="D8" s="31" t="s">
        <v>49</v>
      </c>
      <c r="E8" s="31" t="s">
        <v>154</v>
      </c>
      <c r="F8" s="47">
        <v>0</v>
      </c>
      <c r="G8" s="47">
        <v>633</v>
      </c>
      <c r="H8" s="47">
        <v>67049</v>
      </c>
      <c r="I8" s="47">
        <v>64848</v>
      </c>
      <c r="J8" s="31" t="s">
        <v>153</v>
      </c>
      <c r="K8" s="47">
        <v>63309</v>
      </c>
      <c r="L8" s="157" t="s">
        <v>51</v>
      </c>
      <c r="M8" s="158">
        <f t="shared" si="0"/>
        <v>812.59199999999998</v>
      </c>
      <c r="N8" s="159" t="str">
        <f>VLOOKUP(C8,'Trips&amp;Operators'!$C$1:$E$99999,3,FALSE)</f>
        <v>MALAVE</v>
      </c>
      <c r="O8" s="184" t="s">
        <v>214</v>
      </c>
      <c r="P8" s="160" t="s">
        <v>767</v>
      </c>
      <c r="Q8" s="31"/>
      <c r="R8" s="100" t="str">
        <f>VLOOKUP(C8,'Train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8" s="103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8" s="105" t="str">
        <f t="shared" si="1"/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8" s="9" t="str">
        <f t="shared" si="2"/>
        <v>4039</v>
      </c>
      <c r="V8" s="36">
        <f t="shared" si="3"/>
        <v>42680.6174537037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Didn't slow down quickly enough","project_id":79,"tracker_id":40,"status_id":1,"priority_id":2,"assigned_to_id":23,"start_date":"2016-11-06","description":"","custom_fields":[{"id":1,"name":"Subdivision","value":"EC"},{"id":4,"name":"Milepost","value":"6.3309"},{"id":17,"name":"Train ID","value":"124-06"},{"id":16,"name":"Locomotive ID","value":"4039"},{"id":130,"name":"Impact","value":""},{"id":150,"name":"Time of Event (Mountain Time)","value":"07:49:08"},{"id":151,"name":"Denver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"%USERPROFILE%\AppData\Local\Temp\OnboardLogs"\RTDC4039\*4039*201611061* | grep -SE "((Enforcement Ac)|(PRM))" -</v>
      </c>
    </row>
    <row r="9" spans="1:29" s="1" customFormat="1" x14ac:dyDescent="0.25">
      <c r="A9" s="36">
        <v>42680.362766203703</v>
      </c>
      <c r="B9" s="31" t="s">
        <v>189</v>
      </c>
      <c r="C9" s="31" t="s">
        <v>403</v>
      </c>
      <c r="D9" s="31" t="s">
        <v>98</v>
      </c>
      <c r="E9" s="31" t="s">
        <v>215</v>
      </c>
      <c r="F9" s="47">
        <v>300</v>
      </c>
      <c r="G9" s="47">
        <v>351</v>
      </c>
      <c r="H9" s="47">
        <v>20373</v>
      </c>
      <c r="I9" s="47">
        <v>19216</v>
      </c>
      <c r="J9" s="31" t="s">
        <v>216</v>
      </c>
      <c r="K9" s="47">
        <v>21848</v>
      </c>
      <c r="L9" s="157" t="s">
        <v>51</v>
      </c>
      <c r="M9" s="158">
        <f t="shared" si="0"/>
        <v>-1389.6959999999999</v>
      </c>
      <c r="N9" s="159" t="str">
        <f>VLOOKUP(C9,'Trips&amp;Operators'!$C$1:$E$99999,3,FALSE)</f>
        <v>YORK</v>
      </c>
      <c r="O9" s="184" t="s">
        <v>214</v>
      </c>
      <c r="P9" s="160"/>
      <c r="Q9" s="31"/>
      <c r="R9" s="100" t="str">
        <f>VLOOKUP(C9,'Train Runs'!$A$13:$AE$10006,31,0)</f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S9" s="103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/stypes="*4010*201611061*" /stext=" 15:.+((SYSTEM_STATE.+slice.+state.+changed )|(ment ac)|(system.+state.+changed )|(\[timeout)|(PRM\|1\|D)|(kpr)|(kdp)|(\|lc)|(penalty))" /e /r /s</v>
      </c>
      <c r="U9" s="9" t="str">
        <f t="shared" si="2"/>
        <v>4010</v>
      </c>
      <c r="V9" s="36">
        <f t="shared" si="3"/>
        <v>42680.654432870368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{"issue":{"subject":"","project_id":79,"tracker_id":40,"status_id":1,"priority_id":2,"assigned_to_id":23,"start_date":"2016-11-06","description":"","custom_fields":[{"id":1,"name":"Subdivision","value":"EC"},{"id":4,"name":"Milepost","value":"2.1848"},{"id":17,"name":"Train ID","value":"130-06"},{"id":16,"name":"Locomotive ID","value":"4010"},{"id":130,"name":"Impact","value":""},{"id":150,"name":"Time of Event (Mountain Time)","value":"08:42:23"},{"id":151,"name":"Denver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"%USERPROFILE%\AppData\Local\Temp\OnboardLogs"\RTDC4010\*4010*201611061* | grep -SE "((Enforcement Ac)|(PRM))" -</v>
      </c>
    </row>
    <row r="10" spans="1:29" s="1" customFormat="1" x14ac:dyDescent="0.25">
      <c r="A10" s="36">
        <v>42680.24858796296</v>
      </c>
      <c r="B10" s="31" t="s">
        <v>285</v>
      </c>
      <c r="C10" s="31" t="s">
        <v>398</v>
      </c>
      <c r="D10" s="31" t="s">
        <v>98</v>
      </c>
      <c r="E10" s="31" t="s">
        <v>215</v>
      </c>
      <c r="F10" s="47">
        <v>150</v>
      </c>
      <c r="G10" s="47">
        <v>205</v>
      </c>
      <c r="H10" s="47">
        <v>228802</v>
      </c>
      <c r="I10" s="47">
        <v>228440</v>
      </c>
      <c r="J10" s="31" t="s">
        <v>216</v>
      </c>
      <c r="K10" s="47">
        <v>229055</v>
      </c>
      <c r="L10" s="157" t="s">
        <v>51</v>
      </c>
      <c r="M10" s="158">
        <f t="shared" si="0"/>
        <v>-324.72000000000003</v>
      </c>
      <c r="N10" s="159" t="str">
        <f>VLOOKUP(C10,'Trips&amp;Operators'!$C$1:$E$99999,3,FALSE)</f>
        <v>ISHMAEL</v>
      </c>
      <c r="O10" s="184" t="s">
        <v>214</v>
      </c>
      <c r="P10" s="160"/>
      <c r="Q10" s="31"/>
      <c r="R10" s="100" t="str">
        <f>VLOOKUP(C10,'Train Runs'!$A$13:$AE$10006,31,0)</f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S10" s="103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https://search-rtdc-monitor-bjffxe2xuh6vdkpspy63sjmuny.us-east-1.es.amazonaws.com/_plugin/kibana/#/discover/Steve-Slow-Train-Analysis-(2080s-and-2083s)?_g=(refreshInterval:(display:Off,section:0,value:0),time:(from:'2016-11-06 04:45:48-0600',mode:absolute,to:'2016-11-06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0" s="105" t="str">
        <f t="shared" si="1"/>
        <v>"C:\Program Files (x86)\AstroGrep\AstroGrep.exe" /spath="%USERPROFILE%\AppData\Local\Temp\OnboardLogs" /stypes="*4008*201611061*" /stext=" 12:.+((SYSTEM_STATE.+slice.+state.+changed )|(ment ac)|(system.+state.+changed )|(\[timeout)|(PRM\|1\|D)|(kpr)|(kdp)|(\|lc)|(penalty))" /e /r /s</v>
      </c>
      <c r="U10" s="9" t="str">
        <f t="shared" si="2"/>
        <v>4008</v>
      </c>
      <c r="V10" s="36">
        <f t="shared" si="3"/>
        <v>42680.540254629625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{"issue":{"subject":"","project_id":79,"tracker_id":40,"status_id":1,"priority_id":2,"assigned_to_id":23,"start_date":"2016-11-06","description":"","custom_fields":[{"id":1,"name":"Subdivision","value":"EC"},{"id":4,"name":"Milepost","value":"22.9055"},{"id":17,"name":"Train ID","value":"112-06"},{"id":16,"name":"Locomotive ID","value":"4008"},{"id":130,"name":"Impact","value":""},{"id":150,"name":"Time of Event (Mountain Time)","value":"05:57:58"},{"id":151,"name":"Denver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"%USERPROFILE%\AppData\Local\Temp\OnboardLogs"\RTDC4008\*4008*201611061* | grep -SE "((Enforcement Ac)|(PRM))" -</v>
      </c>
    </row>
    <row r="11" spans="1:29" s="1" customFormat="1" x14ac:dyDescent="0.25">
      <c r="A11" s="36">
        <v>42680.31009259259</v>
      </c>
      <c r="B11" s="31" t="s">
        <v>270</v>
      </c>
      <c r="C11" s="31" t="s">
        <v>401</v>
      </c>
      <c r="D11" s="31" t="s">
        <v>98</v>
      </c>
      <c r="E11" s="31" t="s">
        <v>215</v>
      </c>
      <c r="F11" s="47">
        <v>150</v>
      </c>
      <c r="G11" s="47">
        <v>202</v>
      </c>
      <c r="H11" s="47">
        <v>232356</v>
      </c>
      <c r="I11" s="47">
        <v>232113</v>
      </c>
      <c r="J11" s="31" t="s">
        <v>216</v>
      </c>
      <c r="K11" s="47">
        <v>233492</v>
      </c>
      <c r="L11" s="157" t="s">
        <v>51</v>
      </c>
      <c r="M11" s="158">
        <f t="shared" si="0"/>
        <v>-728.11199999999997</v>
      </c>
      <c r="N11" s="159" t="str">
        <f>VLOOKUP(C11,'Trips&amp;Operators'!$C$1:$E$99999,3,FALSE)</f>
        <v>MALAVE</v>
      </c>
      <c r="O11" s="184" t="s">
        <v>214</v>
      </c>
      <c r="P11" s="160"/>
      <c r="Q11" s="31"/>
      <c r="R11" s="100" t="str">
        <f>VLOOKUP(C11,'Train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1" s="103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 t="shared" si="1"/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11" s="9" t="str">
        <f t="shared" si="2"/>
        <v>4039</v>
      </c>
      <c r="V11" s="36">
        <f t="shared" si="3"/>
        <v>42680.601759259254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{"issue":{"subject":"","project_id":79,"tracker_id":40,"status_id":1,"priority_id":2,"assigned_to_id":23,"start_date":"2016-11-06","description":"","custom_fields":[{"id":1,"name":"Subdivision","value":"EC"},{"id":4,"name":"Milepost","value":"23.3492"},{"id":17,"name":"Train ID","value":"124-06"},{"id":16,"name":"Locomotive ID","value":"4039"},{"id":130,"name":"Impact","value":""},{"id":150,"name":"Time of Event (Mountain Time)","value":"07:26:32"},{"id":151,"name":"Denver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"%USERPROFILE%\AppData\Local\Temp\OnboardLogs"\RTDC4039\*4039*201611061* | grep -SE "((Enforcement Ac)|(PRM))" -</v>
      </c>
    </row>
    <row r="12" spans="1:29" s="1" customFormat="1" x14ac:dyDescent="0.25">
      <c r="A12" s="36">
        <v>42680.464513888888</v>
      </c>
      <c r="B12" s="31" t="s">
        <v>270</v>
      </c>
      <c r="C12" s="31" t="s">
        <v>406</v>
      </c>
      <c r="D12" s="31" t="s">
        <v>49</v>
      </c>
      <c r="E12" s="31" t="s">
        <v>217</v>
      </c>
      <c r="F12" s="47">
        <v>0</v>
      </c>
      <c r="G12" s="47">
        <v>611</v>
      </c>
      <c r="H12" s="47">
        <v>131188</v>
      </c>
      <c r="I12" s="47">
        <v>129042</v>
      </c>
      <c r="J12" s="31" t="s">
        <v>218</v>
      </c>
      <c r="K12" s="47">
        <v>127587</v>
      </c>
      <c r="L12" s="157" t="s">
        <v>51</v>
      </c>
      <c r="M12" s="158">
        <f t="shared" si="0"/>
        <v>768.24</v>
      </c>
      <c r="N12" s="159" t="str">
        <f>VLOOKUP(C12,'Trips&amp;Operators'!$C$1:$E$99999,3,FALSE)</f>
        <v>MALAVE</v>
      </c>
      <c r="O12" s="184" t="s">
        <v>214</v>
      </c>
      <c r="P12" s="160" t="s">
        <v>766</v>
      </c>
      <c r="Q12" s="31"/>
      <c r="R12" s="100" t="str">
        <f>VLOOKUP(C12,'Train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2" s="103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2" s="105" t="str">
        <f t="shared" si="1"/>
        <v>"C:\Program Files (x86)\AstroGrep\AstroGrep.exe" /spath="%USERPROFILE%\AppData\Local\Temp\OnboardLogs" /stypes="*4039*201611061*" /stext=" 18:.+((SYSTEM_STATE.+slice.+state.+changed )|(ment ac)|(system.+state.+changed )|(\[timeout)|(PRM\|1\|D)|(kpr)|(kdp)|(\|lc)|(penalty))" /e /r /s</v>
      </c>
      <c r="U12" s="9" t="str">
        <f t="shared" si="2"/>
        <v>4039</v>
      </c>
      <c r="V12" s="36">
        <f t="shared" si="3"/>
        <v>42680.756180555552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{"issue":{"subject":"40th 4S STOP, cleared afterward","project_id":79,"tracker_id":40,"status_id":1,"priority_id":2,"assigned_to_id":23,"start_date":"2016-11-06","description":"","custom_fields":[{"id":1,"name":"Subdivision","value":"EC"},{"id":4,"name":"Milepost","value":"12.7587"},{"id":17,"name":"Train ID","value":"152-06"},{"id":16,"name":"Locomotive ID","value":"4039"},{"id":130,"name":"Impact","value":""},{"id":150,"name":"Time of Event (Mountain Time)","value":"11:08:54"},{"id":151,"name":"Denver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"%USERPROFILE%\AppData\Local\Temp\OnboardLogs"\RTDC4039\*4039*201611061* | grep -SE "((Enforcement Ac)|(PRM))" -</v>
      </c>
    </row>
    <row r="13" spans="1:29" s="1" customFormat="1" x14ac:dyDescent="0.25">
      <c r="A13" s="36">
        <v>42680.200196759259</v>
      </c>
      <c r="B13" s="31" t="s">
        <v>394</v>
      </c>
      <c r="C13" s="31" t="s">
        <v>395</v>
      </c>
      <c r="D13" s="31" t="s">
        <v>49</v>
      </c>
      <c r="E13" s="31" t="s">
        <v>219</v>
      </c>
      <c r="F13" s="47">
        <v>0</v>
      </c>
      <c r="G13" s="47">
        <v>82</v>
      </c>
      <c r="H13" s="47">
        <v>307</v>
      </c>
      <c r="I13" s="47">
        <v>229</v>
      </c>
      <c r="J13" s="31" t="s">
        <v>220</v>
      </c>
      <c r="K13" s="47">
        <v>1</v>
      </c>
      <c r="L13" s="157" t="s">
        <v>51</v>
      </c>
      <c r="M13" s="158">
        <f t="shared" si="0"/>
        <v>120.384</v>
      </c>
      <c r="N13" s="159" t="str">
        <f>VLOOKUP(C13,'Trips&amp;Operators'!$C$1:$E$99999,3,FALSE)</f>
        <v>KILLION</v>
      </c>
      <c r="O13" s="184" t="s">
        <v>214</v>
      </c>
      <c r="P13" s="160"/>
      <c r="Q13" s="31"/>
      <c r="R13" s="100" t="str">
        <f>VLOOKUP(C13,'Train Runs'!$A$13:$AE$10006,31,0)</f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S13" s="103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3" s="105" t="str">
        <f t="shared" si="1"/>
        <v>"C:\Program Files (x86)\AstroGrep\AstroGrep.exe" /spath="%USERPROFILE%\AppData\Local\Temp\OnboardLogs" /stypes="*4043*201611061*" /stext=" 11:.+((SYSTEM_STATE.+slice.+state.+changed )|(ment ac)|(system.+state.+changed )|(\[timeout)|(PRM\|1\|D)|(kpr)|(kdp)|(\|lc)|(penalty))" /e /r /s</v>
      </c>
      <c r="U13" s="9" t="str">
        <f t="shared" si="2"/>
        <v>4043</v>
      </c>
      <c r="V13" s="36">
        <f t="shared" si="3"/>
        <v>42680.491863425923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ID","value":"102-06"},{"id":16,"name":"Locomotive ID","value":"4043"},{"id":130,"name":"Impact","value":""},{"id":150,"name":"Time of Event (Mountain Time)","value":"04:48:17"},{"id":151,"name":"Denver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"%USERPROFILE%\AppData\Local\Temp\OnboardLogs"\RTDC4043\*4043*201611061* | grep -SE "((Enforcement Ac)|(PRM))" -</v>
      </c>
    </row>
    <row r="14" spans="1:29" s="1" customFormat="1" x14ac:dyDescent="0.25">
      <c r="A14" s="36">
        <v>42680.200613425928</v>
      </c>
      <c r="B14" s="31" t="s">
        <v>394</v>
      </c>
      <c r="C14" s="31" t="s">
        <v>395</v>
      </c>
      <c r="D14" s="31" t="s">
        <v>49</v>
      </c>
      <c r="E14" s="31" t="s">
        <v>219</v>
      </c>
      <c r="F14" s="47">
        <v>0</v>
      </c>
      <c r="G14" s="47">
        <v>41</v>
      </c>
      <c r="H14" s="47">
        <v>152</v>
      </c>
      <c r="I14" s="47">
        <v>130</v>
      </c>
      <c r="J14" s="31" t="s">
        <v>220</v>
      </c>
      <c r="K14" s="47">
        <v>1</v>
      </c>
      <c r="L14" s="157" t="s">
        <v>51</v>
      </c>
      <c r="M14" s="158">
        <f t="shared" si="0"/>
        <v>68.111999999999995</v>
      </c>
      <c r="N14" s="159" t="str">
        <f>VLOOKUP(C14,'Trips&amp;Operators'!$C$1:$E$99999,3,FALSE)</f>
        <v>KILLION</v>
      </c>
      <c r="O14" s="184" t="s">
        <v>214</v>
      </c>
      <c r="P14" s="160"/>
      <c r="Q14" s="31"/>
      <c r="R14" s="100" t="str">
        <f>VLOOKUP(C14,'Train Runs'!$A$13:$AE$10006,31,0)</f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S14" s="103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4" s="105" t="str">
        <f t="shared" si="1"/>
        <v>"C:\Program Files (x86)\AstroGrep\AstroGrep.exe" /spath="%USERPROFILE%\AppData\Local\Temp\OnboardLogs" /stypes="*4043*201611061*" /stext=" 11:.+((SYSTEM_STATE.+slice.+state.+changed )|(ment ac)|(system.+state.+changed )|(\[timeout)|(PRM\|1\|D)|(kpr)|(kdp)|(\|lc)|(penalty))" /e /r /s</v>
      </c>
      <c r="U14" s="9" t="str">
        <f t="shared" si="2"/>
        <v>4043</v>
      </c>
      <c r="V14" s="36">
        <f t="shared" si="3"/>
        <v>42680.492280092592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ID","value":"102-06"},{"id":16,"name":"Locomotive ID","value":"4043"},{"id":130,"name":"Impact","value":""},{"id":150,"name":"Time of Event (Mountain Time)","value":"04:48:53"},{"id":151,"name":"Denver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"%USERPROFILE%\AppData\Local\Temp\OnboardLogs"\RTDC4043\*4043*201611061* | grep -SE "((Enforcement Ac)|(PRM))" -</v>
      </c>
    </row>
    <row r="15" spans="1:29" s="1" customFormat="1" x14ac:dyDescent="0.25">
      <c r="A15" s="36">
        <v>42680.223460648151</v>
      </c>
      <c r="B15" s="31" t="s">
        <v>396</v>
      </c>
      <c r="C15" s="31" t="s">
        <v>397</v>
      </c>
      <c r="D15" s="31" t="s">
        <v>49</v>
      </c>
      <c r="E15" s="31" t="s">
        <v>219</v>
      </c>
      <c r="F15" s="47">
        <v>0</v>
      </c>
      <c r="G15" s="47">
        <v>42</v>
      </c>
      <c r="H15" s="47">
        <v>136</v>
      </c>
      <c r="I15" s="47">
        <v>110</v>
      </c>
      <c r="J15" s="31" t="s">
        <v>220</v>
      </c>
      <c r="K15" s="47">
        <v>1</v>
      </c>
      <c r="L15" s="157" t="s">
        <v>51</v>
      </c>
      <c r="M15" s="158">
        <f t="shared" si="0"/>
        <v>57.552</v>
      </c>
      <c r="N15" s="159" t="str">
        <f>VLOOKUP(C15,'Trips&amp;Operators'!$C$1:$E$99999,3,FALSE)</f>
        <v>ACKERMAN</v>
      </c>
      <c r="O15" s="184" t="s">
        <v>214</v>
      </c>
      <c r="P15" s="160"/>
      <c r="Q15" s="31"/>
      <c r="R15" s="100" t="str">
        <f>VLOOKUP(C15,'Train Runs'!$A$13:$AE$10006,31,0)</f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S15" s="103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03:31:14-0600',mode:absolute,to:'2016-11-06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5" s="105" t="str">
        <f t="shared" si="1"/>
        <v>"C:\Program Files (x86)\AstroGrep\AstroGrep.exe" /spath="%USERPROFILE%\AppData\Local\Temp\OnboardLogs" /stypes="*4045*201611061*" /stext=" 12:.+((SYSTEM_STATE.+slice.+state.+changed )|(ment ac)|(system.+state.+changed )|(\[timeout)|(PRM\|1\|D)|(kpr)|(kdp)|(\|lc)|(penalty))" /e /r /s</v>
      </c>
      <c r="U15" s="9" t="str">
        <f t="shared" si="2"/>
        <v>4045</v>
      </c>
      <c r="V15" s="36">
        <f t="shared" si="3"/>
        <v>42680.515127314815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ID","value":"104-06"},{"id":16,"name":"Locomotive ID","value":"4045"},{"id":130,"name":"Impact","value":""},{"id":150,"name":"Time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"%USERPROFILE%\AppData\Local\Temp\OnboardLogs"\RTDC4045\*4045*201611061* | grep -SE "((Enforcement Ac)|(PRM))" -</v>
      </c>
    </row>
    <row r="16" spans="1:29" s="1" customFormat="1" x14ac:dyDescent="0.25">
      <c r="A16" s="36">
        <v>42680.366840277777</v>
      </c>
      <c r="B16" s="31" t="s">
        <v>189</v>
      </c>
      <c r="C16" s="31" t="s">
        <v>403</v>
      </c>
      <c r="D16" s="31" t="s">
        <v>49</v>
      </c>
      <c r="E16" s="31" t="s">
        <v>219</v>
      </c>
      <c r="F16" s="47">
        <v>0</v>
      </c>
      <c r="G16" s="47">
        <v>43</v>
      </c>
      <c r="H16" s="47">
        <v>145</v>
      </c>
      <c r="I16" s="47">
        <v>118</v>
      </c>
      <c r="J16" s="31" t="s">
        <v>220</v>
      </c>
      <c r="K16" s="47">
        <v>1</v>
      </c>
      <c r="L16" s="157" t="s">
        <v>51</v>
      </c>
      <c r="M16" s="158">
        <f t="shared" si="0"/>
        <v>61.776000000000003</v>
      </c>
      <c r="N16" s="159" t="str">
        <f>VLOOKUP(C16,'Trips&amp;Operators'!$C$1:$E$99999,3,FALSE)</f>
        <v>YORK</v>
      </c>
      <c r="O16" s="184" t="s">
        <v>214</v>
      </c>
      <c r="P16" s="160"/>
      <c r="Q16" s="31"/>
      <c r="R16" s="100" t="str">
        <f>VLOOKUP(C16,'Train Runs'!$A$13:$AE$10006,31,0)</f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S16" s="103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6" s="105" t="str">
        <f t="shared" si="1"/>
        <v>"C:\Program Files (x86)\AstroGrep\AstroGrep.exe" /spath="%USERPROFILE%\AppData\Local\Temp\OnboardLogs" /stypes="*4010*201611061*" /stext=" 15:.+((SYSTEM_STATE.+slice.+state.+changed )|(ment ac)|(system.+state.+changed )|(\[timeout)|(PRM\|1\|D)|(kpr)|(kdp)|(\|lc)|(penalty))" /e /r /s</v>
      </c>
      <c r="U16" s="9" t="str">
        <f t="shared" si="2"/>
        <v>4010</v>
      </c>
      <c r="V16" s="36">
        <f t="shared" si="3"/>
        <v>42680.658506944441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ID","value":"130-06"},{"id":16,"name":"Locomotive ID","value":"4010"},{"id":130,"name":"Impact","value":""},{"id":150,"name":"Time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"%USERPROFILE%\AppData\Local\Temp\OnboardLogs"\RTDC4010\*4010*201611061* | grep -SE "((Enforcement Ac)|(PRM))" -</v>
      </c>
    </row>
    <row r="17" spans="1:30" s="1" customFormat="1" x14ac:dyDescent="0.25">
      <c r="A17" s="36">
        <v>42680.387453703705</v>
      </c>
      <c r="B17" s="31" t="s">
        <v>284</v>
      </c>
      <c r="C17" s="31" t="s">
        <v>404</v>
      </c>
      <c r="D17" s="31" t="s">
        <v>49</v>
      </c>
      <c r="E17" s="31" t="s">
        <v>219</v>
      </c>
      <c r="F17" s="47">
        <v>0</v>
      </c>
      <c r="G17" s="47">
        <v>41</v>
      </c>
      <c r="H17" s="47">
        <v>116</v>
      </c>
      <c r="I17" s="47">
        <v>96</v>
      </c>
      <c r="J17" s="31" t="s">
        <v>220</v>
      </c>
      <c r="K17" s="47">
        <v>1</v>
      </c>
      <c r="L17" s="157" t="s">
        <v>51</v>
      </c>
      <c r="M17" s="158">
        <f t="shared" si="0"/>
        <v>50.16</v>
      </c>
      <c r="N17" s="159" t="str">
        <f>VLOOKUP(C17,'Trips&amp;Operators'!$C$1:$E$99999,3,FALSE)</f>
        <v>MAELZER</v>
      </c>
      <c r="O17" s="184" t="s">
        <v>214</v>
      </c>
      <c r="P17" s="160"/>
      <c r="Q17" s="31"/>
      <c r="R17" s="100" t="str">
        <f>VLOOKUP(C17,'Train Runs'!$A$13:$AE$10006,31,0)</f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S17" s="103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07:30:14-0600',mode:absolute,to:'2016-11-06 10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7" s="105" t="str">
        <f t="shared" si="1"/>
        <v>"C:\Program Files (x86)\AstroGrep\AstroGrep.exe" /spath="%USERPROFILE%\AppData\Local\Temp\OnboardLogs" /stypes="*4041*201611061*" /stext=" 16:.+((SYSTEM_STATE.+slice.+state.+changed )|(ment ac)|(system.+state.+changed )|(\[timeout)|(PRM\|1\|D)|(kpr)|(kdp)|(\|lc)|(penalty))" /e /r /s</v>
      </c>
      <c r="U17" s="9" t="str">
        <f t="shared" si="2"/>
        <v>4041</v>
      </c>
      <c r="V17" s="36">
        <f t="shared" si="3"/>
        <v>42680.679120370369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ID","value":"134-06"},{"id":16,"name":"Locomotive ID","value":"4041"},{"id":130,"name":"Impact","value":""},{"id":150,"name":"Time of Event (Mountain Time)","value":"09:17:56"},{"id":151,"name":"Denver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"%USERPROFILE%\AppData\Local\Temp\OnboardLogs"\RTDC4041\*4041*201611061* | grep -SE "((Enforcement Ac)|(PRM))" -</v>
      </c>
    </row>
    <row r="18" spans="1:30" s="1" customFormat="1" x14ac:dyDescent="0.25">
      <c r="A18" s="36">
        <v>42680.450856481482</v>
      </c>
      <c r="B18" s="31" t="s">
        <v>396</v>
      </c>
      <c r="C18" s="31" t="s">
        <v>405</v>
      </c>
      <c r="D18" s="31" t="s">
        <v>49</v>
      </c>
      <c r="E18" s="31" t="s">
        <v>219</v>
      </c>
      <c r="F18" s="47">
        <v>0</v>
      </c>
      <c r="G18" s="47">
        <v>57</v>
      </c>
      <c r="H18" s="47">
        <v>181</v>
      </c>
      <c r="I18" s="47">
        <v>129</v>
      </c>
      <c r="J18" s="31" t="s">
        <v>220</v>
      </c>
      <c r="K18" s="47">
        <v>1</v>
      </c>
      <c r="L18" s="157" t="s">
        <v>51</v>
      </c>
      <c r="M18" s="158">
        <f t="shared" si="0"/>
        <v>67.584000000000003</v>
      </c>
      <c r="N18" s="159" t="str">
        <f>VLOOKUP(C18,'Trips&amp;Operators'!$C$1:$E$99999,3,FALSE)</f>
        <v>ACKERMAN</v>
      </c>
      <c r="O18" s="184" t="s">
        <v>214</v>
      </c>
      <c r="P18" s="160"/>
      <c r="Q18" s="31"/>
      <c r="R18" s="100" t="str">
        <f>VLOOKUP(C18,'Train Runs'!$A$13:$AE$10006,31,0)</f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S18" s="103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09:03:07-0600',mode:absolute,to:'2016-11-06 11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8" s="105" t="str">
        <f t="shared" si="1"/>
        <v>"C:\Program Files (x86)\AstroGrep\AstroGrep.exe" /spath="%USERPROFILE%\AppData\Local\Temp\OnboardLogs" /stypes="*4045*201611061*" /stext=" 17:.+((SYSTEM_STATE.+slice.+state.+changed )|(ment ac)|(system.+state.+changed )|(\[timeout)|(PRM\|1\|D)|(kpr)|(kdp)|(\|lc)|(penalty))" /e /r /s</v>
      </c>
      <c r="U18" s="9" t="str">
        <f t="shared" si="2"/>
        <v>4045</v>
      </c>
      <c r="V18" s="36">
        <f t="shared" si="3"/>
        <v>42680.742523148147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ID","value":"146-06"},{"id":16,"name":"Locomotive ID","value":"4045"},{"id":130,"name":"Impact","value":""},{"id":150,"name":"Time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"%USERPROFILE%\AppData\Local\Temp\OnboardLogs"\RTDC4045\*4045*201611061* | grep -SE "((Enforcement Ac)|(PRM))" -</v>
      </c>
    </row>
    <row r="19" spans="1:30" s="1" customFormat="1" x14ac:dyDescent="0.25">
      <c r="A19" s="36">
        <v>42680.48133101852</v>
      </c>
      <c r="B19" s="31" t="s">
        <v>270</v>
      </c>
      <c r="C19" s="31" t="s">
        <v>406</v>
      </c>
      <c r="D19" s="31" t="s">
        <v>49</v>
      </c>
      <c r="E19" s="31" t="s">
        <v>219</v>
      </c>
      <c r="F19" s="47">
        <v>0</v>
      </c>
      <c r="G19" s="47">
        <v>103</v>
      </c>
      <c r="H19" s="47">
        <v>313</v>
      </c>
      <c r="I19" s="47">
        <v>196</v>
      </c>
      <c r="J19" s="31" t="s">
        <v>220</v>
      </c>
      <c r="K19" s="47">
        <v>1</v>
      </c>
      <c r="L19" s="157" t="s">
        <v>51</v>
      </c>
      <c r="M19" s="158">
        <f t="shared" si="0"/>
        <v>102.96</v>
      </c>
      <c r="N19" s="159" t="str">
        <f>VLOOKUP(C19,'Trips&amp;Operators'!$C$1:$E$99999,3,FALSE)</f>
        <v>MALAVE</v>
      </c>
      <c r="O19" s="184" t="s">
        <v>214</v>
      </c>
      <c r="P19" s="160"/>
      <c r="Q19" s="31"/>
      <c r="R19" s="100" t="str">
        <f>VLOOKUP(C19,'Train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19" s="103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5" t="str">
        <f t="shared" si="1"/>
        <v>"C:\Program Files (x86)\AstroGrep\AstroGrep.exe" /spath="%USERPROFILE%\AppData\Local\Temp\OnboardLogs" /stypes="*4039*201611061*" /stext=" 18:.+((SYSTEM_STATE.+slice.+state.+changed )|(ment ac)|(system.+state.+changed )|(\[timeout)|(PRM\|1\|D)|(kpr)|(kdp)|(\|lc)|(penalty))" /e /r /s</v>
      </c>
      <c r="U19" s="9" t="str">
        <f t="shared" si="2"/>
        <v>4039</v>
      </c>
      <c r="V19" s="36">
        <f t="shared" si="3"/>
        <v>42680.772997685184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ID","value":"152-06"},{"id":16,"name":"Locomotive ID","value":"4039"},{"id":130,"name":"Impact","value":""},{"id":150,"name":"Time of Event (Mountain Time)","value":"11:33:07"},{"id":151,"name":"Denver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"%USERPROFILE%\AppData\Local\Temp\OnboardLogs"\RTDC4039\*4039*201611061* | grep -SE "((Enforcement Ac)|(PRM))" -</v>
      </c>
    </row>
    <row r="20" spans="1:30" x14ac:dyDescent="0.25">
      <c r="A20" s="36">
        <v>42680.555358796293</v>
      </c>
      <c r="B20" s="31" t="s">
        <v>270</v>
      </c>
      <c r="C20" s="31" t="s">
        <v>408</v>
      </c>
      <c r="D20" s="31" t="s">
        <v>49</v>
      </c>
      <c r="E20" s="31" t="s">
        <v>219</v>
      </c>
      <c r="F20" s="47">
        <v>0</v>
      </c>
      <c r="G20" s="47">
        <v>76</v>
      </c>
      <c r="H20" s="47">
        <v>287</v>
      </c>
      <c r="I20" s="47">
        <v>203</v>
      </c>
      <c r="J20" s="31" t="s">
        <v>220</v>
      </c>
      <c r="K20" s="47">
        <v>1</v>
      </c>
      <c r="L20" s="157" t="s">
        <v>51</v>
      </c>
      <c r="M20" s="158">
        <f t="shared" si="0"/>
        <v>106.65600000000001</v>
      </c>
      <c r="N20" s="159" t="str">
        <f>VLOOKUP(C20,'Trips&amp;Operators'!$C$1:$E$99999,3,FALSE)</f>
        <v>MAHAN</v>
      </c>
      <c r="O20" s="184" t="s">
        <v>214</v>
      </c>
      <c r="P20" s="160"/>
      <c r="Q20" s="31"/>
      <c r="R20" s="100" t="str">
        <f>VLOOKUP(C20,'Train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20" s="103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https://search-rtdc-monitor-bjffxe2xuh6vdkpspy63sjmuny.us-east-1.es.amazonaws.com/_plugin/kibana/#/discover/Steve-Slow-Train-Analysis-(2080s-and-2083s)?_g=(refreshInterval:(display:Off,section:0,value:0),time:(from:'2016-11-06 11:32:41-0600',mode:absolute,to:'2016-11-06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/stypes="*4039*201611062*" /stext=" 20:.+((SYSTEM_STATE.+slice.+state.+changed )|(ment ac)|(system.+state.+changed )|(\[timeout)|(PRM\|1\|D)|(kpr)|(kdp)|(\|lc)|(penalty))" /e /r /s</v>
      </c>
      <c r="U20" s="9" t="str">
        <f t="shared" si="2"/>
        <v>4039</v>
      </c>
      <c r="V20" s="36">
        <f t="shared" si="3"/>
        <v>42680.847025462957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ID","value":"166-06"},{"id":16,"name":"Locomotive ID","value":"4039"},{"id":130,"name":"Impact","value":""},{"id":150,"name":"Time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"%USERPROFILE%\AppData\Local\Temp\OnboardLogs"\RTDC4039\*4039*201611062* | grep -SE "((Enforcement Ac)|(PRM))" -</v>
      </c>
      <c r="AD20" s="1"/>
    </row>
    <row r="21" spans="1:30" s="1" customFormat="1" x14ac:dyDescent="0.25">
      <c r="A21" s="36">
        <v>42680.701574074075</v>
      </c>
      <c r="B21" s="31" t="s">
        <v>270</v>
      </c>
      <c r="C21" s="31" t="s">
        <v>411</v>
      </c>
      <c r="D21" s="31" t="s">
        <v>49</v>
      </c>
      <c r="E21" s="31" t="s">
        <v>219</v>
      </c>
      <c r="F21" s="47">
        <v>0</v>
      </c>
      <c r="G21" s="47">
        <v>40</v>
      </c>
      <c r="H21" s="47">
        <v>141</v>
      </c>
      <c r="I21" s="47">
        <v>114</v>
      </c>
      <c r="J21" s="31" t="s">
        <v>220</v>
      </c>
      <c r="K21" s="47">
        <v>1</v>
      </c>
      <c r="L21" s="157" t="s">
        <v>51</v>
      </c>
      <c r="M21" s="158">
        <f t="shared" si="0"/>
        <v>59.664000000000001</v>
      </c>
      <c r="N21" s="159" t="str">
        <f>VLOOKUP(C21,'Trips&amp;Operators'!$C$1:$E$99999,3,FALSE)</f>
        <v>MAHAN</v>
      </c>
      <c r="O21" s="184" t="s">
        <v>214</v>
      </c>
      <c r="P21" s="160"/>
      <c r="Q21" s="31"/>
      <c r="R21" s="100" t="str">
        <f>VLOOKUP(C21,'Train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21" s="103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https://search-rtdc-monitor-bjffxe2xuh6vdkpspy63sjmuny.us-east-1.es.amazonaws.com/_plugin/kibana/#/discover/Steve-Slow-Train-Analysis-(2080s-and-2083s)?_g=(refreshInterval:(display:Off,section:0,value:0),time:(from:'2016-11-06 15:04:08-0600',mode:absolute,to:'2016-11-06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 t="shared" si="1"/>
        <v>"C:\Program Files (x86)\AstroGrep\AstroGrep.exe" /spath="%USERPROFILE%\AppData\Local\Temp\OnboardLogs" /stypes="*4039*201611062*" /stext=" 23:.+((SYSTEM_STATE.+slice.+state.+changed )|(ment ac)|(system.+state.+changed )|(\[timeout)|(PRM\|1\|D)|(kpr)|(kdp)|(\|lc)|(penalty))" /e /r /s</v>
      </c>
      <c r="U21" s="9" t="str">
        <f t="shared" si="2"/>
        <v>4039</v>
      </c>
      <c r="V21" s="36">
        <f t="shared" si="3"/>
        <v>42680.99324074074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ID","value":"194-06"},{"id":16,"name":"Locomotive ID","value":"4039"},{"id":130,"name":"Impact","value":""},{"id":150,"name":"Time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"%USERPROFILE%\AppData\Local\Temp\OnboardLogs"\RTDC4039\*4039*201611062* | grep -SE "((Enforcement Ac)|(PRM))" -</v>
      </c>
    </row>
    <row r="22" spans="1:30" x14ac:dyDescent="0.25">
      <c r="A22" s="36">
        <v>42680.264282407406</v>
      </c>
      <c r="B22" s="31" t="s">
        <v>399</v>
      </c>
      <c r="C22" s="31" t="s">
        <v>400</v>
      </c>
      <c r="D22" s="31" t="s">
        <v>49</v>
      </c>
      <c r="E22" s="31" t="s">
        <v>219</v>
      </c>
      <c r="F22" s="47">
        <v>0</v>
      </c>
      <c r="G22" s="47">
        <v>53</v>
      </c>
      <c r="H22" s="47">
        <v>233302</v>
      </c>
      <c r="I22" s="47">
        <v>233344</v>
      </c>
      <c r="J22" s="31" t="s">
        <v>220</v>
      </c>
      <c r="K22" s="47">
        <v>233491</v>
      </c>
      <c r="L22" s="157" t="s">
        <v>50</v>
      </c>
      <c r="M22" s="158">
        <f t="shared" si="0"/>
        <v>77.616</v>
      </c>
      <c r="N22" s="159" t="str">
        <f>VLOOKUP(C22,'Trips&amp;Operators'!$C$1:$E$99999,3,FALSE)</f>
        <v>ACKERMAN</v>
      </c>
      <c r="O22" s="184" t="s">
        <v>214</v>
      </c>
      <c r="P22" s="160"/>
      <c r="Q22" s="31"/>
      <c r="R22" s="100" t="str">
        <f>VLOOKUP(C22,'Train Runs'!$A$13:$AE$10006,31,0)</f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S22" s="103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04:34:07-0600',mode:absolute,to:'2016-11-06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2" s="105" t="str">
        <f t="shared" si="1"/>
        <v>"C:\Program Files (x86)\AstroGrep\AstroGrep.exe" /spath="%USERPROFILE%\AppData\Local\Temp\OnboardLogs" /stypes="*4046*201611061*" /stext=" 13:.+((SYSTEM_STATE.+slice.+state.+changed )|(ment ac)|(system.+state.+changed )|(\[timeout)|(PRM\|1\|D)|(kpr)|(kdp)|(\|lc)|(penalty))" /e /r /s</v>
      </c>
      <c r="U22" s="9" t="str">
        <f t="shared" si="2"/>
        <v>4046</v>
      </c>
      <c r="V22" s="36">
        <f t="shared" si="3"/>
        <v>42680.555949074071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ID","value":"117-06"},{"id":16,"name":"Locomotive ID","value":"4046"},{"id":130,"name":"Impact","value":""},{"id":150,"name":"Time of Event (Mountain Time)","value":"06:20:34"},{"id":151,"name":"Denver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"%USERPROFILE%\AppData\Local\Temp\OnboardLogs"\RTDC4046\*4046*201611061* | grep -SE "((Enforcement Ac)|(PRM))" -</v>
      </c>
      <c r="AD22" s="1"/>
    </row>
    <row r="23" spans="1:30" x14ac:dyDescent="0.25">
      <c r="A23" s="36">
        <v>42680.535590277781</v>
      </c>
      <c r="B23" s="31" t="s">
        <v>192</v>
      </c>
      <c r="C23" s="31" t="s">
        <v>407</v>
      </c>
      <c r="D23" s="31" t="s">
        <v>49</v>
      </c>
      <c r="E23" s="31" t="s">
        <v>219</v>
      </c>
      <c r="F23" s="47">
        <v>0</v>
      </c>
      <c r="G23" s="47">
        <v>66</v>
      </c>
      <c r="H23" s="47">
        <v>233208</v>
      </c>
      <c r="I23" s="47">
        <v>233255</v>
      </c>
      <c r="J23" s="31" t="s">
        <v>220</v>
      </c>
      <c r="K23" s="47">
        <v>233491</v>
      </c>
      <c r="L23" s="157" t="s">
        <v>50</v>
      </c>
      <c r="M23" s="158">
        <f t="shared" si="0"/>
        <v>124.608</v>
      </c>
      <c r="N23" s="159" t="str">
        <f>VLOOKUP(C23,'Trips&amp;Operators'!$C$1:$E$99999,3,FALSE)</f>
        <v>CLARK</v>
      </c>
      <c r="O23" s="184" t="s">
        <v>214</v>
      </c>
      <c r="P23" s="160"/>
      <c r="Q23" s="31"/>
      <c r="R23" s="100" t="str">
        <f>VLOOKUP(C23,'Train Runs'!$A$13:$AE$10006,31,0)</f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S23" s="103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https://search-rtdc-monitor-bjffxe2xuh6vdkpspy63sjmuny.us-east-1.es.amazonaws.com/_plugin/kibana/#/discover/Steve-Slow-Train-Analysis-(2080s-and-2083s)?_g=(refreshInterval:(display:Off,section:0,value:0),time:(from:'2016-11-06 11:08:48-0600',mode:absolute,to:'2016-11-06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3" s="105" t="str">
        <f t="shared" si="1"/>
        <v>"C:\Program Files (x86)\AstroGrep\AstroGrep.exe" /spath="%USERPROFILE%\AppData\Local\Temp\OnboardLogs" /stypes="*4044*201611061*" /stext=" 19:.+((SYSTEM_STATE.+slice.+state.+changed )|(ment ac)|(system.+state.+changed )|(\[timeout)|(PRM\|1\|D)|(kpr)|(kdp)|(\|lc)|(penalty))" /e /r /s</v>
      </c>
      <c r="U23" s="9" t="str">
        <f t="shared" si="2"/>
        <v>4044</v>
      </c>
      <c r="V23" s="36">
        <f t="shared" si="3"/>
        <v>42680.827256944445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ID","value":"169-06"},{"id":16,"name":"Locomotive ID","value":"4044"},{"id":130,"name":"Impact","value":""},{"id":150,"name":"Time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"%USERPROFILE%\AppData\Local\Temp\OnboardLogs"\RTDC4044\*4044*201611061* | grep -SE "((Enforcement Ac)|(PRM))" -</v>
      </c>
      <c r="AD23" s="1"/>
    </row>
    <row r="24" spans="1:30" x14ac:dyDescent="0.25">
      <c r="A24" s="36">
        <v>42680.858287037037</v>
      </c>
      <c r="B24" s="31" t="s">
        <v>287</v>
      </c>
      <c r="C24" s="31" t="s">
        <v>416</v>
      </c>
      <c r="D24" s="31" t="s">
        <v>49</v>
      </c>
      <c r="E24" s="31" t="s">
        <v>219</v>
      </c>
      <c r="F24" s="47">
        <v>0</v>
      </c>
      <c r="G24" s="47">
        <v>51</v>
      </c>
      <c r="H24" s="47">
        <v>233287</v>
      </c>
      <c r="I24" s="47">
        <v>233361</v>
      </c>
      <c r="J24" s="31" t="s">
        <v>220</v>
      </c>
      <c r="K24" s="47">
        <v>233491</v>
      </c>
      <c r="L24" s="157" t="s">
        <v>50</v>
      </c>
      <c r="M24" s="158">
        <f t="shared" si="0"/>
        <v>68.64</v>
      </c>
      <c r="N24" s="159" t="str">
        <f>VLOOKUP(C24,'Trips&amp;Operators'!$C$1:$E$99999,3,FALSE)</f>
        <v>BERLING</v>
      </c>
      <c r="O24" s="184" t="s">
        <v>214</v>
      </c>
      <c r="P24" s="160"/>
      <c r="Q24" s="31"/>
      <c r="R24" s="100" t="str">
        <f>VLOOKUP(C24,'Train Runs'!$A$13:$AE$10006,31,0)</f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S24" s="103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https://search-rtdc-monitor-bjffxe2xuh6vdkpspy63sjmuny.us-east-1.es.amazonaws.com/_plugin/kibana/#/discover/Steve-Slow-Train-Analysis-(2080s-and-2083s)?_g=(refreshInterval:(display:Off,section:0,value:0),time:(from:'2016-11-06 18:52:08-0600',mode:absolute,to:'2016-11-06 21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 t="shared" si="1"/>
        <v>"C:\Program Files (x86)\AstroGrep\AstroGrep.exe" /spath="%USERPROFILE%\AppData\Local\Temp\OnboardLogs" /stypes="*4042*201611070*" /stext=" 03:.+((SYSTEM_STATE.+slice.+state.+changed )|(ment ac)|(system.+state.+changed )|(\[timeout)|(PRM\|1\|D)|(kpr)|(kdp)|(\|lc)|(penalty))" /e /r /s</v>
      </c>
      <c r="U24" s="9" t="str">
        <f t="shared" si="2"/>
        <v>4042</v>
      </c>
      <c r="V24" s="36">
        <f t="shared" si="3"/>
        <v>42681.149953703702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{"issue":{"subject":"","project_id":79,"tracker_id":40,"status_id":1,"priority_id":2,"assigned_to_id":23,"start_date":"2016-11-06","description":"","custom_fields":[{"id":1,"name":"Subdivision","value":"EC"},{"id":4,"name":"Milepost","value":"23.3491"},{"id":17,"name":"Train ID","value":"225-06"},{"id":16,"name":"Locomotive ID","value":"4042"},{"id":130,"name":"Impact","value":""},{"id":150,"name":"Time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"%USERPROFILE%\AppData\Local\Temp\OnboardLogs"\RTDC4042\*4042*201611070* | grep -SE "((Enforcement Ac)|(PRM))" -</v>
      </c>
      <c r="AD24" s="1"/>
    </row>
    <row r="25" spans="1:30" ht="15" customHeight="1" x14ac:dyDescent="0.25">
      <c r="A25" s="36">
        <v>42680.55841435185</v>
      </c>
      <c r="B25" s="31" t="s">
        <v>320</v>
      </c>
      <c r="C25" s="31" t="s">
        <v>409</v>
      </c>
      <c r="D25" s="31" t="s">
        <v>49</v>
      </c>
      <c r="E25" s="31" t="s">
        <v>154</v>
      </c>
      <c r="F25" s="47">
        <v>90</v>
      </c>
      <c r="G25" s="47">
        <v>323</v>
      </c>
      <c r="H25" s="47">
        <v>9219</v>
      </c>
      <c r="I25" s="47">
        <v>9974</v>
      </c>
      <c r="J25" s="31" t="s">
        <v>153</v>
      </c>
      <c r="K25" s="47">
        <v>10716</v>
      </c>
      <c r="L25" s="157" t="s">
        <v>50</v>
      </c>
      <c r="M25" s="158">
        <f t="shared" si="0"/>
        <v>391.77600000000001</v>
      </c>
      <c r="N25" s="159" t="str">
        <f>VLOOKUP(C25,'Trips&amp;Operators'!$C$1:$E$99999,3,FALSE)</f>
        <v>STARKS</v>
      </c>
      <c r="O25" s="184" t="s">
        <v>214</v>
      </c>
      <c r="P25" s="160" t="s">
        <v>765</v>
      </c>
      <c r="Q25" s="31"/>
      <c r="R25" s="100" t="str">
        <f>VLOOKUP(C25,'Train Runs'!$A$13:$AE$10006,31,0)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S25" s="103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https://search-rtdc-monitor-bjffxe2xuh6vdkpspy63sjmuny.us-east-1.es.amazonaws.com/_plugin/kibana/#/discover/Steve-Slow-Train-Analysis-(2080s-and-2083s)?_g=(refreshInterval:(display:Off,section:0,value:0),time:(from:'2016-11-06 12:14:22-0600',mode:absolute,to:'2016-11-06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5" s="105" t="str">
        <f t="shared" si="1"/>
        <v>"C:\Program Files (x86)\AstroGrep\AstroGrep.exe" /spath="%USERPROFILE%\AppData\Local\Temp\OnboardLogs" /stypes="*4031*201611062*" /stext=" 20:.+((SYSTEM_STATE.+slice.+state.+changed )|(ment ac)|(system.+state.+changed )|(\[timeout)|(PRM\|1\|D)|(kpr)|(kdp)|(\|lc)|(penalty))" /e /r /s</v>
      </c>
      <c r="U25" s="9" t="str">
        <f t="shared" si="2"/>
        <v>4031</v>
      </c>
      <c r="V25" s="36">
        <f t="shared" si="3"/>
        <v>42680.850081018514</v>
      </c>
      <c r="W25" s="50" t="str">
        <f t="shared" si="4"/>
        <v>NW</v>
      </c>
      <c r="X25" s="50" t="str">
        <f t="shared" si="5"/>
        <v>KEEP</v>
      </c>
      <c r="Y25" s="122" t="str">
        <f t="shared" si="6"/>
        <v>echo {"issue":{"subject":"Early arrival","project_id":79,"tracker_id":40,"status_id":1,"priority_id":2,"assigned_to_id":23,"start_date":"2016-11-06","description":"","custom_fields":[{"id":1,"name":"Subdivision","value":"NW"},{"id":4,"name":"Milepost","value":"1.0716"},{"id":17,"name":"Train ID","value":"1815-06"},{"id":16,"name":"Locomotive ID","value":"4031"},{"id":130,"name":"Impact","value":""},{"id":150,"name":"Time of Event (Mountain Time)","value":"13:24:07"},{"id":151,"name":"Denver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"%USERPROFILE%\AppData\Local\Temp\OnboardLogs"\RTDC4031\*4031*201611062* | grep -SE "((Enforcement Ac)|(PRM))" -</v>
      </c>
      <c r="AD25" s="1"/>
    </row>
    <row r="26" spans="1:30" x14ac:dyDescent="0.25">
      <c r="A26" s="36">
        <v>42680.351967592593</v>
      </c>
      <c r="B26" s="31" t="s">
        <v>320</v>
      </c>
      <c r="C26" s="31" t="s">
        <v>402</v>
      </c>
      <c r="D26" s="31" t="s">
        <v>49</v>
      </c>
      <c r="E26" s="31" t="s">
        <v>215</v>
      </c>
      <c r="F26" s="47">
        <v>300</v>
      </c>
      <c r="G26" s="47">
        <v>439</v>
      </c>
      <c r="H26" s="47">
        <v>19105</v>
      </c>
      <c r="I26" s="47">
        <v>20623</v>
      </c>
      <c r="J26" s="31" t="s">
        <v>216</v>
      </c>
      <c r="K26" s="47">
        <v>21299</v>
      </c>
      <c r="L26" s="157" t="s">
        <v>50</v>
      </c>
      <c r="M26" s="158">
        <f t="shared" si="0"/>
        <v>356.92799999999994</v>
      </c>
      <c r="N26" s="159" t="str">
        <f>VLOOKUP(C26,'Trips&amp;Operators'!$C$1:$E$99999,3,FALSE)</f>
        <v>STARKS</v>
      </c>
      <c r="O26" s="184" t="s">
        <v>214</v>
      </c>
      <c r="P26" s="160"/>
      <c r="Q26" s="31"/>
      <c r="R26" s="100" t="str">
        <f>VLOOKUP(C26,'Train Runs'!$A$13:$AE$10006,31,0)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S26" s="103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https://search-rtdc-monitor-bjffxe2xuh6vdkpspy63sjmuny.us-east-1.es.amazonaws.com/_plugin/kibana/#/discover/Steve-Slow-Train-Analysis-(2080s-and-2083s)?_g=(refreshInterval:(display:Off,section:0,value:0),time:(from:'2016-11-06 07:19:13-0600',mode:absolute,to:'2016-11-06 09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6" s="105" t="str">
        <f t="shared" si="1"/>
        <v>"C:\Program Files (x86)\AstroGrep\AstroGrep.exe" /spath="%USERPROFILE%\AppData\Local\Temp\OnboardLogs" /stypes="*4031*201611061*" /stext=" 15:.+((SYSTEM_STATE.+slice.+state.+changed )|(ment ac)|(system.+state.+changed )|(\[timeout)|(PRM\|1\|D)|(kpr)|(kdp)|(\|lc)|(penalty))" /e /r /s</v>
      </c>
      <c r="U26" s="9" t="str">
        <f t="shared" si="2"/>
        <v>4031</v>
      </c>
      <c r="V26" s="36">
        <f t="shared" si="3"/>
        <v>42680.643634259257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{"issue":{"subject":"","project_id":79,"tracker_id":40,"status_id":1,"priority_id":2,"assigned_to_id":23,"start_date":"2016-11-06","description":"","custom_fields":[{"id":1,"name":"Subdivision","value":"NW"},{"id":4,"name":"Milepost","value":"2.1299"},{"id":17,"name":"Train ID","value":"1805-06"},{"id":16,"name":"Locomotive ID","value":"4031"},{"id":130,"name":"Impact","value":""},{"id":150,"name":"Time of Event (Mountain Time)","value":"08:26:50"},{"id":151,"name":"Denver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"%USERPROFILE%\AppData\Local\Temp\OnboardLogs"\RTDC4031\*4031*201611061* | grep -SE "((Enforcement Ac)|(PRM))" -</v>
      </c>
      <c r="AD26" s="1"/>
    </row>
    <row r="27" spans="1:30" x14ac:dyDescent="0.25">
      <c r="A27" s="36">
        <v>42680.782893518517</v>
      </c>
      <c r="B27" s="31" t="s">
        <v>271</v>
      </c>
      <c r="C27" s="31" t="s">
        <v>414</v>
      </c>
      <c r="D27" s="31" t="s">
        <v>98</v>
      </c>
      <c r="E27" s="31" t="s">
        <v>215</v>
      </c>
      <c r="F27" s="47">
        <v>150</v>
      </c>
      <c r="G27" s="47">
        <v>204</v>
      </c>
      <c r="H27" s="47">
        <v>56684</v>
      </c>
      <c r="I27" s="47">
        <v>56105</v>
      </c>
      <c r="J27" s="31" t="s">
        <v>216</v>
      </c>
      <c r="K27" s="47">
        <v>59060</v>
      </c>
      <c r="L27" s="157" t="s">
        <v>51</v>
      </c>
      <c r="M27" s="158">
        <f t="shared" si="0"/>
        <v>-1560.24</v>
      </c>
      <c r="N27" s="159" t="str">
        <f>VLOOKUP(C27,'Trips&amp;Operators'!$C$1:$E$99999,3,FALSE)</f>
        <v>ARVIDSON</v>
      </c>
      <c r="O27" s="184" t="s">
        <v>214</v>
      </c>
      <c r="P27" s="160"/>
      <c r="Q27" s="31"/>
      <c r="R27" s="100" t="str">
        <f>VLOOKUP(C27,'Train Runs'!$A$13:$AE$10006,31,0)</f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S27" s="103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https://search-rtdc-monitor-bjffxe2xuh6vdkpspy63sjmuny.us-east-1.es.amazonaws.com/_plugin/kibana/#/discover/Steve-Slow-Train-Analysis-(2080s-and-2083s)?_g=(refreshInterval:(display:Off,section:0,value:0),time:(from:'2016-11-06 17:42:25-0600',mode:absolute,to:'2016-11-06 20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7" s="105" t="str">
        <f t="shared" si="1"/>
        <v>"C:\Program Files (x86)\AstroGrep\AstroGrep.exe" /spath="%USERPROFILE%\AppData\Local\Temp\OnboardLogs" /stypes="*4032*201611070*" /stext=" 01:.+((SYSTEM_STATE.+slice.+state.+changed )|(ment ac)|(system.+state.+changed )|(\[timeout)|(PRM\|1\|D)|(kpr)|(kdp)|(\|lc)|(penalty))" /e /r /s</v>
      </c>
      <c r="U27" s="9" t="str">
        <f t="shared" si="2"/>
        <v>4032</v>
      </c>
      <c r="V27" s="36">
        <f t="shared" si="3"/>
        <v>42681.074560185181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{"issue":{"subject":"","project_id":79,"tracker_id":40,"status_id":1,"priority_id":2,"assigned_to_id":23,"start_date":"2016-11-06","description":"","custom_fields":[{"id":1,"name":"Subdivision","value":"NW"},{"id":4,"name":"Milepost","value":"5.906"},{"id":17,"name":"Train ID","value":"1826-06"},{"id":16,"name":"Locomotive ID","value":"4032"},{"id":130,"name":"Impact","value":""},{"id":150,"name":"Time of Event (Mountain Time)","value":"18:47:22"},{"id":151,"name":"Denver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"%USERPROFILE%\AppData\Local\Temp\OnboardLogs"\RTDC4032\*4032*201611070* | grep -SE "((Enforcement Ac)|(PRM))" -</v>
      </c>
      <c r="AD27" s="1"/>
    </row>
    <row r="28" spans="1:30" x14ac:dyDescent="0.25">
      <c r="A28" s="36">
        <v>42680.695196759261</v>
      </c>
      <c r="B28" s="31" t="s">
        <v>271</v>
      </c>
      <c r="C28" s="31" t="s">
        <v>410</v>
      </c>
      <c r="D28" s="31" t="s">
        <v>98</v>
      </c>
      <c r="E28" s="31" t="s">
        <v>217</v>
      </c>
      <c r="F28" s="47">
        <v>0</v>
      </c>
      <c r="G28" s="47">
        <v>92</v>
      </c>
      <c r="H28" s="47">
        <v>58300</v>
      </c>
      <c r="I28" s="47">
        <v>58249</v>
      </c>
      <c r="J28" s="31" t="s">
        <v>218</v>
      </c>
      <c r="K28" s="47">
        <v>58472</v>
      </c>
      <c r="L28" s="157" t="s">
        <v>51</v>
      </c>
      <c r="M28" s="158">
        <f t="shared" si="0"/>
        <v>-117.744</v>
      </c>
      <c r="N28" s="159" t="str">
        <f>VLOOKUP(C28,'Trips&amp;Operators'!$C$1:$E$99999,3,FALSE)</f>
        <v>HAITHCOX</v>
      </c>
      <c r="O28" s="184" t="s">
        <v>272</v>
      </c>
      <c r="P28" s="160" t="s">
        <v>763</v>
      </c>
      <c r="Q28" s="31"/>
      <c r="R28" s="100" t="str">
        <f>VLOOKUP(C28,'Train Runs'!$A$13:$AE$10006,31,0)</f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S28" s="103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https://search-rtdc-monitor-bjffxe2xuh6vdkpspy63sjmuny.us-east-1.es.amazonaws.com/_plugin/kibana/#/discover/Steve-Slow-Train-Analysis-(2080s-and-2083s)?_g=(refreshInterval:(display:Off,section:0,value:0),time:(from:'2016-11-06 15:38:57-0600',mode:absolute,to:'2016-11-06 17:43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/stypes="*4032*201611062*" /stext=" 23:.+((SYSTEM_STATE.+slice.+state.+changed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42680.986863425926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{"issue":{"subject":"No clear controls sent to Westminster 2S","project_id":79,"tracker_id":40,"status_id":1,"priority_id":2,"assigned_to_id":23,"start_date":"2016-11-06","description":"","custom_fields":[{"id":1,"name":"Subdivision","value":"NW"},{"id":4,"name":"Milepost","value":"5.8472"},{"id":17,"name":"Train ID","value":"1822-06"},{"id":16,"name":"Locomotive ID","value":"4032"},{"id":130,"name":"Impact","value":""},{"id":150,"name":"Time of Event (Mountain Time)","value":"16:41:05"},{"id":151,"name":"Denver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"%USERPROFILE%\AppData\Local\Temp\OnboardLogs"\RTDC4032\*4032*201611062* | grep -SE "((Enforcement Ac)|(PRM))" -</v>
      </c>
      <c r="AD28" s="1"/>
    </row>
    <row r="29" spans="1:30" x14ac:dyDescent="0.25">
      <c r="A29" s="36">
        <v>42680.767094907409</v>
      </c>
      <c r="B29" s="31" t="s">
        <v>323</v>
      </c>
      <c r="C29" s="31" t="s">
        <v>413</v>
      </c>
      <c r="D29" s="31" t="s">
        <v>98</v>
      </c>
      <c r="E29" s="31" t="s">
        <v>217</v>
      </c>
      <c r="F29" s="47">
        <v>0</v>
      </c>
      <c r="G29" s="47">
        <v>126</v>
      </c>
      <c r="H29" s="47">
        <v>1928</v>
      </c>
      <c r="I29" s="47">
        <v>2027</v>
      </c>
      <c r="J29" s="31" t="s">
        <v>218</v>
      </c>
      <c r="K29" s="47">
        <v>1725</v>
      </c>
      <c r="L29" s="157" t="s">
        <v>50</v>
      </c>
      <c r="M29" s="158">
        <f t="shared" si="0"/>
        <v>-159.45599999999999</v>
      </c>
      <c r="N29" s="159" t="str">
        <f>VLOOKUP(C29,'Trips&amp;Operators'!$C$1:$E$99999,3,FALSE)</f>
        <v>BARTLETT</v>
      </c>
      <c r="O29" s="184" t="s">
        <v>214</v>
      </c>
      <c r="P29" s="160"/>
      <c r="Q29" s="31"/>
      <c r="R29" s="100" t="str">
        <f>VLOOKUP(C29,'Train Runs'!$A$13:$AE$10006,31,0)</f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S29" s="103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https://search-rtdc-monitor-bjffxe2xuh6vdkpspy63sjmuny.us-east-1.es.amazonaws.com/_plugin/kibana/#/discover/Steve-Slow-Train-Analysis-(2080s-and-2083s)?_g=(refreshInterval:(display:Off,section:0,value:0),time:(from:'2016-11-06 17:21:57-0600',mode:absolute,to:'2016-11-06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9" s="105" t="str">
        <f t="shared" si="1"/>
        <v>"C:\Program Files (x86)\AstroGrep\AstroGrep.exe" /spath="%USERPROFILE%\AppData\Local\Temp\OnboardLogs" /stypes="*4018*201611070*" /stext=" 01:.+((SYSTEM_STATE.+slice.+state.+changed )|(ment ac)|(system.+state.+changed )|(\[timeout)|(PRM\|1\|D)|(kpr)|(kdp)|(\|lc)|(penalty))" /e /r /s</v>
      </c>
      <c r="U29" s="9" t="str">
        <f t="shared" si="2"/>
        <v>4018</v>
      </c>
      <c r="V29" s="36">
        <f t="shared" si="3"/>
        <v>42681.058761574073</v>
      </c>
      <c r="W29" s="50" t="str">
        <f t="shared" si="4"/>
        <v>Other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{"issue":{"subject":"","project_id":79,"tracker_id":40,"status_id":1,"priority_id":2,"assigned_to_id":23,"start_date":"2016-11-06","description":"","custom_fields":[{"id":1,"name":"Subdivision","value":"Other"},{"id":4,"name":"Milepost","value":"0.1725"},{"id":17,"name":"Train ID","value":"77-06"},{"id":16,"name":"Locomotive ID","value":"4018"},{"id":130,"name":"Impact","value":""},{"id":150,"name":"Time of Event (Mountain Time)","value":"18:24:37"},{"id":151,"name":"Denver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"%USERPROFILE%\AppData\Local\Temp\OnboardLogs"\RTDC4018\*4018*201611070* | grep -SE "((Enforcement Ac)|(PRM))" -</v>
      </c>
      <c r="AD29" s="1"/>
    </row>
    <row r="30" spans="1:30" x14ac:dyDescent="0.25">
      <c r="A30" s="36">
        <v>42680.736909722225</v>
      </c>
      <c r="B30" s="31" t="s">
        <v>234</v>
      </c>
      <c r="C30" s="31" t="s">
        <v>412</v>
      </c>
      <c r="D30" s="31" t="s">
        <v>98</v>
      </c>
      <c r="E30" s="31" t="s">
        <v>217</v>
      </c>
      <c r="F30" s="47">
        <v>0</v>
      </c>
      <c r="G30" s="47">
        <v>86</v>
      </c>
      <c r="H30" s="47">
        <v>24036</v>
      </c>
      <c r="I30" s="47">
        <v>23908</v>
      </c>
      <c r="J30" s="31" t="s">
        <v>218</v>
      </c>
      <c r="K30" s="47">
        <v>24235</v>
      </c>
      <c r="L30" s="157" t="s">
        <v>51</v>
      </c>
      <c r="M30" s="158">
        <f t="shared" si="0"/>
        <v>-172.65600000000001</v>
      </c>
      <c r="N30" s="159" t="str">
        <f>VLOOKUP(C30,'Trips&amp;Operators'!$C$1:$E$99999,3,FALSE)</f>
        <v>BERLING</v>
      </c>
      <c r="O30" s="184" t="s">
        <v>214</v>
      </c>
      <c r="P30" s="160"/>
      <c r="Q30" s="31"/>
      <c r="R30" s="100" t="str">
        <f>VLOOKUP(C30,'Train Runs'!$A$13:$AE$10006,31,0)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S30" s="103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0" s="105" t="str">
        <f t="shared" si="1"/>
        <v>"C:\Program Files (x86)\AstroGrep\AstroGrep.exe" /spath="%USERPROFILE%\AppData\Local\Temp\OnboardLogs" /stypes="*4021*201611070*" /stext=" 00:.+((SYSTEM_STATE.+slice.+state.+changed )|(ment ac)|(system.+state.+changed )|(\[timeout)|(PRM\|1\|D)|(kpr)|(kdp)|(\|lc)|(penalty))" /e /r /s</v>
      </c>
      <c r="U30" s="9" t="str">
        <f t="shared" si="2"/>
        <v>4021</v>
      </c>
      <c r="V30" s="36">
        <f t="shared" si="3"/>
        <v>42681.02857638889</v>
      </c>
      <c r="W30" s="50" t="str">
        <f t="shared" si="4"/>
        <v>Other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{"issue":{"subject":"","project_id":79,"tracker_id":40,"status_id":1,"priority_id":2,"assigned_to_id":23,"start_date":"2016-11-06","description":"","custom_fields":[{"id":1,"name":"Subdivision","value":"Other"},{"id":4,"name":"Milepost","value":"2.4235"},{"id":17,"name":"Train ID","value":"76-06"},{"id":16,"name":"Locomotive ID","value":"4021"},{"id":130,"name":"Impact","value":""},{"id":150,"name":"Time of Event (Mountain Time)","value":"17:41:09"},{"id":151,"name":"Denver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"%USERPROFILE%\AppData\Local\Temp\OnboardLogs"\RTDC4021\*4021*201611070* | grep -SE "((Enforcement Ac)|(PRM))" -</v>
      </c>
      <c r="AD30" s="1"/>
    </row>
    <row r="31" spans="1:30" ht="15" customHeight="1" x14ac:dyDescent="0.25">
      <c r="A31" s="36">
        <v>42680.737430555557</v>
      </c>
      <c r="B31" s="31" t="s">
        <v>234</v>
      </c>
      <c r="C31" s="31" t="s">
        <v>412</v>
      </c>
      <c r="D31" s="31" t="s">
        <v>98</v>
      </c>
      <c r="E31" s="31" t="s">
        <v>217</v>
      </c>
      <c r="F31" s="47">
        <v>0</v>
      </c>
      <c r="G31" s="47">
        <v>10</v>
      </c>
      <c r="H31" s="47">
        <v>23906</v>
      </c>
      <c r="I31" s="47">
        <v>23830</v>
      </c>
      <c r="J31" s="31" t="s">
        <v>218</v>
      </c>
      <c r="K31" s="47">
        <v>24235</v>
      </c>
      <c r="L31" s="157" t="s">
        <v>51</v>
      </c>
      <c r="M31" s="158">
        <f t="shared" si="0"/>
        <v>-213.84</v>
      </c>
      <c r="N31" s="159" t="str">
        <f>VLOOKUP(C31,'Trips&amp;Operators'!$C$1:$E$99999,3,FALSE)</f>
        <v>BERLING</v>
      </c>
      <c r="O31" s="184" t="s">
        <v>214</v>
      </c>
      <c r="P31" s="160"/>
      <c r="Q31" s="31"/>
      <c r="R31" s="100" t="str">
        <f>VLOOKUP(C31,'Train Runs'!$A$13:$AE$10006,31,0)</f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S31" s="103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1" s="105" t="str">
        <f t="shared" si="1"/>
        <v>"C:\Program Files (x86)\AstroGrep\AstroGrep.exe" /spath="%USERPROFILE%\AppData\Local\Temp\OnboardLogs" /stypes="*4021*201611070*" /stext=" 00:.+((SYSTEM_STATE.+slice.+state.+changed )|(ment ac)|(system.+state.+changed )|(\[timeout)|(PRM\|1\|D)|(kpr)|(kdp)|(\|lc)|(penalty))" /e /r /s</v>
      </c>
      <c r="U31" s="9" t="str">
        <f t="shared" si="2"/>
        <v>4021</v>
      </c>
      <c r="V31" s="36">
        <f t="shared" si="3"/>
        <v>42681.029097222221</v>
      </c>
      <c r="W31" s="50" t="str">
        <f t="shared" si="4"/>
        <v>Other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{"issue":{"subject":"","project_id":79,"tracker_id":40,"status_id":1,"priority_id":2,"assigned_to_id":23,"start_date":"2016-11-06","description":"","custom_fields":[{"id":1,"name":"Subdivision","value":"Other"},{"id":4,"name":"Milepost","value":"2.4235"},{"id":17,"name":"Train ID","value":"76-06"},{"id":16,"name":"Locomotive ID","value":"4021"},{"id":130,"name":"Impact","value":""},{"id":150,"name":"Time of Event (Mountain Time)","value":"17:41:54"},{"id":151,"name":"Denver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"%USERPROFILE%\AppData\Local\Temp\OnboardLogs"\RTDC4021\*4021*201611070* | grep -SE "((Enforcement Ac)|(PRM))" -</v>
      </c>
      <c r="AD31" s="1"/>
    </row>
    <row r="32" spans="1:30" x14ac:dyDescent="0.25">
      <c r="A32" s="36">
        <v>42680.170671296299</v>
      </c>
      <c r="B32" s="31" t="s">
        <v>226</v>
      </c>
      <c r="C32" s="31" t="s">
        <v>391</v>
      </c>
      <c r="D32" s="31" t="s">
        <v>49</v>
      </c>
      <c r="E32" s="31" t="s">
        <v>219</v>
      </c>
      <c r="F32" s="47">
        <v>0</v>
      </c>
      <c r="G32" s="47">
        <v>46</v>
      </c>
      <c r="H32" s="47">
        <v>150</v>
      </c>
      <c r="I32" s="47">
        <v>110</v>
      </c>
      <c r="J32" s="31" t="s">
        <v>220</v>
      </c>
      <c r="K32" s="47">
        <v>1</v>
      </c>
      <c r="L32" s="157" t="s">
        <v>51</v>
      </c>
      <c r="M32" s="158">
        <f t="shared" si="0"/>
        <v>57.552</v>
      </c>
      <c r="N32" s="159" t="str">
        <f>VLOOKUP(C32,'Trips&amp;Operators'!$C$1:$E$99999,3,FALSE)</f>
        <v>MAELZER</v>
      </c>
      <c r="O32" s="184" t="s">
        <v>214</v>
      </c>
      <c r="P32" s="160"/>
      <c r="Q32" s="31"/>
      <c r="R32" s="100" t="str">
        <f>VLOOKUP(C32,'Train Runs'!$A$13:$AE$10006,31,0)</f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S32" s="103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https://search-rtdc-monitor-bjffxe2xuh6vdkpspy63sjmuny.us-east-1.es.amazonaws.com/_plugin/kibana/#/discover/Steve-Slow-Train-Analysis-(2080s-and-2083s)?_g=(refreshInterval:(display:Off,section:0,value:0),time:(from:'2016-11-06 02:55:00-0600',mode:absolute,to:'2016-11-06 05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2" s="105" t="str">
        <f t="shared" si="1"/>
        <v>"C:\Program Files (x86)\AstroGrep\AstroGrep.exe" /spath="%USERPROFILE%\AppData\Local\Temp\OnboardLogs" /stypes="*4030*201611061*" /stext=" 11:.+((SYSTEM_STATE.+slice.+state.+changed )|(ment ac)|(system.+state.+changed )|(\[timeout)|(PRM\|1\|D)|(kpr)|(kdp)|(\|lc)|(penalty))" /e /r /s</v>
      </c>
      <c r="U32" s="9" t="str">
        <f t="shared" si="2"/>
        <v>4030</v>
      </c>
      <c r="V32" s="36">
        <f t="shared" si="3"/>
        <v>42680.462337962963</v>
      </c>
      <c r="W32" s="50" t="str">
        <f t="shared" si="4"/>
        <v>Other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ID","value":"306-06"},{"id":16,"name":"Locomotive ID","value":"4030"},{"id":130,"name":"Impact","value":""},{"id":150,"name":"Time of Event (Mountain Time)","value":"04:05:46"},{"id":151,"name":"Denver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"%USERPROFILE%\AppData\Local\Temp\OnboardLogs"\RTDC4030\*4030*201611061* | grep -SE "((Enforcement Ac)|(PRM))" -</v>
      </c>
      <c r="AD32" s="1"/>
    </row>
    <row r="33" spans="1:30" ht="15" customHeight="1" x14ac:dyDescent="0.25">
      <c r="A33" s="36">
        <v>42680.185740740744</v>
      </c>
      <c r="B33" s="31" t="s">
        <v>345</v>
      </c>
      <c r="C33" s="31" t="s">
        <v>392</v>
      </c>
      <c r="D33" s="31" t="s">
        <v>49</v>
      </c>
      <c r="E33" s="31" t="s">
        <v>219</v>
      </c>
      <c r="F33" s="47">
        <v>0</v>
      </c>
      <c r="G33" s="47">
        <v>56</v>
      </c>
      <c r="H33" s="47">
        <v>245</v>
      </c>
      <c r="I33" s="47">
        <v>127</v>
      </c>
      <c r="J33" s="31" t="s">
        <v>220</v>
      </c>
      <c r="K33" s="47">
        <v>1</v>
      </c>
      <c r="L33" s="157" t="s">
        <v>51</v>
      </c>
      <c r="M33" s="158">
        <f t="shared" si="0"/>
        <v>66.528000000000006</v>
      </c>
      <c r="N33" s="159" t="str">
        <f>VLOOKUP(C33,'Trips&amp;Operators'!$C$1:$E$99999,3,FALSE)</f>
        <v>DAVIS</v>
      </c>
      <c r="O33" s="184" t="s">
        <v>214</v>
      </c>
      <c r="P33" s="160"/>
      <c r="Q33" s="31"/>
      <c r="R33" s="100" t="str">
        <f>VLOOKUP(C33,'Train Runs'!$A$13:$AE$10006,31,0)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S33" s="103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03:13:18-0600',mode:absolute,to:'2016-11-06 05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3" s="105" t="str">
        <f t="shared" si="1"/>
        <v>"C:\Program Files (x86)\AstroGrep\AstroGrep.exe" /spath="%USERPROFILE%\AppData\Local\Temp\OnboardLogs" /stypes="*4012*201611061*" /stext=" 11:.+((SYSTEM_STATE.+slice.+state.+changed )|(ment ac)|(system.+state.+changed )|(\[timeout)|(PRM\|1\|D)|(kpr)|(kdp)|(\|lc)|(penalty))" /e /r /s</v>
      </c>
      <c r="U33" s="9" t="str">
        <f t="shared" si="2"/>
        <v>4012</v>
      </c>
      <c r="V33" s="36">
        <f t="shared" si="3"/>
        <v>42680.477407407408</v>
      </c>
      <c r="W33" s="50" t="str">
        <f t="shared" si="4"/>
        <v>Other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ID","value":"308-06"},{"id":16,"name":"Locomotive ID","value":"4012"},{"id":130,"name":"Impact","value":""},{"id":150,"name":"Time of Event (Mountain Time)","value":"04:27:28"},{"id":151,"name":"Denver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"%USERPROFILE%\AppData\Local\Temp\OnboardLogs"\RTDC4012\*4012*201611061* | grep -SE "((Enforcement Ac)|(PRM))" -</v>
      </c>
      <c r="AD33" s="1"/>
    </row>
    <row r="34" spans="1:30" x14ac:dyDescent="0.25">
      <c r="A34" s="36">
        <v>42680.187997685185</v>
      </c>
      <c r="B34" s="31" t="s">
        <v>270</v>
      </c>
      <c r="C34" s="31" t="s">
        <v>393</v>
      </c>
      <c r="D34" s="31" t="s">
        <v>49</v>
      </c>
      <c r="E34" s="31" t="s">
        <v>219</v>
      </c>
      <c r="F34" s="47">
        <v>0</v>
      </c>
      <c r="G34" s="47">
        <v>56</v>
      </c>
      <c r="H34" s="47">
        <v>194</v>
      </c>
      <c r="I34" s="47">
        <v>156</v>
      </c>
      <c r="J34" s="31" t="s">
        <v>220</v>
      </c>
      <c r="K34" s="47">
        <v>1</v>
      </c>
      <c r="L34" s="157" t="s">
        <v>51</v>
      </c>
      <c r="M34" s="158">
        <f t="shared" si="0"/>
        <v>81.84</v>
      </c>
      <c r="N34" s="159" t="str">
        <f>VLOOKUP(C34,'Trips&amp;Operators'!$C$1:$E$99999,3,FALSE)</f>
        <v>MALAVE</v>
      </c>
      <c r="O34" s="184" t="s">
        <v>214</v>
      </c>
      <c r="P34" s="160"/>
      <c r="Q34" s="31"/>
      <c r="R34" s="100" t="str">
        <f>VLOOKUP(C34,'Train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34" s="103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https://search-rtdc-monitor-bjffxe2xuh6vdkpspy63sjmuny.us-east-1.es.amazonaws.com/_plugin/kibana/#/discover/Steve-Slow-Train-Analysis-(2080s-and-2083s)?_g=(refreshInterval:(display:Off,section:0,value:0),time:(from:'2016-11-06 03:19:10-0600',mode:absolute,to:'2016-11-06 05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/stypes="*4039*201611061*" /stext=" 11:.+((SYSTEM_STATE.+slice.+state.+changed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42680.479664351849</v>
      </c>
      <c r="W34" s="50" t="str">
        <f t="shared" si="4"/>
        <v>Other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{"issue":{"subject":"","project_id":79,"tracker_id":40,"status_id":1,"priority_id":2,"assigned_to_id":23,"start_date":"2016-11-06","description":"","custom_fields":[{"id":1,"name":"Subdivision","value":"Other"},{"id":4,"name":"Milepost","value":"0.0001"},{"id":17,"name":"Train ID","value":"310-06"},{"id":16,"name":"Locomotive ID","value":"4039"},{"id":130,"name":"Impact","value":""},{"id":150,"name":"Time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"%USERPROFILE%\AppData\Local\Temp\OnboardLogs"\RTDC4039\*4039*201611061* | grep -SE "((Enforcement Ac)|(PRM))" -</v>
      </c>
      <c r="AD34" s="1"/>
    </row>
    <row r="35" spans="1:30" x14ac:dyDescent="0.25">
      <c r="A35" s="36">
        <v>42680.807141203702</v>
      </c>
      <c r="B35" s="31" t="s">
        <v>156</v>
      </c>
      <c r="C35" s="31" t="s">
        <v>415</v>
      </c>
      <c r="D35" s="31" t="s">
        <v>98</v>
      </c>
      <c r="E35" s="31" t="s">
        <v>217</v>
      </c>
      <c r="F35" s="47">
        <v>0</v>
      </c>
      <c r="G35" s="47">
        <v>67</v>
      </c>
      <c r="H35" s="47">
        <v>1838</v>
      </c>
      <c r="I35" s="47">
        <v>1919</v>
      </c>
      <c r="J35" s="31" t="s">
        <v>218</v>
      </c>
      <c r="K35" s="47">
        <v>1725</v>
      </c>
      <c r="L35" s="157" t="s">
        <v>50</v>
      </c>
      <c r="M35" s="158">
        <f t="shared" si="0"/>
        <v>-102.432</v>
      </c>
      <c r="N35" s="159" t="str">
        <f>VLOOKUP(C35,'Trips&amp;Operators'!$C$1:$E$99999,3,FALSE)</f>
        <v>NEWELL</v>
      </c>
      <c r="O35" s="184" t="s">
        <v>214</v>
      </c>
      <c r="P35" s="160"/>
      <c r="Q35" s="31"/>
      <c r="R35" s="100" t="str">
        <f>VLOOKUP(C35,'Train Runs'!$A$13:$AE$10006,31,0)</f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S35" s="103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https://search-rtdc-monitor-bjffxe2xuh6vdkpspy63sjmuny.us-east-1.es.amazonaws.com/_plugin/kibana/#/discover/Steve-Slow-Train-Analysis-(2080s-and-2083s)?_g=(refreshInterval:(display:Off,section:0,value:0),time:(from:'2016-11-06 19:33:29-0600',mode:absolute,to:'2016-11-06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5" s="105" t="str">
        <f t="shared" si="1"/>
        <v>"C:\Program Files (x86)\AstroGrep\AstroGrep.exe" /spath="%USERPROFILE%\AppData\Local\Temp\OnboardLogs" /stypes="*4051*201611070*" /stext=" 02:.+((SYSTEM_STATE.+slice.+state.+changed )|(ment ac)|(system.+state.+changed )|(\[timeout)|(PRM\|1\|D)|(kpr)|(kdp)|(\|lc)|(penalty))" /e /r /s</v>
      </c>
      <c r="U35" s="9" t="str">
        <f t="shared" si="2"/>
        <v>4051</v>
      </c>
      <c r="V35" s="36">
        <f t="shared" si="3"/>
        <v>42681.098807870367</v>
      </c>
      <c r="W35" s="50" t="e">
        <f t="shared" si="4"/>
        <v>#VALUE!</v>
      </c>
      <c r="X35" s="50" t="str">
        <f t="shared" si="5"/>
        <v>KEEP</v>
      </c>
      <c r="Y35" s="122" t="e">
        <f t="shared" si="6"/>
        <v>#VALUE!</v>
      </c>
      <c r="Z35" s="53"/>
      <c r="AA35" s="53"/>
      <c r="AB35" s="53"/>
      <c r="AC35" s="141" t="str">
        <f t="shared" si="7"/>
        <v>grep -hSE -A100 "Enforcement Action" "%USERPROFILE%\AppData\Local\Temp\OnboardLogs"\RTDC4051\*4051*201611070* | grep -SE "((Enforcement Ac)|(PRM))" -</v>
      </c>
      <c r="AD35" s="1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30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6" priority="36" operator="equal">
      <formula>"Y"</formula>
    </cfRule>
  </conditionalFormatting>
  <conditionalFormatting sqref="O2:O3">
    <cfRule type="cellIs" dxfId="5" priority="27" operator="equal">
      <formula>"Y"</formula>
    </cfRule>
  </conditionalFormatting>
  <conditionalFormatting sqref="O7:O35">
    <cfRule type="cellIs" dxfId="4" priority="21" operator="equal">
      <formula>"Y"</formula>
    </cfRule>
  </conditionalFormatting>
  <conditionalFormatting sqref="A7:P35">
    <cfRule type="expression" dxfId="3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2016-11-06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-06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31" t="e">
        <f>VLOOKUP(B3,'Train Runs'!$A$13:$A$100003,1,FALSE)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-06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31" t="e">
        <f>VLOOKUP(B4,'Train Runs'!$A$13:$A$100003,1,FALSE)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-06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31" t="e">
        <f>VLOOKUP(B5,'Train Runs'!$A$13:$A$100003,1,FALSE)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-06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31" t="e">
        <f>VLOOKUP(B6,'Train Runs'!$A$13:$A$100003,1,FALSE)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-06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31" t="e">
        <f>VLOOKUP(B7,'Train Runs'!$A$13:$A$100003,1,FALSE)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-06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1" t="e">
        <f>VLOOKUP(B8,'Train Runs'!$A$13:$A$100003,1,FALSE)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-06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1" t="e">
        <f>VLOOKUP(B9,'Train Runs'!$A$13:$A$100003,1,FALSE)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-06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0" s="31" t="e">
        <f>VLOOKUP(B10,'Train Runs'!$A$13:$A$100003,1,FALSE)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-06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1" s="31" t="e">
        <f>VLOOKUP(B11,'Train Runs'!$A$13:$A$100003,1,FALSE)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-06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2" s="31" t="e">
        <f>VLOOKUP(B12,'Train Runs'!$A$13:$A$100003,1,FALSE)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-06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3" s="31" t="e">
        <f>VLOOKUP(B13,'Train Runs'!$A$13:$A$100003,1,FALSE)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42680.035254629627</v>
      </c>
      <c r="B2" s="21" t="s">
        <v>324</v>
      </c>
      <c r="C2" s="21" t="s">
        <v>417</v>
      </c>
      <c r="D2" s="21">
        <v>1800000</v>
      </c>
      <c r="E2" s="21" t="s">
        <v>257</v>
      </c>
      <c r="F2" s="21" t="str">
        <f t="shared" ref="F2:F65" si="0">B2</f>
        <v>rtdc.l.rtdc.4054:itc</v>
      </c>
      <c r="G2" s="8">
        <f t="shared" ref="G2:G65" si="1">A2</f>
        <v>42680.035254629627</v>
      </c>
    </row>
    <row r="3" spans="1:7" x14ac:dyDescent="0.25">
      <c r="A3" s="8">
        <v>42680.038900462961</v>
      </c>
      <c r="B3" s="21" t="s">
        <v>246</v>
      </c>
      <c r="C3" s="21" t="s">
        <v>418</v>
      </c>
      <c r="D3" s="21">
        <v>1300000</v>
      </c>
      <c r="E3" s="21" t="s">
        <v>113</v>
      </c>
      <c r="F3" s="21" t="str">
        <f t="shared" si="0"/>
        <v>rtdc.l.rtdc.4014:itc</v>
      </c>
      <c r="G3" s="8">
        <f t="shared" si="1"/>
        <v>42680.038900462961</v>
      </c>
    </row>
    <row r="4" spans="1:7" x14ac:dyDescent="0.25">
      <c r="A4" s="8">
        <v>42680.050659722219</v>
      </c>
      <c r="B4" s="21" t="s">
        <v>322</v>
      </c>
      <c r="C4" s="21" t="s">
        <v>419</v>
      </c>
      <c r="D4" s="21">
        <v>2230000</v>
      </c>
      <c r="E4" s="21" t="s">
        <v>420</v>
      </c>
      <c r="F4" s="21" t="str">
        <f t="shared" si="0"/>
        <v>rtdc.l.rtdc.4025:itc</v>
      </c>
      <c r="G4" s="8">
        <f t="shared" si="1"/>
        <v>42680.050659722219</v>
      </c>
    </row>
    <row r="5" spans="1:7" x14ac:dyDescent="0.25">
      <c r="A5" s="8">
        <v>42680.053796296299</v>
      </c>
      <c r="B5" s="21" t="s">
        <v>346</v>
      </c>
      <c r="C5" s="21" t="s">
        <v>421</v>
      </c>
      <c r="D5" s="21">
        <v>2000000</v>
      </c>
      <c r="E5" s="21" t="s">
        <v>288</v>
      </c>
      <c r="F5" s="21" t="str">
        <f t="shared" si="0"/>
        <v>rtdc.l.rtdc.4015:itc</v>
      </c>
      <c r="G5" s="8">
        <f t="shared" si="1"/>
        <v>42680.053796296299</v>
      </c>
    </row>
    <row r="6" spans="1:7" x14ac:dyDescent="0.25">
      <c r="A6" s="8">
        <v>42680.076643518521</v>
      </c>
      <c r="B6" s="21" t="s">
        <v>245</v>
      </c>
      <c r="C6" s="21" t="s">
        <v>422</v>
      </c>
      <c r="D6" s="21">
        <v>1300000</v>
      </c>
      <c r="E6" s="21" t="s">
        <v>113</v>
      </c>
      <c r="F6" s="21" t="str">
        <f t="shared" si="0"/>
        <v>rtdc.l.rtdc.4013:itc</v>
      </c>
      <c r="G6" s="8">
        <f t="shared" si="1"/>
        <v>42680.076643518521</v>
      </c>
    </row>
    <row r="7" spans="1:7" x14ac:dyDescent="0.25">
      <c r="A7" s="8">
        <v>42680.080740740741</v>
      </c>
      <c r="B7" s="21" t="s">
        <v>327</v>
      </c>
      <c r="C7" s="21" t="s">
        <v>423</v>
      </c>
      <c r="D7" s="21">
        <v>2260000</v>
      </c>
      <c r="E7" s="21" t="s">
        <v>424</v>
      </c>
      <c r="F7" s="21" t="str">
        <f t="shared" si="0"/>
        <v>rtdc.l.rtdc.4053:itc</v>
      </c>
      <c r="G7" s="8">
        <f t="shared" si="1"/>
        <v>42680.080740740741</v>
      </c>
    </row>
    <row r="8" spans="1:7" x14ac:dyDescent="0.25">
      <c r="A8" s="8">
        <v>42680.045937499999</v>
      </c>
      <c r="B8" s="21" t="s">
        <v>347</v>
      </c>
      <c r="C8" s="21" t="s">
        <v>425</v>
      </c>
      <c r="D8" s="21">
        <v>2000000</v>
      </c>
      <c r="E8" s="21" t="s">
        <v>288</v>
      </c>
      <c r="F8" s="21" t="str">
        <f t="shared" si="0"/>
        <v>rtdc.l.rtdc.4016:itc</v>
      </c>
      <c r="G8" s="8">
        <f t="shared" si="1"/>
        <v>42680.045937499999</v>
      </c>
    </row>
    <row r="9" spans="1:7" ht="15.75" thickBot="1" x14ac:dyDescent="0.3">
      <c r="A9" s="25">
        <v>42680.050613425927</v>
      </c>
      <c r="B9" s="21" t="s">
        <v>328</v>
      </c>
      <c r="C9" s="21" t="s">
        <v>426</v>
      </c>
      <c r="D9" s="21">
        <v>2230000</v>
      </c>
      <c r="E9" s="21" t="s">
        <v>420</v>
      </c>
      <c r="F9" s="21" t="str">
        <f t="shared" si="0"/>
        <v>rtdc.l.rtdc.4026:itc</v>
      </c>
      <c r="G9" s="8">
        <f t="shared" si="1"/>
        <v>42680.050613425927</v>
      </c>
    </row>
    <row r="10" spans="1:7" x14ac:dyDescent="0.25">
      <c r="A10" s="8">
        <v>42680.077326388891</v>
      </c>
      <c r="B10" s="21" t="s">
        <v>246</v>
      </c>
      <c r="C10" s="21" t="s">
        <v>427</v>
      </c>
      <c r="D10" s="21">
        <v>1300000</v>
      </c>
      <c r="E10" s="21" t="s">
        <v>113</v>
      </c>
      <c r="F10" s="21" t="str">
        <f t="shared" si="0"/>
        <v>rtdc.l.rtdc.4014:itc</v>
      </c>
      <c r="G10" s="8">
        <f t="shared" si="1"/>
        <v>42680.077326388891</v>
      </c>
    </row>
    <row r="11" spans="1:7" x14ac:dyDescent="0.25">
      <c r="A11" s="8">
        <v>42680.081956018519</v>
      </c>
      <c r="B11" s="21" t="s">
        <v>324</v>
      </c>
      <c r="C11" s="21" t="s">
        <v>428</v>
      </c>
      <c r="D11" s="21">
        <v>2260000</v>
      </c>
      <c r="E11" s="21" t="s">
        <v>424</v>
      </c>
      <c r="F11" s="21" t="str">
        <f t="shared" si="0"/>
        <v>rtdc.l.rtdc.4054:itc</v>
      </c>
      <c r="G11" s="8">
        <f t="shared" si="1"/>
        <v>42680.081956018519</v>
      </c>
    </row>
    <row r="12" spans="1:7" x14ac:dyDescent="0.25">
      <c r="A12" s="8">
        <v>42680.088993055557</v>
      </c>
      <c r="B12" s="21" t="s">
        <v>322</v>
      </c>
      <c r="C12" s="21" t="s">
        <v>429</v>
      </c>
      <c r="D12" s="21">
        <v>2230000</v>
      </c>
      <c r="E12" s="21" t="s">
        <v>420</v>
      </c>
      <c r="F12" s="21" t="str">
        <f t="shared" si="0"/>
        <v>rtdc.l.rtdc.4025:itc</v>
      </c>
      <c r="G12" s="8">
        <f t="shared" si="1"/>
        <v>42680.088993055557</v>
      </c>
    </row>
    <row r="13" spans="1:7" x14ac:dyDescent="0.25">
      <c r="A13" s="8">
        <v>42680.111655092594</v>
      </c>
      <c r="B13" s="21" t="s">
        <v>327</v>
      </c>
      <c r="C13" s="21" t="s">
        <v>430</v>
      </c>
      <c r="D13" s="21">
        <v>2260000</v>
      </c>
      <c r="E13" s="21" t="s">
        <v>424</v>
      </c>
      <c r="F13" s="21" t="str">
        <f t="shared" si="0"/>
        <v>rtdc.l.rtdc.4053:itc</v>
      </c>
      <c r="G13" s="8">
        <f t="shared" si="1"/>
        <v>42680.111655092594</v>
      </c>
    </row>
    <row r="14" spans="1:7" x14ac:dyDescent="0.25">
      <c r="A14" s="8">
        <v>42680.121782407405</v>
      </c>
      <c r="B14" s="21" t="s">
        <v>394</v>
      </c>
      <c r="C14" s="21" t="s">
        <v>431</v>
      </c>
      <c r="D14" s="21">
        <v>2030000</v>
      </c>
      <c r="E14" s="21" t="s">
        <v>432</v>
      </c>
      <c r="F14" s="21" t="str">
        <f t="shared" si="0"/>
        <v>rtdc.l.rtdc.4043:itc</v>
      </c>
      <c r="G14" s="8">
        <f t="shared" si="1"/>
        <v>42680.121782407405</v>
      </c>
    </row>
    <row r="15" spans="1:7" x14ac:dyDescent="0.25">
      <c r="A15" s="8">
        <v>42680.131504629629</v>
      </c>
      <c r="B15" s="21" t="s">
        <v>193</v>
      </c>
      <c r="C15" s="21" t="s">
        <v>433</v>
      </c>
      <c r="D15" s="21">
        <v>2030000</v>
      </c>
      <c r="E15" s="21" t="s">
        <v>432</v>
      </c>
      <c r="F15" s="21" t="str">
        <f t="shared" si="0"/>
        <v>rtdc.l.rtdc.4007:itc</v>
      </c>
      <c r="G15" s="8">
        <f t="shared" si="1"/>
        <v>42680.131504629629</v>
      </c>
    </row>
    <row r="16" spans="1:7" x14ac:dyDescent="0.25">
      <c r="A16" s="8">
        <v>42680.140682870369</v>
      </c>
      <c r="B16" s="21" t="s">
        <v>396</v>
      </c>
      <c r="C16" s="21" t="s">
        <v>434</v>
      </c>
      <c r="D16" s="21">
        <v>1260000</v>
      </c>
      <c r="E16" s="21" t="s">
        <v>435</v>
      </c>
      <c r="F16" s="21" t="str">
        <f t="shared" si="0"/>
        <v>rtdc.l.rtdc.4045:itc</v>
      </c>
      <c r="G16" s="8">
        <f t="shared" si="1"/>
        <v>42680.140682870369</v>
      </c>
    </row>
    <row r="17" spans="1:7" x14ac:dyDescent="0.25">
      <c r="A17" s="8">
        <v>42680.151666666665</v>
      </c>
      <c r="B17" s="21" t="s">
        <v>190</v>
      </c>
      <c r="C17" s="21" t="s">
        <v>436</v>
      </c>
      <c r="D17" s="21">
        <v>1260000</v>
      </c>
      <c r="E17" s="21" t="s">
        <v>435</v>
      </c>
      <c r="F17" s="21" t="str">
        <f t="shared" si="0"/>
        <v>rtdc.l.rtdc.4009:itc</v>
      </c>
      <c r="G17" s="8">
        <f t="shared" si="1"/>
        <v>42680.151666666665</v>
      </c>
    </row>
    <row r="18" spans="1:7" x14ac:dyDescent="0.25">
      <c r="A18" s="8">
        <v>42680.163680555554</v>
      </c>
      <c r="B18" s="21" t="s">
        <v>226</v>
      </c>
      <c r="C18" s="21" t="s">
        <v>391</v>
      </c>
      <c r="D18" s="21">
        <v>2010000</v>
      </c>
      <c r="E18" s="21" t="s">
        <v>326</v>
      </c>
      <c r="F18" s="21" t="str">
        <f t="shared" si="0"/>
        <v>rtdc.l.rtdc.4030:itc</v>
      </c>
      <c r="G18" s="8">
        <f t="shared" si="1"/>
        <v>42680.163680555554</v>
      </c>
    </row>
    <row r="19" spans="1:7" x14ac:dyDescent="0.25">
      <c r="A19" s="8">
        <v>42680.166921296295</v>
      </c>
      <c r="B19" s="21" t="s">
        <v>394</v>
      </c>
      <c r="C19" s="21" t="s">
        <v>395</v>
      </c>
      <c r="D19" s="21">
        <v>2030000</v>
      </c>
      <c r="E19" s="21" t="s">
        <v>432</v>
      </c>
      <c r="F19" s="21" t="str">
        <f t="shared" si="0"/>
        <v>rtdc.l.rtdc.4043:itc</v>
      </c>
      <c r="G19" s="8">
        <f t="shared" si="1"/>
        <v>42680.166921296295</v>
      </c>
    </row>
    <row r="20" spans="1:7" x14ac:dyDescent="0.25">
      <c r="A20" s="8">
        <v>42680.175034722219</v>
      </c>
      <c r="B20" s="21" t="s">
        <v>287</v>
      </c>
      <c r="C20" s="21" t="s">
        <v>437</v>
      </c>
      <c r="D20" s="21">
        <v>2010000</v>
      </c>
      <c r="E20" s="21" t="s">
        <v>326</v>
      </c>
      <c r="F20" s="21" t="str">
        <f t="shared" si="0"/>
        <v>rtdc.l.rtdc.4042:itc</v>
      </c>
      <c r="G20" s="8">
        <f t="shared" si="1"/>
        <v>42680.175034722219</v>
      </c>
    </row>
    <row r="21" spans="1:7" x14ac:dyDescent="0.25">
      <c r="A21" s="8">
        <v>42680.176805555559</v>
      </c>
      <c r="B21" s="21" t="s">
        <v>345</v>
      </c>
      <c r="C21" s="21" t="s">
        <v>392</v>
      </c>
      <c r="D21" s="21">
        <v>1990000</v>
      </c>
      <c r="E21" s="21" t="s">
        <v>438</v>
      </c>
      <c r="F21" s="21" t="str">
        <f t="shared" si="0"/>
        <v>rtdc.l.rtdc.4012:itc</v>
      </c>
      <c r="G21" s="8">
        <f t="shared" si="1"/>
        <v>42680.176805555559</v>
      </c>
    </row>
    <row r="22" spans="1:7" x14ac:dyDescent="0.25">
      <c r="A22" s="27">
        <v>42680.180405092593</v>
      </c>
      <c r="B22" s="21" t="s">
        <v>270</v>
      </c>
      <c r="C22" s="21" t="s">
        <v>393</v>
      </c>
      <c r="D22" s="21">
        <v>1310000</v>
      </c>
      <c r="E22" s="21" t="s">
        <v>439</v>
      </c>
      <c r="F22" s="21" t="str">
        <f t="shared" si="0"/>
        <v>rtdc.l.rtdc.4039:itc</v>
      </c>
      <c r="G22" s="8">
        <f t="shared" si="1"/>
        <v>42680.180405092593</v>
      </c>
    </row>
    <row r="23" spans="1:7" x14ac:dyDescent="0.25">
      <c r="A23" s="8">
        <v>42680.186967592592</v>
      </c>
      <c r="B23" s="21" t="s">
        <v>232</v>
      </c>
      <c r="C23" s="21" t="s">
        <v>440</v>
      </c>
      <c r="D23" s="21">
        <v>1990000</v>
      </c>
      <c r="E23" s="21" t="s">
        <v>438</v>
      </c>
      <c r="F23" s="21" t="str">
        <f t="shared" si="0"/>
        <v>rtdc.l.rtdc.4011:itc</v>
      </c>
      <c r="G23" s="8">
        <f t="shared" si="1"/>
        <v>42680.186967592592</v>
      </c>
    </row>
    <row r="24" spans="1:7" x14ac:dyDescent="0.25">
      <c r="A24" s="8">
        <v>42680.189155092594</v>
      </c>
      <c r="B24" s="21" t="s">
        <v>396</v>
      </c>
      <c r="C24" s="21" t="s">
        <v>397</v>
      </c>
      <c r="D24" s="21">
        <v>1260000</v>
      </c>
      <c r="E24" s="21" t="s">
        <v>435</v>
      </c>
      <c r="F24" s="21" t="str">
        <f t="shared" si="0"/>
        <v>rtdc.l.rtdc.4045:itc</v>
      </c>
      <c r="G24" s="8">
        <f t="shared" si="1"/>
        <v>42680.189155092594</v>
      </c>
    </row>
    <row r="25" spans="1:7" x14ac:dyDescent="0.25">
      <c r="A25" s="8">
        <v>42680.193368055552</v>
      </c>
      <c r="B25" s="21" t="s">
        <v>232</v>
      </c>
      <c r="C25" s="21" t="s">
        <v>440</v>
      </c>
      <c r="D25" s="21">
        <v>1990000</v>
      </c>
      <c r="E25" s="21" t="s">
        <v>438</v>
      </c>
      <c r="F25" s="21" t="str">
        <f t="shared" si="0"/>
        <v>rtdc.l.rtdc.4011:itc</v>
      </c>
      <c r="G25" s="8">
        <f t="shared" si="1"/>
        <v>42680.193368055552</v>
      </c>
    </row>
    <row r="26" spans="1:7" x14ac:dyDescent="0.25">
      <c r="A26" s="8">
        <v>42680.196539351855</v>
      </c>
      <c r="B26" s="21" t="s">
        <v>240</v>
      </c>
      <c r="C26" s="21" t="s">
        <v>441</v>
      </c>
      <c r="D26" s="21">
        <v>1310000</v>
      </c>
      <c r="E26" s="21" t="s">
        <v>439</v>
      </c>
      <c r="F26" s="21" t="str">
        <f t="shared" si="0"/>
        <v>rtdc.l.rtdc.4040:itc</v>
      </c>
      <c r="G26" s="8">
        <f t="shared" si="1"/>
        <v>42680.196539351855</v>
      </c>
    </row>
    <row r="27" spans="1:7" x14ac:dyDescent="0.25">
      <c r="A27" s="8">
        <v>42680.202928240738</v>
      </c>
      <c r="B27" s="21" t="s">
        <v>193</v>
      </c>
      <c r="C27" s="21" t="s">
        <v>442</v>
      </c>
      <c r="D27" s="21">
        <v>2100000</v>
      </c>
      <c r="E27" s="21" t="s">
        <v>349</v>
      </c>
      <c r="F27" s="21" t="str">
        <f t="shared" si="0"/>
        <v>rtdc.l.rtdc.4007:itc</v>
      </c>
      <c r="G27" s="8">
        <f t="shared" si="1"/>
        <v>42680.202928240738</v>
      </c>
    </row>
    <row r="28" spans="1:7" x14ac:dyDescent="0.25">
      <c r="A28" s="8">
        <v>42680.209699074076</v>
      </c>
      <c r="B28" s="21" t="s">
        <v>226</v>
      </c>
      <c r="C28" s="21" t="s">
        <v>443</v>
      </c>
      <c r="D28" s="21">
        <v>2010000</v>
      </c>
      <c r="E28" s="21" t="s">
        <v>326</v>
      </c>
      <c r="F28" s="21" t="str">
        <f t="shared" si="0"/>
        <v>rtdc.l.rtdc.4030:itc</v>
      </c>
      <c r="G28" s="8">
        <f t="shared" si="1"/>
        <v>42680.209699074076</v>
      </c>
    </row>
    <row r="29" spans="1:7" x14ac:dyDescent="0.25">
      <c r="A29" s="8">
        <v>42680.210011574076</v>
      </c>
      <c r="B29" s="21" t="s">
        <v>192</v>
      </c>
      <c r="C29" s="21" t="s">
        <v>444</v>
      </c>
      <c r="D29" s="21">
        <v>2030000</v>
      </c>
      <c r="E29" s="21" t="s">
        <v>432</v>
      </c>
      <c r="F29" s="21" t="str">
        <f t="shared" si="0"/>
        <v>rtdc.l.rtdc.4044:itc</v>
      </c>
      <c r="G29" s="8">
        <f t="shared" si="1"/>
        <v>42680.210011574076</v>
      </c>
    </row>
    <row r="30" spans="1:7" x14ac:dyDescent="0.25">
      <c r="A30" s="8">
        <v>42680.210752314815</v>
      </c>
      <c r="B30" s="21" t="s">
        <v>226</v>
      </c>
      <c r="C30" s="21" t="s">
        <v>443</v>
      </c>
      <c r="D30" s="21">
        <v>2010000</v>
      </c>
      <c r="E30" s="21" t="s">
        <v>326</v>
      </c>
      <c r="F30" s="21" t="str">
        <f t="shared" si="0"/>
        <v>rtdc.l.rtdc.4030:itc</v>
      </c>
      <c r="G30" s="8">
        <f t="shared" si="1"/>
        <v>42680.210752314815</v>
      </c>
    </row>
    <row r="31" spans="1:7" x14ac:dyDescent="0.25">
      <c r="A31" s="8">
        <v>42680.222395833334</v>
      </c>
      <c r="B31" s="21" t="s">
        <v>320</v>
      </c>
      <c r="C31" s="21" t="s">
        <v>445</v>
      </c>
      <c r="D31" s="21">
        <v>1110000</v>
      </c>
      <c r="E31" s="21" t="s">
        <v>262</v>
      </c>
      <c r="F31" s="21" t="str">
        <f t="shared" si="0"/>
        <v>rtdc.l.rtdc.4031:itc</v>
      </c>
      <c r="G31" s="8">
        <f t="shared" si="1"/>
        <v>42680.222395833334</v>
      </c>
    </row>
    <row r="32" spans="1:7" x14ac:dyDescent="0.25">
      <c r="A32" s="8">
        <v>42680.223217592589</v>
      </c>
      <c r="B32" s="21" t="s">
        <v>345</v>
      </c>
      <c r="C32" s="21" t="s">
        <v>446</v>
      </c>
      <c r="D32" s="21">
        <v>1990000</v>
      </c>
      <c r="E32" s="21" t="s">
        <v>438</v>
      </c>
      <c r="F32" s="21" t="str">
        <f t="shared" si="0"/>
        <v>rtdc.l.rtdc.4012:itc</v>
      </c>
      <c r="G32" s="8">
        <f t="shared" si="1"/>
        <v>42680.223217592589</v>
      </c>
    </row>
    <row r="33" spans="1:7" x14ac:dyDescent="0.25">
      <c r="A33" s="8">
        <v>42680.226458333331</v>
      </c>
      <c r="B33" s="21" t="s">
        <v>190</v>
      </c>
      <c r="C33" s="21" t="s">
        <v>447</v>
      </c>
      <c r="D33" s="21">
        <v>1830000</v>
      </c>
      <c r="E33" s="21" t="s">
        <v>448</v>
      </c>
      <c r="F33" s="21" t="str">
        <f t="shared" si="0"/>
        <v>rtdc.l.rtdc.4009:itc</v>
      </c>
      <c r="G33" s="8">
        <f t="shared" si="1"/>
        <v>42680.226458333331</v>
      </c>
    </row>
    <row r="34" spans="1:7" x14ac:dyDescent="0.25">
      <c r="A34" s="8">
        <v>42680.233240740738</v>
      </c>
      <c r="B34" s="21" t="s">
        <v>399</v>
      </c>
      <c r="C34" s="21" t="s">
        <v>400</v>
      </c>
      <c r="D34" s="21">
        <v>1260000</v>
      </c>
      <c r="E34" s="21" t="s">
        <v>435</v>
      </c>
      <c r="F34" s="21" t="str">
        <f t="shared" si="0"/>
        <v>rtdc.l.rtdc.4046:itc</v>
      </c>
      <c r="G34" s="8">
        <f t="shared" si="1"/>
        <v>42680.233240740738</v>
      </c>
    </row>
    <row r="35" spans="1:7" x14ac:dyDescent="0.25">
      <c r="A35" s="8">
        <v>42680.233958333331</v>
      </c>
      <c r="B35" s="21" t="s">
        <v>271</v>
      </c>
      <c r="C35" s="21" t="s">
        <v>449</v>
      </c>
      <c r="D35" s="21">
        <v>1110000</v>
      </c>
      <c r="E35" s="21" t="s">
        <v>262</v>
      </c>
      <c r="F35" s="21" t="str">
        <f t="shared" si="0"/>
        <v>rtdc.l.rtdc.4032:itc</v>
      </c>
      <c r="G35" s="8">
        <f t="shared" si="1"/>
        <v>42680.233958333331</v>
      </c>
    </row>
    <row r="36" spans="1:7" x14ac:dyDescent="0.25">
      <c r="A36" s="8">
        <v>42680.235081018516</v>
      </c>
      <c r="B36" s="21" t="s">
        <v>270</v>
      </c>
      <c r="C36" s="21" t="s">
        <v>450</v>
      </c>
      <c r="D36" s="21">
        <v>1310000</v>
      </c>
      <c r="E36" s="21" t="s">
        <v>439</v>
      </c>
      <c r="F36" s="21" t="str">
        <f t="shared" si="0"/>
        <v>rtdc.l.rtdc.4039:itc</v>
      </c>
      <c r="G36" s="8">
        <f t="shared" si="1"/>
        <v>42680.235081018516</v>
      </c>
    </row>
    <row r="37" spans="1:7" x14ac:dyDescent="0.25">
      <c r="A37" s="8">
        <v>42680.240601851852</v>
      </c>
      <c r="B37" s="21" t="s">
        <v>285</v>
      </c>
      <c r="C37" s="21" t="s">
        <v>398</v>
      </c>
      <c r="D37" s="21">
        <v>2100000</v>
      </c>
      <c r="E37" s="21" t="s">
        <v>349</v>
      </c>
      <c r="F37" s="21" t="str">
        <f t="shared" si="0"/>
        <v>rtdc.l.rtdc.4008:itc</v>
      </c>
      <c r="G37" s="8">
        <f t="shared" si="1"/>
        <v>42680.240601851852</v>
      </c>
    </row>
    <row r="38" spans="1:7" x14ac:dyDescent="0.25">
      <c r="A38" s="8">
        <v>42680.246111111112</v>
      </c>
      <c r="B38" s="21" t="s">
        <v>287</v>
      </c>
      <c r="C38" s="21" t="s">
        <v>451</v>
      </c>
      <c r="D38" s="21">
        <v>2010000</v>
      </c>
      <c r="E38" s="21" t="s">
        <v>326</v>
      </c>
      <c r="F38" s="21" t="str">
        <f t="shared" si="0"/>
        <v>rtdc.l.rtdc.4042:itc</v>
      </c>
      <c r="G38" s="8">
        <f t="shared" si="1"/>
        <v>42680.246111111112</v>
      </c>
    </row>
    <row r="39" spans="1:7" x14ac:dyDescent="0.25">
      <c r="A39" s="8">
        <v>42680.248310185183</v>
      </c>
      <c r="B39" s="21" t="s">
        <v>320</v>
      </c>
      <c r="C39" s="21" t="s">
        <v>452</v>
      </c>
      <c r="D39" s="21">
        <v>1110000</v>
      </c>
      <c r="E39" s="21" t="s">
        <v>262</v>
      </c>
      <c r="F39" s="21" t="str">
        <f t="shared" si="0"/>
        <v>rtdc.l.rtdc.4031:itc</v>
      </c>
      <c r="G39" s="8">
        <f t="shared" si="1"/>
        <v>42680.248310185183</v>
      </c>
    </row>
    <row r="40" spans="1:7" x14ac:dyDescent="0.25">
      <c r="A40" s="8">
        <v>42680.249548611115</v>
      </c>
      <c r="B40" s="26" t="s">
        <v>394</v>
      </c>
      <c r="C40" s="21" t="s">
        <v>453</v>
      </c>
      <c r="D40" s="21">
        <v>2030000</v>
      </c>
      <c r="E40" s="21" t="s">
        <v>432</v>
      </c>
      <c r="F40" s="21" t="str">
        <f t="shared" si="0"/>
        <v>rtdc.l.rtdc.4043:itc</v>
      </c>
      <c r="G40" s="8">
        <f t="shared" si="1"/>
        <v>42680.249548611115</v>
      </c>
    </row>
    <row r="41" spans="1:7" x14ac:dyDescent="0.25">
      <c r="A41" s="8">
        <v>42680.255069444444</v>
      </c>
      <c r="B41" s="21" t="s">
        <v>189</v>
      </c>
      <c r="C41" s="21" t="s">
        <v>454</v>
      </c>
      <c r="D41" s="21">
        <v>1830000</v>
      </c>
      <c r="E41" s="21" t="s">
        <v>448</v>
      </c>
      <c r="F41" s="21" t="str">
        <f t="shared" si="0"/>
        <v>rtdc.l.rtdc.4010:itc</v>
      </c>
      <c r="G41" s="8">
        <f t="shared" si="1"/>
        <v>42680.255069444444</v>
      </c>
    </row>
    <row r="42" spans="1:7" x14ac:dyDescent="0.25">
      <c r="A42" s="8">
        <v>42680.255520833336</v>
      </c>
      <c r="B42" s="21" t="s">
        <v>232</v>
      </c>
      <c r="C42" s="21" t="s">
        <v>455</v>
      </c>
      <c r="D42" s="21">
        <v>1990000</v>
      </c>
      <c r="E42" s="21" t="s">
        <v>438</v>
      </c>
      <c r="F42" s="21" t="str">
        <f t="shared" si="0"/>
        <v>rtdc.l.rtdc.4011:itc</v>
      </c>
      <c r="G42" s="8">
        <f t="shared" si="1"/>
        <v>42680.255520833336</v>
      </c>
    </row>
    <row r="43" spans="1:7" x14ac:dyDescent="0.25">
      <c r="A43" s="8">
        <v>42680.27039351852</v>
      </c>
      <c r="B43" s="21" t="s">
        <v>240</v>
      </c>
      <c r="C43" s="21" t="s">
        <v>456</v>
      </c>
      <c r="D43" s="21">
        <v>1310000</v>
      </c>
      <c r="E43" s="21" t="s">
        <v>439</v>
      </c>
      <c r="F43" s="21" t="str">
        <f t="shared" si="0"/>
        <v>rtdc.l.rtdc.4040:itc</v>
      </c>
      <c r="G43" s="8">
        <f t="shared" si="1"/>
        <v>42680.27039351852</v>
      </c>
    </row>
    <row r="44" spans="1:7" x14ac:dyDescent="0.25">
      <c r="A44" s="8">
        <v>42680.273020833331</v>
      </c>
      <c r="B44" s="21" t="s">
        <v>396</v>
      </c>
      <c r="C44" s="21" t="s">
        <v>457</v>
      </c>
      <c r="D44" s="21">
        <v>1260000</v>
      </c>
      <c r="E44" s="21" t="s">
        <v>435</v>
      </c>
      <c r="F44" s="21" t="str">
        <f t="shared" si="0"/>
        <v>rtdc.l.rtdc.4045:itc</v>
      </c>
      <c r="G44" s="8">
        <f t="shared" si="1"/>
        <v>42680.273020833331</v>
      </c>
    </row>
    <row r="45" spans="1:7" x14ac:dyDescent="0.25">
      <c r="A45" s="8">
        <v>42680.275462962964</v>
      </c>
      <c r="B45" s="21" t="s">
        <v>193</v>
      </c>
      <c r="C45" s="21" t="s">
        <v>458</v>
      </c>
      <c r="D45" s="21">
        <v>2100000</v>
      </c>
      <c r="E45" s="21" t="s">
        <v>349</v>
      </c>
      <c r="F45" s="21" t="str">
        <f t="shared" si="0"/>
        <v>rtdc.l.rtdc.4007:itc</v>
      </c>
      <c r="G45" s="8">
        <f t="shared" si="1"/>
        <v>42680.275462962964</v>
      </c>
    </row>
    <row r="46" spans="1:7" x14ac:dyDescent="0.25">
      <c r="A46" s="8">
        <v>42680.276469907411</v>
      </c>
      <c r="B46" s="21" t="s">
        <v>271</v>
      </c>
      <c r="C46" s="21" t="s">
        <v>459</v>
      </c>
      <c r="D46" s="21">
        <v>1110000</v>
      </c>
      <c r="E46" s="21" t="s">
        <v>262</v>
      </c>
      <c r="F46" s="21" t="str">
        <f t="shared" si="0"/>
        <v>rtdc.l.rtdc.4032:itc</v>
      </c>
      <c r="G46" s="8">
        <f t="shared" si="1"/>
        <v>42680.276469907411</v>
      </c>
    </row>
    <row r="47" spans="1:7" x14ac:dyDescent="0.25">
      <c r="A47" s="8">
        <v>42680.280960648146</v>
      </c>
      <c r="B47" s="21" t="s">
        <v>284</v>
      </c>
      <c r="C47" s="21" t="s">
        <v>460</v>
      </c>
      <c r="D47" s="21">
        <v>2010000</v>
      </c>
      <c r="E47" s="21" t="s">
        <v>326</v>
      </c>
      <c r="F47" s="21" t="str">
        <f t="shared" si="0"/>
        <v>rtdc.l.rtdc.4041:itc</v>
      </c>
      <c r="G47" s="8">
        <f t="shared" si="1"/>
        <v>42680.280960648146</v>
      </c>
    </row>
    <row r="48" spans="1:7" x14ac:dyDescent="0.25">
      <c r="A48" s="8">
        <v>42680.285717592589</v>
      </c>
      <c r="B48" s="21" t="s">
        <v>192</v>
      </c>
      <c r="C48" s="21" t="s">
        <v>461</v>
      </c>
      <c r="D48" s="21">
        <v>2030000</v>
      </c>
      <c r="E48" s="21" t="s">
        <v>432</v>
      </c>
      <c r="F48" s="21" t="str">
        <f t="shared" si="0"/>
        <v>rtdc.l.rtdc.4044:itc</v>
      </c>
      <c r="G48" s="8">
        <f t="shared" si="1"/>
        <v>42680.285717592589</v>
      </c>
    </row>
    <row r="49" spans="1:7" x14ac:dyDescent="0.25">
      <c r="A49" s="8">
        <v>42680.293321759258</v>
      </c>
      <c r="B49" s="21" t="s">
        <v>345</v>
      </c>
      <c r="C49" s="21" t="s">
        <v>462</v>
      </c>
      <c r="D49" s="21">
        <v>1990000</v>
      </c>
      <c r="E49" s="21" t="s">
        <v>438</v>
      </c>
      <c r="F49" s="21" t="str">
        <f t="shared" si="0"/>
        <v>rtdc.l.rtdc.4012:itc</v>
      </c>
      <c r="G49" s="8">
        <f t="shared" si="1"/>
        <v>42680.293321759258</v>
      </c>
    </row>
    <row r="50" spans="1:7" x14ac:dyDescent="0.25">
      <c r="A50" s="8">
        <v>42680.29383101852</v>
      </c>
      <c r="B50" s="21" t="s">
        <v>320</v>
      </c>
      <c r="C50" s="21" t="s">
        <v>463</v>
      </c>
      <c r="D50" s="21">
        <v>1110000</v>
      </c>
      <c r="E50" s="21" t="s">
        <v>262</v>
      </c>
      <c r="F50" s="21" t="str">
        <f t="shared" si="0"/>
        <v>rtdc.l.rtdc.4031:itc</v>
      </c>
      <c r="G50" s="8">
        <f t="shared" si="1"/>
        <v>42680.29383101852</v>
      </c>
    </row>
    <row r="51" spans="1:7" x14ac:dyDescent="0.25">
      <c r="A51" s="8">
        <v>42680.296053240738</v>
      </c>
      <c r="B51" s="21" t="s">
        <v>190</v>
      </c>
      <c r="C51" s="21" t="s">
        <v>464</v>
      </c>
      <c r="D51" s="21">
        <v>1830000</v>
      </c>
      <c r="E51" s="21" t="s">
        <v>448</v>
      </c>
      <c r="F51" s="21" t="str">
        <f t="shared" si="0"/>
        <v>rtdc.l.rtdc.4009:itc</v>
      </c>
      <c r="G51" s="8">
        <f t="shared" si="1"/>
        <v>42680.296053240738</v>
      </c>
    </row>
    <row r="52" spans="1:7" x14ac:dyDescent="0.25">
      <c r="A52" s="8">
        <v>42680.30667824074</v>
      </c>
      <c r="B52" s="21" t="s">
        <v>399</v>
      </c>
      <c r="C52" s="21" t="s">
        <v>465</v>
      </c>
      <c r="D52" s="21">
        <v>1260000</v>
      </c>
      <c r="E52" s="21" t="s">
        <v>435</v>
      </c>
      <c r="F52" s="21" t="str">
        <f t="shared" si="0"/>
        <v>rtdc.l.rtdc.4046:itc</v>
      </c>
      <c r="G52" s="8">
        <f t="shared" si="1"/>
        <v>42680.30667824074</v>
      </c>
    </row>
    <row r="53" spans="1:7" x14ac:dyDescent="0.25">
      <c r="A53" s="8">
        <v>42680.308333333334</v>
      </c>
      <c r="B53" s="21" t="s">
        <v>270</v>
      </c>
      <c r="C53" s="21" t="s">
        <v>401</v>
      </c>
      <c r="D53" s="21">
        <v>1310000</v>
      </c>
      <c r="E53" s="21" t="s">
        <v>439</v>
      </c>
      <c r="F53" s="21" t="str">
        <f t="shared" si="0"/>
        <v>rtdc.l.rtdc.4039:itc</v>
      </c>
      <c r="G53" s="8">
        <f t="shared" si="1"/>
        <v>42680.308333333334</v>
      </c>
    </row>
    <row r="54" spans="1:7" x14ac:dyDescent="0.25">
      <c r="A54" s="8">
        <v>42680.315659722219</v>
      </c>
      <c r="B54" s="21" t="s">
        <v>285</v>
      </c>
      <c r="C54" s="21" t="s">
        <v>466</v>
      </c>
      <c r="D54" s="21">
        <v>2100000</v>
      </c>
      <c r="E54" s="21" t="s">
        <v>349</v>
      </c>
      <c r="F54" s="21" t="str">
        <f t="shared" si="0"/>
        <v>rtdc.l.rtdc.4008:itc</v>
      </c>
      <c r="G54" s="8">
        <f t="shared" si="1"/>
        <v>42680.315659722219</v>
      </c>
    </row>
    <row r="55" spans="1:7" x14ac:dyDescent="0.25">
      <c r="A55" s="8">
        <v>42680.317245370374</v>
      </c>
      <c r="B55" s="21" t="s">
        <v>271</v>
      </c>
      <c r="C55" s="21" t="s">
        <v>467</v>
      </c>
      <c r="D55" s="21">
        <v>1110000</v>
      </c>
      <c r="E55" s="21" t="s">
        <v>262</v>
      </c>
      <c r="F55" s="21" t="str">
        <f t="shared" si="0"/>
        <v>rtdc.l.rtdc.4032:itc</v>
      </c>
      <c r="G55" s="8">
        <f t="shared" si="1"/>
        <v>42680.317245370374</v>
      </c>
    </row>
    <row r="56" spans="1:7" x14ac:dyDescent="0.25">
      <c r="A56" s="8">
        <v>42680.319895833331</v>
      </c>
      <c r="B56" s="21" t="s">
        <v>287</v>
      </c>
      <c r="C56" s="21" t="s">
        <v>468</v>
      </c>
      <c r="D56" s="21">
        <v>2010000</v>
      </c>
      <c r="E56" s="21" t="s">
        <v>326</v>
      </c>
      <c r="F56" s="21" t="str">
        <f t="shared" si="0"/>
        <v>rtdc.l.rtdc.4042:itc</v>
      </c>
      <c r="G56" s="8">
        <f t="shared" si="1"/>
        <v>42680.319895833331</v>
      </c>
    </row>
    <row r="57" spans="1:7" x14ac:dyDescent="0.25">
      <c r="A57" s="8">
        <v>42680.322175925925</v>
      </c>
      <c r="B57" s="21" t="s">
        <v>394</v>
      </c>
      <c r="C57" s="21" t="s">
        <v>469</v>
      </c>
      <c r="D57" s="21">
        <v>2030000</v>
      </c>
      <c r="E57" s="21" t="s">
        <v>432</v>
      </c>
      <c r="F57" s="21" t="str">
        <f t="shared" si="0"/>
        <v>rtdc.l.rtdc.4043:itc</v>
      </c>
      <c r="G57" s="8">
        <f t="shared" si="1"/>
        <v>42680.322175925925</v>
      </c>
    </row>
    <row r="58" spans="1:7" x14ac:dyDescent="0.25">
      <c r="A58" s="8">
        <v>42680.32885416667</v>
      </c>
      <c r="B58" s="21" t="s">
        <v>232</v>
      </c>
      <c r="C58" s="21" t="s">
        <v>470</v>
      </c>
      <c r="D58" s="21">
        <v>1990000</v>
      </c>
      <c r="E58" s="21" t="s">
        <v>438</v>
      </c>
      <c r="F58" s="21" t="str">
        <f t="shared" si="0"/>
        <v>rtdc.l.rtdc.4011:itc</v>
      </c>
      <c r="G58" s="8">
        <f t="shared" si="1"/>
        <v>42680.32885416667</v>
      </c>
    </row>
    <row r="59" spans="1:7" x14ac:dyDescent="0.25">
      <c r="A59" s="8">
        <v>42680.338506944441</v>
      </c>
      <c r="B59" s="21" t="s">
        <v>189</v>
      </c>
      <c r="C59" s="21" t="s">
        <v>403</v>
      </c>
      <c r="D59" s="21">
        <v>1830000</v>
      </c>
      <c r="E59" s="21" t="s">
        <v>448</v>
      </c>
      <c r="F59" s="21" t="str">
        <f t="shared" si="0"/>
        <v>rtdc.l.rtdc.4010:itc</v>
      </c>
      <c r="G59" s="8">
        <f t="shared" si="1"/>
        <v>42680.338506944441</v>
      </c>
    </row>
    <row r="60" spans="1:7" x14ac:dyDescent="0.25">
      <c r="A60" s="8">
        <v>42680.340891203705</v>
      </c>
      <c r="B60" s="21" t="s">
        <v>240</v>
      </c>
      <c r="C60" s="21" t="s">
        <v>471</v>
      </c>
      <c r="D60" s="21">
        <v>1310000</v>
      </c>
      <c r="E60" s="21" t="s">
        <v>439</v>
      </c>
      <c r="F60" s="21" t="str">
        <f t="shared" si="0"/>
        <v>rtdc.l.rtdc.4040:itc</v>
      </c>
      <c r="G60" s="8">
        <f t="shared" si="1"/>
        <v>42680.340891203705</v>
      </c>
    </row>
    <row r="61" spans="1:7" x14ac:dyDescent="0.25">
      <c r="A61" s="8">
        <v>42680.343287037038</v>
      </c>
      <c r="B61" s="21" t="s">
        <v>396</v>
      </c>
      <c r="C61" s="21" t="s">
        <v>472</v>
      </c>
      <c r="D61" s="21">
        <v>1260000</v>
      </c>
      <c r="E61" s="21" t="s">
        <v>435</v>
      </c>
      <c r="F61" s="21" t="str">
        <f t="shared" si="0"/>
        <v>rtdc.l.rtdc.4045:itc</v>
      </c>
      <c r="G61" s="8">
        <f t="shared" si="1"/>
        <v>42680.343287037038</v>
      </c>
    </row>
    <row r="62" spans="1:7" x14ac:dyDescent="0.25">
      <c r="A62" s="8">
        <v>42680.347199074073</v>
      </c>
      <c r="B62" s="21" t="s">
        <v>320</v>
      </c>
      <c r="C62" s="21" t="s">
        <v>402</v>
      </c>
      <c r="D62" s="21">
        <v>1110000</v>
      </c>
      <c r="E62" s="21" t="s">
        <v>262</v>
      </c>
      <c r="F62" s="21" t="str">
        <f t="shared" si="0"/>
        <v>rtdc.l.rtdc.4031:itc</v>
      </c>
      <c r="G62" s="8">
        <f t="shared" si="1"/>
        <v>42680.347199074073</v>
      </c>
    </row>
    <row r="63" spans="1:7" x14ac:dyDescent="0.25">
      <c r="A63" s="8">
        <v>42680.34814814815</v>
      </c>
      <c r="B63" s="21" t="s">
        <v>193</v>
      </c>
      <c r="C63" s="21" t="s">
        <v>473</v>
      </c>
      <c r="D63" s="21">
        <v>2100000</v>
      </c>
      <c r="E63" s="21" t="s">
        <v>349</v>
      </c>
      <c r="F63" s="21" t="str">
        <f t="shared" si="0"/>
        <v>rtdc.l.rtdc.4007:itc</v>
      </c>
      <c r="G63" s="8">
        <f t="shared" si="1"/>
        <v>42680.34814814815</v>
      </c>
    </row>
    <row r="64" spans="1:7" x14ac:dyDescent="0.25">
      <c r="A64" s="27">
        <v>42680.354594907411</v>
      </c>
      <c r="B64" s="21" t="s">
        <v>284</v>
      </c>
      <c r="C64" s="21" t="s">
        <v>404</v>
      </c>
      <c r="D64" s="21">
        <v>2010000</v>
      </c>
      <c r="E64" s="21" t="s">
        <v>326</v>
      </c>
      <c r="F64" s="21" t="str">
        <f t="shared" si="0"/>
        <v>rtdc.l.rtdc.4041:itc</v>
      </c>
      <c r="G64" s="8">
        <f t="shared" si="1"/>
        <v>42680.354594907411</v>
      </c>
    </row>
    <row r="65" spans="1:7" x14ac:dyDescent="0.25">
      <c r="A65" s="8">
        <v>42680.359201388892</v>
      </c>
      <c r="B65" s="21" t="s">
        <v>271</v>
      </c>
      <c r="C65" s="21" t="s">
        <v>474</v>
      </c>
      <c r="D65" s="21">
        <v>1110000</v>
      </c>
      <c r="E65" s="21" t="s">
        <v>262</v>
      </c>
      <c r="F65" s="21" t="str">
        <f t="shared" si="0"/>
        <v>rtdc.l.rtdc.4032:itc</v>
      </c>
      <c r="G65" s="8">
        <f t="shared" si="1"/>
        <v>42680.359201388892</v>
      </c>
    </row>
    <row r="66" spans="1:7" x14ac:dyDescent="0.25">
      <c r="A66" s="8">
        <v>42680.360706018517</v>
      </c>
      <c r="B66" s="21" t="s">
        <v>192</v>
      </c>
      <c r="C66" s="21" t="s">
        <v>475</v>
      </c>
      <c r="D66" s="21">
        <v>2030000</v>
      </c>
      <c r="E66" s="21" t="s">
        <v>432</v>
      </c>
      <c r="F66" s="21" t="str">
        <f t="shared" ref="F66:F129" si="2">B66</f>
        <v>rtdc.l.rtdc.4044:itc</v>
      </c>
      <c r="G66" s="8">
        <f t="shared" ref="G66:G129" si="3">A66</f>
        <v>42680.360706018517</v>
      </c>
    </row>
    <row r="67" spans="1:7" x14ac:dyDescent="0.25">
      <c r="A67" s="8">
        <v>42680.370046296295</v>
      </c>
      <c r="B67" s="21" t="s">
        <v>345</v>
      </c>
      <c r="C67" s="21" t="s">
        <v>476</v>
      </c>
      <c r="D67" s="21">
        <v>1990000</v>
      </c>
      <c r="E67" s="21" t="s">
        <v>438</v>
      </c>
      <c r="F67" s="21" t="str">
        <f t="shared" si="2"/>
        <v>rtdc.l.rtdc.4012:itc</v>
      </c>
      <c r="G67" s="8">
        <f t="shared" si="3"/>
        <v>42680.370046296295</v>
      </c>
    </row>
    <row r="68" spans="1:7" x14ac:dyDescent="0.25">
      <c r="A68" s="8">
        <v>42680.375173611108</v>
      </c>
      <c r="B68" s="21" t="s">
        <v>190</v>
      </c>
      <c r="C68" s="21" t="s">
        <v>477</v>
      </c>
      <c r="D68" s="21">
        <v>1830000</v>
      </c>
      <c r="E68" s="21" t="s">
        <v>448</v>
      </c>
      <c r="F68" s="21" t="str">
        <f t="shared" si="2"/>
        <v>rtdc.l.rtdc.4009:itc</v>
      </c>
      <c r="G68" s="8">
        <f t="shared" si="3"/>
        <v>42680.375173611108</v>
      </c>
    </row>
    <row r="69" spans="1:7" x14ac:dyDescent="0.25">
      <c r="A69" s="8">
        <v>42680.379780092589</v>
      </c>
      <c r="B69" s="21" t="s">
        <v>399</v>
      </c>
      <c r="C69" s="21" t="s">
        <v>478</v>
      </c>
      <c r="D69" s="21">
        <v>1260000</v>
      </c>
      <c r="E69" s="21" t="s">
        <v>435</v>
      </c>
      <c r="F69" s="21" t="str">
        <f t="shared" si="2"/>
        <v>rtdc.l.rtdc.4046:itc</v>
      </c>
      <c r="G69" s="8">
        <f t="shared" si="3"/>
        <v>42680.379780092589</v>
      </c>
    </row>
    <row r="70" spans="1:7" x14ac:dyDescent="0.25">
      <c r="A70" s="8">
        <v>42680.381307870368</v>
      </c>
      <c r="B70" s="21" t="s">
        <v>270</v>
      </c>
      <c r="C70" s="21" t="s">
        <v>479</v>
      </c>
      <c r="D70" s="21">
        <v>1310000</v>
      </c>
      <c r="E70" s="21" t="s">
        <v>439</v>
      </c>
      <c r="F70" s="21" t="str">
        <f t="shared" si="2"/>
        <v>rtdc.l.rtdc.4039:itc</v>
      </c>
      <c r="G70" s="8">
        <f t="shared" si="3"/>
        <v>42680.381307870368</v>
      </c>
    </row>
    <row r="71" spans="1:7" x14ac:dyDescent="0.25">
      <c r="A71" s="8">
        <v>42680.387048611112</v>
      </c>
      <c r="B71" s="21" t="s">
        <v>285</v>
      </c>
      <c r="C71" s="21" t="s">
        <v>480</v>
      </c>
      <c r="D71" s="21">
        <v>2100000</v>
      </c>
      <c r="E71" s="21" t="s">
        <v>349</v>
      </c>
      <c r="F71" s="21" t="str">
        <f t="shared" si="2"/>
        <v>rtdc.l.rtdc.4008:itc</v>
      </c>
      <c r="G71" s="8">
        <f t="shared" si="3"/>
        <v>42680.387048611112</v>
      </c>
    </row>
    <row r="72" spans="1:7" x14ac:dyDescent="0.25">
      <c r="A72" s="8">
        <v>42680.388749999998</v>
      </c>
      <c r="B72" s="21" t="s">
        <v>320</v>
      </c>
      <c r="C72" s="21" t="s">
        <v>481</v>
      </c>
      <c r="D72" s="21">
        <v>1110000</v>
      </c>
      <c r="E72" s="21" t="s">
        <v>262</v>
      </c>
      <c r="F72" s="21" t="str">
        <f t="shared" si="2"/>
        <v>rtdc.l.rtdc.4031:itc</v>
      </c>
      <c r="G72" s="8">
        <f t="shared" si="3"/>
        <v>42680.388749999998</v>
      </c>
    </row>
    <row r="73" spans="1:7" x14ac:dyDescent="0.25">
      <c r="A73" s="8">
        <v>42680.389305555553</v>
      </c>
      <c r="B73" s="21" t="s">
        <v>320</v>
      </c>
      <c r="C73" s="21" t="s">
        <v>482</v>
      </c>
      <c r="D73" s="21">
        <v>1110000</v>
      </c>
      <c r="E73" s="21" t="s">
        <v>262</v>
      </c>
      <c r="F73" s="21" t="str">
        <f t="shared" si="2"/>
        <v>rtdc.l.rtdc.4031:itc</v>
      </c>
      <c r="G73" s="8">
        <f t="shared" si="3"/>
        <v>42680.389305555553</v>
      </c>
    </row>
    <row r="74" spans="1:7" x14ac:dyDescent="0.25">
      <c r="A74" s="8">
        <v>42680.390740740739</v>
      </c>
      <c r="B74" s="21" t="s">
        <v>287</v>
      </c>
      <c r="C74" s="21" t="s">
        <v>483</v>
      </c>
      <c r="D74" s="21">
        <v>2010000</v>
      </c>
      <c r="E74" s="21" t="s">
        <v>326</v>
      </c>
      <c r="F74" s="21" t="str">
        <f t="shared" si="2"/>
        <v>rtdc.l.rtdc.4042:itc</v>
      </c>
      <c r="G74" s="8">
        <f t="shared" si="3"/>
        <v>42680.390740740739</v>
      </c>
    </row>
    <row r="75" spans="1:7" x14ac:dyDescent="0.25">
      <c r="A75" s="8">
        <v>42680.395057870373</v>
      </c>
      <c r="B75" s="21" t="s">
        <v>394</v>
      </c>
      <c r="C75" s="21" t="s">
        <v>484</v>
      </c>
      <c r="D75" s="21">
        <v>2030000</v>
      </c>
      <c r="E75" s="21" t="s">
        <v>432</v>
      </c>
      <c r="F75" s="21" t="str">
        <f t="shared" si="2"/>
        <v>rtdc.l.rtdc.4043:itc</v>
      </c>
      <c r="G75" s="8">
        <f t="shared" si="3"/>
        <v>42680.395057870373</v>
      </c>
    </row>
    <row r="76" spans="1:7" x14ac:dyDescent="0.25">
      <c r="A76" s="8">
        <v>42680.400729166664</v>
      </c>
      <c r="B76" s="21" t="s">
        <v>189</v>
      </c>
      <c r="C76" s="21" t="s">
        <v>485</v>
      </c>
      <c r="D76" s="21">
        <v>1830000</v>
      </c>
      <c r="E76" s="21" t="s">
        <v>448</v>
      </c>
      <c r="F76" s="21" t="str">
        <f t="shared" si="2"/>
        <v>rtdc.l.rtdc.4010:itc</v>
      </c>
      <c r="G76" s="8">
        <f t="shared" si="3"/>
        <v>42680.400729166664</v>
      </c>
    </row>
    <row r="77" spans="1:7" x14ac:dyDescent="0.25">
      <c r="A77" s="8">
        <v>42680.401006944441</v>
      </c>
      <c r="B77" s="21" t="s">
        <v>271</v>
      </c>
      <c r="C77" s="21" t="s">
        <v>481</v>
      </c>
      <c r="D77" s="21">
        <v>1110000</v>
      </c>
      <c r="E77" s="21" t="s">
        <v>262</v>
      </c>
      <c r="F77" s="21" t="str">
        <f t="shared" si="2"/>
        <v>rtdc.l.rtdc.4032:itc</v>
      </c>
      <c r="G77" s="8">
        <f t="shared" si="3"/>
        <v>42680.401006944441</v>
      </c>
    </row>
    <row r="78" spans="1:7" x14ac:dyDescent="0.25">
      <c r="A78" s="8">
        <v>42680.402442129627</v>
      </c>
      <c r="B78" s="21" t="s">
        <v>232</v>
      </c>
      <c r="C78" s="21" t="s">
        <v>486</v>
      </c>
      <c r="D78" s="21">
        <v>1990000</v>
      </c>
      <c r="E78" s="21" t="s">
        <v>438</v>
      </c>
      <c r="F78" s="21" t="str">
        <f t="shared" si="2"/>
        <v>rtdc.l.rtdc.4011:itc</v>
      </c>
      <c r="G78" s="8">
        <f t="shared" si="3"/>
        <v>42680.402442129627</v>
      </c>
    </row>
    <row r="79" spans="1:7" x14ac:dyDescent="0.25">
      <c r="A79" s="8">
        <v>42680.415902777779</v>
      </c>
      <c r="B79" s="21" t="s">
        <v>240</v>
      </c>
      <c r="C79" s="21" t="s">
        <v>487</v>
      </c>
      <c r="D79" s="21">
        <v>1310000</v>
      </c>
      <c r="E79" s="21" t="s">
        <v>439</v>
      </c>
      <c r="F79" s="21" t="str">
        <f t="shared" si="2"/>
        <v>rtdc.l.rtdc.4040:itc</v>
      </c>
      <c r="G79" s="8">
        <f t="shared" si="3"/>
        <v>42680.415902777779</v>
      </c>
    </row>
    <row r="80" spans="1:7" x14ac:dyDescent="0.25">
      <c r="A80" s="8">
        <v>42680.419363425928</v>
      </c>
      <c r="B80" s="21" t="s">
        <v>396</v>
      </c>
      <c r="C80" s="21" t="s">
        <v>405</v>
      </c>
      <c r="D80" s="21">
        <v>1260000</v>
      </c>
      <c r="E80" s="21" t="s">
        <v>435</v>
      </c>
      <c r="F80" s="21" t="str">
        <f t="shared" si="2"/>
        <v>rtdc.l.rtdc.4045:itc</v>
      </c>
      <c r="G80" s="8">
        <f t="shared" si="3"/>
        <v>42680.419363425928</v>
      </c>
    </row>
    <row r="81" spans="1:7" x14ac:dyDescent="0.25">
      <c r="A81" s="8">
        <v>42680.420972222222</v>
      </c>
      <c r="B81" s="21" t="s">
        <v>193</v>
      </c>
      <c r="C81" s="21" t="s">
        <v>488</v>
      </c>
      <c r="D81" s="21">
        <v>2100000</v>
      </c>
      <c r="E81" s="21" t="s">
        <v>349</v>
      </c>
      <c r="F81" s="21" t="str">
        <f t="shared" si="2"/>
        <v>rtdc.l.rtdc.4007:itc</v>
      </c>
      <c r="G81" s="8">
        <f t="shared" si="3"/>
        <v>42680.420972222222</v>
      </c>
    </row>
    <row r="82" spans="1:7" x14ac:dyDescent="0.25">
      <c r="A82" s="8">
        <v>42680.428113425929</v>
      </c>
      <c r="B82" s="21" t="s">
        <v>284</v>
      </c>
      <c r="C82" s="21" t="s">
        <v>489</v>
      </c>
      <c r="D82" s="21">
        <v>2010000</v>
      </c>
      <c r="E82" s="21" t="s">
        <v>326</v>
      </c>
      <c r="F82" s="21" t="str">
        <f t="shared" si="2"/>
        <v>rtdc.l.rtdc.4041:itc</v>
      </c>
      <c r="G82" s="8">
        <f t="shared" si="3"/>
        <v>42680.428113425929</v>
      </c>
    </row>
    <row r="83" spans="1:7" x14ac:dyDescent="0.25">
      <c r="A83" s="8">
        <v>42680.428425925929</v>
      </c>
      <c r="B83" s="21" t="s">
        <v>320</v>
      </c>
      <c r="C83" s="21" t="s">
        <v>490</v>
      </c>
      <c r="D83" s="21">
        <v>1110000</v>
      </c>
      <c r="E83" s="21" t="s">
        <v>262</v>
      </c>
      <c r="F83" s="21" t="str">
        <f t="shared" si="2"/>
        <v>rtdc.l.rtdc.4031:itc</v>
      </c>
      <c r="G83" s="8">
        <f t="shared" si="3"/>
        <v>42680.428425925929</v>
      </c>
    </row>
    <row r="84" spans="1:7" x14ac:dyDescent="0.25">
      <c r="A84" s="8">
        <v>42680.431932870371</v>
      </c>
      <c r="B84" s="21" t="s">
        <v>192</v>
      </c>
      <c r="C84" s="21" t="s">
        <v>491</v>
      </c>
      <c r="D84" s="21">
        <v>930000</v>
      </c>
      <c r="E84" s="21" t="s">
        <v>492</v>
      </c>
      <c r="F84" s="21" t="str">
        <f t="shared" si="2"/>
        <v>rtdc.l.rtdc.4044:itc</v>
      </c>
      <c r="G84" s="8">
        <f t="shared" si="3"/>
        <v>42680.431932870371</v>
      </c>
    </row>
    <row r="85" spans="1:7" x14ac:dyDescent="0.25">
      <c r="A85" s="8">
        <v>42680.440104166664</v>
      </c>
      <c r="B85" s="21" t="s">
        <v>345</v>
      </c>
      <c r="C85" s="21" t="s">
        <v>493</v>
      </c>
      <c r="D85" s="21">
        <v>1990000</v>
      </c>
      <c r="E85" s="21" t="s">
        <v>438</v>
      </c>
      <c r="F85" s="21" t="str">
        <f t="shared" si="2"/>
        <v>rtdc.l.rtdc.4012:itc</v>
      </c>
      <c r="G85" s="8">
        <f t="shared" si="3"/>
        <v>42680.440104166664</v>
      </c>
    </row>
    <row r="86" spans="1:7" x14ac:dyDescent="0.25">
      <c r="A86" s="8">
        <v>42680.441064814811</v>
      </c>
      <c r="B86" s="21" t="s">
        <v>190</v>
      </c>
      <c r="C86" s="21" t="s">
        <v>494</v>
      </c>
      <c r="D86" s="21">
        <v>1830000</v>
      </c>
      <c r="E86" s="21" t="s">
        <v>448</v>
      </c>
      <c r="F86" s="21" t="str">
        <f t="shared" si="2"/>
        <v>rtdc.l.rtdc.4009:itc</v>
      </c>
      <c r="G86" s="8">
        <f t="shared" si="3"/>
        <v>42680.441064814811</v>
      </c>
    </row>
    <row r="87" spans="1:7" x14ac:dyDescent="0.25">
      <c r="A87" s="8">
        <v>42680.442743055559</v>
      </c>
      <c r="B87" s="21" t="s">
        <v>271</v>
      </c>
      <c r="C87" s="21" t="s">
        <v>495</v>
      </c>
      <c r="D87" s="21">
        <v>1110000</v>
      </c>
      <c r="E87" s="21" t="s">
        <v>262</v>
      </c>
      <c r="F87" s="21" t="str">
        <f t="shared" si="2"/>
        <v>rtdc.l.rtdc.4032:itc</v>
      </c>
      <c r="G87" s="8">
        <f t="shared" si="3"/>
        <v>42680.442743055559</v>
      </c>
    </row>
    <row r="88" spans="1:7" x14ac:dyDescent="0.25">
      <c r="A88" s="8">
        <v>42680.449178240742</v>
      </c>
      <c r="B88" s="21" t="s">
        <v>190</v>
      </c>
      <c r="C88" s="21" t="s">
        <v>494</v>
      </c>
      <c r="D88" s="21">
        <v>1830000</v>
      </c>
      <c r="E88" s="21" t="s">
        <v>448</v>
      </c>
      <c r="F88" s="21" t="str">
        <f t="shared" si="2"/>
        <v>rtdc.l.rtdc.4009:itc</v>
      </c>
      <c r="G88" s="8">
        <f t="shared" si="3"/>
        <v>42680.449178240742</v>
      </c>
    </row>
    <row r="89" spans="1:7" x14ac:dyDescent="0.25">
      <c r="A89" s="8">
        <v>42680.453761574077</v>
      </c>
      <c r="B89" s="21" t="s">
        <v>399</v>
      </c>
      <c r="C89" s="21" t="s">
        <v>496</v>
      </c>
      <c r="D89" s="21">
        <v>880000</v>
      </c>
      <c r="E89" s="21" t="s">
        <v>497</v>
      </c>
      <c r="F89" s="21" t="str">
        <f t="shared" si="2"/>
        <v>rtdc.l.rtdc.4046:itc</v>
      </c>
      <c r="G89" s="8">
        <f t="shared" si="3"/>
        <v>42680.453761574077</v>
      </c>
    </row>
    <row r="90" spans="1:7" x14ac:dyDescent="0.25">
      <c r="A90" s="8">
        <v>42680.454351851855</v>
      </c>
      <c r="B90" s="21" t="s">
        <v>270</v>
      </c>
      <c r="C90" s="21" t="s">
        <v>406</v>
      </c>
      <c r="D90" s="21">
        <v>1310000</v>
      </c>
      <c r="E90" s="21" t="s">
        <v>439</v>
      </c>
      <c r="F90" s="21" t="str">
        <f t="shared" si="2"/>
        <v>rtdc.l.rtdc.4039:itc</v>
      </c>
      <c r="G90" s="8">
        <f t="shared" si="3"/>
        <v>42680.454351851855</v>
      </c>
    </row>
    <row r="91" spans="1:7" x14ac:dyDescent="0.25">
      <c r="A91" s="8">
        <v>42680.460347222222</v>
      </c>
      <c r="B91" s="21" t="s">
        <v>285</v>
      </c>
      <c r="C91" s="21" t="s">
        <v>498</v>
      </c>
      <c r="D91" s="21">
        <v>2100000</v>
      </c>
      <c r="E91" s="21" t="s">
        <v>349</v>
      </c>
      <c r="F91" s="21" t="str">
        <f t="shared" si="2"/>
        <v>rtdc.l.rtdc.4008:itc</v>
      </c>
      <c r="G91" s="8">
        <f t="shared" si="3"/>
        <v>42680.460347222222</v>
      </c>
    </row>
    <row r="92" spans="1:7" x14ac:dyDescent="0.25">
      <c r="A92" s="8">
        <v>42680.462604166663</v>
      </c>
      <c r="B92" s="21" t="s">
        <v>287</v>
      </c>
      <c r="C92" s="21" t="s">
        <v>499</v>
      </c>
      <c r="D92" s="21">
        <v>1280000</v>
      </c>
      <c r="E92" s="21" t="s">
        <v>500</v>
      </c>
      <c r="F92" s="21" t="str">
        <f t="shared" si="2"/>
        <v>rtdc.l.rtdc.4042:itc</v>
      </c>
      <c r="G92" s="8">
        <f t="shared" si="3"/>
        <v>42680.462604166663</v>
      </c>
    </row>
    <row r="93" spans="1:7" x14ac:dyDescent="0.25">
      <c r="A93" s="8">
        <v>42680.469953703701</v>
      </c>
      <c r="B93" s="21" t="s">
        <v>320</v>
      </c>
      <c r="C93" s="21" t="s">
        <v>501</v>
      </c>
      <c r="D93" s="21">
        <v>1110000</v>
      </c>
      <c r="E93" s="21" t="s">
        <v>262</v>
      </c>
      <c r="F93" s="21" t="str">
        <f t="shared" si="2"/>
        <v>rtdc.l.rtdc.4031:itc</v>
      </c>
      <c r="G93" s="8">
        <f t="shared" si="3"/>
        <v>42680.469953703701</v>
      </c>
    </row>
    <row r="94" spans="1:7" x14ac:dyDescent="0.25">
      <c r="A94" s="8">
        <v>42680.471828703703</v>
      </c>
      <c r="B94" s="21" t="s">
        <v>394</v>
      </c>
      <c r="C94" s="21" t="s">
        <v>502</v>
      </c>
      <c r="D94" s="21">
        <v>930000</v>
      </c>
      <c r="E94" s="21" t="s">
        <v>492</v>
      </c>
      <c r="F94" s="21" t="str">
        <f t="shared" si="2"/>
        <v>rtdc.l.rtdc.4043:itc</v>
      </c>
      <c r="G94" s="8">
        <f t="shared" si="3"/>
        <v>42680.471828703703</v>
      </c>
    </row>
    <row r="95" spans="1:7" x14ac:dyDescent="0.25">
      <c r="A95" s="8">
        <v>42680.474259259259</v>
      </c>
      <c r="B95" s="21" t="s">
        <v>189</v>
      </c>
      <c r="C95" s="21" t="s">
        <v>503</v>
      </c>
      <c r="D95" s="21">
        <v>1830000</v>
      </c>
      <c r="E95" s="21" t="s">
        <v>448</v>
      </c>
      <c r="F95" s="21" t="str">
        <f t="shared" si="2"/>
        <v>rtdc.l.rtdc.4010:itc</v>
      </c>
      <c r="G95" s="8">
        <f t="shared" si="3"/>
        <v>42680.474259259259</v>
      </c>
    </row>
    <row r="96" spans="1:7" x14ac:dyDescent="0.25">
      <c r="A96" s="8">
        <v>42680.474942129629</v>
      </c>
      <c r="B96" s="21" t="s">
        <v>189</v>
      </c>
      <c r="C96" s="21" t="s">
        <v>503</v>
      </c>
      <c r="D96" s="21">
        <v>1830000</v>
      </c>
      <c r="E96" s="21" t="s">
        <v>448</v>
      </c>
      <c r="F96" s="21" t="str">
        <f t="shared" si="2"/>
        <v>rtdc.l.rtdc.4010:itc</v>
      </c>
      <c r="G96" s="8">
        <f t="shared" si="3"/>
        <v>42680.474942129629</v>
      </c>
    </row>
    <row r="97" spans="1:7" x14ac:dyDescent="0.25">
      <c r="A97" s="8">
        <v>42680.476423611108</v>
      </c>
      <c r="B97" s="21" t="s">
        <v>232</v>
      </c>
      <c r="C97" s="21" t="s">
        <v>504</v>
      </c>
      <c r="D97" s="21">
        <v>1770000</v>
      </c>
      <c r="E97" s="21" t="s">
        <v>505</v>
      </c>
      <c r="F97" s="21" t="str">
        <f t="shared" si="2"/>
        <v>rtdc.l.rtdc.4011:itc</v>
      </c>
      <c r="G97" s="8">
        <f t="shared" si="3"/>
        <v>42680.476423611108</v>
      </c>
    </row>
    <row r="98" spans="1:7" x14ac:dyDescent="0.25">
      <c r="A98" s="8">
        <v>42680.483993055554</v>
      </c>
      <c r="B98" s="21" t="s">
        <v>271</v>
      </c>
      <c r="C98" s="21" t="s">
        <v>506</v>
      </c>
      <c r="D98" s="21">
        <v>1110000</v>
      </c>
      <c r="E98" s="21" t="s">
        <v>262</v>
      </c>
      <c r="F98" s="21" t="str">
        <f t="shared" si="2"/>
        <v>rtdc.l.rtdc.4032:itc</v>
      </c>
      <c r="G98" s="8">
        <f t="shared" si="3"/>
        <v>42680.483993055554</v>
      </c>
    </row>
    <row r="99" spans="1:7" x14ac:dyDescent="0.25">
      <c r="A99" s="8">
        <v>42680.485682870371</v>
      </c>
      <c r="B99" s="21" t="s">
        <v>240</v>
      </c>
      <c r="C99" s="21" t="s">
        <v>507</v>
      </c>
      <c r="D99" s="21">
        <v>2280000</v>
      </c>
      <c r="E99" s="21" t="s">
        <v>508</v>
      </c>
      <c r="F99" s="21" t="str">
        <f t="shared" si="2"/>
        <v>rtdc.l.rtdc.4040:itc</v>
      </c>
      <c r="G99" s="8">
        <f t="shared" si="3"/>
        <v>42680.485682870371</v>
      </c>
    </row>
    <row r="100" spans="1:7" x14ac:dyDescent="0.25">
      <c r="A100" s="8">
        <v>42680.495509259257</v>
      </c>
      <c r="B100" s="21" t="s">
        <v>396</v>
      </c>
      <c r="C100" s="21" t="s">
        <v>509</v>
      </c>
      <c r="D100" s="21">
        <v>880000</v>
      </c>
      <c r="E100" s="21" t="s">
        <v>497</v>
      </c>
      <c r="F100" s="21" t="str">
        <f t="shared" si="2"/>
        <v>rtdc.l.rtdc.4045:itc</v>
      </c>
      <c r="G100" s="8">
        <f t="shared" si="3"/>
        <v>42680.495509259257</v>
      </c>
    </row>
    <row r="101" spans="1:7" x14ac:dyDescent="0.25">
      <c r="A101" s="8">
        <v>42680.496030092596</v>
      </c>
      <c r="B101" s="21" t="s">
        <v>193</v>
      </c>
      <c r="C101" s="21" t="s">
        <v>510</v>
      </c>
      <c r="D101" s="21">
        <v>1140000</v>
      </c>
      <c r="E101" s="21" t="s">
        <v>511</v>
      </c>
      <c r="F101" s="21" t="str">
        <f t="shared" si="2"/>
        <v>rtdc.l.rtdc.4007:itc</v>
      </c>
      <c r="G101" s="8">
        <f t="shared" si="3"/>
        <v>42680.496030092596</v>
      </c>
    </row>
    <row r="102" spans="1:7" x14ac:dyDescent="0.25">
      <c r="A102" s="8">
        <v>42680.497129629628</v>
      </c>
      <c r="B102" s="21" t="s">
        <v>284</v>
      </c>
      <c r="C102" s="21" t="s">
        <v>512</v>
      </c>
      <c r="D102" s="21">
        <v>1280000</v>
      </c>
      <c r="E102" s="21" t="s">
        <v>500</v>
      </c>
      <c r="F102" s="21" t="str">
        <f t="shared" si="2"/>
        <v>rtdc.l.rtdc.4041:itc</v>
      </c>
      <c r="G102" s="8">
        <f t="shared" si="3"/>
        <v>42680.497129629628</v>
      </c>
    </row>
    <row r="103" spans="1:7" x14ac:dyDescent="0.25">
      <c r="A103" s="8">
        <v>42680.506458333337</v>
      </c>
      <c r="B103" s="21" t="s">
        <v>192</v>
      </c>
      <c r="C103" s="21" t="s">
        <v>407</v>
      </c>
      <c r="D103" s="21">
        <v>930000</v>
      </c>
      <c r="E103" s="21" t="s">
        <v>492</v>
      </c>
      <c r="F103" s="21" t="str">
        <f t="shared" si="2"/>
        <v>rtdc.l.rtdc.4044:itc</v>
      </c>
      <c r="G103" s="8">
        <f t="shared" si="3"/>
        <v>42680.506458333337</v>
      </c>
    </row>
    <row r="104" spans="1:7" x14ac:dyDescent="0.25">
      <c r="A104" s="8">
        <v>42680.51153935185</v>
      </c>
      <c r="B104" s="21" t="s">
        <v>345</v>
      </c>
      <c r="C104" s="21" t="s">
        <v>513</v>
      </c>
      <c r="D104" s="21">
        <v>1770000</v>
      </c>
      <c r="E104" s="21" t="s">
        <v>505</v>
      </c>
      <c r="F104" s="21" t="str">
        <f t="shared" si="2"/>
        <v>rtdc.l.rtdc.4012:itc</v>
      </c>
      <c r="G104" s="8">
        <f t="shared" si="3"/>
        <v>42680.51153935185</v>
      </c>
    </row>
    <row r="105" spans="1:7" x14ac:dyDescent="0.25">
      <c r="A105" s="8">
        <v>42680.511643518519</v>
      </c>
      <c r="B105" s="21" t="s">
        <v>320</v>
      </c>
      <c r="C105" s="21" t="s">
        <v>514</v>
      </c>
      <c r="D105" s="21">
        <v>1110000</v>
      </c>
      <c r="E105" s="21" t="s">
        <v>262</v>
      </c>
      <c r="F105" s="21" t="str">
        <f t="shared" si="2"/>
        <v>rtdc.l.rtdc.4031:itc</v>
      </c>
      <c r="G105" s="8">
        <f t="shared" si="3"/>
        <v>42680.511643518519</v>
      </c>
    </row>
    <row r="106" spans="1:7" x14ac:dyDescent="0.25">
      <c r="A106" s="8">
        <v>42680.515393518515</v>
      </c>
      <c r="B106" s="21" t="s">
        <v>190</v>
      </c>
      <c r="C106" s="21" t="s">
        <v>515</v>
      </c>
      <c r="D106" s="21">
        <v>2020000</v>
      </c>
      <c r="E106" s="21" t="s">
        <v>350</v>
      </c>
      <c r="F106" s="21" t="str">
        <f t="shared" si="2"/>
        <v>rtdc.l.rtdc.4009:itc</v>
      </c>
      <c r="G106" s="8">
        <f t="shared" si="3"/>
        <v>42680.515393518515</v>
      </c>
    </row>
    <row r="107" spans="1:7" x14ac:dyDescent="0.25">
      <c r="A107" s="8">
        <v>42680.523506944446</v>
      </c>
      <c r="B107" s="21" t="s">
        <v>270</v>
      </c>
      <c r="C107" s="21" t="s">
        <v>408</v>
      </c>
      <c r="D107" s="21">
        <v>2280000</v>
      </c>
      <c r="E107" s="21" t="s">
        <v>508</v>
      </c>
      <c r="F107" s="21" t="str">
        <f t="shared" si="2"/>
        <v>rtdc.l.rtdc.4039:itc</v>
      </c>
      <c r="G107" s="8">
        <f t="shared" si="3"/>
        <v>42680.523506944446</v>
      </c>
    </row>
    <row r="108" spans="1:7" x14ac:dyDescent="0.25">
      <c r="A108" s="8">
        <v>42680.52553240741</v>
      </c>
      <c r="B108" s="21" t="s">
        <v>271</v>
      </c>
      <c r="C108" s="21" t="s">
        <v>516</v>
      </c>
      <c r="D108" s="21">
        <v>1110000</v>
      </c>
      <c r="E108" s="21" t="s">
        <v>262</v>
      </c>
      <c r="F108" s="21" t="str">
        <f t="shared" si="2"/>
        <v>rtdc.l.rtdc.4032:itc</v>
      </c>
      <c r="G108" s="8">
        <f t="shared" si="3"/>
        <v>42680.52553240741</v>
      </c>
    </row>
    <row r="109" spans="1:7" x14ac:dyDescent="0.25">
      <c r="A109" s="8">
        <v>42680.527083333334</v>
      </c>
      <c r="B109" s="21" t="s">
        <v>399</v>
      </c>
      <c r="C109" s="21" t="s">
        <v>517</v>
      </c>
      <c r="D109" s="21">
        <v>880000</v>
      </c>
      <c r="E109" s="21" t="s">
        <v>497</v>
      </c>
      <c r="F109" s="21" t="str">
        <f t="shared" si="2"/>
        <v>rtdc.l.rtdc.4046:itc</v>
      </c>
      <c r="G109" s="8">
        <f t="shared" si="3"/>
        <v>42680.527083333334</v>
      </c>
    </row>
    <row r="110" spans="1:7" x14ac:dyDescent="0.25">
      <c r="A110" s="8">
        <v>42680.532106481478</v>
      </c>
      <c r="B110" s="21" t="s">
        <v>285</v>
      </c>
      <c r="C110" s="21" t="s">
        <v>518</v>
      </c>
      <c r="D110" s="21">
        <v>1140000</v>
      </c>
      <c r="E110" s="21" t="s">
        <v>511</v>
      </c>
      <c r="F110" s="21" t="str">
        <f t="shared" si="2"/>
        <v>rtdc.l.rtdc.4008:itc</v>
      </c>
      <c r="G110" s="8">
        <f t="shared" si="3"/>
        <v>42680.532106481478</v>
      </c>
    </row>
    <row r="111" spans="1:7" x14ac:dyDescent="0.25">
      <c r="A111" s="8">
        <v>42680.538043981483</v>
      </c>
      <c r="B111" s="21" t="s">
        <v>287</v>
      </c>
      <c r="C111" s="21" t="s">
        <v>519</v>
      </c>
      <c r="D111" s="21">
        <v>1280000</v>
      </c>
      <c r="E111" s="21" t="s">
        <v>500</v>
      </c>
      <c r="F111" s="21" t="str">
        <f t="shared" si="2"/>
        <v>rtdc.l.rtdc.4042:itc</v>
      </c>
      <c r="G111" s="8">
        <f t="shared" si="3"/>
        <v>42680.538043981483</v>
      </c>
    </row>
    <row r="112" spans="1:7" x14ac:dyDescent="0.25">
      <c r="A112" s="8">
        <v>42680.545405092591</v>
      </c>
      <c r="B112" s="21" t="s">
        <v>394</v>
      </c>
      <c r="C112" s="21" t="s">
        <v>520</v>
      </c>
      <c r="D112" s="21">
        <v>930000</v>
      </c>
      <c r="E112" s="21" t="s">
        <v>492</v>
      </c>
      <c r="F112" s="21" t="str">
        <f t="shared" si="2"/>
        <v>rtdc.l.rtdc.4043:itc</v>
      </c>
      <c r="G112" s="8">
        <f t="shared" si="3"/>
        <v>42680.545405092591</v>
      </c>
    </row>
    <row r="113" spans="1:7" x14ac:dyDescent="0.25">
      <c r="A113" s="8">
        <v>42680.546516203707</v>
      </c>
      <c r="B113" s="21" t="s">
        <v>232</v>
      </c>
      <c r="C113" s="21" t="s">
        <v>521</v>
      </c>
      <c r="D113" s="21">
        <v>1770000</v>
      </c>
      <c r="E113" s="21" t="s">
        <v>505</v>
      </c>
      <c r="F113" s="21" t="str">
        <f t="shared" si="2"/>
        <v>rtdc.l.rtdc.4011:itc</v>
      </c>
      <c r="G113" s="8">
        <f t="shared" si="3"/>
        <v>42680.546516203707</v>
      </c>
    </row>
    <row r="114" spans="1:7" x14ac:dyDescent="0.25">
      <c r="A114" s="8">
        <v>42680.552407407406</v>
      </c>
      <c r="B114" s="21" t="s">
        <v>320</v>
      </c>
      <c r="C114" s="21" t="s">
        <v>409</v>
      </c>
      <c r="D114" s="21">
        <v>1110000</v>
      </c>
      <c r="E114" s="21" t="s">
        <v>262</v>
      </c>
      <c r="F114" s="21" t="str">
        <f t="shared" si="2"/>
        <v>rtdc.l.rtdc.4031:itc</v>
      </c>
      <c r="G114" s="8">
        <f t="shared" si="3"/>
        <v>42680.552407407406</v>
      </c>
    </row>
    <row r="115" spans="1:7" x14ac:dyDescent="0.25">
      <c r="A115" s="8">
        <v>42680.555324074077</v>
      </c>
      <c r="B115" s="21" t="s">
        <v>189</v>
      </c>
      <c r="C115" s="21" t="s">
        <v>522</v>
      </c>
      <c r="D115" s="21">
        <v>2020000</v>
      </c>
      <c r="E115" s="21" t="s">
        <v>350</v>
      </c>
      <c r="F115" s="21" t="str">
        <f t="shared" si="2"/>
        <v>rtdc.l.rtdc.4010:itc</v>
      </c>
      <c r="G115" s="8">
        <f t="shared" si="3"/>
        <v>42680.555324074077</v>
      </c>
    </row>
    <row r="116" spans="1:7" x14ac:dyDescent="0.25">
      <c r="A116" s="8">
        <v>42680.558229166665</v>
      </c>
      <c r="B116" s="21" t="s">
        <v>240</v>
      </c>
      <c r="C116" s="21" t="s">
        <v>523</v>
      </c>
      <c r="D116" s="21">
        <v>2280000</v>
      </c>
      <c r="E116" s="21" t="s">
        <v>508</v>
      </c>
      <c r="F116" s="21" t="str">
        <f t="shared" si="2"/>
        <v>rtdc.l.rtdc.4040:itc</v>
      </c>
      <c r="G116" s="8">
        <f t="shared" si="3"/>
        <v>42680.558229166665</v>
      </c>
    </row>
    <row r="117" spans="1:7" x14ac:dyDescent="0.25">
      <c r="A117" s="8">
        <v>42680.565393518518</v>
      </c>
      <c r="B117" s="21" t="s">
        <v>396</v>
      </c>
      <c r="C117" s="21" t="s">
        <v>524</v>
      </c>
      <c r="D117" s="21">
        <v>880000</v>
      </c>
      <c r="E117" s="21" t="s">
        <v>497</v>
      </c>
      <c r="F117" s="21" t="str">
        <f t="shared" si="2"/>
        <v>rtdc.l.rtdc.4045:itc</v>
      </c>
      <c r="G117" s="8">
        <f t="shared" si="3"/>
        <v>42680.565393518518</v>
      </c>
    </row>
    <row r="118" spans="1:7" x14ac:dyDescent="0.25">
      <c r="A118" s="8">
        <v>42680.56863425926</v>
      </c>
      <c r="B118" s="21" t="s">
        <v>271</v>
      </c>
      <c r="C118" s="21" t="s">
        <v>525</v>
      </c>
      <c r="D118" s="21">
        <v>1110000</v>
      </c>
      <c r="E118" s="21" t="s">
        <v>262</v>
      </c>
      <c r="F118" s="21" t="str">
        <f t="shared" si="2"/>
        <v>rtdc.l.rtdc.4032:itc</v>
      </c>
      <c r="G118" s="8">
        <f t="shared" si="3"/>
        <v>42680.56863425926</v>
      </c>
    </row>
    <row r="119" spans="1:7" x14ac:dyDescent="0.25">
      <c r="A119" s="8">
        <v>42680.569409722222</v>
      </c>
      <c r="B119" s="21" t="s">
        <v>284</v>
      </c>
      <c r="C119" s="21" t="s">
        <v>526</v>
      </c>
      <c r="D119" s="21">
        <v>1280000</v>
      </c>
      <c r="E119" s="21" t="s">
        <v>500</v>
      </c>
      <c r="F119" s="21" t="str">
        <f t="shared" si="2"/>
        <v>rtdc.l.rtdc.4041:itc</v>
      </c>
      <c r="G119" s="8">
        <f t="shared" si="3"/>
        <v>42680.569409722222</v>
      </c>
    </row>
    <row r="120" spans="1:7" x14ac:dyDescent="0.25">
      <c r="A120" s="8">
        <v>42680.570752314816</v>
      </c>
      <c r="B120" s="21" t="s">
        <v>193</v>
      </c>
      <c r="C120" s="21" t="s">
        <v>527</v>
      </c>
      <c r="D120" s="21">
        <v>1140000</v>
      </c>
      <c r="E120" s="21" t="s">
        <v>511</v>
      </c>
      <c r="F120" s="21" t="str">
        <f t="shared" si="2"/>
        <v>rtdc.l.rtdc.4007:itc</v>
      </c>
      <c r="G120" s="8">
        <f t="shared" si="3"/>
        <v>42680.570752314816</v>
      </c>
    </row>
    <row r="121" spans="1:7" x14ac:dyDescent="0.25">
      <c r="A121" s="8">
        <v>42680.579467592594</v>
      </c>
      <c r="B121" s="21" t="s">
        <v>192</v>
      </c>
      <c r="C121" s="21" t="s">
        <v>528</v>
      </c>
      <c r="D121" s="21">
        <v>930000</v>
      </c>
      <c r="E121" s="21" t="s">
        <v>492</v>
      </c>
      <c r="F121" s="21" t="str">
        <f t="shared" si="2"/>
        <v>rtdc.l.rtdc.4044:itc</v>
      </c>
      <c r="G121" s="8">
        <f t="shared" si="3"/>
        <v>42680.579467592594</v>
      </c>
    </row>
    <row r="122" spans="1:7" x14ac:dyDescent="0.25">
      <c r="A122" s="8">
        <v>42680.583692129629</v>
      </c>
      <c r="B122" s="26" t="s">
        <v>345</v>
      </c>
      <c r="C122" s="21" t="s">
        <v>529</v>
      </c>
      <c r="D122" s="21">
        <v>1770000</v>
      </c>
      <c r="E122" s="21" t="s">
        <v>505</v>
      </c>
      <c r="F122" s="21" t="str">
        <f t="shared" si="2"/>
        <v>rtdc.l.rtdc.4012:itc</v>
      </c>
      <c r="G122" s="8">
        <f t="shared" si="3"/>
        <v>42680.583692129629</v>
      </c>
    </row>
    <row r="123" spans="1:7" x14ac:dyDescent="0.25">
      <c r="A123" s="8">
        <v>42680.587314814817</v>
      </c>
      <c r="B123" s="21" t="s">
        <v>320</v>
      </c>
      <c r="C123" s="21" t="s">
        <v>530</v>
      </c>
      <c r="D123" s="21">
        <v>2090000</v>
      </c>
      <c r="E123" s="21" t="s">
        <v>531</v>
      </c>
      <c r="F123" s="21" t="str">
        <f t="shared" si="2"/>
        <v>rtdc.l.rtdc.4031:itc</v>
      </c>
      <c r="G123" s="8">
        <f t="shared" si="3"/>
        <v>42680.587314814817</v>
      </c>
    </row>
    <row r="124" spans="1:7" x14ac:dyDescent="0.25">
      <c r="A124" s="8">
        <v>42680.588414351849</v>
      </c>
      <c r="B124" s="21" t="s">
        <v>190</v>
      </c>
      <c r="C124" s="21" t="s">
        <v>532</v>
      </c>
      <c r="D124" s="21">
        <v>2020000</v>
      </c>
      <c r="E124" s="21" t="s">
        <v>350</v>
      </c>
      <c r="F124" s="21" t="str">
        <f t="shared" si="2"/>
        <v>rtdc.l.rtdc.4009:itc</v>
      </c>
      <c r="G124" s="8">
        <f t="shared" si="3"/>
        <v>42680.588414351849</v>
      </c>
    </row>
    <row r="125" spans="1:7" x14ac:dyDescent="0.25">
      <c r="A125" s="8">
        <v>42680.592986111114</v>
      </c>
      <c r="B125" s="21" t="s">
        <v>270</v>
      </c>
      <c r="C125" s="21" t="s">
        <v>533</v>
      </c>
      <c r="D125" s="21">
        <v>2280000</v>
      </c>
      <c r="E125" s="21" t="s">
        <v>508</v>
      </c>
      <c r="F125" s="21" t="str">
        <f t="shared" si="2"/>
        <v>rtdc.l.rtdc.4039:itc</v>
      </c>
      <c r="G125" s="8">
        <f t="shared" si="3"/>
        <v>42680.592986111114</v>
      </c>
    </row>
    <row r="126" spans="1:7" x14ac:dyDescent="0.25">
      <c r="A126" s="8">
        <v>42680.600462962961</v>
      </c>
      <c r="B126" s="21" t="s">
        <v>399</v>
      </c>
      <c r="C126" s="21" t="s">
        <v>534</v>
      </c>
      <c r="D126" s="21">
        <v>880000</v>
      </c>
      <c r="E126" s="21" t="s">
        <v>497</v>
      </c>
      <c r="F126" s="21" t="str">
        <f t="shared" si="2"/>
        <v>rtdc.l.rtdc.4046:itc</v>
      </c>
      <c r="G126" s="8">
        <f t="shared" si="3"/>
        <v>42680.600462962961</v>
      </c>
    </row>
    <row r="127" spans="1:7" x14ac:dyDescent="0.25">
      <c r="A127" s="8">
        <v>42680.604629629626</v>
      </c>
      <c r="B127" s="21" t="s">
        <v>285</v>
      </c>
      <c r="C127" s="21" t="s">
        <v>535</v>
      </c>
      <c r="D127" s="21">
        <v>1140000</v>
      </c>
      <c r="E127" s="21" t="s">
        <v>511</v>
      </c>
      <c r="F127" s="21" t="str">
        <f t="shared" si="2"/>
        <v>rtdc.l.rtdc.4008:itc</v>
      </c>
      <c r="G127" s="8">
        <f t="shared" si="3"/>
        <v>42680.604629629626</v>
      </c>
    </row>
    <row r="128" spans="1:7" x14ac:dyDescent="0.25">
      <c r="A128" s="8">
        <v>42680.610138888886</v>
      </c>
      <c r="B128" s="21" t="s">
        <v>271</v>
      </c>
      <c r="C128" s="21" t="s">
        <v>536</v>
      </c>
      <c r="D128" s="21">
        <v>2090000</v>
      </c>
      <c r="E128" s="21" t="s">
        <v>531</v>
      </c>
      <c r="F128" s="21" t="str">
        <f t="shared" si="2"/>
        <v>rtdc.l.rtdc.4032:itc</v>
      </c>
      <c r="G128" s="8">
        <f t="shared" si="3"/>
        <v>42680.610138888886</v>
      </c>
    </row>
    <row r="129" spans="1:7" x14ac:dyDescent="0.25">
      <c r="A129" s="8">
        <v>42680.610532407409</v>
      </c>
      <c r="B129" s="21" t="s">
        <v>287</v>
      </c>
      <c r="C129" s="21" t="s">
        <v>537</v>
      </c>
      <c r="D129" s="21">
        <v>1280000</v>
      </c>
      <c r="E129" s="21" t="s">
        <v>500</v>
      </c>
      <c r="F129" s="21" t="str">
        <f t="shared" si="2"/>
        <v>rtdc.l.rtdc.4042:itc</v>
      </c>
      <c r="G129" s="8">
        <f t="shared" si="3"/>
        <v>42680.610532407409</v>
      </c>
    </row>
    <row r="130" spans="1:7" x14ac:dyDescent="0.25">
      <c r="A130" s="8">
        <v>42680.617893518516</v>
      </c>
      <c r="B130" s="21" t="s">
        <v>394</v>
      </c>
      <c r="C130" s="21" t="s">
        <v>538</v>
      </c>
      <c r="D130" s="21">
        <v>930000</v>
      </c>
      <c r="E130" s="21" t="s">
        <v>492</v>
      </c>
      <c r="F130" s="21" t="str">
        <f t="shared" ref="F130:F193" si="4">B130</f>
        <v>rtdc.l.rtdc.4043:itc</v>
      </c>
      <c r="G130" s="8">
        <f t="shared" ref="G130:G193" si="5">A130</f>
        <v>42680.617893518516</v>
      </c>
    </row>
    <row r="131" spans="1:7" x14ac:dyDescent="0.25">
      <c r="A131" s="8">
        <v>42680.619502314818</v>
      </c>
      <c r="B131" s="21" t="s">
        <v>232</v>
      </c>
      <c r="C131" s="21" t="s">
        <v>539</v>
      </c>
      <c r="D131" s="21">
        <v>1770000</v>
      </c>
      <c r="E131" s="21" t="s">
        <v>505</v>
      </c>
      <c r="F131" s="21" t="str">
        <f t="shared" si="4"/>
        <v>rtdc.l.rtdc.4011:itc</v>
      </c>
      <c r="G131" s="8">
        <f t="shared" si="5"/>
        <v>42680.619502314818</v>
      </c>
    </row>
    <row r="132" spans="1:7" x14ac:dyDescent="0.25">
      <c r="A132" s="8">
        <v>42680.625879629632</v>
      </c>
      <c r="B132" s="21" t="s">
        <v>320</v>
      </c>
      <c r="C132" s="21" t="s">
        <v>540</v>
      </c>
      <c r="D132" s="21">
        <v>2090000</v>
      </c>
      <c r="E132" s="21" t="s">
        <v>531</v>
      </c>
      <c r="F132" s="21" t="str">
        <f t="shared" si="4"/>
        <v>rtdc.l.rtdc.4031:itc</v>
      </c>
      <c r="G132" s="8">
        <f t="shared" si="5"/>
        <v>42680.625879629632</v>
      </c>
    </row>
    <row r="133" spans="1:7" x14ac:dyDescent="0.25">
      <c r="A133" s="8">
        <v>42680.629502314812</v>
      </c>
      <c r="B133" s="21" t="s">
        <v>189</v>
      </c>
      <c r="C133" s="21" t="s">
        <v>541</v>
      </c>
      <c r="D133" s="21">
        <v>2020000</v>
      </c>
      <c r="E133" s="21" t="s">
        <v>350</v>
      </c>
      <c r="F133" s="21" t="str">
        <f t="shared" si="4"/>
        <v>rtdc.l.rtdc.4010:itc</v>
      </c>
      <c r="G133" s="8">
        <f t="shared" si="5"/>
        <v>42680.629502314812</v>
      </c>
    </row>
    <row r="134" spans="1:7" x14ac:dyDescent="0.25">
      <c r="A134" s="8">
        <v>42680.630636574075</v>
      </c>
      <c r="B134" s="21" t="s">
        <v>240</v>
      </c>
      <c r="C134" s="21" t="s">
        <v>542</v>
      </c>
      <c r="D134" s="21">
        <v>2280000</v>
      </c>
      <c r="E134" s="21" t="s">
        <v>508</v>
      </c>
      <c r="F134" s="21" t="str">
        <f t="shared" si="4"/>
        <v>rtdc.l.rtdc.4040:itc</v>
      </c>
      <c r="G134" s="8">
        <f t="shared" si="5"/>
        <v>42680.630636574075</v>
      </c>
    </row>
    <row r="135" spans="1:7" x14ac:dyDescent="0.25">
      <c r="A135" s="8">
        <v>42680.639618055553</v>
      </c>
      <c r="B135" s="21" t="s">
        <v>396</v>
      </c>
      <c r="C135" s="21" t="s">
        <v>543</v>
      </c>
      <c r="D135" s="21">
        <v>880000</v>
      </c>
      <c r="E135" s="21" t="s">
        <v>497</v>
      </c>
      <c r="F135" s="21" t="str">
        <f t="shared" si="4"/>
        <v>rtdc.l.rtdc.4045:itc</v>
      </c>
      <c r="G135" s="8">
        <f t="shared" si="5"/>
        <v>42680.639618055553</v>
      </c>
    </row>
    <row r="136" spans="1:7" x14ac:dyDescent="0.25">
      <c r="A136" s="8">
        <v>42680.642094907409</v>
      </c>
      <c r="B136" s="21" t="s">
        <v>284</v>
      </c>
      <c r="C136" s="21" t="s">
        <v>544</v>
      </c>
      <c r="D136" s="21">
        <v>1280000</v>
      </c>
      <c r="E136" s="21" t="s">
        <v>500</v>
      </c>
      <c r="F136" s="21" t="str">
        <f t="shared" si="4"/>
        <v>rtdc.l.rtdc.4041:itc</v>
      </c>
      <c r="G136" s="8">
        <f t="shared" si="5"/>
        <v>42680.642094907409</v>
      </c>
    </row>
    <row r="137" spans="1:7" x14ac:dyDescent="0.25">
      <c r="A137" s="8">
        <v>42680.644629629627</v>
      </c>
      <c r="B137" s="21" t="s">
        <v>193</v>
      </c>
      <c r="C137" s="21" t="s">
        <v>545</v>
      </c>
      <c r="D137" s="21">
        <v>1140000</v>
      </c>
      <c r="E137" s="21" t="s">
        <v>511</v>
      </c>
      <c r="F137" s="21" t="str">
        <f t="shared" si="4"/>
        <v>rtdc.l.rtdc.4007:itc</v>
      </c>
      <c r="G137" s="8">
        <f t="shared" si="5"/>
        <v>42680.644629629627</v>
      </c>
    </row>
    <row r="138" spans="1:7" x14ac:dyDescent="0.25">
      <c r="A138" s="8">
        <v>42680.651226851849</v>
      </c>
      <c r="B138" s="21" t="s">
        <v>271</v>
      </c>
      <c r="C138" s="21" t="s">
        <v>546</v>
      </c>
      <c r="D138" s="21">
        <v>2090000</v>
      </c>
      <c r="E138" s="21" t="s">
        <v>531</v>
      </c>
      <c r="F138" s="21" t="str">
        <f t="shared" si="4"/>
        <v>rtdc.l.rtdc.4032:itc</v>
      </c>
      <c r="G138" s="8">
        <f t="shared" si="5"/>
        <v>42680.651226851849</v>
      </c>
    </row>
    <row r="139" spans="1:7" x14ac:dyDescent="0.25">
      <c r="A139" s="8">
        <v>42680.651469907411</v>
      </c>
      <c r="B139" s="21" t="s">
        <v>192</v>
      </c>
      <c r="C139" s="21" t="s">
        <v>547</v>
      </c>
      <c r="D139" s="21">
        <v>930000</v>
      </c>
      <c r="E139" s="21" t="s">
        <v>492</v>
      </c>
      <c r="F139" s="21" t="str">
        <f t="shared" si="4"/>
        <v>rtdc.l.rtdc.4044:itc</v>
      </c>
      <c r="G139" s="8">
        <f t="shared" si="5"/>
        <v>42680.651469907411</v>
      </c>
    </row>
    <row r="140" spans="1:7" x14ac:dyDescent="0.25">
      <c r="A140" s="8">
        <v>42680.658321759256</v>
      </c>
      <c r="B140" s="21" t="s">
        <v>345</v>
      </c>
      <c r="C140" s="21" t="s">
        <v>548</v>
      </c>
      <c r="D140" s="21">
        <v>1770000</v>
      </c>
      <c r="E140" s="21" t="s">
        <v>505</v>
      </c>
      <c r="F140" s="21" t="str">
        <f t="shared" si="4"/>
        <v>rtdc.l.rtdc.4012:itc</v>
      </c>
      <c r="G140" s="8">
        <f t="shared" si="5"/>
        <v>42680.658321759256</v>
      </c>
    </row>
    <row r="141" spans="1:7" x14ac:dyDescent="0.25">
      <c r="A141" s="8">
        <v>42680.661805555559</v>
      </c>
      <c r="B141" s="21" t="s">
        <v>190</v>
      </c>
      <c r="C141" s="21" t="s">
        <v>549</v>
      </c>
      <c r="D141" s="21">
        <v>2020000</v>
      </c>
      <c r="E141" s="21" t="s">
        <v>350</v>
      </c>
      <c r="F141" s="21" t="str">
        <f t="shared" si="4"/>
        <v>rtdc.l.rtdc.4009:itc</v>
      </c>
      <c r="G141" s="8">
        <f t="shared" si="5"/>
        <v>42680.661805555559</v>
      </c>
    </row>
    <row r="142" spans="1:7" x14ac:dyDescent="0.25">
      <c r="A142" s="8">
        <v>42680.669953703706</v>
      </c>
      <c r="B142" s="21" t="s">
        <v>270</v>
      </c>
      <c r="C142" s="21" t="s">
        <v>411</v>
      </c>
      <c r="D142" s="21">
        <v>2280000</v>
      </c>
      <c r="E142" s="21" t="s">
        <v>508</v>
      </c>
      <c r="F142" s="21" t="str">
        <f t="shared" si="4"/>
        <v>rtdc.l.rtdc.4039:itc</v>
      </c>
      <c r="G142" s="8">
        <f t="shared" si="5"/>
        <v>42680.669953703706</v>
      </c>
    </row>
    <row r="143" spans="1:7" x14ac:dyDescent="0.25">
      <c r="A143" s="8">
        <v>42680.674293981479</v>
      </c>
      <c r="B143" s="21" t="s">
        <v>399</v>
      </c>
      <c r="C143" s="21" t="s">
        <v>550</v>
      </c>
      <c r="D143" s="21">
        <v>880000</v>
      </c>
      <c r="E143" s="21" t="s">
        <v>497</v>
      </c>
      <c r="F143" s="21" t="str">
        <f t="shared" si="4"/>
        <v>rtdc.l.rtdc.4046:itc</v>
      </c>
      <c r="G143" s="8">
        <f t="shared" si="5"/>
        <v>42680.674293981479</v>
      </c>
    </row>
    <row r="144" spans="1:7" x14ac:dyDescent="0.25">
      <c r="A144" s="8">
        <v>42680.676030092596</v>
      </c>
      <c r="B144" s="21" t="s">
        <v>285</v>
      </c>
      <c r="C144" s="21" t="s">
        <v>551</v>
      </c>
      <c r="D144" s="21">
        <v>1140000</v>
      </c>
      <c r="E144" s="21" t="s">
        <v>511</v>
      </c>
      <c r="F144" s="21" t="str">
        <f t="shared" si="4"/>
        <v>rtdc.l.rtdc.4008:itc</v>
      </c>
      <c r="G144" s="8">
        <f t="shared" si="5"/>
        <v>42680.676030092596</v>
      </c>
    </row>
    <row r="145" spans="1:7" x14ac:dyDescent="0.25">
      <c r="A145" s="8">
        <v>42680.678171296298</v>
      </c>
      <c r="B145" s="21" t="s">
        <v>320</v>
      </c>
      <c r="C145" s="21" t="s">
        <v>410</v>
      </c>
      <c r="D145" s="21">
        <v>2090000</v>
      </c>
      <c r="E145" s="21" t="s">
        <v>531</v>
      </c>
      <c r="F145" s="21" t="str">
        <f t="shared" si="4"/>
        <v>rtdc.l.rtdc.4031:itc</v>
      </c>
      <c r="G145" s="8">
        <f t="shared" si="5"/>
        <v>42680.678171296298</v>
      </c>
    </row>
    <row r="146" spans="1:7" x14ac:dyDescent="0.25">
      <c r="A146" s="8">
        <v>42680.678761574076</v>
      </c>
      <c r="B146" s="21" t="s">
        <v>320</v>
      </c>
      <c r="C146" s="21" t="s">
        <v>552</v>
      </c>
      <c r="D146" s="21">
        <v>2090000</v>
      </c>
      <c r="E146" s="21" t="s">
        <v>531</v>
      </c>
      <c r="F146" s="21" t="str">
        <f t="shared" si="4"/>
        <v>rtdc.l.rtdc.4031:itc</v>
      </c>
      <c r="G146" s="8">
        <f t="shared" si="5"/>
        <v>42680.678761574076</v>
      </c>
    </row>
    <row r="147" spans="1:7" x14ac:dyDescent="0.25">
      <c r="A147" s="8">
        <v>42680.685034722221</v>
      </c>
      <c r="B147" s="21" t="s">
        <v>287</v>
      </c>
      <c r="C147" s="21" t="s">
        <v>553</v>
      </c>
      <c r="D147" s="21">
        <v>1280000</v>
      </c>
      <c r="E147" s="21" t="s">
        <v>500</v>
      </c>
      <c r="F147" s="21" t="str">
        <f t="shared" si="4"/>
        <v>rtdc.l.rtdc.4042:itc</v>
      </c>
      <c r="G147" s="8">
        <f t="shared" si="5"/>
        <v>42680.685034722221</v>
      </c>
    </row>
    <row r="148" spans="1:7" x14ac:dyDescent="0.25">
      <c r="A148" s="8">
        <v>42680.69023148148</v>
      </c>
      <c r="B148" s="21" t="s">
        <v>394</v>
      </c>
      <c r="C148" s="21" t="s">
        <v>554</v>
      </c>
      <c r="D148" s="21">
        <v>930000</v>
      </c>
      <c r="E148" s="21" t="s">
        <v>492</v>
      </c>
      <c r="F148" s="21" t="str">
        <f t="shared" si="4"/>
        <v>rtdc.l.rtdc.4043:itc</v>
      </c>
      <c r="G148" s="8">
        <f t="shared" si="5"/>
        <v>42680.69023148148</v>
      </c>
    </row>
    <row r="149" spans="1:7" x14ac:dyDescent="0.25">
      <c r="A149" s="8">
        <v>42680.692754629628</v>
      </c>
      <c r="B149" s="21" t="s">
        <v>232</v>
      </c>
      <c r="C149" s="21" t="s">
        <v>555</v>
      </c>
      <c r="D149" s="21">
        <v>1770000</v>
      </c>
      <c r="E149" s="21" t="s">
        <v>505</v>
      </c>
      <c r="F149" s="21" t="str">
        <f t="shared" si="4"/>
        <v>rtdc.l.rtdc.4011:itc</v>
      </c>
      <c r="G149" s="8">
        <f t="shared" si="5"/>
        <v>42680.692754629628</v>
      </c>
    </row>
    <row r="150" spans="1:7" x14ac:dyDescent="0.25">
      <c r="A150" s="8">
        <v>42680.694085648145</v>
      </c>
      <c r="B150" s="21" t="s">
        <v>271</v>
      </c>
      <c r="C150" s="21" t="s">
        <v>410</v>
      </c>
      <c r="D150" s="21">
        <v>2090000</v>
      </c>
      <c r="E150" s="21" t="s">
        <v>531</v>
      </c>
      <c r="F150" s="21" t="str">
        <f t="shared" si="4"/>
        <v>rtdc.l.rtdc.4032:itc</v>
      </c>
      <c r="G150" s="8">
        <f t="shared" si="5"/>
        <v>42680.694085648145</v>
      </c>
    </row>
    <row r="151" spans="1:7" x14ac:dyDescent="0.25">
      <c r="A151" s="8">
        <v>42680.700520833336</v>
      </c>
      <c r="B151" s="21" t="s">
        <v>189</v>
      </c>
      <c r="C151" s="21" t="s">
        <v>556</v>
      </c>
      <c r="D151" s="21">
        <v>2020000</v>
      </c>
      <c r="E151" s="21" t="s">
        <v>350</v>
      </c>
      <c r="F151" s="21" t="str">
        <f t="shared" si="4"/>
        <v>rtdc.l.rtdc.4010:itc</v>
      </c>
      <c r="G151" s="8">
        <f t="shared" si="5"/>
        <v>42680.700520833336</v>
      </c>
    </row>
    <row r="152" spans="1:7" x14ac:dyDescent="0.25">
      <c r="A152" s="8">
        <v>42680.704016203701</v>
      </c>
      <c r="B152" s="21" t="s">
        <v>240</v>
      </c>
      <c r="C152" s="21" t="s">
        <v>557</v>
      </c>
      <c r="D152" s="21">
        <v>2280000</v>
      </c>
      <c r="E152" s="21" t="s">
        <v>508</v>
      </c>
      <c r="F152" s="21" t="str">
        <f t="shared" si="4"/>
        <v>rtdc.l.rtdc.4040:itc</v>
      </c>
      <c r="G152" s="8">
        <f t="shared" si="5"/>
        <v>42680.704016203701</v>
      </c>
    </row>
    <row r="153" spans="1:7" x14ac:dyDescent="0.25">
      <c r="A153" s="8">
        <v>42680.709849537037</v>
      </c>
      <c r="B153" s="21" t="s">
        <v>320</v>
      </c>
      <c r="C153" s="21" t="s">
        <v>558</v>
      </c>
      <c r="D153" s="21">
        <v>2090000</v>
      </c>
      <c r="E153" s="21" t="s">
        <v>531</v>
      </c>
      <c r="F153" s="21" t="str">
        <f t="shared" si="4"/>
        <v>rtdc.l.rtdc.4031:itc</v>
      </c>
      <c r="G153" s="8">
        <f t="shared" si="5"/>
        <v>42680.709849537037</v>
      </c>
    </row>
    <row r="154" spans="1:7" x14ac:dyDescent="0.25">
      <c r="A154" s="8">
        <v>42680.710844907408</v>
      </c>
      <c r="B154" s="21" t="s">
        <v>396</v>
      </c>
      <c r="C154" s="21" t="s">
        <v>559</v>
      </c>
      <c r="D154" s="21">
        <v>880000</v>
      </c>
      <c r="E154" s="21" t="s">
        <v>497</v>
      </c>
      <c r="F154" s="21" t="str">
        <f t="shared" si="4"/>
        <v>rtdc.l.rtdc.4045:itc</v>
      </c>
      <c r="G154" s="8">
        <f t="shared" si="5"/>
        <v>42680.710844907408</v>
      </c>
    </row>
    <row r="155" spans="1:7" x14ac:dyDescent="0.25">
      <c r="A155" s="8">
        <v>42680.715173611112</v>
      </c>
      <c r="B155" s="21" t="s">
        <v>284</v>
      </c>
      <c r="C155" s="21" t="s">
        <v>560</v>
      </c>
      <c r="D155" s="21">
        <v>1280000</v>
      </c>
      <c r="E155" s="21" t="s">
        <v>500</v>
      </c>
      <c r="F155" s="21" t="str">
        <f t="shared" si="4"/>
        <v>rtdc.l.rtdc.4041:itc</v>
      </c>
      <c r="G155" s="8">
        <f t="shared" si="5"/>
        <v>42680.715173611112</v>
      </c>
    </row>
    <row r="156" spans="1:7" x14ac:dyDescent="0.25">
      <c r="A156" s="8">
        <v>42680.71638888889</v>
      </c>
      <c r="B156" s="21" t="s">
        <v>225</v>
      </c>
      <c r="C156" s="21" t="s">
        <v>561</v>
      </c>
      <c r="D156" s="21">
        <v>2150000</v>
      </c>
      <c r="E156" s="21" t="s">
        <v>562</v>
      </c>
      <c r="F156" s="21" t="str">
        <f t="shared" si="4"/>
        <v>rtdc.l.rtdc.4029:itc</v>
      </c>
      <c r="G156" s="8">
        <f t="shared" si="5"/>
        <v>42680.71638888889</v>
      </c>
    </row>
    <row r="157" spans="1:7" x14ac:dyDescent="0.25">
      <c r="A157" s="8">
        <v>42680.71638888889</v>
      </c>
      <c r="B157" s="21" t="s">
        <v>193</v>
      </c>
      <c r="C157" s="21" t="s">
        <v>563</v>
      </c>
      <c r="D157" s="21">
        <v>1180000</v>
      </c>
      <c r="E157" s="21" t="s">
        <v>564</v>
      </c>
      <c r="F157" s="21" t="str">
        <f t="shared" si="4"/>
        <v>rtdc.l.rtdc.4007:itc</v>
      </c>
      <c r="G157" s="8">
        <f t="shared" si="5"/>
        <v>42680.71638888889</v>
      </c>
    </row>
    <row r="158" spans="1:7" x14ac:dyDescent="0.25">
      <c r="A158" s="8">
        <v>42680.724965277775</v>
      </c>
      <c r="B158" s="21" t="s">
        <v>192</v>
      </c>
      <c r="C158" s="21" t="s">
        <v>565</v>
      </c>
      <c r="D158" s="21">
        <v>1140000</v>
      </c>
      <c r="E158" s="21" t="s">
        <v>511</v>
      </c>
      <c r="F158" s="21" t="str">
        <f t="shared" si="4"/>
        <v>rtdc.l.rtdc.4044:itc</v>
      </c>
      <c r="G158" s="8">
        <f t="shared" si="5"/>
        <v>42680.724965277775</v>
      </c>
    </row>
    <row r="159" spans="1:7" x14ac:dyDescent="0.25">
      <c r="A159" s="8">
        <v>42680.730416666665</v>
      </c>
      <c r="B159" s="21" t="s">
        <v>345</v>
      </c>
      <c r="C159" s="21" t="s">
        <v>566</v>
      </c>
      <c r="D159" s="21">
        <v>1770000</v>
      </c>
      <c r="E159" s="21" t="s">
        <v>505</v>
      </c>
      <c r="F159" s="21" t="str">
        <f t="shared" si="4"/>
        <v>rtdc.l.rtdc.4012:itc</v>
      </c>
      <c r="G159" s="8">
        <f t="shared" si="5"/>
        <v>42680.730416666665</v>
      </c>
    </row>
    <row r="160" spans="1:7" x14ac:dyDescent="0.25">
      <c r="A160" s="8">
        <v>42680.734050925923</v>
      </c>
      <c r="B160" s="21" t="s">
        <v>190</v>
      </c>
      <c r="C160" s="21" t="s">
        <v>567</v>
      </c>
      <c r="D160" s="21">
        <v>2250000</v>
      </c>
      <c r="E160" s="21" t="s">
        <v>263</v>
      </c>
      <c r="F160" s="21" t="str">
        <f t="shared" si="4"/>
        <v>rtdc.l.rtdc.4009:itc</v>
      </c>
      <c r="G160" s="8">
        <f t="shared" si="5"/>
        <v>42680.734050925923</v>
      </c>
    </row>
    <row r="161" spans="1:7" x14ac:dyDescent="0.25">
      <c r="A161" s="8">
        <v>42680.734594907408</v>
      </c>
      <c r="B161" s="21" t="s">
        <v>271</v>
      </c>
      <c r="C161" s="21" t="s">
        <v>568</v>
      </c>
      <c r="D161" s="21">
        <v>2090000</v>
      </c>
      <c r="E161" s="21" t="s">
        <v>531</v>
      </c>
      <c r="F161" s="21" t="str">
        <f t="shared" si="4"/>
        <v>rtdc.l.rtdc.4032:itc</v>
      </c>
      <c r="G161" s="8">
        <f t="shared" si="5"/>
        <v>42680.734594907408</v>
      </c>
    </row>
    <row r="162" spans="1:7" x14ac:dyDescent="0.25">
      <c r="A162" s="8">
        <v>42680.73510416667</v>
      </c>
      <c r="B162" s="21" t="s">
        <v>234</v>
      </c>
      <c r="C162" s="21" t="s">
        <v>412</v>
      </c>
      <c r="D162" s="21">
        <v>2350000</v>
      </c>
      <c r="E162" s="21" t="s">
        <v>351</v>
      </c>
      <c r="F162" s="21" t="str">
        <f t="shared" si="4"/>
        <v>rtdc.l.rtdc.4021:itc</v>
      </c>
      <c r="G162" s="8">
        <f t="shared" si="5"/>
        <v>42680.73510416667</v>
      </c>
    </row>
    <row r="163" spans="1:7" x14ac:dyDescent="0.25">
      <c r="A163" s="8">
        <v>42680.740972222222</v>
      </c>
      <c r="B163" s="21" t="s">
        <v>234</v>
      </c>
      <c r="C163" s="21" t="s">
        <v>412</v>
      </c>
      <c r="D163" s="21">
        <v>2350000</v>
      </c>
      <c r="E163" s="21" t="s">
        <v>351</v>
      </c>
      <c r="F163" s="21" t="str">
        <f t="shared" si="4"/>
        <v>rtdc.l.rtdc.4021:itc</v>
      </c>
      <c r="G163" s="8">
        <f t="shared" si="5"/>
        <v>42680.740972222222</v>
      </c>
    </row>
    <row r="164" spans="1:7" x14ac:dyDescent="0.25">
      <c r="A164" s="8">
        <v>42680.742326388892</v>
      </c>
      <c r="B164" s="21" t="s">
        <v>270</v>
      </c>
      <c r="C164" s="21" t="s">
        <v>569</v>
      </c>
      <c r="D164" s="21">
        <v>2280000</v>
      </c>
      <c r="E164" s="21" t="s">
        <v>508</v>
      </c>
      <c r="F164" s="21" t="str">
        <f t="shared" si="4"/>
        <v>rtdc.l.rtdc.4039:itc</v>
      </c>
      <c r="G164" s="8">
        <f t="shared" si="5"/>
        <v>42680.742326388892</v>
      </c>
    </row>
    <row r="165" spans="1:7" x14ac:dyDescent="0.25">
      <c r="A165" s="8">
        <v>42680.745717592596</v>
      </c>
      <c r="B165" s="21" t="s">
        <v>346</v>
      </c>
      <c r="C165" s="21" t="s">
        <v>570</v>
      </c>
      <c r="D165" s="21">
        <v>2370000</v>
      </c>
      <c r="E165" s="21" t="s">
        <v>571</v>
      </c>
      <c r="F165" s="21" t="str">
        <f t="shared" si="4"/>
        <v>rtdc.l.rtdc.4015:itc</v>
      </c>
      <c r="G165" s="8">
        <f t="shared" si="5"/>
        <v>42680.745717592596</v>
      </c>
    </row>
    <row r="166" spans="1:7" x14ac:dyDescent="0.25">
      <c r="A166" s="8">
        <v>42680.745775462965</v>
      </c>
      <c r="B166" s="21" t="s">
        <v>399</v>
      </c>
      <c r="C166" s="21" t="s">
        <v>572</v>
      </c>
      <c r="D166" s="21">
        <v>2020000</v>
      </c>
      <c r="E166" s="21" t="s">
        <v>350</v>
      </c>
      <c r="F166" s="21" t="str">
        <f t="shared" si="4"/>
        <v>rtdc.l.rtdc.4046:itc</v>
      </c>
      <c r="G166" s="8">
        <f t="shared" si="5"/>
        <v>42680.745775462965</v>
      </c>
    </row>
    <row r="167" spans="1:7" x14ac:dyDescent="0.25">
      <c r="A167" s="8">
        <v>42680.753530092596</v>
      </c>
      <c r="B167" s="21" t="s">
        <v>285</v>
      </c>
      <c r="C167" s="21" t="s">
        <v>573</v>
      </c>
      <c r="D167" s="21">
        <v>1180000</v>
      </c>
      <c r="E167" s="21" t="s">
        <v>564</v>
      </c>
      <c r="F167" s="21" t="str">
        <f t="shared" si="4"/>
        <v>rtdc.l.rtdc.4008:itc</v>
      </c>
      <c r="G167" s="8">
        <f t="shared" si="5"/>
        <v>42680.753530092596</v>
      </c>
    </row>
    <row r="168" spans="1:7" x14ac:dyDescent="0.25">
      <c r="A168" s="8">
        <v>42680.754849537036</v>
      </c>
      <c r="B168" s="21" t="s">
        <v>321</v>
      </c>
      <c r="C168" s="21" t="s">
        <v>574</v>
      </c>
      <c r="D168" s="21">
        <v>1800000</v>
      </c>
      <c r="E168" s="21" t="s">
        <v>257</v>
      </c>
      <c r="F168" s="21" t="str">
        <f t="shared" si="4"/>
        <v>rtdc.l.rtdc.4017:itc</v>
      </c>
      <c r="G168" s="8">
        <f t="shared" si="5"/>
        <v>42680.754849537036</v>
      </c>
    </row>
    <row r="169" spans="1:7" x14ac:dyDescent="0.25">
      <c r="A169" s="8">
        <v>42680.756331018521</v>
      </c>
      <c r="B169" s="21" t="s">
        <v>287</v>
      </c>
      <c r="C169" s="21" t="s">
        <v>575</v>
      </c>
      <c r="D169" s="21">
        <v>2350000</v>
      </c>
      <c r="E169" s="21" t="s">
        <v>351</v>
      </c>
      <c r="F169" s="21" t="str">
        <f t="shared" si="4"/>
        <v>rtdc.l.rtdc.4042:itc</v>
      </c>
      <c r="G169" s="8">
        <f t="shared" si="5"/>
        <v>42680.756331018521</v>
      </c>
    </row>
    <row r="170" spans="1:7" x14ac:dyDescent="0.25">
      <c r="A170" s="8">
        <v>42680.76054398148</v>
      </c>
      <c r="B170" s="21" t="s">
        <v>320</v>
      </c>
      <c r="C170" s="21" t="s">
        <v>576</v>
      </c>
      <c r="D170" s="21">
        <v>2260000</v>
      </c>
      <c r="E170" s="21" t="s">
        <v>424</v>
      </c>
      <c r="F170" s="21" t="str">
        <f t="shared" si="4"/>
        <v>rtdc.l.rtdc.4031:itc</v>
      </c>
      <c r="G170" s="8">
        <f t="shared" si="5"/>
        <v>42680.76054398148</v>
      </c>
    </row>
    <row r="171" spans="1:7" x14ac:dyDescent="0.25">
      <c r="A171" s="8">
        <v>42680.761608796296</v>
      </c>
      <c r="B171" s="21" t="s">
        <v>394</v>
      </c>
      <c r="C171" s="21" t="s">
        <v>577</v>
      </c>
      <c r="D171" s="21">
        <v>1140000</v>
      </c>
      <c r="E171" s="21" t="s">
        <v>511</v>
      </c>
      <c r="F171" s="21" t="str">
        <f t="shared" si="4"/>
        <v>rtdc.l.rtdc.4043:itc</v>
      </c>
      <c r="G171" s="8">
        <f t="shared" si="5"/>
        <v>42680.761608796296</v>
      </c>
    </row>
    <row r="172" spans="1:7" x14ac:dyDescent="0.25">
      <c r="A172" s="8">
        <v>42680.7659375</v>
      </c>
      <c r="B172" s="21" t="s">
        <v>323</v>
      </c>
      <c r="C172" s="21" t="s">
        <v>413</v>
      </c>
      <c r="D172" s="21">
        <v>1280000</v>
      </c>
      <c r="E172" s="21" t="s">
        <v>500</v>
      </c>
      <c r="F172" s="21" t="str">
        <f t="shared" si="4"/>
        <v>rtdc.l.rtdc.4018:itc</v>
      </c>
      <c r="G172" s="8">
        <f t="shared" si="5"/>
        <v>42680.7659375</v>
      </c>
    </row>
    <row r="173" spans="1:7" x14ac:dyDescent="0.25">
      <c r="A173" s="8">
        <v>42680.767835648148</v>
      </c>
      <c r="B173" s="21" t="s">
        <v>323</v>
      </c>
      <c r="C173" s="21" t="s">
        <v>413</v>
      </c>
      <c r="D173" s="21">
        <v>1280000</v>
      </c>
      <c r="E173" s="21" t="s">
        <v>500</v>
      </c>
      <c r="F173" s="21" t="str">
        <f t="shared" si="4"/>
        <v>rtdc.l.rtdc.4018:itc</v>
      </c>
      <c r="G173" s="8">
        <f t="shared" si="5"/>
        <v>42680.767835648148</v>
      </c>
    </row>
    <row r="174" spans="1:7" x14ac:dyDescent="0.25">
      <c r="A174" s="8">
        <v>42680.770219907405</v>
      </c>
      <c r="B174" s="21" t="s">
        <v>232</v>
      </c>
      <c r="C174" s="21" t="s">
        <v>578</v>
      </c>
      <c r="D174" s="21">
        <v>1800000</v>
      </c>
      <c r="E174" s="21" t="s">
        <v>257</v>
      </c>
      <c r="F174" s="21" t="str">
        <f t="shared" si="4"/>
        <v>rtdc.l.rtdc.4011:itc</v>
      </c>
      <c r="G174" s="8">
        <f t="shared" si="5"/>
        <v>42680.770219907405</v>
      </c>
    </row>
    <row r="175" spans="1:7" x14ac:dyDescent="0.25">
      <c r="A175" s="8">
        <v>42680.770833333336</v>
      </c>
      <c r="B175" s="21" t="s">
        <v>247</v>
      </c>
      <c r="C175" s="21" t="s">
        <v>579</v>
      </c>
      <c r="D175" s="21">
        <v>1770000</v>
      </c>
      <c r="E175" s="21" t="s">
        <v>505</v>
      </c>
      <c r="F175" s="21" t="str">
        <f t="shared" si="4"/>
        <v>rtdc.l.rtdc.4022:itc</v>
      </c>
      <c r="G175" s="8">
        <f t="shared" si="5"/>
        <v>42680.770833333336</v>
      </c>
    </row>
    <row r="176" spans="1:7" x14ac:dyDescent="0.25">
      <c r="A176" s="8">
        <v>42680.772268518522</v>
      </c>
      <c r="B176" s="21" t="s">
        <v>189</v>
      </c>
      <c r="C176" s="21" t="s">
        <v>580</v>
      </c>
      <c r="D176" s="21">
        <v>2250000</v>
      </c>
      <c r="E176" s="21" t="s">
        <v>263</v>
      </c>
      <c r="F176" s="21" t="str">
        <f t="shared" si="4"/>
        <v>rtdc.l.rtdc.4010:itc</v>
      </c>
      <c r="G176" s="8">
        <f t="shared" si="5"/>
        <v>42680.772268518522</v>
      </c>
    </row>
    <row r="177" spans="1:7" x14ac:dyDescent="0.25">
      <c r="A177" s="8">
        <v>42680.779687499999</v>
      </c>
      <c r="B177" s="21" t="s">
        <v>240</v>
      </c>
      <c r="C177" s="21" t="s">
        <v>581</v>
      </c>
      <c r="D177" s="21">
        <v>2280000</v>
      </c>
      <c r="E177" s="21" t="s">
        <v>508</v>
      </c>
      <c r="F177" s="21" t="str">
        <f t="shared" si="4"/>
        <v>rtdc.l.rtdc.4040:itc</v>
      </c>
      <c r="G177" s="8">
        <f t="shared" si="5"/>
        <v>42680.779687499999</v>
      </c>
    </row>
    <row r="178" spans="1:7" x14ac:dyDescent="0.25">
      <c r="A178" s="8">
        <v>42680.779907407406</v>
      </c>
      <c r="B178" s="21" t="s">
        <v>271</v>
      </c>
      <c r="C178" s="21" t="s">
        <v>414</v>
      </c>
      <c r="D178" s="21">
        <v>2260000</v>
      </c>
      <c r="E178" s="21" t="s">
        <v>424</v>
      </c>
      <c r="F178" s="21" t="str">
        <f t="shared" si="4"/>
        <v>rtdc.l.rtdc.4032:itc</v>
      </c>
      <c r="G178" s="8">
        <f t="shared" si="5"/>
        <v>42680.779907407406</v>
      </c>
    </row>
    <row r="179" spans="1:7" x14ac:dyDescent="0.25">
      <c r="A179" s="8">
        <v>42680.785520833335</v>
      </c>
      <c r="B179" s="21" t="s">
        <v>396</v>
      </c>
      <c r="C179" s="21" t="s">
        <v>582</v>
      </c>
      <c r="D179" s="21">
        <v>2020000</v>
      </c>
      <c r="E179" s="21" t="s">
        <v>350</v>
      </c>
      <c r="F179" s="21" t="str">
        <f t="shared" si="4"/>
        <v>rtdc.l.rtdc.4045:itc</v>
      </c>
      <c r="G179" s="8">
        <f t="shared" si="5"/>
        <v>42680.785520833335</v>
      </c>
    </row>
    <row r="180" spans="1:7" x14ac:dyDescent="0.25">
      <c r="A180" s="8">
        <v>42680.786828703705</v>
      </c>
      <c r="B180" s="21" t="s">
        <v>193</v>
      </c>
      <c r="C180" s="21" t="s">
        <v>583</v>
      </c>
      <c r="D180" s="21">
        <v>1180000</v>
      </c>
      <c r="E180" s="21" t="s">
        <v>564</v>
      </c>
      <c r="F180" s="21" t="str">
        <f t="shared" si="4"/>
        <v>rtdc.l.rtdc.4007:itc</v>
      </c>
      <c r="G180" s="8">
        <f t="shared" si="5"/>
        <v>42680.786828703705</v>
      </c>
    </row>
    <row r="181" spans="1:7" x14ac:dyDescent="0.25">
      <c r="A181" s="8">
        <v>42680.797500000001</v>
      </c>
      <c r="B181" s="21" t="s">
        <v>284</v>
      </c>
      <c r="C181" s="21" t="s">
        <v>584</v>
      </c>
      <c r="D181" s="21">
        <v>2350000</v>
      </c>
      <c r="E181" s="21" t="s">
        <v>351</v>
      </c>
      <c r="F181" s="21" t="str">
        <f t="shared" si="4"/>
        <v>rtdc.l.rtdc.4041:itc</v>
      </c>
      <c r="G181" s="8">
        <f t="shared" si="5"/>
        <v>42680.797500000001</v>
      </c>
    </row>
    <row r="182" spans="1:7" x14ac:dyDescent="0.25">
      <c r="A182" s="8">
        <v>42680.799722222226</v>
      </c>
      <c r="B182" s="21" t="s">
        <v>156</v>
      </c>
      <c r="C182" s="21" t="s">
        <v>415</v>
      </c>
      <c r="D182" s="21">
        <v>1810000</v>
      </c>
      <c r="E182" s="21" t="s">
        <v>585</v>
      </c>
      <c r="F182" s="21" t="str">
        <f t="shared" si="4"/>
        <v>rtdc.l.rtdc.4051:itc</v>
      </c>
      <c r="G182" s="8">
        <f t="shared" si="5"/>
        <v>42680.799722222226</v>
      </c>
    </row>
    <row r="183" spans="1:7" x14ac:dyDescent="0.25">
      <c r="A183" s="8">
        <v>42680.800833333335</v>
      </c>
      <c r="B183" s="21" t="s">
        <v>192</v>
      </c>
      <c r="C183" s="21" t="s">
        <v>586</v>
      </c>
      <c r="D183" s="21">
        <v>1140000</v>
      </c>
      <c r="E183" s="21" t="s">
        <v>511</v>
      </c>
      <c r="F183" s="21" t="str">
        <f t="shared" si="4"/>
        <v>rtdc.l.rtdc.4044:itc</v>
      </c>
      <c r="G183" s="8">
        <f t="shared" si="5"/>
        <v>42680.800833333335</v>
      </c>
    </row>
    <row r="184" spans="1:7" x14ac:dyDescent="0.25">
      <c r="A184" s="8">
        <v>42680.803831018522</v>
      </c>
      <c r="B184" s="21" t="s">
        <v>320</v>
      </c>
      <c r="C184" s="21" t="s">
        <v>587</v>
      </c>
      <c r="D184" s="21">
        <v>2260000</v>
      </c>
      <c r="E184" s="21" t="s">
        <v>424</v>
      </c>
      <c r="F184" s="21" t="str">
        <f t="shared" si="4"/>
        <v>rtdc.l.rtdc.4031:itc</v>
      </c>
      <c r="G184" s="8">
        <f t="shared" si="5"/>
        <v>42680.803831018522</v>
      </c>
    </row>
    <row r="185" spans="1:7" x14ac:dyDescent="0.25">
      <c r="A185" s="8">
        <v>42680.807384259257</v>
      </c>
      <c r="B185" s="21" t="s">
        <v>190</v>
      </c>
      <c r="C185" s="21" t="s">
        <v>588</v>
      </c>
      <c r="D185" s="21">
        <v>2250000</v>
      </c>
      <c r="E185" s="21" t="s">
        <v>263</v>
      </c>
      <c r="F185" s="21" t="str">
        <f t="shared" si="4"/>
        <v>rtdc.l.rtdc.4009:itc</v>
      </c>
      <c r="G185" s="8">
        <f t="shared" si="5"/>
        <v>42680.807384259257</v>
      </c>
    </row>
    <row r="186" spans="1:7" x14ac:dyDescent="0.25">
      <c r="A186" s="8">
        <v>42680.807881944442</v>
      </c>
      <c r="B186" s="21" t="s">
        <v>156</v>
      </c>
      <c r="C186" s="21" t="s">
        <v>415</v>
      </c>
      <c r="D186" s="21">
        <v>1810000</v>
      </c>
      <c r="E186" s="21" t="s">
        <v>585</v>
      </c>
      <c r="F186" s="21" t="str">
        <f t="shared" si="4"/>
        <v>rtdc.l.rtdc.4051:itc</v>
      </c>
      <c r="G186" s="8">
        <f t="shared" si="5"/>
        <v>42680.807881944442</v>
      </c>
    </row>
    <row r="187" spans="1:7" x14ac:dyDescent="0.25">
      <c r="A187" s="8">
        <v>42680.808749999997</v>
      </c>
      <c r="B187" s="21" t="s">
        <v>345</v>
      </c>
      <c r="C187" s="21" t="s">
        <v>589</v>
      </c>
      <c r="D187" s="21">
        <v>1800000</v>
      </c>
      <c r="E187" s="21" t="s">
        <v>257</v>
      </c>
      <c r="F187" s="21" t="str">
        <f t="shared" si="4"/>
        <v>rtdc.l.rtdc.4012:itc</v>
      </c>
      <c r="G187" s="8">
        <f t="shared" si="5"/>
        <v>42680.808749999997</v>
      </c>
    </row>
    <row r="188" spans="1:7" x14ac:dyDescent="0.25">
      <c r="A188" s="8">
        <v>42680.817442129628</v>
      </c>
      <c r="B188" s="21" t="s">
        <v>399</v>
      </c>
      <c r="C188" s="21" t="s">
        <v>590</v>
      </c>
      <c r="D188" s="21">
        <v>2020000</v>
      </c>
      <c r="E188" s="21" t="s">
        <v>350</v>
      </c>
      <c r="F188" s="21" t="str">
        <f t="shared" si="4"/>
        <v>rtdc.l.rtdc.4046:itc</v>
      </c>
      <c r="G188" s="8">
        <f t="shared" si="5"/>
        <v>42680.817442129628</v>
      </c>
    </row>
    <row r="189" spans="1:7" x14ac:dyDescent="0.25">
      <c r="A189" s="8">
        <v>42680.818564814814</v>
      </c>
      <c r="B189" s="21" t="s">
        <v>271</v>
      </c>
      <c r="C189" s="21" t="s">
        <v>587</v>
      </c>
      <c r="D189" s="21">
        <v>2260000</v>
      </c>
      <c r="E189" s="21" t="s">
        <v>424</v>
      </c>
      <c r="F189" s="21" t="str">
        <f t="shared" si="4"/>
        <v>rtdc.l.rtdc.4032:itc</v>
      </c>
      <c r="G189" s="8">
        <f t="shared" si="5"/>
        <v>42680.818564814814</v>
      </c>
    </row>
    <row r="190" spans="1:7" x14ac:dyDescent="0.25">
      <c r="A190" s="8">
        <v>42680.819432870368</v>
      </c>
      <c r="B190" s="21" t="s">
        <v>271</v>
      </c>
      <c r="C190" s="21" t="s">
        <v>591</v>
      </c>
      <c r="D190" s="21">
        <v>2260000</v>
      </c>
      <c r="E190" s="21" t="s">
        <v>424</v>
      </c>
      <c r="F190" s="21" t="str">
        <f t="shared" si="4"/>
        <v>rtdc.l.rtdc.4032:itc</v>
      </c>
      <c r="G190" s="8">
        <f t="shared" si="5"/>
        <v>42680.819432870368</v>
      </c>
    </row>
    <row r="191" spans="1:7" x14ac:dyDescent="0.25">
      <c r="A191" s="8">
        <v>42680.823113425926</v>
      </c>
      <c r="B191" s="21" t="s">
        <v>285</v>
      </c>
      <c r="C191" s="21" t="s">
        <v>592</v>
      </c>
      <c r="D191" s="21">
        <v>1180000</v>
      </c>
      <c r="E191" s="21" t="s">
        <v>564</v>
      </c>
      <c r="F191" s="21" t="str">
        <f t="shared" si="4"/>
        <v>rtdc.l.rtdc.4008:itc</v>
      </c>
      <c r="G191" s="8">
        <f t="shared" si="5"/>
        <v>42680.823113425926</v>
      </c>
    </row>
    <row r="192" spans="1:7" x14ac:dyDescent="0.25">
      <c r="A192" s="8">
        <v>42680.826724537037</v>
      </c>
      <c r="B192" s="21" t="s">
        <v>157</v>
      </c>
      <c r="C192" s="21" t="s">
        <v>593</v>
      </c>
      <c r="D192" s="21">
        <v>1810000</v>
      </c>
      <c r="E192" s="21" t="s">
        <v>585</v>
      </c>
      <c r="F192" s="21" t="str">
        <f t="shared" si="4"/>
        <v>rtdc.l.rtdc.4052:itc</v>
      </c>
      <c r="G192" s="8">
        <f t="shared" si="5"/>
        <v>42680.826724537037</v>
      </c>
    </row>
    <row r="193" spans="1:7" x14ac:dyDescent="0.25">
      <c r="A193" s="8">
        <v>42680.828530092593</v>
      </c>
      <c r="B193" s="21" t="s">
        <v>287</v>
      </c>
      <c r="C193" s="21" t="s">
        <v>416</v>
      </c>
      <c r="D193" s="21">
        <v>2350000</v>
      </c>
      <c r="E193" s="21" t="s">
        <v>351</v>
      </c>
      <c r="F193" s="21" t="str">
        <f t="shared" si="4"/>
        <v>rtdc.l.rtdc.4042:itc</v>
      </c>
      <c r="G193" s="8">
        <f t="shared" si="5"/>
        <v>42680.828530092593</v>
      </c>
    </row>
    <row r="194" spans="1:7" x14ac:dyDescent="0.25">
      <c r="A194" s="8">
        <v>42680.833344907405</v>
      </c>
      <c r="B194" s="21" t="s">
        <v>157</v>
      </c>
      <c r="C194" s="21" t="s">
        <v>594</v>
      </c>
      <c r="D194" s="21">
        <v>1810000</v>
      </c>
      <c r="E194" s="21" t="s">
        <v>585</v>
      </c>
      <c r="F194" s="21" t="str">
        <f t="shared" ref="F194:F235" si="6">B194</f>
        <v>rtdc.l.rtdc.4052:itc</v>
      </c>
      <c r="G194" s="8">
        <f t="shared" ref="G194:G235" si="7">A194</f>
        <v>42680.833344907405</v>
      </c>
    </row>
    <row r="195" spans="1:7" x14ac:dyDescent="0.25">
      <c r="A195" s="8">
        <v>42680.844571759262</v>
      </c>
      <c r="B195" s="21" t="s">
        <v>320</v>
      </c>
      <c r="C195" s="21" t="s">
        <v>595</v>
      </c>
      <c r="D195" s="21">
        <v>2260000</v>
      </c>
      <c r="E195" s="21" t="s">
        <v>424</v>
      </c>
      <c r="F195" s="21" t="str">
        <f t="shared" si="6"/>
        <v>rtdc.l.rtdc.4031:itc</v>
      </c>
      <c r="G195" s="8">
        <f t="shared" si="7"/>
        <v>42680.844571759262</v>
      </c>
    </row>
    <row r="196" spans="1:7" x14ac:dyDescent="0.25">
      <c r="A196" s="8">
        <v>42680.84511574074</v>
      </c>
      <c r="B196" s="21" t="s">
        <v>189</v>
      </c>
      <c r="C196" s="21" t="s">
        <v>596</v>
      </c>
      <c r="D196" s="21">
        <v>2250000</v>
      </c>
      <c r="E196" s="21" t="s">
        <v>263</v>
      </c>
      <c r="F196" s="21" t="str">
        <f t="shared" si="6"/>
        <v>rtdc.l.rtdc.4010:itc</v>
      </c>
      <c r="G196" s="8">
        <f t="shared" si="7"/>
        <v>42680.84511574074</v>
      </c>
    </row>
    <row r="197" spans="1:7" x14ac:dyDescent="0.25">
      <c r="A197" s="8">
        <v>42680.854363425926</v>
      </c>
      <c r="B197" s="21" t="s">
        <v>232</v>
      </c>
      <c r="C197" s="21" t="s">
        <v>597</v>
      </c>
      <c r="D197" s="21">
        <v>1800000</v>
      </c>
      <c r="E197" s="21" t="s">
        <v>257</v>
      </c>
      <c r="F197" s="21" t="str">
        <f t="shared" si="6"/>
        <v>rtdc.l.rtdc.4011:itc</v>
      </c>
      <c r="G197" s="8">
        <f t="shared" si="7"/>
        <v>42680.854363425926</v>
      </c>
    </row>
    <row r="198" spans="1:7" x14ac:dyDescent="0.25">
      <c r="A198" s="8">
        <v>42680.855324074073</v>
      </c>
      <c r="B198" s="21" t="s">
        <v>232</v>
      </c>
      <c r="C198" s="21" t="s">
        <v>597</v>
      </c>
      <c r="D198" s="21">
        <v>1800000</v>
      </c>
      <c r="E198" s="21" t="s">
        <v>257</v>
      </c>
      <c r="F198" s="21" t="str">
        <f t="shared" si="6"/>
        <v>rtdc.l.rtdc.4011:itc</v>
      </c>
      <c r="G198" s="8">
        <f t="shared" si="7"/>
        <v>42680.855324074073</v>
      </c>
    </row>
    <row r="199" spans="1:7" x14ac:dyDescent="0.25">
      <c r="A199" s="8">
        <v>42680.857557870368</v>
      </c>
      <c r="B199" s="21" t="s">
        <v>156</v>
      </c>
      <c r="C199" s="21" t="s">
        <v>415</v>
      </c>
      <c r="D199" s="21">
        <v>1810000</v>
      </c>
      <c r="E199" s="21" t="s">
        <v>585</v>
      </c>
      <c r="F199" s="21" t="str">
        <f t="shared" si="6"/>
        <v>rtdc.l.rtdc.4051:itc</v>
      </c>
      <c r="G199" s="8">
        <f t="shared" si="7"/>
        <v>42680.857557870368</v>
      </c>
    </row>
    <row r="200" spans="1:7" x14ac:dyDescent="0.25">
      <c r="A200" s="8">
        <v>42680.859675925924</v>
      </c>
      <c r="B200" s="21" t="s">
        <v>271</v>
      </c>
      <c r="C200" s="21" t="s">
        <v>598</v>
      </c>
      <c r="D200" s="21">
        <v>2260000</v>
      </c>
      <c r="E200" s="21" t="s">
        <v>424</v>
      </c>
      <c r="F200" s="21" t="str">
        <f t="shared" si="6"/>
        <v>rtdc.l.rtdc.4032:itc</v>
      </c>
      <c r="G200" s="8">
        <f t="shared" si="7"/>
        <v>42680.859675925924</v>
      </c>
    </row>
    <row r="201" spans="1:7" x14ac:dyDescent="0.25">
      <c r="A201" s="8">
        <v>42680.866064814814</v>
      </c>
      <c r="B201" s="21" t="s">
        <v>284</v>
      </c>
      <c r="C201" s="21" t="s">
        <v>599</v>
      </c>
      <c r="D201" s="21">
        <v>2350000</v>
      </c>
      <c r="E201" s="21" t="s">
        <v>351</v>
      </c>
      <c r="F201" s="21" t="str">
        <f t="shared" si="6"/>
        <v>rtdc.l.rtdc.4041:itc</v>
      </c>
      <c r="G201" s="8">
        <f t="shared" si="7"/>
        <v>42680.866064814814</v>
      </c>
    </row>
    <row r="202" spans="1:7" x14ac:dyDescent="0.25">
      <c r="A202" s="27">
        <v>42680.869212962964</v>
      </c>
      <c r="B202" s="21" t="s">
        <v>193</v>
      </c>
      <c r="C202" s="21" t="s">
        <v>600</v>
      </c>
      <c r="D202" s="21">
        <v>1180000</v>
      </c>
      <c r="E202" s="21" t="s">
        <v>564</v>
      </c>
      <c r="F202" s="21" t="str">
        <f t="shared" si="6"/>
        <v>rtdc.l.rtdc.4007:itc</v>
      </c>
      <c r="G202" s="8">
        <f t="shared" si="7"/>
        <v>42680.869212962964</v>
      </c>
    </row>
    <row r="203" spans="1:7" x14ac:dyDescent="0.25">
      <c r="A203" s="8">
        <v>42680.888368055559</v>
      </c>
      <c r="B203" s="21" t="s">
        <v>320</v>
      </c>
      <c r="C203" s="21" t="s">
        <v>601</v>
      </c>
      <c r="D203" s="21">
        <v>2260000</v>
      </c>
      <c r="E203" s="21" t="s">
        <v>424</v>
      </c>
      <c r="F203" s="21" t="str">
        <f t="shared" si="6"/>
        <v>rtdc.l.rtdc.4031:itc</v>
      </c>
      <c r="G203" s="8">
        <f t="shared" si="7"/>
        <v>42680.888368055559</v>
      </c>
    </row>
    <row r="204" spans="1:7" x14ac:dyDescent="0.25">
      <c r="A204" s="8">
        <v>42680.889050925929</v>
      </c>
      <c r="B204" s="21" t="s">
        <v>190</v>
      </c>
      <c r="C204" s="21" t="s">
        <v>602</v>
      </c>
      <c r="D204" s="21">
        <v>2250000</v>
      </c>
      <c r="E204" s="21" t="s">
        <v>263</v>
      </c>
      <c r="F204" s="21" t="str">
        <f t="shared" si="6"/>
        <v>rtdc.l.rtdc.4009:itc</v>
      </c>
      <c r="G204" s="8">
        <f t="shared" si="7"/>
        <v>42680.889050925929</v>
      </c>
    </row>
    <row r="205" spans="1:7" x14ac:dyDescent="0.25">
      <c r="A205" s="8">
        <v>42680.891898148147</v>
      </c>
      <c r="B205" s="21" t="s">
        <v>345</v>
      </c>
      <c r="C205" s="21" t="s">
        <v>603</v>
      </c>
      <c r="D205" s="21">
        <v>1800000</v>
      </c>
      <c r="E205" s="21" t="s">
        <v>257</v>
      </c>
      <c r="F205" s="21" t="str">
        <f t="shared" si="6"/>
        <v>rtdc.l.rtdc.4012:itc</v>
      </c>
      <c r="G205" s="8">
        <f t="shared" si="7"/>
        <v>42680.891898148147</v>
      </c>
    </row>
    <row r="206" spans="1:7" x14ac:dyDescent="0.25">
      <c r="A206" s="8">
        <v>42680.897916666669</v>
      </c>
      <c r="B206" s="21" t="s">
        <v>156</v>
      </c>
      <c r="C206" s="21" t="s">
        <v>415</v>
      </c>
      <c r="D206" s="21">
        <v>1810000</v>
      </c>
      <c r="E206" s="21" t="s">
        <v>585</v>
      </c>
      <c r="F206" s="21" t="str">
        <f t="shared" si="6"/>
        <v>rtdc.l.rtdc.4051:itc</v>
      </c>
      <c r="G206" s="8">
        <f t="shared" si="7"/>
        <v>42680.897916666669</v>
      </c>
    </row>
    <row r="207" spans="1:7" x14ac:dyDescent="0.25">
      <c r="A207" s="8">
        <v>42680.901493055557</v>
      </c>
      <c r="B207" s="21" t="s">
        <v>271</v>
      </c>
      <c r="C207" s="21" t="s">
        <v>604</v>
      </c>
      <c r="D207" s="21">
        <v>2260000</v>
      </c>
      <c r="E207" s="21" t="s">
        <v>424</v>
      </c>
      <c r="F207" s="21" t="str">
        <f t="shared" si="6"/>
        <v>rtdc.l.rtdc.4032:itc</v>
      </c>
      <c r="G207" s="8">
        <f t="shared" si="7"/>
        <v>42680.901493055557</v>
      </c>
    </row>
    <row r="208" spans="1:7" x14ac:dyDescent="0.25">
      <c r="A208" s="8">
        <v>42680.90997685185</v>
      </c>
      <c r="B208" s="21" t="s">
        <v>285</v>
      </c>
      <c r="C208" s="21" t="s">
        <v>605</v>
      </c>
      <c r="D208" s="21">
        <v>1180000</v>
      </c>
      <c r="E208" s="21" t="s">
        <v>564</v>
      </c>
      <c r="F208" s="21" t="str">
        <f t="shared" si="6"/>
        <v>rtdc.l.rtdc.4008:itc</v>
      </c>
      <c r="G208" s="8">
        <f t="shared" si="7"/>
        <v>42680.90997685185</v>
      </c>
    </row>
    <row r="209" spans="1:7" x14ac:dyDescent="0.25">
      <c r="A209" s="8">
        <v>42680.910138888888</v>
      </c>
      <c r="B209" s="21" t="s">
        <v>287</v>
      </c>
      <c r="C209" s="21" t="s">
        <v>606</v>
      </c>
      <c r="D209" s="21">
        <v>2370000</v>
      </c>
      <c r="E209" s="21" t="s">
        <v>571</v>
      </c>
      <c r="F209" s="21" t="str">
        <f t="shared" si="6"/>
        <v>rtdc.l.rtdc.4042:itc</v>
      </c>
      <c r="G209" s="8">
        <f t="shared" si="7"/>
        <v>42680.910138888888</v>
      </c>
    </row>
    <row r="210" spans="1:7" x14ac:dyDescent="0.25">
      <c r="A210" s="8">
        <v>42680.924224537041</v>
      </c>
      <c r="B210" s="21" t="s">
        <v>320</v>
      </c>
      <c r="C210" s="21" t="s">
        <v>607</v>
      </c>
      <c r="D210" s="21">
        <v>2260000</v>
      </c>
      <c r="E210" s="21" t="s">
        <v>424</v>
      </c>
      <c r="F210" s="21" t="str">
        <f t="shared" si="6"/>
        <v>rtdc.l.rtdc.4031:itc</v>
      </c>
      <c r="G210" s="8">
        <f t="shared" si="7"/>
        <v>42680.924224537041</v>
      </c>
    </row>
    <row r="211" spans="1:7" x14ac:dyDescent="0.25">
      <c r="A211" s="8">
        <v>42680.925474537034</v>
      </c>
      <c r="B211" s="21" t="s">
        <v>189</v>
      </c>
      <c r="C211" s="21" t="s">
        <v>608</v>
      </c>
      <c r="D211" s="21">
        <v>2250000</v>
      </c>
      <c r="E211" s="21" t="s">
        <v>263</v>
      </c>
      <c r="F211" s="21" t="str">
        <f t="shared" si="6"/>
        <v>rtdc.l.rtdc.4010:itc</v>
      </c>
      <c r="G211" s="8">
        <f t="shared" si="7"/>
        <v>42680.925474537034</v>
      </c>
    </row>
    <row r="212" spans="1:7" x14ac:dyDescent="0.25">
      <c r="A212" s="8">
        <v>42680.935752314814</v>
      </c>
      <c r="B212" s="21" t="s">
        <v>232</v>
      </c>
      <c r="C212" s="21" t="s">
        <v>609</v>
      </c>
      <c r="D212" s="21">
        <v>1800000</v>
      </c>
      <c r="E212" s="21" t="s">
        <v>257</v>
      </c>
      <c r="F212" s="21" t="str">
        <f t="shared" si="6"/>
        <v>rtdc.l.rtdc.4011:itc</v>
      </c>
      <c r="G212" s="8">
        <f t="shared" si="7"/>
        <v>42680.935752314814</v>
      </c>
    </row>
    <row r="213" spans="1:7" x14ac:dyDescent="0.25">
      <c r="A213" s="8">
        <v>42680.944062499999</v>
      </c>
      <c r="B213" s="21" t="s">
        <v>271</v>
      </c>
      <c r="C213" s="21" t="s">
        <v>610</v>
      </c>
      <c r="D213" s="21">
        <v>2260000</v>
      </c>
      <c r="E213" s="21" t="s">
        <v>424</v>
      </c>
      <c r="F213" s="21" t="str">
        <f t="shared" si="6"/>
        <v>rtdc.l.rtdc.4032:itc</v>
      </c>
      <c r="G213" s="8">
        <f t="shared" si="7"/>
        <v>42680.944062499999</v>
      </c>
    </row>
    <row r="214" spans="1:7" x14ac:dyDescent="0.25">
      <c r="A214" s="8">
        <v>42680.95040509259</v>
      </c>
      <c r="B214" s="21" t="s">
        <v>284</v>
      </c>
      <c r="C214" s="21" t="s">
        <v>611</v>
      </c>
      <c r="D214" s="21">
        <v>2370000</v>
      </c>
      <c r="E214" s="21" t="s">
        <v>571</v>
      </c>
      <c r="F214" s="21" t="str">
        <f t="shared" si="6"/>
        <v>rtdc.l.rtdc.4041:itc</v>
      </c>
      <c r="G214" s="8">
        <f t="shared" si="7"/>
        <v>42680.95040509259</v>
      </c>
    </row>
    <row r="215" spans="1:7" x14ac:dyDescent="0.25">
      <c r="A215" s="8">
        <v>42680.952430555553</v>
      </c>
      <c r="B215" s="21" t="s">
        <v>193</v>
      </c>
      <c r="C215" s="21" t="s">
        <v>612</v>
      </c>
      <c r="D215" s="21">
        <v>1180000</v>
      </c>
      <c r="E215" s="21" t="s">
        <v>564</v>
      </c>
      <c r="F215" s="21" t="str">
        <f t="shared" si="6"/>
        <v>rtdc.l.rtdc.4007:itc</v>
      </c>
      <c r="G215" s="8">
        <f t="shared" si="7"/>
        <v>42680.952430555553</v>
      </c>
    </row>
    <row r="216" spans="1:7" x14ac:dyDescent="0.25">
      <c r="A216" s="8">
        <v>42680.967106481483</v>
      </c>
      <c r="B216" s="21" t="s">
        <v>190</v>
      </c>
      <c r="C216" s="21" t="s">
        <v>613</v>
      </c>
      <c r="D216" s="21">
        <v>2250000</v>
      </c>
      <c r="E216" s="21" t="s">
        <v>263</v>
      </c>
      <c r="F216" s="21" t="str">
        <f t="shared" si="6"/>
        <v>rtdc.l.rtdc.4009:itc</v>
      </c>
      <c r="G216" s="8">
        <f t="shared" si="7"/>
        <v>42680.967106481483</v>
      </c>
    </row>
    <row r="217" spans="1:7" x14ac:dyDescent="0.25">
      <c r="A217" s="8">
        <v>42680.975428240738</v>
      </c>
      <c r="B217" s="21" t="s">
        <v>345</v>
      </c>
      <c r="C217" s="21" t="s">
        <v>614</v>
      </c>
      <c r="D217" s="21">
        <v>1800000</v>
      </c>
      <c r="E217" s="21" t="s">
        <v>257</v>
      </c>
      <c r="F217" s="21" t="str">
        <f t="shared" si="6"/>
        <v>rtdc.l.rtdc.4012:itc</v>
      </c>
      <c r="G217" s="8">
        <f t="shared" si="7"/>
        <v>42680.975428240738</v>
      </c>
    </row>
    <row r="218" spans="1:7" x14ac:dyDescent="0.25">
      <c r="A218" s="8">
        <v>42680.99386574074</v>
      </c>
      <c r="B218" s="21" t="s">
        <v>285</v>
      </c>
      <c r="C218" s="21" t="s">
        <v>615</v>
      </c>
      <c r="D218" s="21">
        <v>1180000</v>
      </c>
      <c r="E218" s="21" t="s">
        <v>564</v>
      </c>
      <c r="F218" s="21" t="str">
        <f t="shared" si="6"/>
        <v>rtdc.l.rtdc.4008:itc</v>
      </c>
      <c r="G218" s="8">
        <f t="shared" si="7"/>
        <v>42680.99386574074</v>
      </c>
    </row>
    <row r="219" spans="1:7" x14ac:dyDescent="0.25">
      <c r="A219" s="8">
        <v>42680.993923611109</v>
      </c>
      <c r="B219" s="21" t="s">
        <v>287</v>
      </c>
      <c r="C219" s="21" t="s">
        <v>616</v>
      </c>
      <c r="D219" s="21">
        <v>2370000</v>
      </c>
      <c r="E219" s="21" t="s">
        <v>571</v>
      </c>
      <c r="F219" s="21" t="str">
        <f t="shared" si="6"/>
        <v>rtdc.l.rtdc.4042:itc</v>
      </c>
      <c r="G219" s="8">
        <f t="shared" si="7"/>
        <v>42680.993923611109</v>
      </c>
    </row>
    <row r="220" spans="1:7" x14ac:dyDescent="0.25">
      <c r="A220" s="8">
        <v>42681.011018518519</v>
      </c>
      <c r="B220" s="21" t="s">
        <v>189</v>
      </c>
      <c r="C220" s="21" t="s">
        <v>617</v>
      </c>
      <c r="D220" s="21">
        <v>2250000</v>
      </c>
      <c r="E220" s="21" t="s">
        <v>263</v>
      </c>
      <c r="F220" s="21" t="str">
        <f t="shared" si="6"/>
        <v>rtdc.l.rtdc.4010:itc</v>
      </c>
      <c r="G220" s="8">
        <f t="shared" si="7"/>
        <v>42681.011018518519</v>
      </c>
    </row>
    <row r="221" spans="1:7" x14ac:dyDescent="0.25">
      <c r="A221" s="8">
        <v>42681.016631944447</v>
      </c>
      <c r="B221" s="21" t="s">
        <v>232</v>
      </c>
      <c r="C221" s="21" t="s">
        <v>618</v>
      </c>
      <c r="D221" s="21">
        <v>1800000</v>
      </c>
      <c r="E221" s="21" t="s">
        <v>257</v>
      </c>
      <c r="F221" s="21" t="str">
        <f t="shared" si="6"/>
        <v>rtdc.l.rtdc.4011:itc</v>
      </c>
      <c r="G221" s="8">
        <f t="shared" si="7"/>
        <v>42681.016631944447</v>
      </c>
    </row>
    <row r="222" spans="1:7" x14ac:dyDescent="0.25">
      <c r="A222" s="8">
        <v>42681.027280092596</v>
      </c>
      <c r="B222" s="21" t="s">
        <v>193</v>
      </c>
      <c r="C222" s="21" t="s">
        <v>619</v>
      </c>
      <c r="D222" s="21">
        <v>1180000</v>
      </c>
      <c r="E222" s="21" t="s">
        <v>564</v>
      </c>
      <c r="F222" s="21" t="str">
        <f t="shared" si="6"/>
        <v>rtdc.l.rtdc.4007:itc</v>
      </c>
      <c r="G222" s="8">
        <f t="shared" si="7"/>
        <v>42681.027280092596</v>
      </c>
    </row>
    <row r="223" spans="1:7" x14ac:dyDescent="0.25">
      <c r="A223" s="8">
        <v>42681.028391203705</v>
      </c>
      <c r="B223" s="21" t="s">
        <v>193</v>
      </c>
      <c r="C223" s="21" t="s">
        <v>619</v>
      </c>
      <c r="D223" s="21">
        <v>1180000</v>
      </c>
      <c r="E223" s="21" t="s">
        <v>564</v>
      </c>
      <c r="F223" s="21" t="str">
        <f t="shared" si="6"/>
        <v>rtdc.l.rtdc.4007:itc</v>
      </c>
      <c r="G223" s="8">
        <f t="shared" si="7"/>
        <v>42681.028391203705</v>
      </c>
    </row>
    <row r="224" spans="1:7" x14ac:dyDescent="0.25">
      <c r="A224" s="8">
        <v>42681.03398148148</v>
      </c>
      <c r="B224" t="s">
        <v>284</v>
      </c>
      <c r="C224" t="s">
        <v>620</v>
      </c>
      <c r="D224">
        <v>2350000</v>
      </c>
      <c r="E224" t="s">
        <v>351</v>
      </c>
      <c r="F224" s="21" t="str">
        <f t="shared" si="6"/>
        <v>rtdc.l.rtdc.4041:itc</v>
      </c>
      <c r="G224" s="8">
        <f t="shared" si="7"/>
        <v>42681.03398148148</v>
      </c>
    </row>
    <row r="225" spans="1:7" x14ac:dyDescent="0.25">
      <c r="A225" s="8">
        <v>42681.058032407411</v>
      </c>
      <c r="B225" t="s">
        <v>345</v>
      </c>
      <c r="C225" t="s">
        <v>195</v>
      </c>
      <c r="D225">
        <v>1800000</v>
      </c>
      <c r="E225" t="s">
        <v>257</v>
      </c>
      <c r="F225" s="21" t="str">
        <f t="shared" si="6"/>
        <v>rtdc.l.rtdc.4012:itc</v>
      </c>
      <c r="G225" s="8">
        <f t="shared" si="7"/>
        <v>42681.058032407411</v>
      </c>
    </row>
    <row r="226" spans="1:7" x14ac:dyDescent="0.25">
      <c r="A226" s="8">
        <v>42681.068009259259</v>
      </c>
      <c r="B226" t="s">
        <v>287</v>
      </c>
      <c r="C226" t="s">
        <v>621</v>
      </c>
      <c r="D226">
        <v>2350000</v>
      </c>
      <c r="E226" t="s">
        <v>351</v>
      </c>
      <c r="F226" s="21" t="str">
        <f t="shared" si="6"/>
        <v>rtdc.l.rtdc.4042:itc</v>
      </c>
      <c r="G226" s="8">
        <f t="shared" si="7"/>
        <v>42681.068009259259</v>
      </c>
    </row>
    <row r="227" spans="1:7" x14ac:dyDescent="0.25">
      <c r="A227" s="8">
        <v>42677.973078703704</v>
      </c>
      <c r="B227" t="s">
        <v>246</v>
      </c>
      <c r="C227" t="s">
        <v>352</v>
      </c>
      <c r="D227">
        <v>2250000</v>
      </c>
      <c r="E227" t="s">
        <v>263</v>
      </c>
      <c r="F227" s="21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271</v>
      </c>
      <c r="C228" t="s">
        <v>353</v>
      </c>
      <c r="D228">
        <v>2430000</v>
      </c>
      <c r="E228" t="s">
        <v>274</v>
      </c>
      <c r="F228" s="21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347</v>
      </c>
      <c r="C229" t="s">
        <v>348</v>
      </c>
      <c r="D229">
        <v>1300000</v>
      </c>
      <c r="E229" t="s">
        <v>113</v>
      </c>
      <c r="F229" s="21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322</v>
      </c>
      <c r="C230" t="s">
        <v>354</v>
      </c>
      <c r="D230">
        <v>2000000</v>
      </c>
      <c r="E230" t="s">
        <v>288</v>
      </c>
      <c r="F230" s="21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245</v>
      </c>
      <c r="C231" t="s">
        <v>355</v>
      </c>
      <c r="D231">
        <v>2250000</v>
      </c>
      <c r="E231" t="s">
        <v>263</v>
      </c>
      <c r="F231" s="21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320</v>
      </c>
      <c r="C232" t="s">
        <v>356</v>
      </c>
      <c r="D232">
        <v>2430000</v>
      </c>
      <c r="E232" t="s">
        <v>274</v>
      </c>
      <c r="F232" s="21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320</v>
      </c>
      <c r="C233" t="s">
        <v>356</v>
      </c>
      <c r="D233">
        <v>2430000</v>
      </c>
      <c r="E233" t="s">
        <v>274</v>
      </c>
      <c r="F233" s="21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346</v>
      </c>
      <c r="C234" t="s">
        <v>357</v>
      </c>
      <c r="D234">
        <v>1300000</v>
      </c>
      <c r="E234" t="s">
        <v>113</v>
      </c>
      <c r="F234" s="21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246</v>
      </c>
      <c r="C235" t="s">
        <v>358</v>
      </c>
      <c r="D235">
        <v>2250000</v>
      </c>
      <c r="E235" t="s">
        <v>263</v>
      </c>
      <c r="F235" s="21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246</v>
      </c>
      <c r="C236" t="s">
        <v>358</v>
      </c>
      <c r="D236">
        <v>2250000</v>
      </c>
      <c r="E236" t="s">
        <v>263</v>
      </c>
      <c r="F236" s="21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246</v>
      </c>
      <c r="C237" t="s">
        <v>358</v>
      </c>
      <c r="D237">
        <v>2250000</v>
      </c>
      <c r="E237" t="s">
        <v>263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328</v>
      </c>
      <c r="C238" t="s">
        <v>359</v>
      </c>
      <c r="D238">
        <v>2000000</v>
      </c>
      <c r="E238" t="s">
        <v>288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347</v>
      </c>
      <c r="C239" t="s">
        <v>360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322</v>
      </c>
      <c r="C240" t="s">
        <v>361</v>
      </c>
      <c r="D240">
        <v>2000000</v>
      </c>
      <c r="E240" t="s">
        <v>288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285</v>
      </c>
      <c r="C241" t="s">
        <v>325</v>
      </c>
      <c r="D241">
        <v>2250000</v>
      </c>
      <c r="E241" t="s">
        <v>263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241</v>
      </c>
      <c r="C242" t="s">
        <v>329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193</v>
      </c>
      <c r="C243" t="s">
        <v>330</v>
      </c>
      <c r="D243">
        <v>2250000</v>
      </c>
      <c r="E243" t="s">
        <v>263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234</v>
      </c>
      <c r="C244" t="s">
        <v>290</v>
      </c>
      <c r="D244">
        <v>2430000</v>
      </c>
      <c r="E244" t="s">
        <v>274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264</v>
      </c>
      <c r="C245" t="s">
        <v>289</v>
      </c>
      <c r="D245">
        <v>2000000</v>
      </c>
      <c r="E245" t="s">
        <v>288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226</v>
      </c>
      <c r="C246" t="s">
        <v>291</v>
      </c>
      <c r="D246">
        <v>2250000</v>
      </c>
      <c r="E246" t="s">
        <v>263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240</v>
      </c>
      <c r="C247" t="s">
        <v>292</v>
      </c>
      <c r="D247">
        <v>1800000</v>
      </c>
      <c r="E247" t="s">
        <v>257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273</v>
      </c>
      <c r="C248" t="s">
        <v>293</v>
      </c>
      <c r="D248">
        <v>2000000</v>
      </c>
      <c r="E248" t="s">
        <v>288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284</v>
      </c>
      <c r="C249" t="s">
        <v>294</v>
      </c>
      <c r="D249">
        <v>2480000</v>
      </c>
      <c r="E249" t="s">
        <v>275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247</v>
      </c>
      <c r="C250" t="s">
        <v>295</v>
      </c>
      <c r="D250">
        <v>2430000</v>
      </c>
      <c r="E250" t="s">
        <v>274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225</v>
      </c>
      <c r="C251" t="s">
        <v>296</v>
      </c>
      <c r="D251">
        <v>2250000</v>
      </c>
      <c r="E251" t="s">
        <v>263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270</v>
      </c>
      <c r="C252" t="s">
        <v>297</v>
      </c>
      <c r="D252">
        <v>1800000</v>
      </c>
      <c r="E252" t="s">
        <v>257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287</v>
      </c>
      <c r="C253" t="s">
        <v>298</v>
      </c>
      <c r="D253">
        <v>2480000</v>
      </c>
      <c r="E253" t="s">
        <v>275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234</v>
      </c>
      <c r="C254" t="s">
        <v>299</v>
      </c>
      <c r="D254">
        <v>2430000</v>
      </c>
      <c r="E254" t="s">
        <v>274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226</v>
      </c>
      <c r="C255" t="s">
        <v>300</v>
      </c>
      <c r="D255">
        <v>2250000</v>
      </c>
      <c r="E255" t="s">
        <v>263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240</v>
      </c>
      <c r="C256" t="s">
        <v>301</v>
      </c>
      <c r="D256">
        <v>1800000</v>
      </c>
      <c r="E256" t="s">
        <v>257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247</v>
      </c>
      <c r="C257" t="s">
        <v>302</v>
      </c>
      <c r="D257">
        <v>2430000</v>
      </c>
      <c r="E257" t="s">
        <v>274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284</v>
      </c>
      <c r="C258" t="s">
        <v>303</v>
      </c>
      <c r="D258">
        <v>2480000</v>
      </c>
      <c r="E258" t="s">
        <v>275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225</v>
      </c>
      <c r="C259" t="s">
        <v>286</v>
      </c>
      <c r="D259">
        <v>2250000</v>
      </c>
      <c r="E259" t="s">
        <v>263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270</v>
      </c>
      <c r="C260" t="s">
        <v>304</v>
      </c>
      <c r="D260">
        <v>1800000</v>
      </c>
      <c r="E260" t="s">
        <v>257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287</v>
      </c>
      <c r="C261" t="s">
        <v>305</v>
      </c>
      <c r="D261">
        <v>2480000</v>
      </c>
      <c r="E261" t="s">
        <v>275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240</v>
      </c>
      <c r="C262" t="s">
        <v>306</v>
      </c>
      <c r="D262">
        <v>1800000</v>
      </c>
      <c r="E262" t="s">
        <v>257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0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47.38</v>
      </c>
      <c r="B2" s="169">
        <v>0.15</v>
      </c>
      <c r="C2" s="169">
        <v>37.520000000000003</v>
      </c>
      <c r="D2" s="8">
        <v>42680</v>
      </c>
      <c r="E2" s="169">
        <v>0.67</v>
      </c>
      <c r="F2" s="169" t="s">
        <v>265</v>
      </c>
      <c r="G2" s="169">
        <v>256.61</v>
      </c>
      <c r="H2" s="169">
        <v>0</v>
      </c>
      <c r="I2" s="169">
        <v>0</v>
      </c>
      <c r="J2" s="169">
        <v>1015.82</v>
      </c>
      <c r="K2" s="169" t="s">
        <v>266</v>
      </c>
      <c r="L2" s="169">
        <v>48.12</v>
      </c>
      <c r="M2" s="169">
        <v>1478412000</v>
      </c>
      <c r="N2" s="169">
        <v>7.45</v>
      </c>
      <c r="O2" s="169">
        <v>219</v>
      </c>
      <c r="P2" s="169">
        <v>3.18</v>
      </c>
      <c r="Q2"/>
    </row>
    <row r="3" spans="1:17" x14ac:dyDescent="0.25">
      <c r="A3" s="169">
        <v>46.42</v>
      </c>
      <c r="B3" s="169">
        <v>0.17</v>
      </c>
      <c r="C3" s="169">
        <v>36.54</v>
      </c>
      <c r="D3" s="8">
        <v>42680.041666666664</v>
      </c>
      <c r="E3" s="169">
        <v>0.68</v>
      </c>
      <c r="F3" s="169" t="s">
        <v>265</v>
      </c>
      <c r="G3" s="169">
        <v>256.27999999999997</v>
      </c>
      <c r="H3" s="169">
        <v>0</v>
      </c>
      <c r="I3" s="169">
        <v>0</v>
      </c>
      <c r="J3" s="169">
        <v>1015.88</v>
      </c>
      <c r="K3" s="169" t="s">
        <v>266</v>
      </c>
      <c r="L3" s="169">
        <v>46.42</v>
      </c>
      <c r="M3" s="169">
        <v>1478415600</v>
      </c>
      <c r="N3" s="169">
        <v>6.96</v>
      </c>
      <c r="O3" s="169">
        <v>238</v>
      </c>
      <c r="P3" s="169">
        <v>2.9</v>
      </c>
      <c r="Q3"/>
    </row>
    <row r="4" spans="1:17" x14ac:dyDescent="0.25">
      <c r="A4" s="169">
        <v>44.41</v>
      </c>
      <c r="B4" s="169">
        <v>0.2</v>
      </c>
      <c r="C4" s="169">
        <v>35.28</v>
      </c>
      <c r="D4" s="8">
        <v>42680.041666666664</v>
      </c>
      <c r="E4" s="169">
        <v>0.7</v>
      </c>
      <c r="F4" s="169" t="s">
        <v>265</v>
      </c>
      <c r="G4" s="169">
        <v>255.94</v>
      </c>
      <c r="H4" s="169">
        <v>0</v>
      </c>
      <c r="I4" s="169">
        <v>0</v>
      </c>
      <c r="J4" s="169">
        <v>1015.97</v>
      </c>
      <c r="K4" s="169" t="s">
        <v>266</v>
      </c>
      <c r="L4" s="169">
        <v>44.41</v>
      </c>
      <c r="M4" s="169">
        <v>1478419200</v>
      </c>
      <c r="N4" s="169">
        <v>9.67</v>
      </c>
      <c r="O4" s="169">
        <v>235</v>
      </c>
      <c r="P4" s="169">
        <v>2.92</v>
      </c>
      <c r="Q4"/>
    </row>
    <row r="5" spans="1:17" x14ac:dyDescent="0.25">
      <c r="A5" s="169">
        <v>42.91</v>
      </c>
      <c r="B5" s="169">
        <v>0.26</v>
      </c>
      <c r="C5" s="169">
        <v>34.5</v>
      </c>
      <c r="D5" s="8">
        <v>42680.083333333336</v>
      </c>
      <c r="E5" s="169">
        <v>0.72</v>
      </c>
      <c r="F5" s="169" t="s">
        <v>248</v>
      </c>
      <c r="G5" s="169">
        <v>255.61</v>
      </c>
      <c r="H5" s="169">
        <v>0</v>
      </c>
      <c r="I5" s="169">
        <v>0</v>
      </c>
      <c r="J5" s="169">
        <v>1016.07</v>
      </c>
      <c r="K5" s="169" t="s">
        <v>249</v>
      </c>
      <c r="L5" s="169">
        <v>42.91</v>
      </c>
      <c r="M5" s="169">
        <v>1478422800</v>
      </c>
      <c r="N5" s="169">
        <v>7</v>
      </c>
      <c r="O5" s="169">
        <v>237</v>
      </c>
      <c r="P5" s="169">
        <v>2.9</v>
      </c>
      <c r="Q5"/>
    </row>
    <row r="6" spans="1:17" x14ac:dyDescent="0.25">
      <c r="A6" s="169">
        <v>41.36</v>
      </c>
      <c r="B6" s="169">
        <v>0.3</v>
      </c>
      <c r="C6" s="169">
        <v>33.74</v>
      </c>
      <c r="D6" s="8">
        <v>42680.125</v>
      </c>
      <c r="E6" s="169">
        <v>0.74</v>
      </c>
      <c r="F6" s="169" t="s">
        <v>248</v>
      </c>
      <c r="G6" s="169">
        <v>255.01</v>
      </c>
      <c r="H6" s="169">
        <v>0</v>
      </c>
      <c r="I6" s="169">
        <v>0</v>
      </c>
      <c r="J6" s="169">
        <v>1016.09</v>
      </c>
      <c r="K6" s="169" t="s">
        <v>249</v>
      </c>
      <c r="L6" s="169">
        <v>41.36</v>
      </c>
      <c r="M6" s="169">
        <v>1478426400</v>
      </c>
      <c r="N6" s="169">
        <v>6.55</v>
      </c>
      <c r="O6" s="169">
        <v>240</v>
      </c>
      <c r="P6" s="169">
        <v>2.76</v>
      </c>
      <c r="Q6"/>
    </row>
    <row r="7" spans="1:17" x14ac:dyDescent="0.25">
      <c r="A7" s="169">
        <v>39.06</v>
      </c>
      <c r="B7" s="169">
        <v>0.39</v>
      </c>
      <c r="C7" s="169">
        <v>33.54</v>
      </c>
      <c r="D7" s="8">
        <v>42680.166666666664</v>
      </c>
      <c r="E7" s="169">
        <v>0.75</v>
      </c>
      <c r="F7" s="169" t="s">
        <v>248</v>
      </c>
      <c r="G7" s="169">
        <v>254.35</v>
      </c>
      <c r="H7" s="169">
        <v>0</v>
      </c>
      <c r="I7" s="169">
        <v>0</v>
      </c>
      <c r="J7" s="169">
        <v>1016.08</v>
      </c>
      <c r="K7" s="169" t="s">
        <v>249</v>
      </c>
      <c r="L7" s="169">
        <v>40.86</v>
      </c>
      <c r="M7" s="169">
        <v>1478430000</v>
      </c>
      <c r="N7" s="169">
        <v>6.89</v>
      </c>
      <c r="O7" s="169">
        <v>239</v>
      </c>
      <c r="P7" s="169">
        <v>3.25</v>
      </c>
      <c r="Q7"/>
    </row>
    <row r="8" spans="1:17" x14ac:dyDescent="0.25">
      <c r="A8" s="169">
        <v>38.06</v>
      </c>
      <c r="B8" s="169">
        <v>0.4</v>
      </c>
      <c r="C8" s="169">
        <v>32.72</v>
      </c>
      <c r="D8" s="8">
        <v>42680.208333333336</v>
      </c>
      <c r="E8" s="169">
        <v>0.75</v>
      </c>
      <c r="F8" s="169" t="s">
        <v>248</v>
      </c>
      <c r="G8" s="169">
        <v>254.05</v>
      </c>
      <c r="H8" s="169">
        <v>0</v>
      </c>
      <c r="I8" s="169">
        <v>0</v>
      </c>
      <c r="J8" s="169">
        <v>1016.07</v>
      </c>
      <c r="K8" s="169" t="s">
        <v>249</v>
      </c>
      <c r="L8" s="169">
        <v>39.880000000000003</v>
      </c>
      <c r="M8" s="169">
        <v>1478433600</v>
      </c>
      <c r="N8" s="169">
        <v>6.73</v>
      </c>
      <c r="O8" s="169">
        <v>226</v>
      </c>
      <c r="P8" s="169">
        <v>3.14</v>
      </c>
      <c r="Q8"/>
    </row>
    <row r="9" spans="1:17" x14ac:dyDescent="0.25">
      <c r="A9" s="169">
        <v>40.380000000000003</v>
      </c>
      <c r="B9" s="169">
        <v>0.39</v>
      </c>
      <c r="C9" s="169">
        <v>32.54</v>
      </c>
      <c r="D9" s="8">
        <v>42680.25</v>
      </c>
      <c r="E9" s="169">
        <v>0.73</v>
      </c>
      <c r="F9" s="169" t="s">
        <v>248</v>
      </c>
      <c r="G9" s="169">
        <v>254.47</v>
      </c>
      <c r="H9" s="169">
        <v>0</v>
      </c>
      <c r="I9" s="169">
        <v>0</v>
      </c>
      <c r="J9" s="169">
        <v>1016.11</v>
      </c>
      <c r="K9" s="169" t="s">
        <v>249</v>
      </c>
      <c r="L9" s="169">
        <v>40.380000000000003</v>
      </c>
      <c r="M9" s="169">
        <v>1478437200</v>
      </c>
      <c r="N9" s="169">
        <v>5.65</v>
      </c>
      <c r="O9" s="169">
        <v>229</v>
      </c>
      <c r="P9" s="169">
        <v>2.8</v>
      </c>
      <c r="Q9"/>
    </row>
    <row r="10" spans="1:17" x14ac:dyDescent="0.25">
      <c r="A10" s="169">
        <v>40.840000000000003</v>
      </c>
      <c r="B10" s="169">
        <v>0.3</v>
      </c>
      <c r="C10" s="169">
        <v>32.659999999999997</v>
      </c>
      <c r="D10" s="8">
        <v>42680.291666666664</v>
      </c>
      <c r="E10" s="169">
        <v>0.72</v>
      </c>
      <c r="F10" s="169" t="s">
        <v>250</v>
      </c>
      <c r="G10" s="169">
        <v>255.24</v>
      </c>
      <c r="H10" s="169">
        <v>0</v>
      </c>
      <c r="I10" s="169">
        <v>0</v>
      </c>
      <c r="J10" s="169">
        <v>1016.12</v>
      </c>
      <c r="K10" s="169" t="s">
        <v>249</v>
      </c>
      <c r="L10" s="169">
        <v>40.840000000000003</v>
      </c>
      <c r="M10" s="169">
        <v>1478440800</v>
      </c>
      <c r="N10" s="169">
        <v>9.7899999999999991</v>
      </c>
      <c r="O10" s="169">
        <v>236</v>
      </c>
      <c r="P10" s="169">
        <v>2.12</v>
      </c>
      <c r="Q10"/>
    </row>
    <row r="11" spans="1:17" x14ac:dyDescent="0.25">
      <c r="A11" s="169">
        <v>41.53</v>
      </c>
      <c r="B11" s="169">
        <v>0.28000000000000003</v>
      </c>
      <c r="C11" s="169">
        <v>35.840000000000003</v>
      </c>
      <c r="D11" s="8">
        <v>42680.333333333336</v>
      </c>
      <c r="E11" s="169">
        <v>0.74</v>
      </c>
      <c r="F11" s="169" t="s">
        <v>250</v>
      </c>
      <c r="G11" s="169">
        <v>255.69</v>
      </c>
      <c r="H11" s="169">
        <v>0</v>
      </c>
      <c r="I11" s="169">
        <v>0</v>
      </c>
      <c r="J11" s="169">
        <v>1015.87</v>
      </c>
      <c r="K11" s="169" t="s">
        <v>249</v>
      </c>
      <c r="L11" s="169">
        <v>43.42</v>
      </c>
      <c r="M11" s="169">
        <v>1478444400</v>
      </c>
      <c r="N11" s="169">
        <v>4.87</v>
      </c>
      <c r="O11" s="169">
        <v>241</v>
      </c>
      <c r="P11" s="169">
        <v>3.7</v>
      </c>
      <c r="Q11"/>
    </row>
    <row r="12" spans="1:17" x14ac:dyDescent="0.25">
      <c r="A12" s="169">
        <v>49.45</v>
      </c>
      <c r="B12" s="169">
        <v>0.26</v>
      </c>
      <c r="C12" s="169">
        <v>38.46</v>
      </c>
      <c r="D12" s="8">
        <v>42680.375</v>
      </c>
      <c r="E12" s="169">
        <v>0.66</v>
      </c>
      <c r="F12" s="169" t="s">
        <v>250</v>
      </c>
      <c r="G12" s="169">
        <v>255.49</v>
      </c>
      <c r="H12" s="169">
        <v>0</v>
      </c>
      <c r="I12" s="169">
        <v>0</v>
      </c>
      <c r="J12" s="169">
        <v>1015.21</v>
      </c>
      <c r="K12" s="169" t="s">
        <v>249</v>
      </c>
      <c r="L12" s="169">
        <v>49.45</v>
      </c>
      <c r="M12" s="169">
        <v>1478448000</v>
      </c>
      <c r="N12" s="169">
        <v>10</v>
      </c>
      <c r="O12" s="169">
        <v>232</v>
      </c>
      <c r="P12" s="169">
        <v>2.4</v>
      </c>
      <c r="Q12"/>
    </row>
    <row r="13" spans="1:17" x14ac:dyDescent="0.25">
      <c r="A13" s="169">
        <v>56.32</v>
      </c>
      <c r="B13" s="169">
        <v>0.3</v>
      </c>
      <c r="C13" s="169">
        <v>37.619999999999997</v>
      </c>
      <c r="D13" s="8">
        <v>42680.416666666664</v>
      </c>
      <c r="E13" s="169">
        <v>0.49</v>
      </c>
      <c r="F13" s="169" t="s">
        <v>250</v>
      </c>
      <c r="G13" s="169">
        <v>254.97</v>
      </c>
      <c r="H13" s="169">
        <v>0</v>
      </c>
      <c r="I13" s="169">
        <v>0</v>
      </c>
      <c r="J13" s="169">
        <v>1014.36</v>
      </c>
      <c r="K13" s="169" t="s">
        <v>249</v>
      </c>
      <c r="L13" s="169">
        <v>56.32</v>
      </c>
      <c r="M13" s="169">
        <v>1478451600</v>
      </c>
      <c r="N13" s="169">
        <v>4.7699999999999996</v>
      </c>
      <c r="O13" s="169">
        <v>193</v>
      </c>
      <c r="P13" s="169">
        <v>1.34</v>
      </c>
      <c r="Q13"/>
    </row>
    <row r="14" spans="1:17" x14ac:dyDescent="0.25">
      <c r="A14" s="169">
        <v>61.68</v>
      </c>
      <c r="B14" s="169">
        <v>0.32</v>
      </c>
      <c r="C14" s="169">
        <v>36.17</v>
      </c>
      <c r="D14" s="8">
        <v>42680.458333333336</v>
      </c>
      <c r="E14" s="169">
        <v>0.39</v>
      </c>
      <c r="F14" s="169" t="s">
        <v>250</v>
      </c>
      <c r="G14" s="169">
        <v>254.39</v>
      </c>
      <c r="H14" s="169">
        <v>0</v>
      </c>
      <c r="I14" s="169">
        <v>0</v>
      </c>
      <c r="J14" s="169">
        <v>1013.63</v>
      </c>
      <c r="K14" s="169" t="s">
        <v>249</v>
      </c>
      <c r="L14" s="169">
        <v>61.68</v>
      </c>
      <c r="M14" s="169">
        <v>1478455200</v>
      </c>
      <c r="N14" s="169">
        <v>4.78</v>
      </c>
      <c r="O14" s="169">
        <v>94</v>
      </c>
      <c r="P14" s="169">
        <v>1.43</v>
      </c>
      <c r="Q14"/>
    </row>
    <row r="15" spans="1:17" x14ac:dyDescent="0.25">
      <c r="A15" s="169">
        <v>64.53</v>
      </c>
      <c r="B15" s="169">
        <v>0.3</v>
      </c>
      <c r="C15" s="169">
        <v>34.68</v>
      </c>
      <c r="D15" s="8">
        <v>42680.5</v>
      </c>
      <c r="E15" s="169">
        <v>0.33</v>
      </c>
      <c r="F15" s="169" t="s">
        <v>250</v>
      </c>
      <c r="G15" s="169">
        <v>253.82</v>
      </c>
      <c r="H15" s="169">
        <v>0</v>
      </c>
      <c r="I15" s="169">
        <v>0</v>
      </c>
      <c r="J15" s="169">
        <v>1012.87</v>
      </c>
      <c r="K15" s="169" t="s">
        <v>249</v>
      </c>
      <c r="L15" s="169">
        <v>64.53</v>
      </c>
      <c r="M15" s="169">
        <v>1478458800</v>
      </c>
      <c r="N15" s="169">
        <v>4.8</v>
      </c>
      <c r="O15" s="169">
        <v>86</v>
      </c>
      <c r="P15" s="169">
        <v>0.64</v>
      </c>
      <c r="Q15"/>
    </row>
    <row r="16" spans="1:17" x14ac:dyDescent="0.25">
      <c r="A16" s="169">
        <v>66.680000000000007</v>
      </c>
      <c r="B16" s="169">
        <v>0.23</v>
      </c>
      <c r="C16" s="169">
        <v>33.75</v>
      </c>
      <c r="D16" s="8">
        <v>42680.541666666664</v>
      </c>
      <c r="E16" s="169">
        <v>0.28999999999999998</v>
      </c>
      <c r="F16" s="169" t="s">
        <v>331</v>
      </c>
      <c r="G16" s="169">
        <v>253.19</v>
      </c>
      <c r="H16" s="169">
        <v>0</v>
      </c>
      <c r="I16" s="169">
        <v>0</v>
      </c>
      <c r="J16" s="169">
        <v>1012.21</v>
      </c>
      <c r="K16" s="169" t="s">
        <v>266</v>
      </c>
      <c r="L16" s="169">
        <v>66.680000000000007</v>
      </c>
      <c r="M16" s="169">
        <v>1478462400</v>
      </c>
      <c r="N16" s="169">
        <v>4.79</v>
      </c>
      <c r="O16" s="169">
        <v>77</v>
      </c>
      <c r="P16" s="169">
        <v>1.96</v>
      </c>
      <c r="Q16"/>
    </row>
    <row r="17" spans="1:17" x14ac:dyDescent="0.25">
      <c r="A17" s="169">
        <v>67.02</v>
      </c>
      <c r="B17" s="169">
        <v>0.2</v>
      </c>
      <c r="C17" s="169">
        <v>32.700000000000003</v>
      </c>
      <c r="D17" s="8">
        <v>42680.583333333336</v>
      </c>
      <c r="E17" s="169">
        <v>0.28000000000000003</v>
      </c>
      <c r="F17" s="169" t="s">
        <v>331</v>
      </c>
      <c r="G17" s="169">
        <v>252.6</v>
      </c>
      <c r="H17" s="169">
        <v>0</v>
      </c>
      <c r="I17" s="169">
        <v>0</v>
      </c>
      <c r="J17" s="169">
        <v>1011.97</v>
      </c>
      <c r="K17" s="169" t="s">
        <v>266</v>
      </c>
      <c r="L17" s="169">
        <v>67.02</v>
      </c>
      <c r="M17" s="169">
        <v>1478466000</v>
      </c>
      <c r="N17" s="169">
        <v>4.8099999999999996</v>
      </c>
      <c r="O17" s="169">
        <v>42</v>
      </c>
      <c r="P17" s="169">
        <v>1.95</v>
      </c>
      <c r="Q17"/>
    </row>
    <row r="18" spans="1:17" x14ac:dyDescent="0.25">
      <c r="A18" s="169">
        <v>66.22</v>
      </c>
      <c r="B18" s="169">
        <v>0.18</v>
      </c>
      <c r="C18" s="169">
        <v>31.84</v>
      </c>
      <c r="D18" s="8">
        <v>42680.625</v>
      </c>
      <c r="E18" s="169">
        <v>0.28000000000000003</v>
      </c>
      <c r="F18" s="169" t="s">
        <v>331</v>
      </c>
      <c r="G18" s="169">
        <v>252.13</v>
      </c>
      <c r="H18" s="169">
        <v>0</v>
      </c>
      <c r="I18" s="169">
        <v>0</v>
      </c>
      <c r="J18" s="169">
        <v>1012.08</v>
      </c>
      <c r="K18" s="169" t="s">
        <v>266</v>
      </c>
      <c r="L18" s="169">
        <v>66.22</v>
      </c>
      <c r="M18" s="169">
        <v>1478469600</v>
      </c>
      <c r="N18" s="169">
        <v>4.87</v>
      </c>
      <c r="O18" s="169">
        <v>73</v>
      </c>
      <c r="P18" s="169">
        <v>1.95</v>
      </c>
      <c r="Q18"/>
    </row>
    <row r="19" spans="1:17" x14ac:dyDescent="0.25">
      <c r="A19" s="169">
        <v>63.5</v>
      </c>
      <c r="B19" s="169">
        <v>0.15</v>
      </c>
      <c r="C19" s="169">
        <v>31.47</v>
      </c>
      <c r="D19" s="8">
        <v>42680.666666666664</v>
      </c>
      <c r="E19" s="169">
        <v>0.3</v>
      </c>
      <c r="F19" s="169" t="s">
        <v>331</v>
      </c>
      <c r="G19" s="169">
        <v>251.71</v>
      </c>
      <c r="H19" s="169">
        <v>0</v>
      </c>
      <c r="I19" s="169">
        <v>0</v>
      </c>
      <c r="J19" s="169">
        <v>1012.32</v>
      </c>
      <c r="K19" s="169" t="s">
        <v>266</v>
      </c>
      <c r="L19" s="169">
        <v>63.5</v>
      </c>
      <c r="M19" s="169">
        <v>1478473200</v>
      </c>
      <c r="N19" s="169">
        <v>5.12</v>
      </c>
      <c r="O19" s="169">
        <v>83</v>
      </c>
      <c r="P19" s="169">
        <v>2.0699999999999998</v>
      </c>
      <c r="Q19"/>
    </row>
    <row r="20" spans="1:17" x14ac:dyDescent="0.25">
      <c r="A20" s="169">
        <v>61.39</v>
      </c>
      <c r="B20" s="169">
        <v>0.12</v>
      </c>
      <c r="C20" s="169">
        <v>30.47</v>
      </c>
      <c r="D20" s="8">
        <v>42680.708333333336</v>
      </c>
      <c r="E20" s="169">
        <v>0.31</v>
      </c>
      <c r="F20" s="169" t="s">
        <v>265</v>
      </c>
      <c r="G20" s="169">
        <v>251.14</v>
      </c>
      <c r="H20" s="169">
        <v>0</v>
      </c>
      <c r="I20" s="169">
        <v>0</v>
      </c>
      <c r="J20" s="169">
        <v>1012.81</v>
      </c>
      <c r="K20" s="169" t="s">
        <v>266</v>
      </c>
      <c r="L20" s="169">
        <v>61.39</v>
      </c>
      <c r="M20" s="169">
        <v>1478476800</v>
      </c>
      <c r="N20" s="169">
        <v>5.36</v>
      </c>
      <c r="O20" s="169">
        <v>68</v>
      </c>
      <c r="P20" s="169">
        <v>1.75</v>
      </c>
      <c r="Q20"/>
    </row>
    <row r="21" spans="1:17" x14ac:dyDescent="0.25">
      <c r="A21" s="169">
        <v>58.56</v>
      </c>
      <c r="B21" s="169">
        <v>0.15</v>
      </c>
      <c r="C21" s="169">
        <v>31.68</v>
      </c>
      <c r="D21" s="8">
        <v>42680.75</v>
      </c>
      <c r="E21" s="169">
        <v>0.36</v>
      </c>
      <c r="F21" s="169" t="s">
        <v>265</v>
      </c>
      <c r="G21" s="169">
        <v>250.17</v>
      </c>
      <c r="H21" s="169">
        <v>0</v>
      </c>
      <c r="I21" s="169">
        <v>0</v>
      </c>
      <c r="J21" s="169">
        <v>1013.39</v>
      </c>
      <c r="K21" s="169" t="s">
        <v>266</v>
      </c>
      <c r="L21" s="169">
        <v>58.56</v>
      </c>
      <c r="M21" s="169">
        <v>1478480400</v>
      </c>
      <c r="N21" s="169">
        <v>5.93</v>
      </c>
      <c r="O21" s="169">
        <v>303</v>
      </c>
      <c r="P21" s="169">
        <v>0.84</v>
      </c>
      <c r="Q21"/>
    </row>
    <row r="22" spans="1:17" x14ac:dyDescent="0.25">
      <c r="A22" s="169">
        <v>55.88</v>
      </c>
      <c r="B22" s="169">
        <v>0.11</v>
      </c>
      <c r="C22" s="169">
        <v>31.92</v>
      </c>
      <c r="D22" s="8">
        <v>42680.791666666664</v>
      </c>
      <c r="E22" s="169">
        <v>0.4</v>
      </c>
      <c r="F22" s="169" t="s">
        <v>265</v>
      </c>
      <c r="G22" s="169">
        <v>249.05</v>
      </c>
      <c r="H22" s="169">
        <v>0</v>
      </c>
      <c r="I22" s="169">
        <v>0</v>
      </c>
      <c r="J22" s="169">
        <v>1014.39</v>
      </c>
      <c r="K22" s="169" t="s">
        <v>266</v>
      </c>
      <c r="L22" s="169">
        <v>55.88</v>
      </c>
      <c r="M22" s="169">
        <v>1478484000</v>
      </c>
      <c r="N22" s="169">
        <v>6.85</v>
      </c>
      <c r="O22" s="169">
        <v>267</v>
      </c>
      <c r="P22" s="169">
        <v>2.39</v>
      </c>
      <c r="Q22"/>
    </row>
    <row r="23" spans="1:17" x14ac:dyDescent="0.25">
      <c r="A23" s="169">
        <v>54.18</v>
      </c>
      <c r="B23" s="169">
        <v>0.06</v>
      </c>
      <c r="C23" s="169">
        <v>30.64</v>
      </c>
      <c r="D23" s="8">
        <v>42680.833333333336</v>
      </c>
      <c r="E23" s="169">
        <v>0.4</v>
      </c>
      <c r="F23" s="169" t="s">
        <v>265</v>
      </c>
      <c r="G23" s="169">
        <v>248.34</v>
      </c>
      <c r="H23" s="169">
        <v>0</v>
      </c>
      <c r="I23" s="169">
        <v>0</v>
      </c>
      <c r="J23" s="169">
        <v>1015.38</v>
      </c>
      <c r="K23" s="169" t="s">
        <v>266</v>
      </c>
      <c r="L23" s="169">
        <v>54.18</v>
      </c>
      <c r="M23" s="169">
        <v>1478487600</v>
      </c>
      <c r="N23" s="169">
        <v>7.43</v>
      </c>
      <c r="O23" s="169">
        <v>270</v>
      </c>
      <c r="P23" s="169">
        <v>3.04</v>
      </c>
      <c r="Q23"/>
    </row>
    <row r="24" spans="1:17" x14ac:dyDescent="0.25">
      <c r="A24" s="169">
        <v>53.13</v>
      </c>
      <c r="B24" s="169">
        <v>0.1</v>
      </c>
      <c r="C24" s="169">
        <v>28.89</v>
      </c>
      <c r="D24" s="8">
        <v>42680.875</v>
      </c>
      <c r="E24" s="169">
        <v>0.39</v>
      </c>
      <c r="F24" s="169" t="s">
        <v>265</v>
      </c>
      <c r="G24" s="169">
        <v>248.32</v>
      </c>
      <c r="H24" s="169">
        <v>0</v>
      </c>
      <c r="I24" s="169">
        <v>0</v>
      </c>
      <c r="J24" s="169">
        <v>1016.17</v>
      </c>
      <c r="K24" s="169" t="s">
        <v>266</v>
      </c>
      <c r="L24" s="169">
        <v>53.13</v>
      </c>
      <c r="M24" s="169">
        <v>1478491200</v>
      </c>
      <c r="N24" s="169">
        <v>6.36</v>
      </c>
      <c r="O24" s="169">
        <v>274</v>
      </c>
      <c r="P24" s="169">
        <v>3.55</v>
      </c>
      <c r="Q24"/>
    </row>
    <row r="25" spans="1:17" x14ac:dyDescent="0.25">
      <c r="A25" s="169">
        <v>52.13</v>
      </c>
      <c r="B25" s="169">
        <v>0.1</v>
      </c>
      <c r="C25" s="169">
        <v>27.58</v>
      </c>
      <c r="D25" s="8">
        <v>42680.916666666664</v>
      </c>
      <c r="E25" s="169">
        <v>0.38</v>
      </c>
      <c r="F25" s="169" t="s">
        <v>265</v>
      </c>
      <c r="G25" s="169">
        <v>248.71</v>
      </c>
      <c r="H25" s="169">
        <v>0</v>
      </c>
      <c r="I25" s="169">
        <v>0</v>
      </c>
      <c r="J25" s="169">
        <v>1016.86</v>
      </c>
      <c r="K25" s="169" t="s">
        <v>266</v>
      </c>
      <c r="L25" s="169">
        <v>52.13</v>
      </c>
      <c r="M25" s="169">
        <v>1478494800</v>
      </c>
      <c r="N25" s="169">
        <v>6.33</v>
      </c>
      <c r="O25" s="169">
        <v>275</v>
      </c>
      <c r="P25" s="169">
        <v>2.96</v>
      </c>
      <c r="Q25"/>
    </row>
    <row r="26" spans="1:17" x14ac:dyDescent="0.25">
      <c r="A26" s="169">
        <v>47.79</v>
      </c>
      <c r="B26" s="169">
        <v>0.06</v>
      </c>
      <c r="C26" s="169">
        <v>26.48</v>
      </c>
      <c r="D26" s="8">
        <v>42680.958333333336</v>
      </c>
      <c r="E26" s="169">
        <v>0.42</v>
      </c>
      <c r="F26" s="169" t="s">
        <v>265</v>
      </c>
      <c r="G26" s="169">
        <v>249.19</v>
      </c>
      <c r="H26" s="169">
        <v>0</v>
      </c>
      <c r="I26" s="169">
        <v>0</v>
      </c>
      <c r="J26" s="169">
        <v>1017.55</v>
      </c>
      <c r="K26" s="169" t="s">
        <v>266</v>
      </c>
      <c r="L26" s="169">
        <v>48.34</v>
      </c>
      <c r="M26" s="169">
        <v>1478498400</v>
      </c>
      <c r="N26" s="169">
        <v>8.8699999999999992</v>
      </c>
      <c r="O26" s="169">
        <v>273</v>
      </c>
      <c r="P26" s="169">
        <v>3.01</v>
      </c>
      <c r="Q26"/>
    </row>
    <row r="27" spans="1:17" x14ac:dyDescent="0.25">
      <c r="A27" s="169">
        <v>46.86</v>
      </c>
      <c r="B27" s="169">
        <v>0.2</v>
      </c>
      <c r="C27" s="169">
        <v>25.92</v>
      </c>
      <c r="D27" s="8">
        <v>42681</v>
      </c>
      <c r="E27" s="169">
        <v>0.44</v>
      </c>
      <c r="F27" s="169" t="s">
        <v>265</v>
      </c>
      <c r="G27" s="169">
        <v>249.77</v>
      </c>
      <c r="H27" s="169">
        <v>0</v>
      </c>
      <c r="I27" s="169">
        <v>0</v>
      </c>
      <c r="J27" s="169">
        <v>1018.29</v>
      </c>
      <c r="K27" s="169" t="s">
        <v>266</v>
      </c>
      <c r="L27" s="169">
        <v>46.86</v>
      </c>
      <c r="M27" s="169">
        <v>1478502000</v>
      </c>
      <c r="N27" s="169">
        <v>7.09</v>
      </c>
      <c r="O27" s="169">
        <v>288</v>
      </c>
      <c r="P27" s="169">
        <v>2.94</v>
      </c>
      <c r="Q27"/>
    </row>
    <row r="28" spans="1:17" x14ac:dyDescent="0.25">
      <c r="A28" s="169">
        <v>44.8</v>
      </c>
      <c r="B28" s="169">
        <v>0.19</v>
      </c>
      <c r="C28" s="169">
        <v>26</v>
      </c>
      <c r="D28" s="8">
        <v>42681.041666666664</v>
      </c>
      <c r="E28" s="169">
        <v>0.47</v>
      </c>
      <c r="F28" s="169" t="s">
        <v>265</v>
      </c>
      <c r="G28" s="169">
        <v>250.35</v>
      </c>
      <c r="H28" s="169">
        <v>0</v>
      </c>
      <c r="I28" s="169">
        <v>0</v>
      </c>
      <c r="J28" s="169">
        <v>1019.02</v>
      </c>
      <c r="K28" s="169" t="s">
        <v>266</v>
      </c>
      <c r="L28" s="169">
        <v>44.8</v>
      </c>
      <c r="M28" s="169">
        <v>1478505600</v>
      </c>
      <c r="N28" s="169">
        <v>6.87</v>
      </c>
      <c r="O28" s="169">
        <v>281</v>
      </c>
      <c r="P28" s="169">
        <v>2.2599999999999998</v>
      </c>
      <c r="Q28"/>
    </row>
    <row r="29" spans="1:17" x14ac:dyDescent="0.25">
      <c r="A29" s="169">
        <v>43.45</v>
      </c>
      <c r="B29" s="169">
        <v>0.21</v>
      </c>
      <c r="C29" s="169">
        <v>28.33</v>
      </c>
      <c r="D29" s="8">
        <v>42681.083333333336</v>
      </c>
      <c r="E29" s="169">
        <v>0.55000000000000004</v>
      </c>
      <c r="F29" s="169" t="s">
        <v>265</v>
      </c>
      <c r="G29" s="169">
        <v>250.94</v>
      </c>
      <c r="H29" s="169">
        <v>0</v>
      </c>
      <c r="I29" s="169">
        <v>0</v>
      </c>
      <c r="J29" s="169">
        <v>1019.73</v>
      </c>
      <c r="K29" s="169" t="s">
        <v>266</v>
      </c>
      <c r="L29" s="169">
        <v>43.45</v>
      </c>
      <c r="M29" s="169">
        <v>1478509200</v>
      </c>
      <c r="N29" s="169">
        <v>4.79</v>
      </c>
      <c r="O29" s="169">
        <v>223</v>
      </c>
      <c r="P29" s="169">
        <v>2.77</v>
      </c>
      <c r="Q29"/>
    </row>
    <row r="30" spans="1:17" x14ac:dyDescent="0.25">
      <c r="A30" s="169">
        <v>39.840000000000003</v>
      </c>
      <c r="B30" s="169">
        <v>0.22</v>
      </c>
      <c r="C30" s="169">
        <v>26.3</v>
      </c>
      <c r="D30" s="8">
        <v>42681.125</v>
      </c>
      <c r="E30" s="169">
        <v>0.54</v>
      </c>
      <c r="F30" s="169" t="s">
        <v>265</v>
      </c>
      <c r="G30" s="169">
        <v>250.58</v>
      </c>
      <c r="H30" s="169">
        <v>0</v>
      </c>
      <c r="I30" s="169">
        <v>0</v>
      </c>
      <c r="J30" s="169">
        <v>1020.35</v>
      </c>
      <c r="K30" s="169" t="s">
        <v>266</v>
      </c>
      <c r="L30" s="169">
        <v>41.63</v>
      </c>
      <c r="M30" s="169">
        <v>1478512800</v>
      </c>
      <c r="N30" s="169">
        <v>7.17</v>
      </c>
      <c r="O30" s="169">
        <v>229</v>
      </c>
      <c r="P30" s="169">
        <v>3.34</v>
      </c>
    </row>
    <row r="31" spans="1:17" x14ac:dyDescent="0.25">
      <c r="A31" s="136" t="s">
        <v>221</v>
      </c>
    </row>
    <row r="33" spans="1:1" x14ac:dyDescent="0.25">
      <c r="A33" s="136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42680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223</v>
      </c>
      <c r="J17" s="33"/>
      <c r="K17" s="34"/>
      <c r="L17" s="34"/>
    </row>
    <row r="18" spans="3:13" x14ac:dyDescent="0.25"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J19" s="33" t="s">
        <v>86</v>
      </c>
      <c r="K19" s="34"/>
      <c r="L19" s="34"/>
      <c r="M19" s="68" t="s">
        <v>112</v>
      </c>
    </row>
    <row r="20" spans="3:13" x14ac:dyDescent="0.25">
      <c r="J20" t="s">
        <v>87</v>
      </c>
      <c r="M20" s="68" t="s">
        <v>186</v>
      </c>
    </row>
    <row r="21" spans="3:13" x14ac:dyDescent="0.25">
      <c r="J21" s="21" t="s">
        <v>90</v>
      </c>
      <c r="K21" s="21" t="s">
        <v>91</v>
      </c>
      <c r="M21" s="68" t="s">
        <v>188</v>
      </c>
    </row>
    <row r="22" spans="3:13" x14ac:dyDescent="0.25">
      <c r="J22" s="21" t="s">
        <v>92</v>
      </c>
      <c r="K22" s="21" t="s">
        <v>93</v>
      </c>
      <c r="M22" s="68" t="s">
        <v>111</v>
      </c>
    </row>
    <row r="23" spans="3:13" x14ac:dyDescent="0.25">
      <c r="J23" s="29" t="s">
        <v>95</v>
      </c>
      <c r="K23" s="21"/>
      <c r="M23" s="69">
        <v>-7</v>
      </c>
    </row>
    <row r="24" spans="3:13" x14ac:dyDescent="0.25">
      <c r="J24" s="21" t="s">
        <v>108</v>
      </c>
      <c r="K24" s="21"/>
      <c r="M24" s="68" t="s">
        <v>110</v>
      </c>
    </row>
    <row r="25" spans="3:13" x14ac:dyDescent="0.25"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C:\Users\stu\Documents\GitHub\eaglep3-reporting\EC\2016-11-06-refined-times.txt</v>
      </c>
    </row>
    <row r="27" spans="3:13" x14ac:dyDescent="0.25">
      <c r="J27" t="s">
        <v>199</v>
      </c>
      <c r="M27" s="68" t="str">
        <f>"C:\Users\stu\Documents\GitHub\eaglep3-reporting\EC\"&amp;TEXT(A2,"YYYY-MM-DD")&amp;"-Enforcements.txt"</f>
        <v>C:\Users\stu\Documents\GitHub\eaglep3-reporting\EC\2016-11-06-Enforcements.txt</v>
      </c>
    </row>
    <row r="28" spans="3:13" x14ac:dyDescent="0.25">
      <c r="J28" t="s">
        <v>200</v>
      </c>
      <c r="M28" s="106" t="str">
        <f>"C:\Users\stu\Documents\GitHub\eaglep3-reporting\EC\"&amp;TEXT(A2,"YYYY-MM-DD")&amp;"-Runs-Refined.txt"</f>
        <v>C:\Users\stu\Documents\GitHub\eaglep3-reporting\EC\2016-11-06-Runs-Refined.txt</v>
      </c>
    </row>
    <row r="29" spans="3:13" x14ac:dyDescent="0.25">
      <c r="J29" t="s">
        <v>201</v>
      </c>
      <c r="M29" s="106" t="str">
        <f>"C:\Users\stu\Documents\GitHub\eaglep3-reporting\EC\"&amp;TEXT(A2,"YYYY-MM-DD")&amp;"-Trips.txt"</f>
        <v>C:\Users\stu\Documents\GitHub\eaglep3-reporting\EC\2016-11-06-Trips.txt</v>
      </c>
    </row>
    <row r="30" spans="3:13" x14ac:dyDescent="0.25">
      <c r="J30" t="s">
        <v>202</v>
      </c>
      <c r="M30" s="106" t="str">
        <f>"C:\Users\stu\Documents\GitHub\eaglep3-reporting\EC\"&amp;TEXT(A2,"YYYY-MM-DD")&amp;"-Weather.txt"</f>
        <v>C:\Users\stu\Documents\GitHub\eaglep3-reporting\EC\2016-11-06-Weather.txt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283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2016-11-07T19:30:28Z</dcterms:modified>
</cp:coreProperties>
</file>