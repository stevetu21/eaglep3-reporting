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K27" i="6" l="1"/>
  <c r="B27" i="6"/>
  <c r="G27" i="6" s="1"/>
  <c r="K26" i="6"/>
  <c r="H26" i="6"/>
  <c r="B26" i="6"/>
  <c r="J26" i="6" s="1"/>
  <c r="K25" i="6"/>
  <c r="H25" i="6"/>
  <c r="G25" i="6"/>
  <c r="B25" i="6"/>
  <c r="I25" i="6" s="1"/>
  <c r="K24" i="6"/>
  <c r="J24" i="6"/>
  <c r="H24" i="6"/>
  <c r="G24" i="6"/>
  <c r="F24" i="6"/>
  <c r="B24" i="6"/>
  <c r="I24" i="6" s="1"/>
  <c r="K23" i="6"/>
  <c r="B23" i="6"/>
  <c r="G23" i="6" s="1"/>
  <c r="K22" i="6"/>
  <c r="H22" i="6"/>
  <c r="B22" i="6"/>
  <c r="J22" i="6" s="1"/>
  <c r="K21" i="6"/>
  <c r="H21" i="6"/>
  <c r="G21" i="6"/>
  <c r="B21" i="6"/>
  <c r="I21" i="6" s="1"/>
  <c r="K20" i="6"/>
  <c r="J20" i="6"/>
  <c r="H20" i="6"/>
  <c r="G20" i="6"/>
  <c r="F20" i="6"/>
  <c r="B20" i="6"/>
  <c r="I20" i="6" s="1"/>
  <c r="K19" i="6"/>
  <c r="B19" i="6"/>
  <c r="G19" i="6" s="1"/>
  <c r="K18" i="6"/>
  <c r="H18" i="6"/>
  <c r="B18" i="6"/>
  <c r="J18" i="6" s="1"/>
  <c r="K17" i="6"/>
  <c r="H17" i="6"/>
  <c r="G17" i="6"/>
  <c r="B17" i="6"/>
  <c r="I17" i="6" s="1"/>
  <c r="K16" i="6"/>
  <c r="J16" i="6"/>
  <c r="H16" i="6"/>
  <c r="G16" i="6"/>
  <c r="F16" i="6"/>
  <c r="B16" i="6"/>
  <c r="I16" i="6" s="1"/>
  <c r="K15" i="6"/>
  <c r="B15" i="6"/>
  <c r="G15" i="6" s="1"/>
  <c r="K14" i="6"/>
  <c r="H14" i="6"/>
  <c r="B14" i="6"/>
  <c r="J14" i="6" s="1"/>
  <c r="K13" i="6"/>
  <c r="H13" i="6"/>
  <c r="G13" i="6"/>
  <c r="B13" i="6"/>
  <c r="I13" i="6" s="1"/>
  <c r="K12" i="6"/>
  <c r="J12" i="6"/>
  <c r="H12" i="6"/>
  <c r="G12" i="6"/>
  <c r="F12" i="6"/>
  <c r="B12" i="6"/>
  <c r="I12" i="6" s="1"/>
  <c r="K11" i="6"/>
  <c r="B11" i="6"/>
  <c r="G11" i="6" s="1"/>
  <c r="K10" i="6"/>
  <c r="H10" i="6"/>
  <c r="B10" i="6"/>
  <c r="J10" i="6" s="1"/>
  <c r="K9" i="6"/>
  <c r="H9" i="6"/>
  <c r="G9" i="6"/>
  <c r="B9" i="6"/>
  <c r="I9" i="6" s="1"/>
  <c r="K8" i="6"/>
  <c r="J8" i="6"/>
  <c r="H8" i="6"/>
  <c r="G8" i="6"/>
  <c r="F8" i="6"/>
  <c r="B8" i="6"/>
  <c r="I8" i="6" s="1"/>
  <c r="K7" i="6"/>
  <c r="B7" i="6"/>
  <c r="J7" i="6" s="1"/>
  <c r="K6" i="6"/>
  <c r="H6" i="6"/>
  <c r="B6" i="6"/>
  <c r="I6" i="6" s="1"/>
  <c r="K5" i="6"/>
  <c r="H5" i="6"/>
  <c r="G5" i="6"/>
  <c r="B5" i="6"/>
  <c r="J5" i="6" s="1"/>
  <c r="K4" i="6"/>
  <c r="J4" i="6"/>
  <c r="H4" i="6"/>
  <c r="G4" i="6"/>
  <c r="F4" i="6"/>
  <c r="B4" i="6"/>
  <c r="I4" i="6" s="1"/>
  <c r="K3" i="6"/>
  <c r="B3" i="6"/>
  <c r="J3" i="6" s="1"/>
  <c r="N17" i="3"/>
  <c r="AC61" i="3"/>
  <c r="Y61" i="3"/>
  <c r="X61" i="3"/>
  <c r="W61" i="3"/>
  <c r="V61" i="3"/>
  <c r="U61" i="3"/>
  <c r="T61" i="3"/>
  <c r="S61" i="3"/>
  <c r="R61" i="3"/>
  <c r="N61" i="3"/>
  <c r="M61" i="3"/>
  <c r="AC60" i="3"/>
  <c r="Y60" i="3"/>
  <c r="X60" i="3"/>
  <c r="W60" i="3"/>
  <c r="V60" i="3"/>
  <c r="U60" i="3"/>
  <c r="T60" i="3"/>
  <c r="S60" i="3"/>
  <c r="R60" i="3"/>
  <c r="N60" i="3"/>
  <c r="M60" i="3"/>
  <c r="AC59" i="3"/>
  <c r="Y59" i="3"/>
  <c r="X59" i="3"/>
  <c r="W59" i="3"/>
  <c r="V59" i="3"/>
  <c r="U59" i="3"/>
  <c r="T59" i="3"/>
  <c r="S59" i="3"/>
  <c r="R59" i="3"/>
  <c r="N59" i="3"/>
  <c r="M59" i="3"/>
  <c r="AC58" i="3"/>
  <c r="Y58" i="3"/>
  <c r="X58" i="3"/>
  <c r="W58" i="3"/>
  <c r="V58" i="3"/>
  <c r="U58" i="3"/>
  <c r="T58" i="3"/>
  <c r="S58" i="3"/>
  <c r="R58" i="3"/>
  <c r="N58" i="3"/>
  <c r="M58" i="3"/>
  <c r="AC57" i="3"/>
  <c r="Y57" i="3"/>
  <c r="X57" i="3"/>
  <c r="W57" i="3"/>
  <c r="V57" i="3"/>
  <c r="U57" i="3"/>
  <c r="T57" i="3"/>
  <c r="S57" i="3"/>
  <c r="R57" i="3"/>
  <c r="N57" i="3"/>
  <c r="M57" i="3"/>
  <c r="AC56" i="3"/>
  <c r="Y56" i="3"/>
  <c r="X56" i="3"/>
  <c r="W56" i="3"/>
  <c r="V56" i="3"/>
  <c r="U56" i="3"/>
  <c r="T56" i="3"/>
  <c r="S56" i="3"/>
  <c r="R56" i="3"/>
  <c r="N56" i="3"/>
  <c r="M56" i="3"/>
  <c r="AC55" i="3"/>
  <c r="Y55" i="3"/>
  <c r="X55" i="3"/>
  <c r="W55" i="3"/>
  <c r="V55" i="3"/>
  <c r="U55" i="3"/>
  <c r="T55" i="3"/>
  <c r="S55" i="3"/>
  <c r="R55" i="3"/>
  <c r="N55" i="3"/>
  <c r="M55" i="3"/>
  <c r="AC54" i="3"/>
  <c r="Y54" i="3"/>
  <c r="X54" i="3"/>
  <c r="W54" i="3"/>
  <c r="V54" i="3"/>
  <c r="U54" i="3"/>
  <c r="T54" i="3"/>
  <c r="S54" i="3"/>
  <c r="R54" i="3"/>
  <c r="N54" i="3"/>
  <c r="M54" i="3"/>
  <c r="AC53" i="3"/>
  <c r="Y53" i="3"/>
  <c r="X53" i="3"/>
  <c r="W53" i="3"/>
  <c r="V53" i="3"/>
  <c r="U53" i="3"/>
  <c r="T53" i="3"/>
  <c r="S53" i="3"/>
  <c r="R53" i="3"/>
  <c r="N53" i="3"/>
  <c r="M53" i="3"/>
  <c r="AC52" i="3"/>
  <c r="Y52" i="3"/>
  <c r="X52" i="3"/>
  <c r="W52" i="3"/>
  <c r="V52" i="3"/>
  <c r="U52" i="3"/>
  <c r="T52" i="3"/>
  <c r="S52" i="3"/>
  <c r="R52" i="3"/>
  <c r="N52" i="3"/>
  <c r="M52" i="3"/>
  <c r="AC51" i="3"/>
  <c r="Y51" i="3"/>
  <c r="X51" i="3"/>
  <c r="W51" i="3"/>
  <c r="V51" i="3"/>
  <c r="U51" i="3"/>
  <c r="T51" i="3"/>
  <c r="S51" i="3"/>
  <c r="R51" i="3"/>
  <c r="N51" i="3"/>
  <c r="M51" i="3"/>
  <c r="AC50" i="3"/>
  <c r="Y50" i="3"/>
  <c r="X50" i="3"/>
  <c r="W50" i="3"/>
  <c r="V50" i="3"/>
  <c r="U50" i="3"/>
  <c r="T50" i="3"/>
  <c r="S50" i="3"/>
  <c r="R50" i="3"/>
  <c r="N50" i="3"/>
  <c r="M50" i="3"/>
  <c r="AC49" i="3"/>
  <c r="Y49" i="3"/>
  <c r="X49" i="3"/>
  <c r="W49" i="3"/>
  <c r="V49" i="3"/>
  <c r="U49" i="3"/>
  <c r="T49" i="3"/>
  <c r="S49" i="3"/>
  <c r="R49" i="3"/>
  <c r="N49" i="3"/>
  <c r="M49" i="3"/>
  <c r="AC48" i="3"/>
  <c r="Y48" i="3"/>
  <c r="X48" i="3"/>
  <c r="W48" i="3"/>
  <c r="V48" i="3"/>
  <c r="U48" i="3"/>
  <c r="T48" i="3"/>
  <c r="S48" i="3"/>
  <c r="R48" i="3"/>
  <c r="N48" i="3"/>
  <c r="M48" i="3"/>
  <c r="AC47" i="3"/>
  <c r="Y47" i="3"/>
  <c r="X47" i="3"/>
  <c r="W47" i="3"/>
  <c r="V47" i="3"/>
  <c r="U47" i="3"/>
  <c r="T47" i="3"/>
  <c r="S47" i="3"/>
  <c r="R47" i="3"/>
  <c r="N47" i="3"/>
  <c r="M47" i="3"/>
  <c r="AC46" i="3"/>
  <c r="Y46" i="3"/>
  <c r="X46" i="3"/>
  <c r="W46" i="3"/>
  <c r="V46" i="3"/>
  <c r="U46" i="3"/>
  <c r="T46" i="3"/>
  <c r="S46" i="3"/>
  <c r="R46" i="3"/>
  <c r="N46" i="3"/>
  <c r="M46" i="3"/>
  <c r="AC45" i="3"/>
  <c r="Y45" i="3"/>
  <c r="X45" i="3"/>
  <c r="W45" i="3"/>
  <c r="V45" i="3"/>
  <c r="U45" i="3"/>
  <c r="T45" i="3"/>
  <c r="S45" i="3"/>
  <c r="R45" i="3"/>
  <c r="N45" i="3"/>
  <c r="M45" i="3"/>
  <c r="AC44" i="3"/>
  <c r="Y44" i="3"/>
  <c r="X44" i="3"/>
  <c r="W44" i="3"/>
  <c r="V44" i="3"/>
  <c r="U44" i="3"/>
  <c r="T44" i="3"/>
  <c r="S44" i="3"/>
  <c r="R44" i="3"/>
  <c r="N44" i="3"/>
  <c r="M44" i="3"/>
  <c r="AC43" i="3"/>
  <c r="Y43" i="3"/>
  <c r="X43" i="3"/>
  <c r="W43" i="3"/>
  <c r="V43" i="3"/>
  <c r="U43" i="3"/>
  <c r="T43" i="3"/>
  <c r="S43" i="3"/>
  <c r="R43" i="3"/>
  <c r="N43" i="3"/>
  <c r="M43" i="3"/>
  <c r="AC42" i="3"/>
  <c r="Y42" i="3"/>
  <c r="X42" i="3"/>
  <c r="W42" i="3"/>
  <c r="V42" i="3"/>
  <c r="U42" i="3"/>
  <c r="T42" i="3"/>
  <c r="S42" i="3"/>
  <c r="R42" i="3"/>
  <c r="N42" i="3"/>
  <c r="M42" i="3"/>
  <c r="AC41" i="3"/>
  <c r="Y41" i="3"/>
  <c r="X41" i="3"/>
  <c r="W41" i="3"/>
  <c r="V41" i="3"/>
  <c r="U41" i="3"/>
  <c r="T41" i="3"/>
  <c r="S41" i="3"/>
  <c r="R41" i="3"/>
  <c r="N41" i="3"/>
  <c r="M41" i="3"/>
  <c r="AC40" i="3"/>
  <c r="Y40" i="3"/>
  <c r="X40" i="3"/>
  <c r="W40" i="3"/>
  <c r="V40" i="3"/>
  <c r="U40" i="3"/>
  <c r="T40" i="3"/>
  <c r="S40" i="3"/>
  <c r="R40" i="3"/>
  <c r="N40" i="3"/>
  <c r="M40" i="3"/>
  <c r="AC39" i="3"/>
  <c r="Y39" i="3"/>
  <c r="X39" i="3"/>
  <c r="W39" i="3"/>
  <c r="V39" i="3"/>
  <c r="U39" i="3"/>
  <c r="T39" i="3"/>
  <c r="S39" i="3"/>
  <c r="R39" i="3"/>
  <c r="N39" i="3"/>
  <c r="M39" i="3"/>
  <c r="AC38" i="3"/>
  <c r="Y38" i="3"/>
  <c r="X38" i="3"/>
  <c r="W38" i="3"/>
  <c r="V38" i="3"/>
  <c r="U38" i="3"/>
  <c r="T38" i="3"/>
  <c r="S38" i="3"/>
  <c r="R38" i="3"/>
  <c r="N38" i="3"/>
  <c r="M38" i="3"/>
  <c r="AC37" i="3"/>
  <c r="Y37" i="3"/>
  <c r="X37" i="3"/>
  <c r="W37" i="3"/>
  <c r="V37" i="3"/>
  <c r="U37" i="3"/>
  <c r="T37" i="3"/>
  <c r="S37" i="3"/>
  <c r="R37" i="3"/>
  <c r="N37" i="3"/>
  <c r="M37" i="3"/>
  <c r="AC36" i="3"/>
  <c r="Y36" i="3"/>
  <c r="X36" i="3"/>
  <c r="W36" i="3"/>
  <c r="V36" i="3"/>
  <c r="U36" i="3"/>
  <c r="T36" i="3"/>
  <c r="S36" i="3"/>
  <c r="R36" i="3"/>
  <c r="N36" i="3"/>
  <c r="M36" i="3"/>
  <c r="AC35" i="3"/>
  <c r="Y35" i="3"/>
  <c r="X35" i="3"/>
  <c r="W35" i="3"/>
  <c r="V35" i="3"/>
  <c r="U35" i="3"/>
  <c r="T35" i="3"/>
  <c r="S35" i="3"/>
  <c r="R35" i="3"/>
  <c r="N35" i="3"/>
  <c r="M35" i="3"/>
  <c r="AC34" i="3"/>
  <c r="Y34" i="3"/>
  <c r="X34" i="3"/>
  <c r="W34" i="3"/>
  <c r="V34" i="3"/>
  <c r="U34" i="3"/>
  <c r="T34" i="3"/>
  <c r="S34" i="3"/>
  <c r="R34" i="3"/>
  <c r="N34" i="3"/>
  <c r="M34" i="3"/>
  <c r="AC33" i="3"/>
  <c r="Y33" i="3"/>
  <c r="X33" i="3"/>
  <c r="W33" i="3"/>
  <c r="V33" i="3"/>
  <c r="U33" i="3"/>
  <c r="T33" i="3"/>
  <c r="S33" i="3"/>
  <c r="R33" i="3"/>
  <c r="N33" i="3"/>
  <c r="M33" i="3"/>
  <c r="AC32" i="3"/>
  <c r="Y32" i="3"/>
  <c r="X32" i="3"/>
  <c r="W32" i="3"/>
  <c r="V32" i="3"/>
  <c r="U32" i="3"/>
  <c r="T32" i="3"/>
  <c r="S32" i="3"/>
  <c r="R32" i="3"/>
  <c r="N32" i="3"/>
  <c r="M32" i="3"/>
  <c r="AC31" i="3"/>
  <c r="Y31" i="3"/>
  <c r="X31" i="3"/>
  <c r="W31" i="3"/>
  <c r="V31" i="3"/>
  <c r="U31" i="3"/>
  <c r="T31" i="3"/>
  <c r="S31" i="3"/>
  <c r="R31" i="3"/>
  <c r="N31" i="3"/>
  <c r="M31" i="3"/>
  <c r="AC30" i="3"/>
  <c r="Y30" i="3"/>
  <c r="X30" i="3"/>
  <c r="W30" i="3"/>
  <c r="V30" i="3"/>
  <c r="U30" i="3"/>
  <c r="T30" i="3"/>
  <c r="S30" i="3"/>
  <c r="R30" i="3"/>
  <c r="N30" i="3"/>
  <c r="M30" i="3"/>
  <c r="AC29" i="3"/>
  <c r="Y29" i="3"/>
  <c r="X29" i="3"/>
  <c r="W29" i="3"/>
  <c r="V29" i="3"/>
  <c r="U29" i="3"/>
  <c r="T29" i="3"/>
  <c r="S29" i="3"/>
  <c r="R29" i="3"/>
  <c r="N29" i="3"/>
  <c r="M29" i="3"/>
  <c r="AC28" i="3"/>
  <c r="Y28" i="3"/>
  <c r="X28" i="3"/>
  <c r="W28" i="3"/>
  <c r="V28" i="3"/>
  <c r="U28" i="3"/>
  <c r="T28" i="3"/>
  <c r="S28" i="3"/>
  <c r="R28" i="3"/>
  <c r="N28" i="3"/>
  <c r="M28" i="3"/>
  <c r="AC27" i="3"/>
  <c r="Y27" i="3"/>
  <c r="X27" i="3"/>
  <c r="W27" i="3"/>
  <c r="V27" i="3"/>
  <c r="U27" i="3"/>
  <c r="T27" i="3"/>
  <c r="S27" i="3"/>
  <c r="R27" i="3"/>
  <c r="N27" i="3"/>
  <c r="M27" i="3"/>
  <c r="AC26" i="3"/>
  <c r="Y26" i="3"/>
  <c r="X26" i="3"/>
  <c r="W26" i="3"/>
  <c r="V26" i="3"/>
  <c r="U26" i="3"/>
  <c r="T26" i="3"/>
  <c r="S26" i="3"/>
  <c r="R26" i="3"/>
  <c r="N26" i="3"/>
  <c r="M26" i="3"/>
  <c r="AC25" i="3"/>
  <c r="Y25" i="3"/>
  <c r="X25" i="3"/>
  <c r="W25" i="3"/>
  <c r="V25" i="3"/>
  <c r="U25" i="3"/>
  <c r="T25" i="3"/>
  <c r="S25" i="3"/>
  <c r="R25" i="3"/>
  <c r="N25" i="3"/>
  <c r="M25" i="3"/>
  <c r="AC24" i="3"/>
  <c r="Y24" i="3"/>
  <c r="X24" i="3"/>
  <c r="W24" i="3"/>
  <c r="V24" i="3"/>
  <c r="U24" i="3"/>
  <c r="T24" i="3"/>
  <c r="S24" i="3"/>
  <c r="R24" i="3"/>
  <c r="N24" i="3"/>
  <c r="M24" i="3"/>
  <c r="AC23" i="3"/>
  <c r="Y23" i="3"/>
  <c r="X23" i="3"/>
  <c r="W23" i="3"/>
  <c r="V23" i="3"/>
  <c r="U23" i="3"/>
  <c r="T23" i="3"/>
  <c r="S23" i="3"/>
  <c r="R23" i="3"/>
  <c r="N23" i="3"/>
  <c r="M23" i="3"/>
  <c r="AC22" i="3"/>
  <c r="Y22" i="3"/>
  <c r="X22" i="3"/>
  <c r="W22" i="3"/>
  <c r="V22" i="3"/>
  <c r="U22" i="3"/>
  <c r="T22" i="3"/>
  <c r="S22" i="3"/>
  <c r="R22" i="3"/>
  <c r="N22" i="3"/>
  <c r="M22" i="3"/>
  <c r="AC21" i="3"/>
  <c r="Y21" i="3"/>
  <c r="X21" i="3"/>
  <c r="W21" i="3"/>
  <c r="V21" i="3"/>
  <c r="U21" i="3"/>
  <c r="T21" i="3"/>
  <c r="S21" i="3"/>
  <c r="R21" i="3"/>
  <c r="N21" i="3"/>
  <c r="M21" i="3"/>
  <c r="AC20" i="3"/>
  <c r="Y20" i="3"/>
  <c r="X20" i="3"/>
  <c r="W20" i="3"/>
  <c r="V20" i="3"/>
  <c r="U20" i="3"/>
  <c r="T20" i="3"/>
  <c r="S20" i="3"/>
  <c r="R20" i="3"/>
  <c r="N20" i="3"/>
  <c r="M20" i="3"/>
  <c r="AC19" i="3"/>
  <c r="Y19" i="3"/>
  <c r="X19" i="3"/>
  <c r="W19" i="3"/>
  <c r="V19" i="3"/>
  <c r="U19" i="3"/>
  <c r="T19" i="3"/>
  <c r="S19" i="3"/>
  <c r="R19" i="3"/>
  <c r="N19" i="3"/>
  <c r="M19" i="3"/>
  <c r="AC18" i="3"/>
  <c r="Y18" i="3"/>
  <c r="X18" i="3"/>
  <c r="W18" i="3"/>
  <c r="V18" i="3"/>
  <c r="U18" i="3"/>
  <c r="T18" i="3"/>
  <c r="S18" i="3"/>
  <c r="R18" i="3"/>
  <c r="N18" i="3"/>
  <c r="M18" i="3"/>
  <c r="AC17" i="3"/>
  <c r="Y17" i="3"/>
  <c r="X17" i="3"/>
  <c r="W17" i="3"/>
  <c r="V17" i="3"/>
  <c r="U17" i="3"/>
  <c r="T17" i="3"/>
  <c r="S17" i="3"/>
  <c r="R17" i="3"/>
  <c r="M17" i="3"/>
  <c r="AC16" i="3"/>
  <c r="Y16" i="3"/>
  <c r="X16" i="3"/>
  <c r="W16" i="3"/>
  <c r="V16" i="3"/>
  <c r="U16" i="3"/>
  <c r="T16" i="3"/>
  <c r="S16" i="3"/>
  <c r="R16" i="3"/>
  <c r="N16" i="3"/>
  <c r="M16" i="3"/>
  <c r="AC15" i="3"/>
  <c r="Y15" i="3"/>
  <c r="X15" i="3"/>
  <c r="W15" i="3"/>
  <c r="V15" i="3"/>
  <c r="U15" i="3"/>
  <c r="T15" i="3"/>
  <c r="S15" i="3"/>
  <c r="R15" i="3"/>
  <c r="N15" i="3"/>
  <c r="M15" i="3"/>
  <c r="AC14" i="3"/>
  <c r="Y14" i="3"/>
  <c r="X14" i="3"/>
  <c r="W14" i="3"/>
  <c r="V14" i="3"/>
  <c r="U14" i="3"/>
  <c r="T14" i="3"/>
  <c r="S14" i="3"/>
  <c r="R14" i="3"/>
  <c r="N14" i="3"/>
  <c r="M14" i="3"/>
  <c r="AC13" i="3"/>
  <c r="Y13" i="3"/>
  <c r="X13" i="3"/>
  <c r="W13" i="3"/>
  <c r="V13" i="3"/>
  <c r="U13" i="3"/>
  <c r="T13" i="3"/>
  <c r="S13" i="3"/>
  <c r="R13" i="3"/>
  <c r="N13" i="3"/>
  <c r="M13" i="3"/>
  <c r="AC12" i="3"/>
  <c r="Y12" i="3"/>
  <c r="X12" i="3"/>
  <c r="W12" i="3"/>
  <c r="V12" i="3"/>
  <c r="U12" i="3"/>
  <c r="T12" i="3"/>
  <c r="S12" i="3"/>
  <c r="R12" i="3"/>
  <c r="N12" i="3"/>
  <c r="M12" i="3"/>
  <c r="AC11" i="3"/>
  <c r="Y11" i="3"/>
  <c r="X11" i="3"/>
  <c r="W11" i="3"/>
  <c r="V11" i="3"/>
  <c r="U11" i="3"/>
  <c r="T11" i="3"/>
  <c r="S11" i="3"/>
  <c r="R11" i="3"/>
  <c r="N11" i="3"/>
  <c r="M11" i="3"/>
  <c r="AC10" i="3"/>
  <c r="Y10" i="3"/>
  <c r="X10" i="3"/>
  <c r="W10" i="3"/>
  <c r="V10" i="3"/>
  <c r="U10" i="3"/>
  <c r="T10" i="3"/>
  <c r="S10" i="3"/>
  <c r="R10" i="3"/>
  <c r="N10" i="3"/>
  <c r="M10" i="3"/>
  <c r="AC9" i="3"/>
  <c r="Y9" i="3"/>
  <c r="X9" i="3"/>
  <c r="W9" i="3"/>
  <c r="V9" i="3"/>
  <c r="U9" i="3"/>
  <c r="T9" i="3"/>
  <c r="S9" i="3"/>
  <c r="R9" i="3"/>
  <c r="N9" i="3"/>
  <c r="M9" i="3"/>
  <c r="AC8" i="3"/>
  <c r="Y8" i="3"/>
  <c r="X8" i="3"/>
  <c r="W8" i="3"/>
  <c r="V8" i="3"/>
  <c r="U8" i="3"/>
  <c r="T8" i="3"/>
  <c r="S8" i="3"/>
  <c r="R8" i="3"/>
  <c r="N8" i="3"/>
  <c r="M8" i="3"/>
  <c r="AC7" i="3"/>
  <c r="Y7" i="3"/>
  <c r="X7" i="3"/>
  <c r="W7" i="3"/>
  <c r="V7" i="3"/>
  <c r="U7" i="3"/>
  <c r="T7" i="3"/>
  <c r="S7" i="3"/>
  <c r="R7" i="3"/>
  <c r="N7" i="3"/>
  <c r="M7" i="3"/>
  <c r="AH205" i="1"/>
  <c r="AF205" i="1"/>
  <c r="AE205" i="1"/>
  <c r="AD205" i="1"/>
  <c r="AG205" i="1" s="1"/>
  <c r="AC205" i="1"/>
  <c r="AB205" i="1"/>
  <c r="Z205" i="1"/>
  <c r="AA205" i="1" s="1"/>
  <c r="Y205" i="1"/>
  <c r="X205" i="1"/>
  <c r="V205" i="1"/>
  <c r="T205" i="1"/>
  <c r="N205" i="1"/>
  <c r="M205" i="1"/>
  <c r="L205" i="1"/>
  <c r="K205" i="1"/>
  <c r="AH204" i="1"/>
  <c r="AG204" i="1"/>
  <c r="AF204" i="1"/>
  <c r="AE204" i="1"/>
  <c r="AD204" i="1"/>
  <c r="AC204" i="1"/>
  <c r="AB204" i="1"/>
  <c r="Z204" i="1"/>
  <c r="Y204" i="1"/>
  <c r="AA204" i="1" s="1"/>
  <c r="W204" i="1" s="1"/>
  <c r="V204" i="1"/>
  <c r="T204" i="1"/>
  <c r="M204" i="1"/>
  <c r="N204" i="1" s="1"/>
  <c r="L204" i="1"/>
  <c r="K204" i="1"/>
  <c r="AH203" i="1"/>
  <c r="AF203" i="1"/>
  <c r="AE203" i="1"/>
  <c r="AD203" i="1"/>
  <c r="AC203" i="1"/>
  <c r="AB203" i="1"/>
  <c r="Z203" i="1"/>
  <c r="AA203" i="1" s="1"/>
  <c r="Y203" i="1"/>
  <c r="V203" i="1"/>
  <c r="N203" i="1"/>
  <c r="M203" i="1"/>
  <c r="L203" i="1"/>
  <c r="K203" i="1"/>
  <c r="AI202" i="1"/>
  <c r="AH202" i="1"/>
  <c r="AG202" i="1"/>
  <c r="AF202" i="1"/>
  <c r="AE202" i="1"/>
  <c r="AD202" i="1"/>
  <c r="AC202" i="1"/>
  <c r="AB202" i="1"/>
  <c r="AA202" i="1"/>
  <c r="W202" i="1" s="1"/>
  <c r="Z202" i="1"/>
  <c r="Y202" i="1"/>
  <c r="V202" i="1"/>
  <c r="U202" i="1"/>
  <c r="T202" i="1"/>
  <c r="S202" i="1"/>
  <c r="M202" i="1"/>
  <c r="N202" i="1" s="1"/>
  <c r="L202" i="1"/>
  <c r="K202" i="1"/>
  <c r="AH201" i="1"/>
  <c r="AF201" i="1"/>
  <c r="AE201" i="1"/>
  <c r="AD201" i="1"/>
  <c r="X202" i="1" s="1"/>
  <c r="AC201" i="1"/>
  <c r="AB201" i="1"/>
  <c r="Z201" i="1"/>
  <c r="AA201" i="1" s="1"/>
  <c r="Y201" i="1"/>
  <c r="X201" i="1"/>
  <c r="V201" i="1"/>
  <c r="T201" i="1"/>
  <c r="N201" i="1"/>
  <c r="M201" i="1"/>
  <c r="L201" i="1"/>
  <c r="K201" i="1"/>
  <c r="AH200" i="1"/>
  <c r="AG200" i="1"/>
  <c r="AF200" i="1"/>
  <c r="AE200" i="1"/>
  <c r="AD200" i="1"/>
  <c r="X200" i="1" s="1"/>
  <c r="AC200" i="1"/>
  <c r="AB200" i="1"/>
  <c r="Z200" i="1"/>
  <c r="Y200" i="1"/>
  <c r="AA200" i="1" s="1"/>
  <c r="W200" i="1" s="1"/>
  <c r="V200" i="1"/>
  <c r="M200" i="1"/>
  <c r="N200" i="1" s="1"/>
  <c r="L200" i="1"/>
  <c r="K200" i="1"/>
  <c r="AH199" i="1"/>
  <c r="AF199" i="1"/>
  <c r="AE199" i="1"/>
  <c r="AD199" i="1"/>
  <c r="AC199" i="1"/>
  <c r="AB199" i="1"/>
  <c r="Z199" i="1"/>
  <c r="AA199" i="1" s="1"/>
  <c r="Y199" i="1"/>
  <c r="V199" i="1"/>
  <c r="N199" i="1"/>
  <c r="M199" i="1"/>
  <c r="L199" i="1"/>
  <c r="K199" i="1"/>
  <c r="AI198" i="1"/>
  <c r="AH198" i="1"/>
  <c r="AG198" i="1"/>
  <c r="AF198" i="1"/>
  <c r="AE198" i="1"/>
  <c r="AD198" i="1"/>
  <c r="AC198" i="1"/>
  <c r="AB198" i="1"/>
  <c r="AA198" i="1"/>
  <c r="Z198" i="1"/>
  <c r="Y198" i="1"/>
  <c r="W198" i="1"/>
  <c r="V198" i="1"/>
  <c r="U198" i="1"/>
  <c r="T198" i="1"/>
  <c r="S198" i="1"/>
  <c r="M198" i="1"/>
  <c r="N198" i="1" s="1"/>
  <c r="L198" i="1"/>
  <c r="K198" i="1"/>
  <c r="AH197" i="1"/>
  <c r="AF197" i="1"/>
  <c r="AE197" i="1"/>
  <c r="AD197" i="1"/>
  <c r="X198" i="1" s="1"/>
  <c r="AC197" i="1"/>
  <c r="AB197" i="1"/>
  <c r="Z197" i="1"/>
  <c r="AA197" i="1" s="1"/>
  <c r="Y197" i="1"/>
  <c r="V197" i="1"/>
  <c r="T197" i="1"/>
  <c r="N197" i="1"/>
  <c r="M197" i="1"/>
  <c r="L197" i="1"/>
  <c r="K197" i="1"/>
  <c r="AH196" i="1"/>
  <c r="AG196" i="1"/>
  <c r="AF196" i="1"/>
  <c r="AE196" i="1"/>
  <c r="AD196" i="1"/>
  <c r="AC196" i="1"/>
  <c r="AB196" i="1"/>
  <c r="Z196" i="1"/>
  <c r="Y196" i="1"/>
  <c r="AA196" i="1" s="1"/>
  <c r="V196" i="1"/>
  <c r="T196" i="1"/>
  <c r="M196" i="1"/>
  <c r="N196" i="1" s="1"/>
  <c r="L196" i="1"/>
  <c r="K196" i="1"/>
  <c r="AH195" i="1"/>
  <c r="AF195" i="1"/>
  <c r="AE195" i="1"/>
  <c r="AD195" i="1"/>
  <c r="AC195" i="1"/>
  <c r="AB195" i="1"/>
  <c r="Z195" i="1"/>
  <c r="AA195" i="1" s="1"/>
  <c r="Y195" i="1"/>
  <c r="V195" i="1"/>
  <c r="N195" i="1"/>
  <c r="M195" i="1"/>
  <c r="L195" i="1"/>
  <c r="K195" i="1"/>
  <c r="AI194" i="1"/>
  <c r="AH194" i="1"/>
  <c r="AG194" i="1"/>
  <c r="AF194" i="1"/>
  <c r="AE194" i="1"/>
  <c r="AD194" i="1"/>
  <c r="AC194" i="1"/>
  <c r="AB194" i="1"/>
  <c r="AA194" i="1"/>
  <c r="W194" i="1" s="1"/>
  <c r="Z194" i="1"/>
  <c r="Y194" i="1"/>
  <c r="V194" i="1"/>
  <c r="U194" i="1"/>
  <c r="T194" i="1"/>
  <c r="S194" i="1"/>
  <c r="M194" i="1"/>
  <c r="N194" i="1" s="1"/>
  <c r="L194" i="1"/>
  <c r="K194" i="1"/>
  <c r="AH193" i="1"/>
  <c r="AF193" i="1"/>
  <c r="AE193" i="1"/>
  <c r="AD193" i="1"/>
  <c r="X194" i="1" s="1"/>
  <c r="AC193" i="1"/>
  <c r="AB193" i="1"/>
  <c r="Z193" i="1"/>
  <c r="AA193" i="1" s="1"/>
  <c r="Y193" i="1"/>
  <c r="X193" i="1"/>
  <c r="V193" i="1"/>
  <c r="T193" i="1"/>
  <c r="N193" i="1"/>
  <c r="M193" i="1"/>
  <c r="L193" i="1"/>
  <c r="K193" i="1"/>
  <c r="AH192" i="1"/>
  <c r="AG192" i="1"/>
  <c r="AF192" i="1"/>
  <c r="AE192" i="1"/>
  <c r="AD192" i="1"/>
  <c r="AC192" i="1"/>
  <c r="AB192" i="1"/>
  <c r="Z192" i="1"/>
  <c r="Y192" i="1"/>
  <c r="AA192" i="1" s="1"/>
  <c r="V192" i="1"/>
  <c r="U192" i="1"/>
  <c r="T192" i="1"/>
  <c r="M192" i="1"/>
  <c r="N192" i="1" s="1"/>
  <c r="L192" i="1"/>
  <c r="K192" i="1"/>
  <c r="AH191" i="1"/>
  <c r="AF191" i="1"/>
  <c r="AE191" i="1"/>
  <c r="AD191" i="1"/>
  <c r="AC191" i="1"/>
  <c r="AB191" i="1"/>
  <c r="Z191" i="1"/>
  <c r="AA191" i="1" s="1"/>
  <c r="Y191" i="1"/>
  <c r="V191" i="1"/>
  <c r="N191" i="1"/>
  <c r="M191" i="1"/>
  <c r="L191" i="1"/>
  <c r="K191" i="1"/>
  <c r="AI190" i="1"/>
  <c r="AH190" i="1"/>
  <c r="AG190" i="1"/>
  <c r="AF190" i="1"/>
  <c r="AE190" i="1"/>
  <c r="AD190" i="1"/>
  <c r="AC190" i="1"/>
  <c r="AB190" i="1"/>
  <c r="AA190" i="1"/>
  <c r="Z190" i="1"/>
  <c r="Y190" i="1"/>
  <c r="W190" i="1"/>
  <c r="V190" i="1"/>
  <c r="U190" i="1"/>
  <c r="T190" i="1"/>
  <c r="S190" i="1"/>
  <c r="M190" i="1"/>
  <c r="N190" i="1" s="1"/>
  <c r="L190" i="1"/>
  <c r="K190" i="1"/>
  <c r="AH189" i="1"/>
  <c r="AF189" i="1"/>
  <c r="AE189" i="1"/>
  <c r="AD189" i="1"/>
  <c r="X190" i="1" s="1"/>
  <c r="AC189" i="1"/>
  <c r="AB189" i="1"/>
  <c r="Z189" i="1"/>
  <c r="AA189" i="1" s="1"/>
  <c r="Y189" i="1"/>
  <c r="X189" i="1"/>
  <c r="V189" i="1"/>
  <c r="T189" i="1"/>
  <c r="N189" i="1"/>
  <c r="M189" i="1"/>
  <c r="L189" i="1"/>
  <c r="K189" i="1"/>
  <c r="AH188" i="1"/>
  <c r="AG188" i="1"/>
  <c r="AF188" i="1"/>
  <c r="AE188" i="1"/>
  <c r="AD188" i="1"/>
  <c r="AC188" i="1"/>
  <c r="AB188" i="1"/>
  <c r="Z188" i="1"/>
  <c r="Y188" i="1"/>
  <c r="AA188" i="1" s="1"/>
  <c r="V188" i="1"/>
  <c r="M188" i="1"/>
  <c r="N188" i="1" s="1"/>
  <c r="L188" i="1"/>
  <c r="K188" i="1"/>
  <c r="AH187" i="1"/>
  <c r="AF187" i="1"/>
  <c r="AE187" i="1"/>
  <c r="AD187" i="1"/>
  <c r="AC187" i="1"/>
  <c r="AB187" i="1"/>
  <c r="Z187" i="1"/>
  <c r="AA187" i="1" s="1"/>
  <c r="Y187" i="1"/>
  <c r="V187" i="1"/>
  <c r="N187" i="1"/>
  <c r="M187" i="1"/>
  <c r="L187" i="1"/>
  <c r="K187" i="1"/>
  <c r="AI186" i="1"/>
  <c r="AH186" i="1"/>
  <c r="AG186" i="1"/>
  <c r="AF186" i="1"/>
  <c r="AE186" i="1"/>
  <c r="AD186" i="1"/>
  <c r="AC186" i="1"/>
  <c r="AB186" i="1"/>
  <c r="AA186" i="1"/>
  <c r="W186" i="1" s="1"/>
  <c r="Z186" i="1"/>
  <c r="Y186" i="1"/>
  <c r="V186" i="1"/>
  <c r="U186" i="1"/>
  <c r="T186" i="1"/>
  <c r="S186" i="1"/>
  <c r="M186" i="1"/>
  <c r="N186" i="1" s="1"/>
  <c r="L186" i="1"/>
  <c r="K186" i="1"/>
  <c r="AH185" i="1"/>
  <c r="AF185" i="1"/>
  <c r="AE185" i="1"/>
  <c r="AD185" i="1"/>
  <c r="X186" i="1" s="1"/>
  <c r="AC185" i="1"/>
  <c r="AB185" i="1"/>
  <c r="Z185" i="1"/>
  <c r="AA185" i="1" s="1"/>
  <c r="Y185" i="1"/>
  <c r="X185" i="1"/>
  <c r="V185" i="1"/>
  <c r="T185" i="1"/>
  <c r="N185" i="1"/>
  <c r="M185" i="1"/>
  <c r="L185" i="1"/>
  <c r="K185" i="1"/>
  <c r="AH184" i="1"/>
  <c r="AG184" i="1"/>
  <c r="AF184" i="1"/>
  <c r="AE184" i="1"/>
  <c r="AD184" i="1"/>
  <c r="X184" i="1" s="1"/>
  <c r="AC184" i="1"/>
  <c r="AB184" i="1"/>
  <c r="Z184" i="1"/>
  <c r="Y184" i="1"/>
  <c r="AA184" i="1" s="1"/>
  <c r="W184" i="1" s="1"/>
  <c r="V184" i="1"/>
  <c r="M184" i="1"/>
  <c r="N184" i="1" s="1"/>
  <c r="L184" i="1"/>
  <c r="K184" i="1"/>
  <c r="AH183" i="1"/>
  <c r="AF183" i="1"/>
  <c r="AE183" i="1"/>
  <c r="AD183" i="1"/>
  <c r="AC183" i="1"/>
  <c r="AB183" i="1"/>
  <c r="Z183" i="1"/>
  <c r="AA183" i="1" s="1"/>
  <c r="Y183" i="1"/>
  <c r="V183" i="1"/>
  <c r="N183" i="1"/>
  <c r="M183" i="1"/>
  <c r="L183" i="1"/>
  <c r="K183" i="1"/>
  <c r="AI182" i="1"/>
  <c r="AH182" i="1"/>
  <c r="AG182" i="1"/>
  <c r="AF182" i="1"/>
  <c r="AE182" i="1"/>
  <c r="AD182" i="1"/>
  <c r="AC182" i="1"/>
  <c r="AB182" i="1"/>
  <c r="AA182" i="1"/>
  <c r="W182" i="1" s="1"/>
  <c r="Z182" i="1"/>
  <c r="Y182" i="1"/>
  <c r="V182" i="1"/>
  <c r="U182" i="1"/>
  <c r="T182" i="1"/>
  <c r="S182" i="1"/>
  <c r="M182" i="1"/>
  <c r="N182" i="1" s="1"/>
  <c r="L182" i="1"/>
  <c r="K182" i="1"/>
  <c r="AH181" i="1"/>
  <c r="AF181" i="1"/>
  <c r="AE181" i="1"/>
  <c r="AD181" i="1"/>
  <c r="X182" i="1" s="1"/>
  <c r="AC181" i="1"/>
  <c r="AB181" i="1"/>
  <c r="Z181" i="1"/>
  <c r="AA181" i="1" s="1"/>
  <c r="Y181" i="1"/>
  <c r="X181" i="1"/>
  <c r="V181" i="1"/>
  <c r="T181" i="1"/>
  <c r="N181" i="1"/>
  <c r="M181" i="1"/>
  <c r="L181" i="1"/>
  <c r="K181" i="1"/>
  <c r="AH180" i="1"/>
  <c r="AG180" i="1"/>
  <c r="AF180" i="1"/>
  <c r="AE180" i="1"/>
  <c r="AD180" i="1"/>
  <c r="AC180" i="1"/>
  <c r="AB180" i="1"/>
  <c r="Z180" i="1"/>
  <c r="Y180" i="1"/>
  <c r="AA180" i="1" s="1"/>
  <c r="V180" i="1"/>
  <c r="M180" i="1"/>
  <c r="N180" i="1" s="1"/>
  <c r="L180" i="1"/>
  <c r="K180" i="1"/>
  <c r="AH179" i="1"/>
  <c r="AF179" i="1"/>
  <c r="AE179" i="1"/>
  <c r="AD179" i="1"/>
  <c r="AC179" i="1"/>
  <c r="AB179" i="1"/>
  <c r="Z179" i="1"/>
  <c r="AA179" i="1" s="1"/>
  <c r="Y179" i="1"/>
  <c r="V179" i="1"/>
  <c r="N179" i="1"/>
  <c r="M179" i="1"/>
  <c r="L179" i="1"/>
  <c r="K179" i="1"/>
  <c r="AI178" i="1"/>
  <c r="AH178" i="1"/>
  <c r="AG178" i="1"/>
  <c r="AF178" i="1"/>
  <c r="AE178" i="1"/>
  <c r="AD178" i="1"/>
  <c r="AC178" i="1"/>
  <c r="AB178" i="1"/>
  <c r="AA178" i="1"/>
  <c r="W178" i="1" s="1"/>
  <c r="Z178" i="1"/>
  <c r="Y178" i="1"/>
  <c r="V178" i="1"/>
  <c r="U178" i="1"/>
  <c r="T178" i="1"/>
  <c r="S178" i="1"/>
  <c r="M178" i="1"/>
  <c r="N178" i="1" s="1"/>
  <c r="L178" i="1"/>
  <c r="K178" i="1"/>
  <c r="AH177" i="1"/>
  <c r="AF177" i="1"/>
  <c r="AE177" i="1"/>
  <c r="AD177" i="1"/>
  <c r="X178" i="1" s="1"/>
  <c r="AC177" i="1"/>
  <c r="AB177" i="1"/>
  <c r="Z177" i="1"/>
  <c r="AA177" i="1" s="1"/>
  <c r="Y177" i="1"/>
  <c r="X177" i="1"/>
  <c r="V177" i="1"/>
  <c r="T177" i="1"/>
  <c r="N177" i="1"/>
  <c r="M177" i="1"/>
  <c r="L177" i="1"/>
  <c r="K177" i="1"/>
  <c r="AH176" i="1"/>
  <c r="AG176" i="1"/>
  <c r="AF176" i="1"/>
  <c r="AE176" i="1"/>
  <c r="AD176" i="1"/>
  <c r="AC176" i="1"/>
  <c r="AB176" i="1"/>
  <c r="Z176" i="1"/>
  <c r="Y176" i="1"/>
  <c r="AA176" i="1" s="1"/>
  <c r="W176" i="1" s="1"/>
  <c r="V176" i="1"/>
  <c r="M176" i="1"/>
  <c r="N176" i="1" s="1"/>
  <c r="L176" i="1"/>
  <c r="K176" i="1"/>
  <c r="AH175" i="1"/>
  <c r="AF175" i="1"/>
  <c r="AE175" i="1"/>
  <c r="AD175" i="1"/>
  <c r="AG175" i="1" s="1"/>
  <c r="AC175" i="1"/>
  <c r="AB175" i="1"/>
  <c r="Z175" i="1"/>
  <c r="AA175" i="1" s="1"/>
  <c r="Y175" i="1"/>
  <c r="X175" i="1"/>
  <c r="V175" i="1"/>
  <c r="N175" i="1"/>
  <c r="M175" i="1"/>
  <c r="L175" i="1"/>
  <c r="K175" i="1"/>
  <c r="AI174" i="1"/>
  <c r="AH174" i="1"/>
  <c r="AG174" i="1"/>
  <c r="AF174" i="1"/>
  <c r="AE174" i="1"/>
  <c r="AD174" i="1"/>
  <c r="AC174" i="1"/>
  <c r="AB174" i="1"/>
  <c r="AA174" i="1"/>
  <c r="W174" i="1" s="1"/>
  <c r="Z174" i="1"/>
  <c r="Y174" i="1"/>
  <c r="V174" i="1"/>
  <c r="U174" i="1"/>
  <c r="S174" i="1" s="1"/>
  <c r="T174" i="1"/>
  <c r="M174" i="1"/>
  <c r="N174" i="1" s="1"/>
  <c r="L174" i="1"/>
  <c r="K174" i="1"/>
  <c r="AH173" i="1"/>
  <c r="AF173" i="1"/>
  <c r="AE173" i="1"/>
  <c r="AD173" i="1"/>
  <c r="AC173" i="1"/>
  <c r="AB173" i="1"/>
  <c r="Z173" i="1"/>
  <c r="AA173" i="1" s="1"/>
  <c r="Y173" i="1"/>
  <c r="X173" i="1"/>
  <c r="V173" i="1"/>
  <c r="T173" i="1"/>
  <c r="N173" i="1"/>
  <c r="M173" i="1"/>
  <c r="L173" i="1"/>
  <c r="K173" i="1"/>
  <c r="AH172" i="1"/>
  <c r="AG172" i="1"/>
  <c r="AI172" i="1" s="1"/>
  <c r="AF172" i="1"/>
  <c r="AE172" i="1"/>
  <c r="AD172" i="1"/>
  <c r="AC172" i="1"/>
  <c r="AB172" i="1"/>
  <c r="Z172" i="1"/>
  <c r="Y172" i="1"/>
  <c r="AA172" i="1" s="1"/>
  <c r="W172" i="1" s="1"/>
  <c r="V172" i="1"/>
  <c r="M172" i="1"/>
  <c r="N172" i="1" s="1"/>
  <c r="L172" i="1"/>
  <c r="K172" i="1"/>
  <c r="AH171" i="1"/>
  <c r="AF171" i="1"/>
  <c r="AE171" i="1"/>
  <c r="AD171" i="1"/>
  <c r="AG171" i="1" s="1"/>
  <c r="AC171" i="1"/>
  <c r="AB171" i="1"/>
  <c r="Z171" i="1"/>
  <c r="AA171" i="1" s="1"/>
  <c r="Y171" i="1"/>
  <c r="X171" i="1"/>
  <c r="V171" i="1"/>
  <c r="N171" i="1"/>
  <c r="M171" i="1"/>
  <c r="L171" i="1"/>
  <c r="K171" i="1"/>
  <c r="AH170" i="1"/>
  <c r="AG170" i="1"/>
  <c r="AF170" i="1"/>
  <c r="AE170" i="1"/>
  <c r="AD170" i="1"/>
  <c r="AC170" i="1"/>
  <c r="AB170" i="1"/>
  <c r="Z170" i="1"/>
  <c r="Y170" i="1"/>
  <c r="AA170" i="1" s="1"/>
  <c r="W170" i="1" s="1"/>
  <c r="V170" i="1"/>
  <c r="T170" i="1"/>
  <c r="M170" i="1"/>
  <c r="N170" i="1" s="1"/>
  <c r="L170" i="1"/>
  <c r="K170" i="1"/>
  <c r="AH169" i="1"/>
  <c r="AF169" i="1"/>
  <c r="AE169" i="1"/>
  <c r="AD169" i="1"/>
  <c r="AC169" i="1"/>
  <c r="AB169" i="1"/>
  <c r="Z169" i="1"/>
  <c r="AA169" i="1" s="1"/>
  <c r="Y169" i="1"/>
  <c r="V169" i="1"/>
  <c r="N169" i="1"/>
  <c r="M169" i="1"/>
  <c r="L169" i="1"/>
  <c r="K169" i="1"/>
  <c r="AI168" i="1"/>
  <c r="AH168" i="1"/>
  <c r="AG168" i="1"/>
  <c r="AF168" i="1"/>
  <c r="AE168" i="1"/>
  <c r="AD168" i="1"/>
  <c r="AC168" i="1"/>
  <c r="AB168" i="1"/>
  <c r="AA168" i="1"/>
  <c r="W168" i="1" s="1"/>
  <c r="Z168" i="1"/>
  <c r="Y168" i="1"/>
  <c r="V168" i="1"/>
  <c r="M168" i="1"/>
  <c r="N168" i="1" s="1"/>
  <c r="L168" i="1"/>
  <c r="K168" i="1"/>
  <c r="AH167" i="1"/>
  <c r="AF167" i="1"/>
  <c r="AE167" i="1"/>
  <c r="AD167" i="1"/>
  <c r="AG167" i="1" s="1"/>
  <c r="AC167" i="1"/>
  <c r="AB167" i="1"/>
  <c r="Z167" i="1"/>
  <c r="AA167" i="1" s="1"/>
  <c r="W167" i="1" s="1"/>
  <c r="Y167" i="1"/>
  <c r="V167" i="1"/>
  <c r="M167" i="1"/>
  <c r="N167" i="1" s="1"/>
  <c r="L167" i="1"/>
  <c r="K167" i="1"/>
  <c r="AH166" i="1"/>
  <c r="AF166" i="1"/>
  <c r="AE166" i="1"/>
  <c r="AD166" i="1"/>
  <c r="AC166" i="1"/>
  <c r="AB166" i="1"/>
  <c r="Z166" i="1"/>
  <c r="AA166" i="1" s="1"/>
  <c r="Y166" i="1"/>
  <c r="V166" i="1"/>
  <c r="N166" i="1"/>
  <c r="M166" i="1"/>
  <c r="L166" i="1"/>
  <c r="K166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T165" i="1"/>
  <c r="U165" i="1" s="1"/>
  <c r="S165" i="1"/>
  <c r="M165" i="1"/>
  <c r="N165" i="1" s="1"/>
  <c r="L165" i="1"/>
  <c r="K165" i="1"/>
  <c r="AH164" i="1"/>
  <c r="AG164" i="1"/>
  <c r="AI164" i="1" s="1"/>
  <c r="AF164" i="1"/>
  <c r="AE164" i="1"/>
  <c r="AD164" i="1"/>
  <c r="AC164" i="1"/>
  <c r="AB164" i="1"/>
  <c r="Z164" i="1"/>
  <c r="AA164" i="1" s="1"/>
  <c r="W164" i="1" s="1"/>
  <c r="Y164" i="1"/>
  <c r="X164" i="1"/>
  <c r="V164" i="1"/>
  <c r="T164" i="1"/>
  <c r="U164" i="1" s="1"/>
  <c r="M164" i="1"/>
  <c r="N164" i="1" s="1"/>
  <c r="L164" i="1"/>
  <c r="K164" i="1"/>
  <c r="AH163" i="1"/>
  <c r="AG163" i="1"/>
  <c r="AF163" i="1"/>
  <c r="AE163" i="1"/>
  <c r="AD163" i="1"/>
  <c r="AC163" i="1"/>
  <c r="AB163" i="1"/>
  <c r="Z163" i="1"/>
  <c r="Y163" i="1"/>
  <c r="V163" i="1"/>
  <c r="M163" i="1"/>
  <c r="N163" i="1" s="1"/>
  <c r="L163" i="1"/>
  <c r="K163" i="1"/>
  <c r="AH162" i="1"/>
  <c r="AF162" i="1"/>
  <c r="AE162" i="1"/>
  <c r="AD162" i="1"/>
  <c r="AC162" i="1"/>
  <c r="AB162" i="1"/>
  <c r="Z162" i="1"/>
  <c r="AA162" i="1" s="1"/>
  <c r="Y162" i="1"/>
  <c r="V162" i="1"/>
  <c r="N162" i="1"/>
  <c r="M162" i="1"/>
  <c r="L162" i="1"/>
  <c r="K162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T161" i="1"/>
  <c r="U161" i="1" s="1"/>
  <c r="S161" i="1" s="1"/>
  <c r="M161" i="1"/>
  <c r="N161" i="1" s="1"/>
  <c r="L161" i="1"/>
  <c r="K161" i="1"/>
  <c r="AH160" i="1"/>
  <c r="AG160" i="1"/>
  <c r="AI160" i="1" s="1"/>
  <c r="AF160" i="1"/>
  <c r="AE160" i="1"/>
  <c r="AD160" i="1"/>
  <c r="AC160" i="1"/>
  <c r="AB160" i="1"/>
  <c r="Z160" i="1"/>
  <c r="AA160" i="1" s="1"/>
  <c r="W160" i="1" s="1"/>
  <c r="Y160" i="1"/>
  <c r="X160" i="1"/>
  <c r="V160" i="1"/>
  <c r="T160" i="1"/>
  <c r="U160" i="1" s="1"/>
  <c r="M160" i="1"/>
  <c r="N160" i="1" s="1"/>
  <c r="L160" i="1"/>
  <c r="K160" i="1"/>
  <c r="AH159" i="1"/>
  <c r="AG159" i="1"/>
  <c r="AF159" i="1"/>
  <c r="AE159" i="1"/>
  <c r="AD159" i="1"/>
  <c r="X159" i="1" s="1"/>
  <c r="AC159" i="1"/>
  <c r="AB159" i="1"/>
  <c r="Z159" i="1"/>
  <c r="Y159" i="1"/>
  <c r="V159" i="1"/>
  <c r="M159" i="1"/>
  <c r="N159" i="1" s="1"/>
  <c r="L159" i="1"/>
  <c r="K159" i="1"/>
  <c r="AH158" i="1"/>
  <c r="AF158" i="1"/>
  <c r="AE158" i="1"/>
  <c r="AD158" i="1"/>
  <c r="AC158" i="1"/>
  <c r="AB158" i="1"/>
  <c r="Z158" i="1"/>
  <c r="AA158" i="1" s="1"/>
  <c r="Y158" i="1"/>
  <c r="V158" i="1"/>
  <c r="N158" i="1"/>
  <c r="M158" i="1"/>
  <c r="L158" i="1"/>
  <c r="K158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T157" i="1"/>
  <c r="U157" i="1" s="1"/>
  <c r="S157" i="1" s="1"/>
  <c r="M157" i="1"/>
  <c r="N157" i="1" s="1"/>
  <c r="L157" i="1"/>
  <c r="K157" i="1"/>
  <c r="AH156" i="1"/>
  <c r="AG156" i="1"/>
  <c r="AI156" i="1" s="1"/>
  <c r="AF156" i="1"/>
  <c r="AE156" i="1"/>
  <c r="AD156" i="1"/>
  <c r="AC156" i="1"/>
  <c r="AB156" i="1"/>
  <c r="Z156" i="1"/>
  <c r="AA156" i="1" s="1"/>
  <c r="W156" i="1" s="1"/>
  <c r="Y156" i="1"/>
  <c r="X156" i="1"/>
  <c r="V156" i="1"/>
  <c r="T156" i="1"/>
  <c r="U156" i="1" s="1"/>
  <c r="M156" i="1"/>
  <c r="N156" i="1" s="1"/>
  <c r="L156" i="1"/>
  <c r="K156" i="1"/>
  <c r="AH155" i="1"/>
  <c r="AF155" i="1"/>
  <c r="AE155" i="1"/>
  <c r="AD155" i="1"/>
  <c r="AC155" i="1"/>
  <c r="AB155" i="1"/>
  <c r="Z155" i="1"/>
  <c r="AA155" i="1" s="1"/>
  <c r="Y155" i="1"/>
  <c r="V155" i="1"/>
  <c r="N155" i="1"/>
  <c r="M155" i="1"/>
  <c r="L155" i="1"/>
  <c r="K155" i="1"/>
  <c r="AH154" i="1"/>
  <c r="AF154" i="1"/>
  <c r="AE154" i="1"/>
  <c r="AD154" i="1"/>
  <c r="AC154" i="1"/>
  <c r="AB154" i="1"/>
  <c r="AA154" i="1"/>
  <c r="Z154" i="1"/>
  <c r="Y154" i="1"/>
  <c r="V154" i="1"/>
  <c r="N154" i="1"/>
  <c r="M154" i="1"/>
  <c r="L154" i="1"/>
  <c r="K154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T153" i="1"/>
  <c r="U153" i="1" s="1"/>
  <c r="S153" i="1" s="1"/>
  <c r="M153" i="1"/>
  <c r="N153" i="1" s="1"/>
  <c r="L153" i="1"/>
  <c r="K153" i="1"/>
  <c r="AH152" i="1"/>
  <c r="AG152" i="1"/>
  <c r="AF152" i="1"/>
  <c r="AE152" i="1"/>
  <c r="AD152" i="1"/>
  <c r="AC152" i="1"/>
  <c r="AB152" i="1"/>
  <c r="Z152" i="1"/>
  <c r="AA152" i="1" s="1"/>
  <c r="W152" i="1" s="1"/>
  <c r="Y152" i="1"/>
  <c r="X152" i="1"/>
  <c r="V152" i="1"/>
  <c r="U152" i="1"/>
  <c r="T152" i="1"/>
  <c r="M152" i="1"/>
  <c r="N152" i="1" s="1"/>
  <c r="L152" i="1"/>
  <c r="K152" i="1"/>
  <c r="AH151" i="1"/>
  <c r="AG151" i="1"/>
  <c r="AF151" i="1"/>
  <c r="AE151" i="1"/>
  <c r="AD151" i="1"/>
  <c r="AC151" i="1"/>
  <c r="AB151" i="1"/>
  <c r="Z151" i="1"/>
  <c r="AA151" i="1" s="1"/>
  <c r="W151" i="1" s="1"/>
  <c r="Y151" i="1"/>
  <c r="V151" i="1"/>
  <c r="N151" i="1"/>
  <c r="M151" i="1"/>
  <c r="L151" i="1"/>
  <c r="K151" i="1"/>
  <c r="AH150" i="1"/>
  <c r="AF150" i="1"/>
  <c r="AE150" i="1"/>
  <c r="AD150" i="1"/>
  <c r="AC150" i="1"/>
  <c r="AB150" i="1"/>
  <c r="Z150" i="1"/>
  <c r="AA150" i="1" s="1"/>
  <c r="Y150" i="1"/>
  <c r="V150" i="1"/>
  <c r="N150" i="1"/>
  <c r="M150" i="1"/>
  <c r="L150" i="1"/>
  <c r="K150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T149" i="1"/>
  <c r="U149" i="1" s="1"/>
  <c r="S149" i="1"/>
  <c r="M149" i="1"/>
  <c r="N149" i="1" s="1"/>
  <c r="L149" i="1"/>
  <c r="K149" i="1"/>
  <c r="AH148" i="1"/>
  <c r="AG148" i="1"/>
  <c r="AF148" i="1"/>
  <c r="AE148" i="1"/>
  <c r="AD148" i="1"/>
  <c r="AC148" i="1"/>
  <c r="AB148" i="1"/>
  <c r="Z148" i="1"/>
  <c r="Y148" i="1"/>
  <c r="V148" i="1"/>
  <c r="T148" i="1"/>
  <c r="M148" i="1"/>
  <c r="N148" i="1" s="1"/>
  <c r="L148" i="1"/>
  <c r="K148" i="1"/>
  <c r="AH147" i="1"/>
  <c r="AF147" i="1"/>
  <c r="AE147" i="1"/>
  <c r="AD147" i="1"/>
  <c r="X148" i="1" s="1"/>
  <c r="AC147" i="1"/>
  <c r="AB147" i="1"/>
  <c r="Z147" i="1"/>
  <c r="Y147" i="1"/>
  <c r="V147" i="1"/>
  <c r="M147" i="1"/>
  <c r="N147" i="1" s="1"/>
  <c r="L147" i="1"/>
  <c r="K147" i="1"/>
  <c r="AH146" i="1"/>
  <c r="AF146" i="1"/>
  <c r="AE146" i="1"/>
  <c r="AD146" i="1"/>
  <c r="AC146" i="1"/>
  <c r="AB146" i="1"/>
  <c r="AA146" i="1"/>
  <c r="Z146" i="1"/>
  <c r="Y146" i="1"/>
  <c r="V146" i="1"/>
  <c r="N146" i="1"/>
  <c r="M146" i="1"/>
  <c r="L146" i="1"/>
  <c r="K146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T145" i="1"/>
  <c r="U145" i="1" s="1"/>
  <c r="S145" i="1" s="1"/>
  <c r="M145" i="1"/>
  <c r="N145" i="1" s="1"/>
  <c r="L145" i="1"/>
  <c r="K145" i="1"/>
  <c r="AH144" i="1"/>
  <c r="AG144" i="1"/>
  <c r="U144" i="1" s="1"/>
  <c r="AF144" i="1"/>
  <c r="AE144" i="1"/>
  <c r="AD144" i="1"/>
  <c r="AC144" i="1"/>
  <c r="AB144" i="1"/>
  <c r="Z144" i="1"/>
  <c r="AA144" i="1" s="1"/>
  <c r="Y144" i="1"/>
  <c r="X144" i="1"/>
  <c r="V144" i="1"/>
  <c r="T144" i="1"/>
  <c r="M144" i="1"/>
  <c r="N144" i="1" s="1"/>
  <c r="L144" i="1"/>
  <c r="K144" i="1"/>
  <c r="AH143" i="1"/>
  <c r="AG143" i="1"/>
  <c r="AF143" i="1"/>
  <c r="AE143" i="1"/>
  <c r="AD143" i="1"/>
  <c r="AC143" i="1"/>
  <c r="AB143" i="1"/>
  <c r="Z143" i="1"/>
  <c r="AA143" i="1" s="1"/>
  <c r="Y143" i="1"/>
  <c r="V143" i="1"/>
  <c r="N143" i="1"/>
  <c r="M143" i="1"/>
  <c r="L143" i="1"/>
  <c r="K143" i="1"/>
  <c r="AH142" i="1"/>
  <c r="AF142" i="1"/>
  <c r="AE142" i="1"/>
  <c r="AD142" i="1"/>
  <c r="AC142" i="1"/>
  <c r="AB142" i="1"/>
  <c r="AA142" i="1"/>
  <c r="Z142" i="1"/>
  <c r="Y142" i="1"/>
  <c r="V142" i="1"/>
  <c r="N142" i="1"/>
  <c r="M142" i="1"/>
  <c r="L142" i="1"/>
  <c r="K142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T141" i="1"/>
  <c r="U141" i="1" s="1"/>
  <c r="S141" i="1" s="1"/>
  <c r="M141" i="1"/>
  <c r="N141" i="1" s="1"/>
  <c r="L141" i="1"/>
  <c r="K141" i="1"/>
  <c r="AH140" i="1"/>
  <c r="AG140" i="1"/>
  <c r="AF140" i="1"/>
  <c r="AE140" i="1"/>
  <c r="AD140" i="1"/>
  <c r="AC140" i="1"/>
  <c r="AB140" i="1"/>
  <c r="Z140" i="1"/>
  <c r="AA140" i="1" s="1"/>
  <c r="W140" i="1" s="1"/>
  <c r="Y140" i="1"/>
  <c r="V140" i="1"/>
  <c r="U140" i="1"/>
  <c r="T140" i="1"/>
  <c r="M140" i="1"/>
  <c r="N140" i="1" s="1"/>
  <c r="L140" i="1"/>
  <c r="K140" i="1"/>
  <c r="AH139" i="1"/>
  <c r="AF139" i="1"/>
  <c r="AE139" i="1"/>
  <c r="AD139" i="1"/>
  <c r="AC139" i="1"/>
  <c r="AB139" i="1"/>
  <c r="Z139" i="1"/>
  <c r="AA139" i="1" s="1"/>
  <c r="Y139" i="1"/>
  <c r="V139" i="1"/>
  <c r="N139" i="1"/>
  <c r="M139" i="1"/>
  <c r="L139" i="1"/>
  <c r="K139" i="1"/>
  <c r="AH138" i="1"/>
  <c r="AF138" i="1"/>
  <c r="AE138" i="1"/>
  <c r="AD138" i="1"/>
  <c r="AC138" i="1"/>
  <c r="AB138" i="1"/>
  <c r="AA138" i="1"/>
  <c r="Z138" i="1"/>
  <c r="Y138" i="1"/>
  <c r="V138" i="1"/>
  <c r="N138" i="1"/>
  <c r="M138" i="1"/>
  <c r="L138" i="1"/>
  <c r="K138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T137" i="1"/>
  <c r="U137" i="1" s="1"/>
  <c r="S137" i="1" s="1"/>
  <c r="M137" i="1"/>
  <c r="N137" i="1" s="1"/>
  <c r="L137" i="1"/>
  <c r="K137" i="1"/>
  <c r="AH136" i="1"/>
  <c r="AG136" i="1"/>
  <c r="AF136" i="1"/>
  <c r="AE136" i="1"/>
  <c r="AD136" i="1"/>
  <c r="AC136" i="1"/>
  <c r="AB136" i="1"/>
  <c r="Z136" i="1"/>
  <c r="AA136" i="1" s="1"/>
  <c r="W136" i="1" s="1"/>
  <c r="Y136" i="1"/>
  <c r="X136" i="1"/>
  <c r="V136" i="1"/>
  <c r="U136" i="1"/>
  <c r="T136" i="1"/>
  <c r="M136" i="1"/>
  <c r="N136" i="1" s="1"/>
  <c r="L136" i="1"/>
  <c r="K136" i="1"/>
  <c r="AH135" i="1"/>
  <c r="AG135" i="1"/>
  <c r="AI135" i="1" s="1"/>
  <c r="AF135" i="1"/>
  <c r="AE135" i="1"/>
  <c r="AD135" i="1"/>
  <c r="AC135" i="1"/>
  <c r="AB135" i="1"/>
  <c r="AA135" i="1"/>
  <c r="W135" i="1" s="1"/>
  <c r="Z135" i="1"/>
  <c r="Y135" i="1"/>
  <c r="V135" i="1"/>
  <c r="M135" i="1"/>
  <c r="N135" i="1" s="1"/>
  <c r="L135" i="1"/>
  <c r="K135" i="1"/>
  <c r="AH134" i="1"/>
  <c r="AF134" i="1"/>
  <c r="AE134" i="1"/>
  <c r="AD134" i="1"/>
  <c r="AG134" i="1" s="1"/>
  <c r="AC134" i="1"/>
  <c r="AB134" i="1"/>
  <c r="AA134" i="1"/>
  <c r="Z134" i="1"/>
  <c r="Y134" i="1"/>
  <c r="X134" i="1"/>
  <c r="W134" i="1"/>
  <c r="V134" i="1"/>
  <c r="T134" i="1"/>
  <c r="N134" i="1"/>
  <c r="M134" i="1"/>
  <c r="L134" i="1"/>
  <c r="K134" i="1"/>
  <c r="AH133" i="1"/>
  <c r="AG133" i="1"/>
  <c r="AI133" i="1" s="1"/>
  <c r="AF133" i="1"/>
  <c r="AE133" i="1"/>
  <c r="AD133" i="1"/>
  <c r="AC133" i="1"/>
  <c r="AB133" i="1"/>
  <c r="Z133" i="1"/>
  <c r="Y133" i="1"/>
  <c r="AA133" i="1" s="1"/>
  <c r="W133" i="1" s="1"/>
  <c r="V133" i="1"/>
  <c r="U133" i="1"/>
  <c r="T133" i="1"/>
  <c r="M133" i="1"/>
  <c r="N133" i="1" s="1"/>
  <c r="L133" i="1"/>
  <c r="K133" i="1"/>
  <c r="AH132" i="1"/>
  <c r="AF132" i="1"/>
  <c r="AE132" i="1"/>
  <c r="AD132" i="1"/>
  <c r="AG132" i="1" s="1"/>
  <c r="AC132" i="1"/>
  <c r="AB132" i="1"/>
  <c r="Z132" i="1"/>
  <c r="Y132" i="1"/>
  <c r="V132" i="1"/>
  <c r="T132" i="1"/>
  <c r="M132" i="1"/>
  <c r="N132" i="1" s="1"/>
  <c r="L132" i="1"/>
  <c r="K132" i="1"/>
  <c r="AH131" i="1"/>
  <c r="AF131" i="1"/>
  <c r="AE131" i="1"/>
  <c r="AD131" i="1"/>
  <c r="AG131" i="1" s="1"/>
  <c r="AC131" i="1"/>
  <c r="AB131" i="1"/>
  <c r="Z131" i="1"/>
  <c r="AA131" i="1" s="1"/>
  <c r="W131" i="1" s="1"/>
  <c r="Y131" i="1"/>
  <c r="V131" i="1"/>
  <c r="N131" i="1"/>
  <c r="M131" i="1"/>
  <c r="L131" i="1"/>
  <c r="K131" i="1"/>
  <c r="AH130" i="1"/>
  <c r="AF130" i="1"/>
  <c r="AE130" i="1"/>
  <c r="AD130" i="1"/>
  <c r="AG130" i="1" s="1"/>
  <c r="AC130" i="1"/>
  <c r="AB130" i="1"/>
  <c r="Z130" i="1"/>
  <c r="AA130" i="1" s="1"/>
  <c r="W130" i="1" s="1"/>
  <c r="Y130" i="1"/>
  <c r="X130" i="1"/>
  <c r="V130" i="1"/>
  <c r="N130" i="1"/>
  <c r="M130" i="1"/>
  <c r="L130" i="1"/>
  <c r="K130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T129" i="1"/>
  <c r="U129" i="1" s="1"/>
  <c r="S129" i="1" s="1"/>
  <c r="M129" i="1"/>
  <c r="N129" i="1" s="1"/>
  <c r="L129" i="1"/>
  <c r="K129" i="1"/>
  <c r="AH128" i="1"/>
  <c r="AG128" i="1"/>
  <c r="AF128" i="1"/>
  <c r="AE128" i="1"/>
  <c r="AD128" i="1"/>
  <c r="AC128" i="1"/>
  <c r="AB128" i="1"/>
  <c r="Z128" i="1"/>
  <c r="AA128" i="1" s="1"/>
  <c r="W128" i="1" s="1"/>
  <c r="Y128" i="1"/>
  <c r="X128" i="1"/>
  <c r="V128" i="1"/>
  <c r="U128" i="1"/>
  <c r="T128" i="1"/>
  <c r="N128" i="1"/>
  <c r="M128" i="1"/>
  <c r="L128" i="1"/>
  <c r="K128" i="1"/>
  <c r="AH127" i="1"/>
  <c r="AG127" i="1"/>
  <c r="AF127" i="1"/>
  <c r="AE127" i="1"/>
  <c r="AD127" i="1"/>
  <c r="AC127" i="1"/>
  <c r="AB127" i="1"/>
  <c r="Z127" i="1"/>
  <c r="Y127" i="1"/>
  <c r="AA127" i="1" s="1"/>
  <c r="W127" i="1" s="1"/>
  <c r="V127" i="1"/>
  <c r="M127" i="1"/>
  <c r="N127" i="1" s="1"/>
  <c r="L127" i="1"/>
  <c r="K127" i="1"/>
  <c r="AH126" i="1"/>
  <c r="AF126" i="1"/>
  <c r="AE126" i="1"/>
  <c r="AD126" i="1"/>
  <c r="AG126" i="1" s="1"/>
  <c r="AC126" i="1"/>
  <c r="AB126" i="1"/>
  <c r="AA126" i="1"/>
  <c r="Z126" i="1"/>
  <c r="Y126" i="1"/>
  <c r="W126" i="1"/>
  <c r="V126" i="1"/>
  <c r="T126" i="1"/>
  <c r="N126" i="1"/>
  <c r="M126" i="1"/>
  <c r="L126" i="1"/>
  <c r="K126" i="1"/>
  <c r="AI125" i="1"/>
  <c r="AH125" i="1"/>
  <c r="AG125" i="1"/>
  <c r="AF125" i="1"/>
  <c r="AE125" i="1"/>
  <c r="AD125" i="1"/>
  <c r="AC125" i="1"/>
  <c r="AB125" i="1"/>
  <c r="AA125" i="1"/>
  <c r="Z125" i="1"/>
  <c r="Y125" i="1"/>
  <c r="W125" i="1"/>
  <c r="V125" i="1"/>
  <c r="U125" i="1"/>
  <c r="T125" i="1"/>
  <c r="S125" i="1"/>
  <c r="M125" i="1"/>
  <c r="N125" i="1" s="1"/>
  <c r="L125" i="1"/>
  <c r="K125" i="1"/>
  <c r="AH124" i="1"/>
  <c r="AF124" i="1"/>
  <c r="AE124" i="1"/>
  <c r="AD124" i="1"/>
  <c r="X125" i="1" s="1"/>
  <c r="AC124" i="1"/>
  <c r="AB124" i="1"/>
  <c r="Z124" i="1"/>
  <c r="Y124" i="1"/>
  <c r="V124" i="1"/>
  <c r="T124" i="1"/>
  <c r="M124" i="1"/>
  <c r="N124" i="1" s="1"/>
  <c r="L124" i="1"/>
  <c r="K124" i="1"/>
  <c r="AH123" i="1"/>
  <c r="AF123" i="1"/>
  <c r="AE123" i="1"/>
  <c r="AD123" i="1"/>
  <c r="AC123" i="1"/>
  <c r="AB123" i="1"/>
  <c r="Z123" i="1"/>
  <c r="AA123" i="1" s="1"/>
  <c r="Y123" i="1"/>
  <c r="V123" i="1"/>
  <c r="N123" i="1"/>
  <c r="M123" i="1"/>
  <c r="L123" i="1"/>
  <c r="K123" i="1"/>
  <c r="AH122" i="1"/>
  <c r="AF122" i="1"/>
  <c r="AE122" i="1"/>
  <c r="AD122" i="1"/>
  <c r="AG122" i="1" s="1"/>
  <c r="AC122" i="1"/>
  <c r="AB122" i="1"/>
  <c r="Z122" i="1"/>
  <c r="AA122" i="1" s="1"/>
  <c r="W122" i="1" s="1"/>
  <c r="Y122" i="1"/>
  <c r="V122" i="1"/>
  <c r="N122" i="1"/>
  <c r="M122" i="1"/>
  <c r="L122" i="1"/>
  <c r="K122" i="1"/>
  <c r="AH121" i="1"/>
  <c r="AG121" i="1"/>
  <c r="AI121" i="1" s="1"/>
  <c r="AF121" i="1"/>
  <c r="AE121" i="1"/>
  <c r="AD121" i="1"/>
  <c r="AC121" i="1"/>
  <c r="AB121" i="1"/>
  <c r="Z121" i="1"/>
  <c r="Y121" i="1"/>
  <c r="AA121" i="1" s="1"/>
  <c r="W121" i="1" s="1"/>
  <c r="X121" i="1"/>
  <c r="V121" i="1"/>
  <c r="T121" i="1"/>
  <c r="U121" i="1" s="1"/>
  <c r="M121" i="1"/>
  <c r="N121" i="1" s="1"/>
  <c r="L121" i="1"/>
  <c r="K121" i="1"/>
  <c r="AH120" i="1"/>
  <c r="AG120" i="1"/>
  <c r="U120" i="1" s="1"/>
  <c r="AF120" i="1"/>
  <c r="AE120" i="1"/>
  <c r="AD120" i="1"/>
  <c r="AC120" i="1"/>
  <c r="AB120" i="1"/>
  <c r="Z120" i="1"/>
  <c r="AA120" i="1" s="1"/>
  <c r="Y120" i="1"/>
  <c r="X120" i="1"/>
  <c r="V120" i="1"/>
  <c r="T120" i="1"/>
  <c r="N120" i="1"/>
  <c r="M120" i="1"/>
  <c r="L120" i="1"/>
  <c r="K120" i="1"/>
  <c r="AI119" i="1"/>
  <c r="AH119" i="1"/>
  <c r="AG119" i="1"/>
  <c r="AF119" i="1"/>
  <c r="AE119" i="1"/>
  <c r="AD119" i="1"/>
  <c r="AC119" i="1"/>
  <c r="AB119" i="1"/>
  <c r="AA119" i="1"/>
  <c r="W119" i="1" s="1"/>
  <c r="Z119" i="1"/>
  <c r="Y119" i="1"/>
  <c r="V119" i="1"/>
  <c r="M119" i="1"/>
  <c r="N119" i="1" s="1"/>
  <c r="L119" i="1"/>
  <c r="K119" i="1"/>
  <c r="AH118" i="1"/>
  <c r="AF118" i="1"/>
  <c r="AE118" i="1"/>
  <c r="AD118" i="1"/>
  <c r="AG118" i="1" s="1"/>
  <c r="AC118" i="1"/>
  <c r="AB118" i="1"/>
  <c r="AA118" i="1"/>
  <c r="Z118" i="1"/>
  <c r="Y118" i="1"/>
  <c r="X118" i="1"/>
  <c r="W118" i="1"/>
  <c r="V118" i="1"/>
  <c r="T118" i="1"/>
  <c r="N118" i="1"/>
  <c r="M118" i="1"/>
  <c r="L118" i="1"/>
  <c r="K118" i="1"/>
  <c r="AH117" i="1"/>
  <c r="AG117" i="1"/>
  <c r="AI117" i="1" s="1"/>
  <c r="AF117" i="1"/>
  <c r="AE117" i="1"/>
  <c r="AD117" i="1"/>
  <c r="AC117" i="1"/>
  <c r="AB117" i="1"/>
  <c r="Z117" i="1"/>
  <c r="Y117" i="1"/>
  <c r="AA117" i="1" s="1"/>
  <c r="W117" i="1" s="1"/>
  <c r="V117" i="1"/>
  <c r="U117" i="1"/>
  <c r="T117" i="1"/>
  <c r="M117" i="1"/>
  <c r="N117" i="1" s="1"/>
  <c r="L117" i="1"/>
  <c r="K117" i="1"/>
  <c r="AH116" i="1"/>
  <c r="AF116" i="1"/>
  <c r="AE116" i="1"/>
  <c r="AD116" i="1"/>
  <c r="X117" i="1" s="1"/>
  <c r="AC116" i="1"/>
  <c r="AB116" i="1"/>
  <c r="Z116" i="1"/>
  <c r="AA116" i="1" s="1"/>
  <c r="Y116" i="1"/>
  <c r="V116" i="1"/>
  <c r="N116" i="1"/>
  <c r="M116" i="1"/>
  <c r="L116" i="1"/>
  <c r="K116" i="1"/>
  <c r="AI115" i="1"/>
  <c r="AH115" i="1"/>
  <c r="AG115" i="1"/>
  <c r="AF115" i="1"/>
  <c r="AE115" i="1"/>
  <c r="AD115" i="1"/>
  <c r="X115" i="1" s="1"/>
  <c r="AC115" i="1"/>
  <c r="AB115" i="1"/>
  <c r="AA115" i="1"/>
  <c r="Z115" i="1"/>
  <c r="Y115" i="1"/>
  <c r="W115" i="1"/>
  <c r="V115" i="1"/>
  <c r="M115" i="1"/>
  <c r="N115" i="1" s="1"/>
  <c r="L115" i="1"/>
  <c r="K115" i="1"/>
  <c r="AH114" i="1"/>
  <c r="AF114" i="1"/>
  <c r="AE114" i="1"/>
  <c r="AD114" i="1"/>
  <c r="AG114" i="1" s="1"/>
  <c r="AC114" i="1"/>
  <c r="AB114" i="1"/>
  <c r="Z114" i="1"/>
  <c r="AA114" i="1" s="1"/>
  <c r="W114" i="1" s="1"/>
  <c r="Y114" i="1"/>
  <c r="X114" i="1"/>
  <c r="V114" i="1"/>
  <c r="T114" i="1"/>
  <c r="N114" i="1"/>
  <c r="M114" i="1"/>
  <c r="L114" i="1"/>
  <c r="K114" i="1"/>
  <c r="AH113" i="1"/>
  <c r="AG113" i="1"/>
  <c r="AI113" i="1" s="1"/>
  <c r="AF113" i="1"/>
  <c r="AE113" i="1"/>
  <c r="AD113" i="1"/>
  <c r="AC113" i="1"/>
  <c r="AB113" i="1"/>
  <c r="Z113" i="1"/>
  <c r="Y113" i="1"/>
  <c r="AA113" i="1" s="1"/>
  <c r="W113" i="1" s="1"/>
  <c r="V113" i="1"/>
  <c r="U113" i="1"/>
  <c r="T113" i="1"/>
  <c r="M113" i="1"/>
  <c r="N113" i="1" s="1"/>
  <c r="L113" i="1"/>
  <c r="K113" i="1"/>
  <c r="AH112" i="1"/>
  <c r="AF112" i="1"/>
  <c r="AE112" i="1"/>
  <c r="AD112" i="1"/>
  <c r="X113" i="1" s="1"/>
  <c r="AC112" i="1"/>
  <c r="AB112" i="1"/>
  <c r="Z112" i="1"/>
  <c r="AA112" i="1" s="1"/>
  <c r="Y112" i="1"/>
  <c r="V112" i="1"/>
  <c r="N112" i="1"/>
  <c r="M112" i="1"/>
  <c r="L112" i="1"/>
  <c r="K112" i="1"/>
  <c r="AI111" i="1"/>
  <c r="AH111" i="1"/>
  <c r="AG111" i="1"/>
  <c r="AF111" i="1"/>
  <c r="AE111" i="1"/>
  <c r="AD111" i="1"/>
  <c r="X111" i="1" s="1"/>
  <c r="AC111" i="1"/>
  <c r="AB111" i="1"/>
  <c r="AA111" i="1"/>
  <c r="Z111" i="1"/>
  <c r="Y111" i="1"/>
  <c r="W111" i="1"/>
  <c r="V111" i="1"/>
  <c r="M111" i="1"/>
  <c r="N111" i="1" s="1"/>
  <c r="L111" i="1"/>
  <c r="K111" i="1"/>
  <c r="AH110" i="1"/>
  <c r="AF110" i="1"/>
  <c r="AE110" i="1"/>
  <c r="AD110" i="1"/>
  <c r="AG110" i="1" s="1"/>
  <c r="AC110" i="1"/>
  <c r="AB110" i="1"/>
  <c r="Z110" i="1"/>
  <c r="AA110" i="1" s="1"/>
  <c r="W110" i="1" s="1"/>
  <c r="Y110" i="1"/>
  <c r="X110" i="1"/>
  <c r="V110" i="1"/>
  <c r="T110" i="1"/>
  <c r="N110" i="1"/>
  <c r="M110" i="1"/>
  <c r="L110" i="1"/>
  <c r="K110" i="1"/>
  <c r="AH109" i="1"/>
  <c r="AG109" i="1"/>
  <c r="AI109" i="1" s="1"/>
  <c r="AF109" i="1"/>
  <c r="AE109" i="1"/>
  <c r="AD109" i="1"/>
  <c r="AC109" i="1"/>
  <c r="AB109" i="1"/>
  <c r="Z109" i="1"/>
  <c r="Y109" i="1"/>
  <c r="AA109" i="1" s="1"/>
  <c r="W109" i="1" s="1"/>
  <c r="V109" i="1"/>
  <c r="U109" i="1"/>
  <c r="T109" i="1"/>
  <c r="M109" i="1"/>
  <c r="N109" i="1" s="1"/>
  <c r="L109" i="1"/>
  <c r="K109" i="1"/>
  <c r="AH108" i="1"/>
  <c r="AF108" i="1"/>
  <c r="AE108" i="1"/>
  <c r="AD108" i="1"/>
  <c r="X109" i="1" s="1"/>
  <c r="AC108" i="1"/>
  <c r="AB108" i="1"/>
  <c r="Z108" i="1"/>
  <c r="AA108" i="1" s="1"/>
  <c r="Y108" i="1"/>
  <c r="V108" i="1"/>
  <c r="N108" i="1"/>
  <c r="M108" i="1"/>
  <c r="L108" i="1"/>
  <c r="K108" i="1"/>
  <c r="AI107" i="1"/>
  <c r="AH107" i="1"/>
  <c r="AG107" i="1"/>
  <c r="AF107" i="1"/>
  <c r="AE107" i="1"/>
  <c r="AD107" i="1"/>
  <c r="X107" i="1" s="1"/>
  <c r="AC107" i="1"/>
  <c r="AB107" i="1"/>
  <c r="AA107" i="1"/>
  <c r="Z107" i="1"/>
  <c r="Y107" i="1"/>
  <c r="W107" i="1"/>
  <c r="V107" i="1"/>
  <c r="M107" i="1"/>
  <c r="N107" i="1" s="1"/>
  <c r="L107" i="1"/>
  <c r="K107" i="1"/>
  <c r="AH106" i="1"/>
  <c r="AF106" i="1"/>
  <c r="AE106" i="1"/>
  <c r="AD106" i="1"/>
  <c r="AG106" i="1" s="1"/>
  <c r="AC106" i="1"/>
  <c r="AB106" i="1"/>
  <c r="Z106" i="1"/>
  <c r="AA106" i="1" s="1"/>
  <c r="Y106" i="1"/>
  <c r="X106" i="1"/>
  <c r="V106" i="1"/>
  <c r="T106" i="1"/>
  <c r="N106" i="1"/>
  <c r="M106" i="1"/>
  <c r="L106" i="1"/>
  <c r="K106" i="1"/>
  <c r="AH105" i="1"/>
  <c r="AG105" i="1"/>
  <c r="AI105" i="1" s="1"/>
  <c r="AF105" i="1"/>
  <c r="AE105" i="1"/>
  <c r="AD105" i="1"/>
  <c r="AC105" i="1"/>
  <c r="AB105" i="1"/>
  <c r="Z105" i="1"/>
  <c r="Y105" i="1"/>
  <c r="AA105" i="1" s="1"/>
  <c r="W105" i="1" s="1"/>
  <c r="V105" i="1"/>
  <c r="U105" i="1"/>
  <c r="T105" i="1"/>
  <c r="M105" i="1"/>
  <c r="N105" i="1" s="1"/>
  <c r="L105" i="1"/>
  <c r="K105" i="1"/>
  <c r="AH104" i="1"/>
  <c r="AF104" i="1"/>
  <c r="AE104" i="1"/>
  <c r="AD104" i="1"/>
  <c r="X105" i="1" s="1"/>
  <c r="AC104" i="1"/>
  <c r="AB104" i="1"/>
  <c r="Z104" i="1"/>
  <c r="AA104" i="1" s="1"/>
  <c r="Y104" i="1"/>
  <c r="V104" i="1"/>
  <c r="N104" i="1"/>
  <c r="M104" i="1"/>
  <c r="L104" i="1"/>
  <c r="K104" i="1"/>
  <c r="AI103" i="1"/>
  <c r="AH103" i="1"/>
  <c r="AG103" i="1"/>
  <c r="AF103" i="1"/>
  <c r="AE103" i="1"/>
  <c r="AD103" i="1"/>
  <c r="X103" i="1" s="1"/>
  <c r="AC103" i="1"/>
  <c r="AB103" i="1"/>
  <c r="AA103" i="1"/>
  <c r="Z103" i="1"/>
  <c r="Y103" i="1"/>
  <c r="W103" i="1"/>
  <c r="V103" i="1"/>
  <c r="M103" i="1"/>
  <c r="N103" i="1" s="1"/>
  <c r="L103" i="1"/>
  <c r="K103" i="1"/>
  <c r="AH102" i="1"/>
  <c r="AF102" i="1"/>
  <c r="AE102" i="1"/>
  <c r="AD102" i="1"/>
  <c r="AG102" i="1" s="1"/>
  <c r="AC102" i="1"/>
  <c r="AB102" i="1"/>
  <c r="Z102" i="1"/>
  <c r="AA102" i="1" s="1"/>
  <c r="Y102" i="1"/>
  <c r="X102" i="1"/>
  <c r="V102" i="1"/>
  <c r="T102" i="1"/>
  <c r="N102" i="1"/>
  <c r="M102" i="1"/>
  <c r="L102" i="1"/>
  <c r="K102" i="1"/>
  <c r="AH101" i="1"/>
  <c r="AG101" i="1"/>
  <c r="AI101" i="1" s="1"/>
  <c r="AF101" i="1"/>
  <c r="AE101" i="1"/>
  <c r="AD101" i="1"/>
  <c r="AC101" i="1"/>
  <c r="AB101" i="1"/>
  <c r="Z101" i="1"/>
  <c r="Y101" i="1"/>
  <c r="AA101" i="1" s="1"/>
  <c r="W101" i="1" s="1"/>
  <c r="V101" i="1"/>
  <c r="U101" i="1"/>
  <c r="T101" i="1"/>
  <c r="M101" i="1"/>
  <c r="N101" i="1" s="1"/>
  <c r="L101" i="1"/>
  <c r="K101" i="1"/>
  <c r="AH100" i="1"/>
  <c r="AF100" i="1"/>
  <c r="AE100" i="1"/>
  <c r="AD100" i="1"/>
  <c r="AC100" i="1"/>
  <c r="AB100" i="1"/>
  <c r="Z100" i="1"/>
  <c r="AA100" i="1" s="1"/>
  <c r="Y100" i="1"/>
  <c r="V100" i="1"/>
  <c r="N100" i="1"/>
  <c r="M100" i="1"/>
  <c r="L100" i="1"/>
  <c r="K100" i="1"/>
  <c r="AI99" i="1"/>
  <c r="AH99" i="1"/>
  <c r="AG99" i="1"/>
  <c r="AF99" i="1"/>
  <c r="AE99" i="1"/>
  <c r="AD99" i="1"/>
  <c r="X99" i="1" s="1"/>
  <c r="AC99" i="1"/>
  <c r="AB99" i="1"/>
  <c r="AA99" i="1"/>
  <c r="W99" i="1" s="1"/>
  <c r="Z99" i="1"/>
  <c r="Y99" i="1"/>
  <c r="V99" i="1"/>
  <c r="M99" i="1"/>
  <c r="N99" i="1" s="1"/>
  <c r="L99" i="1"/>
  <c r="K99" i="1"/>
  <c r="AH98" i="1"/>
  <c r="AF98" i="1"/>
  <c r="AE98" i="1"/>
  <c r="AD98" i="1"/>
  <c r="AG98" i="1" s="1"/>
  <c r="AC98" i="1"/>
  <c r="AB98" i="1"/>
  <c r="Z98" i="1"/>
  <c r="AA98" i="1" s="1"/>
  <c r="Y98" i="1"/>
  <c r="X98" i="1"/>
  <c r="V98" i="1"/>
  <c r="T98" i="1"/>
  <c r="N98" i="1"/>
  <c r="M98" i="1"/>
  <c r="L98" i="1"/>
  <c r="K98" i="1"/>
  <c r="AH97" i="1"/>
  <c r="AG97" i="1"/>
  <c r="AI97" i="1" s="1"/>
  <c r="AF97" i="1"/>
  <c r="AE97" i="1"/>
  <c r="AD97" i="1"/>
  <c r="AC97" i="1"/>
  <c r="AB97" i="1"/>
  <c r="Z97" i="1"/>
  <c r="Y97" i="1"/>
  <c r="AA97" i="1" s="1"/>
  <c r="W97" i="1" s="1"/>
  <c r="V97" i="1"/>
  <c r="U97" i="1"/>
  <c r="S97" i="1" s="1"/>
  <c r="T97" i="1"/>
  <c r="M97" i="1"/>
  <c r="N97" i="1" s="1"/>
  <c r="L97" i="1"/>
  <c r="K97" i="1"/>
  <c r="AH96" i="1"/>
  <c r="AF96" i="1"/>
  <c r="AE96" i="1"/>
  <c r="AD96" i="1"/>
  <c r="AC96" i="1"/>
  <c r="AB96" i="1"/>
  <c r="Z96" i="1"/>
  <c r="AA96" i="1" s="1"/>
  <c r="Y96" i="1"/>
  <c r="X96" i="1"/>
  <c r="V96" i="1"/>
  <c r="T96" i="1"/>
  <c r="N96" i="1"/>
  <c r="M96" i="1"/>
  <c r="L96" i="1"/>
  <c r="K96" i="1"/>
  <c r="AI95" i="1"/>
  <c r="AH95" i="1"/>
  <c r="AG95" i="1"/>
  <c r="AF95" i="1"/>
  <c r="AE95" i="1"/>
  <c r="AD95" i="1"/>
  <c r="X95" i="1" s="1"/>
  <c r="AC95" i="1"/>
  <c r="AB95" i="1"/>
  <c r="AA95" i="1"/>
  <c r="W95" i="1" s="1"/>
  <c r="Z95" i="1"/>
  <c r="Y95" i="1"/>
  <c r="V95" i="1"/>
  <c r="M95" i="1"/>
  <c r="N95" i="1" s="1"/>
  <c r="L95" i="1"/>
  <c r="K95" i="1"/>
  <c r="AH94" i="1"/>
  <c r="AF94" i="1"/>
  <c r="AE94" i="1"/>
  <c r="AD94" i="1"/>
  <c r="AG94" i="1" s="1"/>
  <c r="AC94" i="1"/>
  <c r="AB94" i="1"/>
  <c r="AA94" i="1"/>
  <c r="Z94" i="1"/>
  <c r="Y94" i="1"/>
  <c r="X94" i="1"/>
  <c r="W94" i="1"/>
  <c r="V94" i="1"/>
  <c r="T94" i="1"/>
  <c r="N94" i="1"/>
  <c r="M94" i="1"/>
  <c r="L94" i="1"/>
  <c r="K94" i="1"/>
  <c r="AI93" i="1"/>
  <c r="AH93" i="1"/>
  <c r="AG93" i="1"/>
  <c r="AF93" i="1"/>
  <c r="AE93" i="1"/>
  <c r="AD93" i="1"/>
  <c r="AC93" i="1"/>
  <c r="AB93" i="1"/>
  <c r="AA93" i="1"/>
  <c r="Z93" i="1"/>
  <c r="Y93" i="1"/>
  <c r="W93" i="1"/>
  <c r="V93" i="1"/>
  <c r="T93" i="1"/>
  <c r="U93" i="1" s="1"/>
  <c r="S93" i="1" s="1"/>
  <c r="M93" i="1"/>
  <c r="N93" i="1" s="1"/>
  <c r="L93" i="1"/>
  <c r="K93" i="1"/>
  <c r="AH92" i="1"/>
  <c r="AF92" i="1"/>
  <c r="AE92" i="1"/>
  <c r="AD92" i="1"/>
  <c r="X93" i="1" s="1"/>
  <c r="AC92" i="1"/>
  <c r="AB92" i="1"/>
  <c r="Z92" i="1"/>
  <c r="Y92" i="1"/>
  <c r="V92" i="1"/>
  <c r="T92" i="1"/>
  <c r="M92" i="1"/>
  <c r="P92" i="1" s="1"/>
  <c r="L92" i="1"/>
  <c r="K92" i="1"/>
  <c r="AH91" i="1"/>
  <c r="AF91" i="1"/>
  <c r="AE91" i="1"/>
  <c r="AD91" i="1"/>
  <c r="AC91" i="1"/>
  <c r="AB91" i="1"/>
  <c r="Z91" i="1"/>
  <c r="AA91" i="1" s="1"/>
  <c r="Y91" i="1"/>
  <c r="V91" i="1"/>
  <c r="N91" i="1"/>
  <c r="M91" i="1"/>
  <c r="L91" i="1"/>
  <c r="K91" i="1"/>
  <c r="AH90" i="1"/>
  <c r="AF90" i="1"/>
  <c r="AE90" i="1"/>
  <c r="AD90" i="1"/>
  <c r="AG90" i="1" s="1"/>
  <c r="AC90" i="1"/>
  <c r="AB90" i="1"/>
  <c r="Z90" i="1"/>
  <c r="AA90" i="1" s="1"/>
  <c r="W90" i="1" s="1"/>
  <c r="Y90" i="1"/>
  <c r="V90" i="1"/>
  <c r="M90" i="1"/>
  <c r="L90" i="1"/>
  <c r="K90" i="1"/>
  <c r="AH89" i="1"/>
  <c r="AF89" i="1"/>
  <c r="AE89" i="1"/>
  <c r="AD89" i="1"/>
  <c r="AG89" i="1" s="1"/>
  <c r="AC89" i="1"/>
  <c r="AB89" i="1"/>
  <c r="Z89" i="1"/>
  <c r="AA89" i="1" s="1"/>
  <c r="W89" i="1" s="1"/>
  <c r="Y89" i="1"/>
  <c r="X89" i="1"/>
  <c r="V89" i="1"/>
  <c r="T89" i="1"/>
  <c r="P89" i="1"/>
  <c r="M89" i="1"/>
  <c r="L89" i="1"/>
  <c r="K89" i="1"/>
  <c r="AI88" i="1"/>
  <c r="AH88" i="1"/>
  <c r="AG88" i="1"/>
  <c r="AF88" i="1"/>
  <c r="AE88" i="1"/>
  <c r="AD88" i="1"/>
  <c r="X88" i="1" s="1"/>
  <c r="AC88" i="1"/>
  <c r="AB88" i="1"/>
  <c r="AA88" i="1"/>
  <c r="Z88" i="1"/>
  <c r="Y88" i="1"/>
  <c r="W88" i="1"/>
  <c r="V88" i="1"/>
  <c r="M88" i="1"/>
  <c r="N88" i="1" s="1"/>
  <c r="L88" i="1"/>
  <c r="K88" i="1"/>
  <c r="AH87" i="1"/>
  <c r="AF87" i="1"/>
  <c r="AE87" i="1"/>
  <c r="AD87" i="1"/>
  <c r="AG87" i="1" s="1"/>
  <c r="AC87" i="1"/>
  <c r="AB87" i="1"/>
  <c r="Z87" i="1"/>
  <c r="AA87" i="1" s="1"/>
  <c r="W87" i="1" s="1"/>
  <c r="Y87" i="1"/>
  <c r="V87" i="1"/>
  <c r="N87" i="1"/>
  <c r="M87" i="1"/>
  <c r="L87" i="1"/>
  <c r="K87" i="1"/>
  <c r="AI86" i="1"/>
  <c r="AH86" i="1"/>
  <c r="AG86" i="1"/>
  <c r="AF86" i="1"/>
  <c r="AE86" i="1"/>
  <c r="AD86" i="1"/>
  <c r="AC86" i="1"/>
  <c r="AB86" i="1"/>
  <c r="AA86" i="1"/>
  <c r="Z86" i="1"/>
  <c r="Y86" i="1"/>
  <c r="W86" i="1"/>
  <c r="V86" i="1"/>
  <c r="U86" i="1"/>
  <c r="T86" i="1"/>
  <c r="M86" i="1"/>
  <c r="L86" i="1"/>
  <c r="K86" i="1"/>
  <c r="AH85" i="1"/>
  <c r="AF85" i="1"/>
  <c r="AE85" i="1"/>
  <c r="AD85" i="1"/>
  <c r="X86" i="1" s="1"/>
  <c r="AC85" i="1"/>
  <c r="AB85" i="1"/>
  <c r="Z85" i="1"/>
  <c r="AA85" i="1" s="1"/>
  <c r="Y85" i="1"/>
  <c r="V85" i="1"/>
  <c r="P85" i="1"/>
  <c r="M85" i="1"/>
  <c r="L85" i="1"/>
  <c r="K85" i="1"/>
  <c r="AH84" i="1"/>
  <c r="AF84" i="1"/>
  <c r="AE84" i="1"/>
  <c r="AD84" i="1"/>
  <c r="X84" i="1" s="1"/>
  <c r="AC84" i="1"/>
  <c r="AB84" i="1"/>
  <c r="AA84" i="1"/>
  <c r="Z84" i="1"/>
  <c r="Y84" i="1"/>
  <c r="V84" i="1"/>
  <c r="N84" i="1"/>
  <c r="M84" i="1"/>
  <c r="L84" i="1"/>
  <c r="K84" i="1"/>
  <c r="AH83" i="1"/>
  <c r="AF83" i="1"/>
  <c r="AE83" i="1"/>
  <c r="AD83" i="1"/>
  <c r="AG83" i="1" s="1"/>
  <c r="AC83" i="1"/>
  <c r="AB83" i="1"/>
  <c r="AA83" i="1"/>
  <c r="Z83" i="1"/>
  <c r="Y83" i="1"/>
  <c r="X83" i="1"/>
  <c r="V83" i="1"/>
  <c r="T83" i="1"/>
  <c r="N83" i="1"/>
  <c r="M83" i="1"/>
  <c r="L83" i="1"/>
  <c r="K83" i="1"/>
  <c r="AH82" i="1"/>
  <c r="AG82" i="1"/>
  <c r="AI82" i="1" s="1"/>
  <c r="AF82" i="1"/>
  <c r="AE82" i="1"/>
  <c r="AD82" i="1"/>
  <c r="AC82" i="1"/>
  <c r="AB82" i="1"/>
  <c r="Z82" i="1"/>
  <c r="Y82" i="1"/>
  <c r="AA82" i="1" s="1"/>
  <c r="W82" i="1" s="1"/>
  <c r="V82" i="1"/>
  <c r="U82" i="1"/>
  <c r="T82" i="1"/>
  <c r="M82" i="1"/>
  <c r="N82" i="1" s="1"/>
  <c r="L82" i="1"/>
  <c r="K82" i="1"/>
  <c r="AH81" i="1"/>
  <c r="AF81" i="1"/>
  <c r="AE81" i="1"/>
  <c r="AD81" i="1"/>
  <c r="X82" i="1" s="1"/>
  <c r="AC81" i="1"/>
  <c r="AB81" i="1"/>
  <c r="Z81" i="1"/>
  <c r="AA81" i="1" s="1"/>
  <c r="Y81" i="1"/>
  <c r="V81" i="1"/>
  <c r="N81" i="1"/>
  <c r="M81" i="1"/>
  <c r="L81" i="1"/>
  <c r="K81" i="1"/>
  <c r="AH80" i="1"/>
  <c r="AF80" i="1"/>
  <c r="AE80" i="1"/>
  <c r="AD80" i="1"/>
  <c r="X80" i="1" s="1"/>
  <c r="AC80" i="1"/>
  <c r="AB80" i="1"/>
  <c r="AA80" i="1"/>
  <c r="Z80" i="1"/>
  <c r="Y80" i="1"/>
  <c r="V80" i="1"/>
  <c r="N80" i="1"/>
  <c r="M80" i="1"/>
  <c r="L80" i="1"/>
  <c r="K80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T79" i="1"/>
  <c r="U79" i="1" s="1"/>
  <c r="S79" i="1" s="1"/>
  <c r="N79" i="1"/>
  <c r="M79" i="1"/>
  <c r="L79" i="1"/>
  <c r="K79" i="1"/>
  <c r="AH78" i="1"/>
  <c r="AG78" i="1"/>
  <c r="AI78" i="1" s="1"/>
  <c r="AF78" i="1"/>
  <c r="AE78" i="1"/>
  <c r="AD78" i="1"/>
  <c r="AC78" i="1"/>
  <c r="AB78" i="1"/>
  <c r="Z78" i="1"/>
  <c r="Y78" i="1"/>
  <c r="AA78" i="1" s="1"/>
  <c r="W78" i="1" s="1"/>
  <c r="V78" i="1"/>
  <c r="U78" i="1"/>
  <c r="T78" i="1"/>
  <c r="M78" i="1"/>
  <c r="N78" i="1" s="1"/>
  <c r="L78" i="1"/>
  <c r="K78" i="1"/>
  <c r="AH77" i="1"/>
  <c r="AF77" i="1"/>
  <c r="AE77" i="1"/>
  <c r="AD77" i="1"/>
  <c r="X78" i="1" s="1"/>
  <c r="AC77" i="1"/>
  <c r="AB77" i="1"/>
  <c r="Z77" i="1"/>
  <c r="AA77" i="1" s="1"/>
  <c r="Y77" i="1"/>
  <c r="V77" i="1"/>
  <c r="N77" i="1"/>
  <c r="M77" i="1"/>
  <c r="L77" i="1"/>
  <c r="K77" i="1"/>
  <c r="AH76" i="1"/>
  <c r="AF76" i="1"/>
  <c r="AE76" i="1"/>
  <c r="AD76" i="1"/>
  <c r="X76" i="1" s="1"/>
  <c r="AC76" i="1"/>
  <c r="AB76" i="1"/>
  <c r="AA76" i="1"/>
  <c r="Z76" i="1"/>
  <c r="Y76" i="1"/>
  <c r="V76" i="1"/>
  <c r="N76" i="1"/>
  <c r="M76" i="1"/>
  <c r="L76" i="1"/>
  <c r="K76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T75" i="1"/>
  <c r="U75" i="1" s="1"/>
  <c r="S75" i="1" s="1"/>
  <c r="M75" i="1"/>
  <c r="N75" i="1" s="1"/>
  <c r="L75" i="1"/>
  <c r="K75" i="1"/>
  <c r="AH74" i="1"/>
  <c r="AG74" i="1"/>
  <c r="U74" i="1" s="1"/>
  <c r="AF74" i="1"/>
  <c r="AE74" i="1"/>
  <c r="AD74" i="1"/>
  <c r="AC74" i="1"/>
  <c r="AB74" i="1"/>
  <c r="Y74" i="1"/>
  <c r="AA74" i="1" s="1"/>
  <c r="W74" i="1" s="1"/>
  <c r="X74" i="1"/>
  <c r="V74" i="1"/>
  <c r="T74" i="1"/>
  <c r="M74" i="1"/>
  <c r="N74" i="1" s="1"/>
  <c r="L74" i="1"/>
  <c r="K74" i="1"/>
  <c r="AH73" i="1"/>
  <c r="AG73" i="1"/>
  <c r="U73" i="1" s="1"/>
  <c r="AF73" i="1"/>
  <c r="AE73" i="1"/>
  <c r="AD73" i="1"/>
  <c r="AC73" i="1"/>
  <c r="AB73" i="1"/>
  <c r="Y73" i="1"/>
  <c r="AA73" i="1" s="1"/>
  <c r="W73" i="1" s="1"/>
  <c r="X73" i="1"/>
  <c r="V73" i="1"/>
  <c r="T73" i="1"/>
  <c r="M73" i="1"/>
  <c r="N73" i="1" s="1"/>
  <c r="L73" i="1"/>
  <c r="K73" i="1"/>
  <c r="AH72" i="1"/>
  <c r="AG72" i="1"/>
  <c r="AI72" i="1" s="1"/>
  <c r="AF72" i="1"/>
  <c r="AE72" i="1"/>
  <c r="AD72" i="1"/>
  <c r="AC72" i="1"/>
  <c r="AB72" i="1"/>
  <c r="Z72" i="1"/>
  <c r="Y72" i="1"/>
  <c r="AA72" i="1" s="1"/>
  <c r="W72" i="1" s="1"/>
  <c r="V72" i="1"/>
  <c r="U72" i="1"/>
  <c r="T72" i="1"/>
  <c r="M72" i="1"/>
  <c r="N72" i="1" s="1"/>
  <c r="L72" i="1"/>
  <c r="K72" i="1"/>
  <c r="AH71" i="1"/>
  <c r="AF71" i="1"/>
  <c r="AE71" i="1"/>
  <c r="AD71" i="1"/>
  <c r="X72" i="1" s="1"/>
  <c r="AC71" i="1"/>
  <c r="AB71" i="1"/>
  <c r="Z71" i="1"/>
  <c r="AA71" i="1" s="1"/>
  <c r="Y71" i="1"/>
  <c r="V71" i="1"/>
  <c r="N71" i="1"/>
  <c r="M71" i="1"/>
  <c r="L71" i="1"/>
  <c r="K71" i="1"/>
  <c r="AH70" i="1"/>
  <c r="AF70" i="1"/>
  <c r="AE70" i="1"/>
  <c r="AD70" i="1"/>
  <c r="X70" i="1" s="1"/>
  <c r="AC70" i="1"/>
  <c r="AB70" i="1"/>
  <c r="AA70" i="1"/>
  <c r="Z70" i="1"/>
  <c r="Y70" i="1"/>
  <c r="V70" i="1"/>
  <c r="N70" i="1"/>
  <c r="M70" i="1"/>
  <c r="L70" i="1"/>
  <c r="K70" i="1"/>
  <c r="AH69" i="1"/>
  <c r="AF69" i="1"/>
  <c r="AE69" i="1"/>
  <c r="AD69" i="1"/>
  <c r="AG69" i="1" s="1"/>
  <c r="AC69" i="1"/>
  <c r="AB69" i="1"/>
  <c r="AA69" i="1"/>
  <c r="Z69" i="1"/>
  <c r="Y69" i="1"/>
  <c r="X69" i="1"/>
  <c r="V69" i="1"/>
  <c r="T69" i="1"/>
  <c r="N69" i="1"/>
  <c r="M69" i="1"/>
  <c r="L69" i="1"/>
  <c r="K69" i="1"/>
  <c r="AH68" i="1"/>
  <c r="AG68" i="1"/>
  <c r="AF68" i="1"/>
  <c r="AE68" i="1"/>
  <c r="AD68" i="1"/>
  <c r="AC68" i="1"/>
  <c r="AB68" i="1"/>
  <c r="Z68" i="1"/>
  <c r="Y68" i="1"/>
  <c r="AA68" i="1" s="1"/>
  <c r="V68" i="1"/>
  <c r="U68" i="1"/>
  <c r="T68" i="1"/>
  <c r="M68" i="1"/>
  <c r="N68" i="1" s="1"/>
  <c r="L68" i="1"/>
  <c r="K68" i="1"/>
  <c r="AH67" i="1"/>
  <c r="AF67" i="1"/>
  <c r="AE67" i="1"/>
  <c r="AD67" i="1"/>
  <c r="AC67" i="1"/>
  <c r="AB67" i="1"/>
  <c r="Z67" i="1"/>
  <c r="AA67" i="1" s="1"/>
  <c r="Y67" i="1"/>
  <c r="V67" i="1"/>
  <c r="N67" i="1"/>
  <c r="M67" i="1"/>
  <c r="L67" i="1"/>
  <c r="K67" i="1"/>
  <c r="AH66" i="1"/>
  <c r="AF66" i="1"/>
  <c r="AE66" i="1"/>
  <c r="AD66" i="1"/>
  <c r="X66" i="1" s="1"/>
  <c r="AC66" i="1"/>
  <c r="AB66" i="1"/>
  <c r="AA66" i="1"/>
  <c r="Z66" i="1"/>
  <c r="Y66" i="1"/>
  <c r="V66" i="1"/>
  <c r="N66" i="1"/>
  <c r="M66" i="1"/>
  <c r="L66" i="1"/>
  <c r="K66" i="1"/>
  <c r="AH65" i="1"/>
  <c r="AF65" i="1"/>
  <c r="AE65" i="1"/>
  <c r="AD65" i="1"/>
  <c r="AG65" i="1" s="1"/>
  <c r="AC65" i="1"/>
  <c r="AB65" i="1"/>
  <c r="AA65" i="1"/>
  <c r="Z65" i="1"/>
  <c r="Y65" i="1"/>
  <c r="X65" i="1"/>
  <c r="V65" i="1"/>
  <c r="T65" i="1"/>
  <c r="N65" i="1"/>
  <c r="M65" i="1"/>
  <c r="L65" i="1"/>
  <c r="K65" i="1"/>
  <c r="AH64" i="1"/>
  <c r="AG64" i="1"/>
  <c r="AF64" i="1"/>
  <c r="AE64" i="1"/>
  <c r="AD64" i="1"/>
  <c r="AC64" i="1"/>
  <c r="AB64" i="1"/>
  <c r="Z64" i="1"/>
  <c r="Y64" i="1"/>
  <c r="V64" i="1"/>
  <c r="U64" i="1"/>
  <c r="T64" i="1"/>
  <c r="M64" i="1"/>
  <c r="N64" i="1" s="1"/>
  <c r="L64" i="1"/>
  <c r="K64" i="1"/>
  <c r="AH63" i="1"/>
  <c r="AF63" i="1"/>
  <c r="AE63" i="1"/>
  <c r="AD63" i="1"/>
  <c r="AC63" i="1"/>
  <c r="AB63" i="1"/>
  <c r="Z63" i="1"/>
  <c r="AA63" i="1" s="1"/>
  <c r="Y63" i="1"/>
  <c r="V63" i="1"/>
  <c r="N63" i="1"/>
  <c r="M63" i="1"/>
  <c r="L63" i="1"/>
  <c r="K63" i="1"/>
  <c r="AH62" i="1"/>
  <c r="AF62" i="1"/>
  <c r="AE62" i="1"/>
  <c r="AD62" i="1"/>
  <c r="X62" i="1" s="1"/>
  <c r="AC62" i="1"/>
  <c r="AB62" i="1"/>
  <c r="AA62" i="1"/>
  <c r="Z62" i="1"/>
  <c r="Y62" i="1"/>
  <c r="V62" i="1"/>
  <c r="N62" i="1"/>
  <c r="M62" i="1"/>
  <c r="L62" i="1"/>
  <c r="K62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T61" i="1"/>
  <c r="U61" i="1" s="1"/>
  <c r="S61" i="1" s="1"/>
  <c r="M61" i="1"/>
  <c r="N61" i="1" s="1"/>
  <c r="L61" i="1"/>
  <c r="K61" i="1"/>
  <c r="AH60" i="1"/>
  <c r="AG60" i="1"/>
  <c r="AF60" i="1"/>
  <c r="AE60" i="1"/>
  <c r="AD60" i="1"/>
  <c r="AC60" i="1"/>
  <c r="AB60" i="1"/>
  <c r="Z60" i="1"/>
  <c r="AA60" i="1" s="1"/>
  <c r="W60" i="1" s="1"/>
  <c r="Y60" i="1"/>
  <c r="V60" i="1"/>
  <c r="U60" i="1"/>
  <c r="T60" i="1"/>
  <c r="M60" i="1"/>
  <c r="N60" i="1" s="1"/>
  <c r="L60" i="1"/>
  <c r="K60" i="1"/>
  <c r="AH59" i="1"/>
  <c r="AF59" i="1"/>
  <c r="AE59" i="1"/>
  <c r="AD59" i="1"/>
  <c r="AC59" i="1"/>
  <c r="AB59" i="1"/>
  <c r="Z59" i="1"/>
  <c r="AA59" i="1" s="1"/>
  <c r="Y59" i="1"/>
  <c r="V59" i="1"/>
  <c r="N59" i="1"/>
  <c r="M59" i="1"/>
  <c r="L59" i="1"/>
  <c r="K59" i="1"/>
  <c r="AH58" i="1"/>
  <c r="AF58" i="1"/>
  <c r="AE58" i="1"/>
  <c r="AD58" i="1"/>
  <c r="AC58" i="1"/>
  <c r="AB58" i="1"/>
  <c r="AA58" i="1"/>
  <c r="Z58" i="1"/>
  <c r="Y58" i="1"/>
  <c r="V58" i="1"/>
  <c r="N58" i="1"/>
  <c r="M58" i="1"/>
  <c r="L58" i="1"/>
  <c r="K58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T57" i="1"/>
  <c r="U57" i="1" s="1"/>
  <c r="S57" i="1" s="1"/>
  <c r="M57" i="1"/>
  <c r="N57" i="1" s="1"/>
  <c r="L57" i="1"/>
  <c r="K57" i="1"/>
  <c r="AH56" i="1"/>
  <c r="AG56" i="1"/>
  <c r="AF56" i="1"/>
  <c r="AE56" i="1"/>
  <c r="AD56" i="1"/>
  <c r="AC56" i="1"/>
  <c r="AB56" i="1"/>
  <c r="Z56" i="1"/>
  <c r="AA56" i="1" s="1"/>
  <c r="W56" i="1" s="1"/>
  <c r="Y56" i="1"/>
  <c r="V56" i="1"/>
  <c r="U56" i="1"/>
  <c r="T56" i="1"/>
  <c r="M56" i="1"/>
  <c r="N56" i="1" s="1"/>
  <c r="L56" i="1"/>
  <c r="K56" i="1"/>
  <c r="AH55" i="1"/>
  <c r="AF55" i="1"/>
  <c r="AE55" i="1"/>
  <c r="AD55" i="1"/>
  <c r="X56" i="1" s="1"/>
  <c r="AC55" i="1"/>
  <c r="AB55" i="1"/>
  <c r="Z55" i="1"/>
  <c r="AA55" i="1" s="1"/>
  <c r="Y55" i="1"/>
  <c r="V55" i="1"/>
  <c r="N55" i="1"/>
  <c r="M55" i="1"/>
  <c r="L55" i="1"/>
  <c r="K55" i="1"/>
  <c r="AH54" i="1"/>
  <c r="AF54" i="1"/>
  <c r="AE54" i="1"/>
  <c r="AD54" i="1"/>
  <c r="AC54" i="1"/>
  <c r="AB54" i="1"/>
  <c r="Z54" i="1"/>
  <c r="AA54" i="1" s="1"/>
  <c r="Y54" i="1"/>
  <c r="V54" i="1"/>
  <c r="N54" i="1"/>
  <c r="M54" i="1"/>
  <c r="L54" i="1"/>
  <c r="K54" i="1"/>
  <c r="AI53" i="1"/>
  <c r="AH53" i="1"/>
  <c r="AG53" i="1"/>
  <c r="AF53" i="1"/>
  <c r="AE53" i="1"/>
  <c r="AD53" i="1"/>
  <c r="AC53" i="1"/>
  <c r="AB53" i="1"/>
  <c r="AA53" i="1"/>
  <c r="Z53" i="1"/>
  <c r="Y53" i="1"/>
  <c r="W53" i="1"/>
  <c r="V53" i="1"/>
  <c r="T53" i="1"/>
  <c r="U53" i="1" s="1"/>
  <c r="S53" i="1"/>
  <c r="M53" i="1"/>
  <c r="P53" i="1" s="1"/>
  <c r="L53" i="1"/>
  <c r="K53" i="1"/>
  <c r="AH52" i="1"/>
  <c r="AF52" i="1"/>
  <c r="AE52" i="1"/>
  <c r="AD52" i="1"/>
  <c r="AG52" i="1" s="1"/>
  <c r="AC52" i="1"/>
  <c r="AB52" i="1"/>
  <c r="Z52" i="1"/>
  <c r="Y52" i="1"/>
  <c r="V52" i="1"/>
  <c r="M52" i="1"/>
  <c r="N52" i="1" s="1"/>
  <c r="L52" i="1"/>
  <c r="K52" i="1"/>
  <c r="AH51" i="1"/>
  <c r="AF51" i="1"/>
  <c r="AE51" i="1"/>
  <c r="AD51" i="1"/>
  <c r="AG51" i="1" s="1"/>
  <c r="AC51" i="1"/>
  <c r="AB51" i="1"/>
  <c r="Z51" i="1"/>
  <c r="AA51" i="1" s="1"/>
  <c r="Y51" i="1"/>
  <c r="V51" i="1"/>
  <c r="N51" i="1"/>
  <c r="M51" i="1"/>
  <c r="L51" i="1"/>
  <c r="K51" i="1"/>
  <c r="AH50" i="1"/>
  <c r="AF50" i="1"/>
  <c r="AE50" i="1"/>
  <c r="AD50" i="1"/>
  <c r="AG50" i="1" s="1"/>
  <c r="AC50" i="1"/>
  <c r="AB50" i="1"/>
  <c r="AA50" i="1"/>
  <c r="Z50" i="1"/>
  <c r="Y50" i="1"/>
  <c r="V50" i="1"/>
  <c r="N50" i="1"/>
  <c r="M50" i="1"/>
  <c r="L50" i="1"/>
  <c r="K50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T49" i="1"/>
  <c r="U49" i="1" s="1"/>
  <c r="S49" i="1" s="1"/>
  <c r="M49" i="1"/>
  <c r="N49" i="1" s="1"/>
  <c r="L49" i="1"/>
  <c r="K49" i="1"/>
  <c r="AH48" i="1"/>
  <c r="AG48" i="1"/>
  <c r="AI48" i="1" s="1"/>
  <c r="AF48" i="1"/>
  <c r="AE48" i="1"/>
  <c r="AD48" i="1"/>
  <c r="AC48" i="1"/>
  <c r="AB48" i="1"/>
  <c r="Z48" i="1"/>
  <c r="AA48" i="1" s="1"/>
  <c r="W48" i="1" s="1"/>
  <c r="Y48" i="1"/>
  <c r="V48" i="1"/>
  <c r="U48" i="1"/>
  <c r="T48" i="1"/>
  <c r="M48" i="1"/>
  <c r="N48" i="1" s="1"/>
  <c r="L48" i="1"/>
  <c r="K48" i="1"/>
  <c r="AH47" i="1"/>
  <c r="AF47" i="1"/>
  <c r="AE47" i="1"/>
  <c r="AD47" i="1"/>
  <c r="X48" i="1" s="1"/>
  <c r="AC47" i="1"/>
  <c r="AB47" i="1"/>
  <c r="Z47" i="1"/>
  <c r="AA47" i="1" s="1"/>
  <c r="Y47" i="1"/>
  <c r="V47" i="1"/>
  <c r="N47" i="1"/>
  <c r="M47" i="1"/>
  <c r="L47" i="1"/>
  <c r="K47" i="1"/>
  <c r="AH46" i="1"/>
  <c r="AF46" i="1"/>
  <c r="AE46" i="1"/>
  <c r="AD46" i="1"/>
  <c r="AG46" i="1" s="1"/>
  <c r="AC46" i="1"/>
  <c r="AB46" i="1"/>
  <c r="AA46" i="1"/>
  <c r="Z46" i="1"/>
  <c r="Y46" i="1"/>
  <c r="V46" i="1"/>
  <c r="N46" i="1"/>
  <c r="M46" i="1"/>
  <c r="L46" i="1"/>
  <c r="K46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T45" i="1"/>
  <c r="U45" i="1" s="1"/>
  <c r="S45" i="1" s="1"/>
  <c r="M45" i="1"/>
  <c r="N45" i="1" s="1"/>
  <c r="L45" i="1"/>
  <c r="K45" i="1"/>
  <c r="AH44" i="1"/>
  <c r="AF44" i="1"/>
  <c r="AE44" i="1"/>
  <c r="AD44" i="1"/>
  <c r="X197" i="1" s="1"/>
  <c r="AC44" i="1"/>
  <c r="AB44" i="1"/>
  <c r="AA44" i="1"/>
  <c r="Z44" i="1"/>
  <c r="AI44" i="1" s="1"/>
  <c r="Y44" i="1"/>
  <c r="X44" i="1"/>
  <c r="W44" i="1"/>
  <c r="V44" i="1"/>
  <c r="T44" i="1"/>
  <c r="U44" i="1" s="1"/>
  <c r="S44" i="1" s="1"/>
  <c r="M44" i="1"/>
  <c r="N44" i="1" s="1"/>
  <c r="L44" i="1"/>
  <c r="K44" i="1"/>
  <c r="AH43" i="1"/>
  <c r="AG43" i="1"/>
  <c r="AI43" i="1" s="1"/>
  <c r="AF43" i="1"/>
  <c r="AE43" i="1"/>
  <c r="AD43" i="1"/>
  <c r="AC43" i="1"/>
  <c r="AB43" i="1"/>
  <c r="Z43" i="1"/>
  <c r="AA43" i="1" s="1"/>
  <c r="W43" i="1" s="1"/>
  <c r="Y43" i="1"/>
  <c r="U43" i="1" s="1"/>
  <c r="V43" i="1"/>
  <c r="T43" i="1"/>
  <c r="M43" i="1"/>
  <c r="N43" i="1" s="1"/>
  <c r="L43" i="1"/>
  <c r="K43" i="1"/>
  <c r="AH42" i="1"/>
  <c r="AF42" i="1"/>
  <c r="AE42" i="1"/>
  <c r="AD42" i="1"/>
  <c r="X43" i="1" s="1"/>
  <c r="AC42" i="1"/>
  <c r="AB42" i="1"/>
  <c r="Z42" i="1"/>
  <c r="AA42" i="1" s="1"/>
  <c r="Y42" i="1"/>
  <c r="V42" i="1"/>
  <c r="N42" i="1"/>
  <c r="M42" i="1"/>
  <c r="L42" i="1"/>
  <c r="K42" i="1"/>
  <c r="AH41" i="1"/>
  <c r="AF41" i="1"/>
  <c r="AE41" i="1"/>
  <c r="AD41" i="1"/>
  <c r="AG41" i="1" s="1"/>
  <c r="AC41" i="1"/>
  <c r="AB41" i="1"/>
  <c r="AA41" i="1"/>
  <c r="Z41" i="1"/>
  <c r="Y41" i="1"/>
  <c r="V41" i="1"/>
  <c r="N41" i="1"/>
  <c r="M41" i="1"/>
  <c r="L41" i="1"/>
  <c r="K41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T40" i="1"/>
  <c r="U40" i="1" s="1"/>
  <c r="M40" i="1"/>
  <c r="L40" i="1"/>
  <c r="K40" i="1"/>
  <c r="AH39" i="1"/>
  <c r="AF39" i="1"/>
  <c r="AE39" i="1"/>
  <c r="AD39" i="1"/>
  <c r="AG39" i="1" s="1"/>
  <c r="AC39" i="1"/>
  <c r="AB39" i="1"/>
  <c r="AA39" i="1"/>
  <c r="Z39" i="1"/>
  <c r="Y39" i="1"/>
  <c r="V39" i="1"/>
  <c r="P39" i="1"/>
  <c r="M39" i="1"/>
  <c r="L39" i="1"/>
  <c r="K39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T38" i="1"/>
  <c r="U38" i="1" s="1"/>
  <c r="S38" i="1" s="1"/>
  <c r="M38" i="1"/>
  <c r="N38" i="1" s="1"/>
  <c r="L38" i="1"/>
  <c r="K38" i="1"/>
  <c r="AH37" i="1"/>
  <c r="AG37" i="1"/>
  <c r="AI37" i="1" s="1"/>
  <c r="AF37" i="1"/>
  <c r="AE37" i="1"/>
  <c r="AD37" i="1"/>
  <c r="AC37" i="1"/>
  <c r="AB37" i="1"/>
  <c r="Z37" i="1"/>
  <c r="AA37" i="1" s="1"/>
  <c r="W37" i="1" s="1"/>
  <c r="Y37" i="1"/>
  <c r="V37" i="1"/>
  <c r="U37" i="1"/>
  <c r="T37" i="1"/>
  <c r="M37" i="1"/>
  <c r="N37" i="1" s="1"/>
  <c r="L37" i="1"/>
  <c r="K37" i="1"/>
  <c r="AH36" i="1"/>
  <c r="AF36" i="1"/>
  <c r="AE36" i="1"/>
  <c r="AD36" i="1"/>
  <c r="X37" i="1" s="1"/>
  <c r="AC36" i="1"/>
  <c r="AB36" i="1"/>
  <c r="Z36" i="1"/>
  <c r="AA36" i="1" s="1"/>
  <c r="Y36" i="1"/>
  <c r="V36" i="1"/>
  <c r="N36" i="1"/>
  <c r="M36" i="1"/>
  <c r="L36" i="1"/>
  <c r="K36" i="1"/>
  <c r="AH35" i="1"/>
  <c r="AF35" i="1"/>
  <c r="AE35" i="1"/>
  <c r="AD35" i="1"/>
  <c r="AG35" i="1" s="1"/>
  <c r="AC35" i="1"/>
  <c r="AB35" i="1"/>
  <c r="AA35" i="1"/>
  <c r="Z35" i="1"/>
  <c r="Y35" i="1"/>
  <c r="V35" i="1"/>
  <c r="N35" i="1"/>
  <c r="M35" i="1"/>
  <c r="L35" i="1"/>
  <c r="K35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T34" i="1"/>
  <c r="U34" i="1" s="1"/>
  <c r="S34" i="1" s="1"/>
  <c r="M34" i="1"/>
  <c r="N34" i="1" s="1"/>
  <c r="L34" i="1"/>
  <c r="K34" i="1"/>
  <c r="AH33" i="1"/>
  <c r="AG33" i="1"/>
  <c r="AI33" i="1" s="1"/>
  <c r="AF33" i="1"/>
  <c r="AE33" i="1"/>
  <c r="AD33" i="1"/>
  <c r="AC33" i="1"/>
  <c r="AB33" i="1"/>
  <c r="Z33" i="1"/>
  <c r="AA33" i="1" s="1"/>
  <c r="W33" i="1" s="1"/>
  <c r="Y33" i="1"/>
  <c r="V33" i="1"/>
  <c r="U33" i="1"/>
  <c r="T33" i="1"/>
  <c r="M33" i="1"/>
  <c r="N33" i="1" s="1"/>
  <c r="L33" i="1"/>
  <c r="K33" i="1"/>
  <c r="AH32" i="1"/>
  <c r="AF32" i="1"/>
  <c r="AE32" i="1"/>
  <c r="AD32" i="1"/>
  <c r="X33" i="1" s="1"/>
  <c r="AC32" i="1"/>
  <c r="AB32" i="1"/>
  <c r="Z32" i="1"/>
  <c r="AA32" i="1" s="1"/>
  <c r="Y32" i="1"/>
  <c r="V32" i="1"/>
  <c r="M32" i="1"/>
  <c r="L32" i="1"/>
  <c r="K32" i="1"/>
  <c r="AH31" i="1"/>
  <c r="AF31" i="1"/>
  <c r="AE31" i="1"/>
  <c r="AD31" i="1"/>
  <c r="AG31" i="1" s="1"/>
  <c r="AC31" i="1"/>
  <c r="AB31" i="1"/>
  <c r="Z31" i="1"/>
  <c r="AA31" i="1" s="1"/>
  <c r="W31" i="1" s="1"/>
  <c r="Y31" i="1"/>
  <c r="V31" i="1"/>
  <c r="N31" i="1"/>
  <c r="M31" i="1"/>
  <c r="L31" i="1"/>
  <c r="K31" i="1"/>
  <c r="AH30" i="1"/>
  <c r="AF30" i="1"/>
  <c r="AE30" i="1"/>
  <c r="AD30" i="1"/>
  <c r="AG30" i="1" s="1"/>
  <c r="AC30" i="1"/>
  <c r="AB30" i="1"/>
  <c r="AA30" i="1"/>
  <c r="Z30" i="1"/>
  <c r="Y30" i="1"/>
  <c r="V30" i="1"/>
  <c r="N30" i="1"/>
  <c r="M30" i="1"/>
  <c r="L30" i="1"/>
  <c r="K30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T29" i="1"/>
  <c r="U29" i="1" s="1"/>
  <c r="S29" i="1" s="1"/>
  <c r="M29" i="1"/>
  <c r="N29" i="1" s="1"/>
  <c r="L29" i="1"/>
  <c r="K29" i="1"/>
  <c r="AH28" i="1"/>
  <c r="AG28" i="1"/>
  <c r="AI28" i="1" s="1"/>
  <c r="AF28" i="1"/>
  <c r="AE28" i="1"/>
  <c r="AD28" i="1"/>
  <c r="AC28" i="1"/>
  <c r="AB28" i="1"/>
  <c r="Z28" i="1"/>
  <c r="AA28" i="1" s="1"/>
  <c r="W28" i="1" s="1"/>
  <c r="Y28" i="1"/>
  <c r="V28" i="1"/>
  <c r="U28" i="1"/>
  <c r="T28" i="1"/>
  <c r="M28" i="1"/>
  <c r="N28" i="1" s="1"/>
  <c r="L28" i="1"/>
  <c r="K28" i="1"/>
  <c r="AH27" i="1"/>
  <c r="AF27" i="1"/>
  <c r="AE27" i="1"/>
  <c r="AD27" i="1"/>
  <c r="X28" i="1" s="1"/>
  <c r="AC27" i="1"/>
  <c r="AB27" i="1"/>
  <c r="Z27" i="1"/>
  <c r="AA27" i="1" s="1"/>
  <c r="Y27" i="1"/>
  <c r="V27" i="1"/>
  <c r="N27" i="1"/>
  <c r="M27" i="1"/>
  <c r="L27" i="1"/>
  <c r="K27" i="1"/>
  <c r="AH26" i="1"/>
  <c r="AF26" i="1"/>
  <c r="AE26" i="1"/>
  <c r="AD26" i="1"/>
  <c r="AG26" i="1" s="1"/>
  <c r="AC26" i="1"/>
  <c r="AB26" i="1"/>
  <c r="AA26" i="1"/>
  <c r="Z26" i="1"/>
  <c r="Y26" i="1"/>
  <c r="V26" i="1"/>
  <c r="N26" i="1"/>
  <c r="M26" i="1"/>
  <c r="L26" i="1"/>
  <c r="K26" i="1"/>
  <c r="AH25" i="1"/>
  <c r="AF25" i="1"/>
  <c r="AE25" i="1"/>
  <c r="AD25" i="1"/>
  <c r="X25" i="1" s="1"/>
  <c r="AC25" i="1"/>
  <c r="AB25" i="1"/>
  <c r="AA25" i="1"/>
  <c r="Z25" i="1"/>
  <c r="AI25" i="1" s="1"/>
  <c r="Y25" i="1"/>
  <c r="W25" i="1"/>
  <c r="V25" i="1"/>
  <c r="N25" i="1"/>
  <c r="M25" i="1"/>
  <c r="L25" i="1"/>
  <c r="K25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T24" i="1"/>
  <c r="U24" i="1" s="1"/>
  <c r="S24" i="1" s="1"/>
  <c r="M24" i="1"/>
  <c r="N24" i="1" s="1"/>
  <c r="L24" i="1"/>
  <c r="K24" i="1"/>
  <c r="AH23" i="1"/>
  <c r="AG23" i="1"/>
  <c r="AI23" i="1" s="1"/>
  <c r="AF23" i="1"/>
  <c r="AE23" i="1"/>
  <c r="AD23" i="1"/>
  <c r="AC23" i="1"/>
  <c r="AB23" i="1"/>
  <c r="Z23" i="1"/>
  <c r="AA23" i="1" s="1"/>
  <c r="W23" i="1" s="1"/>
  <c r="Y23" i="1"/>
  <c r="V23" i="1"/>
  <c r="U23" i="1"/>
  <c r="T23" i="1"/>
  <c r="M23" i="1"/>
  <c r="N23" i="1" s="1"/>
  <c r="L23" i="1"/>
  <c r="K23" i="1"/>
  <c r="AH22" i="1"/>
  <c r="AF22" i="1"/>
  <c r="AE22" i="1"/>
  <c r="AD22" i="1"/>
  <c r="X23" i="1" s="1"/>
  <c r="AC22" i="1"/>
  <c r="AB22" i="1"/>
  <c r="Z22" i="1"/>
  <c r="AA22" i="1" s="1"/>
  <c r="Y22" i="1"/>
  <c r="V22" i="1"/>
  <c r="N22" i="1"/>
  <c r="M22" i="1"/>
  <c r="L22" i="1"/>
  <c r="K22" i="1"/>
  <c r="AH21" i="1"/>
  <c r="AF21" i="1"/>
  <c r="AE21" i="1"/>
  <c r="AD21" i="1"/>
  <c r="AG21" i="1" s="1"/>
  <c r="AC21" i="1"/>
  <c r="AB21" i="1"/>
  <c r="AA21" i="1"/>
  <c r="Z21" i="1"/>
  <c r="Y21" i="1"/>
  <c r="V21" i="1"/>
  <c r="N21" i="1"/>
  <c r="M21" i="1"/>
  <c r="L21" i="1"/>
  <c r="K21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T20" i="1"/>
  <c r="U20" i="1" s="1"/>
  <c r="S20" i="1" s="1"/>
  <c r="M20" i="1"/>
  <c r="N20" i="1" s="1"/>
  <c r="L20" i="1"/>
  <c r="K20" i="1"/>
  <c r="AH19" i="1"/>
  <c r="AG19" i="1"/>
  <c r="AI19" i="1" s="1"/>
  <c r="AF19" i="1"/>
  <c r="AE19" i="1"/>
  <c r="AD19" i="1"/>
  <c r="AC19" i="1"/>
  <c r="AB19" i="1"/>
  <c r="Z19" i="1"/>
  <c r="AA19" i="1" s="1"/>
  <c r="W19" i="1" s="1"/>
  <c r="Y19" i="1"/>
  <c r="V19" i="1"/>
  <c r="U19" i="1"/>
  <c r="T19" i="1"/>
  <c r="M19" i="1"/>
  <c r="N19" i="1" s="1"/>
  <c r="L19" i="1"/>
  <c r="K19" i="1"/>
  <c r="AH18" i="1"/>
  <c r="AF18" i="1"/>
  <c r="AE18" i="1"/>
  <c r="AD18" i="1"/>
  <c r="X19" i="1" s="1"/>
  <c r="AC18" i="1"/>
  <c r="AB18" i="1"/>
  <c r="Z18" i="1"/>
  <c r="AA18" i="1" s="1"/>
  <c r="Y18" i="1"/>
  <c r="V18" i="1"/>
  <c r="N18" i="1"/>
  <c r="M18" i="1"/>
  <c r="L18" i="1"/>
  <c r="K18" i="1"/>
  <c r="AH17" i="1"/>
  <c r="AF17" i="1"/>
  <c r="AE17" i="1"/>
  <c r="AD17" i="1"/>
  <c r="AG17" i="1" s="1"/>
  <c r="AC17" i="1"/>
  <c r="AB17" i="1"/>
  <c r="AA17" i="1"/>
  <c r="Z17" i="1"/>
  <c r="Y17" i="1"/>
  <c r="V17" i="1"/>
  <c r="N17" i="1"/>
  <c r="M17" i="1"/>
  <c r="L17" i="1"/>
  <c r="K17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T16" i="1"/>
  <c r="U16" i="1" s="1"/>
  <c r="S16" i="1" s="1"/>
  <c r="M16" i="1"/>
  <c r="N16" i="1" s="1"/>
  <c r="L16" i="1"/>
  <c r="K16" i="1"/>
  <c r="AH15" i="1"/>
  <c r="AG15" i="1"/>
  <c r="AI15" i="1" s="1"/>
  <c r="AF15" i="1"/>
  <c r="AE15" i="1"/>
  <c r="AD15" i="1"/>
  <c r="AC15" i="1"/>
  <c r="AB15" i="1"/>
  <c r="Z15" i="1"/>
  <c r="AA15" i="1" s="1"/>
  <c r="W15" i="1" s="1"/>
  <c r="Y15" i="1"/>
  <c r="V15" i="1"/>
  <c r="U15" i="1"/>
  <c r="T15" i="1"/>
  <c r="M15" i="1"/>
  <c r="N15" i="1" s="1"/>
  <c r="L15" i="1"/>
  <c r="K15" i="1"/>
  <c r="AH14" i="1"/>
  <c r="AF14" i="1"/>
  <c r="AE14" i="1"/>
  <c r="AD14" i="1"/>
  <c r="X15" i="1" s="1"/>
  <c r="AC14" i="1"/>
  <c r="AB14" i="1"/>
  <c r="Z14" i="1"/>
  <c r="AA14" i="1" s="1"/>
  <c r="Y14" i="1"/>
  <c r="V14" i="1"/>
  <c r="N14" i="1"/>
  <c r="M14" i="1"/>
  <c r="L14" i="1"/>
  <c r="K14" i="1"/>
  <c r="AH13" i="1"/>
  <c r="AF13" i="1"/>
  <c r="AE13" i="1"/>
  <c r="AD13" i="1"/>
  <c r="AG13" i="1" s="1"/>
  <c r="AC13" i="1"/>
  <c r="AB13" i="1"/>
  <c r="AA13" i="1"/>
  <c r="Z13" i="1"/>
  <c r="Y13" i="1"/>
  <c r="V13" i="1"/>
  <c r="N13" i="1"/>
  <c r="M13" i="1"/>
  <c r="L13" i="1"/>
  <c r="K13" i="1"/>
  <c r="I3" i="6" l="1"/>
  <c r="I11" i="6"/>
  <c r="I15" i="6"/>
  <c r="I19" i="6"/>
  <c r="I23" i="6"/>
  <c r="I10" i="6"/>
  <c r="F11" i="6"/>
  <c r="J11" i="6"/>
  <c r="I18" i="6"/>
  <c r="F19" i="6"/>
  <c r="J19" i="6"/>
  <c r="J27" i="6"/>
  <c r="G3" i="6"/>
  <c r="I5" i="6"/>
  <c r="F6" i="6"/>
  <c r="J6" i="6"/>
  <c r="G7" i="6"/>
  <c r="H3" i="6"/>
  <c r="F5" i="6"/>
  <c r="G6" i="6"/>
  <c r="H7" i="6"/>
  <c r="F9" i="6"/>
  <c r="J9" i="6"/>
  <c r="G10" i="6"/>
  <c r="H11" i="6"/>
  <c r="F13" i="6"/>
  <c r="J13" i="6"/>
  <c r="G14" i="6"/>
  <c r="H15" i="6"/>
  <c r="F17" i="6"/>
  <c r="J17" i="6"/>
  <c r="G18" i="6"/>
  <c r="H19" i="6"/>
  <c r="F21" i="6"/>
  <c r="J21" i="6"/>
  <c r="G22" i="6"/>
  <c r="H23" i="6"/>
  <c r="F25" i="6"/>
  <c r="J25" i="6"/>
  <c r="G26" i="6"/>
  <c r="H27" i="6"/>
  <c r="I7" i="6"/>
  <c r="I27" i="6"/>
  <c r="F3" i="6"/>
  <c r="F7" i="6"/>
  <c r="I14" i="6"/>
  <c r="F15" i="6"/>
  <c r="J15" i="6"/>
  <c r="I22" i="6"/>
  <c r="F23" i="6"/>
  <c r="J23" i="6"/>
  <c r="I26" i="6"/>
  <c r="F27" i="6"/>
  <c r="F10" i="6"/>
  <c r="F14" i="6"/>
  <c r="F18" i="6"/>
  <c r="F22" i="6"/>
  <c r="F26" i="6"/>
  <c r="W22" i="1"/>
  <c r="AI46" i="1"/>
  <c r="W46" i="1"/>
  <c r="AI50" i="1"/>
  <c r="W50" i="1"/>
  <c r="W26" i="1"/>
  <c r="AI26" i="1"/>
  <c r="AI30" i="1"/>
  <c r="W30" i="1"/>
  <c r="W35" i="1"/>
  <c r="AI35" i="1"/>
  <c r="W39" i="1"/>
  <c r="AI39" i="1"/>
  <c r="AI41" i="1"/>
  <c r="W41" i="1"/>
  <c r="AI51" i="1"/>
  <c r="AI52" i="1"/>
  <c r="U52" i="1"/>
  <c r="S52" i="1" s="1"/>
  <c r="W58" i="1"/>
  <c r="W13" i="1"/>
  <c r="AI13" i="1"/>
  <c r="AI17" i="1"/>
  <c r="U17" i="1"/>
  <c r="S17" i="1" s="1"/>
  <c r="W17" i="1"/>
  <c r="AI21" i="1"/>
  <c r="W21" i="1"/>
  <c r="AI31" i="1"/>
  <c r="W51" i="1"/>
  <c r="W36" i="1"/>
  <c r="X54" i="1"/>
  <c r="T54" i="1"/>
  <c r="AG54" i="1"/>
  <c r="W54" i="1" s="1"/>
  <c r="W55" i="1"/>
  <c r="X64" i="1"/>
  <c r="AG63" i="1"/>
  <c r="X63" i="1"/>
  <c r="T63" i="1"/>
  <c r="U69" i="1"/>
  <c r="AI69" i="1"/>
  <c r="W69" i="1"/>
  <c r="S69" i="1"/>
  <c r="X53" i="1"/>
  <c r="T13" i="1"/>
  <c r="U13" i="1" s="1"/>
  <c r="S13" i="1" s="1"/>
  <c r="X13" i="1"/>
  <c r="T17" i="1"/>
  <c r="X17" i="1"/>
  <c r="T21" i="1"/>
  <c r="U21" i="1" s="1"/>
  <c r="S21" i="1" s="1"/>
  <c r="X21" i="1"/>
  <c r="T25" i="1"/>
  <c r="U25" i="1" s="1"/>
  <c r="S25" i="1" s="1"/>
  <c r="T26" i="1"/>
  <c r="U26" i="1" s="1"/>
  <c r="S26" i="1" s="1"/>
  <c r="X26" i="1"/>
  <c r="T30" i="1"/>
  <c r="U30" i="1" s="1"/>
  <c r="S30" i="1" s="1"/>
  <c r="X30" i="1"/>
  <c r="T35" i="1"/>
  <c r="U35" i="1" s="1"/>
  <c r="S35" i="1" s="1"/>
  <c r="X35" i="1"/>
  <c r="T39" i="1"/>
  <c r="U39" i="1" s="1"/>
  <c r="S39" i="1" s="1"/>
  <c r="X39" i="1"/>
  <c r="T41" i="1"/>
  <c r="U41" i="1" s="1"/>
  <c r="S41" i="1" s="1"/>
  <c r="X41" i="1"/>
  <c r="T46" i="1"/>
  <c r="U46" i="1" s="1"/>
  <c r="S46" i="1" s="1"/>
  <c r="X46" i="1"/>
  <c r="T50" i="1"/>
  <c r="U50" i="1" s="1"/>
  <c r="S50" i="1" s="1"/>
  <c r="X50" i="1"/>
  <c r="AA52" i="1"/>
  <c r="W52" i="1" s="1"/>
  <c r="X60" i="1"/>
  <c r="AG59" i="1"/>
  <c r="X59" i="1"/>
  <c r="T59" i="1"/>
  <c r="AI64" i="1"/>
  <c r="S64" i="1"/>
  <c r="X68" i="1"/>
  <c r="AG67" i="1"/>
  <c r="X67" i="1"/>
  <c r="T67" i="1"/>
  <c r="U83" i="1"/>
  <c r="S83" i="1" s="1"/>
  <c r="AI83" i="1"/>
  <c r="W83" i="1"/>
  <c r="T14" i="1"/>
  <c r="X14" i="1"/>
  <c r="S15" i="1"/>
  <c r="T18" i="1"/>
  <c r="X18" i="1"/>
  <c r="S19" i="1"/>
  <c r="T22" i="1"/>
  <c r="X22" i="1"/>
  <c r="S23" i="1"/>
  <c r="T27" i="1"/>
  <c r="X27" i="1"/>
  <c r="S28" i="1"/>
  <c r="T31" i="1"/>
  <c r="U31" i="1" s="1"/>
  <c r="S31" i="1" s="1"/>
  <c r="X31" i="1"/>
  <c r="T32" i="1"/>
  <c r="X32" i="1"/>
  <c r="S33" i="1"/>
  <c r="T36" i="1"/>
  <c r="X36" i="1"/>
  <c r="S37" i="1"/>
  <c r="T42" i="1"/>
  <c r="X42" i="1"/>
  <c r="S43" i="1"/>
  <c r="T47" i="1"/>
  <c r="X47" i="1"/>
  <c r="S48" i="1"/>
  <c r="T51" i="1"/>
  <c r="U51" i="1" s="1"/>
  <c r="S51" i="1" s="1"/>
  <c r="X51" i="1"/>
  <c r="AG55" i="1"/>
  <c r="AI56" i="1"/>
  <c r="S56" i="1"/>
  <c r="AI60" i="1"/>
  <c r="S60" i="1"/>
  <c r="W67" i="1"/>
  <c r="AI68" i="1"/>
  <c r="S68" i="1"/>
  <c r="W71" i="1"/>
  <c r="U89" i="1"/>
  <c r="AI89" i="1"/>
  <c r="S89" i="1"/>
  <c r="AG14" i="1"/>
  <c r="W14" i="1" s="1"/>
  <c r="AG18" i="1"/>
  <c r="AG22" i="1"/>
  <c r="AG27" i="1"/>
  <c r="AG32" i="1"/>
  <c r="W32" i="1" s="1"/>
  <c r="AG36" i="1"/>
  <c r="AG42" i="1"/>
  <c r="AG47" i="1"/>
  <c r="T52" i="1"/>
  <c r="X52" i="1"/>
  <c r="X55" i="1"/>
  <c r="T55" i="1"/>
  <c r="X58" i="1"/>
  <c r="T58" i="1"/>
  <c r="AG58" i="1"/>
  <c r="AA64" i="1"/>
  <c r="W64" i="1" s="1"/>
  <c r="U65" i="1"/>
  <c r="AI65" i="1"/>
  <c r="W65" i="1"/>
  <c r="S65" i="1"/>
  <c r="W68" i="1"/>
  <c r="W81" i="1"/>
  <c r="AI87" i="1"/>
  <c r="AG62" i="1"/>
  <c r="AG66" i="1"/>
  <c r="AG70" i="1"/>
  <c r="T71" i="1"/>
  <c r="X71" i="1"/>
  <c r="S72" i="1"/>
  <c r="AI73" i="1"/>
  <c r="AI74" i="1"/>
  <c r="AG76" i="1"/>
  <c r="T77" i="1"/>
  <c r="X77" i="1"/>
  <c r="S78" i="1"/>
  <c r="AG80" i="1"/>
  <c r="T81" i="1"/>
  <c r="X81" i="1"/>
  <c r="S82" i="1"/>
  <c r="AG84" i="1"/>
  <c r="T85" i="1"/>
  <c r="X85" i="1"/>
  <c r="T87" i="1"/>
  <c r="U87" i="1" s="1"/>
  <c r="S87" i="1" s="1"/>
  <c r="X87" i="1"/>
  <c r="X90" i="1"/>
  <c r="X91" i="1"/>
  <c r="T91" i="1"/>
  <c r="U98" i="1"/>
  <c r="S98" i="1" s="1"/>
  <c r="AI98" i="1"/>
  <c r="U102" i="1"/>
  <c r="AI102" i="1"/>
  <c r="S102" i="1"/>
  <c r="W106" i="1"/>
  <c r="AG71" i="1"/>
  <c r="S73" i="1"/>
  <c r="S74" i="1"/>
  <c r="AG77" i="1"/>
  <c r="AG81" i="1"/>
  <c r="AG85" i="1"/>
  <c r="T88" i="1"/>
  <c r="U88" i="1" s="1"/>
  <c r="S88" i="1" s="1"/>
  <c r="T90" i="1"/>
  <c r="U90" i="1" s="1"/>
  <c r="X92" i="1"/>
  <c r="AG92" i="1"/>
  <c r="U94" i="1"/>
  <c r="S94" i="1" s="1"/>
  <c r="AI94" i="1"/>
  <c r="W98" i="1"/>
  <c r="W102" i="1"/>
  <c r="U114" i="1"/>
  <c r="S114" i="1" s="1"/>
  <c r="AI114" i="1"/>
  <c r="U127" i="1"/>
  <c r="S127" i="1" s="1"/>
  <c r="AI131" i="1"/>
  <c r="W138" i="1"/>
  <c r="AI90" i="1"/>
  <c r="X101" i="1"/>
  <c r="AG100" i="1"/>
  <c r="X100" i="1"/>
  <c r="T100" i="1"/>
  <c r="U110" i="1"/>
  <c r="S110" i="1" s="1"/>
  <c r="AI110" i="1"/>
  <c r="AI132" i="1"/>
  <c r="U132" i="1"/>
  <c r="S132" i="1" s="1"/>
  <c r="U163" i="1"/>
  <c r="S163" i="1" s="1"/>
  <c r="T62" i="1"/>
  <c r="T66" i="1"/>
  <c r="T70" i="1"/>
  <c r="T76" i="1"/>
  <c r="T80" i="1"/>
  <c r="T84" i="1"/>
  <c r="AG91" i="1"/>
  <c r="AA92" i="1"/>
  <c r="W92" i="1" s="1"/>
  <c r="X97" i="1"/>
  <c r="AG96" i="1"/>
  <c r="U106" i="1"/>
  <c r="S106" i="1" s="1"/>
  <c r="AI106" i="1"/>
  <c r="W123" i="1"/>
  <c r="S101" i="1"/>
  <c r="T104" i="1"/>
  <c r="X104" i="1"/>
  <c r="S105" i="1"/>
  <c r="T108" i="1"/>
  <c r="X108" i="1"/>
  <c r="S109" i="1"/>
  <c r="T112" i="1"/>
  <c r="X112" i="1"/>
  <c r="S113" i="1"/>
  <c r="T116" i="1"/>
  <c r="X116" i="1"/>
  <c r="S117" i="1"/>
  <c r="W120" i="1"/>
  <c r="X122" i="1"/>
  <c r="X123" i="1"/>
  <c r="T123" i="1"/>
  <c r="AI127" i="1"/>
  <c r="AI128" i="1"/>
  <c r="S128" i="1"/>
  <c r="AI130" i="1"/>
  <c r="S133" i="1"/>
  <c r="AI136" i="1"/>
  <c r="S136" i="1"/>
  <c r="X139" i="1"/>
  <c r="T139" i="1"/>
  <c r="AG142" i="1"/>
  <c r="X142" i="1"/>
  <c r="T142" i="1"/>
  <c r="W143" i="1"/>
  <c r="W144" i="1"/>
  <c r="AI151" i="1"/>
  <c r="AI152" i="1"/>
  <c r="S152" i="1"/>
  <c r="X155" i="1"/>
  <c r="T155" i="1"/>
  <c r="AG158" i="1"/>
  <c r="X158" i="1"/>
  <c r="T158" i="1"/>
  <c r="AI159" i="1"/>
  <c r="AI188" i="1"/>
  <c r="W193" i="1"/>
  <c r="AG104" i="1"/>
  <c r="W104" i="1" s="1"/>
  <c r="AG108" i="1"/>
  <c r="W108" i="1" s="1"/>
  <c r="AG112" i="1"/>
  <c r="AG116" i="1"/>
  <c r="W116" i="1" s="1"/>
  <c r="X119" i="1"/>
  <c r="T119" i="1"/>
  <c r="U119" i="1" s="1"/>
  <c r="S119" i="1" s="1"/>
  <c r="T122" i="1"/>
  <c r="X124" i="1"/>
  <c r="AG124" i="1"/>
  <c r="U126" i="1"/>
  <c r="AI126" i="1"/>
  <c r="AA132" i="1"/>
  <c r="W132" i="1" s="1"/>
  <c r="X133" i="1"/>
  <c r="X135" i="1"/>
  <c r="T135" i="1"/>
  <c r="U135" i="1" s="1"/>
  <c r="S135" i="1" s="1"/>
  <c r="AG138" i="1"/>
  <c r="X138" i="1"/>
  <c r="T138" i="1"/>
  <c r="W139" i="1"/>
  <c r="AG147" i="1"/>
  <c r="AI148" i="1"/>
  <c r="X151" i="1"/>
  <c r="T151" i="1"/>
  <c r="AG154" i="1"/>
  <c r="W154" i="1" s="1"/>
  <c r="X154" i="1"/>
  <c r="T154" i="1"/>
  <c r="W158" i="1"/>
  <c r="AG162" i="1"/>
  <c r="X162" i="1"/>
  <c r="T162" i="1"/>
  <c r="AI163" i="1"/>
  <c r="AG187" i="1"/>
  <c r="X187" i="1"/>
  <c r="T187" i="1"/>
  <c r="AI120" i="1"/>
  <c r="S120" i="1"/>
  <c r="U122" i="1"/>
  <c r="S122" i="1" s="1"/>
  <c r="AI122" i="1"/>
  <c r="X131" i="1"/>
  <c r="T131" i="1"/>
  <c r="U131" i="1" s="1"/>
  <c r="S131" i="1" s="1"/>
  <c r="AI143" i="1"/>
  <c r="AI144" i="1"/>
  <c r="S144" i="1"/>
  <c r="X147" i="1"/>
  <c r="T147" i="1"/>
  <c r="AG150" i="1"/>
  <c r="X150" i="1"/>
  <c r="T150" i="1"/>
  <c r="AA159" i="1"/>
  <c r="W159" i="1" s="1"/>
  <c r="W162" i="1"/>
  <c r="X163" i="1"/>
  <c r="AG166" i="1"/>
  <c r="W166" i="1" s="1"/>
  <c r="X166" i="1"/>
  <c r="T166" i="1"/>
  <c r="AI196" i="1"/>
  <c r="S196" i="1"/>
  <c r="U196" i="1"/>
  <c r="T95" i="1"/>
  <c r="U95" i="1" s="1"/>
  <c r="S95" i="1" s="1"/>
  <c r="T99" i="1"/>
  <c r="U99" i="1" s="1"/>
  <c r="S99" i="1" s="1"/>
  <c r="T103" i="1"/>
  <c r="U103" i="1" s="1"/>
  <c r="S103" i="1" s="1"/>
  <c r="T107" i="1"/>
  <c r="U107" i="1" s="1"/>
  <c r="S107" i="1" s="1"/>
  <c r="T111" i="1"/>
  <c r="U111" i="1" s="1"/>
  <c r="S111" i="1" s="1"/>
  <c r="T115" i="1"/>
  <c r="U115" i="1" s="1"/>
  <c r="S115" i="1" s="1"/>
  <c r="U118" i="1"/>
  <c r="S118" i="1" s="1"/>
  <c r="AI118" i="1"/>
  <c r="S121" i="1"/>
  <c r="AG123" i="1"/>
  <c r="AA124" i="1"/>
  <c r="W124" i="1" s="1"/>
  <c r="S126" i="1"/>
  <c r="X126" i="1"/>
  <c r="X127" i="1"/>
  <c r="T127" i="1"/>
  <c r="T130" i="1"/>
  <c r="U130" i="1" s="1"/>
  <c r="S130" i="1" s="1"/>
  <c r="X132" i="1"/>
  <c r="U134" i="1"/>
  <c r="S134" i="1" s="1"/>
  <c r="AI134" i="1"/>
  <c r="AG139" i="1"/>
  <c r="X140" i="1"/>
  <c r="AI140" i="1"/>
  <c r="S140" i="1"/>
  <c r="X143" i="1"/>
  <c r="T143" i="1"/>
  <c r="U143" i="1" s="1"/>
  <c r="S143" i="1" s="1"/>
  <c r="AG146" i="1"/>
  <c r="X146" i="1"/>
  <c r="T146" i="1"/>
  <c r="AA147" i="1"/>
  <c r="W147" i="1" s="1"/>
  <c r="U148" i="1"/>
  <c r="S148" i="1" s="1"/>
  <c r="AA148" i="1"/>
  <c r="W148" i="1" s="1"/>
  <c r="U151" i="1"/>
  <c r="S151" i="1" s="1"/>
  <c r="AG155" i="1"/>
  <c r="AA163" i="1"/>
  <c r="W163" i="1" s="1"/>
  <c r="S167" i="1"/>
  <c r="X170" i="1"/>
  <c r="AG169" i="1"/>
  <c r="X169" i="1"/>
  <c r="T169" i="1"/>
  <c r="AI170" i="1"/>
  <c r="U170" i="1"/>
  <c r="S170" i="1" s="1"/>
  <c r="AI176" i="1"/>
  <c r="AI205" i="1"/>
  <c r="S205" i="1"/>
  <c r="U205" i="1"/>
  <c r="AI167" i="1"/>
  <c r="W169" i="1"/>
  <c r="AI175" i="1"/>
  <c r="X176" i="1"/>
  <c r="W187" i="1"/>
  <c r="W188" i="1"/>
  <c r="X188" i="1"/>
  <c r="X192" i="1"/>
  <c r="AG191" i="1"/>
  <c r="X191" i="1"/>
  <c r="T191" i="1"/>
  <c r="W196" i="1"/>
  <c r="AG199" i="1"/>
  <c r="X199" i="1"/>
  <c r="T199" i="1"/>
  <c r="AI200" i="1"/>
  <c r="W205" i="1"/>
  <c r="AI171" i="1"/>
  <c r="U172" i="1"/>
  <c r="S172" i="1" s="1"/>
  <c r="X172" i="1"/>
  <c r="T175" i="1"/>
  <c r="U175" i="1" s="1"/>
  <c r="S175" i="1" s="1"/>
  <c r="W175" i="1"/>
  <c r="AG179" i="1"/>
  <c r="X179" i="1"/>
  <c r="T179" i="1"/>
  <c r="AI180" i="1"/>
  <c r="W191" i="1"/>
  <c r="AI192" i="1"/>
  <c r="S192" i="1"/>
  <c r="W199" i="1"/>
  <c r="X204" i="1"/>
  <c r="AG203" i="1"/>
  <c r="X203" i="1"/>
  <c r="T203" i="1"/>
  <c r="U204" i="1"/>
  <c r="S156" i="1"/>
  <c r="T159" i="1"/>
  <c r="U159" i="1" s="1"/>
  <c r="S159" i="1" s="1"/>
  <c r="S160" i="1"/>
  <c r="T163" i="1"/>
  <c r="S164" i="1"/>
  <c r="T167" i="1"/>
  <c r="U167" i="1" s="1"/>
  <c r="X167" i="1"/>
  <c r="X168" i="1"/>
  <c r="T168" i="1"/>
  <c r="U168" i="1" s="1"/>
  <c r="S168" i="1" s="1"/>
  <c r="T171" i="1"/>
  <c r="U171" i="1" s="1"/>
  <c r="S171" i="1" s="1"/>
  <c r="W171" i="1"/>
  <c r="X174" i="1"/>
  <c r="AG173" i="1"/>
  <c r="W180" i="1"/>
  <c r="X180" i="1"/>
  <c r="AG183" i="1"/>
  <c r="W183" i="1" s="1"/>
  <c r="X183" i="1"/>
  <c r="T183" i="1"/>
  <c r="AI184" i="1"/>
  <c r="W192" i="1"/>
  <c r="X196" i="1"/>
  <c r="AG195" i="1"/>
  <c r="X195" i="1"/>
  <c r="T195" i="1"/>
  <c r="W201" i="1"/>
  <c r="W203" i="1"/>
  <c r="AI204" i="1"/>
  <c r="S204" i="1"/>
  <c r="AG177" i="1"/>
  <c r="AG181" i="1"/>
  <c r="AG185" i="1"/>
  <c r="W185" i="1" s="1"/>
  <c r="AG189" i="1"/>
  <c r="AG193" i="1"/>
  <c r="AG197" i="1"/>
  <c r="AG201" i="1"/>
  <c r="T172" i="1"/>
  <c r="T176" i="1"/>
  <c r="U176" i="1" s="1"/>
  <c r="S176" i="1" s="1"/>
  <c r="T180" i="1"/>
  <c r="U180" i="1" s="1"/>
  <c r="S180" i="1" s="1"/>
  <c r="T184" i="1"/>
  <c r="U184" i="1" s="1"/>
  <c r="S184" i="1" s="1"/>
  <c r="T188" i="1"/>
  <c r="U188" i="1" s="1"/>
  <c r="S188" i="1" s="1"/>
  <c r="T200" i="1"/>
  <c r="U200" i="1" s="1"/>
  <c r="S200" i="1" s="1"/>
  <c r="AI155" i="1" l="1"/>
  <c r="S155" i="1"/>
  <c r="U155" i="1"/>
  <c r="U150" i="1"/>
  <c r="AI150" i="1"/>
  <c r="S150" i="1"/>
  <c r="U142" i="1"/>
  <c r="W142" i="1"/>
  <c r="AI142" i="1"/>
  <c r="S142" i="1"/>
  <c r="AI100" i="1"/>
  <c r="U100" i="1"/>
  <c r="S100" i="1" s="1"/>
  <c r="AI59" i="1"/>
  <c r="S59" i="1"/>
  <c r="U59" i="1"/>
  <c r="AI63" i="1"/>
  <c r="S63" i="1"/>
  <c r="U63" i="1"/>
  <c r="U203" i="1"/>
  <c r="AI203" i="1"/>
  <c r="S203" i="1"/>
  <c r="AI77" i="1"/>
  <c r="U77" i="1"/>
  <c r="S77" i="1" s="1"/>
  <c r="W150" i="1"/>
  <c r="AI70" i="1"/>
  <c r="U70" i="1"/>
  <c r="S70" i="1"/>
  <c r="AI193" i="1"/>
  <c r="S193" i="1"/>
  <c r="U193" i="1"/>
  <c r="AI177" i="1"/>
  <c r="U177" i="1"/>
  <c r="S177" i="1" s="1"/>
  <c r="U199" i="1"/>
  <c r="AI199" i="1"/>
  <c r="S199" i="1"/>
  <c r="U191" i="1"/>
  <c r="AI191" i="1"/>
  <c r="S191" i="1"/>
  <c r="AI169" i="1"/>
  <c r="S169" i="1"/>
  <c r="U169" i="1"/>
  <c r="AI139" i="1"/>
  <c r="U139" i="1"/>
  <c r="S139" i="1" s="1"/>
  <c r="U162" i="1"/>
  <c r="AI162" i="1"/>
  <c r="S162" i="1"/>
  <c r="AI112" i="1"/>
  <c r="U112" i="1"/>
  <c r="S112" i="1" s="1"/>
  <c r="U158" i="1"/>
  <c r="S158" i="1" s="1"/>
  <c r="AI158" i="1"/>
  <c r="W100" i="1"/>
  <c r="S91" i="1"/>
  <c r="AI91" i="1"/>
  <c r="U91" i="1"/>
  <c r="U66" i="1"/>
  <c r="S66" i="1" s="1"/>
  <c r="AI66" i="1"/>
  <c r="U58" i="1"/>
  <c r="AI58" i="1"/>
  <c r="S58" i="1"/>
  <c r="U42" i="1"/>
  <c r="AI42" i="1"/>
  <c r="S42" i="1"/>
  <c r="U22" i="1"/>
  <c r="S22" i="1" s="1"/>
  <c r="AI22" i="1"/>
  <c r="AI55" i="1"/>
  <c r="U55" i="1"/>
  <c r="S55" i="1" s="1"/>
  <c r="AI67" i="1"/>
  <c r="S67" i="1"/>
  <c r="U67" i="1"/>
  <c r="W63" i="1"/>
  <c r="W91" i="1"/>
  <c r="AI181" i="1"/>
  <c r="U181" i="1"/>
  <c r="S181" i="1" s="1"/>
  <c r="AI173" i="1"/>
  <c r="S173" i="1"/>
  <c r="U173" i="1"/>
  <c r="U179" i="1"/>
  <c r="AI179" i="1"/>
  <c r="S179" i="1"/>
  <c r="W173" i="1"/>
  <c r="AI116" i="1"/>
  <c r="U116" i="1"/>
  <c r="S116" i="1" s="1"/>
  <c r="W181" i="1"/>
  <c r="U47" i="1"/>
  <c r="AI47" i="1"/>
  <c r="S47" i="1"/>
  <c r="U166" i="1"/>
  <c r="AI166" i="1"/>
  <c r="S166" i="1"/>
  <c r="U154" i="1"/>
  <c r="S154" i="1" s="1"/>
  <c r="AI154" i="1"/>
  <c r="AI108" i="1"/>
  <c r="S108" i="1"/>
  <c r="U108" i="1"/>
  <c r="AI96" i="1"/>
  <c r="U96" i="1"/>
  <c r="S96" i="1" s="1"/>
  <c r="AI92" i="1"/>
  <c r="S92" i="1"/>
  <c r="U92" i="1"/>
  <c r="AI85" i="1"/>
  <c r="U85" i="1"/>
  <c r="S85" i="1" s="1"/>
  <c r="W112" i="1"/>
  <c r="W96" i="1"/>
  <c r="AI84" i="1"/>
  <c r="W84" i="1"/>
  <c r="U84" i="1"/>
  <c r="S84" i="1" s="1"/>
  <c r="AI80" i="1"/>
  <c r="W80" i="1"/>
  <c r="U80" i="1"/>
  <c r="S80" i="1" s="1"/>
  <c r="AI76" i="1"/>
  <c r="W76" i="1"/>
  <c r="U76" i="1"/>
  <c r="S76" i="1" s="1"/>
  <c r="U62" i="1"/>
  <c r="S62" i="1" s="1"/>
  <c r="AI62" i="1"/>
  <c r="W62" i="1"/>
  <c r="U36" i="1"/>
  <c r="S36" i="1" s="1"/>
  <c r="AI36" i="1"/>
  <c r="U18" i="1"/>
  <c r="S18" i="1" s="1"/>
  <c r="AI18" i="1"/>
  <c r="W59" i="1"/>
  <c r="W85" i="1"/>
  <c r="W66" i="1"/>
  <c r="W47" i="1"/>
  <c r="W18" i="1"/>
  <c r="AI197" i="1"/>
  <c r="U197" i="1"/>
  <c r="S197" i="1" s="1"/>
  <c r="U195" i="1"/>
  <c r="AI195" i="1"/>
  <c r="S195" i="1"/>
  <c r="W195" i="1"/>
  <c r="U27" i="1"/>
  <c r="AI27" i="1"/>
  <c r="S27" i="1"/>
  <c r="AI189" i="1"/>
  <c r="U189" i="1"/>
  <c r="S189" i="1" s="1"/>
  <c r="W179" i="1"/>
  <c r="AI201" i="1"/>
  <c r="U201" i="1"/>
  <c r="S201" i="1" s="1"/>
  <c r="AI185" i="1"/>
  <c r="S185" i="1"/>
  <c r="U185" i="1"/>
  <c r="U183" i="1"/>
  <c r="S183" i="1" s="1"/>
  <c r="AI183" i="1"/>
  <c r="W177" i="1"/>
  <c r="W197" i="1"/>
  <c r="W189" i="1"/>
  <c r="U146" i="1"/>
  <c r="AI146" i="1"/>
  <c r="S146" i="1"/>
  <c r="W146" i="1"/>
  <c r="AI123" i="1"/>
  <c r="U123" i="1"/>
  <c r="S123" i="1" s="1"/>
  <c r="U187" i="1"/>
  <c r="S187" i="1" s="1"/>
  <c r="AI187" i="1"/>
  <c r="W155" i="1"/>
  <c r="AI147" i="1"/>
  <c r="S147" i="1"/>
  <c r="U147" i="1"/>
  <c r="U138" i="1"/>
  <c r="S138" i="1" s="1"/>
  <c r="AI138" i="1"/>
  <c r="AI124" i="1"/>
  <c r="S124" i="1"/>
  <c r="U124" i="1"/>
  <c r="AI104" i="1"/>
  <c r="U104" i="1"/>
  <c r="S104" i="1" s="1"/>
  <c r="AI81" i="1"/>
  <c r="S81" i="1"/>
  <c r="U81" i="1"/>
  <c r="AI71" i="1"/>
  <c r="U71" i="1"/>
  <c r="S71" i="1" s="1"/>
  <c r="U32" i="1"/>
  <c r="AI32" i="1"/>
  <c r="S32" i="1"/>
  <c r="U14" i="1"/>
  <c r="S14" i="1" s="1"/>
  <c r="AI14" i="1"/>
  <c r="W77" i="1"/>
  <c r="U54" i="1"/>
  <c r="S54" i="1" s="1"/>
  <c r="AI54" i="1"/>
  <c r="W42" i="1"/>
  <c r="W70" i="1"/>
  <c r="W27" i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J7" i="1" l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<sst xmlns="http://schemas.openxmlformats.org/spreadsheetml/2006/main" count="1881" uniqueCount="770">
  <si>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</si>
  <si>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</si>
  <si>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</si>
  <si>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</si>
  <si>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</si>
  <si>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</si>
  <si>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</si>
  <si>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</si>
  <si>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</si>
  <si>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</si>
  <si>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</si>
  <si>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</si>
  <si>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</si>
  <si>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</si>
  <si>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</si>
  <si>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</si>
  <si>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</si>
  <si>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</si>
  <si>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</si>
  <si>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</si>
  <si>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</si>
  <si>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</si>
  <si>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</si>
  <si>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</si>
  <si>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</si>
  <si>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</si>
  <si>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</si>
  <si>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</si>
  <si>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</si>
  <si>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</si>
  <si>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</si>
  <si>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</si>
  <si>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</si>
  <si>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</si>
  <si>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</si>
  <si>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</si>
  <si>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</si>
  <si>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</si>
  <si>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</si>
  <si>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</si>
  <si>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</si>
  <si>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</si>
  <si>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</si>
  <si>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</si>
  <si>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</si>
  <si>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</si>
  <si>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</si>
  <si>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</si>
  <si>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</si>
  <si>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</si>
  <si>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</si>
  <si>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</si>
  <si>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</si>
  <si>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</si>
  <si>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</si>
  <si>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</si>
  <si>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</si>
  <si>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</si>
  <si>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</si>
  <si>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</si>
  <si>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</si>
  <si>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</si>
  <si>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</si>
  <si>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</si>
  <si>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</si>
  <si>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</si>
  <si>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</si>
  <si>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</si>
  <si>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</si>
  <si>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</si>
  <si>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</si>
  <si>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</si>
  <si>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</si>
  <si>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</si>
  <si>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</si>
  <si>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</si>
  <si>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</si>
  <si>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</si>
  <si>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</si>
  <si>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</si>
  <si>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</si>
  <si>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</si>
  <si>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</si>
  <si>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</si>
  <si>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</si>
  <si>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</si>
  <si>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</si>
  <si>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</si>
  <si>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</si>
  <si>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</si>
  <si>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</si>
  <si>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</si>
  <si>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</si>
  <si>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</si>
  <si>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</si>
  <si>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</si>
  <si>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</si>
  <si>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</si>
  <si>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</si>
  <si>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</si>
  <si>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</si>
  <si>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</si>
  <si>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</si>
  <si>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</si>
  <si>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</si>
  <si>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</si>
  <si>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</si>
  <si>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</si>
  <si>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</si>
  <si>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</si>
  <si>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</si>
  <si>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</si>
  <si>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</si>
  <si>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</si>
  <si>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</si>
  <si>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</si>
  <si>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</si>
  <si>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</si>
  <si>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</si>
  <si>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</si>
  <si>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</si>
  <si>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</si>
  <si>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</si>
  <si>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</si>
  <si>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</si>
  <si>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</si>
  <si>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</si>
  <si>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</si>
  <si>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</si>
  <si>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</si>
  <si>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</si>
  <si>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</si>
  <si>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</si>
  <si>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</si>
  <si>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</si>
  <si>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</si>
  <si>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</si>
  <si>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</si>
  <si>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</si>
  <si>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</si>
  <si>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</si>
  <si>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</si>
  <si>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</si>
  <si>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</si>
  <si>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</si>
  <si>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</si>
  <si>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</si>
  <si>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</si>
  <si>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</si>
  <si>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</si>
  <si>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</si>
  <si>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</si>
  <si>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</si>
  <si>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</si>
  <si>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</si>
  <si>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</si>
  <si>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</si>
  <si>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</si>
  <si>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</si>
  <si>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</si>
  <si>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</si>
  <si>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</si>
  <si>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</si>
  <si>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</si>
  <si>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</si>
  <si>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</si>
  <si>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</si>
  <si>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</si>
  <si>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</si>
  <si>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</si>
  <si>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</si>
  <si>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</si>
  <si>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</si>
  <si>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</si>
  <si>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</si>
  <si>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</si>
  <si>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</si>
  <si>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</si>
  <si>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</si>
  <si>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</si>
  <si>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</si>
  <si>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</si>
  <si>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</si>
  <si>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</si>
  <si>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</si>
  <si>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</si>
  <si>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</si>
  <si>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</si>
  <si>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</si>
  <si>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</si>
  <si>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</si>
  <si>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</si>
  <si>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</si>
  <si>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</si>
  <si>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</si>
  <si>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</si>
  <si>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rtdc.l.rtdc.4003:itc</t>
  </si>
  <si>
    <t>rtdc.l.rtdc.4004:itc</t>
  </si>
  <si>
    <t>204:233297</t>
  </si>
  <si>
    <t>rtdc.l.rtdc.4008:itc</t>
  </si>
  <si>
    <t>rtdc.l.rtdc.4044:itc</t>
  </si>
  <si>
    <t>rtdc.l.rtdc.4007:itc</t>
  </si>
  <si>
    <t>YOUNG</t>
  </si>
  <si>
    <t>rtdc.l.rtdc.4046:itc</t>
  </si>
  <si>
    <t>rtdc.l.rtdc.4045:itc</t>
  </si>
  <si>
    <t>56-06</t>
  </si>
  <si>
    <t>309-06</t>
  </si>
  <si>
    <t>244-06</t>
  </si>
  <si>
    <t>311-06</t>
  </si>
  <si>
    <t>315-06</t>
  </si>
  <si>
    <t>Y</t>
  </si>
  <si>
    <t>204:444</t>
  </si>
  <si>
    <t>246-07</t>
  </si>
  <si>
    <t>311-07</t>
  </si>
  <si>
    <t>313-07</t>
  </si>
  <si>
    <t>315-07</t>
  </si>
  <si>
    <t>56-08</t>
  </si>
  <si>
    <t>62-07</t>
  </si>
  <si>
    <t>rtdc.l.rtdc.4020:itc</t>
  </si>
  <si>
    <t>rtdc.l.rtdc.4013:itc</t>
  </si>
  <si>
    <t>rtdc.l.rtdc.4038:itc</t>
  </si>
  <si>
    <t>rtdc.l.rtdc.4014:itc</t>
  </si>
  <si>
    <t>CHANDLER</t>
  </si>
  <si>
    <t>Powered by darksky [darksky.net]</t>
  </si>
  <si>
    <t>rtdc.l.rtdc.4043:itc</t>
  </si>
  <si>
    <t>KILLION</t>
  </si>
  <si>
    <t>BARTLETT</t>
  </si>
  <si>
    <t>Partly Cloudy</t>
  </si>
  <si>
    <t>Mostly Cloudy</t>
  </si>
  <si>
    <t>partly-cloudy-night</t>
  </si>
  <si>
    <t>rtdc.l.rtdc.4039:itc</t>
  </si>
  <si>
    <t>BRUDER</t>
  </si>
  <si>
    <t>COOLAHAN</t>
  </si>
  <si>
    <t>rtdc.l.rtdc.4029:itc</t>
  </si>
  <si>
    <t>BERLING</t>
  </si>
  <si>
    <t>SPECTOR</t>
  </si>
  <si>
    <t>rtdc.l.rtdc.4037:itc</t>
  </si>
  <si>
    <t>YANAI</t>
  </si>
  <si>
    <t>precipType</t>
  </si>
  <si>
    <t>rain</t>
  </si>
  <si>
    <t>rtdc.l.rtdc.4015:itc</t>
  </si>
  <si>
    <t>rtdc.l.rtdc.4032:itc</t>
  </si>
  <si>
    <t>242-11</t>
  </si>
  <si>
    <t>HILLS</t>
  </si>
  <si>
    <t>rtdc.l.rtdc.4031:itc</t>
  </si>
  <si>
    <t>rtdc.l.rtdc.4053:itc</t>
  </si>
  <si>
    <t>DE LA ROSA</t>
  </si>
  <si>
    <t>GRASTON</t>
  </si>
  <si>
    <t>HELVIE</t>
  </si>
  <si>
    <t>BONDS</t>
  </si>
  <si>
    <t>CRAYTON</t>
  </si>
  <si>
    <t>STORY</t>
  </si>
  <si>
    <t>BRANDNER</t>
  </si>
  <si>
    <t>309-11</t>
  </si>
  <si>
    <t>311-11</t>
  </si>
  <si>
    <t>244-11</t>
  </si>
  <si>
    <t>313-11</t>
  </si>
  <si>
    <t>315-11</t>
  </si>
  <si>
    <t>204:233314</t>
  </si>
  <si>
    <t>Enforcements Text</t>
  </si>
  <si>
    <t>Runs-Refined Text</t>
  </si>
  <si>
    <t>Trips Text</t>
  </si>
  <si>
    <t>Weather Text</t>
  </si>
  <si>
    <t>308-12</t>
  </si>
  <si>
    <t>rtdc.l.rtdc.4026:itc</t>
  </si>
  <si>
    <t>106-12</t>
  </si>
  <si>
    <t>109-12</t>
  </si>
  <si>
    <t>104-12</t>
  </si>
  <si>
    <t>112-12</t>
  </si>
  <si>
    <t>804-12</t>
  </si>
  <si>
    <t>123-12</t>
  </si>
  <si>
    <t>160-12</t>
  </si>
  <si>
    <t>172-12</t>
  </si>
  <si>
    <t>186-12</t>
  </si>
  <si>
    <t>197-12</t>
  </si>
  <si>
    <t>101-12</t>
  </si>
  <si>
    <t>MAELZER</t>
  </si>
  <si>
    <t>103-12</t>
  </si>
  <si>
    <t>ACKERMAN</t>
  </si>
  <si>
    <t>105-12</t>
  </si>
  <si>
    <t>STRICKLAND</t>
  </si>
  <si>
    <t>102-12</t>
  </si>
  <si>
    <t>310-12</t>
  </si>
  <si>
    <t>107-12</t>
  </si>
  <si>
    <t>901-12</t>
  </si>
  <si>
    <t>STARKS</t>
  </si>
  <si>
    <t>800-12</t>
  </si>
  <si>
    <t>113-12</t>
  </si>
  <si>
    <t>108-12</t>
  </si>
  <si>
    <t>115-12</t>
  </si>
  <si>
    <t>801-12</t>
  </si>
  <si>
    <t>802-12</t>
  </si>
  <si>
    <t>803-12</t>
  </si>
  <si>
    <t>GEBRETEKLE</t>
  </si>
  <si>
    <t>805-12</t>
  </si>
  <si>
    <t>ROCHA</t>
  </si>
  <si>
    <t>BRANNON</t>
  </si>
  <si>
    <t>STAMBAUGH</t>
  </si>
  <si>
    <t>HAUSER</t>
  </si>
  <si>
    <t>ARVIDSON</t>
  </si>
  <si>
    <t>DELGADO</t>
  </si>
  <si>
    <t>RICHARDSON</t>
  </si>
  <si>
    <t>204:695</t>
  </si>
  <si>
    <t>204:232667</t>
  </si>
  <si>
    <t>204:664</t>
  </si>
  <si>
    <t>204:233355</t>
  </si>
  <si>
    <t>204:232712</t>
  </si>
  <si>
    <t>204:739</t>
  </si>
  <si>
    <t>204:232654</t>
  </si>
  <si>
    <t>Delayed due to XING repairs</t>
  </si>
  <si>
    <t>204:442</t>
  </si>
  <si>
    <t>204:232985</t>
  </si>
  <si>
    <t>204:232679</t>
  </si>
  <si>
    <t>204:161</t>
  </si>
  <si>
    <t>204:706</t>
  </si>
  <si>
    <t>204:233380</t>
  </si>
  <si>
    <t>120-12</t>
  </si>
  <si>
    <t>204:154</t>
  </si>
  <si>
    <t>204:757</t>
  </si>
  <si>
    <t>204:233364</t>
  </si>
  <si>
    <t>50-12</t>
  </si>
  <si>
    <t>204:232714</t>
  </si>
  <si>
    <t>204:94</t>
  </si>
  <si>
    <t>Alias for 126-12</t>
  </si>
  <si>
    <t>127-12</t>
  </si>
  <si>
    <t>204:744</t>
  </si>
  <si>
    <t>204:233317</t>
  </si>
  <si>
    <t>128-12</t>
  </si>
  <si>
    <t>204:232668</t>
  </si>
  <si>
    <t>204:145</t>
  </si>
  <si>
    <t>129-12</t>
  </si>
  <si>
    <t>204:750</t>
  </si>
  <si>
    <t>Wheel tach slip at 2016-10-12 07:44:24.000 at MP 15</t>
  </si>
  <si>
    <t>132-12</t>
  </si>
  <si>
    <t>204:232642</t>
  </si>
  <si>
    <t>135-12</t>
  </si>
  <si>
    <t>204:763</t>
  </si>
  <si>
    <t>204:233330</t>
  </si>
  <si>
    <t>136-12</t>
  </si>
  <si>
    <t>204:232698</t>
  </si>
  <si>
    <t>142-12</t>
  </si>
  <si>
    <t>Did not init</t>
  </si>
  <si>
    <t>143-12</t>
  </si>
  <si>
    <t>204:458</t>
  </si>
  <si>
    <t>204:233284</t>
  </si>
  <si>
    <t>144-12</t>
  </si>
  <si>
    <t>204:232959</t>
  </si>
  <si>
    <t>204:149</t>
  </si>
  <si>
    <t>147-12</t>
  </si>
  <si>
    <t>204:713</t>
  </si>
  <si>
    <t>204:233372</t>
  </si>
  <si>
    <t>148-12</t>
  </si>
  <si>
    <t>204:232737</t>
  </si>
  <si>
    <t>204:183</t>
  </si>
  <si>
    <t>149-12</t>
  </si>
  <si>
    <t>204:821</t>
  </si>
  <si>
    <t>Delayed by Onboard in-route failure</t>
  </si>
  <si>
    <t>2016-10-12 09:32:03 Multiple CPU Faults</t>
  </si>
  <si>
    <t>150-12</t>
  </si>
  <si>
    <t>204:232725</t>
  </si>
  <si>
    <t>204:899</t>
  </si>
  <si>
    <t>151-12</t>
  </si>
  <si>
    <t>204:19134</t>
  </si>
  <si>
    <t>204:233293</t>
  </si>
  <si>
    <t>DUS 2N was STOP because 20N was STOP</t>
  </si>
  <si>
    <t>Title says it all</t>
  </si>
  <si>
    <t>204:743</t>
  </si>
  <si>
    <t>204:1453</t>
  </si>
  <si>
    <t>152-12</t>
  </si>
  <si>
    <t>204:232965</t>
  </si>
  <si>
    <t>204:143</t>
  </si>
  <si>
    <t>153-12</t>
  </si>
  <si>
    <t>204:422</t>
  </si>
  <si>
    <t>204:233286</t>
  </si>
  <si>
    <t>154-12</t>
  </si>
  <si>
    <t>204:232990</t>
  </si>
  <si>
    <t>204:150</t>
  </si>
  <si>
    <t>53-12</t>
  </si>
  <si>
    <t>204:726</t>
  </si>
  <si>
    <t>204:233178</t>
  </si>
  <si>
    <t>Alias for 155-12</t>
  </si>
  <si>
    <t>156-12</t>
  </si>
  <si>
    <t>204:232850</t>
  </si>
  <si>
    <t>157-12</t>
  </si>
  <si>
    <t>204:431</t>
  </si>
  <si>
    <t>204:233276</t>
  </si>
  <si>
    <t>158-12</t>
  </si>
  <si>
    <t>204:232969</t>
  </si>
  <si>
    <t>159-12</t>
  </si>
  <si>
    <t>204:447</t>
  </si>
  <si>
    <t>204:232993</t>
  </si>
  <si>
    <t>204:132</t>
  </si>
  <si>
    <t>161-12</t>
  </si>
  <si>
    <t>204:801</t>
  </si>
  <si>
    <t>204:233397</t>
  </si>
  <si>
    <t>162-12</t>
  </si>
  <si>
    <t>204:233067</t>
  </si>
  <si>
    <t>163-12</t>
  </si>
  <si>
    <t>204:519</t>
  </si>
  <si>
    <t>164-12</t>
  </si>
  <si>
    <t>204:154009</t>
  </si>
  <si>
    <t>204:174</t>
  </si>
  <si>
    <t>Onboard in-route failure</t>
  </si>
  <si>
    <t>2016-10-12 12:24:25 multiple cpu faults</t>
  </si>
  <si>
    <t>165-12</t>
  </si>
  <si>
    <t>204:453</t>
  </si>
  <si>
    <t>204:233300</t>
  </si>
  <si>
    <t>166-12</t>
  </si>
  <si>
    <t>204:232983</t>
  </si>
  <si>
    <t>204:163</t>
  </si>
  <si>
    <t>167-12</t>
  </si>
  <si>
    <t>204:464</t>
  </si>
  <si>
    <t>204:233320</t>
  </si>
  <si>
    <t>168-12</t>
  </si>
  <si>
    <t>204:232992</t>
  </si>
  <si>
    <t>204:138</t>
  </si>
  <si>
    <t>169-12</t>
  </si>
  <si>
    <t>170-12</t>
  </si>
  <si>
    <t>204:232973</t>
  </si>
  <si>
    <t>204:1252</t>
  </si>
  <si>
    <t>171-12</t>
  </si>
  <si>
    <t>204:455</t>
  </si>
  <si>
    <t>204:233287</t>
  </si>
  <si>
    <t>204:232974</t>
  </si>
  <si>
    <t>173-12</t>
  </si>
  <si>
    <t>174-12</t>
  </si>
  <si>
    <t>204:232982</t>
  </si>
  <si>
    <t>204:136</t>
  </si>
  <si>
    <t>175-12</t>
  </si>
  <si>
    <t>204:467</t>
  </si>
  <si>
    <t>204:233349</t>
  </si>
  <si>
    <t>176-12</t>
  </si>
  <si>
    <t>204:233028</t>
  </si>
  <si>
    <t>177-12</t>
  </si>
  <si>
    <t>204:449</t>
  </si>
  <si>
    <t>204:233305</t>
  </si>
  <si>
    <t>178-12</t>
  </si>
  <si>
    <t>179-12</t>
  </si>
  <si>
    <t>204:486</t>
  </si>
  <si>
    <t>204:233298</t>
  </si>
  <si>
    <t>180-12</t>
  </si>
  <si>
    <t>204:232976</t>
  </si>
  <si>
    <t>181-12</t>
  </si>
  <si>
    <t>204:233353</t>
  </si>
  <si>
    <t>182-12</t>
  </si>
  <si>
    <t>204:232975</t>
  </si>
  <si>
    <t>204:134</t>
  </si>
  <si>
    <t>183-12</t>
  </si>
  <si>
    <t>204:457</t>
  </si>
  <si>
    <t>204:233329</t>
  </si>
  <si>
    <t>184-12</t>
  </si>
  <si>
    <t>204:233006</t>
  </si>
  <si>
    <t>204:232418</t>
  </si>
  <si>
    <t>185-12</t>
  </si>
  <si>
    <t>204:462</t>
  </si>
  <si>
    <t>204:2939</t>
  </si>
  <si>
    <t>204:232978</t>
  </si>
  <si>
    <t>187-12</t>
  </si>
  <si>
    <t>204:438</t>
  </si>
  <si>
    <t>188-12</t>
  </si>
  <si>
    <t>204:158</t>
  </si>
  <si>
    <t>189-12</t>
  </si>
  <si>
    <t>204:233337</t>
  </si>
  <si>
    <t>190-12</t>
  </si>
  <si>
    <t>204:233013</t>
  </si>
  <si>
    <t>191-12</t>
  </si>
  <si>
    <t>192-12</t>
  </si>
  <si>
    <t>193-12</t>
  </si>
  <si>
    <t>204:466</t>
  </si>
  <si>
    <t>204:233268</t>
  </si>
  <si>
    <t>194-12</t>
  </si>
  <si>
    <t>195-12</t>
  </si>
  <si>
    <t>204:478</t>
  </si>
  <si>
    <t>204:233295</t>
  </si>
  <si>
    <t>196-12</t>
  </si>
  <si>
    <t>204:127861</t>
  </si>
  <si>
    <t>204:1243</t>
  </si>
  <si>
    <t>Premature downgrade at EC1752RH 175-1T 1S</t>
  </si>
  <si>
    <t>2016/10/12 16:37:19 175-1T 1S dropped from 270 to STOP &amp; PROCEED. Was anything strange happening at the time?</t>
  </si>
  <si>
    <t>204:173048</t>
  </si>
  <si>
    <t>204:435</t>
  </si>
  <si>
    <t>204:233343</t>
  </si>
  <si>
    <t>198-12</t>
  </si>
  <si>
    <t>204:233015</t>
  </si>
  <si>
    <t>204:129</t>
  </si>
  <si>
    <t>199-12</t>
  </si>
  <si>
    <t>204:19114</t>
  </si>
  <si>
    <t>204:233344</t>
  </si>
  <si>
    <t>Wi-MAX outage</t>
  </si>
  <si>
    <t>204:446</t>
  </si>
  <si>
    <t>200-12</t>
  </si>
  <si>
    <t>204:233025</t>
  </si>
  <si>
    <t>201-12</t>
  </si>
  <si>
    <t>204:128280</t>
  </si>
  <si>
    <t>16:37:13 - 16:40:23 CP 61st was offline - ELXS reset?</t>
  </si>
  <si>
    <t>See title, was there an ELXS reset or a network outage?</t>
  </si>
  <si>
    <t>202-12</t>
  </si>
  <si>
    <t>203-12</t>
  </si>
  <si>
    <t>204-12</t>
  </si>
  <si>
    <t>204:233004</t>
  </si>
  <si>
    <t>204:201</t>
  </si>
  <si>
    <t>205-12</t>
  </si>
  <si>
    <t>206-12</t>
  </si>
  <si>
    <t>204:232996</t>
  </si>
  <si>
    <t>207-12</t>
  </si>
  <si>
    <t>204:233234</t>
  </si>
  <si>
    <t>208-12</t>
  </si>
  <si>
    <t>204:232911</t>
  </si>
  <si>
    <t>209-12</t>
  </si>
  <si>
    <t>204:1562</t>
  </si>
  <si>
    <t>204:233299</t>
  </si>
  <si>
    <t>210-12</t>
  </si>
  <si>
    <t>204:232957</t>
  </si>
  <si>
    <t>211-12</t>
  </si>
  <si>
    <t>212-12</t>
  </si>
  <si>
    <t>204:233045</t>
  </si>
  <si>
    <t>204:873</t>
  </si>
  <si>
    <t>213-12</t>
  </si>
  <si>
    <t>204:480</t>
  </si>
  <si>
    <t>204:233359</t>
  </si>
  <si>
    <t>214-12</t>
  </si>
  <si>
    <t>204:233000</t>
  </si>
  <si>
    <t>215-12</t>
  </si>
  <si>
    <t>204:233280</t>
  </si>
  <si>
    <t>216-12</t>
  </si>
  <si>
    <t>204:167</t>
  </si>
  <si>
    <t>217-12</t>
  </si>
  <si>
    <t>204:504</t>
  </si>
  <si>
    <t>218-12</t>
  </si>
  <si>
    <t>204:232967</t>
  </si>
  <si>
    <t>204:165</t>
  </si>
  <si>
    <t>219-12</t>
  </si>
  <si>
    <t>220-12</t>
  </si>
  <si>
    <t>204:232989</t>
  </si>
  <si>
    <t>204:160</t>
  </si>
  <si>
    <t>221-12</t>
  </si>
  <si>
    <t>222-12</t>
  </si>
  <si>
    <t>204:232981</t>
  </si>
  <si>
    <t>223-12</t>
  </si>
  <si>
    <t>224-12</t>
  </si>
  <si>
    <t>204:232979</t>
  </si>
  <si>
    <t>225-12</t>
  </si>
  <si>
    <t>226-12</t>
  </si>
  <si>
    <t>227-12</t>
  </si>
  <si>
    <t>228-12</t>
  </si>
  <si>
    <t>229-12</t>
  </si>
  <si>
    <t>204:460</t>
  </si>
  <si>
    <t>204:233306</t>
  </si>
  <si>
    <t>230-12</t>
  </si>
  <si>
    <t>204:139</t>
  </si>
  <si>
    <t>231-12</t>
  </si>
  <si>
    <t>232-12</t>
  </si>
  <si>
    <t>233-12</t>
  </si>
  <si>
    <t>234-12</t>
  </si>
  <si>
    <t>235-12</t>
  </si>
  <si>
    <t>204:233304</t>
  </si>
  <si>
    <t>237-12</t>
  </si>
  <si>
    <t>204:233289</t>
  </si>
  <si>
    <t>238-12</t>
  </si>
  <si>
    <t>204:232986</t>
  </si>
  <si>
    <t>239-12</t>
  </si>
  <si>
    <t>204:233291</t>
  </si>
  <si>
    <t>240-12</t>
  </si>
  <si>
    <t>204:169</t>
  </si>
  <si>
    <t>241-12</t>
  </si>
  <si>
    <t>204:469</t>
  </si>
  <si>
    <t>242-12</t>
  </si>
  <si>
    <t>243-12</t>
  </si>
  <si>
    <t>204:1205</t>
  </si>
  <si>
    <t>204:232900</t>
  </si>
  <si>
    <t>244-12</t>
  </si>
  <si>
    <t>300:58611</t>
  </si>
  <si>
    <t>204:1028</t>
  </si>
  <si>
    <t>300:58924</t>
  </si>
  <si>
    <t>300:58613</t>
  </si>
  <si>
    <t>204:717</t>
  </si>
  <si>
    <t>204:965</t>
  </si>
  <si>
    <t>300:59014</t>
  </si>
  <si>
    <t>300:58696</t>
  </si>
  <si>
    <t>204:689</t>
  </si>
  <si>
    <t>204:1000</t>
  </si>
  <si>
    <t>300:58937</t>
  </si>
  <si>
    <t>806-12</t>
  </si>
  <si>
    <t>300:58621</t>
  </si>
  <si>
    <t>204:719</t>
  </si>
  <si>
    <t>807-12</t>
  </si>
  <si>
    <t>204:999</t>
  </si>
  <si>
    <t>300:58999</t>
  </si>
  <si>
    <t>808-12</t>
  </si>
  <si>
    <t>300:58683</t>
  </si>
  <si>
    <t>204:712</t>
  </si>
  <si>
    <t>809-12</t>
  </si>
  <si>
    <t>204:1014</t>
  </si>
  <si>
    <t>300:58939</t>
  </si>
  <si>
    <t>810-12</t>
  </si>
  <si>
    <t>300:58619</t>
  </si>
  <si>
    <t>204:684</t>
  </si>
  <si>
    <t>811-12</t>
  </si>
  <si>
    <t>204:981</t>
  </si>
  <si>
    <t>300:58988</t>
  </si>
  <si>
    <t>812-12</t>
  </si>
  <si>
    <t>300:58675</t>
  </si>
  <si>
    <t>204:694</t>
  </si>
  <si>
    <t>813-12</t>
  </si>
  <si>
    <t>300:58993</t>
  </si>
  <si>
    <t>814-12</t>
  </si>
  <si>
    <t>300:58681</t>
  </si>
  <si>
    <t>815-12</t>
  </si>
  <si>
    <t>204:979</t>
  </si>
  <si>
    <t>300:58086</t>
  </si>
  <si>
    <t>816-12</t>
  </si>
  <si>
    <t>300:58705</t>
  </si>
  <si>
    <t>204:705</t>
  </si>
  <si>
    <t>817-12</t>
  </si>
  <si>
    <t>204:978</t>
  </si>
  <si>
    <t>300:58995</t>
  </si>
  <si>
    <t>818-12</t>
  </si>
  <si>
    <t>300:58672</t>
  </si>
  <si>
    <t>204:699</t>
  </si>
  <si>
    <t>819-12</t>
  </si>
  <si>
    <t>204:988</t>
  </si>
  <si>
    <t>300:58984</t>
  </si>
  <si>
    <t>820-12</t>
  </si>
  <si>
    <t>204:747</t>
  </si>
  <si>
    <t>821-12</t>
  </si>
  <si>
    <t>204:1041</t>
  </si>
  <si>
    <t>300:58961</t>
  </si>
  <si>
    <t>822-12</t>
  </si>
  <si>
    <t>300:58660</t>
  </si>
  <si>
    <t>204:727</t>
  </si>
  <si>
    <t>823-12</t>
  </si>
  <si>
    <t>204:1016</t>
  </si>
  <si>
    <t>300:58877</t>
  </si>
  <si>
    <t>824-12</t>
  </si>
  <si>
    <t>300:58562</t>
  </si>
  <si>
    <t>204:703</t>
  </si>
  <si>
    <t>825-12</t>
  </si>
  <si>
    <t>204:990</t>
  </si>
  <si>
    <t>300:58914</t>
  </si>
  <si>
    <t>826-12</t>
  </si>
  <si>
    <t>300:58592</t>
  </si>
  <si>
    <t>204:140</t>
  </si>
  <si>
    <t>827-12</t>
  </si>
  <si>
    <t>300:58918</t>
  </si>
  <si>
    <t>828-12</t>
  </si>
  <si>
    <t>300:58602</t>
  </si>
  <si>
    <t>204:698</t>
  </si>
  <si>
    <t>829-12</t>
  </si>
  <si>
    <t>204:448</t>
  </si>
  <si>
    <t>300:58911</t>
  </si>
  <si>
    <t>830-12</t>
  </si>
  <si>
    <t>204:720</t>
  </si>
  <si>
    <t>831-12</t>
  </si>
  <si>
    <t>300:58922</t>
  </si>
  <si>
    <t>832-12</t>
  </si>
  <si>
    <t>300:58606</t>
  </si>
  <si>
    <t>833-12</t>
  </si>
  <si>
    <t>204:1021</t>
  </si>
  <si>
    <t>300:58905</t>
  </si>
  <si>
    <t>834-12</t>
  </si>
  <si>
    <t>300:58587</t>
  </si>
  <si>
    <t>835-12</t>
  </si>
  <si>
    <t>204:1007</t>
  </si>
  <si>
    <t>836-12</t>
  </si>
  <si>
    <t>837-12</t>
  </si>
  <si>
    <t>838-12</t>
  </si>
  <si>
    <t>839-12</t>
  </si>
  <si>
    <t>204:1013</t>
  </si>
  <si>
    <t>300:58916</t>
  </si>
  <si>
    <t>840-12</t>
  </si>
  <si>
    <t>300:58600</t>
  </si>
  <si>
    <t>204:701</t>
  </si>
  <si>
    <t>841-12</t>
  </si>
  <si>
    <t>204:992</t>
  </si>
  <si>
    <t>300:58912</t>
  </si>
  <si>
    <t>842-12</t>
  </si>
  <si>
    <t>300:58609</t>
  </si>
  <si>
    <t>843-12</t>
  </si>
  <si>
    <t>204:986</t>
  </si>
  <si>
    <t>844-12</t>
  </si>
  <si>
    <t>204:745</t>
  </si>
  <si>
    <t>845-12</t>
  </si>
  <si>
    <t>300:58933</t>
  </si>
  <si>
    <t>847-12</t>
  </si>
  <si>
    <t>204:1034</t>
  </si>
  <si>
    <t>303-12</t>
  </si>
  <si>
    <t>300:23312</t>
  </si>
  <si>
    <t>305-12</t>
  </si>
  <si>
    <t>204:1196</t>
  </si>
  <si>
    <t>204:1198</t>
  </si>
  <si>
    <t>307-12</t>
  </si>
  <si>
    <t>300:23306</t>
  </si>
  <si>
    <t>300:23277</t>
  </si>
  <si>
    <t>309-12</t>
  </si>
  <si>
    <t>204:482</t>
  </si>
  <si>
    <t>300:23289</t>
  </si>
  <si>
    <t>300:22983</t>
  </si>
  <si>
    <t>311-12</t>
  </si>
  <si>
    <t>300:23299</t>
  </si>
  <si>
    <t>313-12</t>
  </si>
  <si>
    <t>204:440</t>
  </si>
  <si>
    <t>300:23060</t>
  </si>
  <si>
    <t>204:374</t>
  </si>
  <si>
    <t>300:22234</t>
  </si>
  <si>
    <t>315-12</t>
  </si>
  <si>
    <t>300:23314</t>
  </si>
  <si>
    <t>300:36525</t>
  </si>
  <si>
    <t>300:58928</t>
  </si>
  <si>
    <t>903-12</t>
  </si>
  <si>
    <t>300:24207</t>
  </si>
  <si>
    <t>904-12</t>
  </si>
  <si>
    <t>300:23264</t>
  </si>
  <si>
    <t>906-12</t>
  </si>
  <si>
    <t>300:58596</t>
  </si>
  <si>
    <t>300:28797</t>
  </si>
  <si>
    <t>908-12</t>
  </si>
  <si>
    <t>300:21975</t>
  </si>
  <si>
    <t>54-12</t>
  </si>
  <si>
    <t>300:23209</t>
  </si>
  <si>
    <t>204:982</t>
  </si>
  <si>
    <t>56-12</t>
  </si>
  <si>
    <t>300:24354</t>
  </si>
  <si>
    <t>300:23945</t>
  </si>
  <si>
    <t>57-12</t>
  </si>
  <si>
    <t>204:1294</t>
  </si>
  <si>
    <t>300:25279</t>
  </si>
  <si>
    <t>61-12</t>
  </si>
  <si>
    <t>204:759</t>
  </si>
  <si>
    <t>300:24216</t>
  </si>
  <si>
    <t>62-12</t>
  </si>
  <si>
    <t>300:24392</t>
  </si>
  <si>
    <t>300:24027</t>
  </si>
  <si>
    <t>64-12</t>
  </si>
  <si>
    <t>300:20725</t>
  </si>
  <si>
    <t>204:936</t>
  </si>
  <si>
    <t>66-12</t>
  </si>
  <si>
    <t>300:23588</t>
  </si>
  <si>
    <t>204:451</t>
  </si>
  <si>
    <t>300:24417</t>
  </si>
  <si>
    <t>300:23985</t>
  </si>
  <si>
    <t>69-12</t>
  </si>
  <si>
    <t>204:1545</t>
  </si>
  <si>
    <t>204:2130</t>
  </si>
  <si>
    <t>N</t>
  </si>
  <si>
    <t>Early arrival</t>
  </si>
  <si>
    <t>Form C</t>
  </si>
  <si>
    <t>PERMANENT SPEED RESTRICTION</t>
  </si>
  <si>
    <t>Speed (6)</t>
  </si>
  <si>
    <t>rtdc.l.rtdc.4016:itc</t>
  </si>
  <si>
    <t>rtdc.l.rtdc.4017:itc</t>
  </si>
  <si>
    <t>SIGNAL</t>
  </si>
  <si>
    <t>Signal based authority (5)</t>
  </si>
  <si>
    <t>http://stevetu21.github.io/eaglep3/load_kml.html?kml=http://rtdc.gmaps-snips.s3.amazonaws.com/ad151d94-180f-4672-bd1b-8a4f2fc5e1f8.kml</t>
  </si>
  <si>
    <t>Overspeed</t>
  </si>
  <si>
    <t>Heavy traffic - STOP aspect</t>
  </si>
  <si>
    <t>40th 4S STOP</t>
  </si>
  <si>
    <t>TRACK WARRANT AUTHORITY</t>
  </si>
  <si>
    <t>Form based authority (4)</t>
  </si>
  <si>
    <t>rtdc.l.rtdc.4040:itc</t>
  </si>
  <si>
    <t>Early arrival @ 41ST STATION</t>
  </si>
  <si>
    <t>RESTRICTED aspect</t>
  </si>
  <si>
    <t>rtdc.l.rtdc.4019:itc</t>
  </si>
  <si>
    <t>rtdc.l.rtdc.4028:itc</t>
  </si>
  <si>
    <t>TEMPORARY SPEED RESTRICTION</t>
  </si>
  <si>
    <t>Cancelled</t>
  </si>
  <si>
    <t>Cancelled due to stuck door on EMU</t>
  </si>
  <si>
    <t>partly-cloudy-day</t>
  </si>
  <si>
    <t>clear-night</t>
  </si>
  <si>
    <t>Clear</t>
  </si>
  <si>
    <t>Summary for DUS 2016-10-12: Partly cloudy until night.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</si>
</sst>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0" borderId="5" xfId="0" applyNumberFormat="1" applyBorder="1"/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0" fontId="9" fillId="9" borderId="0" xfId="0" applyNumberFormat="1" applyFont="1" applyFill="1"/>
    <xf numFmtId="1" fontId="0" fillId="0" borderId="5" xfId="0" applyNumberFormat="1" applyFill="1" applyBorder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20" fillId="0" borderId="0" xfId="4" applyFill="1"/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22" fontId="0" fillId="0" borderId="0" xfId="0" applyNumberFormat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6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d151d94-180f-4672-bd1b-8a4f2fc5e1f8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workbookViewId="0">
      <selection activeCell="A13" sqref="A13:AL20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42" customWidth="1"/>
    <col min="22" max="22" width="5.7109375" style="96" customWidth="1"/>
    <col min="23" max="23" width="3.85546875" style="20" customWidth="1"/>
    <col min="24" max="24" width="6.140625" style="14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38"/>
      <c r="V1" s="40"/>
      <c r="W1" s="41"/>
      <c r="X1" s="14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42655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42655</v>
      </c>
      <c r="S2" s="72"/>
      <c r="T2" s="73"/>
      <c r="U2" s="139"/>
      <c r="V2" s="94" t="s">
        <v>8</v>
      </c>
      <c r="W2" s="75"/>
      <c r="X2" s="14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40"/>
      <c r="V3" s="42" t="s">
        <v>11</v>
      </c>
      <c r="W3" s="43" t="s">
        <v>12</v>
      </c>
      <c r="X3" s="14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119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41"/>
      <c r="V4" s="45" t="s">
        <v>15</v>
      </c>
      <c r="W4" s="43" t="s">
        <v>15</v>
      </c>
      <c r="X4" s="14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113</v>
      </c>
      <c r="K5" s="44"/>
      <c r="L5" s="44"/>
      <c r="M5" s="45">
        <f>AVERAGEIFS($N$13:$N$9390,$AG$13:$AG$9390,I1)</f>
        <v>44.024336283667985</v>
      </c>
      <c r="N5" s="43">
        <f t="array" ref="N5">MIN(IF($AG$13:$AG$9390=I1,IF(ISNUMBER($N$13:$N$9390),IF($N$13:$N$9390&gt;0,$N$13:$N$9390))))</f>
        <v>33.78333333064802</v>
      </c>
      <c r="O5" s="3">
        <f t="array" ref="O5">MAX(IF($AG$13:$AG$9390=I1,IF(ISNUMBER($N$13:$N$9390),IF($N$13:$N$9390&gt;0,$N$13:$N$9390))))</f>
        <v>83.499999999767169</v>
      </c>
      <c r="P5" s="2"/>
      <c r="R5" s="80" t="s">
        <v>17</v>
      </c>
      <c r="S5" s="55">
        <f>COUNTIFS($N$13:$N$9390,"&gt;0",$AG$13:$AG$9390,R1)</f>
        <v>47</v>
      </c>
      <c r="T5" s="44"/>
      <c r="U5" s="141"/>
      <c r="V5" s="45">
        <f>AVERAGEIFS($N$13:$N$9390,$AG$13:$AG$9390,R1)</f>
        <v>15.534042553267778</v>
      </c>
      <c r="W5" s="43">
        <f t="array" ref="W5">MIN(IF($AG$13:$AG$9390=R1,IF(ISNUMBER($N$13:$N$9390),IF($N$13:$N$9390&gt;0,$N$13:$N$9390))))</f>
        <v>12.783333335537463</v>
      </c>
      <c r="X5" s="146">
        <f t="array" ref="X5">MAX(IF($AG$13:$AG$9390=R1,IF(ISNUMBER($N$13:$N$9390),IF($N$13:$N$9390&gt;0,$N$13:$N$9390))))</f>
        <v>26.866666671121493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COUNT($O$13:$O$169)</f>
        <v>0</v>
      </c>
      <c r="K6" s="44"/>
      <c r="L6" s="44"/>
      <c r="M6" s="45">
        <f>IFERROR(AVERAGE($O$13:$O$169),0)</f>
        <v>0</v>
      </c>
      <c r="N6" s="43">
        <f>MIN($O$13:$O$169)</f>
        <v>0</v>
      </c>
      <c r="O6" s="3">
        <f>MAX($O$13:$O$169)</f>
        <v>0</v>
      </c>
      <c r="P6" s="2"/>
      <c r="R6" s="81" t="s">
        <v>43</v>
      </c>
      <c r="S6" s="55">
        <f>COUNT($O$13:$O$169)</f>
        <v>0</v>
      </c>
      <c r="T6" s="44"/>
      <c r="U6" s="141"/>
      <c r="V6" s="45">
        <f>IFERROR(AVERAGE($O$13:$O$169),0)</f>
        <v>0</v>
      </c>
      <c r="W6" s="43">
        <f>MIN($O$13:$O$169)</f>
        <v>0</v>
      </c>
      <c r="X6" s="146">
        <f>MAX($O$13:$O$169)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0</v>
      </c>
      <c r="T7" s="44"/>
      <c r="U7" s="141"/>
      <c r="V7" s="45" t="s">
        <v>15</v>
      </c>
      <c r="W7" s="43" t="s">
        <v>15</v>
      </c>
      <c r="X7" s="14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113</v>
      </c>
      <c r="K8" s="44"/>
      <c r="L8" s="44"/>
      <c r="M8" s="45">
        <f>M5</f>
        <v>44.024336283667985</v>
      </c>
      <c r="N8" s="43">
        <f>N5</f>
        <v>33.78333333064802</v>
      </c>
      <c r="O8" s="3">
        <f>O5</f>
        <v>83.499999999767169</v>
      </c>
      <c r="P8" s="2"/>
      <c r="R8" s="80" t="s">
        <v>16</v>
      </c>
      <c r="S8" s="55">
        <f>S5</f>
        <v>47</v>
      </c>
      <c r="T8" s="44"/>
      <c r="U8" s="141"/>
      <c r="V8" s="45">
        <f>V5</f>
        <v>15.534042553267778</v>
      </c>
      <c r="W8" s="43">
        <f>W5</f>
        <v>12.783333335537463</v>
      </c>
      <c r="X8" s="146">
        <f>X5</f>
        <v>26.866666671121493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63">
        <f>J8/J4</f>
        <v>0.94957983193277307</v>
      </c>
      <c r="K9" s="46"/>
      <c r="L9" s="46"/>
      <c r="M9" s="83"/>
      <c r="N9" s="41"/>
      <c r="O9" s="84"/>
      <c r="P9" s="2"/>
      <c r="R9" s="80" t="s">
        <v>19</v>
      </c>
      <c r="S9" s="163">
        <f>S8/S4</f>
        <v>1</v>
      </c>
      <c r="T9" s="46"/>
      <c r="U9" s="138"/>
      <c r="V9" s="83"/>
      <c r="W9" s="41"/>
      <c r="X9" s="13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42"/>
      <c r="V10" s="95"/>
      <c r="W10" s="20"/>
      <c r="X10" s="14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2" t="str">
        <f>"Eagle P3 System Performance - "&amp;TEXT(Variables!A2,"yyyy-mm-dd")</f>
        <v>Eagle P3 System Performance - 2016-10-12</v>
      </c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S11" s="69">
        <f>AVERAGE(S13:S115)</f>
        <v>0.98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43" t="s">
        <v>65</v>
      </c>
      <c r="V12" s="97" t="s">
        <v>45</v>
      </c>
      <c r="W12" s="51" t="s">
        <v>23</v>
      </c>
      <c r="X12" s="14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275</v>
      </c>
      <c r="B13" s="7">
        <v>4018</v>
      </c>
      <c r="C13" s="22" t="s">
        <v>99</v>
      </c>
      <c r="D13" s="22" t="s">
        <v>302</v>
      </c>
      <c r="E13" s="13">
        <v>42655.133414351854</v>
      </c>
      <c r="F13" s="13">
        <v>42655.135775462964</v>
      </c>
      <c r="G13" s="7">
        <v>1</v>
      </c>
      <c r="H13" s="13" t="s">
        <v>183</v>
      </c>
      <c r="I13" s="13">
        <v>42655.165324074071</v>
      </c>
      <c r="J13" s="7">
        <v>0</v>
      </c>
      <c r="K13" s="112" t="str">
        <f t="shared" ref="K13:K76" si="0">IF(ISEVEN(B13),(B13-1)&amp;"/"&amp;B13,B13&amp;"/"&amp;(B13+1))</f>
        <v>4017/4018</v>
      </c>
      <c r="L13" s="22" t="str">
        <f>VLOOKUP(A13,'Trips&amp;Operators'!$C$1:$E$10000,3,FALSE)</f>
        <v>MAELZER</v>
      </c>
      <c r="M13" s="6">
        <f t="shared" ref="M13:M76" si="1">I13-F13</f>
        <v>2.954861110629281E-2</v>
      </c>
      <c r="N13" s="7">
        <f t="shared" ref="N13:N31" si="2">24*60*SUM($M13:$M13)</f>
        <v>42.549999993061647</v>
      </c>
      <c r="O13" s="7"/>
      <c r="P13" s="7"/>
      <c r="Q13" s="23"/>
      <c r="R13" s="23"/>
      <c r="S13" s="35">
        <f t="shared" ref="S13:S39" si="3">SUM(U13:U13)/IF(AG13="EC",12,1)</f>
        <v>1</v>
      </c>
      <c r="T13" s="50" t="str">
        <f t="shared" ref="T13:T76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https://search-rtdc-monitor-bjffxe2xuh6vdkpspy63sjmuny.us-east-1.es.amazonaws.com/_plugin/kibana/#/discover/Steve-Slow-Train-Analysis-(2080s-and-2083s)?_g=(refreshInterval:(display:Off,section:0,value:0),time:(from:'2016-10-12 02:12:07-0600',mode:absolute,to:'2016-10-12 04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" s="52" t="str">
        <f t="shared" ref="W13:W76" si="6">IF(AA13&lt;IF(AG13="EC",23,5.65),"Y","N")</f>
        <v>N</v>
      </c>
      <c r="X13" s="149" t="e">
        <f t="shared" ref="X13:X24" si="7">VALUE(LEFT(AD13,4))-VALUE(LEFT(AD12,4))</f>
        <v>#VALUE!</v>
      </c>
      <c r="Y13" s="67">
        <f t="shared" ref="Y13:Y76" si="8">RIGHT(D13,LEN(D13)-4)/10000</f>
        <v>6.9500000000000006E-2</v>
      </c>
      <c r="Z13" s="67">
        <f t="shared" ref="Z13:Z72" si="9">RIGHT(H13,LEN(H13)-4)/10000</f>
        <v>23.331199999999999</v>
      </c>
      <c r="AA13" s="67">
        <f t="shared" ref="AA13:AA76" si="10">ABS(Z13-Y13)</f>
        <v>23.261699999999998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0101-12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/stypes="app*4018*20161012*" /stext=" 09:.+((SYSTEM_STATE.+slice.+state.+changed )|(ment ac)|(system.+state.+changed )|(\[timeout)|(PRM\|1\|D)|(kpr)|(kdp)|(\|lc)|(penalty))" /e /r /s</v>
      </c>
      <c r="AG13" s="1" t="str">
        <f t="shared" ref="AG13:AG2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4018 --swversion DE.1.0.7.0 --startMP 204:695 --initTime 2016-10-12T03:12:07 --startdatetime 2016-10-12T03:15:31 --delay 1 --endMP 204:233312 --enddatetime 2016-10-12T03:58:04 --enforcementcount 0 &gt;&gt;C:\Users\stu\Documents\GitHub\eaglep3-reporting\EC\2016-10-12-refined-times.txt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{"issue":{"subject":"","project_id":79,"tracker_id":40,"status_id":1,"priority_id":2,"assigned_to_id":23,"start_date":"2016-10-12","description":"","custom_fields":[{"id":1,"name":"Subdivision","value":"EC"},{"id":4,"name":"Milepost","value":"23.3312"},{"id":17,"name":"Train ID","value":"101-12"},{"id":16,"name":"Locomotive ID","value":"4018"},{"id":130,"name":"Impact","value":""},{"id":150,"name":"Time of Event (Mountain Time)","value":"03:58:04"},{"id":151,"name":"Denver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281</v>
      </c>
      <c r="B14" s="7">
        <v>4015</v>
      </c>
      <c r="C14" s="22" t="s">
        <v>99</v>
      </c>
      <c r="D14" s="22" t="s">
        <v>303</v>
      </c>
      <c r="E14" s="13">
        <v>42655.171782407408</v>
      </c>
      <c r="F14" s="13">
        <v>42655.17460648148</v>
      </c>
      <c r="G14" s="7">
        <v>1</v>
      </c>
      <c r="H14" s="13" t="s">
        <v>176</v>
      </c>
      <c r="I14" s="13">
        <v>42655.216631944444</v>
      </c>
      <c r="J14" s="7">
        <v>0</v>
      </c>
      <c r="K14" s="112" t="str">
        <f t="shared" si="0"/>
        <v>4015/4016</v>
      </c>
      <c r="L14" s="22" t="str">
        <f>VLOOKUP(A14,'Trips&amp;Operators'!$C$1:$E$10000,3,FALSE)</f>
        <v>MAELZER</v>
      </c>
      <c r="M14" s="6">
        <f t="shared" si="1"/>
        <v>4.2025462964375038E-2</v>
      </c>
      <c r="N14" s="7">
        <f t="shared" si="2"/>
        <v>60.516666668700054</v>
      </c>
      <c r="O14" s="7"/>
      <c r="P14" s="7"/>
      <c r="Q14" s="23"/>
      <c r="R14" s="23" t="s">
        <v>309</v>
      </c>
      <c r="S14" s="35">
        <f t="shared" si="3"/>
        <v>1</v>
      </c>
      <c r="T14" s="50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03:07:22-0600',mode:absolute,to:'2016-10-12 06:11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2" t="str">
        <f t="shared" si="6"/>
        <v>N</v>
      </c>
      <c r="X14" s="149">
        <f t="shared" si="7"/>
        <v>1</v>
      </c>
      <c r="Y14" s="67">
        <f t="shared" si="8"/>
        <v>23.2667</v>
      </c>
      <c r="Z14" s="67">
        <f t="shared" si="9"/>
        <v>1.47E-2</v>
      </c>
      <c r="AA14" s="67">
        <f t="shared" si="10"/>
        <v>23.251999999999999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0102-12</v>
      </c>
      <c r="AE14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4" s="88" t="str">
        <f t="shared" si="13"/>
        <v>"C:\Program Files (x86)\AstroGrep\AstroGrep.exe" /spath="%USERPROFILE%\AppData\Local\Temp\OnboardLogs" /stypes="app*4015*20161012*"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3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4015 --swversion DE.1.0.7.0 --startMP 204:232667 --initTime 2016-10-12T04:07:22 --startdatetime 2016-10-12T04:11:26 --delay 1 --endMP 204:147 --enddatetime 2016-10-12T05:11:57 --enforcementcount 0 &gt;&gt;C:\Users\stu\Documents\GitHub\eaglep3-reporting\EC\2016-10-12-refined-times.txt</v>
      </c>
      <c r="AI14" s="122" t="str">
        <f t="shared" ref="AI14:AI73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repairs","project_id":79,"tracker_id":40,"status_id":1,"priority_id":2,"assigned_to_id":23,"start_date":"2016-10-12","description":"","custom_fields":[{"id":1,"name":"Subdivision","value":"EC"},{"id":4,"name":"Milepost","value":"0.0147"},{"id":17,"name":"Train ID","value":"102-12"},{"id":16,"name":"Locomotive ID","value":"4015"},{"id":130,"name":"Impact","value":""},{"id":150,"name":"Time of Event (Mountain Time)","value":"05:11:57"},{"id":151,"name":"Denver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277</v>
      </c>
      <c r="B15" s="7">
        <v>4007</v>
      </c>
      <c r="C15" s="22" t="s">
        <v>99</v>
      </c>
      <c r="D15" s="22" t="s">
        <v>304</v>
      </c>
      <c r="E15" s="13">
        <v>42655.150416666664</v>
      </c>
      <c r="F15" s="13">
        <v>42655.156469907408</v>
      </c>
      <c r="G15" s="7">
        <v>2</v>
      </c>
      <c r="H15" s="13" t="s">
        <v>305</v>
      </c>
      <c r="I15" s="13">
        <v>42655.184641203705</v>
      </c>
      <c r="J15" s="7">
        <v>0</v>
      </c>
      <c r="K15" s="112" t="str">
        <f t="shared" si="0"/>
        <v>4007/4008</v>
      </c>
      <c r="L15" s="22" t="str">
        <f>VLOOKUP(A15,'Trips&amp;Operators'!$C$1:$E$10000,3,FALSE)</f>
        <v>ACKERMAN</v>
      </c>
      <c r="M15" s="6">
        <f t="shared" si="1"/>
        <v>2.8171296296932269E-2</v>
      </c>
      <c r="N15" s="7">
        <f t="shared" si="2"/>
        <v>40.566666667582467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02:36:36-0600',mode:absolute,to:'2016-10-12 05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" s="52" t="str">
        <f t="shared" si="6"/>
        <v>N</v>
      </c>
      <c r="X15" s="149">
        <f t="shared" si="7"/>
        <v>1</v>
      </c>
      <c r="Y15" s="67">
        <f t="shared" si="8"/>
        <v>6.6400000000000001E-2</v>
      </c>
      <c r="Z15" s="67">
        <f t="shared" si="9"/>
        <v>23.3355</v>
      </c>
      <c r="AA15" s="67">
        <f t="shared" si="10"/>
        <v>23.269099999999998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0103-12</v>
      </c>
      <c r="AE15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5" s="88" t="str">
        <f t="shared" si="13"/>
        <v>"C:\Program Files (x86)\AstroGrep\AstroGrep.exe" /spath="%USERPROFILE%\AppData\Local\Temp\OnboardLogs" /stypes="app*4007*20161012*"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103-12 --locoid 4007 --swversion DE.1.0.7.0 --startMP 204:664 --initTime 2016-10-12T03:36:36 --startdatetime 2016-10-12T03:45:19 --delay 2 --endMP 204:233355 --enddatetime 2016-10-12T04:25:53 --enforcementcount 0 &gt;&gt;C:\Users\stu\Documents\GitHub\eaglep3-reporting\EC\2016-10-12-refined-times.txt</v>
      </c>
      <c r="AI1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{"issue":{"subject":"","project_id":79,"tracker_id":40,"status_id":1,"priority_id":2,"assigned_to_id":23,"start_date":"2016-10-12","description":"","custom_fields":[{"id":1,"name":"Subdivision","value":"EC"},{"id":4,"name":"Milepost","value":"23.3355"},{"id":17,"name":"Train ID","value":"103-12"},{"id":16,"name":"Locomotive ID","value":"4007"},{"id":130,"name":"Impact","value":""},{"id":150,"name":"Time of Event (Mountain Time)","value":"04:25:53"},{"id":151,"name":"Denver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267</v>
      </c>
      <c r="B16" s="7">
        <v>4039</v>
      </c>
      <c r="C16" s="22" t="s">
        <v>99</v>
      </c>
      <c r="D16" s="22" t="s">
        <v>306</v>
      </c>
      <c r="E16" s="13">
        <v>42655.190011574072</v>
      </c>
      <c r="F16" s="13">
        <v>42655.195335648146</v>
      </c>
      <c r="G16" s="7">
        <v>1</v>
      </c>
      <c r="H16" s="13" t="s">
        <v>177</v>
      </c>
      <c r="I16" s="13">
        <v>42655.245254629626</v>
      </c>
      <c r="J16" s="7">
        <v>0</v>
      </c>
      <c r="K16" s="112" t="str">
        <f t="shared" si="0"/>
        <v>4039/4040</v>
      </c>
      <c r="L16" s="22" t="str">
        <f>VLOOKUP(A16,'Trips&amp;Operators'!$C$1:$E$10000,3,FALSE)</f>
        <v>ACKERMAN</v>
      </c>
      <c r="M16" s="6">
        <f t="shared" si="1"/>
        <v>4.9918981480004732E-2</v>
      </c>
      <c r="N16" s="7">
        <f t="shared" si="2"/>
        <v>71.883333331206813</v>
      </c>
      <c r="O16" s="7"/>
      <c r="P16" s="7"/>
      <c r="Q16" s="23"/>
      <c r="R16" s="23" t="s">
        <v>309</v>
      </c>
      <c r="S16" s="35">
        <f t="shared" si="3"/>
        <v>1</v>
      </c>
      <c r="T16" s="50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2" t="str">
        <f t="shared" si="6"/>
        <v>N</v>
      </c>
      <c r="X16" s="149">
        <f t="shared" si="7"/>
        <v>1</v>
      </c>
      <c r="Y16" s="67">
        <f t="shared" si="8"/>
        <v>23.2712</v>
      </c>
      <c r="Z16" s="67">
        <f t="shared" si="9"/>
        <v>1.52E-2</v>
      </c>
      <c r="AA16" s="67">
        <f t="shared" si="10"/>
        <v>23.256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0104-12</v>
      </c>
      <c r="AE16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16" s="88" t="str">
        <f t="shared" si="13"/>
        <v>"C:\Program Files (x86)\AstroGrep\AstroGrep.exe" /spath="%USERPROFILE%\AppData\Local\Temp\OnboardLogs" /stypes="app*4039*20161012*"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104-12 --locoid 4039 --swversion DE.1.0.7.0 --startMP 204:232712 --initTime 2016-10-12T04:33:37 --startdatetime 2016-10-12T04:41:17 --delay 1 --endMP 204:152 --enddatetime 2016-10-12T05:53:10 --enforcementcount 0 &gt;&gt;C:\Users\stu\Documents\GitHub\eaglep3-reporting\EC\2016-10-12-refined-times.txt</v>
      </c>
      <c r="AI16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repairs","project_id":79,"tracker_id":40,"status_id":1,"priority_id":2,"assigned_to_id":23,"start_date":"2016-10-12","description":"","custom_fields":[{"id":1,"name":"Subdivision","value":"EC"},{"id":4,"name":"Milepost","value":"0.0152"},{"id":17,"name":"Train ID","value":"104-12"},{"id":16,"name":"Locomotive ID","value":"4039"},{"id":130,"name":"Impact","value":""},{"id":150,"name":"Time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279</v>
      </c>
      <c r="B17" s="7">
        <v>4053</v>
      </c>
      <c r="C17" s="22" t="s">
        <v>99</v>
      </c>
      <c r="D17" s="22" t="s">
        <v>307</v>
      </c>
      <c r="E17" s="13">
        <v>42655.168229166666</v>
      </c>
      <c r="F17" s="13">
        <v>42655.177499999998</v>
      </c>
      <c r="G17" s="7">
        <v>2</v>
      </c>
      <c r="H17" s="13" t="s">
        <v>198</v>
      </c>
      <c r="I17" s="13">
        <v>42655.20957175926</v>
      </c>
      <c r="J17" s="7">
        <v>0</v>
      </c>
      <c r="K17" s="112" t="str">
        <f t="shared" si="0"/>
        <v>4053/4054</v>
      </c>
      <c r="L17" s="22" t="str">
        <f>VLOOKUP(A17,'Trips&amp;Operators'!$C$1:$E$10000,3,FALSE)</f>
        <v>STRICKLAND</v>
      </c>
      <c r="M17" s="6">
        <f t="shared" si="1"/>
        <v>3.2071759262180422E-2</v>
      </c>
      <c r="N17" s="7">
        <f t="shared" si="2"/>
        <v>46.183333337539807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03:02:15-0600',mode:absolute,to:'2016-10-12 06:01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49">
        <f t="shared" si="7"/>
        <v>1</v>
      </c>
      <c r="Y17" s="67">
        <f t="shared" si="8"/>
        <v>7.3899999999999993E-2</v>
      </c>
      <c r="Z17" s="67">
        <f t="shared" si="9"/>
        <v>23.329699999999999</v>
      </c>
      <c r="AA17" s="67">
        <f t="shared" si="10"/>
        <v>23.255800000000001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0105-12</v>
      </c>
      <c r="AE17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7" s="88" t="str">
        <f t="shared" si="13"/>
        <v>"C:\Program Files (x86)\AstroGrep\AstroGrep.exe" /spath="%USERPROFILE%\AppData\Local\Temp\OnboardLogs" /stypes="app*4053*20161012*"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105-12 --locoid 4053 --swversion DE.1.0.7.0 --startMP 204:739 --initTime 2016-10-12T04:02:15 --startdatetime 2016-10-12T04:15:36 --delay 2 --endMP 204:233297 --enddatetime 2016-10-12T05:01:47 --enforcementcount 0 &gt;&gt;C:\Users\stu\Documents\GitHub\eaglep3-reporting\EC\2016-10-12-refined-times.txt</v>
      </c>
      <c r="AI1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{"issue":{"subject":"","project_id":79,"tracker_id":40,"status_id":1,"priority_id":2,"assigned_to_id":23,"start_date":"2016-10-12","description":"","custom_fields":[{"id":1,"name":"Subdivision","value":"EC"},{"id":4,"name":"Milepost","value":"23.3297"},{"id":17,"name":"Train ID","value":"105-12"},{"id":16,"name":"Locomotive ID","value":"4053"},{"id":130,"name":"Impact","value":""},{"id":150,"name":"Time of Event (Mountain Time)","value":"05:01:47"},{"id":151,"name":"Denver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265</v>
      </c>
      <c r="B18" s="7">
        <v>4026</v>
      </c>
      <c r="C18" s="22" t="s">
        <v>99</v>
      </c>
      <c r="D18" s="22" t="s">
        <v>308</v>
      </c>
      <c r="E18" s="13">
        <v>42655.212951388887</v>
      </c>
      <c r="F18" s="13">
        <v>42655.216493055559</v>
      </c>
      <c r="G18" s="7">
        <v>2</v>
      </c>
      <c r="H18" s="13" t="s">
        <v>182</v>
      </c>
      <c r="I18" s="13">
        <v>42655.27103009259</v>
      </c>
      <c r="J18" s="7">
        <v>0</v>
      </c>
      <c r="K18" s="112" t="str">
        <f t="shared" si="0"/>
        <v>4025/4026</v>
      </c>
      <c r="L18" s="22" t="str">
        <f>VLOOKUP(A18,'Trips&amp;Operators'!$C$1:$E$10000,3,FALSE)</f>
        <v>STRICKLAND</v>
      </c>
      <c r="M18" s="6">
        <f t="shared" si="1"/>
        <v>5.4537037030968349E-2</v>
      </c>
      <c r="N18" s="7">
        <f t="shared" si="2"/>
        <v>78.533333324594423</v>
      </c>
      <c r="O18" s="7"/>
      <c r="P18" s="7"/>
      <c r="Q18" s="23"/>
      <c r="R18" s="23" t="s">
        <v>309</v>
      </c>
      <c r="S18" s="35">
        <f t="shared" si="3"/>
        <v>1</v>
      </c>
      <c r="T18" s="50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 t="shared" si="6"/>
        <v>N</v>
      </c>
      <c r="X18" s="149">
        <f t="shared" si="7"/>
        <v>1</v>
      </c>
      <c r="Y18" s="67">
        <f t="shared" si="8"/>
        <v>23.2654</v>
      </c>
      <c r="Z18" s="67">
        <f t="shared" si="9"/>
        <v>1.41E-2</v>
      </c>
      <c r="AA18" s="67">
        <f t="shared" si="10"/>
        <v>23.251300000000001</v>
      </c>
      <c r="AB18" s="64" t="str">
        <f>VLOOKUP(A18,Enforcements!$C$7:$K$21,8,0)</f>
        <v>Speed (6)</v>
      </c>
      <c r="AC18" s="60" t="str">
        <f>VLOOKUP(A18,Enforcements!$C$7:$E$21,3,0)</f>
        <v>PERMANENT SPEED RESTRICTION</v>
      </c>
      <c r="AD18" s="61" t="str">
        <f t="shared" si="11"/>
        <v>0106-12</v>
      </c>
      <c r="AE18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18" s="88" t="str">
        <f t="shared" si="13"/>
        <v>"C:\Program Files (x86)\AstroGrep\AstroGrep.exe" /spath="%USERPROFILE%\AppData\Local\Temp\OnboardLogs" /stypes="app*4026*20161012*"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106-12 --locoid 4026 --swversion DE.1.0.7.0 --startMP 204:232654 --initTime 2016-10-12T05:06:39 --startdatetime 2016-10-12T05:11:45 --delay 2 --endMP 204:141 --enddatetime 2016-10-12T06:30:17 --enforcementcount 0 &gt;&gt;C:\Users\stu\Documents\GitHub\eaglep3-reporting\EC\2016-10-12-refined-times.txt</v>
      </c>
      <c r="AI18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repairs","project_id":79,"tracker_id":40,"status_id":1,"priority_id":2,"assigned_to_id":23,"start_date":"2016-10-12","description":"","custom_fields":[{"id":1,"name":"Subdivision","value":"EC"},{"id":4,"name":"Milepost","value":"0.0141"},{"id":17,"name":"Train ID","value":"106-12"},{"id":16,"name":"Locomotive ID","value":"4026"},{"id":130,"name":"Impact","value":""},{"id":150,"name":"Time of Event (Mountain Time)","value":"06:30:17"},{"id":151,"name":"Denver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283</v>
      </c>
      <c r="B19" s="7">
        <v>4044</v>
      </c>
      <c r="C19" s="22" t="s">
        <v>99</v>
      </c>
      <c r="D19" s="22" t="s">
        <v>211</v>
      </c>
      <c r="E19" s="13">
        <v>42655.183437500003</v>
      </c>
      <c r="F19" s="13">
        <v>42655.187939814816</v>
      </c>
      <c r="G19" s="7">
        <v>1</v>
      </c>
      <c r="H19" s="13" t="s">
        <v>258</v>
      </c>
      <c r="I19" s="13">
        <v>42655.215208333335</v>
      </c>
      <c r="J19" s="7">
        <v>0</v>
      </c>
      <c r="K19" s="112" t="str">
        <f t="shared" si="0"/>
        <v>4043/4044</v>
      </c>
      <c r="L19" s="22" t="str">
        <f>VLOOKUP(A19,'Trips&amp;Operators'!$C$1:$E$10000,3,FALSE)</f>
        <v>SPECTOR</v>
      </c>
      <c r="M19" s="6">
        <f t="shared" si="1"/>
        <v>2.7268518519122154E-2</v>
      </c>
      <c r="N19" s="7">
        <f t="shared" si="2"/>
        <v>39.266666667535901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03:24:09-0600',mode:absolute,to:'2016-10-12 06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" s="52" t="str">
        <f t="shared" si="6"/>
        <v>N</v>
      </c>
      <c r="X19" s="149">
        <f t="shared" si="7"/>
        <v>1</v>
      </c>
      <c r="Y19" s="67">
        <f t="shared" si="8"/>
        <v>4.4400000000000002E-2</v>
      </c>
      <c r="Z19" s="67">
        <f t="shared" si="9"/>
        <v>23.331399999999999</v>
      </c>
      <c r="AA19" s="67">
        <f t="shared" si="10"/>
        <v>23.286999999999999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0107-12</v>
      </c>
      <c r="AE19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19" s="88" t="str">
        <f t="shared" si="13"/>
        <v>"C:\Program Files (x86)\AstroGrep\AstroGrep.exe" /spath="%USERPROFILE%\AppData\Local\Temp\OnboardLogs" /stypes="app*4044*20161012*"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107-12 --locoid 4044 --swversion DE.1.0.7.0 --startMP 204:444 --initTime 2016-10-12T04:24:09 --startdatetime 2016-10-12T04:30:38 --delay 1 --endMP 204:233314 --enddatetime 2016-10-12T05:09:54 --enforcementcount 0 &gt;&gt;C:\Users\stu\Documents\GitHub\eaglep3-reporting\EC\2016-10-12-refined-times.txt</v>
      </c>
      <c r="AI1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ID","value":"107-12"},{"id":16,"name":"Locomotive ID","value":"4044"},{"id":130,"name":"Impact","value":""},{"id":150,"name":"Time of Event (Mountain Time)","value":"05:09:54"},{"id":151,"name":"Denver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266</v>
      </c>
      <c r="B20" s="7">
        <v>4031</v>
      </c>
      <c r="C20" s="22" t="s">
        <v>99</v>
      </c>
      <c r="D20" s="22" t="s">
        <v>310</v>
      </c>
      <c r="E20" s="13">
        <v>42655.193240740744</v>
      </c>
      <c r="F20" s="13">
        <v>42655.209629629629</v>
      </c>
      <c r="G20" s="7">
        <v>1</v>
      </c>
      <c r="H20" s="13" t="s">
        <v>311</v>
      </c>
      <c r="I20" s="13">
        <v>42655.247430555559</v>
      </c>
      <c r="J20" s="7">
        <v>0</v>
      </c>
      <c r="K20" s="112" t="str">
        <f t="shared" si="0"/>
        <v>4031/4032</v>
      </c>
      <c r="L20" s="22" t="str">
        <f>VLOOKUP(A20,'Trips&amp;Operators'!$C$1:$E$10000,3,FALSE)</f>
        <v>KILLION</v>
      </c>
      <c r="M20" s="6">
        <f t="shared" si="1"/>
        <v>3.7800925929332152E-2</v>
      </c>
      <c r="N20" s="7">
        <f t="shared" si="2"/>
        <v>54.433333338238299</v>
      </c>
      <c r="O20" s="7"/>
      <c r="P20" s="7"/>
      <c r="Q20" s="23"/>
      <c r="R20" s="23" t="s">
        <v>309</v>
      </c>
      <c r="S20" s="35">
        <f t="shared" si="3"/>
        <v>1</v>
      </c>
      <c r="T20" s="50" t="str">
        <f t="shared" si="4"/>
        <v>NorthBound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03:38:16-0600',mode:absolute,to:'2016-10-12 06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" s="52" t="str">
        <f t="shared" si="6"/>
        <v>N</v>
      </c>
      <c r="X20" s="149">
        <f t="shared" si="7"/>
        <v>2</v>
      </c>
      <c r="Y20" s="67">
        <f t="shared" si="8"/>
        <v>4.4200000000000003E-2</v>
      </c>
      <c r="Z20" s="67">
        <f t="shared" si="9"/>
        <v>23.298500000000001</v>
      </c>
      <c r="AA20" s="67">
        <f t="shared" si="10"/>
        <v>23.254300000000001</v>
      </c>
      <c r="AB20" s="64" t="str">
        <f>VLOOKUP(A20,Enforcements!$C$7:$K$21,8,0)</f>
        <v>Speed (6)</v>
      </c>
      <c r="AC20" s="60" t="str">
        <f>VLOOKUP(A20,Enforcements!$C$7:$E$21,3,0)</f>
        <v>PERMANENT SPEED RESTRICTION</v>
      </c>
      <c r="AD20" s="61" t="str">
        <f t="shared" si="11"/>
        <v>0109-12</v>
      </c>
      <c r="AE20" s="91" t="str">
        <f t="shared" si="12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20" s="88" t="str">
        <f t="shared" si="13"/>
        <v>"C:\Program Files (x86)\AstroGrep\AstroGrep.exe" /spath="%USERPROFILE%\AppData\Local\Temp\OnboardLogs" /stypes="app*4031*20161012*" /stext=" 11:.+((SYSTEM_STATE.+slice.+state.+changed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109-12 --locoid 4031 --swversion DE.1.0.7.0 --startMP 204:442 --initTime 2016-10-12T04:38:16 --startdatetime 2016-10-12T05:01:52 --delay 1 --endMP 204:232985 --enddatetime 2016-10-12T05:56:18 --enforcementcount 0 &gt;&gt;C:\Users\stu\Documents\GitHub\eaglep3-reporting\EC\2016-10-12-refined-times.txt</v>
      </c>
      <c r="AI20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repairs","project_id":79,"tracker_id":40,"status_id":1,"priority_id":2,"assigned_to_id":23,"start_date":"2016-10-12","description":"","custom_fields":[{"id":1,"name":"Subdivision","value":"EC"},{"id":4,"name":"Milepost","value":"23.2985"},{"id":17,"name":"Train ID","value":"109-12"},{"id":16,"name":"Locomotive ID","value":"4031"},{"id":130,"name":"Impact","value":""},{"id":150,"name":"Time of Event (Mountain Time)","value":"05:56:18"},{"id":151,"name":"Denver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268</v>
      </c>
      <c r="B21" s="7">
        <v>4032</v>
      </c>
      <c r="C21" s="22" t="s">
        <v>99</v>
      </c>
      <c r="D21" s="22" t="s">
        <v>312</v>
      </c>
      <c r="E21" s="13">
        <v>42655.253449074073</v>
      </c>
      <c r="F21" s="13">
        <v>42655.255219907405</v>
      </c>
      <c r="G21" s="7">
        <v>2</v>
      </c>
      <c r="H21" s="13" t="s">
        <v>313</v>
      </c>
      <c r="I21" s="13">
        <v>42655.288854166669</v>
      </c>
      <c r="J21" s="7">
        <v>1</v>
      </c>
      <c r="K21" s="112" t="str">
        <f t="shared" si="0"/>
        <v>4031/4032</v>
      </c>
      <c r="L21" s="22" t="str">
        <f>VLOOKUP(A21,'Trips&amp;Operators'!$C$1:$E$10000,3,FALSE)</f>
        <v>SPECTOR</v>
      </c>
      <c r="M21" s="6">
        <f t="shared" si="1"/>
        <v>3.3634259263635613E-2</v>
      </c>
      <c r="N21" s="7">
        <f t="shared" si="2"/>
        <v>48.433333339635283</v>
      </c>
      <c r="O21" s="7"/>
      <c r="P21" s="7"/>
      <c r="Q21" s="23"/>
      <c r="R21" s="23"/>
      <c r="S21" s="35">
        <f t="shared" si="3"/>
        <v>1</v>
      </c>
      <c r="T21" s="50" t="str">
        <f t="shared" si="4"/>
        <v>Southbound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" s="52" t="str">
        <f t="shared" si="6"/>
        <v>N</v>
      </c>
      <c r="X21" s="149">
        <f t="shared" si="7"/>
        <v>3</v>
      </c>
      <c r="Y21" s="67">
        <f t="shared" si="8"/>
        <v>23.267900000000001</v>
      </c>
      <c r="Z21" s="67">
        <f t="shared" si="9"/>
        <v>1.61E-2</v>
      </c>
      <c r="AA21" s="67">
        <f t="shared" si="10"/>
        <v>23.251799999999999</v>
      </c>
      <c r="AB21" s="64" t="str">
        <f>VLOOKUP(A21,Enforcements!$C$7:$K$21,8,0)</f>
        <v>Bulletin (2)</v>
      </c>
      <c r="AC21" s="60" t="str">
        <f>VLOOKUP(A21,Enforcements!$C$7:$E$21,3,0)</f>
        <v>GRADE CROSSING</v>
      </c>
      <c r="AD21" s="61" t="str">
        <f t="shared" si="11"/>
        <v>0112-12</v>
      </c>
      <c r="AE21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21" s="88" t="str">
        <f t="shared" si="13"/>
        <v>"C:\Program Files (x86)\AstroGrep\AstroGrep.exe" /spath="%USERPROFILE%\AppData\Local\Temp\OnboardLogs" /stypes="app*4032*20161012*"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112-12 --locoid 4032 --swversion DE.1.0.7.0 --startMP 204:232679 --initTime 2016-10-12T06:04:58 --startdatetime 2016-10-12T06:07:31 --delay 2 --endMP 204:161 --enddatetime 2016-10-12T06:55:57 --enforcementcount 1 &gt;&gt;C:\Users\stu\Documents\GitHub\eaglep3-reporting\EC\2016-10-12-refined-times.txt</v>
      </c>
      <c r="AI2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ID","value":"112-12"},{"id":16,"name":"Locomotive ID","value":"4032"},{"id":130,"name":"Impact","value":""},{"id":150,"name":"Time of Event (Mountain Time)","value":"06:55:57"},{"id":151,"name":"Denver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289</v>
      </c>
      <c r="B22" s="7">
        <v>4018</v>
      </c>
      <c r="C22" s="22" t="s">
        <v>99</v>
      </c>
      <c r="D22" s="22" t="s">
        <v>314</v>
      </c>
      <c r="E22" s="13">
        <v>42655.222986111112</v>
      </c>
      <c r="F22" s="13">
        <v>42655.229791666665</v>
      </c>
      <c r="G22" s="7">
        <v>1</v>
      </c>
      <c r="H22" s="13" t="s">
        <v>315</v>
      </c>
      <c r="I22" s="13">
        <v>42655.270914351851</v>
      </c>
      <c r="J22" s="7">
        <v>0</v>
      </c>
      <c r="K22" s="112" t="str">
        <f t="shared" si="0"/>
        <v>4017/4018</v>
      </c>
      <c r="L22" s="22" t="str">
        <f>VLOOKUP(A22,'Trips&amp;Operators'!$C$1:$E$10000,3,FALSE)</f>
        <v>MAELZER</v>
      </c>
      <c r="M22" s="6">
        <f t="shared" si="1"/>
        <v>4.1122685186564922E-2</v>
      </c>
      <c r="N22" s="7">
        <f t="shared" si="2"/>
        <v>59.216666668653488</v>
      </c>
      <c r="O22" s="7"/>
      <c r="P22" s="7"/>
      <c r="Q22" s="23"/>
      <c r="R22" s="23" t="s">
        <v>309</v>
      </c>
      <c r="S22" s="35">
        <f t="shared" si="3"/>
        <v>1</v>
      </c>
      <c r="T22" s="50" t="str">
        <f t="shared" si="4"/>
        <v>NorthBound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04:21:06-0600',mode:absolute,to:'2016-10-12 07:30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" s="52" t="str">
        <f t="shared" si="6"/>
        <v>N</v>
      </c>
      <c r="X22" s="149">
        <f t="shared" si="7"/>
        <v>3</v>
      </c>
      <c r="Y22" s="67">
        <f t="shared" si="8"/>
        <v>7.0599999999999996E-2</v>
      </c>
      <c r="Z22" s="67">
        <f t="shared" si="9"/>
        <v>23.338000000000001</v>
      </c>
      <c r="AA22" s="67">
        <f t="shared" si="10"/>
        <v>23.267400000000002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0115-12</v>
      </c>
      <c r="AE22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22" s="88" t="str">
        <f t="shared" si="13"/>
        <v>"C:\Program Files (x86)\AstroGrep\AstroGrep.exe" /spath="%USERPROFILE%\AppData\Local\Temp\OnboardLogs" /stypes="app*4018*20161012*"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115-12 --locoid 4018 --swversion DE.1.0.7.0 --startMP 204:706 --initTime 2016-10-12T05:21:06 --startdatetime 2016-10-12T05:30:54 --delay 1 --endMP 204:233380 --enddatetime 2016-10-12T06:30:07 --enforcementcount 0 &gt;&gt;C:\Users\stu\Documents\GitHub\eaglep3-reporting\EC\2016-10-12-refined-times.txt</v>
      </c>
      <c r="AI22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repairs","project_id":79,"tracker_id":40,"status_id":1,"priority_id":2,"assigned_to_id":23,"start_date":"2016-10-12","description":"","custom_fields":[{"id":1,"name":"Subdivision","value":"EC"},{"id":4,"name":"Milepost","value":"23.338"},{"id":17,"name":"Train ID","value":"115-12"},{"id":16,"name":"Locomotive ID","value":"4018"},{"id":130,"name":"Impact","value":""},{"id":150,"name":"Time of Event (Mountain Time)","value":"06:30:07"},{"id":151,"name":"Denver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316</v>
      </c>
      <c r="B23" s="7">
        <v>4015</v>
      </c>
      <c r="C23" s="22" t="s">
        <v>99</v>
      </c>
      <c r="D23" s="22" t="s">
        <v>312</v>
      </c>
      <c r="E23" s="13">
        <v>42655.281458333331</v>
      </c>
      <c r="F23" s="13">
        <v>42655.289224537039</v>
      </c>
      <c r="G23" s="7">
        <v>1</v>
      </c>
      <c r="H23" s="13" t="s">
        <v>317</v>
      </c>
      <c r="I23" s="13">
        <v>42655.329039351855</v>
      </c>
      <c r="J23" s="7">
        <v>0</v>
      </c>
      <c r="K23" s="112" t="str">
        <f t="shared" si="0"/>
        <v>4015/4016</v>
      </c>
      <c r="L23" s="22" t="str">
        <f>VLOOKUP(A23,'Trips&amp;Operators'!$C$1:$E$10000,3,FALSE)</f>
        <v>MAELZER</v>
      </c>
      <c r="M23" s="6">
        <f t="shared" si="1"/>
        <v>3.9814814816054422E-2</v>
      </c>
      <c r="N23" s="7">
        <f t="shared" si="2"/>
        <v>57.333333335118368</v>
      </c>
      <c r="O23" s="7"/>
      <c r="P23" s="7"/>
      <c r="Q23" s="23"/>
      <c r="R23" s="23" t="s">
        <v>309</v>
      </c>
      <c r="S23" s="35">
        <f t="shared" si="3"/>
        <v>1</v>
      </c>
      <c r="T23" s="50" t="str">
        <f t="shared" si="4"/>
        <v>Southbound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05:45:18-0600',mode:absolute,to:'2016-10-12 08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" s="52" t="str">
        <f t="shared" si="6"/>
        <v>N</v>
      </c>
      <c r="X23" s="149">
        <f t="shared" si="7"/>
        <v>5</v>
      </c>
      <c r="Y23" s="67">
        <f t="shared" si="8"/>
        <v>23.267900000000001</v>
      </c>
      <c r="Z23" s="67">
        <f t="shared" si="9"/>
        <v>1.54E-2</v>
      </c>
      <c r="AA23" s="67">
        <f t="shared" si="10"/>
        <v>23.252500000000001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0120-12</v>
      </c>
      <c r="AE23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23" s="88" t="str">
        <f t="shared" si="13"/>
        <v>"C:\Program Files (x86)\AstroGrep\AstroGrep.exe" /spath="%USERPROFILE%\AppData\Local\Temp\OnboardLogs" /stypes="app*4015*20161012*" /stext=" 13:.+((SYSTEM_STATE.+slice.+state.+changed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120-12 --locoid 4015 --swversion DE.1.0.7.0 --startMP 204:232679 --initTime 2016-10-12T06:45:18 --startdatetime 2016-10-12T06:56:29 --delay 1 --endMP 204:154 --enddatetime 2016-10-12T07:53:49 --enforcementcount 0 &gt;&gt;C:\Users\stu\Documents\GitHub\eaglep3-reporting\EC\2016-10-12-refined-times.txt</v>
      </c>
      <c r="AI23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repairs","project_id":79,"tracker_id":40,"status_id":1,"priority_id":2,"assigned_to_id":23,"start_date":"2016-10-12","description":"","custom_fields":[{"id":1,"name":"Subdivision","value":"EC"},{"id":4,"name":"Milepost","value":"0.0154"},{"id":17,"name":"Train ID","value":"120-12"},{"id":16,"name":"Locomotive ID","value":"4015"},{"id":130,"name":"Impact","value":""},{"id":150,"name":"Time of Event (Mountain Time)","value":"07:53:49"},{"id":151,"name":"Denver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270</v>
      </c>
      <c r="B24" s="7">
        <v>4007</v>
      </c>
      <c r="C24" s="22" t="s">
        <v>99</v>
      </c>
      <c r="D24" s="22" t="s">
        <v>318</v>
      </c>
      <c r="E24" s="13">
        <v>42655.264386574076</v>
      </c>
      <c r="F24" s="13">
        <v>42655.274513888886</v>
      </c>
      <c r="G24" s="7">
        <v>1</v>
      </c>
      <c r="H24" s="13" t="s">
        <v>319</v>
      </c>
      <c r="I24" s="13">
        <v>42655.313993055555</v>
      </c>
      <c r="J24" s="7">
        <v>0</v>
      </c>
      <c r="K24" s="112" t="str">
        <f t="shared" si="0"/>
        <v>4007/4008</v>
      </c>
      <c r="L24" s="22" t="str">
        <f>VLOOKUP(A24,'Trips&amp;Operators'!$C$1:$E$10000,3,FALSE)</f>
        <v>ACKERMAN</v>
      </c>
      <c r="M24" s="6">
        <f t="shared" si="1"/>
        <v>3.9479166669480037E-2</v>
      </c>
      <c r="N24" s="7">
        <f t="shared" si="2"/>
        <v>56.850000004051253</v>
      </c>
      <c r="O24" s="7"/>
      <c r="P24" s="7"/>
      <c r="Q24" s="23"/>
      <c r="R24" s="23" t="s">
        <v>309</v>
      </c>
      <c r="S24" s="35">
        <f t="shared" si="3"/>
        <v>1</v>
      </c>
      <c r="T24" s="50" t="str">
        <f t="shared" si="4"/>
        <v>NorthBound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05:20:43-0600',mode:absolute,to:'2016-10-12 08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4" s="52" t="str">
        <f t="shared" si="6"/>
        <v>N</v>
      </c>
      <c r="X24" s="149">
        <f t="shared" si="7"/>
        <v>3</v>
      </c>
      <c r="Y24" s="67">
        <f t="shared" si="8"/>
        <v>7.5700000000000003E-2</v>
      </c>
      <c r="Z24" s="67">
        <f t="shared" si="9"/>
        <v>23.336400000000001</v>
      </c>
      <c r="AA24" s="67">
        <f t="shared" si="10"/>
        <v>23.2607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0123-12</v>
      </c>
      <c r="AE24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24" s="88" t="str">
        <f t="shared" si="13"/>
        <v>"C:\Program Files (x86)\AstroGrep\AstroGrep.exe" /spath="%USERPROFILE%\AppData\Local\Temp\OnboardLogs" /stypes="app*4007*20161012*"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123-12 --locoid 4007 --swversion DE.1.0.7.0 --startMP 204:757 --initTime 2016-10-12T06:20:43 --startdatetime 2016-10-12T06:35:18 --delay 1 --endMP 204:233364 --enddatetime 2016-10-12T07:32:09 --enforcementcount 0 &gt;&gt;C:\Users\stu\Documents\GitHub\eaglep3-reporting\EC\2016-10-12-refined-times.txt</v>
      </c>
      <c r="AI24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repairs","project_id":79,"tracker_id":40,"status_id":1,"priority_id":2,"assigned_to_id":23,"start_date":"2016-10-12","description":"","custom_fields":[{"id":1,"name":"Subdivision","value":"EC"},{"id":4,"name":"Milepost","value":"23.3364"},{"id":17,"name":"Train ID","value":"123-12"},{"id":16,"name":"Locomotive ID","value":"4007"},{"id":130,"name":"Impact","value":""},{"id":150,"name":"Time of Event (Mountain Time)","value":"07:32:09"},{"id":151,"name":"Denver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320</v>
      </c>
      <c r="B25" s="7">
        <v>4039</v>
      </c>
      <c r="C25" s="22" t="s">
        <v>99</v>
      </c>
      <c r="D25" s="22" t="s">
        <v>321</v>
      </c>
      <c r="E25" s="13">
        <v>42655.318009259259</v>
      </c>
      <c r="F25" s="13">
        <v>42655.320648148147</v>
      </c>
      <c r="G25" s="7">
        <v>1</v>
      </c>
      <c r="H25" s="13" t="s">
        <v>322</v>
      </c>
      <c r="I25" s="13">
        <v>42655.366550925923</v>
      </c>
      <c r="J25" s="7">
        <v>0</v>
      </c>
      <c r="K25" s="112" t="str">
        <f t="shared" si="0"/>
        <v>4039/4040</v>
      </c>
      <c r="L25" s="22" t="str">
        <f>VLOOKUP(A25,'Trips&amp;Operators'!$C$1:$E$10000,3,FALSE)</f>
        <v>ACKERMAN</v>
      </c>
      <c r="M25" s="6">
        <f t="shared" si="1"/>
        <v>4.5902777776063886E-2</v>
      </c>
      <c r="N25" s="7">
        <f t="shared" si="2"/>
        <v>66.099999997531995</v>
      </c>
      <c r="O25" s="7"/>
      <c r="P25" s="7"/>
      <c r="Q25" s="23"/>
      <c r="R25" s="23" t="s">
        <v>323</v>
      </c>
      <c r="S25" s="35">
        <f t="shared" si="3"/>
        <v>0</v>
      </c>
      <c r="T25" s="50" t="e">
        <f t="shared" si="4"/>
        <v>#VALUE!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06:37:56-0600',mode:absolute,to:'2016-10-12 09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5" s="52" t="str">
        <f t="shared" si="6"/>
        <v>N</v>
      </c>
      <c r="X25" s="149" t="e">
        <f>VALUE(LEFT(AD25,4))-VALUE(LEFT(AD196,4))</f>
        <v>#VALUE!</v>
      </c>
      <c r="Y25" s="67">
        <f t="shared" si="8"/>
        <v>23.2714</v>
      </c>
      <c r="Z25" s="67">
        <f t="shared" si="9"/>
        <v>9.4000000000000004E-3</v>
      </c>
      <c r="AA25" s="67">
        <f t="shared" si="10"/>
        <v>23.262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50-12</v>
      </c>
      <c r="AE25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25" s="88" t="str">
        <f t="shared" si="13"/>
        <v>"C:\Program Files (x86)\AstroGrep\AstroGrep.exe" /spath="%USERPROFILE%\AppData\Local\Temp\OnboardLogs" /stypes="app*4039*20161012*" /stext=" 14:.+((SYSTEM_STATE.+slice.+state.+changed )|(ment ac)|(system.+state.+changed )|(\[timeout)|(PRM\|1\|D)|(kpr)|(kdp)|(\|lc)|(penalty))" /e /r /s</v>
      </c>
      <c r="AG25" s="1" t="s">
        <v>106</v>
      </c>
      <c r="AH25" s="92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50-12 --locoid 4039 --swversion DE.1.0.7.0 --startMP 204:232714 --initTime 2016-10-12T07:37:56 --startdatetime 2016-10-12T07:41:44 --delay 1 --endMP 204:94 --enddatetime 2016-10-12T08:47:50 --enforcementcount 0 &gt;&gt;C:\Users\stu\Documents\GitHub\eaglep3-reporting\EC\2016-10-12-refined-times.txt</v>
      </c>
      <c r="AI25" s="122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{"issue":{"subject":"Alias for 126-12","project_id":79,"tracker_id":40,"status_id":1,"priority_id":2,"assigned_to_id":23,"start_date":"2016-10-12","description":"","custom_fields":[{"id":1,"name":"Subdivision","value":"EC"},{"id":4,"name":"Milepost","value":"0.0094"},{"id":17,"name":"Train ID","value":"50-12"},{"id":16,"name":"Locomotive ID","value":"4039"},{"id":130,"name":"Impact","value":""},{"id":150,"name":"Time of Event (Mountain Time)","value":"08:47:50"},{"id":151,"name":"Denver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324</v>
      </c>
      <c r="B26" s="7">
        <v>4053</v>
      </c>
      <c r="C26" s="22" t="s">
        <v>99</v>
      </c>
      <c r="D26" s="22" t="s">
        <v>325</v>
      </c>
      <c r="E26" s="13">
        <v>42655.285486111112</v>
      </c>
      <c r="F26" s="13">
        <v>42655.291932870372</v>
      </c>
      <c r="G26" s="7">
        <v>1</v>
      </c>
      <c r="H26" s="13" t="s">
        <v>326</v>
      </c>
      <c r="I26" s="13">
        <v>42655.320289351854</v>
      </c>
      <c r="J26" s="7">
        <v>0</v>
      </c>
      <c r="K26" s="112" t="str">
        <f t="shared" si="0"/>
        <v>4053/4054</v>
      </c>
      <c r="L26" s="22" t="str">
        <f>VLOOKUP(A26,'Trips&amp;Operators'!$C$1:$E$10000,3,FALSE)</f>
        <v>STRICKLAND</v>
      </c>
      <c r="M26" s="6">
        <f t="shared" si="1"/>
        <v>2.8356481481750961E-2</v>
      </c>
      <c r="N26" s="7">
        <f t="shared" si="2"/>
        <v>40.833333333721384</v>
      </c>
      <c r="O26" s="7"/>
      <c r="P26" s="7"/>
      <c r="Q26" s="23"/>
      <c r="R26" s="23"/>
      <c r="S26" s="35">
        <f t="shared" si="3"/>
        <v>1</v>
      </c>
      <c r="T26" s="50" t="str">
        <f t="shared" si="4"/>
        <v>NorthBound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05:51:06-0600',mode:absolute,to:'2016-10-12 08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6" s="52" t="str">
        <f t="shared" si="6"/>
        <v>N</v>
      </c>
      <c r="X26" s="149">
        <f>VALUE(LEFT(AD26,4))-VALUE(LEFT(AD24,4))</f>
        <v>4</v>
      </c>
      <c r="Y26" s="67">
        <f t="shared" si="8"/>
        <v>7.4399999999999994E-2</v>
      </c>
      <c r="Z26" s="67">
        <f t="shared" si="9"/>
        <v>23.331700000000001</v>
      </c>
      <c r="AA26" s="67">
        <f t="shared" si="10"/>
        <v>23.257300000000001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0127-12</v>
      </c>
      <c r="AE26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26" s="88" t="str">
        <f t="shared" si="13"/>
        <v>"C:\Program Files (x86)\AstroGrep\AstroGrep.exe" /spath="%USERPROFILE%\AppData\Local\Temp\OnboardLogs" /stypes="app*4053*20161012*" /stext=" 13:.+((SYSTEM_STATE.+slice.+state.+changed )|(ment ac)|(system.+state.+changed )|(\[timeout)|(PRM\|1\|D)|(kpr)|(kdp)|(\|lc)|(penalty))" /e /r /s</v>
      </c>
      <c r="AG26" s="1" t="str">
        <f t="shared" ref="AG26:AG43" si="19">IFERROR(IF(VALUE(LEFT(AD26,2))&lt;=2,"EC",IF(OR(VALUE(LEFT(AD26,2))=8,VALUE(LEFT(AD26,2))=18),"NW","Other")),"Other")</f>
        <v>EC</v>
      </c>
      <c r="AH26" s="92" t="str">
        <f t="shared" si="17"/>
        <v>"%USERPROFILE%\Documents\GitHub\eaglep3\Utilities\RefineRTDCRunTimes.py" --tripid 127-12 --locoid 4053 --swversion DE.1.0.7.0 --startMP 204:744 --initTime 2016-10-12T06:51:06 --startdatetime 2016-10-12T07:00:23 --delay 1 --endMP 204:233317 --enddatetime 2016-10-12T07:41:13 --enforcementcount 0 &gt;&gt;C:\Users\stu\Documents\GitHub\eaglep3-reporting\EC\2016-10-12-refined-times.txt</v>
      </c>
      <c r="AI2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ID","value":"127-12"},{"id":16,"name":"Locomotive ID","value":"4053"},{"id":130,"name":"Impact","value":""},{"id":150,"name":"Time of Event (Mountain Time)","value":"07:41:13"},{"id":151,"name":"Denver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327</v>
      </c>
      <c r="B27" s="7">
        <v>4026</v>
      </c>
      <c r="C27" s="22" t="s">
        <v>99</v>
      </c>
      <c r="D27" s="22" t="s">
        <v>328</v>
      </c>
      <c r="E27" s="13">
        <v>42655.324178240742</v>
      </c>
      <c r="F27" s="13">
        <v>42655.330196759256</v>
      </c>
      <c r="G27" s="7">
        <v>1</v>
      </c>
      <c r="H27" s="13" t="s">
        <v>329</v>
      </c>
      <c r="I27" s="13">
        <v>42655.380659722221</v>
      </c>
      <c r="J27" s="7">
        <v>0</v>
      </c>
      <c r="K27" s="112" t="str">
        <f t="shared" si="0"/>
        <v>4025/4026</v>
      </c>
      <c r="L27" s="22" t="str">
        <f>VLOOKUP(A27,'Trips&amp;Operators'!$C$1:$E$10000,3,FALSE)</f>
        <v>STRICKLAND</v>
      </c>
      <c r="M27" s="6">
        <f t="shared" si="1"/>
        <v>5.0462962964957114E-2</v>
      </c>
      <c r="N27" s="7">
        <f t="shared" si="2"/>
        <v>72.666666669538245</v>
      </c>
      <c r="O27" s="7"/>
      <c r="P27" s="7"/>
      <c r="Q27" s="23"/>
      <c r="R27" s="23" t="s">
        <v>309</v>
      </c>
      <c r="S27" s="35">
        <f t="shared" si="3"/>
        <v>1</v>
      </c>
      <c r="T27" s="50" t="str">
        <f t="shared" si="4"/>
        <v>Southbound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06:46:49-0600',mode:absolute,to:'2016-10-12 10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7" s="52" t="str">
        <f t="shared" si="6"/>
        <v>N</v>
      </c>
      <c r="X27" s="149">
        <f>VALUE(LEFT(AD27,4))-VALUE(LEFT(AD26,4))</f>
        <v>1</v>
      </c>
      <c r="Y27" s="67">
        <f t="shared" si="8"/>
        <v>23.2668</v>
      </c>
      <c r="Z27" s="67">
        <f t="shared" si="9"/>
        <v>1.4500000000000001E-2</v>
      </c>
      <c r="AA27" s="67">
        <f t="shared" si="10"/>
        <v>23.252299999999998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0128-12</v>
      </c>
      <c r="AE27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27" s="88" t="str">
        <f t="shared" si="13"/>
        <v>"C:\Program Files (x86)\AstroGrep\AstroGrep.exe" /spath="%USERPROFILE%\AppData\Local\Temp\OnboardLogs" /stypes="app*4026*20161012*" /stext=" 15:.+((SYSTEM_STATE.+slice.+state.+changed )|(ment ac)|(system.+state.+changed )|(\[timeout)|(PRM\|1\|D)|(kpr)|(kdp)|(\|lc)|(penalty))" /e /r /s</v>
      </c>
      <c r="AG27" s="1" t="str">
        <f t="shared" si="19"/>
        <v>EC</v>
      </c>
      <c r="AH27" s="92" t="str">
        <f t="shared" si="17"/>
        <v>"%USERPROFILE%\Documents\GitHub\eaglep3\Utilities\RefineRTDCRunTimes.py" --tripid 128-12 --locoid 4026 --swversion DE.1.0.7.0 --startMP 204:232668 --initTime 2016-10-12T07:46:49 --startdatetime 2016-10-12T07:55:29 --delay 1 --endMP 204:145 --enddatetime 2016-10-12T09:08:09 --enforcementcount 0 &gt;&gt;C:\Users\stu\Documents\GitHub\eaglep3-reporting\EC\2016-10-12-refined-times.txt</v>
      </c>
      <c r="AI27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repairs","project_id":79,"tracker_id":40,"status_id":1,"priority_id":2,"assigned_to_id":23,"start_date":"2016-10-12","description":"","custom_fields":[{"id":1,"name":"Subdivision","value":"EC"},{"id":4,"name":"Milepost","value":"0.0145"},{"id":17,"name":"Train ID","value":"128-12"},{"id":16,"name":"Locomotive ID","value":"4026"},{"id":130,"name":"Impact","value":""},{"id":150,"name":"Time of Event (Mountain Time)","value":"09:08:09"},{"id":151,"name":"Denver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330</v>
      </c>
      <c r="B28" s="7">
        <v>4044</v>
      </c>
      <c r="C28" s="22" t="s">
        <v>99</v>
      </c>
      <c r="D28" s="22" t="s">
        <v>331</v>
      </c>
      <c r="E28" s="13">
        <v>42655.296249999999</v>
      </c>
      <c r="F28" s="13">
        <v>42655.302314814813</v>
      </c>
      <c r="G28" s="7">
        <v>1</v>
      </c>
      <c r="H28" s="13" t="s">
        <v>198</v>
      </c>
      <c r="I28" s="13">
        <v>42655.329733796294</v>
      </c>
      <c r="J28" s="7">
        <v>0</v>
      </c>
      <c r="K28" s="112" t="str">
        <f t="shared" si="0"/>
        <v>4043/4044</v>
      </c>
      <c r="L28" s="22" t="str">
        <f>VLOOKUP(A28,'Trips&amp;Operators'!$C$1:$E$10000,3,FALSE)</f>
        <v>KILLION</v>
      </c>
      <c r="M28" s="6">
        <f t="shared" si="1"/>
        <v>2.7418981480877846E-2</v>
      </c>
      <c r="N28" s="7">
        <f t="shared" si="2"/>
        <v>39.483333332464099</v>
      </c>
      <c r="O28" s="7"/>
      <c r="P28" s="7"/>
      <c r="Q28" s="23"/>
      <c r="R28" s="23" t="s">
        <v>332</v>
      </c>
      <c r="S28" s="35">
        <f t="shared" si="3"/>
        <v>1</v>
      </c>
      <c r="T28" s="50" t="str">
        <f t="shared" si="4"/>
        <v>NorthBound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06:06:36-0600',mode:absolute,to:'2016-10-12 08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52" t="str">
        <f t="shared" si="6"/>
        <v>N</v>
      </c>
      <c r="X28" s="149">
        <f>VALUE(LEFT(AD28,4))-VALUE(LEFT(AD27,4))</f>
        <v>1</v>
      </c>
      <c r="Y28" s="67">
        <f t="shared" si="8"/>
        <v>7.4999999999999997E-2</v>
      </c>
      <c r="Z28" s="67">
        <f t="shared" si="9"/>
        <v>23.329699999999999</v>
      </c>
      <c r="AA28" s="67">
        <f t="shared" si="10"/>
        <v>23.2547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0129-12</v>
      </c>
      <c r="AE28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28" s="88" t="str">
        <f t="shared" si="13"/>
        <v>"C:\Program Files (x86)\AstroGrep\AstroGrep.exe" /spath="%USERPROFILE%\AppData\Local\Temp\OnboardLogs" /stypes="app*4044*20161012*" /stext=" 13:.+((SYSTEM_STATE.+slice.+state.+changed )|(ment ac)|(system.+state.+changed )|(\[timeout)|(PRM\|1\|D)|(kpr)|(kdp)|(\|lc)|(penalty))" /e /r /s</v>
      </c>
      <c r="AG28" s="1" t="str">
        <f t="shared" si="19"/>
        <v>EC</v>
      </c>
      <c r="AH28" s="92" t="str">
        <f t="shared" si="17"/>
        <v>"%USERPROFILE%\Documents\GitHub\eaglep3\Utilities\RefineRTDCRunTimes.py" --tripid 129-12 --locoid 4044 --swversion DE.1.0.7.0 --startMP 204:750 --initTime 2016-10-12T07:06:36 --startdatetime 2016-10-12T07:15:20 --delay 1 --endMP 204:233297 --enddatetime 2016-10-12T07:54:49 --enforcementcount 0 &gt;&gt;C:\Users\stu\Documents\GitHub\eaglep3-reporting\EC\2016-10-12-refined-times.txt</v>
      </c>
      <c r="AI28" s="122" t="str">
        <f t="shared" si="18"/>
        <v>echo {"issue":{"subject":"Wheel tach slip at 2016-10-12 07:44:24.000 at MP 15","project_id":79,"tracker_id":40,"status_id":1,"priority_id":2,"assigned_to_id":23,"start_date":"2016-10-12","description":"","custom_fields":[{"id":1,"name":"Subdivision","value":"EC"},{"id":4,"name":"Milepost","value":"23.3297"},{"id":17,"name":"Train ID","value":"129-12"},{"id":16,"name":"Locomotive ID","value":"4044"},{"id":130,"name":"Impact","value":""},{"id":150,"name":"Time of Event (Mountain Time)","value":"07:54:49"},{"id":151,"name":"Denver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333</v>
      </c>
      <c r="B29" s="7">
        <v>4032</v>
      </c>
      <c r="C29" s="22" t="s">
        <v>99</v>
      </c>
      <c r="D29" s="22" t="s">
        <v>334</v>
      </c>
      <c r="E29" s="13">
        <v>42655.337418981479</v>
      </c>
      <c r="F29" s="13">
        <v>42655.351666666669</v>
      </c>
      <c r="G29" s="7">
        <v>3</v>
      </c>
      <c r="H29" s="13" t="s">
        <v>329</v>
      </c>
      <c r="I29" s="13">
        <v>42655.40965277778</v>
      </c>
      <c r="J29" s="7">
        <v>0</v>
      </c>
      <c r="K29" s="112" t="str">
        <f t="shared" si="0"/>
        <v>4031/4032</v>
      </c>
      <c r="L29" s="22" t="str">
        <f>VLOOKUP(A29,'Trips&amp;Operators'!$C$1:$E$10000,3,FALSE)</f>
        <v>SPECTOR</v>
      </c>
      <c r="M29" s="6">
        <f t="shared" si="1"/>
        <v>5.7986111110949423E-2</v>
      </c>
      <c r="N29" s="7">
        <f t="shared" si="2"/>
        <v>83.499999999767169</v>
      </c>
      <c r="O29" s="7"/>
      <c r="P29" s="7"/>
      <c r="Q29" s="23"/>
      <c r="R29" s="23" t="s">
        <v>309</v>
      </c>
      <c r="S29" s="35">
        <f t="shared" si="3"/>
        <v>1</v>
      </c>
      <c r="T29" s="50" t="str">
        <f t="shared" si="4"/>
        <v>Southbound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07:05:53-0600',mode:absolute,to:'2016-10-12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9" s="52" t="str">
        <f t="shared" si="6"/>
        <v>N</v>
      </c>
      <c r="X29" s="149">
        <f>VALUE(LEFT(AD29,4))-VALUE(LEFT(AD28,4))</f>
        <v>3</v>
      </c>
      <c r="Y29" s="67">
        <f t="shared" si="8"/>
        <v>23.264199999999999</v>
      </c>
      <c r="Z29" s="67">
        <f t="shared" si="9"/>
        <v>1.4500000000000001E-2</v>
      </c>
      <c r="AA29" s="67">
        <f t="shared" si="10"/>
        <v>23.249699999999997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0132-12</v>
      </c>
      <c r="AE29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29" s="88" t="str">
        <f t="shared" si="13"/>
        <v>"C:\Program Files (x86)\AstroGrep\AstroGrep.exe" /spath="%USERPROFILE%\AppData\Local\Temp\OnboardLogs" /stypes="app*4032*20161012*" /stext=" 15:.+((SYSTEM_STATE.+slice.+state.+changed )|(ment ac)|(system.+state.+changed )|(\[timeout)|(PRM\|1\|D)|(kpr)|(kdp)|(\|lc)|(penalty))" /e /r /s</v>
      </c>
      <c r="AG29" s="1" t="str">
        <f t="shared" si="19"/>
        <v>EC</v>
      </c>
      <c r="AH29" s="92" t="str">
        <f t="shared" si="17"/>
        <v>"%USERPROFILE%\Documents\GitHub\eaglep3\Utilities\RefineRTDCRunTimes.py" --tripid 132-12 --locoid 4032 --swversion DE.1.0.7.0 --startMP 204:232642 --initTime 2016-10-12T08:05:53 --startdatetime 2016-10-12T08:26:24 --delay 3 --endMP 204:145 --enddatetime 2016-10-12T09:49:54 --enforcementcount 0 &gt;&gt;C:\Users\stu\Documents\GitHub\eaglep3-reporting\EC\2016-10-12-refined-times.txt</v>
      </c>
      <c r="AI29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repairs","project_id":79,"tracker_id":40,"status_id":1,"priority_id":2,"assigned_to_id":23,"start_date":"2016-10-12","description":"","custom_fields":[{"id":1,"name":"Subdivision","value":"EC"},{"id":4,"name":"Milepost","value":"0.0145"},{"id":17,"name":"Train ID","value":"132-12"},{"id":16,"name":"Locomotive ID","value":"4032"},{"id":130,"name":"Impact","value":""},{"id":150,"name":"Time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335</v>
      </c>
      <c r="B30" s="7">
        <v>4018</v>
      </c>
      <c r="C30" s="22" t="s">
        <v>99</v>
      </c>
      <c r="D30" s="22" t="s">
        <v>336</v>
      </c>
      <c r="E30" s="13">
        <v>42655.331782407404</v>
      </c>
      <c r="F30" s="13">
        <v>42655.333761574075</v>
      </c>
      <c r="G30" s="7">
        <v>1</v>
      </c>
      <c r="H30" s="13" t="s">
        <v>337</v>
      </c>
      <c r="I30" s="13">
        <v>42655.361076388886</v>
      </c>
      <c r="J30" s="7">
        <v>0</v>
      </c>
      <c r="K30" s="112" t="str">
        <f t="shared" si="0"/>
        <v>4017/4018</v>
      </c>
      <c r="L30" s="22" t="str">
        <f>VLOOKUP(A30,'Trips&amp;Operators'!$C$1:$E$10000,3,FALSE)</f>
        <v>MAELZER</v>
      </c>
      <c r="M30" s="6">
        <f t="shared" si="1"/>
        <v>2.7314814811688848E-2</v>
      </c>
      <c r="N30" s="7">
        <f t="shared" si="2"/>
        <v>39.333333328831941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06:57:46-0600',mode:absolute,to:'2016-10-12 09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0" s="52" t="str">
        <f t="shared" si="6"/>
        <v>N</v>
      </c>
      <c r="X30" s="149">
        <f>VALUE(LEFT(AD30,4))-VALUE(LEFT(AD29,4))</f>
        <v>3</v>
      </c>
      <c r="Y30" s="67">
        <f t="shared" si="8"/>
        <v>7.6300000000000007E-2</v>
      </c>
      <c r="Z30" s="67">
        <f t="shared" si="9"/>
        <v>23.332999999999998</v>
      </c>
      <c r="AA30" s="67">
        <f t="shared" si="10"/>
        <v>23.256699999999999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0135-12</v>
      </c>
      <c r="AE30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30" s="88" t="str">
        <f t="shared" si="13"/>
        <v>"C:\Program Files (x86)\AstroGrep\AstroGrep.exe" /spath="%USERPROFILE%\AppData\Local\Temp\OnboardLogs" /stypes="app*4018*20161012*" /stext=" 14:.+((SYSTEM_STATE.+slice.+state.+changed )|(ment ac)|(system.+state.+changed )|(\[timeout)|(PRM\|1\|D)|(kpr)|(kdp)|(\|lc)|(penalty))" /e /r /s</v>
      </c>
      <c r="AG30" s="1" t="str">
        <f t="shared" si="19"/>
        <v>EC</v>
      </c>
      <c r="AH30" s="92" t="str">
        <f t="shared" si="17"/>
        <v>"%USERPROFILE%\Documents\GitHub\eaglep3\Utilities\RefineRTDCRunTimes.py" --tripid 135-12 --locoid 4018 --swversion DE.1.0.7.0 --startMP 204:763 --initTime 2016-10-12T07:57:46 --startdatetime 2016-10-12T08:00:37 --delay 1 --endMP 204:233330 --enddatetime 2016-10-12T08:39:57 --enforcementcount 0 &gt;&gt;C:\Users\stu\Documents\GitHub\eaglep3-reporting\EC\2016-10-12-refined-times.txt</v>
      </c>
      <c r="AI3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{"issue":{"subject":"","project_id":79,"tracker_id":40,"status_id":1,"priority_id":2,"assigned_to_id":23,"start_date":"2016-10-12","description":"","custom_fields":[{"id":1,"name":"Subdivision","value":"EC"},{"id":4,"name":"Milepost","value":"23.333"},{"id":17,"name":"Train ID","value":"135-12"},{"id":16,"name":"Locomotive ID","value":"4018"},{"id":130,"name":"Impact","value":""},{"id":150,"name":"Time of Event (Mountain Time)","value":"08:39:57"},{"id":151,"name":"Denver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338</v>
      </c>
      <c r="B31" s="7">
        <v>4015</v>
      </c>
      <c r="C31" s="22" t="s">
        <v>99</v>
      </c>
      <c r="D31" s="22" t="s">
        <v>339</v>
      </c>
      <c r="E31" s="13">
        <v>42655.368969907409</v>
      </c>
      <c r="F31" s="13">
        <v>42655.372523148151</v>
      </c>
      <c r="G31" s="7">
        <v>1</v>
      </c>
      <c r="H31" s="13" t="s">
        <v>317</v>
      </c>
      <c r="I31" s="13">
        <v>42655.422094907408</v>
      </c>
      <c r="J31" s="7">
        <v>0</v>
      </c>
      <c r="K31" s="112" t="str">
        <f t="shared" si="0"/>
        <v>4015/4016</v>
      </c>
      <c r="L31" s="22" t="str">
        <f>VLOOKUP(A31,'Trips&amp;Operators'!$C$1:$E$10000,3,FALSE)</f>
        <v>MAELZER</v>
      </c>
      <c r="M31" s="6">
        <f t="shared" si="1"/>
        <v>4.9571759256650694E-2</v>
      </c>
      <c r="N31" s="7">
        <f t="shared" si="2"/>
        <v>71.383333329576999</v>
      </c>
      <c r="O31" s="7"/>
      <c r="P31" s="7"/>
      <c r="Q31" s="23"/>
      <c r="R31" s="23" t="s">
        <v>309</v>
      </c>
      <c r="S31" s="35">
        <f t="shared" si="3"/>
        <v>1</v>
      </c>
      <c r="T31" s="50" t="str">
        <f t="shared" si="4"/>
        <v>Southbound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07:51:19-0600',mode:absolute,to:'2016-10-12 11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1" s="52" t="str">
        <f t="shared" si="6"/>
        <v>N</v>
      </c>
      <c r="X31" s="149">
        <f t="shared" ref="X31:X34" si="20">VALUE(LEFT(AD31,4))-VALUE(LEFT(AD30,4))</f>
        <v>1</v>
      </c>
      <c r="Y31" s="67">
        <f t="shared" si="8"/>
        <v>23.2698</v>
      </c>
      <c r="Z31" s="67">
        <f t="shared" si="9"/>
        <v>1.54E-2</v>
      </c>
      <c r="AA31" s="67">
        <f t="shared" si="10"/>
        <v>23.2544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0136-12</v>
      </c>
      <c r="AE31" s="91" t="str">
        <f t="shared" si="12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31" s="88" t="str">
        <f t="shared" si="13"/>
        <v>"C:\Program Files (x86)\AstroGrep\AstroGrep.exe" /spath="%USERPROFILE%\AppData\Local\Temp\OnboardLogs" /stypes="app*4015*20161012*" /stext=" 16:.+((SYSTEM_STATE.+slice.+state.+changed )|(ment ac)|(system.+state.+changed )|(\[timeout)|(PRM\|1\|D)|(kpr)|(kdp)|(\|lc)|(penalty))" /e /r /s</v>
      </c>
      <c r="AG31" s="1" t="str">
        <f t="shared" si="19"/>
        <v>EC</v>
      </c>
      <c r="AH31" s="92" t="str">
        <f t="shared" si="17"/>
        <v>"%USERPROFILE%\Documents\GitHub\eaglep3\Utilities\RefineRTDCRunTimes.py" --tripid 136-12 --locoid 4015 --swversion DE.1.0.7.0 --startMP 204:232698 --initTime 2016-10-12T08:51:19 --startdatetime 2016-10-12T08:56:26 --delay 1 --endMP 204:154 --enddatetime 2016-10-12T10:07:49 --enforcementcount 0 &gt;&gt;C:\Users\stu\Documents\GitHub\eaglep3-reporting\EC\2016-10-12-refined-times.txt</v>
      </c>
      <c r="AI31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repairs","project_id":79,"tracker_id":40,"status_id":1,"priority_id":2,"assigned_to_id":23,"start_date":"2016-10-12","description":"","custom_fields":[{"id":1,"name":"Subdivision","value":"EC"},{"id":4,"name":"Milepost","value":"0.0154"},{"id":17,"name":"Train ID","value":"136-12"},{"id":16,"name":"Locomotive ID","value":"4015"},{"id":130,"name":"Impact","value":""},{"id":150,"name":"Time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340</v>
      </c>
      <c r="B32" s="7"/>
      <c r="C32" s="22" t="s">
        <v>99</v>
      </c>
      <c r="D32" s="22" t="s">
        <v>339</v>
      </c>
      <c r="E32" s="13">
        <v>42655.368969907409</v>
      </c>
      <c r="F32" s="13"/>
      <c r="G32" s="7">
        <v>1</v>
      </c>
      <c r="H32" s="13" t="s">
        <v>317</v>
      </c>
      <c r="I32" s="13"/>
      <c r="J32" s="7">
        <v>0</v>
      </c>
      <c r="K32" s="112" t="str">
        <f t="shared" si="0"/>
        <v>-1/</v>
      </c>
      <c r="L32" s="22" t="e">
        <f>VLOOKUP(A32,'Trips&amp;Operators'!$C$1:$E$10000,3,FALSE)</f>
        <v>#N/A</v>
      </c>
      <c r="M32" s="6">
        <f t="shared" si="1"/>
        <v>0</v>
      </c>
      <c r="N32" s="7"/>
      <c r="O32" s="7"/>
      <c r="P32" s="7">
        <v>1</v>
      </c>
      <c r="Q32" s="23"/>
      <c r="R32" s="23" t="s">
        <v>341</v>
      </c>
      <c r="S32" s="35">
        <f t="shared" si="3"/>
        <v>1</v>
      </c>
      <c r="T32" s="50" t="str">
        <f t="shared" si="4"/>
        <v>Southbound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07:51:19-0600',mode:absolute,to:'1900-01-00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2" s="52" t="str">
        <f t="shared" si="6"/>
        <v>N</v>
      </c>
      <c r="X32" s="149">
        <f t="shared" si="20"/>
        <v>6</v>
      </c>
      <c r="Y32" s="67">
        <f t="shared" si="8"/>
        <v>23.2698</v>
      </c>
      <c r="Z32" s="67">
        <f t="shared" si="9"/>
        <v>1.54E-2</v>
      </c>
      <c r="AA32" s="67">
        <f t="shared" si="10"/>
        <v>23.2544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0142-12</v>
      </c>
      <c r="AE32" s="91" t="str">
        <f t="shared" si="1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2" s="88" t="str">
        <f t="shared" si="13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32" s="1" t="str">
        <f t="shared" si="19"/>
        <v>EC</v>
      </c>
      <c r="AH32" s="92" t="str">
        <f t="shared" ref="AH32" si="21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142-12 --locoid  --swversion DE.1.0.7.0 --startMP 204:232698 --initTime 2016-10-12T08:51:19 --startdatetime 1900-01-00T00:00:00 --delay 1 --endMP 204:154 --enddatetime 1900-01-00T00:00:00 --enforcementcount 0 &gt;&gt;C:\Users\stu\Documents\GitHub\eaglep3-reporting\EC\2016-10-12-refined-times.txt</v>
      </c>
      <c r="AI32" s="122" t="str">
        <f t="shared" ref="AI32" si="22"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init","project_id":79,"tracker_id":40,"status_id":1,"priority_id":2,"assigned_to_id":23,"start_date":"1900-01-00","description":"","custom_fields":[{"id":1,"name":"Subdivision","value":"EC"},{"id":4,"name":"Milepost","value":"0.0154"},{"id":17,"name":"Train ID","value":"142-12"},{"id":16,"name":"Locomotive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342</v>
      </c>
      <c r="B33" s="7">
        <v>4046</v>
      </c>
      <c r="C33" s="22" t="s">
        <v>99</v>
      </c>
      <c r="D33" s="22" t="s">
        <v>343</v>
      </c>
      <c r="E33" s="13">
        <v>42655.367268518516</v>
      </c>
      <c r="F33" s="13">
        <v>42655.375185185185</v>
      </c>
      <c r="G33" s="7">
        <v>2</v>
      </c>
      <c r="H33" s="13" t="s">
        <v>344</v>
      </c>
      <c r="I33" s="13">
        <v>42655.404444444444</v>
      </c>
      <c r="J33" s="7">
        <v>0</v>
      </c>
      <c r="K33" s="112" t="str">
        <f t="shared" si="0"/>
        <v>4045/4046</v>
      </c>
      <c r="L33" s="22" t="str">
        <f>VLOOKUP(A33,'Trips&amp;Operators'!$C$1:$E$10000,3,FALSE)</f>
        <v>DE LA ROSA</v>
      </c>
      <c r="M33" s="6">
        <f t="shared" si="1"/>
        <v>2.9259259259561077E-2</v>
      </c>
      <c r="N33" s="7">
        <f t="shared" ref="N33:N38" si="23">24*60*SUM($M33:$M33)</f>
        <v>42.133333333767951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07:48:52-0600',mode:absolute,to:'2016-10-12 10:42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49">
        <f t="shared" si="20"/>
        <v>1</v>
      </c>
      <c r="Y33" s="67">
        <f t="shared" si="8"/>
        <v>4.58E-2</v>
      </c>
      <c r="Z33" s="67">
        <f t="shared" si="9"/>
        <v>23.328399999999998</v>
      </c>
      <c r="AA33" s="67">
        <f t="shared" si="10"/>
        <v>23.282599999999999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0143-12</v>
      </c>
      <c r="AE33" s="91" t="str">
        <f t="shared" si="12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33" s="88" t="str">
        <f t="shared" si="13"/>
        <v>"C:\Program Files (x86)\AstroGrep\AstroGrep.exe" /spath="%USERPROFILE%\AppData\Local\Temp\OnboardLogs" /stypes="app*4046*20161012*" /stext=" 15:.+((SYSTEM_STATE.+slice.+state.+changed )|(ment ac)|(system.+state.+changed )|(\[timeout)|(PRM\|1\|D)|(kpr)|(kdp)|(\|lc)|(penalty))" /e /r /s</v>
      </c>
      <c r="AG33" s="1" t="str">
        <f t="shared" si="19"/>
        <v>EC</v>
      </c>
      <c r="AH33" s="92" t="str">
        <f t="shared" si="17"/>
        <v>"%USERPROFILE%\Documents\GitHub\eaglep3\Utilities\RefineRTDCRunTimes.py" --tripid 143-12 --locoid 4046 --swversion DE.1.0.7.0 --startMP 204:458 --initTime 2016-10-12T08:48:52 --startdatetime 2016-10-12T09:00:16 --delay 2 --endMP 204:233284 --enddatetime 2016-10-12T09:42:24 --enforcementcount 0 &gt;&gt;C:\Users\stu\Documents\GitHub\eaglep3-reporting\EC\2016-10-12-refined-times.txt</v>
      </c>
      <c r="AI3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ID","value":"143-12"},{"id":16,"name":"Locomotive ID","value":"4046"},{"id":130,"name":"Impact","value":""},{"id":150,"name":"Time of Event (Mountain Time)","value":"09:42:24"},{"id":151,"name":"Denver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345</v>
      </c>
      <c r="B34" s="7">
        <v>4045</v>
      </c>
      <c r="C34" s="22" t="s">
        <v>99</v>
      </c>
      <c r="D34" s="22" t="s">
        <v>346</v>
      </c>
      <c r="E34" s="13">
        <v>42655.409143518518</v>
      </c>
      <c r="F34" s="13">
        <v>42655.414097222223</v>
      </c>
      <c r="G34" s="7">
        <v>1</v>
      </c>
      <c r="H34" s="13" t="s">
        <v>347</v>
      </c>
      <c r="I34" s="13">
        <v>42655.450324074074</v>
      </c>
      <c r="J34" s="7">
        <v>0</v>
      </c>
      <c r="K34" s="112" t="str">
        <f t="shared" si="0"/>
        <v>4045/4046</v>
      </c>
      <c r="L34" s="22" t="str">
        <f>VLOOKUP(A34,'Trips&amp;Operators'!$C$1:$E$10000,3,FALSE)</f>
        <v>DE LA ROSA</v>
      </c>
      <c r="M34" s="6">
        <f t="shared" si="1"/>
        <v>3.6226851851097308E-2</v>
      </c>
      <c r="N34" s="7">
        <f t="shared" si="23"/>
        <v>52.166666665580124</v>
      </c>
      <c r="O34" s="7"/>
      <c r="P34" s="7"/>
      <c r="Q34" s="23"/>
      <c r="R34" s="23" t="s">
        <v>309</v>
      </c>
      <c r="S34" s="35">
        <f t="shared" si="3"/>
        <v>1</v>
      </c>
      <c r="T34" s="50" t="str">
        <f t="shared" si="4"/>
        <v>Southbound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08:49:10-0600',mode:absolute,to:'2016-10-12 11:48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49">
        <f t="shared" si="20"/>
        <v>1</v>
      </c>
      <c r="Y34" s="67">
        <f t="shared" si="8"/>
        <v>23.2959</v>
      </c>
      <c r="Z34" s="67">
        <f t="shared" si="9"/>
        <v>1.49E-2</v>
      </c>
      <c r="AA34" s="67">
        <f t="shared" si="10"/>
        <v>23.280999999999999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0144-12</v>
      </c>
      <c r="AE34" s="91" t="str">
        <f t="shared" si="12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34" s="88" t="str">
        <f t="shared" si="13"/>
        <v>"C:\Program Files (x86)\AstroGrep\AstroGrep.exe" /spath="%USERPROFILE%\AppData\Local\Temp\OnboardLogs" /stypes="app*4045*20161012*" /stext=" 16:.+((SYSTEM_STATE.+slice.+state.+changed )|(ment ac)|(system.+state.+changed )|(\[timeout)|(PRM\|1\|D)|(kpr)|(kdp)|(\|lc)|(penalty))" /e /r /s</v>
      </c>
      <c r="AG34" s="1" t="str">
        <f t="shared" si="19"/>
        <v>EC</v>
      </c>
      <c r="AH34" s="92" t="str">
        <f t="shared" si="17"/>
        <v>"%USERPROFILE%\Documents\GitHub\eaglep3\Utilities\RefineRTDCRunTimes.py" --tripid 144-12 --locoid 4045 --swversion DE.1.0.7.0 --startMP 204:232959 --initTime 2016-10-12T09:49:10 --startdatetime 2016-10-12T09:56:18 --delay 1 --endMP 204:149 --enddatetime 2016-10-12T10:48:28 --enforcementcount 0 &gt;&gt;C:\Users\stu\Documents\GitHub\eaglep3-reporting\EC\2016-10-12-refined-times.txt</v>
      </c>
      <c r="AI34" s="122" t="str">
        <f t="shared" si="18"/>
        <v>echo {"issue":{"subject":"Delayed due to XING repairs","project_id":79,"tracker_id":40,"status_id":1,"priority_id":2,"assigned_to_id":23,"start_date":"2016-10-12","description":"","custom_fields":[{"id":1,"name":"Subdivision","value":"EC"},{"id":4,"name":"Milepost","value":"0.0149"},{"id":17,"name":"Train ID","value":"144-12"},{"id":16,"name":"Locomotive ID","value":"4045"},{"id":130,"name":"Impact","value":""},{"id":150,"name":"Time of Event (Mountain Time)","value":"10:48:28"},{"id":151,"name":"Denver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348</v>
      </c>
      <c r="B35" s="7">
        <v>4007</v>
      </c>
      <c r="C35" s="22" t="s">
        <v>99</v>
      </c>
      <c r="D35" s="22" t="s">
        <v>349</v>
      </c>
      <c r="E35" s="13">
        <v>42655.388449074075</v>
      </c>
      <c r="F35" s="13">
        <v>42655.396145833336</v>
      </c>
      <c r="G35" s="7">
        <v>7</v>
      </c>
      <c r="H35" s="13" t="s">
        <v>350</v>
      </c>
      <c r="I35" s="13">
        <v>42655.426053240742</v>
      </c>
      <c r="J35" s="7">
        <v>0</v>
      </c>
      <c r="K35" s="112" t="str">
        <f t="shared" si="0"/>
        <v>4007/4008</v>
      </c>
      <c r="L35" s="22" t="str">
        <f>VLOOKUP(A35,'Trips&amp;Operators'!$C$1:$E$10000,3,FALSE)</f>
        <v>ACKERMAN</v>
      </c>
      <c r="M35" s="6">
        <f t="shared" si="1"/>
        <v>2.9907407406426501E-2</v>
      </c>
      <c r="N35" s="7">
        <f t="shared" si="23"/>
        <v>43.066666665254161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08:19:22-0600',mode:absolute,to:'2016-10-12 11:13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 t="shared" si="6"/>
        <v>N</v>
      </c>
      <c r="X35" s="149">
        <f>VALUE(LEFT(AD35,4))-VALUE(LEFT(AD34,4))</f>
        <v>3</v>
      </c>
      <c r="Y35" s="67">
        <f t="shared" si="8"/>
        <v>7.1300000000000002E-2</v>
      </c>
      <c r="Z35" s="67">
        <f t="shared" si="9"/>
        <v>23.337199999999999</v>
      </c>
      <c r="AA35" s="67">
        <f t="shared" si="10"/>
        <v>23.265899999999998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0147-12</v>
      </c>
      <c r="AE35" s="91" t="str">
        <f t="shared" si="12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35" s="88" t="str">
        <f t="shared" si="13"/>
        <v>"C:\Program Files (x86)\AstroGrep\AstroGrep.exe" /spath="%USERPROFILE%\AppData\Local\Temp\OnboardLogs" /stypes="app*4007*20161012*" /stext=" 16:.+((SYSTEM_STATE.+slice.+state.+changed )|(ment ac)|(system.+state.+changed )|(\[timeout)|(PRM\|1\|D)|(kpr)|(kdp)|(\|lc)|(penalty))" /e /r /s</v>
      </c>
      <c r="AG35" s="1" t="str">
        <f t="shared" si="19"/>
        <v>EC</v>
      </c>
      <c r="AH35" s="92" t="str">
        <f t="shared" si="17"/>
        <v>"%USERPROFILE%\Documents\GitHub\eaglep3\Utilities\RefineRTDCRunTimes.py" --tripid 147-12 --locoid 4007 --swversion DE.1.0.7.0 --startMP 204:713 --initTime 2016-10-12T09:19:22 --startdatetime 2016-10-12T09:30:27 --delay 7 --endMP 204:233372 --enddatetime 2016-10-12T10:13:31 --enforcementcount 0 &gt;&gt;C:\Users\stu\Documents\GitHub\eaglep3-reporting\EC\2016-10-12-refined-times.txt</v>
      </c>
      <c r="AI3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{"issue":{"subject":"","project_id":79,"tracker_id":40,"status_id":1,"priority_id":2,"assigned_to_id":23,"start_date":"2016-10-12","description":"","custom_fields":[{"id":1,"name":"Subdivision","value":"EC"},{"id":4,"name":"Milepost","value":"23.3372"},{"id":17,"name":"Train ID","value":"147-12"},{"id":16,"name":"Locomotive ID","value":"4007"},{"id":130,"name":"Impact","value":""},{"id":150,"name":"Time of Event (Mountain Time)","value":"10:13:31"},{"id":151,"name":"Denver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351</v>
      </c>
      <c r="B36" s="7">
        <v>4039</v>
      </c>
      <c r="C36" s="22" t="s">
        <v>99</v>
      </c>
      <c r="D36" s="22" t="s">
        <v>352</v>
      </c>
      <c r="E36" s="13">
        <v>42655.433495370373</v>
      </c>
      <c r="F36" s="13">
        <v>42655.435196759259</v>
      </c>
      <c r="G36" s="7">
        <v>1</v>
      </c>
      <c r="H36" s="13" t="s">
        <v>353</v>
      </c>
      <c r="I36" s="13">
        <v>42655.465196759258</v>
      </c>
      <c r="J36" s="7">
        <v>0</v>
      </c>
      <c r="K36" s="112" t="str">
        <f t="shared" si="0"/>
        <v>4039/4040</v>
      </c>
      <c r="L36" s="22" t="str">
        <f>VLOOKUP(A36,'Trips&amp;Operators'!$C$1:$E$10000,3,FALSE)</f>
        <v>ACKERMAN</v>
      </c>
      <c r="M36" s="6">
        <f t="shared" si="1"/>
        <v>2.9999999998835847E-2</v>
      </c>
      <c r="N36" s="7">
        <f t="shared" si="23"/>
        <v>43.199999998323619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09:24:14-0600',mode:absolute,to:'2016-10-12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6" s="52" t="str">
        <f t="shared" si="6"/>
        <v>N</v>
      </c>
      <c r="X36" s="149">
        <f>VALUE(LEFT(AD36,4))-VALUE(LEFT(AD35,4))</f>
        <v>1</v>
      </c>
      <c r="Y36" s="67">
        <f t="shared" si="8"/>
        <v>23.273700000000002</v>
      </c>
      <c r="Z36" s="67">
        <f t="shared" si="9"/>
        <v>1.83E-2</v>
      </c>
      <c r="AA36" s="67">
        <f t="shared" si="10"/>
        <v>23.255400000000002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0148-12</v>
      </c>
      <c r="AE36" s="91" t="str">
        <f t="shared" si="12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36" s="88" t="str">
        <f t="shared" si="13"/>
        <v>"C:\Program Files (x86)\AstroGrep\AstroGrep.exe" /spath="%USERPROFILE%\AppData\Local\Temp\OnboardLogs" /stypes="app*4039*20161012*" /stext=" 17:.+((SYSTEM_STATE.+slice.+state.+changed )|(ment ac)|(system.+state.+changed )|(\[timeout)|(PRM\|1\|D)|(kpr)|(kdp)|(\|lc)|(penalty))" /e /r /s</v>
      </c>
      <c r="AG36" s="1" t="str">
        <f t="shared" si="19"/>
        <v>EC</v>
      </c>
      <c r="AH36" s="92" t="str">
        <f t="shared" si="17"/>
        <v>"%USERPROFILE%\Documents\GitHub\eaglep3\Utilities\RefineRTDCRunTimes.py" --tripid 148-12 --locoid 4039 --swversion DE.1.0.7.0 --startMP 204:232737 --initTime 2016-10-12T10:24:14 --startdatetime 2016-10-12T10:26:41 --delay 1 --endMP 204:183 --enddatetime 2016-10-12T11:09:53 --enforcementcount 0 &gt;&gt;C:\Users\stu\Documents\GitHub\eaglep3-reporting\EC\2016-10-12-refined-times.txt</v>
      </c>
      <c r="AI3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{"issue":{"subject":"","project_id":79,"tracker_id":40,"status_id":1,"priority_id":2,"assigned_to_id":23,"start_date":"2016-10-12","description":"","custom_fields":[{"id":1,"name":"Subdivision","value":"EC"},{"id":4,"name":"Milepost","value":"0.0183"},{"id":17,"name":"Train ID","value":"148-12"},{"id":16,"name":"Locomotive ID","value":"4039"},{"id":130,"name":"Impact","value":""},{"id":150,"name":"Time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354</v>
      </c>
      <c r="B37" s="7">
        <v>4053</v>
      </c>
      <c r="C37" s="22" t="s">
        <v>99</v>
      </c>
      <c r="D37" s="22" t="s">
        <v>355</v>
      </c>
      <c r="E37" s="13">
        <v>42655.392291666663</v>
      </c>
      <c r="F37" s="13">
        <v>42655.395243055558</v>
      </c>
      <c r="G37" s="7">
        <v>7</v>
      </c>
      <c r="H37" s="13" t="s">
        <v>350</v>
      </c>
      <c r="I37" s="13">
        <v>42655.438981481479</v>
      </c>
      <c r="J37" s="7">
        <v>0</v>
      </c>
      <c r="K37" s="112" t="str">
        <f t="shared" si="0"/>
        <v>4053/4054</v>
      </c>
      <c r="L37" s="22" t="str">
        <f>VLOOKUP(A37,'Trips&amp;Operators'!$C$1:$E$10000,3,FALSE)</f>
        <v>STRICKLAND</v>
      </c>
      <c r="M37" s="6">
        <f t="shared" si="1"/>
        <v>4.3738425920309965E-2</v>
      </c>
      <c r="N37" s="7">
        <f t="shared" si="23"/>
        <v>62.983333325246349</v>
      </c>
      <c r="O37" s="7"/>
      <c r="P37" s="7"/>
      <c r="Q37" s="23"/>
      <c r="R37" s="23" t="s">
        <v>356</v>
      </c>
      <c r="S37" s="35">
        <f t="shared" si="3"/>
        <v>1</v>
      </c>
      <c r="T37" s="50" t="str">
        <f t="shared" si="4"/>
        <v>NorthBound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08:24:54-0600',mode:absolute,to:'2016-10-12 11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7" s="52" t="str">
        <f t="shared" si="6"/>
        <v>N</v>
      </c>
      <c r="X37" s="149">
        <f t="shared" ref="X37:X39" si="24">VALUE(LEFT(AD37,4))-VALUE(LEFT(AD36,4))</f>
        <v>1</v>
      </c>
      <c r="Y37" s="67">
        <f t="shared" si="8"/>
        <v>8.2100000000000006E-2</v>
      </c>
      <c r="Z37" s="67">
        <f t="shared" si="9"/>
        <v>23.337199999999999</v>
      </c>
      <c r="AA37" s="67">
        <f t="shared" si="10"/>
        <v>23.255099999999999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0149-12</v>
      </c>
      <c r="AE37" s="91" t="str">
        <f t="shared" si="12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37" s="88" t="str">
        <f t="shared" si="13"/>
        <v>"C:\Program Files (x86)\AstroGrep\AstroGrep.exe" /spath="%USERPROFILE%\AppData\Local\Temp\OnboardLogs" /stypes="app*4053*20161012*" /stext=" 16:.+((SYSTEM_STATE.+slice.+state.+changed )|(ment ac)|(system.+state.+changed )|(\[timeout)|(PRM\|1\|D)|(kpr)|(kdp)|(\|lc)|(penalty))" /e /r /s</v>
      </c>
      <c r="AG37" s="1" t="str">
        <f t="shared" si="19"/>
        <v>EC</v>
      </c>
      <c r="AH37" s="92" t="str">
        <f t="shared" si="17"/>
        <v>"%USERPROFILE%\Documents\GitHub\eaglep3\Utilities\RefineRTDCRunTimes.py" --tripid 149-12 --locoid 4053 --swversion DE.1.0.7.0 --startMP 204:821 --initTime 2016-10-12T09:24:54 --startdatetime 2016-10-12T09:29:09 --delay 7 --endMP 204:233372 --enddatetime 2016-10-12T10:32:08 --enforcementcount 0 &gt;&gt;C:\Users\stu\Documents\GitHub\eaglep3-reporting\EC\2016-10-12-refined-times.txt</v>
      </c>
      <c r="AI37" s="122" t="str">
        <f t="shared" si="18"/>
        <v>echo {"issue":{"subject":"Delayed by Onboard in-route failure","project_id":79,"tracker_id":40,"status_id":1,"priority_id":2,"assigned_to_id":23,"start_date":"2016-10-12","description":"2016-10-12 09:32:03 Multiple CPU Faults","custom_fields":[{"id":1,"name":"Subdivision","value":"EC"},{"id":4,"name":"Milepost","value":"23.3372"},{"id":17,"name":"Train ID","value":"149-12"},{"id":16,"name":"Locomotive ID","value":"4053"},{"id":130,"name":"Impact","value":"Failed State"},{"id":150,"name":"Time of Event (Mountain Time)","value":"10:32:08"},{"id":151,"name":"Denver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7" s="53" t="s">
        <v>357</v>
      </c>
      <c r="AK37" s="53" t="s">
        <v>129</v>
      </c>
      <c r="AL37" s="53" t="s">
        <v>179</v>
      </c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358</v>
      </c>
      <c r="B38" s="7">
        <v>4026</v>
      </c>
      <c r="C38" s="22" t="s">
        <v>99</v>
      </c>
      <c r="D38" s="22" t="s">
        <v>359</v>
      </c>
      <c r="E38" s="13">
        <v>42655.441944444443</v>
      </c>
      <c r="F38" s="13">
        <v>42655.445393518516</v>
      </c>
      <c r="G38" s="7">
        <v>1</v>
      </c>
      <c r="H38" s="13" t="s">
        <v>360</v>
      </c>
      <c r="I38" s="13">
        <v>42655.478125000001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STRICKLAND</v>
      </c>
      <c r="M38" s="6">
        <f t="shared" si="1"/>
        <v>3.2731481485825498E-2</v>
      </c>
      <c r="N38" s="7">
        <f t="shared" si="23"/>
        <v>47.133333339588717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49">
        <f t="shared" si="24"/>
        <v>1</v>
      </c>
      <c r="Y38" s="67">
        <f t="shared" si="8"/>
        <v>23.272500000000001</v>
      </c>
      <c r="Z38" s="67">
        <f t="shared" si="9"/>
        <v>8.9899999999999994E-2</v>
      </c>
      <c r="AA38" s="67">
        <f t="shared" si="10"/>
        <v>23.182600000000001</v>
      </c>
      <c r="AB38" s="64" t="str">
        <f>VLOOKUP(A38,Enforcements!$C$7:$K$21,8,0)</f>
        <v>Speed (6)</v>
      </c>
      <c r="AC38" s="60" t="str">
        <f>VLOOKUP(A38,Enforcements!$C$7:$E$21,3,0)</f>
        <v>PERMANENT SPEED RESTRICTION</v>
      </c>
      <c r="AD38" s="61" t="str">
        <f t="shared" si="11"/>
        <v>0150-12</v>
      </c>
      <c r="AE38" s="91" t="str">
        <f t="shared" si="12"/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AF38" s="88" t="str">
        <f t="shared" si="13"/>
        <v>"C:\Program Files (x86)\AstroGrep\AstroGrep.exe" /spath="%USERPROFILE%\AppData\Local\Temp\OnboardLogs" /stypes="app*4026*20161012*" /stext=" 17:.+((SYSTEM_STATE.+slice.+state.+changed )|(ment ac)|(system.+state.+changed )|(\[timeout)|(PRM\|1\|D)|(kpr)|(kdp)|(\|lc)|(penalty))" /e /r /s</v>
      </c>
      <c r="AG38" s="1" t="str">
        <f t="shared" si="19"/>
        <v>EC</v>
      </c>
      <c r="AH38" s="92" t="str">
        <f t="shared" si="17"/>
        <v>"%USERPROFILE%\Documents\GitHub\eaglep3\Utilities\RefineRTDCRunTimes.py" --tripid 150-12 --locoid 4026 --swversion DE.1.0.7.0 --startMP 204:232725 --initTime 2016-10-12T10:36:24 --startdatetime 2016-10-12T10:41:22 --delay 1 --endMP 204:899 --enddatetime 2016-10-12T11:28:30 --enforcementcount 0 &gt;&gt;C:\Users\stu\Documents\GitHub\eaglep3-reporting\EC\2016-10-12-refined-times.txt</v>
      </c>
      <c r="AI3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{"issue":{"subject":"","project_id":79,"tracker_id":40,"status_id":1,"priority_id":2,"assigned_to_id":23,"start_date":"2016-10-12","description":"","custom_fields":[{"id":1,"name":"Subdivision","value":"EC"},{"id":4,"name":"Milepost","value":"0.0899"},{"id":17,"name":"Train ID","value":"150-12"},{"id":16,"name":"Locomotive ID","value":"4026"},{"id":130,"name":"Impact","value":""},{"id":150,"name":"Time of Event (Mountain Time)","value":"11:28:30"},{"id":151,"name":"Denver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361</v>
      </c>
      <c r="B39" s="7">
        <v>4044</v>
      </c>
      <c r="C39" s="22" t="s">
        <v>99</v>
      </c>
      <c r="D39" s="22" t="s">
        <v>362</v>
      </c>
      <c r="E39" s="13">
        <v>42655.423761574071</v>
      </c>
      <c r="F39" s="13">
        <v>42655.425381944442</v>
      </c>
      <c r="G39" s="7">
        <v>1</v>
      </c>
      <c r="H39" s="13" t="s">
        <v>363</v>
      </c>
      <c r="I39" s="13">
        <v>42655.449918981481</v>
      </c>
      <c r="J39" s="7">
        <v>0</v>
      </c>
      <c r="K39" s="112" t="str">
        <f t="shared" si="0"/>
        <v>4043/4044</v>
      </c>
      <c r="L39" s="22" t="str">
        <f>VLOOKUP(A39,'Trips&amp;Operators'!$C$1:$E$10000,3,FALSE)</f>
        <v>KILLION</v>
      </c>
      <c r="M39" s="6">
        <f t="shared" si="1"/>
        <v>2.453703703940846E-2</v>
      </c>
      <c r="N39" s="7"/>
      <c r="O39" s="7"/>
      <c r="P39" s="7">
        <f>24*60*SUM($M39:$M39)</f>
        <v>35.333333336748183</v>
      </c>
      <c r="Q39" s="23"/>
      <c r="R39" s="23" t="s">
        <v>364</v>
      </c>
      <c r="S39" s="35">
        <f t="shared" si="3"/>
        <v>1</v>
      </c>
      <c r="T39" s="50" t="str">
        <f t="shared" si="4"/>
        <v>NorthBound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09:10:13-0600',mode:absolute,to:'2016-10-12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Y</v>
      </c>
      <c r="X39" s="149">
        <f t="shared" si="24"/>
        <v>1</v>
      </c>
      <c r="Y39" s="67">
        <f t="shared" si="8"/>
        <v>1.9134</v>
      </c>
      <c r="Z39" s="67">
        <f t="shared" si="9"/>
        <v>23.3293</v>
      </c>
      <c r="AA39" s="67">
        <f t="shared" si="10"/>
        <v>21.415900000000001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0151-12</v>
      </c>
      <c r="AE39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39" s="88" t="str">
        <f t="shared" si="13"/>
        <v>"C:\Program Files (x86)\AstroGrep\AstroGrep.exe" /spath="%USERPROFILE%\AppData\Local\Temp\OnboardLogs" /stypes="app*4044*20161012*" /stext=" 16:.+((SYSTEM_STATE.+slice.+state.+changed )|(ment ac)|(system.+state.+changed )|(\[timeout)|(PRM\|1\|D)|(kpr)|(kdp)|(\|lc)|(penalty))" /e /r /s</v>
      </c>
      <c r="AG39" s="1" t="str">
        <f t="shared" si="19"/>
        <v>EC</v>
      </c>
      <c r="AH39" s="92" t="str">
        <f t="shared" si="17"/>
        <v>"%USERPROFILE%\Documents\GitHub\eaglep3\Utilities\RefineRTDCRunTimes.py" --tripid 151-12 --locoid 4044 --swversion DE.1.0.7.0 --startMP 204:19134 --initTime 2016-10-12T10:10:13 --startdatetime 2016-10-12T10:12:33 --delay 1 --endMP 204:233293 --enddatetime 2016-10-12T10:47:53 --enforcementcount 0 &gt;&gt;C:\Users\stu\Documents\GitHub\eaglep3-reporting\EC\2016-10-12-refined-times.txt</v>
      </c>
      <c r="AI39" s="122" t="str">
        <f t="shared" si="18"/>
        <v>echo {"issue":{"subject":"DUS 2N was STOP because 20N was STOP","project_id":79,"tracker_id":40,"status_id":1,"priority_id":2,"assigned_to_id":23,"start_date":"2016-10-12","description":"Title says it all","custom_fields":[{"id":1,"name":"Subdivision","value":"EC"},{"id":4,"name":"Milepost","value":"23.3293"},{"id":17,"name":"Train ID","value":"151-12"},{"id":16,"name":"Locomotive ID","value":"4044"},{"id":130,"name":"Impact","value":"Unexpected Cut-Out or Disengaged"},{"id":150,"name":"Time of Event (Mountain Time)","value":"10:47:53"},{"id":151,"name":"Denver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39" s="53" t="s">
        <v>365</v>
      </c>
      <c r="AK39" s="53" t="s">
        <v>132</v>
      </c>
      <c r="AL39" s="53" t="s">
        <v>144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361</v>
      </c>
      <c r="B40" s="7">
        <v>4044</v>
      </c>
      <c r="C40" s="22" t="s">
        <v>99</v>
      </c>
      <c r="D40" s="22" t="s">
        <v>366</v>
      </c>
      <c r="E40" s="13">
        <v>42655.418287037035</v>
      </c>
      <c r="F40" s="13">
        <v>42655.425381944442</v>
      </c>
      <c r="G40" s="7">
        <v>1</v>
      </c>
      <c r="H40" s="13" t="s">
        <v>367</v>
      </c>
      <c r="I40" s="13">
        <v>42655.449918981481</v>
      </c>
      <c r="J40" s="7">
        <v>0</v>
      </c>
      <c r="K40" s="112" t="str">
        <f t="shared" si="0"/>
        <v>4043/4044</v>
      </c>
      <c r="L40" s="22" t="str">
        <f>VLOOKUP(A40,'Trips&amp;Operators'!$C$1:$E$10000,3,FALSE)</f>
        <v>KILLION</v>
      </c>
      <c r="M40" s="6">
        <f t="shared" si="1"/>
        <v>2.453703703940846E-2</v>
      </c>
      <c r="N40" s="7"/>
      <c r="O40" s="7"/>
      <c r="P40" s="7"/>
      <c r="Q40" s="23"/>
      <c r="R40" s="23"/>
      <c r="S40" s="35"/>
      <c r="T40" s="50" t="str">
        <f t="shared" si="4"/>
        <v>NorthBound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09:02:20-0600',mode:absolute,to:'2016-10-12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52" t="str">
        <f t="shared" si="6"/>
        <v>Y</v>
      </c>
      <c r="X40" s="149">
        <f>VALUE(LEFT(AD40,4))-VALUE(LEFT(AD39,4))</f>
        <v>0</v>
      </c>
      <c r="Y40" s="67">
        <f t="shared" si="8"/>
        <v>7.4300000000000005E-2</v>
      </c>
      <c r="Z40" s="67">
        <f t="shared" si="9"/>
        <v>0.14530000000000001</v>
      </c>
      <c r="AA40" s="67">
        <f t="shared" si="10"/>
        <v>7.1000000000000008E-2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0151-12</v>
      </c>
      <c r="AE40" s="91" t="str">
        <f t="shared" si="12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40" s="88" t="str">
        <f t="shared" si="13"/>
        <v>"C:\Program Files (x86)\AstroGrep\AstroGrep.exe" /spath="%USERPROFILE%\AppData\Local\Temp\OnboardLogs" /stypes="app*4044*20161012*" /stext=" 16:.+((SYSTEM_STATE.+slice.+state.+changed )|(ment ac)|(system.+state.+changed )|(\[timeout)|(PRM\|1\|D)|(kpr)|(kdp)|(\|lc)|(penalty))" /e /r /s</v>
      </c>
      <c r="AG40" s="1" t="str">
        <f t="shared" si="19"/>
        <v>EC</v>
      </c>
      <c r="AH40" s="92" t="str">
        <f t="shared" si="17"/>
        <v>"%USERPROFILE%\Documents\GitHub\eaglep3\Utilities\RefineRTDCRunTimes.py" --tripid 151-12 --locoid 4044 --swversion DE.1.0.7.0 --startMP 204:743 --initTime 2016-10-12T10:02:20 --startdatetime 2016-10-12T10:12:33 --delay 1 --endMP 204:1453 --enddatetime 2016-10-12T10:47:53 --enforcementcount 0 &gt;&gt;C:\Users\stu\Documents\GitHub\eaglep3-reporting\EC\2016-10-12-refined-times.txt</v>
      </c>
      <c r="AI4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{"issue":{"subject":"","project_id":79,"tracker_id":40,"status_id":1,"priority_id":2,"assigned_to_id":23,"start_date":"2016-10-12","description":"","custom_fields":[{"id":1,"name":"Subdivision","value":"EC"},{"id":4,"name":"Milepost","value":"0.1453"},{"id":17,"name":"Train ID","value":"151-12"},{"id":16,"name":"Locomotive ID","value":"4044"},{"id":130,"name":"Impact","value":""},{"id":150,"name":"Time of Event (Mountain Time)","value":"10:47:53"},{"id":151,"name":"Denver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368</v>
      </c>
      <c r="B41" s="7">
        <v>4043</v>
      </c>
      <c r="C41" s="22" t="s">
        <v>99</v>
      </c>
      <c r="D41" s="22" t="s">
        <v>369</v>
      </c>
      <c r="E41" s="13">
        <v>42655.454131944447</v>
      </c>
      <c r="F41" s="13">
        <v>42655.455925925926</v>
      </c>
      <c r="G41" s="7">
        <v>1</v>
      </c>
      <c r="H41" s="13" t="s">
        <v>370</v>
      </c>
      <c r="I41" s="13">
        <v>42655.48337962963</v>
      </c>
      <c r="J41" s="7">
        <v>0</v>
      </c>
      <c r="K41" s="112" t="str">
        <f t="shared" si="0"/>
        <v>4043/4044</v>
      </c>
      <c r="L41" s="22" t="str">
        <f>VLOOKUP(A41,'Trips&amp;Operators'!$C$1:$E$10000,3,FALSE)</f>
        <v>KILLION</v>
      </c>
      <c r="M41" s="6">
        <f t="shared" si="1"/>
        <v>2.7453703703940846E-2</v>
      </c>
      <c r="N41" s="7">
        <f t="shared" ref="N41:N52" si="25">24*60*SUM($M41:$M41)</f>
        <v>39.533333333674818</v>
      </c>
      <c r="O41" s="7"/>
      <c r="P41" s="7"/>
      <c r="Q41" s="23"/>
      <c r="R41" s="23"/>
      <c r="S41" s="35">
        <f t="shared" ref="S41:S85" si="26">SUM(U41:U41)/IF(AG41="EC",12,1)</f>
        <v>1</v>
      </c>
      <c r="T41" s="50" t="str">
        <f t="shared" si="4"/>
        <v>Southbound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09:53:57-0600',mode:absolute,to:'2016-10-12 12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52" t="str">
        <f t="shared" si="6"/>
        <v>N</v>
      </c>
      <c r="X41" s="149">
        <f>VALUE(LEFT(AD41,4))-VALUE(LEFT(AD40,4))</f>
        <v>1</v>
      </c>
      <c r="Y41" s="67">
        <f t="shared" si="8"/>
        <v>23.296500000000002</v>
      </c>
      <c r="Z41" s="67">
        <f t="shared" si="9"/>
        <v>1.43E-2</v>
      </c>
      <c r="AA41" s="67">
        <f t="shared" si="10"/>
        <v>23.282200000000003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0152-12</v>
      </c>
      <c r="AE41" s="91" t="str">
        <f t="shared" si="12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41" s="88" t="str">
        <f t="shared" si="13"/>
        <v>"C:\Program Files (x86)\AstroGrep\AstroGrep.exe" /spath="%USERPROFILE%\AppData\Local\Temp\OnboardLogs" /stypes="app*4043*20161012*" /stext=" 17:.+((SYSTEM_STATE.+slice.+state.+changed )|(ment ac)|(system.+state.+changed )|(\[timeout)|(PRM\|1\|D)|(kpr)|(kdp)|(\|lc)|(penalty))" /e /r /s</v>
      </c>
      <c r="AG41" s="1" t="str">
        <f t="shared" si="19"/>
        <v>EC</v>
      </c>
      <c r="AH41" s="92" t="str">
        <f t="shared" si="17"/>
        <v>"%USERPROFILE%\Documents\GitHub\eaglep3\Utilities\RefineRTDCRunTimes.py" --tripid 152-12 --locoid 4043 --swversion DE.1.0.7.0 --startMP 204:232965 --initTime 2016-10-12T10:53:57 --startdatetime 2016-10-12T10:56:32 --delay 1 --endMP 204:143 --enddatetime 2016-10-12T11:36:04 --enforcementcount 0 &gt;&gt;C:\Users\stu\Documents\GitHub\eaglep3-reporting\EC\2016-10-12-refined-times.txt</v>
      </c>
      <c r="AI4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{"issue":{"subject":"","project_id":79,"tracker_id":40,"status_id":1,"priority_id":2,"assigned_to_id":23,"start_date":"2016-10-12","description":"","custom_fields":[{"id":1,"name":"Subdivision","value":"EC"},{"id":4,"name":"Milepost","value":"0.0143"},{"id":17,"name":"Train ID","value":"152-12"},{"id":16,"name":"Locomotive ID","value":"4043"},{"id":130,"name":"Impact","value":""},{"id":150,"name":"Time of Event (Mountain Time)","value":"11:36:04"},{"id":151,"name":"Denver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371</v>
      </c>
      <c r="B42" s="7">
        <v>4031</v>
      </c>
      <c r="C42" s="22" t="s">
        <v>99</v>
      </c>
      <c r="D42" s="22" t="s">
        <v>372</v>
      </c>
      <c r="E42" s="13">
        <v>42655.425555555557</v>
      </c>
      <c r="F42" s="13">
        <v>42655.426863425928</v>
      </c>
      <c r="G42" s="7">
        <v>1</v>
      </c>
      <c r="H42" s="13" t="s">
        <v>373</v>
      </c>
      <c r="I42" s="13">
        <v>42655.459270833337</v>
      </c>
      <c r="J42" s="7">
        <v>0</v>
      </c>
      <c r="K42" s="112" t="str">
        <f t="shared" si="0"/>
        <v>4031/4032</v>
      </c>
      <c r="L42" s="22" t="str">
        <f>VLOOKUP(A42,'Trips&amp;Operators'!$C$1:$E$10000,3,FALSE)</f>
        <v>SPECTOR</v>
      </c>
      <c r="M42" s="6">
        <f t="shared" si="1"/>
        <v>3.2407407408754807E-2</v>
      </c>
      <c r="N42" s="7">
        <f t="shared" si="25"/>
        <v>46.666666668606922</v>
      </c>
      <c r="O42" s="7"/>
      <c r="P42" s="7"/>
      <c r="Q42" s="23"/>
      <c r="R42" s="23"/>
      <c r="S42" s="35">
        <f t="shared" si="26"/>
        <v>1</v>
      </c>
      <c r="T42" s="50" t="str">
        <f t="shared" si="4"/>
        <v>NorthBound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09:12:48-0600',mode:absolute,to:'2016-10-12 12:01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2" s="52" t="str">
        <f t="shared" si="6"/>
        <v>N</v>
      </c>
      <c r="X42" s="149">
        <f>VALUE(LEFT(AD42,4))-VALUE(LEFT(AD41,4))</f>
        <v>1</v>
      </c>
      <c r="Y42" s="67">
        <f t="shared" si="8"/>
        <v>4.2200000000000001E-2</v>
      </c>
      <c r="Z42" s="67">
        <f t="shared" si="9"/>
        <v>23.328600000000002</v>
      </c>
      <c r="AA42" s="67">
        <f t="shared" si="10"/>
        <v>23.2864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0153-12</v>
      </c>
      <c r="AE42" s="91" t="str">
        <f t="shared" si="12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42" s="88" t="str">
        <f t="shared" si="13"/>
        <v>"C:\Program Files (x86)\AstroGrep\AstroGrep.exe" /spath="%USERPROFILE%\AppData\Local\Temp\OnboardLogs" /stypes="app*4031*20161012*" /stext=" 17:.+((SYSTEM_STATE.+slice.+state.+changed )|(ment ac)|(system.+state.+changed )|(\[timeout)|(PRM\|1\|D)|(kpr)|(kdp)|(\|lc)|(penalty))" /e /r /s</v>
      </c>
      <c r="AG42" s="1" t="str">
        <f t="shared" si="19"/>
        <v>EC</v>
      </c>
      <c r="AH42" s="92" t="str">
        <f t="shared" si="17"/>
        <v>"%USERPROFILE%\Documents\GitHub\eaglep3\Utilities\RefineRTDCRunTimes.py" --tripid 153-12 --locoid 4031 --swversion DE.1.0.7.0 --startMP 204:422 --initTime 2016-10-12T10:12:48 --startdatetime 2016-10-12T10:14:41 --delay 1 --endMP 204:233286 --enddatetime 2016-10-12T11:01:21 --enforcementcount 0 &gt;&gt;C:\Users\stu\Documents\GitHub\eaglep3-reporting\EC\2016-10-12-refined-times.txt</v>
      </c>
      <c r="AI4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{"issue":{"subject":"","project_id":79,"tracker_id":40,"status_id":1,"priority_id":2,"assigned_to_id":23,"start_date":"2016-10-12","description":"","custom_fields":[{"id":1,"name":"Subdivision","value":"EC"},{"id":4,"name":"Milepost","value":"23.3286"},{"id":17,"name":"Train ID","value":"153-12"},{"id":16,"name":"Locomotive ID","value":"4031"},{"id":130,"name":"Impact","value":""},{"id":150,"name":"Time of Event (Mountain Time)","value":"11:01:21"},{"id":151,"name":"Denver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374</v>
      </c>
      <c r="B43" s="7">
        <v>4032</v>
      </c>
      <c r="C43" s="22" t="s">
        <v>99</v>
      </c>
      <c r="D43" s="22" t="s">
        <v>375</v>
      </c>
      <c r="E43" s="13">
        <v>42655.464363425926</v>
      </c>
      <c r="F43" s="13">
        <v>42655.466192129628</v>
      </c>
      <c r="G43" s="7">
        <v>1</v>
      </c>
      <c r="H43" s="13" t="s">
        <v>376</v>
      </c>
      <c r="I43" s="13">
        <v>42655.495208333334</v>
      </c>
      <c r="J43" s="7">
        <v>0</v>
      </c>
      <c r="K43" s="112" t="str">
        <f t="shared" si="0"/>
        <v>4031/4032</v>
      </c>
      <c r="L43" s="22" t="str">
        <f>VLOOKUP(A43,'Trips&amp;Operators'!$C$1:$E$10000,3,FALSE)</f>
        <v>ROCHA</v>
      </c>
      <c r="M43" s="6">
        <f t="shared" si="1"/>
        <v>2.9016203705396038E-2</v>
      </c>
      <c r="N43" s="7">
        <f t="shared" si="25"/>
        <v>41.783333335770294</v>
      </c>
      <c r="O43" s="7"/>
      <c r="P43" s="7"/>
      <c r="Q43" s="23"/>
      <c r="R43" s="23"/>
      <c r="S43" s="35">
        <f t="shared" si="26"/>
        <v>1</v>
      </c>
      <c r="T43" s="50" t="str">
        <f t="shared" si="4"/>
        <v>Southbound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10:08:41-0600',mode:absolute,to:'2016-10-12 12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3" s="52" t="str">
        <f t="shared" si="6"/>
        <v>N</v>
      </c>
      <c r="X43" s="149">
        <f t="shared" ref="X43:X106" si="27">VALUE(LEFT(AD43,4))-VALUE(LEFT(AD42,4))</f>
        <v>1</v>
      </c>
      <c r="Y43" s="67">
        <f t="shared" si="8"/>
        <v>23.298999999999999</v>
      </c>
      <c r="Z43" s="67">
        <f t="shared" si="9"/>
        <v>1.4999999999999999E-2</v>
      </c>
      <c r="AA43" s="67">
        <f t="shared" si="10"/>
        <v>23.283999999999999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0154-12</v>
      </c>
      <c r="AE43" s="91" t="str">
        <f t="shared" si="12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43" s="88" t="str">
        <f t="shared" si="13"/>
        <v>"C:\Program Files (x86)\AstroGrep\AstroGrep.exe" /spath="%USERPROFILE%\AppData\Local\Temp\OnboardLogs" /stypes="app*4032*20161012*" /stext=" 17:.+((SYSTEM_STATE.+slice.+state.+changed )|(ment ac)|(system.+state.+changed )|(\[timeout)|(PRM\|1\|D)|(kpr)|(kdp)|(\|lc)|(penalty))" /e /r /s</v>
      </c>
      <c r="AG43" s="1" t="str">
        <f t="shared" si="19"/>
        <v>EC</v>
      </c>
      <c r="AH43" s="92" t="str">
        <f t="shared" si="17"/>
        <v>"%USERPROFILE%\Documents\GitHub\eaglep3\Utilities\RefineRTDCRunTimes.py" --tripid 154-12 --locoid 4032 --swversion DE.1.0.7.0 --startMP 204:232990 --initTime 2016-10-12T11:08:41 --startdatetime 2016-10-12T11:11:19 --delay 1 --endMP 204:150 --enddatetime 2016-10-12T11:53:06 --enforcementcount 0 &gt;&gt;C:\Users\stu\Documents\GitHub\eaglep3-reporting\EC\2016-10-12-refined-times.txt</v>
      </c>
      <c r="AI4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ID","value":"154-12"},{"id":16,"name":"Locomotive ID","value":"4032"},{"id":130,"name":"Impact","value":""},{"id":150,"name":"Time of Event (Mountain Time)","value":"11:53:06"},{"id":151,"name":"Denver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377</v>
      </c>
      <c r="B44" s="7">
        <v>4018</v>
      </c>
      <c r="C44" s="22" t="s">
        <v>99</v>
      </c>
      <c r="D44" s="22" t="s">
        <v>378</v>
      </c>
      <c r="E44" s="13">
        <v>42655.434733796297</v>
      </c>
      <c r="F44" s="13">
        <v>42655.437939814816</v>
      </c>
      <c r="G44" s="7">
        <v>3</v>
      </c>
      <c r="H44" s="13" t="s">
        <v>379</v>
      </c>
      <c r="I44" s="13">
        <v>42655.470972222225</v>
      </c>
      <c r="J44" s="7">
        <v>0</v>
      </c>
      <c r="K44" s="112" t="str">
        <f t="shared" si="0"/>
        <v>4017/4018</v>
      </c>
      <c r="L44" s="22" t="str">
        <f>VLOOKUP(A44,'Trips&amp;Operators'!$C$1:$E$10000,3,FALSE)</f>
        <v>STARKS</v>
      </c>
      <c r="M44" s="6">
        <f t="shared" si="1"/>
        <v>3.3032407409336884E-2</v>
      </c>
      <c r="N44" s="7">
        <f t="shared" si="25"/>
        <v>47.566666669445112</v>
      </c>
      <c r="O44" s="7"/>
      <c r="P44" s="7"/>
      <c r="Q44" s="23"/>
      <c r="R44" s="23" t="s">
        <v>380</v>
      </c>
      <c r="S44" s="35">
        <f t="shared" si="26"/>
        <v>0</v>
      </c>
      <c r="T44" s="50" t="e">
        <f t="shared" si="4"/>
        <v>#VALUE!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09:26:01-0600',mode:absolute,to:'2016-10-12 12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4" s="52" t="str">
        <f t="shared" si="6"/>
        <v>N</v>
      </c>
      <c r="X44" s="149" t="e">
        <f>VALUE(LEFT(AD44,4))-VALUE(LEFT(AD25,4))</f>
        <v>#VALUE!</v>
      </c>
      <c r="Y44" s="67">
        <f t="shared" si="8"/>
        <v>7.2599999999999998E-2</v>
      </c>
      <c r="Z44" s="67">
        <f t="shared" si="9"/>
        <v>23.317799999999998</v>
      </c>
      <c r="AA44" s="67">
        <f t="shared" si="10"/>
        <v>23.245199999999997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53-12</v>
      </c>
      <c r="AE44" s="91" t="str">
        <f t="shared" si="12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44" s="88" t="str">
        <f t="shared" si="13"/>
        <v>"C:\Program Files (x86)\AstroGrep\AstroGrep.exe" /spath="%USERPROFILE%\AppData\Local\Temp\OnboardLogs" /stypes="app*4018*20161012*" /stext=" 17:.+((SYSTEM_STATE.+slice.+state.+changed )|(ment ac)|(system.+state.+changed )|(\[timeout)|(PRM\|1\|D)|(kpr)|(kdp)|(\|lc)|(penalty))" /e /r /s</v>
      </c>
      <c r="AG44" s="1" t="s">
        <v>106</v>
      </c>
      <c r="AH44" s="92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53-12 --locoid 4018 --swversion DE.1.0.7.0 --startMP 204:726 --initTime 2016-10-12T10:26:01 --startdatetime 2016-10-12T10:30:38 --delay 3 --endMP 204:233178 --enddatetime 2016-10-12T11:18:12 --enforcementcount 0 &gt;&gt;C:\Users\stu\Documents\GitHub\eaglep3-reporting\EC\2016-10-12-refined-times.txt</v>
      </c>
      <c r="AI44" s="122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{"issue":{"subject":"Alias for 155-12","project_id":79,"tracker_id":40,"status_id":1,"priority_id":2,"assigned_to_id":23,"start_date":"2016-10-12","description":"","custom_fields":[{"id":1,"name":"Subdivision","value":"EC"},{"id":4,"name":"Milepost","value":"23.3178"},{"id":17,"name":"Train ID","value":"53-12"},{"id":16,"name":"Locomotive ID","value":"4018"},{"id":130,"name":"Impact","value":""},{"id":150,"name":"Time of Event (Mountain Time)","value":"11:18:12"},{"id":151,"name":"Denver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381</v>
      </c>
      <c r="B45" s="7">
        <v>4017</v>
      </c>
      <c r="C45" s="22" t="s">
        <v>99</v>
      </c>
      <c r="D45" s="22" t="s">
        <v>382</v>
      </c>
      <c r="E45" s="13">
        <v>42655.476203703707</v>
      </c>
      <c r="F45" s="13">
        <v>42655.47792824074</v>
      </c>
      <c r="G45" s="7">
        <v>1</v>
      </c>
      <c r="H45" s="13" t="s">
        <v>329</v>
      </c>
      <c r="I45" s="13">
        <v>42655.510462962964</v>
      </c>
      <c r="J45" s="7">
        <v>0</v>
      </c>
      <c r="K45" s="112" t="str">
        <f t="shared" si="0"/>
        <v>4017/4018</v>
      </c>
      <c r="L45" s="22" t="str">
        <f>VLOOKUP(A45,'Trips&amp;Operators'!$C$1:$E$10000,3,FALSE)</f>
        <v>STARKS</v>
      </c>
      <c r="M45" s="6">
        <f t="shared" si="1"/>
        <v>3.2534722224227153E-2</v>
      </c>
      <c r="N45" s="7">
        <f t="shared" si="25"/>
        <v>46.8500000028871</v>
      </c>
      <c r="O45" s="7"/>
      <c r="P45" s="7"/>
      <c r="Q45" s="23"/>
      <c r="R45" s="23"/>
      <c r="S45" s="35">
        <f t="shared" si="26"/>
        <v>1</v>
      </c>
      <c r="T45" s="50" t="str">
        <f t="shared" si="4"/>
        <v>Southbound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10:25:44-0600',mode:absolute,to:'2016-10-12 13:15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5" s="52" t="str">
        <f t="shared" si="6"/>
        <v>N</v>
      </c>
      <c r="X45" s="149">
        <f>VALUE(LEFT(AD45,4))-VALUE(LEFT(AD43,4))</f>
        <v>2</v>
      </c>
      <c r="Y45" s="67">
        <f t="shared" si="8"/>
        <v>23.285</v>
      </c>
      <c r="Z45" s="67">
        <f t="shared" si="9"/>
        <v>1.4500000000000001E-2</v>
      </c>
      <c r="AA45" s="67">
        <f t="shared" si="10"/>
        <v>23.270499999999998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11"/>
        <v>0156-12</v>
      </c>
      <c r="AE45" s="91" t="str">
        <f t="shared" ref="AE45:AE76" si="28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45" s="88" t="str">
        <f t="shared" ref="AF45:AF76" si="29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/stypes="app*4017*20161012*" /stext=" 18:.+((SYSTEM_STATE.+slice.+state.+changed )|(ment ac)|(system.+state.+changed )|(\[timeout)|(PRM\|1\|D)|(kpr)|(kdp)|(\|lc)|(penalty))" /e /r /s</v>
      </c>
      <c r="AG45" s="1" t="str">
        <f t="shared" ref="AG45:AG108" si="30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156-12 --locoid 4017 --swversion DE.1.0.7.0 --startMP 204:232850 --initTime 2016-10-12T11:25:44 --startdatetime 2016-10-12T11:28:13 --delay 1 --endMP 204:145 --enddatetime 2016-10-12T12:15:04 --enforcementcount 0 &gt;&gt;C:\Users\stu\Documents\GitHub\eaglep3-reporting\EC\2016-10-12-refined-times.txt</v>
      </c>
      <c r="AI4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ID","value":"156-12"},{"id":16,"name":"Locomotive ID","value":"4017"},{"id":130,"name":"Impact","value":""},{"id":150,"name":"Time of Event (Mountain Time)","value":"12:15:04"},{"id":151,"name":"Denver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383</v>
      </c>
      <c r="B46" s="7">
        <v>4016</v>
      </c>
      <c r="C46" s="22" t="s">
        <v>99</v>
      </c>
      <c r="D46" s="22" t="s">
        <v>384</v>
      </c>
      <c r="E46" s="13">
        <v>42655.443796296298</v>
      </c>
      <c r="F46" s="13">
        <v>42655.448310185187</v>
      </c>
      <c r="G46" s="7">
        <v>4</v>
      </c>
      <c r="H46" s="13" t="s">
        <v>385</v>
      </c>
      <c r="I46" s="13">
        <v>42655.481319444443</v>
      </c>
      <c r="J46" s="7">
        <v>0</v>
      </c>
      <c r="K46" s="112" t="str">
        <f t="shared" si="0"/>
        <v>4015/4016</v>
      </c>
      <c r="L46" s="22" t="str">
        <f>VLOOKUP(A46,'Trips&amp;Operators'!$C$1:$E$10000,3,FALSE)</f>
        <v>GRASTON</v>
      </c>
      <c r="M46" s="6">
        <f t="shared" si="1"/>
        <v>3.3009259255777579E-2</v>
      </c>
      <c r="N46" s="7">
        <f t="shared" si="25"/>
        <v>47.533333328319713</v>
      </c>
      <c r="O46" s="7"/>
      <c r="P46" s="7"/>
      <c r="Q46" s="23"/>
      <c r="R46" s="23"/>
      <c r="S46" s="35">
        <f t="shared" si="26"/>
        <v>1</v>
      </c>
      <c r="T46" s="50" t="str">
        <f t="shared" si="4"/>
        <v>NorthBound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09:39:04-0600',mode:absolute,to:'2016-10-12 12:33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6" s="52" t="str">
        <f t="shared" si="6"/>
        <v>N</v>
      </c>
      <c r="X46" s="149">
        <f t="shared" si="27"/>
        <v>1</v>
      </c>
      <c r="Y46" s="67">
        <f t="shared" si="8"/>
        <v>4.3099999999999999E-2</v>
      </c>
      <c r="Z46" s="67">
        <f t="shared" si="9"/>
        <v>23.3276</v>
      </c>
      <c r="AA46" s="67">
        <f t="shared" si="10"/>
        <v>23.284500000000001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0157-12</v>
      </c>
      <c r="AE46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46" s="88" t="str">
        <f t="shared" si="29"/>
        <v>"C:\Program Files (x86)\AstroGrep\AstroGrep.exe" /spath="%USERPROFILE%\AppData\Local\Temp\OnboardLogs" /stypes="app*4016*20161012*" /stext=" 17:.+((SYSTEM_STATE.+slice.+state.+changed )|(ment ac)|(system.+state.+changed )|(\[timeout)|(PRM\|1\|D)|(kpr)|(kdp)|(\|lc)|(penalty))" /e /r /s</v>
      </c>
      <c r="AG46" s="1" t="str">
        <f t="shared" si="30"/>
        <v>EC</v>
      </c>
      <c r="AH46" s="92" t="str">
        <f t="shared" si="17"/>
        <v>"%USERPROFILE%\Documents\GitHub\eaglep3\Utilities\RefineRTDCRunTimes.py" --tripid 157-12 --locoid 4016 --swversion DE.1.0.7.0 --startMP 204:431 --initTime 2016-10-12T10:39:04 --startdatetime 2016-10-12T10:45:34 --delay 4 --endMP 204:233276 --enddatetime 2016-10-12T11:33:06 --enforcementcount 0 &gt;&gt;C:\Users\stu\Documents\GitHub\eaglep3-reporting\EC\2016-10-12-refined-times.txt</v>
      </c>
      <c r="AI4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{"issue":{"subject":"","project_id":79,"tracker_id":40,"status_id":1,"priority_id":2,"assigned_to_id":23,"start_date":"2016-10-12","description":"","custom_fields":[{"id":1,"name":"Subdivision","value":"EC"},{"id":4,"name":"Milepost","value":"23.3276"},{"id":17,"name":"Train ID","value":"157-12"},{"id":16,"name":"Locomotive ID","value":"4016"},{"id":130,"name":"Impact","value":""},{"id":150,"name":"Time of Event (Mountain Time)","value":"11:33:06"},{"id":151,"name":"Denver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386</v>
      </c>
      <c r="B47" s="7">
        <v>4015</v>
      </c>
      <c r="C47" s="22" t="s">
        <v>99</v>
      </c>
      <c r="D47" s="22" t="s">
        <v>387</v>
      </c>
      <c r="E47" s="13">
        <v>42655.48333333333</v>
      </c>
      <c r="F47" s="13">
        <v>42655.487002314818</v>
      </c>
      <c r="G47" s="7">
        <v>3</v>
      </c>
      <c r="H47" s="13" t="s">
        <v>329</v>
      </c>
      <c r="I47" s="13">
        <v>42655.515138888892</v>
      </c>
      <c r="J47" s="7">
        <v>0</v>
      </c>
      <c r="K47" s="112" t="str">
        <f t="shared" si="0"/>
        <v>4015/4016</v>
      </c>
      <c r="L47" s="22" t="str">
        <f>VLOOKUP(A47,'Trips&amp;Operators'!$C$1:$E$10000,3,FALSE)</f>
        <v>GRASTON</v>
      </c>
      <c r="M47" s="6">
        <f t="shared" si="1"/>
        <v>2.8136574073869269E-2</v>
      </c>
      <c r="N47" s="7">
        <f t="shared" si="25"/>
        <v>40.516666666371748</v>
      </c>
      <c r="O47" s="7"/>
      <c r="P47" s="7"/>
      <c r="Q47" s="23"/>
      <c r="R47" s="23"/>
      <c r="S47" s="35">
        <f t="shared" si="26"/>
        <v>1</v>
      </c>
      <c r="T47" s="50" t="str">
        <f t="shared" si="4"/>
        <v>Southbound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10:36:00-0600',mode:absolute,to:'2016-10-12 13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7" s="52" t="str">
        <f t="shared" si="6"/>
        <v>N</v>
      </c>
      <c r="X47" s="149">
        <f t="shared" si="27"/>
        <v>1</v>
      </c>
      <c r="Y47" s="67">
        <f t="shared" si="8"/>
        <v>23.296900000000001</v>
      </c>
      <c r="Z47" s="67">
        <f t="shared" si="9"/>
        <v>1.4500000000000001E-2</v>
      </c>
      <c r="AA47" s="67">
        <f t="shared" si="10"/>
        <v>23.282399999999999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0158-12</v>
      </c>
      <c r="AE47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47" s="88" t="str">
        <f t="shared" si="29"/>
        <v>"C:\Program Files (x86)\AstroGrep\AstroGrep.exe" /spath="%USERPROFILE%\AppData\Local\Temp\OnboardLogs" /stypes="app*4015*20161012*" /stext=" 18:.+((SYSTEM_STATE.+slice.+state.+changed )|(ment ac)|(system.+state.+changed )|(\[timeout)|(PRM\|1\|D)|(kpr)|(kdp)|(\|lc)|(penalty))" /e /r /s</v>
      </c>
      <c r="AG47" s="1" t="str">
        <f t="shared" si="30"/>
        <v>EC</v>
      </c>
      <c r="AH47" s="92" t="str">
        <f t="shared" si="17"/>
        <v>"%USERPROFILE%\Documents\GitHub\eaglep3\Utilities\RefineRTDCRunTimes.py" --tripid 158-12 --locoid 4015 --swversion DE.1.0.7.0 --startMP 204:232969 --initTime 2016-10-12T11:36:00 --startdatetime 2016-10-12T11:41:17 --delay 3 --endMP 204:145 --enddatetime 2016-10-12T12:21:48 --enforcementcount 0 &gt;&gt;C:\Users\stu\Documents\GitHub\eaglep3-reporting\EC\2016-10-12-refined-times.txt</v>
      </c>
      <c r="AI4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ID","value":"158-12"},{"id":16,"name":"Locomotive ID","value":"4015"},{"id":130,"name":"Impact","value":""},{"id":150,"name":"Time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388</v>
      </c>
      <c r="B48" s="7">
        <v>4046</v>
      </c>
      <c r="C48" s="22" t="s">
        <v>99</v>
      </c>
      <c r="D48" s="22" t="s">
        <v>389</v>
      </c>
      <c r="E48" s="13">
        <v>42655.453229166669</v>
      </c>
      <c r="F48" s="13">
        <v>42655.458807870367</v>
      </c>
      <c r="G48" s="7">
        <v>2</v>
      </c>
      <c r="H48" s="13" t="s">
        <v>258</v>
      </c>
      <c r="I48" s="13">
        <v>42655.486006944448</v>
      </c>
      <c r="J48" s="7">
        <v>0</v>
      </c>
      <c r="K48" s="112" t="str">
        <f t="shared" si="0"/>
        <v>4045/4046</v>
      </c>
      <c r="L48" s="22" t="str">
        <f>VLOOKUP(A48,'Trips&amp;Operators'!$C$1:$E$10000,3,FALSE)</f>
        <v>BONDS</v>
      </c>
      <c r="M48" s="6">
        <f t="shared" si="1"/>
        <v>2.7199074080272112E-2</v>
      </c>
      <c r="N48" s="7">
        <f t="shared" si="25"/>
        <v>39.166666675591841</v>
      </c>
      <c r="O48" s="7"/>
      <c r="P48" s="7"/>
      <c r="Q48" s="23"/>
      <c r="R48" s="23"/>
      <c r="S48" s="35">
        <f t="shared" si="26"/>
        <v>1</v>
      </c>
      <c r="T48" s="50" t="str">
        <f t="shared" si="4"/>
        <v>NorthBound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09:52:39-0600',mode:absolute,to:'2016-10-12 12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8" s="52" t="str">
        <f t="shared" si="6"/>
        <v>N</v>
      </c>
      <c r="X48" s="149">
        <f t="shared" si="27"/>
        <v>1</v>
      </c>
      <c r="Y48" s="67">
        <f t="shared" si="8"/>
        <v>4.4699999999999997E-2</v>
      </c>
      <c r="Z48" s="67">
        <f t="shared" si="9"/>
        <v>23.331399999999999</v>
      </c>
      <c r="AA48" s="67">
        <f t="shared" si="10"/>
        <v>23.2867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0159-12</v>
      </c>
      <c r="AE48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48" s="88" t="str">
        <f t="shared" si="29"/>
        <v>"C:\Program Files (x86)\AstroGrep\AstroGrep.exe" /spath="%USERPROFILE%\AppData\Local\Temp\OnboardLogs" /stypes="app*4046*20161012*" /stext=" 17:.+((SYSTEM_STATE.+slice.+state.+changed )|(ment ac)|(system.+state.+changed )|(\[timeout)|(PRM\|1\|D)|(kpr)|(kdp)|(\|lc)|(penalty))" /e /r /s</v>
      </c>
      <c r="AG48" s="1" t="str">
        <f t="shared" si="30"/>
        <v>EC</v>
      </c>
      <c r="AH48" s="92" t="str">
        <f t="shared" si="17"/>
        <v>"%USERPROFILE%\Documents\GitHub\eaglep3\Utilities\RefineRTDCRunTimes.py" --tripid 159-12 --locoid 4046 --swversion DE.1.0.7.0 --startMP 204:447 --initTime 2016-10-12T10:52:39 --startdatetime 2016-10-12T11:00:41 --delay 2 --endMP 204:233314 --enddatetime 2016-10-12T11:39:51 --enforcementcount 0 &gt;&gt;C:\Users\stu\Documents\GitHub\eaglep3-reporting\EC\2016-10-12-refined-times.txt</v>
      </c>
      <c r="AI4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ID","value":"159-12"},{"id":16,"name":"Locomotive ID","value":"4046"},{"id":130,"name":"Impact","value":""},{"id":150,"name":"Time of Event (Mountain Time)","value":"11:39:51"},{"id":151,"name":"Denver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271</v>
      </c>
      <c r="B49" s="7">
        <v>4045</v>
      </c>
      <c r="C49" s="22" t="s">
        <v>99</v>
      </c>
      <c r="D49" s="22" t="s">
        <v>390</v>
      </c>
      <c r="E49" s="13">
        <v>42655.491226851853</v>
      </c>
      <c r="F49" s="13">
        <v>42655.497372685182</v>
      </c>
      <c r="G49" s="7">
        <v>1</v>
      </c>
      <c r="H49" s="13" t="s">
        <v>391</v>
      </c>
      <c r="I49" s="13">
        <v>42655.527071759258</v>
      </c>
      <c r="J49" s="7">
        <v>0</v>
      </c>
      <c r="K49" s="112" t="str">
        <f t="shared" si="0"/>
        <v>4045/4046</v>
      </c>
      <c r="L49" s="22" t="str">
        <f>VLOOKUP(A49,'Trips&amp;Operators'!$C$1:$E$10000,3,FALSE)</f>
        <v>BONDS</v>
      </c>
      <c r="M49" s="6">
        <f t="shared" si="1"/>
        <v>2.9699074075324461E-2</v>
      </c>
      <c r="N49" s="7">
        <f t="shared" si="25"/>
        <v>42.766666668467224</v>
      </c>
      <c r="O49" s="7"/>
      <c r="P49" s="7"/>
      <c r="Q49" s="23"/>
      <c r="R49" s="23"/>
      <c r="S49" s="35">
        <f t="shared" si="26"/>
        <v>1</v>
      </c>
      <c r="T49" s="50" t="str">
        <f t="shared" si="4"/>
        <v>Southbound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9" s="52" t="str">
        <f t="shared" si="6"/>
        <v>N</v>
      </c>
      <c r="X49" s="149">
        <f t="shared" si="27"/>
        <v>1</v>
      </c>
      <c r="Y49" s="67">
        <f t="shared" si="8"/>
        <v>23.299299999999999</v>
      </c>
      <c r="Z49" s="67">
        <f t="shared" si="9"/>
        <v>1.32E-2</v>
      </c>
      <c r="AA49" s="67">
        <f t="shared" si="10"/>
        <v>23.286099999999998</v>
      </c>
      <c r="AB49" s="64" t="str">
        <f>VLOOKUP(A49,Enforcements!$C$7:$K$21,8,0)</f>
        <v>Bulletin (2)</v>
      </c>
      <c r="AC49" s="60" t="str">
        <f>VLOOKUP(A49,Enforcements!$C$7:$E$21,3,0)</f>
        <v>GRADE CROSSING</v>
      </c>
      <c r="AD49" s="61" t="str">
        <f t="shared" si="11"/>
        <v>0160-12</v>
      </c>
      <c r="AE49" s="91" t="str">
        <f t="shared" si="28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49" s="88" t="str">
        <f t="shared" si="29"/>
        <v>"C:\Program Files (x86)\AstroGrep\AstroGrep.exe" /spath="%USERPROFILE%\AppData\Local\Temp\OnboardLogs" /stypes="app*4045*20161012*" /stext=" 18:.+((SYSTEM_STATE.+slice.+state.+changed )|(ment ac)|(system.+state.+changed )|(\[timeout)|(PRM\|1\|D)|(kpr)|(kdp)|(\|lc)|(penalty))" /e /r /s</v>
      </c>
      <c r="AG49" s="1" t="str">
        <f t="shared" si="30"/>
        <v>EC</v>
      </c>
      <c r="AH49" s="92" t="str">
        <f t="shared" si="17"/>
        <v>"%USERPROFILE%\Documents\GitHub\eaglep3\Utilities\RefineRTDCRunTimes.py" --tripid 160-12 --locoid 4045 --swversion DE.1.0.7.0 --startMP 204:232993 --initTime 2016-10-12T11:47:22 --startdatetime 2016-10-12T11:56:13 --delay 1 --endMP 204:132 --enddatetime 2016-10-12T12:38:59 --enforcementcount 0 &gt;&gt;C:\Users\stu\Documents\GitHub\eaglep3-reporting\EC\2016-10-12-refined-times.txt</v>
      </c>
      <c r="AI4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{"issue":{"subject":"","project_id":79,"tracker_id":40,"status_id":1,"priority_id":2,"assigned_to_id":23,"start_date":"2016-10-12","description":"","custom_fields":[{"id":1,"name":"Subdivision","value":"EC"},{"id":4,"name":"Milepost","value":"0.0132"},{"id":17,"name":"Train ID","value":"160-12"},{"id":16,"name":"Locomotive ID","value":"4045"},{"id":130,"name":"Impact","value":""},{"id":150,"name":"Time of Event (Mountain Time)","value":"12:38:59"},{"id":151,"name":"Denver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392</v>
      </c>
      <c r="B50" s="7">
        <v>4007</v>
      </c>
      <c r="C50" s="22" t="s">
        <v>99</v>
      </c>
      <c r="D50" s="22" t="s">
        <v>393</v>
      </c>
      <c r="E50" s="13">
        <v>42655.469467592593</v>
      </c>
      <c r="F50" s="13">
        <v>42655.471585648149</v>
      </c>
      <c r="G50" s="7">
        <v>2</v>
      </c>
      <c r="H50" s="13" t="s">
        <v>394</v>
      </c>
      <c r="I50" s="13">
        <v>42655.500775462962</v>
      </c>
      <c r="J50" s="7">
        <v>0</v>
      </c>
      <c r="K50" s="112" t="str">
        <f t="shared" si="0"/>
        <v>4007/4008</v>
      </c>
      <c r="L50" s="22" t="str">
        <f>VLOOKUP(A50,'Trips&amp;Operators'!$C$1:$E$10000,3,FALSE)</f>
        <v>BARTLETT</v>
      </c>
      <c r="M50" s="6">
        <f t="shared" si="1"/>
        <v>2.9189814813435078E-2</v>
      </c>
      <c r="N50" s="7">
        <f t="shared" si="25"/>
        <v>42.033333331346512</v>
      </c>
      <c r="O50" s="7"/>
      <c r="P50" s="7"/>
      <c r="Q50" s="23"/>
      <c r="R50" s="23"/>
      <c r="S50" s="35">
        <f t="shared" si="26"/>
        <v>1</v>
      </c>
      <c r="T50" s="50" t="str">
        <f t="shared" si="4"/>
        <v>NorthBound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10:16:02-0600',mode:absolute,to:'2016-10-12 13:01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2" t="str">
        <f t="shared" si="6"/>
        <v>N</v>
      </c>
      <c r="X50" s="149">
        <f t="shared" si="27"/>
        <v>1</v>
      </c>
      <c r="Y50" s="67">
        <f t="shared" si="8"/>
        <v>8.0100000000000005E-2</v>
      </c>
      <c r="Z50" s="67">
        <f t="shared" si="9"/>
        <v>23.339700000000001</v>
      </c>
      <c r="AA50" s="67">
        <f t="shared" si="10"/>
        <v>23.259599999999999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0161-12</v>
      </c>
      <c r="AE50" s="91" t="str">
        <f t="shared" si="2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50" s="88" t="str">
        <f t="shared" si="29"/>
        <v>"C:\Program Files (x86)\AstroGrep\AstroGrep.exe" /spath="%USERPROFILE%\AppData\Local\Temp\OnboardLogs" /stypes="app*4007*20161012*" /stext=" 18:.+((SYSTEM_STATE.+slice.+state.+changed )|(ment ac)|(system.+state.+changed )|(\[timeout)|(PRM\|1\|D)|(kpr)|(kdp)|(\|lc)|(penalty))" /e /r /s</v>
      </c>
      <c r="AG50" s="1" t="str">
        <f t="shared" si="30"/>
        <v>EC</v>
      </c>
      <c r="AH50" s="92" t="str">
        <f t="shared" si="17"/>
        <v>"%USERPROFILE%\Documents\GitHub\eaglep3\Utilities\RefineRTDCRunTimes.py" --tripid 161-12 --locoid 4007 --swversion DE.1.0.7.0 --startMP 204:801 --initTime 2016-10-12T11:16:02 --startdatetime 2016-10-12T11:19:05 --delay 2 --endMP 204:233397 --enddatetime 2016-10-12T12:01:07 --enforcementcount 0 &gt;&gt;C:\Users\stu\Documents\GitHub\eaglep3-reporting\EC\2016-10-12-refined-times.txt</v>
      </c>
      <c r="AI5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{"issue":{"subject":"","project_id":79,"tracker_id":40,"status_id":1,"priority_id":2,"assigned_to_id":23,"start_date":"2016-10-12","description":"","custom_fields":[{"id":1,"name":"Subdivision","value":"EC"},{"id":4,"name":"Milepost","value":"23.3397"},{"id":17,"name":"Train ID","value":"161-12"},{"id":16,"name":"Locomotive ID","value":"4007"},{"id":130,"name":"Impact","value":""},{"id":150,"name":"Time of Event (Mountain Time)","value":"12:01:07"},{"id":151,"name":"Denver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395</v>
      </c>
      <c r="B51" s="7">
        <v>4008</v>
      </c>
      <c r="C51" s="22" t="s">
        <v>99</v>
      </c>
      <c r="D51" s="22" t="s">
        <v>396</v>
      </c>
      <c r="E51" s="13">
        <v>42655.504328703704</v>
      </c>
      <c r="F51" s="13">
        <v>42655.507974537039</v>
      </c>
      <c r="G51" s="7">
        <v>2</v>
      </c>
      <c r="H51" s="13" t="s">
        <v>176</v>
      </c>
      <c r="I51" s="13">
        <v>42655.538877314815</v>
      </c>
      <c r="J51" s="7">
        <v>0</v>
      </c>
      <c r="K51" s="112" t="str">
        <f t="shared" si="0"/>
        <v>4007/4008</v>
      </c>
      <c r="L51" s="22" t="str">
        <f>VLOOKUP(A51,'Trips&amp;Operators'!$C$1:$E$10000,3,FALSE)</f>
        <v>BARTLETT</v>
      </c>
      <c r="M51" s="6">
        <f t="shared" si="1"/>
        <v>3.0902777776645962E-2</v>
      </c>
      <c r="N51" s="7">
        <f t="shared" si="25"/>
        <v>44.499999998370185</v>
      </c>
      <c r="O51" s="7"/>
      <c r="P51" s="7"/>
      <c r="Q51" s="23"/>
      <c r="R51" s="23"/>
      <c r="S51" s="35">
        <f t="shared" si="26"/>
        <v>1</v>
      </c>
      <c r="T51" s="50" t="str">
        <f t="shared" si="4"/>
        <v>Southbound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11:06:14-0600',mode:absolute,to:'2016-10-12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2" t="str">
        <f t="shared" si="6"/>
        <v>N</v>
      </c>
      <c r="X51" s="149">
        <f t="shared" si="27"/>
        <v>1</v>
      </c>
      <c r="Y51" s="67">
        <f t="shared" si="8"/>
        <v>23.306699999999999</v>
      </c>
      <c r="Z51" s="67">
        <f t="shared" si="9"/>
        <v>1.47E-2</v>
      </c>
      <c r="AA51" s="67">
        <f t="shared" si="10"/>
        <v>23.291999999999998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0162-12</v>
      </c>
      <c r="AE51" s="91" t="str">
        <f t="shared" si="2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51" s="88" t="str">
        <f t="shared" si="29"/>
        <v>"C:\Program Files (x86)\AstroGrep\AstroGrep.exe" /spath="%USERPROFILE%\AppData\Local\Temp\OnboardLogs" /stypes="app*4008*20161012*" /stext=" 18:.+((SYSTEM_STATE.+slice.+state.+changed )|(ment ac)|(system.+state.+changed )|(\[timeout)|(PRM\|1\|D)|(kpr)|(kdp)|(\|lc)|(penalty))" /e /r /s</v>
      </c>
      <c r="AG51" s="1" t="str">
        <f t="shared" si="30"/>
        <v>EC</v>
      </c>
      <c r="AH51" s="92" t="str">
        <f t="shared" si="17"/>
        <v>"%USERPROFILE%\Documents\GitHub\eaglep3\Utilities\RefineRTDCRunTimes.py" --tripid 162-12 --locoid 4008 --swversion DE.1.0.7.0 --startMP 204:233067 --initTime 2016-10-12T12:06:14 --startdatetime 2016-10-12T12:11:29 --delay 2 --endMP 204:147 --enddatetime 2016-10-12T12:55:59 --enforcementcount 0 &gt;&gt;C:\Users\stu\Documents\GitHub\eaglep3-reporting\EC\2016-10-12-refined-times.txt</v>
      </c>
      <c r="AI5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ID","value":"162-12"},{"id":16,"name":"Locomotive ID","value":"4008"},{"id":130,"name":"Impact","value":""},{"id":150,"name":"Time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397</v>
      </c>
      <c r="B52" s="7">
        <v>4040</v>
      </c>
      <c r="C52" s="22" t="s">
        <v>99</v>
      </c>
      <c r="D52" s="22" t="s">
        <v>398</v>
      </c>
      <c r="E52" s="13">
        <v>42655.475393518522</v>
      </c>
      <c r="F52" s="13">
        <v>42655.479664351849</v>
      </c>
      <c r="G52" s="7">
        <v>1</v>
      </c>
      <c r="H52" s="13" t="s">
        <v>198</v>
      </c>
      <c r="I52" s="13">
        <v>42655.511377314811</v>
      </c>
      <c r="J52" s="7">
        <v>0</v>
      </c>
      <c r="K52" s="112" t="str">
        <f t="shared" si="0"/>
        <v>4039/4040</v>
      </c>
      <c r="L52" s="22" t="str">
        <f>VLOOKUP(A52,'Trips&amp;Operators'!$C$1:$E$10000,3,FALSE)</f>
        <v>HELVIE</v>
      </c>
      <c r="M52" s="6">
        <f t="shared" si="1"/>
        <v>3.1712962962046731E-2</v>
      </c>
      <c r="N52" s="7">
        <f t="shared" si="25"/>
        <v>45.666666665347293</v>
      </c>
      <c r="O52" s="7"/>
      <c r="P52" s="7"/>
      <c r="Q52" s="23"/>
      <c r="R52" s="23"/>
      <c r="S52" s="35">
        <f t="shared" si="26"/>
        <v>1</v>
      </c>
      <c r="T52" s="50" t="str">
        <f t="shared" si="4"/>
        <v>NorthBound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10:24:34-0600',mode:absolute,to:'2016-10-12 13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2" s="52" t="str">
        <f t="shared" si="6"/>
        <v>N</v>
      </c>
      <c r="X52" s="149">
        <f t="shared" si="27"/>
        <v>1</v>
      </c>
      <c r="Y52" s="67">
        <f t="shared" si="8"/>
        <v>5.1900000000000002E-2</v>
      </c>
      <c r="Z52" s="67">
        <f t="shared" si="9"/>
        <v>23.329699999999999</v>
      </c>
      <c r="AA52" s="67">
        <f t="shared" si="10"/>
        <v>23.277799999999999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0163-12</v>
      </c>
      <c r="AE52" s="91" t="str">
        <f t="shared" si="28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52" s="88" t="str">
        <f t="shared" si="29"/>
        <v>"C:\Program Files (x86)\AstroGrep\AstroGrep.exe" /spath="%USERPROFILE%\AppData\Local\Temp\OnboardLogs" /stypes="app*4040*20161012*" /stext=" 18:.+((SYSTEM_STATE.+slice.+state.+changed )|(ment ac)|(system.+state.+changed )|(\[timeout)|(PRM\|1\|D)|(kpr)|(kdp)|(\|lc)|(penalty))" /e /r /s</v>
      </c>
      <c r="AG52" s="1" t="str">
        <f t="shared" si="30"/>
        <v>EC</v>
      </c>
      <c r="AH52" s="92" t="str">
        <f t="shared" si="17"/>
        <v>"%USERPROFILE%\Documents\GitHub\eaglep3\Utilities\RefineRTDCRunTimes.py" --tripid 163-12 --locoid 4040 --swversion DE.1.0.7.0 --startMP 204:519 --initTime 2016-10-12T11:24:34 --startdatetime 2016-10-12T11:30:43 --delay 1 --endMP 204:233297 --enddatetime 2016-10-12T12:16:23 --enforcementcount 0 &gt;&gt;C:\Users\stu\Documents\GitHub\eaglep3-reporting\EC\2016-10-12-refined-times.txt</v>
      </c>
      <c r="AI5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{"issue":{"subject":"","project_id":79,"tracker_id":40,"status_id":1,"priority_id":2,"assigned_to_id":23,"start_date":"2016-10-12","description":"","custom_fields":[{"id":1,"name":"Subdivision","value":"EC"},{"id":4,"name":"Milepost","value":"23.3297"},{"id":17,"name":"Train ID","value":"163-12"},{"id":16,"name":"Locomotive ID","value":"4040"},{"id":130,"name":"Impact","value":""},{"id":150,"name":"Time of Event (Mountain Time)","value":"12:16:23"},{"id":151,"name":"Denver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399</v>
      </c>
      <c r="B53" s="7">
        <v>4039</v>
      </c>
      <c r="C53" s="22" t="s">
        <v>99</v>
      </c>
      <c r="D53" s="22" t="s">
        <v>400</v>
      </c>
      <c r="E53" s="13">
        <v>42655.530231481483</v>
      </c>
      <c r="F53" s="13">
        <v>42655.532002314816</v>
      </c>
      <c r="G53" s="7">
        <v>2</v>
      </c>
      <c r="H53" s="13" t="s">
        <v>401</v>
      </c>
      <c r="I53" s="13">
        <v>42655.554814814815</v>
      </c>
      <c r="J53" s="7">
        <v>0</v>
      </c>
      <c r="K53" s="112" t="str">
        <f t="shared" si="0"/>
        <v>4039/4040</v>
      </c>
      <c r="L53" s="22" t="str">
        <f>VLOOKUP(A53,'Trips&amp;Operators'!$C$1:$E$10000,3,FALSE)</f>
        <v>HELVIE</v>
      </c>
      <c r="M53" s="6">
        <f t="shared" si="1"/>
        <v>2.2812499999417923E-2</v>
      </c>
      <c r="N53" s="7"/>
      <c r="O53" s="7"/>
      <c r="P53" s="7">
        <f>24*60*SUM($M53:$M53)</f>
        <v>32.84999999916181</v>
      </c>
      <c r="Q53" s="23"/>
      <c r="R53" s="23" t="s">
        <v>402</v>
      </c>
      <c r="S53" s="35">
        <f t="shared" si="26"/>
        <v>1</v>
      </c>
      <c r="T53" s="50" t="str">
        <f t="shared" si="4"/>
        <v>Southbound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11:43:32-0600',mode:absolute,to:'2016-10-12 14:18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3" s="52" t="str">
        <f t="shared" si="6"/>
        <v>Y</v>
      </c>
      <c r="X53" s="149">
        <f t="shared" si="27"/>
        <v>1</v>
      </c>
      <c r="Y53" s="67">
        <f t="shared" si="8"/>
        <v>15.4009</v>
      </c>
      <c r="Z53" s="67">
        <f t="shared" si="9"/>
        <v>1.7399999999999999E-2</v>
      </c>
      <c r="AA53" s="67">
        <f t="shared" si="10"/>
        <v>15.3835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0164-12</v>
      </c>
      <c r="AE53" s="91" t="str">
        <f t="shared" si="28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53" s="88" t="str">
        <f t="shared" si="29"/>
        <v>"C:\Program Files (x86)\AstroGrep\AstroGrep.exe" /spath="%USERPROFILE%\AppData\Local\Temp\OnboardLogs" /stypes="app*4039*20161012*" /stext=" 19:.+((SYSTEM_STATE.+slice.+state.+changed )|(ment ac)|(system.+state.+changed )|(\[timeout)|(PRM\|1\|D)|(kpr)|(kdp)|(\|lc)|(penalty))" /e /r /s</v>
      </c>
      <c r="AG53" s="1" t="str">
        <f t="shared" si="30"/>
        <v>EC</v>
      </c>
      <c r="AH53" s="92" t="str">
        <f t="shared" si="17"/>
        <v>"%USERPROFILE%\Documents\GitHub\eaglep3\Utilities\RefineRTDCRunTimes.py" --tripid 164-12 --locoid 4039 --swversion DE.1.0.7.0 --startMP 204:154009 --initTime 2016-10-12T12:43:32 --startdatetime 2016-10-12T12:46:05 --delay 2 --endMP 204:174 --enddatetime 2016-10-12T13:18:56 --enforcementcount 0 &gt;&gt;C:\Users\stu\Documents\GitHub\eaglep3-reporting\EC\2016-10-12-refined-times.txt</v>
      </c>
      <c r="AI53" s="122" t="str">
        <f t="shared" si="18"/>
        <v>echo {"issue":{"subject":"Onboard in-route failure","project_id":79,"tracker_id":40,"status_id":1,"priority_id":2,"assigned_to_id":23,"start_date":"2016-10-12","description":"2016-10-12 12:24:25 multiple cpu faults","custom_fields":[{"id":1,"name":"Subdivision","value":"EC"},{"id":4,"name":"Milepost","value":"0.0174"},{"id":17,"name":"Train ID","value":"164-12"},{"id":16,"name":"Locomotive ID","value":"4039"},{"id":130,"name":"Impact","value":"Failed State"},{"id":150,"name":"Time of Event (Mountain Time)","value":"13:18:56"},{"id":151,"name":"Denver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3" s="53" t="s">
        <v>403</v>
      </c>
      <c r="AK53" s="53" t="s">
        <v>129</v>
      </c>
      <c r="AL53" s="53" t="s">
        <v>179</v>
      </c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404</v>
      </c>
      <c r="B54" s="7">
        <v>4044</v>
      </c>
      <c r="C54" s="22" t="s">
        <v>99</v>
      </c>
      <c r="D54" s="22" t="s">
        <v>405</v>
      </c>
      <c r="E54" s="13">
        <v>42655.484918981485</v>
      </c>
      <c r="F54" s="13">
        <v>42655.489791666667</v>
      </c>
      <c r="G54" s="7">
        <v>1</v>
      </c>
      <c r="H54" s="13" t="s">
        <v>406</v>
      </c>
      <c r="I54" s="13">
        <v>42655.51666666667</v>
      </c>
      <c r="J54" s="7">
        <v>0</v>
      </c>
      <c r="K54" s="112" t="str">
        <f t="shared" si="0"/>
        <v>4043/4044</v>
      </c>
      <c r="L54" s="22" t="str">
        <f>VLOOKUP(A54,'Trips&amp;Operators'!$C$1:$E$10000,3,FALSE)</f>
        <v>CRAYTON</v>
      </c>
      <c r="M54" s="6">
        <f t="shared" si="1"/>
        <v>2.6875000003201421E-2</v>
      </c>
      <c r="N54" s="7">
        <f t="shared" ref="N54:N84" si="31">24*60*SUM($M54:$M54)</f>
        <v>38.700000004610047</v>
      </c>
      <c r="O54" s="7"/>
      <c r="P54" s="7"/>
      <c r="Q54" s="23"/>
      <c r="R54" s="23"/>
      <c r="S54" s="35">
        <f t="shared" si="26"/>
        <v>1</v>
      </c>
      <c r="T54" s="50" t="str">
        <f t="shared" si="4"/>
        <v>NorthBound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10:38:17-0600',mode:absolute,to:'2016-10-12 13:24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49">
        <f t="shared" si="27"/>
        <v>1</v>
      </c>
      <c r="Y54" s="67">
        <f t="shared" si="8"/>
        <v>4.53E-2</v>
      </c>
      <c r="Z54" s="67">
        <f t="shared" si="9"/>
        <v>23.33</v>
      </c>
      <c r="AA54" s="67">
        <f t="shared" si="10"/>
        <v>23.284699999999997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0165-12</v>
      </c>
      <c r="AE54" s="91" t="str">
        <f t="shared" si="28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54" s="88" t="str">
        <f t="shared" si="29"/>
        <v>"C:\Program Files (x86)\AstroGrep\AstroGrep.exe" /spath="%USERPROFILE%\AppData\Local\Temp\OnboardLogs" /stypes="app*4044*20161012*" /stext=" 18:.+((SYSTEM_STATE.+slice.+state.+changed )|(ment ac)|(system.+state.+changed )|(\[timeout)|(PRM\|1\|D)|(kpr)|(kdp)|(\|lc)|(penalty))" /e /r /s</v>
      </c>
      <c r="AG54" s="1" t="str">
        <f t="shared" si="30"/>
        <v>EC</v>
      </c>
      <c r="AH54" s="92" t="str">
        <f t="shared" si="17"/>
        <v>"%USERPROFILE%\Documents\GitHub\eaglep3\Utilities\RefineRTDCRunTimes.py" --tripid 165-12 --locoid 4044 --swversion DE.1.0.7.0 --startMP 204:453 --initTime 2016-10-12T11:38:17 --startdatetime 2016-10-12T11:45:18 --delay 1 --endMP 204:233300 --enddatetime 2016-10-12T12:24:00 --enforcementcount 0 &gt;&gt;C:\Users\stu\Documents\GitHub\eaglep3-reporting\EC\2016-10-12-refined-times.txt</v>
      </c>
      <c r="AI54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{"issue":{"subject":"","project_id":79,"tracker_id":40,"status_id":1,"priority_id":2,"assigned_to_id":23,"start_date":"2016-10-12","description":"","custom_fields":[{"id":1,"name":"Subdivision","value":"EC"},{"id":4,"name":"Milepost","value":"23.33"},{"id":17,"name":"Train ID","value":"165-12"},{"id":16,"name":"Locomotive ID","value":"4044"},{"id":130,"name":"Impact","value":""},{"id":150,"name":"Time of Event (Mountain Time)","value":"12:24:00"},{"id":151,"name":"Denver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407</v>
      </c>
      <c r="B55" s="7">
        <v>4043</v>
      </c>
      <c r="C55" s="22" t="s">
        <v>99</v>
      </c>
      <c r="D55" s="22" t="s">
        <v>408</v>
      </c>
      <c r="E55" s="13">
        <v>42655.519479166665</v>
      </c>
      <c r="F55" s="13">
        <v>42655.528761574074</v>
      </c>
      <c r="G55" s="7">
        <v>2</v>
      </c>
      <c r="H55" s="13" t="s">
        <v>409</v>
      </c>
      <c r="I55" s="13">
        <v>42655.559814814813</v>
      </c>
      <c r="J55" s="7">
        <v>0</v>
      </c>
      <c r="K55" s="112" t="str">
        <f t="shared" si="0"/>
        <v>4043/4044</v>
      </c>
      <c r="L55" s="22" t="str">
        <f>VLOOKUP(A55,'Trips&amp;Operators'!$C$1:$E$10000,3,FALSE)</f>
        <v>CRAYTON</v>
      </c>
      <c r="M55" s="6">
        <f t="shared" si="1"/>
        <v>3.1053240738401655E-2</v>
      </c>
      <c r="N55" s="7">
        <f t="shared" si="31"/>
        <v>44.716666663298383</v>
      </c>
      <c r="O55" s="7"/>
      <c r="P55" s="7"/>
      <c r="Q55" s="23"/>
      <c r="R55" s="23"/>
      <c r="S55" s="35">
        <f t="shared" si="26"/>
        <v>1</v>
      </c>
      <c r="T55" s="50" t="str">
        <f t="shared" si="4"/>
        <v>Southbound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11:28:03-0600',mode:absolute,to:'2016-10-12 14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49">
        <f t="shared" si="27"/>
        <v>1</v>
      </c>
      <c r="Y55" s="67">
        <f t="shared" si="8"/>
        <v>23.298300000000001</v>
      </c>
      <c r="Z55" s="67">
        <f t="shared" si="9"/>
        <v>1.6299999999999999E-2</v>
      </c>
      <c r="AA55" s="67">
        <f t="shared" si="10"/>
        <v>23.282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0166-12</v>
      </c>
      <c r="AE55" s="91" t="str">
        <f t="shared" si="28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55" s="88" t="str">
        <f t="shared" si="29"/>
        <v>"C:\Program Files (x86)\AstroGrep\AstroGrep.exe" /spath="%USERPROFILE%\AppData\Local\Temp\OnboardLogs" /stypes="app*4043*20161012*" /stext=" 19:.+((SYSTEM_STATE.+slice.+state.+changed )|(ment ac)|(system.+state.+changed )|(\[timeout)|(PRM\|1\|D)|(kpr)|(kdp)|(\|lc)|(penalty))" /e /r /s</v>
      </c>
      <c r="AG55" s="1" t="str">
        <f t="shared" si="30"/>
        <v>EC</v>
      </c>
      <c r="AH55" s="92" t="str">
        <f t="shared" si="17"/>
        <v>"%USERPROFILE%\Documents\GitHub\eaglep3\Utilities\RefineRTDCRunTimes.py" --tripid 166-12 --locoid 4043 --swversion DE.1.0.7.0 --startMP 204:232983 --initTime 2016-10-12T12:28:03 --startdatetime 2016-10-12T12:41:25 --delay 2 --endMP 204:163 --enddatetime 2016-10-12T13:26:08 --enforcementcount 0 &gt;&gt;C:\Users\stu\Documents\GitHub\eaglep3-reporting\EC\2016-10-12-refined-times.txt</v>
      </c>
      <c r="AI5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ID","value":"166-12"},{"id":16,"name":"Locomotive ID","value":"4043"},{"id":130,"name":"Impact","value":""},{"id":150,"name":"Time of Event (Mountain Time)","value":"13:26:08"},{"id":151,"name":"Denver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410</v>
      </c>
      <c r="B56" s="7">
        <v>4031</v>
      </c>
      <c r="C56" s="22" t="s">
        <v>99</v>
      </c>
      <c r="D56" s="22" t="s">
        <v>411</v>
      </c>
      <c r="E56" s="13">
        <v>42655.500300925924</v>
      </c>
      <c r="F56" s="13">
        <v>42655.502592592595</v>
      </c>
      <c r="G56" s="7">
        <v>2</v>
      </c>
      <c r="H56" s="13" t="s">
        <v>412</v>
      </c>
      <c r="I56" s="13">
        <v>42655.529942129629</v>
      </c>
      <c r="J56" s="7">
        <v>0</v>
      </c>
      <c r="K56" s="112" t="str">
        <f t="shared" si="0"/>
        <v>4031/4032</v>
      </c>
      <c r="L56" s="22" t="str">
        <f>VLOOKUP(A56,'Trips&amp;Operators'!$C$1:$E$10000,3,FALSE)</f>
        <v>HILLS</v>
      </c>
      <c r="M56" s="6">
        <f t="shared" si="1"/>
        <v>2.7349537034751847E-2</v>
      </c>
      <c r="N56" s="7">
        <f t="shared" si="31"/>
        <v>39.38333333004266</v>
      </c>
      <c r="O56" s="7"/>
      <c r="P56" s="7"/>
      <c r="Q56" s="23"/>
      <c r="R56" s="23"/>
      <c r="S56" s="35">
        <f t="shared" si="26"/>
        <v>1</v>
      </c>
      <c r="T56" s="50" t="str">
        <f t="shared" si="4"/>
        <v>NorthBound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11:00:26-0600',mode:absolute,to:'2016-10-12 13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 t="shared" si="6"/>
        <v>N</v>
      </c>
      <c r="X56" s="149">
        <f t="shared" si="27"/>
        <v>1</v>
      </c>
      <c r="Y56" s="67">
        <f t="shared" si="8"/>
        <v>4.6399999999999997E-2</v>
      </c>
      <c r="Z56" s="67">
        <f t="shared" si="9"/>
        <v>23.332000000000001</v>
      </c>
      <c r="AA56" s="67">
        <f t="shared" si="10"/>
        <v>23.285600000000002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0167-12</v>
      </c>
      <c r="AE56" s="91" t="str">
        <f t="shared" si="28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56" s="88" t="str">
        <f t="shared" si="29"/>
        <v>"C:\Program Files (x86)\AstroGrep\AstroGrep.exe" /spath="%USERPROFILE%\AppData\Local\Temp\OnboardLogs" /stypes="app*4031*20161012*" /stext=" 18:.+((SYSTEM_STATE.+slice.+state.+changed )|(ment ac)|(system.+state.+changed )|(\[timeout)|(PRM\|1\|D)|(kpr)|(kdp)|(\|lc)|(penalty))" /e /r /s</v>
      </c>
      <c r="AG56" s="1" t="str">
        <f t="shared" si="30"/>
        <v>EC</v>
      </c>
      <c r="AH56" s="92" t="str">
        <f t="shared" si="17"/>
        <v>"%USERPROFILE%\Documents\GitHub\eaglep3\Utilities\RefineRTDCRunTimes.py" --tripid 167-12 --locoid 4031 --swversion DE.1.0.7.0 --startMP 204:464 --initTime 2016-10-12T12:00:26 --startdatetime 2016-10-12T12:03:44 --delay 2 --endMP 204:233320 --enddatetime 2016-10-12T12:43:07 --enforcementcount 0 &gt;&gt;C:\Users\stu\Documents\GitHub\eaglep3-reporting\EC\2016-10-12-refined-times.txt</v>
      </c>
      <c r="AI5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{"issue":{"subject":"","project_id":79,"tracker_id":40,"status_id":1,"priority_id":2,"assigned_to_id":23,"start_date":"2016-10-12","description":"","custom_fields":[{"id":1,"name":"Subdivision","value":"EC"},{"id":4,"name":"Milepost","value":"23.332"},{"id":17,"name":"Train ID","value":"167-12"},{"id":16,"name":"Locomotive ID","value":"4031"},{"id":130,"name":"Impact","value":""},{"id":150,"name":"Time of Event (Mountain Time)","value":"12:43:07"},{"id":151,"name":"Denver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413</v>
      </c>
      <c r="B57" s="7">
        <v>4032</v>
      </c>
      <c r="C57" s="22" t="s">
        <v>99</v>
      </c>
      <c r="D57" s="22" t="s">
        <v>414</v>
      </c>
      <c r="E57" s="13">
        <v>42655.531192129631</v>
      </c>
      <c r="F57" s="13">
        <v>42655.539189814815</v>
      </c>
      <c r="G57" s="7">
        <v>1</v>
      </c>
      <c r="H57" s="13" t="s">
        <v>415</v>
      </c>
      <c r="I57" s="13">
        <v>42655.566678240742</v>
      </c>
      <c r="J57" s="7">
        <v>0</v>
      </c>
      <c r="K57" s="112" t="str">
        <f t="shared" si="0"/>
        <v>4031/4032</v>
      </c>
      <c r="L57" s="22" t="str">
        <f>VLOOKUP(A57,'Trips&amp;Operators'!$C$1:$E$10000,3,FALSE)</f>
        <v>HILLS</v>
      </c>
      <c r="M57" s="6">
        <f t="shared" si="1"/>
        <v>2.7488425927003846E-2</v>
      </c>
      <c r="N57" s="7">
        <f t="shared" si="31"/>
        <v>39.583333334885538</v>
      </c>
      <c r="O57" s="7"/>
      <c r="P57" s="7"/>
      <c r="Q57" s="23"/>
      <c r="R57" s="23"/>
      <c r="S57" s="35">
        <f t="shared" si="26"/>
        <v>1</v>
      </c>
      <c r="T57" s="50" t="str">
        <f t="shared" si="4"/>
        <v>Southbound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11:44:55-0600',mode:absolute,to:'2016-10-12 14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 t="shared" si="6"/>
        <v>N</v>
      </c>
      <c r="X57" s="149">
        <f t="shared" si="27"/>
        <v>1</v>
      </c>
      <c r="Y57" s="67">
        <f t="shared" si="8"/>
        <v>23.299199999999999</v>
      </c>
      <c r="Z57" s="67">
        <f t="shared" si="9"/>
        <v>1.38E-2</v>
      </c>
      <c r="AA57" s="67">
        <f t="shared" si="10"/>
        <v>23.285399999999999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0168-12</v>
      </c>
      <c r="AE57" s="91" t="str">
        <f t="shared" si="28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57" s="88" t="str">
        <f t="shared" si="29"/>
        <v>"C:\Program Files (x86)\AstroGrep\AstroGrep.exe" /spath="%USERPROFILE%\AppData\Local\Temp\OnboardLogs" /stypes="app*4032*20161012*" /stext=" 19:.+((SYSTEM_STATE.+slice.+state.+changed )|(ment ac)|(system.+state.+changed )|(\[timeout)|(PRM\|1\|D)|(kpr)|(kdp)|(\|lc)|(penalty))" /e /r /s</v>
      </c>
      <c r="AG57" s="1" t="str">
        <f t="shared" si="30"/>
        <v>EC</v>
      </c>
      <c r="AH57" s="92" t="str">
        <f t="shared" si="17"/>
        <v>"%USERPROFILE%\Documents\GitHub\eaglep3\Utilities\RefineRTDCRunTimes.py" --tripid 168-12 --locoid 4032 --swversion DE.1.0.7.0 --startMP 204:232992 --initTime 2016-10-12T12:44:55 --startdatetime 2016-10-12T12:56:26 --delay 1 --endMP 204:138 --enddatetime 2016-10-12T13:36:01 --enforcementcount 0 &gt;&gt;C:\Users\stu\Documents\GitHub\eaglep3-reporting\EC\2016-10-12-refined-times.txt</v>
      </c>
      <c r="AI5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{"issue":{"subject":"","project_id":79,"tracker_id":40,"status_id":1,"priority_id":2,"assigned_to_id":23,"start_date":"2016-10-12","description":"","custom_fields":[{"id":1,"name":"Subdivision","value":"EC"},{"id":4,"name":"Milepost","value":"0.0138"},{"id":17,"name":"Train ID","value":"168-12"},{"id":16,"name":"Locomotive ID","value":"4032"},{"id":130,"name":"Impact","value":""},{"id":150,"name":"Time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416</v>
      </c>
      <c r="B58" s="7">
        <v>4018</v>
      </c>
      <c r="C58" s="22" t="s">
        <v>99</v>
      </c>
      <c r="D58" s="22" t="s">
        <v>411</v>
      </c>
      <c r="E58" s="13">
        <v>42655.514131944445</v>
      </c>
      <c r="F58" s="13">
        <v>42655.516608796293</v>
      </c>
      <c r="G58" s="7">
        <v>1</v>
      </c>
      <c r="H58" s="13" t="s">
        <v>344</v>
      </c>
      <c r="I58" s="13">
        <v>42655.544814814813</v>
      </c>
      <c r="J58" s="7">
        <v>0</v>
      </c>
      <c r="K58" s="112" t="str">
        <f t="shared" si="0"/>
        <v>4017/4018</v>
      </c>
      <c r="L58" s="22" t="str">
        <f>VLOOKUP(A58,'Trips&amp;Operators'!$C$1:$E$10000,3,FALSE)</f>
        <v>BRUDER</v>
      </c>
      <c r="M58" s="6">
        <f t="shared" si="1"/>
        <v>2.8206018519995268E-2</v>
      </c>
      <c r="N58" s="7">
        <f t="shared" si="31"/>
        <v>40.616666668793187</v>
      </c>
      <c r="O58" s="7"/>
      <c r="P58" s="7"/>
      <c r="Q58" s="23"/>
      <c r="R58" s="23"/>
      <c r="S58" s="35">
        <f t="shared" si="26"/>
        <v>1</v>
      </c>
      <c r="T58" s="50" t="str">
        <f t="shared" si="4"/>
        <v>NorthBound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11:20:21-0600',mode:absolute,to:'2016-10-12 14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8" s="52" t="str">
        <f t="shared" si="6"/>
        <v>N</v>
      </c>
      <c r="X58" s="149">
        <f t="shared" si="27"/>
        <v>1</v>
      </c>
      <c r="Y58" s="67">
        <f t="shared" si="8"/>
        <v>4.6399999999999997E-2</v>
      </c>
      <c r="Z58" s="67">
        <f t="shared" si="9"/>
        <v>23.328399999999998</v>
      </c>
      <c r="AA58" s="67">
        <f t="shared" si="10"/>
        <v>23.282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0169-12</v>
      </c>
      <c r="AE58" s="91" t="str">
        <f t="shared" si="2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58" s="88" t="str">
        <f t="shared" si="29"/>
        <v>"C:\Program Files (x86)\AstroGrep\AstroGrep.exe" /spath="%USERPROFILE%\AppData\Local\Temp\OnboardLogs" /stypes="app*4018*20161012*" /stext=" 19:.+((SYSTEM_STATE.+slice.+state.+changed )|(ment ac)|(system.+state.+changed )|(\[timeout)|(PRM\|1\|D)|(kpr)|(kdp)|(\|lc)|(penalty))" /e /r /s</v>
      </c>
      <c r="AG58" s="1" t="str">
        <f t="shared" si="30"/>
        <v>EC</v>
      </c>
      <c r="AH58" s="92" t="str">
        <f t="shared" si="17"/>
        <v>"%USERPROFILE%\Documents\GitHub\eaglep3\Utilities\RefineRTDCRunTimes.py" --tripid 169-12 --locoid 4018 --swversion DE.1.0.7.0 --startMP 204:464 --initTime 2016-10-12T12:20:21 --startdatetime 2016-10-12T12:23:55 --delay 1 --endMP 204:233284 --enddatetime 2016-10-12T13:04:32 --enforcementcount 0 &gt;&gt;C:\Users\stu\Documents\GitHub\eaglep3-reporting\EC\2016-10-12-refined-times.txt</v>
      </c>
      <c r="AI5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ID","value":"169-12"},{"id":16,"name":"Locomotive ID","value":"4018"},{"id":130,"name":"Impact","value":""},{"id":150,"name":"Time of Event (Mountain Time)","value":"13:04:32"},{"id":151,"name":"Denver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417</v>
      </c>
      <c r="B59" s="7">
        <v>4017</v>
      </c>
      <c r="C59" s="22" t="s">
        <v>99</v>
      </c>
      <c r="D59" s="22" t="s">
        <v>418</v>
      </c>
      <c r="E59" s="13">
        <v>42655.546226851853</v>
      </c>
      <c r="F59" s="13">
        <v>42655.550254629627</v>
      </c>
      <c r="G59" s="7">
        <v>1</v>
      </c>
      <c r="H59" s="13" t="s">
        <v>419</v>
      </c>
      <c r="I59" s="13">
        <v>42655.579976851855</v>
      </c>
      <c r="J59" s="7">
        <v>0</v>
      </c>
      <c r="K59" s="112" t="str">
        <f t="shared" si="0"/>
        <v>4017/4018</v>
      </c>
      <c r="L59" s="22" t="str">
        <f>VLOOKUP(A59,'Trips&amp;Operators'!$C$1:$E$10000,3,FALSE)</f>
        <v>BRUDER</v>
      </c>
      <c r="M59" s="6">
        <f t="shared" si="1"/>
        <v>2.9722222228883766E-2</v>
      </c>
      <c r="N59" s="7">
        <f t="shared" si="31"/>
        <v>42.800000009592623</v>
      </c>
      <c r="O59" s="7"/>
      <c r="P59" s="7"/>
      <c r="Q59" s="23"/>
      <c r="R59" s="23"/>
      <c r="S59" s="35">
        <f t="shared" si="26"/>
        <v>1</v>
      </c>
      <c r="T59" s="50" t="str">
        <f t="shared" si="4"/>
        <v>Southbound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12:06:34-0600',mode:absolute,to:'2016-10-12 14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9" s="52" t="str">
        <f t="shared" si="6"/>
        <v>N</v>
      </c>
      <c r="X59" s="149">
        <f t="shared" si="27"/>
        <v>1</v>
      </c>
      <c r="Y59" s="67">
        <f t="shared" si="8"/>
        <v>23.2973</v>
      </c>
      <c r="Z59" s="67">
        <f t="shared" si="9"/>
        <v>0.12520000000000001</v>
      </c>
      <c r="AA59" s="67">
        <f t="shared" si="10"/>
        <v>23.1721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0170-12</v>
      </c>
      <c r="AE59" s="91" t="str">
        <f t="shared" si="2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59" s="88" t="str">
        <f t="shared" si="29"/>
        <v>"C:\Program Files (x86)\AstroGrep\AstroGrep.exe" /spath="%USERPROFILE%\AppData\Local\Temp\OnboardLogs" /stypes="app*4017*20161012*" /stext=" 19:.+((SYSTEM_STATE.+slice.+state.+changed )|(ment ac)|(system.+state.+changed )|(\[timeout)|(PRM\|1\|D)|(kpr)|(kdp)|(\|lc)|(penalty))" /e /r /s</v>
      </c>
      <c r="AG59" s="1" t="str">
        <f t="shared" si="30"/>
        <v>EC</v>
      </c>
      <c r="AH59" s="92" t="str">
        <f t="shared" si="17"/>
        <v>"%USERPROFILE%\Documents\GitHub\eaglep3\Utilities\RefineRTDCRunTimes.py" --tripid 170-12 --locoid 4017 --swversion DE.1.0.7.0 --startMP 204:232973 --initTime 2016-10-12T13:06:34 --startdatetime 2016-10-12T13:12:22 --delay 1 --endMP 204:1252 --enddatetime 2016-10-12T13:55:10 --enforcementcount 0 &gt;&gt;C:\Users\stu\Documents\GitHub\eaglep3-reporting\EC\2016-10-12-refined-times.txt</v>
      </c>
      <c r="AI5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{"issue":{"subject":"","project_id":79,"tracker_id":40,"status_id":1,"priority_id":2,"assigned_to_id":23,"start_date":"2016-10-12","description":"","custom_fields":[{"id":1,"name":"Subdivision","value":"EC"},{"id":4,"name":"Milepost","value":"0.1252"},{"id":17,"name":"Train ID","value":"170-12"},{"id":16,"name":"Locomotive ID","value":"4017"},{"id":130,"name":"Impact","value":""},{"id":150,"name":"Time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420</v>
      </c>
      <c r="B60" s="7">
        <v>4016</v>
      </c>
      <c r="C60" s="22" t="s">
        <v>99</v>
      </c>
      <c r="D60" s="22" t="s">
        <v>421</v>
      </c>
      <c r="E60" s="13">
        <v>42655.51767361111</v>
      </c>
      <c r="F60" s="13">
        <v>42655.522164351853</v>
      </c>
      <c r="G60" s="7">
        <v>4</v>
      </c>
      <c r="H60" s="13" t="s">
        <v>422</v>
      </c>
      <c r="I60" s="13">
        <v>42655.554143518515</v>
      </c>
      <c r="J60" s="7">
        <v>0</v>
      </c>
      <c r="K60" s="112" t="str">
        <f t="shared" si="0"/>
        <v>4015/4016</v>
      </c>
      <c r="L60" s="22" t="str">
        <f>VLOOKUP(A60,'Trips&amp;Operators'!$C$1:$E$10000,3,FALSE)</f>
        <v>STORY</v>
      </c>
      <c r="M60" s="6">
        <f t="shared" si="1"/>
        <v>3.1979166662495118E-2</v>
      </c>
      <c r="N60" s="7">
        <f t="shared" si="31"/>
        <v>46.049999993992969</v>
      </c>
      <c r="O60" s="7"/>
      <c r="P60" s="7"/>
      <c r="Q60" s="23"/>
      <c r="R60" s="23"/>
      <c r="S60" s="35">
        <f t="shared" si="26"/>
        <v>1</v>
      </c>
      <c r="T60" s="50" t="str">
        <f t="shared" si="4"/>
        <v>NorthBound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11:25:27-0600',mode:absolute,to:'2016-10-12 14:17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0" s="52" t="str">
        <f t="shared" si="6"/>
        <v>N</v>
      </c>
      <c r="X60" s="149">
        <f t="shared" si="27"/>
        <v>1</v>
      </c>
      <c r="Y60" s="67">
        <f t="shared" si="8"/>
        <v>4.5499999999999999E-2</v>
      </c>
      <c r="Z60" s="67">
        <f t="shared" si="9"/>
        <v>23.328700000000001</v>
      </c>
      <c r="AA60" s="67">
        <f t="shared" si="10"/>
        <v>23.283200000000001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0171-12</v>
      </c>
      <c r="AE60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60" s="88" t="str">
        <f t="shared" si="29"/>
        <v>"C:\Program Files (x86)\AstroGrep\AstroGrep.exe" /spath="%USERPROFILE%\AppData\Local\Temp\OnboardLogs" /stypes="app*4016*20161012*" /stext=" 19:.+((SYSTEM_STATE.+slice.+state.+changed )|(ment ac)|(system.+state.+changed )|(\[timeout)|(PRM\|1\|D)|(kpr)|(kdp)|(\|lc)|(penalty))" /e /r /s</v>
      </c>
      <c r="AG60" s="1" t="str">
        <f t="shared" si="30"/>
        <v>EC</v>
      </c>
      <c r="AH60" s="92" t="str">
        <f t="shared" si="17"/>
        <v>"%USERPROFILE%\Documents\GitHub\eaglep3\Utilities\RefineRTDCRunTimes.py" --tripid 171-12 --locoid 4016 --swversion DE.1.0.7.0 --startMP 204:455 --initTime 2016-10-12T12:25:27 --startdatetime 2016-10-12T12:31:55 --delay 4 --endMP 204:233287 --enddatetime 2016-10-12T13:17:58 --enforcementcount 0 &gt;&gt;C:\Users\stu\Documents\GitHub\eaglep3-reporting\EC\2016-10-12-refined-times.txt</v>
      </c>
      <c r="AI6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{"issue":{"subject":"","project_id":79,"tracker_id":40,"status_id":1,"priority_id":2,"assigned_to_id":23,"start_date":"2016-10-12","description":"","custom_fields":[{"id":1,"name":"Subdivision","value":"EC"},{"id":4,"name":"Milepost","value":"23.3287"},{"id":17,"name":"Train ID","value":"171-12"},{"id":16,"name":"Locomotive ID","value":"4016"},{"id":130,"name":"Impact","value":""},{"id":150,"name":"Time of Event (Mountain Time)","value":"13:17:58"},{"id":151,"name":"Denver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272</v>
      </c>
      <c r="B61" s="7">
        <v>4015</v>
      </c>
      <c r="C61" s="22" t="s">
        <v>99</v>
      </c>
      <c r="D61" s="22" t="s">
        <v>423</v>
      </c>
      <c r="E61" s="13">
        <v>42655.558009259257</v>
      </c>
      <c r="F61" s="13">
        <v>42655.559942129628</v>
      </c>
      <c r="G61" s="7">
        <v>1</v>
      </c>
      <c r="H61" s="13" t="s">
        <v>177</v>
      </c>
      <c r="I61" s="13">
        <v>42655.586643518516</v>
      </c>
      <c r="J61" s="7">
        <v>0</v>
      </c>
      <c r="K61" s="112" t="str">
        <f t="shared" si="0"/>
        <v>4015/4016</v>
      </c>
      <c r="L61" s="22" t="str">
        <f>VLOOKUP(A61,'Trips&amp;Operators'!$C$1:$E$10000,3,FALSE)</f>
        <v>STORY</v>
      </c>
      <c r="M61" s="6">
        <f t="shared" si="1"/>
        <v>2.6701388887886424E-2</v>
      </c>
      <c r="N61" s="7">
        <f t="shared" si="31"/>
        <v>38.44999999855645</v>
      </c>
      <c r="O61" s="7"/>
      <c r="P61" s="7"/>
      <c r="Q61" s="23"/>
      <c r="R61" s="23"/>
      <c r="S61" s="35">
        <f t="shared" si="26"/>
        <v>1</v>
      </c>
      <c r="T61" s="50" t="str">
        <f t="shared" si="4"/>
        <v>Southbound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12:23:32-0600',mode:absolute,to:'2016-10-12 15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1" s="52" t="str">
        <f t="shared" si="6"/>
        <v>N</v>
      </c>
      <c r="X61" s="149">
        <f t="shared" si="27"/>
        <v>1</v>
      </c>
      <c r="Y61" s="67">
        <f t="shared" si="8"/>
        <v>23.2974</v>
      </c>
      <c r="Z61" s="67">
        <f t="shared" si="9"/>
        <v>1.52E-2</v>
      </c>
      <c r="AA61" s="67">
        <f t="shared" si="10"/>
        <v>23.2822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11"/>
        <v>0172-12</v>
      </c>
      <c r="AE61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61" s="88" t="str">
        <f t="shared" si="29"/>
        <v>"C:\Program Files (x86)\AstroGrep\AstroGrep.exe" /spath="%USERPROFILE%\AppData\Local\Temp\OnboardLogs" /stypes="app*4015*20161012*" /stext=" 20:.+((SYSTEM_STATE.+slice.+state.+changed )|(ment ac)|(system.+state.+changed )|(\[timeout)|(PRM\|1\|D)|(kpr)|(kdp)|(\|lc)|(penalty))" /e /r /s</v>
      </c>
      <c r="AG61" s="1" t="str">
        <f t="shared" si="30"/>
        <v>EC</v>
      </c>
      <c r="AH61" s="92" t="str">
        <f t="shared" si="17"/>
        <v>"%USERPROFILE%\Documents\GitHub\eaglep3\Utilities\RefineRTDCRunTimes.py" --tripid 172-12 --locoid 4015 --swversion DE.1.0.7.0 --startMP 204:232974 --initTime 2016-10-12T13:23:32 --startdatetime 2016-10-12T13:26:19 --delay 1 --endMP 204:152 --enddatetime 2016-10-12T14:04:46 --enforcementcount 0 &gt;&gt;C:\Users\stu\Documents\GitHub\eaglep3-reporting\EC\2016-10-12-refined-times.txt</v>
      </c>
      <c r="AI6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{"issue":{"subject":"","project_id":79,"tracker_id":40,"status_id":1,"priority_id":2,"assigned_to_id":23,"start_date":"2016-10-12","description":"","custom_fields":[{"id":1,"name":"Subdivision","value":"EC"},{"id":4,"name":"Milepost","value":"0.0152"},{"id":17,"name":"Train ID","value":"172-12"},{"id":16,"name":"Locomotive ID","value":"4015"},{"id":130,"name":"Impact","value":""},{"id":150,"name":"Time of Event (Mountain Time)","value":"14:04:46"},{"id":151,"name":"Denver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424</v>
      </c>
      <c r="B62" s="7">
        <v>4046</v>
      </c>
      <c r="C62" s="22" t="s">
        <v>99</v>
      </c>
      <c r="D62" s="22" t="s">
        <v>310</v>
      </c>
      <c r="E62" s="13">
        <v>42655.528275462966</v>
      </c>
      <c r="F62" s="13">
        <v>42655.531446759262</v>
      </c>
      <c r="G62" s="7">
        <v>1</v>
      </c>
      <c r="H62" s="13" t="s">
        <v>344</v>
      </c>
      <c r="I62" s="13">
        <v>42655.55678240741</v>
      </c>
      <c r="J62" s="7">
        <v>0</v>
      </c>
      <c r="K62" s="112" t="str">
        <f t="shared" si="0"/>
        <v>4045/4046</v>
      </c>
      <c r="L62" s="22" t="str">
        <f>VLOOKUP(A62,'Trips&amp;Operators'!$C$1:$E$10000,3,FALSE)</f>
        <v>BONDS</v>
      </c>
      <c r="M62" s="6">
        <f t="shared" si="1"/>
        <v>2.5335648148029577E-2</v>
      </c>
      <c r="N62" s="7">
        <f t="shared" si="31"/>
        <v>36.483333333162591</v>
      </c>
      <c r="O62" s="7"/>
      <c r="P62" s="7"/>
      <c r="Q62" s="23"/>
      <c r="R62" s="23"/>
      <c r="S62" s="35">
        <f t="shared" si="26"/>
        <v>1</v>
      </c>
      <c r="T62" s="50" t="str">
        <f t="shared" si="4"/>
        <v>NorthBound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11:40:43-0600',mode:absolute,to:'2016-10-12 14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2" s="52" t="str">
        <f t="shared" si="6"/>
        <v>N</v>
      </c>
      <c r="X62" s="149">
        <f t="shared" si="27"/>
        <v>1</v>
      </c>
      <c r="Y62" s="67">
        <f t="shared" si="8"/>
        <v>4.4200000000000003E-2</v>
      </c>
      <c r="Z62" s="67">
        <f t="shared" si="9"/>
        <v>23.328399999999998</v>
      </c>
      <c r="AA62" s="67">
        <f t="shared" si="10"/>
        <v>23.284199999999998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0173-12</v>
      </c>
      <c r="AE62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62" s="88" t="str">
        <f t="shared" si="29"/>
        <v>"C:\Program Files (x86)\AstroGrep\AstroGrep.exe" /spath="%USERPROFILE%\AppData\Local\Temp\OnboardLogs" /stypes="app*4046*20161012*" /stext=" 19:.+((SYSTEM_STATE.+slice.+state.+changed )|(ment ac)|(system.+state.+changed )|(\[timeout)|(PRM\|1\|D)|(kpr)|(kdp)|(\|lc)|(penalty))" /e /r /s</v>
      </c>
      <c r="AG62" s="1" t="str">
        <f t="shared" si="30"/>
        <v>EC</v>
      </c>
      <c r="AH62" s="92" t="str">
        <f t="shared" si="17"/>
        <v>"%USERPROFILE%\Documents\GitHub\eaglep3\Utilities\RefineRTDCRunTimes.py" --tripid 173-12 --locoid 4046 --swversion DE.1.0.7.0 --startMP 204:442 --initTime 2016-10-12T12:40:43 --startdatetime 2016-10-12T12:45:17 --delay 1 --endMP 204:233284 --enddatetime 2016-10-12T13:21:46 --enforcementcount 0 &gt;&gt;C:\Users\stu\Documents\GitHub\eaglep3-reporting\EC\2016-10-12-refined-times.txt</v>
      </c>
      <c r="AI6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ID","value":"173-12"},{"id":16,"name":"Locomotive ID","value":"4046"},{"id":130,"name":"Impact","value":""},{"id":150,"name":"Time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425</v>
      </c>
      <c r="B63" s="7">
        <v>4045</v>
      </c>
      <c r="C63" s="22" t="s">
        <v>99</v>
      </c>
      <c r="D63" s="22" t="s">
        <v>426</v>
      </c>
      <c r="E63" s="13">
        <v>42655.560763888891</v>
      </c>
      <c r="F63" s="13">
        <v>42655.570370370369</v>
      </c>
      <c r="G63" s="7">
        <v>1</v>
      </c>
      <c r="H63" s="13" t="s">
        <v>427</v>
      </c>
      <c r="I63" s="13">
        <v>42655.59684027778</v>
      </c>
      <c r="J63" s="7">
        <v>0</v>
      </c>
      <c r="K63" s="112" t="str">
        <f t="shared" si="0"/>
        <v>4045/4046</v>
      </c>
      <c r="L63" s="22" t="str">
        <f>VLOOKUP(A63,'Trips&amp;Operators'!$C$1:$E$10000,3,FALSE)</f>
        <v>BONDS</v>
      </c>
      <c r="M63" s="6">
        <f t="shared" si="1"/>
        <v>2.6469907410501037E-2</v>
      </c>
      <c r="N63" s="7">
        <f t="shared" si="31"/>
        <v>38.116666671121493</v>
      </c>
      <c r="O63" s="7"/>
      <c r="P63" s="7"/>
      <c r="Q63" s="23"/>
      <c r="R63" s="23"/>
      <c r="S63" s="35">
        <f t="shared" si="26"/>
        <v>1</v>
      </c>
      <c r="T63" s="50" t="str">
        <f t="shared" si="4"/>
        <v>Southbound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12:27:30-0600',mode:absolute,to:'2016-10-12 15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3" s="52" t="str">
        <f t="shared" si="6"/>
        <v>N</v>
      </c>
      <c r="X63" s="149">
        <f t="shared" si="27"/>
        <v>1</v>
      </c>
      <c r="Y63" s="67">
        <f t="shared" si="8"/>
        <v>23.298200000000001</v>
      </c>
      <c r="Z63" s="67">
        <f t="shared" si="9"/>
        <v>1.3599999999999999E-2</v>
      </c>
      <c r="AA63" s="67">
        <f t="shared" si="10"/>
        <v>23.284600000000001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0174-12</v>
      </c>
      <c r="AE63" s="91" t="str">
        <f t="shared" si="28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63" s="88" t="str">
        <f t="shared" si="29"/>
        <v>"C:\Program Files (x86)\AstroGrep\AstroGrep.exe" /spath="%USERPROFILE%\AppData\Local\Temp\OnboardLogs" /stypes="app*4045*20161012*" /stext=" 20:.+((SYSTEM_STATE.+slice.+state.+changed )|(ment ac)|(system.+state.+changed )|(\[timeout)|(PRM\|1\|D)|(kpr)|(kdp)|(\|lc)|(penalty))" /e /r /s</v>
      </c>
      <c r="AG63" s="1" t="str">
        <f t="shared" si="30"/>
        <v>EC</v>
      </c>
      <c r="AH63" s="92" t="str">
        <f t="shared" si="17"/>
        <v>"%USERPROFILE%\Documents\GitHub\eaglep3\Utilities\RefineRTDCRunTimes.py" --tripid 174-12 --locoid 4045 --swversion DE.1.0.7.0 --startMP 204:232982 --initTime 2016-10-12T13:27:30 --startdatetime 2016-10-12T13:41:20 --delay 1 --endMP 204:136 --enddatetime 2016-10-12T14:19:27 --enforcementcount 0 &gt;&gt;C:\Users\stu\Documents\GitHub\eaglep3-reporting\EC\2016-10-12-refined-times.txt</v>
      </c>
      <c r="AI6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{"issue":{"subject":"","project_id":79,"tracker_id":40,"status_id":1,"priority_id":2,"assigned_to_id":23,"start_date":"2016-10-12","description":"","custom_fields":[{"id":1,"name":"Subdivision","value":"EC"},{"id":4,"name":"Milepost","value":"0.0136"},{"id":17,"name":"Train ID","value":"174-12"},{"id":16,"name":"Locomotive ID","value":"4045"},{"id":130,"name":"Impact","value":""},{"id":150,"name":"Time of Event (Mountain Time)","value":"14:19:27"},{"id":151,"name":"Denver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428</v>
      </c>
      <c r="B64" s="7">
        <v>4007</v>
      </c>
      <c r="C64" s="22" t="s">
        <v>99</v>
      </c>
      <c r="D64" s="22" t="s">
        <v>429</v>
      </c>
      <c r="E64" s="13">
        <v>42655.539953703701</v>
      </c>
      <c r="F64" s="13">
        <v>42655.541898148149</v>
      </c>
      <c r="G64" s="7">
        <v>1</v>
      </c>
      <c r="H64" s="13" t="s">
        <v>430</v>
      </c>
      <c r="I64" s="13">
        <v>42655.567499999997</v>
      </c>
      <c r="J64" s="7">
        <v>0</v>
      </c>
      <c r="K64" s="112" t="str">
        <f t="shared" si="0"/>
        <v>4007/4008</v>
      </c>
      <c r="L64" s="22" t="str">
        <f>VLOOKUP(A64,'Trips&amp;Operators'!$C$1:$E$10000,3,FALSE)</f>
        <v>BARTLETT</v>
      </c>
      <c r="M64" s="6">
        <f t="shared" si="1"/>
        <v>2.5601851848477963E-2</v>
      </c>
      <c r="N64" s="7">
        <f t="shared" si="31"/>
        <v>36.866666661808267</v>
      </c>
      <c r="O64" s="7"/>
      <c r="P64" s="7"/>
      <c r="Q64" s="23"/>
      <c r="R64" s="23"/>
      <c r="S64" s="35">
        <f t="shared" si="26"/>
        <v>1</v>
      </c>
      <c r="T64" s="50" t="str">
        <f t="shared" si="4"/>
        <v>NorthBound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11:57:32-0600',mode:absolute,to:'2016-10-12 14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4" s="52" t="str">
        <f t="shared" si="6"/>
        <v>N</v>
      </c>
      <c r="X64" s="149">
        <f t="shared" si="27"/>
        <v>1</v>
      </c>
      <c r="Y64" s="67">
        <f t="shared" si="8"/>
        <v>4.6699999999999998E-2</v>
      </c>
      <c r="Z64" s="67">
        <f t="shared" si="9"/>
        <v>23.334900000000001</v>
      </c>
      <c r="AA64" s="67">
        <f t="shared" si="10"/>
        <v>23.2882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0175-12</v>
      </c>
      <c r="AE64" s="91" t="str">
        <f t="shared" si="2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64" s="88" t="str">
        <f t="shared" si="29"/>
        <v>"C:\Program Files (x86)\AstroGrep\AstroGrep.exe" /spath="%USERPROFILE%\AppData\Local\Temp\OnboardLogs" /stypes="app*4007*20161012*" /stext=" 19:.+((SYSTEM_STATE.+slice.+state.+changed )|(ment ac)|(system.+state.+changed )|(\[timeout)|(PRM\|1\|D)|(kpr)|(kdp)|(\|lc)|(penalty))" /e /r /s</v>
      </c>
      <c r="AG64" s="1" t="str">
        <f t="shared" si="30"/>
        <v>EC</v>
      </c>
      <c r="AH64" s="92" t="str">
        <f t="shared" si="17"/>
        <v>"%USERPROFILE%\Documents\GitHub\eaglep3\Utilities\RefineRTDCRunTimes.py" --tripid 175-12 --locoid 4007 --swversion DE.1.0.7.0 --startMP 204:467 --initTime 2016-10-12T12:57:32 --startdatetime 2016-10-12T13:00:20 --delay 1 --endMP 204:233349 --enddatetime 2016-10-12T13:37:12 --enforcementcount 0 &gt;&gt;C:\Users\stu\Documents\GitHub\eaglep3-reporting\EC\2016-10-12-refined-times.txt</v>
      </c>
      <c r="AI64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{"issue":{"subject":"","project_id":79,"tracker_id":40,"status_id":1,"priority_id":2,"assigned_to_id":23,"start_date":"2016-10-12","description":"","custom_fields":[{"id":1,"name":"Subdivision","value":"EC"},{"id":4,"name":"Milepost","value":"23.3349"},{"id":17,"name":"Train ID","value":"175-12"},{"id":16,"name":"Locomotive ID","value":"4007"},{"id":130,"name":"Impact","value":""},{"id":150,"name":"Time of Event (Mountain Time)","value":"13:37:12"},{"id":151,"name":"Denver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431</v>
      </c>
      <c r="B65" s="7">
        <v>4008</v>
      </c>
      <c r="C65" s="22" t="s">
        <v>99</v>
      </c>
      <c r="D65" s="22" t="s">
        <v>432</v>
      </c>
      <c r="E65" s="13">
        <v>42655.570277777777</v>
      </c>
      <c r="F65" s="13">
        <v>42655.580983796295</v>
      </c>
      <c r="G65" s="7">
        <v>1</v>
      </c>
      <c r="H65" s="13" t="s">
        <v>317</v>
      </c>
      <c r="I65" s="13">
        <v>42655.607407407406</v>
      </c>
      <c r="J65" s="7">
        <v>0</v>
      </c>
      <c r="K65" s="112" t="str">
        <f t="shared" si="0"/>
        <v>4007/4008</v>
      </c>
      <c r="L65" s="22" t="str">
        <f>VLOOKUP(A65,'Trips&amp;Operators'!$C$1:$E$10000,3,FALSE)</f>
        <v>BARTLETT</v>
      </c>
      <c r="M65" s="6">
        <f t="shared" si="1"/>
        <v>2.6423611110658385E-2</v>
      </c>
      <c r="N65" s="7">
        <f t="shared" si="31"/>
        <v>38.049999999348074</v>
      </c>
      <c r="O65" s="7"/>
      <c r="P65" s="7"/>
      <c r="Q65" s="23"/>
      <c r="R65" s="23"/>
      <c r="S65" s="35">
        <f t="shared" si="26"/>
        <v>1</v>
      </c>
      <c r="T65" s="50" t="str">
        <f t="shared" si="4"/>
        <v>Southbound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12:41:12-0600',mode:absolute,to:'2016-10-12 15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5" s="52" t="str">
        <f t="shared" si="6"/>
        <v>N</v>
      </c>
      <c r="X65" s="149">
        <f t="shared" si="27"/>
        <v>1</v>
      </c>
      <c r="Y65" s="67">
        <f t="shared" si="8"/>
        <v>23.302800000000001</v>
      </c>
      <c r="Z65" s="67">
        <f t="shared" si="9"/>
        <v>1.54E-2</v>
      </c>
      <c r="AA65" s="67">
        <f t="shared" si="10"/>
        <v>23.287400000000002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0176-12</v>
      </c>
      <c r="AE65" s="91" t="str">
        <f t="shared" si="2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65" s="88" t="str">
        <f t="shared" si="29"/>
        <v>"C:\Program Files (x86)\AstroGrep\AstroGrep.exe" /spath="%USERPROFILE%\AppData\Local\Temp\OnboardLogs" /stypes="app*4008*20161012*" /stext=" 20:.+((SYSTEM_STATE.+slice.+state.+changed )|(ment ac)|(system.+state.+changed )|(\[timeout)|(PRM\|1\|D)|(kpr)|(kdp)|(\|lc)|(penalty))" /e /r /s</v>
      </c>
      <c r="AG65" s="1" t="str">
        <f t="shared" si="30"/>
        <v>EC</v>
      </c>
      <c r="AH65" s="92" t="str">
        <f t="shared" si="17"/>
        <v>"%USERPROFILE%\Documents\GitHub\eaglep3\Utilities\RefineRTDCRunTimes.py" --tripid 176-12 --locoid 4008 --swversion DE.1.0.7.0 --startMP 204:233028 --initTime 2016-10-12T13:41:12 --startdatetime 2016-10-12T13:56:37 --delay 1 --endMP 204:154 --enddatetime 2016-10-12T14:34:40 --enforcementcount 0 &gt;&gt;C:\Users\stu\Documents\GitHub\eaglep3-reporting\EC\2016-10-12-refined-times.txt</v>
      </c>
      <c r="AI65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ID","value":"176-12"},{"id":16,"name":"Locomotive ID","value":"4008"},{"id":130,"name":"Impact","value":""},{"id":150,"name":"Time of Event (Mountain Time)","value":"14:34:40"},{"id":151,"name":"Denver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433</v>
      </c>
      <c r="B66" s="7">
        <v>4053</v>
      </c>
      <c r="C66" s="22" t="s">
        <v>99</v>
      </c>
      <c r="D66" s="22" t="s">
        <v>434</v>
      </c>
      <c r="E66" s="13">
        <v>42655.548437500001</v>
      </c>
      <c r="F66" s="13">
        <v>42655.552291666667</v>
      </c>
      <c r="G66" s="7">
        <v>5</v>
      </c>
      <c r="H66" s="13" t="s">
        <v>435</v>
      </c>
      <c r="I66" s="13">
        <v>42655.577569444446</v>
      </c>
      <c r="J66" s="7">
        <v>0</v>
      </c>
      <c r="K66" s="112" t="str">
        <f t="shared" si="0"/>
        <v>4053/4054</v>
      </c>
      <c r="L66" s="22" t="str">
        <f>VLOOKUP(A66,'Trips&amp;Operators'!$C$1:$E$10000,3,FALSE)</f>
        <v>BRANNON</v>
      </c>
      <c r="M66" s="6">
        <f t="shared" si="1"/>
        <v>2.527777777868323E-2</v>
      </c>
      <c r="N66" s="7">
        <f t="shared" si="31"/>
        <v>36.400000001303852</v>
      </c>
      <c r="O66" s="7"/>
      <c r="P66" s="7"/>
      <c r="Q66" s="23"/>
      <c r="R66" s="23"/>
      <c r="S66" s="35">
        <f t="shared" si="26"/>
        <v>1</v>
      </c>
      <c r="T66" s="50" t="str">
        <f t="shared" si="4"/>
        <v>NorthBound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12:09:45-0600',mode:absolute,to:'2016-10-12 14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6" s="52" t="str">
        <f t="shared" si="6"/>
        <v>N</v>
      </c>
      <c r="X66" s="149">
        <f t="shared" si="27"/>
        <v>1</v>
      </c>
      <c r="Y66" s="67">
        <f t="shared" si="8"/>
        <v>4.4900000000000002E-2</v>
      </c>
      <c r="Z66" s="67">
        <f t="shared" si="9"/>
        <v>23.330500000000001</v>
      </c>
      <c r="AA66" s="67">
        <f t="shared" si="10"/>
        <v>23.285600000000002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0177-12</v>
      </c>
      <c r="AE66" s="91" t="str">
        <f t="shared" si="2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66" s="88" t="str">
        <f t="shared" si="29"/>
        <v>"C:\Program Files (x86)\AstroGrep\AstroGrep.exe" /spath="%USERPROFILE%\AppData\Local\Temp\OnboardLogs" /stypes="app*4053*20161012*" /stext=" 19:.+((SYSTEM_STATE.+slice.+state.+changed )|(ment ac)|(system.+state.+changed )|(\[timeout)|(PRM\|1\|D)|(kpr)|(kdp)|(\|lc)|(penalty))" /e /r /s</v>
      </c>
      <c r="AG66" s="1" t="str">
        <f t="shared" si="30"/>
        <v>EC</v>
      </c>
      <c r="AH66" s="92" t="str">
        <f t="shared" si="17"/>
        <v>"%USERPROFILE%\Documents\GitHub\eaglep3\Utilities\RefineRTDCRunTimes.py" --tripid 177-12 --locoid 4053 --swversion DE.1.0.7.0 --startMP 204:449 --initTime 2016-10-12T13:09:45 --startdatetime 2016-10-12T13:15:18 --delay 5 --endMP 204:233305 --enddatetime 2016-10-12T13:51:42 --enforcementcount 0 &gt;&gt;C:\Users\stu\Documents\GitHub\eaglep3-reporting\EC\2016-10-12-refined-times.txt</v>
      </c>
      <c r="AI66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{"issue":{"subject":"","project_id":79,"tracker_id":40,"status_id":1,"priority_id":2,"assigned_to_id":23,"start_date":"2016-10-12","description":"","custom_fields":[{"id":1,"name":"Subdivision","value":"EC"},{"id":4,"name":"Milepost","value":"23.3305"},{"id":17,"name":"Train ID","value":"177-12"},{"id":16,"name":"Locomotive ID","value":"4053"},{"id":130,"name":"Impact","value":""},{"id":150,"name":"Time of Event (Mountain Time)","value":"13:51:42"},{"id":151,"name":"Denver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436</v>
      </c>
      <c r="B67" s="7">
        <v>4054</v>
      </c>
      <c r="C67" s="22" t="s">
        <v>99</v>
      </c>
      <c r="D67" s="22" t="s">
        <v>375</v>
      </c>
      <c r="E67" s="13">
        <v>42655.579224537039</v>
      </c>
      <c r="F67" s="13">
        <v>42655.591157407405</v>
      </c>
      <c r="G67" s="7">
        <v>1</v>
      </c>
      <c r="H67" s="13" t="s">
        <v>329</v>
      </c>
      <c r="I67" s="13">
        <v>42655.618356481478</v>
      </c>
      <c r="J67" s="7">
        <v>0</v>
      </c>
      <c r="K67" s="112" t="str">
        <f t="shared" si="0"/>
        <v>4053/4054</v>
      </c>
      <c r="L67" s="22" t="str">
        <f>VLOOKUP(A67,'Trips&amp;Operators'!$C$1:$E$10000,3,FALSE)</f>
        <v>BRANNON</v>
      </c>
      <c r="M67" s="6">
        <f t="shared" si="1"/>
        <v>2.7199074072996154E-2</v>
      </c>
      <c r="N67" s="7">
        <f t="shared" si="31"/>
        <v>39.166666665114462</v>
      </c>
      <c r="O67" s="7"/>
      <c r="P67" s="7"/>
      <c r="Q67" s="23"/>
      <c r="R67" s="23"/>
      <c r="S67" s="35">
        <f t="shared" si="26"/>
        <v>1</v>
      </c>
      <c r="T67" s="50" t="str">
        <f t="shared" si="4"/>
        <v>Southbound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12:54:05-0600',mode:absolute,to:'2016-10-12 15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7" s="52" t="str">
        <f t="shared" si="6"/>
        <v>N</v>
      </c>
      <c r="X67" s="149">
        <f t="shared" si="27"/>
        <v>1</v>
      </c>
      <c r="Y67" s="67">
        <f t="shared" si="8"/>
        <v>23.298999999999999</v>
      </c>
      <c r="Z67" s="67">
        <f t="shared" si="9"/>
        <v>1.4500000000000001E-2</v>
      </c>
      <c r="AA67" s="67">
        <f t="shared" si="10"/>
        <v>23.284499999999998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0178-12</v>
      </c>
      <c r="AE67" s="91" t="str">
        <f t="shared" si="2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67" s="88" t="str">
        <f t="shared" si="29"/>
        <v>"C:\Program Files (x86)\AstroGrep\AstroGrep.exe" /spath="%USERPROFILE%\AppData\Local\Temp\OnboardLogs" /stypes="app*4054*20161012*" /stext=" 20:.+((SYSTEM_STATE.+slice.+state.+changed )|(ment ac)|(system.+state.+changed )|(\[timeout)|(PRM\|1\|D)|(kpr)|(kdp)|(\|lc)|(penalty))" /e /r /s</v>
      </c>
      <c r="AG67" s="1" t="str">
        <f t="shared" si="30"/>
        <v>EC</v>
      </c>
      <c r="AH67" s="92" t="str">
        <f t="shared" si="17"/>
        <v>"%USERPROFILE%\Documents\GitHub\eaglep3\Utilities\RefineRTDCRunTimes.py" --tripid 178-12 --locoid 4054 --swversion DE.1.0.7.0 --startMP 204:232990 --initTime 2016-10-12T13:54:05 --startdatetime 2016-10-12T14:11:16 --delay 1 --endMP 204:145 --enddatetime 2016-10-12T14:50:26 --enforcementcount 0 &gt;&gt;C:\Users\stu\Documents\GitHub\eaglep3-reporting\EC\2016-10-12-refined-times.txt</v>
      </c>
      <c r="AI67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ID","value":"178-12"},{"id":16,"name":"Locomotive ID","value":"4054"},{"id":130,"name":"Impact","value":""},{"id":150,"name":"Time of Event (Mountain Time)","value":"14:50:26"},{"id":151,"name":"Denver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437</v>
      </c>
      <c r="B68" s="7">
        <v>4040</v>
      </c>
      <c r="C68" s="22" t="s">
        <v>99</v>
      </c>
      <c r="D68" s="22" t="s">
        <v>438</v>
      </c>
      <c r="E68" s="13">
        <v>42655.559074074074</v>
      </c>
      <c r="F68" s="13">
        <v>42655.56287037037</v>
      </c>
      <c r="G68" s="7">
        <v>1</v>
      </c>
      <c r="H68" s="13" t="s">
        <v>439</v>
      </c>
      <c r="I68" s="13">
        <v>42655.587696759256</v>
      </c>
      <c r="J68" s="7">
        <v>0</v>
      </c>
      <c r="K68" s="112" t="str">
        <f t="shared" si="0"/>
        <v>4039/4040</v>
      </c>
      <c r="L68" s="22" t="str">
        <f>VLOOKUP(A68,'Trips&amp;Operators'!$C$1:$E$10000,3,FALSE)</f>
        <v>HAUSER</v>
      </c>
      <c r="M68" s="6">
        <f t="shared" si="1"/>
        <v>2.4826388886140194E-2</v>
      </c>
      <c r="N68" s="7">
        <f t="shared" si="31"/>
        <v>35.749999996041879</v>
      </c>
      <c r="O68" s="7"/>
      <c r="P68" s="7"/>
      <c r="Q68" s="23"/>
      <c r="R68" s="23"/>
      <c r="S68" s="35">
        <f t="shared" si="26"/>
        <v>1</v>
      </c>
      <c r="T68" s="50" t="str">
        <f t="shared" si="4"/>
        <v>NorthBound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12:25:04-0600',mode:absolute,to:'2016-10-12 15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8" s="52" t="str">
        <f t="shared" si="6"/>
        <v>N</v>
      </c>
      <c r="X68" s="149">
        <f t="shared" si="27"/>
        <v>1</v>
      </c>
      <c r="Y68" s="67">
        <f t="shared" si="8"/>
        <v>4.8599999999999997E-2</v>
      </c>
      <c r="Z68" s="67">
        <f t="shared" si="9"/>
        <v>23.329799999999999</v>
      </c>
      <c r="AA68" s="67">
        <f t="shared" si="10"/>
        <v>23.281199999999998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0179-12</v>
      </c>
      <c r="AE68" s="91" t="str">
        <f t="shared" si="28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68" s="88" t="str">
        <f t="shared" si="29"/>
        <v>"C:\Program Files (x86)\AstroGrep\AstroGrep.exe" /spath="%USERPROFILE%\AppData\Local\Temp\OnboardLogs" /stypes="app*4040*20161012*" /stext=" 20:.+((SYSTEM_STATE.+slice.+state.+changed )|(ment ac)|(system.+state.+changed )|(\[timeout)|(PRM\|1\|D)|(kpr)|(kdp)|(\|lc)|(penalty))" /e /r /s</v>
      </c>
      <c r="AG68" s="1" t="str">
        <f t="shared" si="30"/>
        <v>EC</v>
      </c>
      <c r="AH68" s="92" t="str">
        <f t="shared" si="17"/>
        <v>"%USERPROFILE%\Documents\GitHub\eaglep3\Utilities\RefineRTDCRunTimes.py" --tripid 179-12 --locoid 4040 --swversion DE.1.0.7.0 --startMP 204:486 --initTime 2016-10-12T13:25:04 --startdatetime 2016-10-12T13:30:32 --delay 1 --endMP 204:233298 --enddatetime 2016-10-12T14:06:17 --enforcementcount 0 &gt;&gt;C:\Users\stu\Documents\GitHub\eaglep3-reporting\EC\2016-10-12-refined-times.txt</v>
      </c>
      <c r="AI68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ID","value":"179-12"},{"id":16,"name":"Locomotive ID","value":"4040"},{"id":130,"name":"Impact","value":""},{"id":150,"name":"Time of Event (Mountain Time)","value":"14:06:17"},{"id":151,"name":"Denver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440</v>
      </c>
      <c r="B69" s="7">
        <v>4039</v>
      </c>
      <c r="C69" s="22" t="s">
        <v>99</v>
      </c>
      <c r="D69" s="22" t="s">
        <v>441</v>
      </c>
      <c r="E69" s="13">
        <v>42655.592986111114</v>
      </c>
      <c r="F69" s="13">
        <v>42655.601736111108</v>
      </c>
      <c r="G69" s="7">
        <v>1</v>
      </c>
      <c r="H69" s="13" t="s">
        <v>176</v>
      </c>
      <c r="I69" s="13">
        <v>42655.628946759258</v>
      </c>
      <c r="J69" s="7">
        <v>0</v>
      </c>
      <c r="K69" s="112" t="str">
        <f t="shared" si="0"/>
        <v>4039/4040</v>
      </c>
      <c r="L69" s="22" t="str">
        <f>VLOOKUP(A69,'Trips&amp;Operators'!$C$1:$E$10000,3,FALSE)</f>
        <v>HELVIE</v>
      </c>
      <c r="M69" s="6">
        <f t="shared" si="1"/>
        <v>2.7210648149775807E-2</v>
      </c>
      <c r="N69" s="7">
        <f t="shared" si="31"/>
        <v>39.183333335677162</v>
      </c>
      <c r="O69" s="7"/>
      <c r="P69" s="7"/>
      <c r="Q69" s="23"/>
      <c r="R69" s="23"/>
      <c r="S69" s="35">
        <f t="shared" si="26"/>
        <v>1</v>
      </c>
      <c r="T69" s="50" t="str">
        <f t="shared" si="4"/>
        <v>Southbound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13:13:54-0600',mode:absolute,to:'2016-10-12 16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9" s="52" t="str">
        <f t="shared" si="6"/>
        <v>N</v>
      </c>
      <c r="X69" s="149">
        <f t="shared" si="27"/>
        <v>1</v>
      </c>
      <c r="Y69" s="67">
        <f t="shared" si="8"/>
        <v>23.297599999999999</v>
      </c>
      <c r="Z69" s="67">
        <f t="shared" si="9"/>
        <v>1.47E-2</v>
      </c>
      <c r="AA69" s="67">
        <f t="shared" si="10"/>
        <v>23.282899999999998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0180-12</v>
      </c>
      <c r="AE69" s="91" t="str">
        <f t="shared" si="28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69" s="88" t="str">
        <f t="shared" si="29"/>
        <v>"C:\Program Files (x86)\AstroGrep\AstroGrep.exe" /spath="%USERPROFILE%\AppData\Local\Temp\OnboardLogs" /stypes="app*4039*20161012*" /stext=" 21:.+((SYSTEM_STATE.+slice.+state.+changed )|(ment ac)|(system.+state.+changed )|(\[timeout)|(PRM\|1\|D)|(kpr)|(kdp)|(\|lc)|(penalty))" /e /r /s</v>
      </c>
      <c r="AG69" s="1" t="str">
        <f t="shared" si="30"/>
        <v>EC</v>
      </c>
      <c r="AH69" s="92" t="str">
        <f t="shared" si="17"/>
        <v>"%USERPROFILE%\Documents\GitHub\eaglep3\Utilities\RefineRTDCRunTimes.py" --tripid 180-12 --locoid 4039 --swversion DE.1.0.7.0 --startMP 204:232976 --initTime 2016-10-12T14:13:54 --startdatetime 2016-10-12T14:26:30 --delay 1 --endMP 204:147 --enddatetime 2016-10-12T15:05:41 --enforcementcount 0 &gt;&gt;C:\Users\stu\Documents\GitHub\eaglep3-reporting\EC\2016-10-12-refined-times.txt</v>
      </c>
      <c r="AI69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ID","value":"180-12"},{"id":16,"name":"Locomotive ID","value":"4039"},{"id":130,"name":"Impact","value":""},{"id":150,"name":"Time of Event (Mountain Time)","value":"15:05:41"},{"id":151,"name":"Denver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442</v>
      </c>
      <c r="B70" s="7">
        <v>4044</v>
      </c>
      <c r="C70" s="22" t="s">
        <v>99</v>
      </c>
      <c r="D70" s="22" t="s">
        <v>434</v>
      </c>
      <c r="E70" s="13">
        <v>42655.566087962965</v>
      </c>
      <c r="F70" s="13">
        <v>42655.573194444441</v>
      </c>
      <c r="G70" s="7">
        <v>1</v>
      </c>
      <c r="H70" s="13" t="s">
        <v>443</v>
      </c>
      <c r="I70" s="13">
        <v>42655.598553240743</v>
      </c>
      <c r="J70" s="7">
        <v>0</v>
      </c>
      <c r="K70" s="112" t="str">
        <f t="shared" si="0"/>
        <v>4043/4044</v>
      </c>
      <c r="L70" s="22" t="str">
        <f>VLOOKUP(A70,'Trips&amp;Operators'!$C$1:$E$10000,3,FALSE)</f>
        <v>CRAYTON</v>
      </c>
      <c r="M70" s="6">
        <f t="shared" si="1"/>
        <v>2.5358796301588882E-2</v>
      </c>
      <c r="N70" s="7">
        <f t="shared" si="31"/>
        <v>36.51666667428799</v>
      </c>
      <c r="O70" s="7"/>
      <c r="P70" s="7"/>
      <c r="Q70" s="23"/>
      <c r="R70" s="23"/>
      <c r="S70" s="35">
        <f t="shared" si="26"/>
        <v>1</v>
      </c>
      <c r="T70" s="50" t="str">
        <f t="shared" si="4"/>
        <v>NorthBound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12:35:10-0600',mode:absolute,to:'2016-10-12 15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0" s="52" t="str">
        <f t="shared" si="6"/>
        <v>N</v>
      </c>
      <c r="X70" s="149">
        <f t="shared" si="27"/>
        <v>1</v>
      </c>
      <c r="Y70" s="67">
        <f t="shared" si="8"/>
        <v>4.4900000000000002E-2</v>
      </c>
      <c r="Z70" s="67">
        <f t="shared" si="9"/>
        <v>23.3353</v>
      </c>
      <c r="AA70" s="67">
        <f t="shared" si="10"/>
        <v>23.290400000000002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0181-12</v>
      </c>
      <c r="AE70" s="91" t="str">
        <f t="shared" si="28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70" s="88" t="str">
        <f t="shared" si="29"/>
        <v>"C:\Program Files (x86)\AstroGrep\AstroGrep.exe" /spath="%USERPROFILE%\AppData\Local\Temp\OnboardLogs" /stypes="app*4044*20161012*" /stext=" 20:.+((SYSTEM_STATE.+slice.+state.+changed )|(ment ac)|(system.+state.+changed )|(\[timeout)|(PRM\|1\|D)|(kpr)|(kdp)|(\|lc)|(penalty))" /e /r /s</v>
      </c>
      <c r="AG70" s="1" t="str">
        <f t="shared" si="30"/>
        <v>EC</v>
      </c>
      <c r="AH70" s="92" t="str">
        <f t="shared" si="17"/>
        <v>"%USERPROFILE%\Documents\GitHub\eaglep3\Utilities\RefineRTDCRunTimes.py" --tripid 181-12 --locoid 4044 --swversion DE.1.0.7.0 --startMP 204:449 --initTime 2016-10-12T13:35:10 --startdatetime 2016-10-12T13:45:24 --delay 1 --endMP 204:233353 --enddatetime 2016-10-12T14:21:55 --enforcementcount 0 &gt;&gt;C:\Users\stu\Documents\GitHub\eaglep3-reporting\EC\2016-10-12-refined-times.txt</v>
      </c>
      <c r="AI70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{"issue":{"subject":"","project_id":79,"tracker_id":40,"status_id":1,"priority_id":2,"assigned_to_id":23,"start_date":"2016-10-12","description":"","custom_fields":[{"id":1,"name":"Subdivision","value":"EC"},{"id":4,"name":"Milepost","value":"23.3353"},{"id":17,"name":"Train ID","value":"181-12"},{"id":16,"name":"Locomotive ID","value":"4044"},{"id":130,"name":"Impact","value":""},{"id":150,"name":"Time of Event (Mountain Time)","value":"14:21:55"},{"id":151,"name":"Denver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444</v>
      </c>
      <c r="B71" s="7">
        <v>4043</v>
      </c>
      <c r="C71" s="22" t="s">
        <v>99</v>
      </c>
      <c r="D71" s="22" t="s">
        <v>445</v>
      </c>
      <c r="E71" s="13">
        <v>42655.600891203707</v>
      </c>
      <c r="F71" s="13">
        <v>42655.612291666665</v>
      </c>
      <c r="G71" s="7">
        <v>1</v>
      </c>
      <c r="H71" s="13" t="s">
        <v>446</v>
      </c>
      <c r="I71" s="13">
        <v>42655.639849537038</v>
      </c>
      <c r="J71" s="7">
        <v>0</v>
      </c>
      <c r="K71" s="112" t="str">
        <f t="shared" si="0"/>
        <v>4043/4044</v>
      </c>
      <c r="L71" s="22" t="str">
        <f>VLOOKUP(A71,'Trips&amp;Operators'!$C$1:$E$10000,3,FALSE)</f>
        <v>CRAYTON</v>
      </c>
      <c r="M71" s="6">
        <f t="shared" si="1"/>
        <v>2.7557870373129845E-2</v>
      </c>
      <c r="N71" s="7">
        <f t="shared" si="31"/>
        <v>39.683333337306976</v>
      </c>
      <c r="O71" s="7"/>
      <c r="P71" s="7"/>
      <c r="Q71" s="23"/>
      <c r="R71" s="23"/>
      <c r="S71" s="35">
        <f t="shared" si="26"/>
        <v>1</v>
      </c>
      <c r="T71" s="50" t="str">
        <f t="shared" si="4"/>
        <v>Southbound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13:25:17-0600',mode:absolute,to:'2016-10-12 16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1" s="52" t="str">
        <f t="shared" si="6"/>
        <v>N</v>
      </c>
      <c r="X71" s="149">
        <f t="shared" si="27"/>
        <v>1</v>
      </c>
      <c r="Y71" s="67">
        <f t="shared" si="8"/>
        <v>23.297499999999999</v>
      </c>
      <c r="Z71" s="67">
        <f t="shared" si="9"/>
        <v>1.34E-2</v>
      </c>
      <c r="AA71" s="67">
        <f t="shared" si="10"/>
        <v>23.284099999999999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0182-12</v>
      </c>
      <c r="AE71" s="91" t="str">
        <f t="shared" si="28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71" s="88" t="str">
        <f t="shared" si="29"/>
        <v>"C:\Program Files (x86)\AstroGrep\AstroGrep.exe" /spath="%USERPROFILE%\AppData\Local\Temp\OnboardLogs" /stypes="app*4043*20161012*" /stext=" 21:.+((SYSTEM_STATE.+slice.+state.+changed )|(ment ac)|(system.+state.+changed )|(\[timeout)|(PRM\|1\|D)|(kpr)|(kdp)|(\|lc)|(penalty))" /e /r /s</v>
      </c>
      <c r="AG71" s="1" t="str">
        <f t="shared" si="30"/>
        <v>EC</v>
      </c>
      <c r="AH71" s="92" t="str">
        <f t="shared" si="17"/>
        <v>"%USERPROFILE%\Documents\GitHub\eaglep3\Utilities\RefineRTDCRunTimes.py" --tripid 182-12 --locoid 4043 --swversion DE.1.0.7.0 --startMP 204:232975 --initTime 2016-10-12T14:25:17 --startdatetime 2016-10-12T14:41:42 --delay 1 --endMP 204:134 --enddatetime 2016-10-12T15:21:23 --enforcementcount 0 &gt;&gt;C:\Users\stu\Documents\GitHub\eaglep3-reporting\EC\2016-10-12-refined-times.txt</v>
      </c>
      <c r="AI71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{"issue":{"subject":"","project_id":79,"tracker_id":40,"status_id":1,"priority_id":2,"assigned_to_id":23,"start_date":"2016-10-12","description":"","custom_fields":[{"id":1,"name":"Subdivision","value":"EC"},{"id":4,"name":"Milepost","value":"0.0134"},{"id":17,"name":"Train ID","value":"182-12"},{"id":16,"name":"Locomotive ID","value":"4043"},{"id":130,"name":"Impact","value":""},{"id":150,"name":"Time of Event (Mountain Time)","value":"15:21:23"},{"id":151,"name":"Denver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447</v>
      </c>
      <c r="B72" s="7">
        <v>4031</v>
      </c>
      <c r="C72" s="22" t="s">
        <v>99</v>
      </c>
      <c r="D72" s="22" t="s">
        <v>448</v>
      </c>
      <c r="E72" s="13">
        <v>42655.572546296295</v>
      </c>
      <c r="F72" s="13">
        <v>42655.570868055554</v>
      </c>
      <c r="G72" s="7">
        <v>6</v>
      </c>
      <c r="H72" s="13" t="s">
        <v>449</v>
      </c>
      <c r="I72" s="13">
        <v>42655.609236111108</v>
      </c>
      <c r="J72" s="7">
        <v>0</v>
      </c>
      <c r="K72" s="112" t="str">
        <f t="shared" si="0"/>
        <v>4031/4032</v>
      </c>
      <c r="L72" s="22" t="str">
        <f>VLOOKUP(A72,'Trips&amp;Operators'!$C$1:$E$10000,3,FALSE)</f>
        <v>HILLS</v>
      </c>
      <c r="M72" s="6">
        <f t="shared" si="1"/>
        <v>3.8368055553291924E-2</v>
      </c>
      <c r="N72" s="7">
        <f t="shared" si="31"/>
        <v>55.249999996740371</v>
      </c>
      <c r="O72" s="7"/>
      <c r="P72" s="7"/>
      <c r="Q72" s="23"/>
      <c r="R72" s="23"/>
      <c r="S72" s="35">
        <f t="shared" si="26"/>
        <v>1</v>
      </c>
      <c r="T72" s="50" t="str">
        <f t="shared" si="4"/>
        <v>NorthBound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12:44:28-0600',mode:absolute,to:'2016-10-12 15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6"/>
        <v>N</v>
      </c>
      <c r="X72" s="149">
        <f t="shared" si="27"/>
        <v>1</v>
      </c>
      <c r="Y72" s="67">
        <f t="shared" si="8"/>
        <v>4.5699999999999998E-2</v>
      </c>
      <c r="Z72" s="67">
        <f t="shared" si="9"/>
        <v>23.332899999999999</v>
      </c>
      <c r="AA72" s="67">
        <f t="shared" si="10"/>
        <v>23.287199999999999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0183-12</v>
      </c>
      <c r="AE72" s="91" t="str">
        <f t="shared" si="28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72" s="88" t="str">
        <f t="shared" si="29"/>
        <v>"C:\Program Files (x86)\AstroGrep\AstroGrep.exe" /spath="%USERPROFILE%\AppData\Local\Temp\OnboardLogs" /stypes="app*4031*20161012*" /stext=" 20:.+((SYSTEM_STATE.+slice.+state.+changed )|(ment ac)|(system.+state.+changed )|(\[timeout)|(PRM\|1\|D)|(kpr)|(kdp)|(\|lc)|(penalty))" /e /r /s</v>
      </c>
      <c r="AG72" s="1" t="str">
        <f t="shared" si="30"/>
        <v>EC</v>
      </c>
      <c r="AH72" s="92" t="str">
        <f t="shared" si="17"/>
        <v>"%USERPROFILE%\Documents\GitHub\eaglep3\Utilities\RefineRTDCRunTimes.py" --tripid 183-12 --locoid 4031 --swversion DE.1.0.7.0 --startMP 204:457 --initTime 2016-10-12T13:44:28 --startdatetime 2016-10-12T13:42:03 --delay 6 --endMP 204:233329 --enddatetime 2016-10-12T14:37:18 --enforcementcount 0 &gt;&gt;C:\Users\stu\Documents\GitHub\eaglep3-reporting\EC\2016-10-12-refined-times.txt</v>
      </c>
      <c r="AI72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{"issue":{"subject":"","project_id":79,"tracker_id":40,"status_id":1,"priority_id":2,"assigned_to_id":23,"start_date":"2016-10-12","description":"","custom_fields":[{"id":1,"name":"Subdivision","value":"EC"},{"id":4,"name":"Milepost","value":"23.3329"},{"id":17,"name":"Train ID","value":"183-12"},{"id":16,"name":"Locomotive ID","value":"4031"},{"id":130,"name":"Impact","value":""},{"id":150,"name":"Time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450</v>
      </c>
      <c r="B73" s="7">
        <v>4032</v>
      </c>
      <c r="C73" s="22" t="s">
        <v>99</v>
      </c>
      <c r="D73" s="22" t="s">
        <v>451</v>
      </c>
      <c r="E73" s="13">
        <v>42655.611400462964</v>
      </c>
      <c r="F73" s="13">
        <v>42655.612523148149</v>
      </c>
      <c r="G73" s="7">
        <v>17</v>
      </c>
      <c r="H73" s="13" t="s">
        <v>452</v>
      </c>
      <c r="I73" s="13">
        <v>42655.650613425925</v>
      </c>
      <c r="J73" s="7">
        <v>0</v>
      </c>
      <c r="K73" s="112" t="str">
        <f t="shared" si="0"/>
        <v>4031/4032</v>
      </c>
      <c r="L73" s="22" t="str">
        <f>VLOOKUP(A73,'Trips&amp;Operators'!$C$1:$E$10000,3,FALSE)</f>
        <v>HILLS</v>
      </c>
      <c r="M73" s="6">
        <f t="shared" si="1"/>
        <v>3.8090277776063886E-2</v>
      </c>
      <c r="N73" s="7">
        <f t="shared" si="31"/>
        <v>54.849999997531995</v>
      </c>
      <c r="O73" s="7"/>
      <c r="P73" s="7"/>
      <c r="Q73" s="23"/>
      <c r="R73" s="23"/>
      <c r="S73" s="35">
        <f t="shared" si="26"/>
        <v>1</v>
      </c>
      <c r="T73" s="50" t="str">
        <f t="shared" si="4"/>
        <v>Southbound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13:40:25-0600',mode:absolute,to:'2016-10-12 16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49">
        <f t="shared" si="27"/>
        <v>1</v>
      </c>
      <c r="Y73" s="67">
        <f t="shared" si="8"/>
        <v>23.300599999999999</v>
      </c>
      <c r="Z73" s="67">
        <v>0.19420000000000001</v>
      </c>
      <c r="AA73" s="67">
        <f t="shared" si="10"/>
        <v>23.106400000000001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1"/>
        <v>0184-12</v>
      </c>
      <c r="AE73" s="91" t="str">
        <f t="shared" si="28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73" s="88" t="str">
        <f t="shared" si="29"/>
        <v>"C:\Program Files (x86)\AstroGrep\AstroGrep.exe" /spath="%USERPROFILE%\AppData\Local\Temp\OnboardLogs" /stypes="app*4032*20161012*" /stext=" 21:.+((SYSTEM_STATE.+slice.+state.+changed )|(ment ac)|(system.+state.+changed )|(\[timeout)|(PRM\|1\|D)|(kpr)|(kdp)|(\|lc)|(penalty))" /e /r /s</v>
      </c>
      <c r="AG73" s="1" t="str">
        <f t="shared" si="30"/>
        <v>EC</v>
      </c>
      <c r="AH73" s="92" t="str">
        <f t="shared" si="17"/>
        <v>"%USERPROFILE%\Documents\GitHub\eaglep3\Utilities\RefineRTDCRunTimes.py" --tripid 184-12 --locoid 4032 --swversion DE.1.0.7.0 --startMP 204:233006 --initTime 2016-10-12T14:40:25 --startdatetime 2016-10-12T14:42:02 --delay 17 --endMP 204:232418 --enddatetime 2016-10-12T15:36:53 --enforcementcount 0 &gt;&gt;C:\Users\stu\Documents\GitHub\eaglep3-reporting\EC\2016-10-12-refined-times.txt</v>
      </c>
      <c r="AI73" s="122" t="str">
        <f t="shared" si="18"/>
        <v>echo {"issue":{"subject":"","project_id":79,"tracker_id":40,"status_id":1,"priority_id":2,"assigned_to_id":23,"start_date":"2016-10-12","description":"","custom_fields":[{"id":1,"name":"Subdivision","value":"EC"},{"id":4,"name":"Milepost","value":"0.1942"},{"id":17,"name":"Train ID","value":"184-12"},{"id":16,"name":"Locomotive ID","value":"4032"},{"id":130,"name":"Impact","value":""},{"id":150,"name":"Time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453</v>
      </c>
      <c r="B74" s="7">
        <v>4016</v>
      </c>
      <c r="C74" s="22" t="s">
        <v>99</v>
      </c>
      <c r="D74" s="22" t="s">
        <v>454</v>
      </c>
      <c r="E74" s="13">
        <v>42655.588796296295</v>
      </c>
      <c r="F74" s="13">
        <v>42655.594293981485</v>
      </c>
      <c r="G74" s="7">
        <v>6</v>
      </c>
      <c r="H74" s="13" t="s">
        <v>455</v>
      </c>
      <c r="I74" s="13">
        <v>42655.620497685188</v>
      </c>
      <c r="J74" s="7">
        <v>0</v>
      </c>
      <c r="K74" s="112" t="str">
        <f t="shared" si="0"/>
        <v>4015/4016</v>
      </c>
      <c r="L74" s="22" t="str">
        <f>VLOOKUP(A74,'Trips&amp;Operators'!$C$1:$E$10000,3,FALSE)</f>
        <v>STORY</v>
      </c>
      <c r="M74" s="6">
        <f t="shared" si="1"/>
        <v>2.6203703702776693E-2</v>
      </c>
      <c r="N74" s="7">
        <f t="shared" si="31"/>
        <v>37.733333331998438</v>
      </c>
      <c r="O74" s="7"/>
      <c r="P74" s="7"/>
      <c r="Q74" s="23"/>
      <c r="R74" s="23"/>
      <c r="S74" s="35">
        <f t="shared" si="26"/>
        <v>1</v>
      </c>
      <c r="T74" s="50" t="str">
        <f t="shared" si="4"/>
        <v>NorthBound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13:07:52-0600',mode:absolute,to:'2016-10-12 15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4" s="52" t="str">
        <f t="shared" si="6"/>
        <v>N</v>
      </c>
      <c r="X74" s="149">
        <f t="shared" si="27"/>
        <v>1</v>
      </c>
      <c r="Y74" s="67">
        <f t="shared" si="8"/>
        <v>4.6199999999999998E-2</v>
      </c>
      <c r="Z74" s="67">
        <v>23.3</v>
      </c>
      <c r="AA74" s="67">
        <f t="shared" si="10"/>
        <v>23.253800000000002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1"/>
        <v>0185-12</v>
      </c>
      <c r="AE74" s="91" t="str">
        <f t="shared" si="2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74" s="88" t="str">
        <f t="shared" si="29"/>
        <v>"C:\Program Files (x86)\AstroGrep\AstroGrep.exe" /spath="%USERPROFILE%\AppData\Local\Temp\OnboardLogs" /stypes="app*4016*20161012*" /stext=" 20:.+((SYSTEM_STATE.+slice.+state.+changed )|(ment ac)|(system.+state.+changed )|(\[timeout)|(PRM\|1\|D)|(kpr)|(kdp)|(\|lc)|(penalty))" /e /r /s</v>
      </c>
      <c r="AG74" s="1" t="str">
        <f t="shared" si="30"/>
        <v>EC</v>
      </c>
      <c r="AH74" s="92" t="str">
        <f t="shared" ref="AH74:AH134" si="32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185-12 --locoid 4016 --swversion DE.1.0.7.0 --startMP 204:462 --initTime 2016-10-12T14:07:52 --startdatetime 2016-10-12T14:15:47 --delay 6 --endMP 204:2939 --enddatetime 2016-10-12T14:53:31 --enforcementcount 0 &gt;&gt;C:\Users\stu\Documents\GitHub\eaglep3-reporting\EC\2016-10-12-refined-times.txt</v>
      </c>
      <c r="AI74" s="122" t="str">
        <f t="shared" ref="AI74:AI134" si="33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{"issue":{"subject":"","project_id":79,"tracker_id":40,"status_id":1,"priority_id":2,"assigned_to_id":23,"start_date":"2016-10-12","description":"","custom_fields":[{"id":1,"name":"Subdivision","value":"EC"},{"id":4,"name":"Milepost","value":"23.3"},{"id":17,"name":"Train ID","value":"185-12"},{"id":16,"name":"Locomotive ID","value":"4016"},{"id":130,"name":"Impact","value":""},{"id":150,"name":"Time of Event (Mountain Time)","value":"14:53:31"},{"id":151,"name":"Denver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273</v>
      </c>
      <c r="B75" s="7">
        <v>4015</v>
      </c>
      <c r="C75" s="22" t="s">
        <v>99</v>
      </c>
      <c r="D75" s="22" t="s">
        <v>456</v>
      </c>
      <c r="E75" s="13">
        <v>42655.627500000002</v>
      </c>
      <c r="F75" s="13">
        <v>42655.633009259262</v>
      </c>
      <c r="G75" s="7">
        <v>1</v>
      </c>
      <c r="H75" s="13" t="s">
        <v>415</v>
      </c>
      <c r="I75" s="13">
        <v>42655.661307870374</v>
      </c>
      <c r="J75" s="7">
        <v>0</v>
      </c>
      <c r="K75" s="112" t="str">
        <f t="shared" si="0"/>
        <v>4015/4016</v>
      </c>
      <c r="L75" s="22" t="str">
        <f>VLOOKUP(A75,'Trips&amp;Operators'!$C$1:$E$10000,3,FALSE)</f>
        <v>STORY</v>
      </c>
      <c r="M75" s="6">
        <f t="shared" si="1"/>
        <v>2.8298611112404615E-2</v>
      </c>
      <c r="N75" s="7">
        <f t="shared" si="31"/>
        <v>40.750000001862645</v>
      </c>
      <c r="O75" s="7"/>
      <c r="P75" s="7"/>
      <c r="Q75" s="23"/>
      <c r="R75" s="23"/>
      <c r="S75" s="35">
        <f t="shared" si="26"/>
        <v>1</v>
      </c>
      <c r="T75" s="50" t="str">
        <f t="shared" si="4"/>
        <v>Southbound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14:03:36-0600',mode:absolute,to:'2016-10-12 16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5" s="52" t="str">
        <f t="shared" si="6"/>
        <v>N</v>
      </c>
      <c r="X75" s="149">
        <f t="shared" si="27"/>
        <v>1</v>
      </c>
      <c r="Y75" s="67">
        <f t="shared" si="8"/>
        <v>23.297799999999999</v>
      </c>
      <c r="Z75" s="67">
        <f t="shared" ref="Z75:Z138" si="34">RIGHT(H75,LEN(H75)-4)/10000</f>
        <v>1.38E-2</v>
      </c>
      <c r="AA75" s="67">
        <f t="shared" si="10"/>
        <v>23.283999999999999</v>
      </c>
      <c r="AB75" s="64" t="str">
        <f>VLOOKUP(A75,Enforcements!$C$7:$K$21,8,0)</f>
        <v>Bulletin (2)</v>
      </c>
      <c r="AC75" s="60" t="str">
        <f>VLOOKUP(A75,Enforcements!$C$7:$E$21,3,0)</f>
        <v>GRADE CROSSING</v>
      </c>
      <c r="AD75" s="61" t="str">
        <f t="shared" si="11"/>
        <v>0186-12</v>
      </c>
      <c r="AE75" s="91" t="str">
        <f t="shared" si="2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75" s="88" t="str">
        <f t="shared" si="29"/>
        <v>"C:\Program Files (x86)\AstroGrep\AstroGrep.exe" /spath="%USERPROFILE%\AppData\Local\Temp\OnboardLogs" /stypes="app*4015*20161012*" /stext=" 21:.+((SYSTEM_STATE.+slice.+state.+changed )|(ment ac)|(system.+state.+changed )|(\[timeout)|(PRM\|1\|D)|(kpr)|(kdp)|(\|lc)|(penalty))" /e /r /s</v>
      </c>
      <c r="AG75" s="1" t="str">
        <f t="shared" si="30"/>
        <v>EC</v>
      </c>
      <c r="AH75" s="92" t="str">
        <f t="shared" si="32"/>
        <v>"%USERPROFILE%\Documents\GitHub\eaglep3\Utilities\RefineRTDCRunTimes.py" --tripid 186-12 --locoid 4015 --swversion DE.1.0.7.0 --startMP 204:232978 --initTime 2016-10-12T15:03:36 --startdatetime 2016-10-12T15:11:32 --delay 1 --endMP 204:138 --enddatetime 2016-10-12T15:52:17 --enforcementcount 0 &gt;&gt;C:\Users\stu\Documents\GitHub\eaglep3-reporting\EC\2016-10-12-refined-times.txt</v>
      </c>
      <c r="AI7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{"issue":{"subject":"","project_id":79,"tracker_id":40,"status_id":1,"priority_id":2,"assigned_to_id":23,"start_date":"2016-10-12","description":"","custom_fields":[{"id":1,"name":"Subdivision","value":"EC"},{"id":4,"name":"Milepost","value":"0.0138"},{"id":17,"name":"Train ID","value":"186-12"},{"id":16,"name":"Locomotive ID","value":"4015"},{"id":130,"name":"Impact","value":""},{"id":150,"name":"Time of Event (Mountain Time)","value":"15:52:17"},{"id":151,"name":"Denver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457</v>
      </c>
      <c r="B76" s="7">
        <v>4046</v>
      </c>
      <c r="C76" s="22" t="s">
        <v>99</v>
      </c>
      <c r="D76" s="22" t="s">
        <v>458</v>
      </c>
      <c r="E76" s="13">
        <v>42655.598391203705</v>
      </c>
      <c r="F76" s="13">
        <v>42655.604745370372</v>
      </c>
      <c r="G76" s="7">
        <v>1</v>
      </c>
      <c r="H76" s="13" t="s">
        <v>363</v>
      </c>
      <c r="I76" s="13">
        <v>42655.629571759258</v>
      </c>
      <c r="J76" s="7">
        <v>0</v>
      </c>
      <c r="K76" s="112" t="str">
        <f t="shared" si="0"/>
        <v>4045/4046</v>
      </c>
      <c r="L76" s="22" t="str">
        <f>VLOOKUP(A76,'Trips&amp;Operators'!$C$1:$E$10000,3,FALSE)</f>
        <v>BONDS</v>
      </c>
      <c r="M76" s="6">
        <f t="shared" si="1"/>
        <v>2.4826388886140194E-2</v>
      </c>
      <c r="N76" s="7">
        <f t="shared" si="31"/>
        <v>35.749999996041879</v>
      </c>
      <c r="O76" s="7"/>
      <c r="P76" s="7"/>
      <c r="Q76" s="23"/>
      <c r="R76" s="23"/>
      <c r="S76" s="35">
        <f t="shared" si="26"/>
        <v>1</v>
      </c>
      <c r="T76" s="50" t="str">
        <f t="shared" si="4"/>
        <v>NorthBound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https://search-rtdc-monitor-bjffxe2xuh6vdkpspy63sjmuny.us-east-1.es.amazonaws.com/_plugin/kibana/#/discover/Steve-Slow-Train-Analysis-(2080s-and-2083s)?_g=(refreshInterval:(display:Off,section:0,value:0),time:(from:'2016-10-12 13:21:41-0600',mode:absolute,to:'2016-10-12 16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6" s="52" t="str">
        <f t="shared" si="6"/>
        <v>N</v>
      </c>
      <c r="X76" s="149">
        <f t="shared" si="27"/>
        <v>1</v>
      </c>
      <c r="Y76" s="67">
        <f t="shared" si="8"/>
        <v>4.3799999999999999E-2</v>
      </c>
      <c r="Z76" s="67">
        <f t="shared" si="34"/>
        <v>23.3293</v>
      </c>
      <c r="AA76" s="67">
        <f t="shared" si="10"/>
        <v>23.285499999999999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0187-12</v>
      </c>
      <c r="AE76" s="91" t="str">
        <f t="shared" si="28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76" s="88" t="str">
        <f t="shared" si="29"/>
        <v>"C:\Program Files (x86)\AstroGrep\AstroGrep.exe" /spath="%USERPROFILE%\AppData\Local\Temp\OnboardLogs" /stypes="app*4046*20161012*" /stext=" 21:.+((SYSTEM_STATE.+slice.+state.+changed )|(ment ac)|(system.+state.+changed )|(\[timeout)|(PRM\|1\|D)|(kpr)|(kdp)|(\|lc)|(penalty))" /e /r /s</v>
      </c>
      <c r="AG76" s="1" t="str">
        <f t="shared" si="30"/>
        <v>EC</v>
      </c>
      <c r="AH76" s="92" t="str">
        <f t="shared" si="32"/>
        <v>"%USERPROFILE%\Documents\GitHub\eaglep3\Utilities\RefineRTDCRunTimes.py" --tripid 187-12 --locoid 4046 --swversion DE.1.0.7.0 --startMP 204:438 --initTime 2016-10-12T14:21:41 --startdatetime 2016-10-12T14:30:50 --delay 1 --endMP 204:233293 --enddatetime 2016-10-12T15:06:35 --enforcementcount 0 &gt;&gt;C:\Users\stu\Documents\GitHub\eaglep3-reporting\EC\2016-10-12-refined-times.txt</v>
      </c>
      <c r="AI7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{"issue":{"subject":"","project_id":79,"tracker_id":40,"status_id":1,"priority_id":2,"assigned_to_id":23,"start_date":"2016-10-12","description":"","custom_fields":[{"id":1,"name":"Subdivision","value":"EC"},{"id":4,"name":"Milepost","value":"23.3293"},{"id":17,"name":"Train ID","value":"187-12"},{"id":16,"name":"Locomotive ID","value":"4046"},{"id":130,"name":"Impact","value":""},{"id":150,"name":"Time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459</v>
      </c>
      <c r="B77" s="7">
        <v>4045</v>
      </c>
      <c r="C77" s="22" t="s">
        <v>99</v>
      </c>
      <c r="D77" s="22" t="s">
        <v>441</v>
      </c>
      <c r="E77" s="13">
        <v>42655.633368055554</v>
      </c>
      <c r="F77" s="13">
        <v>42655.643449074072</v>
      </c>
      <c r="G77" s="7">
        <v>3</v>
      </c>
      <c r="H77" s="13" t="s">
        <v>460</v>
      </c>
      <c r="I77" s="13">
        <v>42655.671782407408</v>
      </c>
      <c r="J77" s="7">
        <v>0</v>
      </c>
      <c r="K77" s="112" t="str">
        <f t="shared" ref="K77:K140" si="35">IF(ISEVEN(B77),(B77-1)&amp;"/"&amp;B77,B77&amp;"/"&amp;(B77+1))</f>
        <v>4045/4046</v>
      </c>
      <c r="L77" s="22" t="str">
        <f>VLOOKUP(A77,'Trips&amp;Operators'!$C$1:$E$10000,3,FALSE)</f>
        <v>BONDS</v>
      </c>
      <c r="M77" s="6">
        <f t="shared" ref="M77:M140" si="36">I77-F77</f>
        <v>2.8333333335467614E-2</v>
      </c>
      <c r="N77" s="7">
        <f t="shared" si="31"/>
        <v>40.800000003073364</v>
      </c>
      <c r="O77" s="7"/>
      <c r="P77" s="7"/>
      <c r="Q77" s="23"/>
      <c r="R77" s="23"/>
      <c r="S77" s="35">
        <f t="shared" si="26"/>
        <v>1</v>
      </c>
      <c r="T77" s="50" t="str">
        <f t="shared" ref="T77:T140" si="37">IF(ISEVEN(LEFT(AD77,4)),"Southbound","NorthBound")</f>
        <v>Southbound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https://search-rtdc-monitor-bjffxe2xuh6vdkpspy63sjmuny.us-east-1.es.amazonaws.com/_plugin/kibana/#/discover/Steve-Slow-Train-Analysis-(2080s-and-2083s)?_g=(refreshInterval:(display:Off,section:0,value:0),time:(from:'2016-10-12 14:12:03-0600',mode:absolute,to:'2016-10-12 17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7" s="52" t="str">
        <f t="shared" ref="W77:W140" si="39">IF(AA77&lt;IF(AG77="EC",23,5.65),"Y","N")</f>
        <v>N</v>
      </c>
      <c r="X77" s="149">
        <f t="shared" si="27"/>
        <v>1</v>
      </c>
      <c r="Y77" s="67">
        <f t="shared" ref="Y77:Y140" si="40">RIGHT(D77,LEN(D77)-4)/10000</f>
        <v>23.297599999999999</v>
      </c>
      <c r="Z77" s="67">
        <f t="shared" si="34"/>
        <v>1.5800000000000002E-2</v>
      </c>
      <c r="AA77" s="67">
        <f t="shared" ref="AA77:AA140" si="41">ABS(Z77-Y77)</f>
        <v>23.2818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42">IF(LEN(A77)=6,"0"&amp;A77,A77)</f>
        <v>0188-12</v>
      </c>
      <c r="AE77" s="91" t="str">
        <f t="shared" ref="AE77:AE108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77" s="88" t="str">
        <f t="shared" ref="AF77:AF108" si="4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/stypes="app*4045*20161012*" /stext=" 22:.+((SYSTEM_STATE.+slice.+state.+changed )|(ment ac)|(system.+state.+changed )|(\[timeout)|(PRM\|1\|D)|(kpr)|(kdp)|(\|lc)|(penalty))" /e /r /s</v>
      </c>
      <c r="AG77" s="1" t="str">
        <f t="shared" si="30"/>
        <v>EC</v>
      </c>
      <c r="AH77" s="92" t="str">
        <f t="shared" si="32"/>
        <v>"%USERPROFILE%\Documents\GitHub\eaglep3\Utilities\RefineRTDCRunTimes.py" --tripid 188-12 --locoid 4045 --swversion DE.1.0.7.0 --startMP 204:232976 --initTime 2016-10-12T15:12:03 --startdatetime 2016-10-12T15:26:34 --delay 3 --endMP 204:158 --enddatetime 2016-10-12T16:07:22 --enforcementcount 0 &gt;&gt;C:\Users\stu\Documents\GitHub\eaglep3-reporting\EC\2016-10-12-refined-times.txt</v>
      </c>
      <c r="AI7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ID","value":"188-12"},{"id":16,"name":"Locomotive ID","value":"4045"},{"id":130,"name":"Impact","value":""},{"id":150,"name":"Time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461</v>
      </c>
      <c r="B78" s="7">
        <v>4007</v>
      </c>
      <c r="C78" s="22" t="s">
        <v>99</v>
      </c>
      <c r="D78" s="22" t="s">
        <v>343</v>
      </c>
      <c r="E78" s="13">
        <v>42655.609409722223</v>
      </c>
      <c r="F78" s="13">
        <v>42655.614895833336</v>
      </c>
      <c r="G78" s="7">
        <v>1</v>
      </c>
      <c r="H78" s="13" t="s">
        <v>462</v>
      </c>
      <c r="I78" s="13">
        <v>42655.640775462962</v>
      </c>
      <c r="J78" s="7">
        <v>0</v>
      </c>
      <c r="K78" s="112" t="str">
        <f t="shared" si="35"/>
        <v>4007/4008</v>
      </c>
      <c r="L78" s="22" t="str">
        <f>VLOOKUP(A78,'Trips&amp;Operators'!$C$1:$E$10000,3,FALSE)</f>
        <v>BARTLETT</v>
      </c>
      <c r="M78" s="6">
        <f t="shared" si="36"/>
        <v>2.5879629625706002E-2</v>
      </c>
      <c r="N78" s="7">
        <f t="shared" si="31"/>
        <v>37.266666661016643</v>
      </c>
      <c r="O78" s="7"/>
      <c r="P78" s="7"/>
      <c r="Q78" s="23"/>
      <c r="R78" s="23"/>
      <c r="S78" s="35">
        <f t="shared" si="26"/>
        <v>1</v>
      </c>
      <c r="T78" s="50" t="str">
        <f t="shared" si="37"/>
        <v>NorthBound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13:37:33-0600',mode:absolute,to:'2016-10-12 16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8" s="52" t="str">
        <f t="shared" si="39"/>
        <v>N</v>
      </c>
      <c r="X78" s="149">
        <f t="shared" si="27"/>
        <v>1</v>
      </c>
      <c r="Y78" s="67">
        <f t="shared" si="40"/>
        <v>4.58E-2</v>
      </c>
      <c r="Z78" s="67">
        <f t="shared" si="34"/>
        <v>23.3337</v>
      </c>
      <c r="AA78" s="67">
        <f t="shared" si="41"/>
        <v>23.2879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2"/>
        <v>0189-12</v>
      </c>
      <c r="AE78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78" s="88" t="str">
        <f t="shared" si="44"/>
        <v>"C:\Program Files (x86)\AstroGrep\AstroGrep.exe" /spath="%USERPROFILE%\AppData\Local\Temp\OnboardLogs" /stypes="app*4007*20161012*" /stext=" 21:.+((SYSTEM_STATE.+slice.+state.+changed )|(ment ac)|(system.+state.+changed )|(\[timeout)|(PRM\|1\|D)|(kpr)|(kdp)|(\|lc)|(penalty))" /e /r /s</v>
      </c>
      <c r="AG78" s="1" t="str">
        <f t="shared" si="30"/>
        <v>EC</v>
      </c>
      <c r="AH78" s="92" t="str">
        <f t="shared" si="32"/>
        <v>"%USERPROFILE%\Documents\GitHub\eaglep3\Utilities\RefineRTDCRunTimes.py" --tripid 189-12 --locoid 4007 --swversion DE.1.0.7.0 --startMP 204:458 --initTime 2016-10-12T14:37:33 --startdatetime 2016-10-12T14:45:27 --delay 1 --endMP 204:233337 --enddatetime 2016-10-12T15:22:43 --enforcementcount 0 &gt;&gt;C:\Users\stu\Documents\GitHub\eaglep3-reporting\EC\2016-10-12-refined-times.txt</v>
      </c>
      <c r="AI7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{"issue":{"subject":"","project_id":79,"tracker_id":40,"status_id":1,"priority_id":2,"assigned_to_id":23,"start_date":"2016-10-12","description":"","custom_fields":[{"id":1,"name":"Subdivision","value":"EC"},{"id":4,"name":"Milepost","value":"23.3337"},{"id":17,"name":"Train ID","value":"189-12"},{"id":16,"name":"Locomotive ID","value":"4007"},{"id":130,"name":"Impact","value":""},{"id":150,"name":"Time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463</v>
      </c>
      <c r="B79" s="7">
        <v>4008</v>
      </c>
      <c r="C79" s="22" t="s">
        <v>99</v>
      </c>
      <c r="D79" s="22" t="s">
        <v>464</v>
      </c>
      <c r="E79" s="13">
        <v>42655.643425925926</v>
      </c>
      <c r="F79" s="13">
        <v>42655.653773148151</v>
      </c>
      <c r="G79" s="7">
        <v>1</v>
      </c>
      <c r="H79" s="13" t="s">
        <v>409</v>
      </c>
      <c r="I79" s="13">
        <v>42655.680960648147</v>
      </c>
      <c r="J79" s="7">
        <v>0</v>
      </c>
      <c r="K79" s="112" t="str">
        <f t="shared" si="35"/>
        <v>4007/4008</v>
      </c>
      <c r="L79" s="22" t="str">
        <f>VLOOKUP(A79,'Trips&amp;Operators'!$C$1:$E$10000,3,FALSE)</f>
        <v>BARTLETT</v>
      </c>
      <c r="M79" s="6">
        <f t="shared" si="36"/>
        <v>2.7187499996216502E-2</v>
      </c>
      <c r="N79" s="7">
        <f t="shared" si="31"/>
        <v>39.149999994551763</v>
      </c>
      <c r="O79" s="7"/>
      <c r="P79" s="7"/>
      <c r="Q79" s="23"/>
      <c r="R79" s="23"/>
      <c r="S79" s="35">
        <f t="shared" si="26"/>
        <v>1</v>
      </c>
      <c r="T79" s="50" t="str">
        <f t="shared" si="37"/>
        <v>Southbound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14:26:32-0600',mode:absolute,to:'2016-10-12 17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9" s="52" t="str">
        <f t="shared" si="39"/>
        <v>N</v>
      </c>
      <c r="X79" s="149">
        <f t="shared" si="27"/>
        <v>1</v>
      </c>
      <c r="Y79" s="67">
        <f t="shared" si="40"/>
        <v>23.301300000000001</v>
      </c>
      <c r="Z79" s="67">
        <f t="shared" si="34"/>
        <v>1.6299999999999999E-2</v>
      </c>
      <c r="AA79" s="67">
        <f t="shared" si="41"/>
        <v>23.285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2"/>
        <v>0190-12</v>
      </c>
      <c r="AE79" s="91" t="str">
        <f t="shared" si="43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79" s="88" t="str">
        <f t="shared" si="44"/>
        <v>"C:\Program Files (x86)\AstroGrep\AstroGrep.exe" /spath="%USERPROFILE%\AppData\Local\Temp\OnboardLogs" /stypes="app*4008*20161012*" /stext=" 22:.+((SYSTEM_STATE.+slice.+state.+changed )|(ment ac)|(system.+state.+changed )|(\[timeout)|(PRM\|1\|D)|(kpr)|(kdp)|(\|lc)|(penalty))" /e /r /s</v>
      </c>
      <c r="AG79" s="1" t="str">
        <f t="shared" si="30"/>
        <v>EC</v>
      </c>
      <c r="AH79" s="92" t="str">
        <f t="shared" si="32"/>
        <v>"%USERPROFILE%\Documents\GitHub\eaglep3\Utilities\RefineRTDCRunTimes.py" --tripid 190-12 --locoid 4008 --swversion DE.1.0.7.0 --startMP 204:233013 --initTime 2016-10-12T15:26:32 --startdatetime 2016-10-12T15:41:26 --delay 1 --endMP 204:163 --enddatetime 2016-10-12T16:20:35 --enforcementcount 0 &gt;&gt;C:\Users\stu\Documents\GitHub\eaglep3-reporting\EC\2016-10-12-refined-times.txt</v>
      </c>
      <c r="AI7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ID","value":"190-12"},{"id":16,"name":"Locomotive ID","value":"4008"},{"id":130,"name":"Impact","value":""},{"id":150,"name":"Time of Event (Mountain Time)","value":"16:20:35"},{"id":151,"name":"Denver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465</v>
      </c>
      <c r="B80" s="7">
        <v>4053</v>
      </c>
      <c r="C80" s="22" t="s">
        <v>99</v>
      </c>
      <c r="D80" s="22" t="s">
        <v>434</v>
      </c>
      <c r="E80" s="13">
        <v>42655.621006944442</v>
      </c>
      <c r="F80" s="13">
        <v>42655.625162037039</v>
      </c>
      <c r="G80" s="7">
        <v>1</v>
      </c>
      <c r="H80" s="13" t="s">
        <v>326</v>
      </c>
      <c r="I80" s="13">
        <v>42655.651539351849</v>
      </c>
      <c r="J80" s="7">
        <v>0</v>
      </c>
      <c r="K80" s="112" t="str">
        <f t="shared" si="35"/>
        <v>4053/4054</v>
      </c>
      <c r="L80" s="22" t="str">
        <f>VLOOKUP(A80,'Trips&amp;Operators'!$C$1:$E$10000,3,FALSE)</f>
        <v>BRUDER</v>
      </c>
      <c r="M80" s="6">
        <f t="shared" si="36"/>
        <v>2.6377314810815733E-2</v>
      </c>
      <c r="N80" s="7">
        <f t="shared" si="31"/>
        <v>37.983333327574655</v>
      </c>
      <c r="O80" s="7"/>
      <c r="P80" s="7"/>
      <c r="Q80" s="23"/>
      <c r="R80" s="23"/>
      <c r="S80" s="35">
        <f t="shared" si="26"/>
        <v>1</v>
      </c>
      <c r="T80" s="50" t="str">
        <f t="shared" si="37"/>
        <v>NorthBound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13:54:15-0600',mode:absolute,to:'2016-10-12 16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0" s="52" t="str">
        <f t="shared" si="39"/>
        <v>N</v>
      </c>
      <c r="X80" s="149">
        <f t="shared" si="27"/>
        <v>1</v>
      </c>
      <c r="Y80" s="67">
        <f t="shared" si="40"/>
        <v>4.4900000000000002E-2</v>
      </c>
      <c r="Z80" s="67">
        <f t="shared" si="34"/>
        <v>23.331700000000001</v>
      </c>
      <c r="AA80" s="67">
        <f t="shared" si="41"/>
        <v>23.286800000000003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2"/>
        <v>0191-12</v>
      </c>
      <c r="AE80" s="91" t="str">
        <f t="shared" si="43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80" s="88" t="str">
        <f t="shared" si="44"/>
        <v>"C:\Program Files (x86)\AstroGrep\AstroGrep.exe" /spath="%USERPROFILE%\AppData\Local\Temp\OnboardLogs" /stypes="app*4053*20161012*" /stext=" 21:.+((SYSTEM_STATE.+slice.+state.+changed )|(ment ac)|(system.+state.+changed )|(\[timeout)|(PRM\|1\|D)|(kpr)|(kdp)|(\|lc)|(penalty))" /e /r /s</v>
      </c>
      <c r="AG80" s="1" t="str">
        <f t="shared" si="30"/>
        <v>EC</v>
      </c>
      <c r="AH80" s="92" t="str">
        <f t="shared" si="32"/>
        <v>"%USERPROFILE%\Documents\GitHub\eaglep3\Utilities\RefineRTDCRunTimes.py" --tripid 191-12 --locoid 4053 --swversion DE.1.0.7.0 --startMP 204:449 --initTime 2016-10-12T14:54:15 --startdatetime 2016-10-12T15:00:14 --delay 1 --endMP 204:233317 --enddatetime 2016-10-12T15:38:13 --enforcementcount 0 &gt;&gt;C:\Users\stu\Documents\GitHub\eaglep3-reporting\EC\2016-10-12-refined-times.txt</v>
      </c>
      <c r="AI8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ID","value":"191-12"},{"id":16,"name":"Locomotive ID","value":"4053"},{"id":130,"name":"Impact","value":""},{"id":150,"name":"Time of Event (Mountain Time)","value":"15:38:13"},{"id":151,"name":"Denver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466</v>
      </c>
      <c r="B81" s="7">
        <v>4054</v>
      </c>
      <c r="C81" s="22" t="s">
        <v>99</v>
      </c>
      <c r="D81" s="22" t="s">
        <v>451</v>
      </c>
      <c r="E81" s="13">
        <v>42655.65693287037</v>
      </c>
      <c r="F81" s="13">
        <v>42655.664293981485</v>
      </c>
      <c r="G81" s="7">
        <v>2</v>
      </c>
      <c r="H81" s="13" t="s">
        <v>376</v>
      </c>
      <c r="I81" s="13">
        <v>42655.692719907405</v>
      </c>
      <c r="J81" s="7">
        <v>0</v>
      </c>
      <c r="K81" s="112" t="str">
        <f t="shared" si="35"/>
        <v>4053/4054</v>
      </c>
      <c r="L81" s="22" t="str">
        <f>VLOOKUP(A81,'Trips&amp;Operators'!$C$1:$E$10000,3,FALSE)</f>
        <v>BRUDER</v>
      </c>
      <c r="M81" s="6">
        <f t="shared" si="36"/>
        <v>2.8425925920601003E-2</v>
      </c>
      <c r="N81" s="7">
        <f t="shared" si="31"/>
        <v>40.933333325665444</v>
      </c>
      <c r="O81" s="7"/>
      <c r="P81" s="7"/>
      <c r="Q81" s="23"/>
      <c r="R81" s="23"/>
      <c r="S81" s="35">
        <f t="shared" si="26"/>
        <v>1</v>
      </c>
      <c r="T81" s="50" t="str">
        <f t="shared" si="37"/>
        <v>Southbound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14:45:59-0600',mode:absolute,to:'2016-10-12 17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1" s="52" t="str">
        <f t="shared" si="39"/>
        <v>N</v>
      </c>
      <c r="X81" s="149">
        <f t="shared" si="27"/>
        <v>1</v>
      </c>
      <c r="Y81" s="67">
        <f t="shared" si="40"/>
        <v>23.300599999999999</v>
      </c>
      <c r="Z81" s="67">
        <f t="shared" si="34"/>
        <v>1.4999999999999999E-2</v>
      </c>
      <c r="AA81" s="67">
        <f t="shared" si="41"/>
        <v>23.285599999999999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2"/>
        <v>0192-12</v>
      </c>
      <c r="AE81" s="91" t="str">
        <f t="shared" si="43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81" s="88" t="str">
        <f t="shared" si="44"/>
        <v>"C:\Program Files (x86)\AstroGrep\AstroGrep.exe" /spath="%USERPROFILE%\AppData\Local\Temp\OnboardLogs" /stypes="app*4054*20161012*" /stext=" 22:.+((SYSTEM_STATE.+slice.+state.+changed )|(ment ac)|(system.+state.+changed )|(\[timeout)|(PRM\|1\|D)|(kpr)|(kdp)|(\|lc)|(penalty))" /e /r /s</v>
      </c>
      <c r="AG81" s="1" t="str">
        <f t="shared" si="30"/>
        <v>EC</v>
      </c>
      <c r="AH81" s="92" t="str">
        <f t="shared" si="32"/>
        <v>"%USERPROFILE%\Documents\GitHub\eaglep3\Utilities\RefineRTDCRunTimes.py" --tripid 192-12 --locoid 4054 --swversion DE.1.0.7.0 --startMP 204:233006 --initTime 2016-10-12T15:45:59 --startdatetime 2016-10-12T15:56:35 --delay 2 --endMP 204:150 --enddatetime 2016-10-12T16:37:31 --enforcementcount 0 &gt;&gt;C:\Users\stu\Documents\GitHub\eaglep3-reporting\EC\2016-10-12-refined-times.txt</v>
      </c>
      <c r="AI8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ID","value":"192-12"},{"id":16,"name":"Locomotive ID","value":"4054"},{"id":130,"name":"Impact","value":""},{"id":150,"name":"Time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467</v>
      </c>
      <c r="B82" s="7">
        <v>4040</v>
      </c>
      <c r="C82" s="22" t="s">
        <v>99</v>
      </c>
      <c r="D82" s="22" t="s">
        <v>468</v>
      </c>
      <c r="E82" s="13">
        <v>42655.630543981482</v>
      </c>
      <c r="F82" s="13">
        <v>42655.635671296295</v>
      </c>
      <c r="G82" s="7">
        <v>1</v>
      </c>
      <c r="H82" s="13" t="s">
        <v>469</v>
      </c>
      <c r="I82" s="13">
        <v>42655.661562499998</v>
      </c>
      <c r="J82" s="7">
        <v>0</v>
      </c>
      <c r="K82" s="112" t="str">
        <f t="shared" si="35"/>
        <v>4039/4040</v>
      </c>
      <c r="L82" s="22" t="str">
        <f>VLOOKUP(A82,'Trips&amp;Operators'!$C$1:$E$10000,3,FALSE)</f>
        <v>HELVIE</v>
      </c>
      <c r="M82" s="6">
        <f t="shared" si="36"/>
        <v>2.5891203702485655E-2</v>
      </c>
      <c r="N82" s="7">
        <f t="shared" si="31"/>
        <v>37.283333331579342</v>
      </c>
      <c r="O82" s="7"/>
      <c r="P82" s="7"/>
      <c r="Q82" s="23"/>
      <c r="R82" s="23"/>
      <c r="S82" s="35">
        <f t="shared" si="26"/>
        <v>1</v>
      </c>
      <c r="T82" s="50" t="str">
        <f t="shared" si="37"/>
        <v>NorthBound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14:07:59-0600',mode:absolute,to:'2016-10-12 16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2" s="52" t="str">
        <f t="shared" si="39"/>
        <v>N</v>
      </c>
      <c r="X82" s="149">
        <f t="shared" si="27"/>
        <v>1</v>
      </c>
      <c r="Y82" s="67">
        <f t="shared" si="40"/>
        <v>4.6600000000000003E-2</v>
      </c>
      <c r="Z82" s="67">
        <f t="shared" si="34"/>
        <v>23.326799999999999</v>
      </c>
      <c r="AA82" s="67">
        <f t="shared" si="41"/>
        <v>23.280199999999997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2"/>
        <v>0193-12</v>
      </c>
      <c r="AE82" s="91" t="str">
        <f t="shared" si="43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82" s="88" t="str">
        <f t="shared" si="44"/>
        <v>"C:\Program Files (x86)\AstroGrep\AstroGrep.exe" /spath="%USERPROFILE%\AppData\Local\Temp\OnboardLogs" /stypes="app*4040*20161012*" /stext=" 21:.+((SYSTEM_STATE.+slice.+state.+changed )|(ment ac)|(system.+state.+changed )|(\[timeout)|(PRM\|1\|D)|(kpr)|(kdp)|(\|lc)|(penalty))" /e /r /s</v>
      </c>
      <c r="AG82" s="1" t="str">
        <f t="shared" si="30"/>
        <v>EC</v>
      </c>
      <c r="AH82" s="92" t="str">
        <f t="shared" si="32"/>
        <v>"%USERPROFILE%\Documents\GitHub\eaglep3\Utilities\RefineRTDCRunTimes.py" --tripid 193-12 --locoid 4040 --swversion DE.1.0.7.0 --startMP 204:466 --initTime 2016-10-12T15:07:59 --startdatetime 2016-10-12T15:15:22 --delay 1 --endMP 204:233268 --enddatetime 2016-10-12T15:52:39 --enforcementcount 0 &gt;&gt;C:\Users\stu\Documents\GitHub\eaglep3-reporting\EC\2016-10-12-refined-times.txt</v>
      </c>
      <c r="AI8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{"issue":{"subject":"","project_id":79,"tracker_id":40,"status_id":1,"priority_id":2,"assigned_to_id":23,"start_date":"2016-10-12","description":"","custom_fields":[{"id":1,"name":"Subdivision","value":"EC"},{"id":4,"name":"Milepost","value":"23.3268"},{"id":17,"name":"Train ID","value":"193-12"},{"id":16,"name":"Locomotive ID","value":"4040"},{"id":130,"name":"Impact","value":""},{"id":150,"name":"Time of Event (Mountain Time)","value":"15:52:39"},{"id":151,"name":"Denver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470</v>
      </c>
      <c r="B83" s="7">
        <v>4039</v>
      </c>
      <c r="C83" s="22" t="s">
        <v>99</v>
      </c>
      <c r="D83" s="22" t="s">
        <v>445</v>
      </c>
      <c r="E83" s="13">
        <v>42655.666226851848</v>
      </c>
      <c r="F83" s="13">
        <v>42655.674884259257</v>
      </c>
      <c r="G83" s="7">
        <v>1</v>
      </c>
      <c r="H83" s="13" t="s">
        <v>317</v>
      </c>
      <c r="I83" s="13">
        <v>42655.704108796293</v>
      </c>
      <c r="J83" s="7">
        <v>0</v>
      </c>
      <c r="K83" s="112" t="str">
        <f t="shared" si="35"/>
        <v>4039/4040</v>
      </c>
      <c r="L83" s="22" t="str">
        <f>VLOOKUP(A83,'Trips&amp;Operators'!$C$1:$E$10000,3,FALSE)</f>
        <v>HELVIE</v>
      </c>
      <c r="M83" s="6">
        <f t="shared" si="36"/>
        <v>2.9224537036498077E-2</v>
      </c>
      <c r="N83" s="7">
        <f t="shared" si="31"/>
        <v>42.083333332557231</v>
      </c>
      <c r="O83" s="7"/>
      <c r="P83" s="7"/>
      <c r="Q83" s="23"/>
      <c r="R83" s="23"/>
      <c r="S83" s="35">
        <f t="shared" si="26"/>
        <v>1</v>
      </c>
      <c r="T83" s="50" t="str">
        <f t="shared" si="37"/>
        <v>Southbound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3" s="52" t="str">
        <f t="shared" si="39"/>
        <v>N</v>
      </c>
      <c r="X83" s="149">
        <f t="shared" si="27"/>
        <v>1</v>
      </c>
      <c r="Y83" s="67">
        <f t="shared" si="40"/>
        <v>23.297499999999999</v>
      </c>
      <c r="Z83" s="67">
        <f t="shared" si="34"/>
        <v>1.54E-2</v>
      </c>
      <c r="AA83" s="67">
        <f t="shared" si="41"/>
        <v>23.2821</v>
      </c>
      <c r="AB83" s="64" t="str">
        <f>VLOOKUP(A83,Enforcements!$C$7:$K$21,8,0)</f>
        <v>Speed (6)</v>
      </c>
      <c r="AC83" s="60" t="str">
        <f>VLOOKUP(A83,Enforcements!$C$7:$E$21,3,0)</f>
        <v>PERMANENT SPEED RESTRICTION</v>
      </c>
      <c r="AD83" s="61" t="str">
        <f t="shared" si="42"/>
        <v>0194-12</v>
      </c>
      <c r="AE83" s="91" t="str">
        <f t="shared" si="43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83" s="88" t="str">
        <f t="shared" si="44"/>
        <v>"C:\Program Files (x86)\AstroGrep\AstroGrep.exe" /spath="%USERPROFILE%\AppData\Local\Temp\OnboardLogs" /stypes="app*4039*20161012*" /stext=" 22:.+((SYSTEM_STATE.+slice.+state.+changed )|(ment ac)|(system.+state.+changed )|(\[timeout)|(PRM\|1\|D)|(kpr)|(kdp)|(\|lc)|(penalty))" /e /r /s</v>
      </c>
      <c r="AG83" s="1" t="str">
        <f t="shared" si="30"/>
        <v>EC</v>
      </c>
      <c r="AH83" s="92" t="str">
        <f t="shared" si="32"/>
        <v>"%USERPROFILE%\Documents\GitHub\eaglep3\Utilities\RefineRTDCRunTimes.py" --tripid 194-12 --locoid 4039 --swversion DE.1.0.7.0 --startMP 204:232975 --initTime 2016-10-12T15:59:22 --startdatetime 2016-10-12T16:11:50 --delay 1 --endMP 204:154 --enddatetime 2016-10-12T16:53:55 --enforcementcount 0 &gt;&gt;C:\Users\stu\Documents\GitHub\eaglep3-reporting\EC\2016-10-12-refined-times.txt</v>
      </c>
      <c r="AI8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ID","value":"194-12"},{"id":16,"name":"Locomotive ID","value":"4039"},{"id":130,"name":"Impact","value":""},{"id":150,"name":"Time of Event (Mountain Time)","value":"16:53:55"},{"id":151,"name":"Denver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471</v>
      </c>
      <c r="B84" s="7">
        <v>4044</v>
      </c>
      <c r="C84" s="22" t="s">
        <v>99</v>
      </c>
      <c r="D84" s="22" t="s">
        <v>472</v>
      </c>
      <c r="E84" s="13">
        <v>42655.641574074078</v>
      </c>
      <c r="F84" s="13">
        <v>42655.646215277775</v>
      </c>
      <c r="G84" s="7">
        <v>1</v>
      </c>
      <c r="H84" s="13" t="s">
        <v>473</v>
      </c>
      <c r="I84" s="13">
        <v>42655.672013888892</v>
      </c>
      <c r="J84" s="7">
        <v>0</v>
      </c>
      <c r="K84" s="112" t="str">
        <f t="shared" si="35"/>
        <v>4043/4044</v>
      </c>
      <c r="L84" s="22" t="str">
        <f>VLOOKUP(A84,'Trips&amp;Operators'!$C$1:$E$10000,3,FALSE)</f>
        <v>CRAYTON</v>
      </c>
      <c r="M84" s="6">
        <f t="shared" si="36"/>
        <v>2.5798611117352266E-2</v>
      </c>
      <c r="N84" s="7">
        <f t="shared" si="31"/>
        <v>37.150000008987263</v>
      </c>
      <c r="O84" s="7"/>
      <c r="P84" s="7"/>
      <c r="Q84" s="23"/>
      <c r="R84" s="23"/>
      <c r="S84" s="35">
        <f t="shared" si="26"/>
        <v>1</v>
      </c>
      <c r="T84" s="50" t="str">
        <f t="shared" si="37"/>
        <v>NorthBound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14:23:52-0600',mode:absolute,to:'2016-10-12 17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4" s="52" t="str">
        <f t="shared" si="39"/>
        <v>N</v>
      </c>
      <c r="X84" s="149">
        <f t="shared" si="27"/>
        <v>1</v>
      </c>
      <c r="Y84" s="67">
        <f t="shared" si="40"/>
        <v>4.7800000000000002E-2</v>
      </c>
      <c r="Z84" s="67">
        <f t="shared" si="34"/>
        <v>23.329499999999999</v>
      </c>
      <c r="AA84" s="67">
        <f t="shared" si="41"/>
        <v>23.281700000000001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2"/>
        <v>0195-12</v>
      </c>
      <c r="AE84" s="91" t="str">
        <f t="shared" si="43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84" s="88" t="str">
        <f t="shared" si="44"/>
        <v>"C:\Program Files (x86)\AstroGrep\AstroGrep.exe" /spath="%USERPROFILE%\AppData\Local\Temp\OnboardLogs" /stypes="app*4044*20161012*" /stext=" 22:.+((SYSTEM_STATE.+slice.+state.+changed )|(ment ac)|(system.+state.+changed )|(\[timeout)|(PRM\|1\|D)|(kpr)|(kdp)|(\|lc)|(penalty))" /e /r /s</v>
      </c>
      <c r="AG84" s="1" t="str">
        <f t="shared" si="30"/>
        <v>EC</v>
      </c>
      <c r="AH84" s="92" t="str">
        <f t="shared" si="32"/>
        <v>"%USERPROFILE%\Documents\GitHub\eaglep3\Utilities\RefineRTDCRunTimes.py" --tripid 195-12 --locoid 4044 --swversion DE.1.0.7.0 --startMP 204:478 --initTime 2016-10-12T15:23:52 --startdatetime 2016-10-12T15:30:33 --delay 1 --endMP 204:233295 --enddatetime 2016-10-12T16:07:42 --enforcementcount 0 &gt;&gt;C:\Users\stu\Documents\GitHub\eaglep3-reporting\EC\2016-10-12-refined-times.txt</v>
      </c>
      <c r="AI8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{"issue":{"subject":"","project_id":79,"tracker_id":40,"status_id":1,"priority_id":2,"assigned_to_id":23,"start_date":"2016-10-12","description":"","custom_fields":[{"id":1,"name":"Subdivision","value":"EC"},{"id":4,"name":"Milepost","value":"23.3295"},{"id":17,"name":"Train ID","value":"195-12"},{"id":16,"name":"Locomotive ID","value":"4044"},{"id":130,"name":"Impact","value":""},{"id":150,"name":"Time of Event (Mountain Time)","value":"16:07:42"},{"id":151,"name":"Denver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474</v>
      </c>
      <c r="B85" s="7">
        <v>4043</v>
      </c>
      <c r="C85" s="22" t="s">
        <v>99</v>
      </c>
      <c r="D85" s="22" t="s">
        <v>475</v>
      </c>
      <c r="E85" s="13">
        <v>42655.703379629631</v>
      </c>
      <c r="F85" s="13">
        <v>42655.704097222224</v>
      </c>
      <c r="G85" s="7">
        <v>1</v>
      </c>
      <c r="H85" s="13" t="s">
        <v>476</v>
      </c>
      <c r="I85" s="13">
        <v>42655.724722222221</v>
      </c>
      <c r="J85" s="7">
        <v>0</v>
      </c>
      <c r="K85" s="112" t="str">
        <f t="shared" si="35"/>
        <v>4043/4044</v>
      </c>
      <c r="L85" s="22" t="str">
        <f>VLOOKUP(A85,'Trips&amp;Operators'!$C$1:$E$10000,3,FALSE)</f>
        <v>CRAYTON</v>
      </c>
      <c r="M85" s="6">
        <f t="shared" si="36"/>
        <v>2.0624999997380655E-2</v>
      </c>
      <c r="N85" s="7"/>
      <c r="O85" s="7"/>
      <c r="P85" s="7">
        <f>24*60*SUM($M85:$M86)</f>
        <v>56.599999997997656</v>
      </c>
      <c r="Q85" s="23"/>
      <c r="R85" s="23" t="s">
        <v>477</v>
      </c>
      <c r="S85" s="35">
        <f t="shared" si="26"/>
        <v>1</v>
      </c>
      <c r="T85" s="50" t="str">
        <f t="shared" si="37"/>
        <v>Southbound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15:52:52-0600',mode:absolute,to:'2016-10-12 18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5" s="52" t="str">
        <f t="shared" si="39"/>
        <v>Y</v>
      </c>
      <c r="X85" s="149">
        <f t="shared" si="27"/>
        <v>1</v>
      </c>
      <c r="Y85" s="67">
        <f t="shared" si="40"/>
        <v>12.786099999999999</v>
      </c>
      <c r="Z85" s="67">
        <f t="shared" si="34"/>
        <v>0.12429999999999999</v>
      </c>
      <c r="AA85" s="67">
        <f t="shared" si="41"/>
        <v>12.661799999999999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2"/>
        <v>0196-12</v>
      </c>
      <c r="AE85" s="91" t="str">
        <f t="shared" si="43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85" s="88" t="str">
        <f t="shared" si="44"/>
        <v>"C:\Program Files (x86)\AstroGrep\AstroGrep.exe" /spath="%USERPROFILE%\AppData\Local\Temp\OnboardLogs" /stypes="app*4043*20161012*" /stext=" 23:.+((SYSTEM_STATE.+slice.+state.+changed )|(ment ac)|(system.+state.+changed )|(\[timeout)|(PRM\|1\|D)|(kpr)|(kdp)|(\|lc)|(penalty))" /e /r /s</v>
      </c>
      <c r="AG85" s="1" t="str">
        <f t="shared" si="30"/>
        <v>EC</v>
      </c>
      <c r="AH85" s="92" t="str">
        <f t="shared" si="32"/>
        <v>"%USERPROFILE%\Documents\GitHub\eaglep3\Utilities\RefineRTDCRunTimes.py" --tripid 196-12 --locoid 4043 --swversion DE.1.0.7.0 --startMP 204:127861 --initTime 2016-10-12T16:52:52 --startdatetime 2016-10-12T16:53:54 --delay 1 --endMP 204:1243 --enddatetime 2016-10-12T17:23:36 --enforcementcount 0 &gt;&gt;C:\Users\stu\Documents\GitHub\eaglep3-reporting\EC\2016-10-12-refined-times.txt</v>
      </c>
      <c r="AI85" s="172" t="str">
        <f t="shared" si="33"/>
        <v>echo {"issue":{"subject":"Premature downgrade at EC1752RH 175-1T 1S","project_id":79,"tracker_id":40,"status_id":1,"priority_id":2,"assigned_to_id":23,"start_date":"2016-10-12","description":"2016/10/12 16:37:19 175-1T 1S dropped from 270 to STOP &amp; PROCEED. Was anything strange happening at the time?","custom_fields":[{"id":1,"name":"Subdivision","value":"EC"},{"id":4,"name":"Milepost","value":"0.1243"},{"id":17,"name":"Train ID","value":"196-12"},{"id":16,"name":"Locomotive ID","value":"4043"},{"id":130,"name":"Impact","value":"Enforcement"},{"id":150,"name":"Time of Event (Mountain Time)","value":"17:23:36"},{"id":151,"name":"Denver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5" s="53" t="s">
        <v>478</v>
      </c>
      <c r="AK85" s="53" t="s">
        <v>126</v>
      </c>
      <c r="AL85" s="53" t="s">
        <v>131</v>
      </c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474</v>
      </c>
      <c r="B86" s="7">
        <v>4043</v>
      </c>
      <c r="C86" s="22" t="s">
        <v>99</v>
      </c>
      <c r="D86" s="22" t="s">
        <v>390</v>
      </c>
      <c r="E86" s="13">
        <v>42655.674837962964</v>
      </c>
      <c r="F86" s="13">
        <v>42655.675694444442</v>
      </c>
      <c r="G86" s="7">
        <v>1</v>
      </c>
      <c r="H86" s="13" t="s">
        <v>479</v>
      </c>
      <c r="I86" s="13">
        <v>42655.694374999999</v>
      </c>
      <c r="J86" s="7">
        <v>1</v>
      </c>
      <c r="K86" s="112" t="str">
        <f t="shared" si="35"/>
        <v>4043/4044</v>
      </c>
      <c r="L86" s="22" t="str">
        <f>VLOOKUP(A86,'Trips&amp;Operators'!$C$1:$E$10000,3,FALSE)</f>
        <v>CRAYTON</v>
      </c>
      <c r="M86" s="6">
        <f t="shared" si="36"/>
        <v>1.8680555556784384E-2</v>
      </c>
      <c r="N86" s="7"/>
      <c r="O86" s="7"/>
      <c r="P86" s="7"/>
      <c r="Q86" s="23"/>
      <c r="R86" s="23"/>
      <c r="S86" s="35"/>
      <c r="T86" s="50" t="str">
        <f t="shared" si="37"/>
        <v>Southbound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0</v>
      </c>
      <c r="V8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15:11:46-0600',mode:absolute,to:'2016-10-12 17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6" s="52" t="str">
        <f t="shared" si="39"/>
        <v>Y</v>
      </c>
      <c r="X86" s="149">
        <f t="shared" si="27"/>
        <v>0</v>
      </c>
      <c r="Y86" s="67">
        <f t="shared" si="40"/>
        <v>23.299299999999999</v>
      </c>
      <c r="Z86" s="67">
        <f t="shared" si="34"/>
        <v>17.3048</v>
      </c>
      <c r="AA86" s="67">
        <f t="shared" si="41"/>
        <v>5.9944999999999986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2"/>
        <v>0196-12</v>
      </c>
      <c r="AE86" s="91" t="str">
        <f t="shared" si="43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86" s="88" t="str">
        <f t="shared" si="44"/>
        <v>"C:\Program Files (x86)\AstroGrep\AstroGrep.exe" /spath="%USERPROFILE%\AppData\Local\Temp\OnboardLogs" /stypes="app*4043*20161012*" /stext=" 22:.+((SYSTEM_STATE.+slice.+state.+changed )|(ment ac)|(system.+state.+changed )|(\[timeout)|(PRM\|1\|D)|(kpr)|(kdp)|(\|lc)|(penalty))" /e /r /s</v>
      </c>
      <c r="AG86" s="1" t="str">
        <f t="shared" si="30"/>
        <v>EC</v>
      </c>
      <c r="AH86" s="92" t="str">
        <f t="shared" si="32"/>
        <v>"%USERPROFILE%\Documents\GitHub\eaglep3\Utilities\RefineRTDCRunTimes.py" --tripid 196-12 --locoid 4043 --swversion DE.1.0.7.0 --startMP 204:232993 --initTime 2016-10-12T16:11:46 --startdatetime 2016-10-12T16:13:00 --delay 1 --endMP 204:173048 --enddatetime 2016-10-12T16:39:54 --enforcementcount 1 &gt;&gt;C:\Users\stu\Documents\GitHub\eaglep3-reporting\EC\2016-10-12-refined-times.txt</v>
      </c>
      <c r="AI8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{"issue":{"subject":"","project_id":79,"tracker_id":40,"status_id":1,"priority_id":2,"assigned_to_id":23,"start_date":"2016-10-12","description":"","custom_fields":[{"id":1,"name":"Subdivision","value":"EC"},{"id":4,"name":"Milepost","value":"17.3048"},{"id":17,"name":"Train ID","value":"196-12"},{"id":16,"name":"Locomotive ID","value":"4043"},{"id":130,"name":"Impact","value":""},{"id":150,"name":"Time of Event (Mountain Time)","value":"16:39:54"},{"id":151,"name":"Denver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274</v>
      </c>
      <c r="B87" s="7">
        <v>4031</v>
      </c>
      <c r="C87" s="22" t="s">
        <v>99</v>
      </c>
      <c r="D87" s="22" t="s">
        <v>480</v>
      </c>
      <c r="E87" s="13">
        <v>42655.65184027778</v>
      </c>
      <c r="F87" s="13">
        <v>42655.6565625</v>
      </c>
      <c r="G87" s="7">
        <v>1</v>
      </c>
      <c r="H87" s="13" t="s">
        <v>481</v>
      </c>
      <c r="I87" s="13">
        <v>42655.68377314815</v>
      </c>
      <c r="J87" s="7">
        <v>0</v>
      </c>
      <c r="K87" s="112" t="str">
        <f t="shared" si="35"/>
        <v>4031/4032</v>
      </c>
      <c r="L87" s="22" t="str">
        <f>VLOOKUP(A87,'Trips&amp;Operators'!$C$1:$E$10000,3,FALSE)</f>
        <v>HILLS</v>
      </c>
      <c r="M87" s="6">
        <f t="shared" si="36"/>
        <v>2.7210648149775807E-2</v>
      </c>
      <c r="N87" s="7">
        <f>24*60*SUM($M87:$M87)</f>
        <v>39.183333335677162</v>
      </c>
      <c r="O87" s="7"/>
      <c r="P87" s="7"/>
      <c r="Q87" s="23"/>
      <c r="R87" s="23"/>
      <c r="S87" s="35">
        <f>SUM(U87:U87)/IF(AG87="EC",12,1)</f>
        <v>1</v>
      </c>
      <c r="T87" s="50" t="str">
        <f t="shared" si="37"/>
        <v>NorthBound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14:38:39-0600',mode:absolute,to:'2016-10-12 17:24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7" s="52" t="str">
        <f t="shared" si="39"/>
        <v>N</v>
      </c>
      <c r="X87" s="149">
        <f t="shared" si="27"/>
        <v>1</v>
      </c>
      <c r="Y87" s="67">
        <f t="shared" si="40"/>
        <v>4.3499999999999997E-2</v>
      </c>
      <c r="Z87" s="67">
        <f t="shared" si="34"/>
        <v>23.334299999999999</v>
      </c>
      <c r="AA87" s="67">
        <f t="shared" si="41"/>
        <v>23.290799999999997</v>
      </c>
      <c r="AB87" s="64" t="str">
        <f>VLOOKUP(A87,Enforcements!$C$7:$K$21,8,0)</f>
        <v>Bulletin (2)</v>
      </c>
      <c r="AC87" s="60" t="str">
        <f>VLOOKUP(A87,Enforcements!$C$7:$E$21,3,0)</f>
        <v>GRADE CROSSING</v>
      </c>
      <c r="AD87" s="61" t="str">
        <f t="shared" si="42"/>
        <v>0197-12</v>
      </c>
      <c r="AE87" s="91" t="str">
        <f t="shared" si="43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87" s="88" t="str">
        <f t="shared" si="44"/>
        <v>"C:\Program Files (x86)\AstroGrep\AstroGrep.exe" /spath="%USERPROFILE%\AppData\Local\Temp\OnboardLogs" /stypes="app*4031*20161012*" /stext=" 22:.+((SYSTEM_STATE.+slice.+state.+changed )|(ment ac)|(system.+state.+changed )|(\[timeout)|(PRM\|1\|D)|(kpr)|(kdp)|(\|lc)|(penalty))" /e /r /s</v>
      </c>
      <c r="AG87" s="1" t="str">
        <f t="shared" si="30"/>
        <v>EC</v>
      </c>
      <c r="AH87" s="92" t="str">
        <f t="shared" si="32"/>
        <v>"%USERPROFILE%\Documents\GitHub\eaglep3\Utilities\RefineRTDCRunTimes.py" --tripid 197-12 --locoid 4031 --swversion DE.1.0.7.0 --startMP 204:435 --initTime 2016-10-12T15:38:39 --startdatetime 2016-10-12T15:45:27 --delay 1 --endMP 204:233343 --enddatetime 2016-10-12T16:24:38 --enforcementcount 0 &gt;&gt;C:\Users\stu\Documents\GitHub\eaglep3-reporting\EC\2016-10-12-refined-times.txt</v>
      </c>
      <c r="AI8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{"issue":{"subject":"","project_id":79,"tracker_id":40,"status_id":1,"priority_id":2,"assigned_to_id":23,"start_date":"2016-10-12","description":"","custom_fields":[{"id":1,"name":"Subdivision","value":"EC"},{"id":4,"name":"Milepost","value":"23.3343"},{"id":17,"name":"Train ID","value":"197-12"},{"id":16,"name":"Locomotive ID","value":"4031"},{"id":130,"name":"Impact","value":""},{"id":150,"name":"Time of Event (Mountain Time)","value":"16:24:38"},{"id":151,"name":"Denver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482</v>
      </c>
      <c r="B88" s="7">
        <v>4032</v>
      </c>
      <c r="C88" s="22" t="s">
        <v>99</v>
      </c>
      <c r="D88" s="22" t="s">
        <v>483</v>
      </c>
      <c r="E88" s="13">
        <v>42655.685324074075</v>
      </c>
      <c r="F88" s="13">
        <v>42655.6953125</v>
      </c>
      <c r="G88" s="7">
        <v>1</v>
      </c>
      <c r="H88" s="13" t="s">
        <v>484</v>
      </c>
      <c r="I88" s="13">
        <v>42655.727280092593</v>
      </c>
      <c r="J88" s="7">
        <v>0</v>
      </c>
      <c r="K88" s="112" t="str">
        <f t="shared" si="35"/>
        <v>4031/4032</v>
      </c>
      <c r="L88" s="22" t="str">
        <f>VLOOKUP(A88,'Trips&amp;Operators'!$C$1:$E$10000,3,FALSE)</f>
        <v>HILLS</v>
      </c>
      <c r="M88" s="6">
        <f t="shared" si="36"/>
        <v>3.1967592592991423E-2</v>
      </c>
      <c r="N88" s="7">
        <f>24*60*SUM($M88:$M88)</f>
        <v>46.033333333907649</v>
      </c>
      <c r="O88" s="7"/>
      <c r="P88" s="7"/>
      <c r="Q88" s="23"/>
      <c r="R88" s="23"/>
      <c r="S88" s="35">
        <f>SUM(U88:U88)/IF(AG88="EC",12,1)</f>
        <v>1</v>
      </c>
      <c r="T88" s="50" t="str">
        <f t="shared" si="37"/>
        <v>Southbound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15:26:52-0600',mode:absolute,to:'2016-10-12 18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8" s="52" t="str">
        <f t="shared" si="39"/>
        <v>N</v>
      </c>
      <c r="X88" s="149">
        <f t="shared" si="27"/>
        <v>1</v>
      </c>
      <c r="Y88" s="67">
        <f t="shared" si="40"/>
        <v>23.301500000000001</v>
      </c>
      <c r="Z88" s="67">
        <f t="shared" si="34"/>
        <v>1.29E-2</v>
      </c>
      <c r="AA88" s="67">
        <f t="shared" si="41"/>
        <v>23.288600000000002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2"/>
        <v>0198-12</v>
      </c>
      <c r="AE88" s="91" t="str">
        <f t="shared" si="43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88" s="88" t="str">
        <f t="shared" si="44"/>
        <v>"C:\Program Files (x86)\AstroGrep\AstroGrep.exe" /spath="%USERPROFILE%\AppData\Local\Temp\OnboardLogs" /stypes="app*4032*20161012*" /stext=" 23:.+((SYSTEM_STATE.+slice.+state.+changed )|(ment ac)|(system.+state.+changed )|(\[timeout)|(PRM\|1\|D)|(kpr)|(kdp)|(\|lc)|(penalty))" /e /r /s</v>
      </c>
      <c r="AG88" s="1" t="str">
        <f t="shared" si="30"/>
        <v>EC</v>
      </c>
      <c r="AH88" s="92" t="str">
        <f t="shared" si="32"/>
        <v>"%USERPROFILE%\Documents\GitHub\eaglep3\Utilities\RefineRTDCRunTimes.py" --tripid 198-12 --locoid 4032 --swversion DE.1.0.7.0 --startMP 204:233015 --initTime 2016-10-12T16:26:52 --startdatetime 2016-10-12T16:41:15 --delay 1 --endMP 204:129 --enddatetime 2016-10-12T17:27:17 --enforcementcount 0 &gt;&gt;C:\Users\stu\Documents\GitHub\eaglep3-reporting\EC\2016-10-12-refined-times.txt</v>
      </c>
      <c r="AI8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{"issue":{"subject":"","project_id":79,"tracker_id":40,"status_id":1,"priority_id":2,"assigned_to_id":23,"start_date":"2016-10-12","description":"","custom_fields":[{"id":1,"name":"Subdivision","value":"EC"},{"id":4,"name":"Milepost","value":"0.0129"},{"id":17,"name":"Train ID","value":"198-12"},{"id":16,"name":"Locomotive ID","value":"4032"},{"id":130,"name":"Impact","value":""},{"id":150,"name":"Time of Event (Mountain Time)","value":"17:27:17"},{"id":151,"name":"Denver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485</v>
      </c>
      <c r="B89" s="7">
        <v>4016</v>
      </c>
      <c r="C89" s="22" t="s">
        <v>99</v>
      </c>
      <c r="D89" s="22" t="s">
        <v>486</v>
      </c>
      <c r="E89" s="13">
        <v>42655.670960648145</v>
      </c>
      <c r="F89" s="13">
        <v>42655.672268518516</v>
      </c>
      <c r="G89" s="7">
        <v>1</v>
      </c>
      <c r="H89" s="13" t="s">
        <v>487</v>
      </c>
      <c r="I89" s="13">
        <v>42655.694722222222</v>
      </c>
      <c r="J89" s="7">
        <v>0</v>
      </c>
      <c r="K89" s="112" t="str">
        <f t="shared" si="35"/>
        <v>4015/4016</v>
      </c>
      <c r="L89" s="22" t="str">
        <f>VLOOKUP(A89,'Trips&amp;Operators'!$C$1:$E$10000,3,FALSE)</f>
        <v>STORY</v>
      </c>
      <c r="M89" s="6">
        <f t="shared" si="36"/>
        <v>2.2453703706560191E-2</v>
      </c>
      <c r="N89" s="7"/>
      <c r="O89" s="7"/>
      <c r="P89" s="7">
        <f>24*60*SUM($M89:$M89)</f>
        <v>32.333333337446675</v>
      </c>
      <c r="Q89" s="23"/>
      <c r="R89" s="23" t="s">
        <v>488</v>
      </c>
      <c r="S89" s="35">
        <f>SUM(U89:U89)/IF(AG89="EC",12,1)</f>
        <v>1</v>
      </c>
      <c r="T89" s="50" t="str">
        <f t="shared" si="37"/>
        <v>NorthBound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9" s="52" t="str">
        <f t="shared" si="39"/>
        <v>Y</v>
      </c>
      <c r="X89" s="149">
        <f t="shared" si="27"/>
        <v>1</v>
      </c>
      <c r="Y89" s="67">
        <f t="shared" si="40"/>
        <v>1.9114</v>
      </c>
      <c r="Z89" s="67">
        <f t="shared" si="34"/>
        <v>23.334399999999999</v>
      </c>
      <c r="AA89" s="67">
        <f t="shared" si="41"/>
        <v>21.422999999999998</v>
      </c>
      <c r="AB89" s="64" t="str">
        <f>VLOOKUP(A89,Enforcements!$C$7:$K$21,8,0)</f>
        <v>Speed (6)</v>
      </c>
      <c r="AC89" s="60" t="str">
        <f>VLOOKUP(A89,Enforcements!$C$7:$E$21,3,0)</f>
        <v>PERMANENT SPEED RESTRICTION</v>
      </c>
      <c r="AD89" s="61" t="str">
        <f t="shared" si="42"/>
        <v>0199-12</v>
      </c>
      <c r="AE89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89" s="88" t="str">
        <f t="shared" si="44"/>
        <v>"C:\Program Files (x86)\AstroGrep\AstroGrep.exe" /spath="%USERPROFILE%\AppData\Local\Temp\OnboardLogs" /stypes="app*4016*20161012*" /stext=" 22:.+((SYSTEM_STATE.+slice.+state.+changed )|(ment ac)|(system.+state.+changed )|(\[timeout)|(PRM\|1\|D)|(kpr)|(kdp)|(\|lc)|(penalty))" /e /r /s</v>
      </c>
      <c r="AG89" s="1" t="str">
        <f t="shared" si="30"/>
        <v>EC</v>
      </c>
      <c r="AH89" s="92" t="str">
        <f t="shared" si="32"/>
        <v>"%USERPROFILE%\Documents\GitHub\eaglep3\Utilities\RefineRTDCRunTimes.py" --tripid 199-12 --locoid 4016 --swversion DE.1.0.7.0 --startMP 204:19114 --initTime 2016-10-12T16:06:11 --startdatetime 2016-10-12T16:08:04 --delay 1 --endMP 204:233344 --enddatetime 2016-10-12T16:40:24 --enforcementcount 0 &gt;&gt;C:\Users\stu\Documents\GitHub\eaglep3-reporting\EC\2016-10-12-refined-times.txt</v>
      </c>
      <c r="AI89" s="122" t="str">
        <f t="shared" si="33"/>
        <v>echo {"issue":{"subject":"Wi-MAX outage","project_id":79,"tracker_id":40,"status_id":1,"priority_id":2,"assigned_to_id":23,"start_date":"2016-10-12","description":"","custom_fields":[{"id":1,"name":"Subdivision","value":"EC"},{"id":4,"name":"Milepost","value":"23.3344"},{"id":17,"name":"Train ID","value":"199-12"},{"id":16,"name":"Locomotive ID","value":"4016"},{"id":130,"name":"Impact","value":""},{"id":150,"name":"Time of Event (Mountain Time)","value":"16:40:24"},{"id":151,"name":"Denver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485</v>
      </c>
      <c r="B90" s="7">
        <v>4016</v>
      </c>
      <c r="C90" s="22" t="s">
        <v>99</v>
      </c>
      <c r="D90" s="22" t="s">
        <v>489</v>
      </c>
      <c r="E90" s="13">
        <v>42655.662928240738</v>
      </c>
      <c r="F90" s="13">
        <v>42655.672268518516</v>
      </c>
      <c r="G90" s="7">
        <v>5</v>
      </c>
      <c r="H90" s="13" t="s">
        <v>455</v>
      </c>
      <c r="I90" s="13">
        <v>42655.694722222222</v>
      </c>
      <c r="J90" s="7">
        <v>0</v>
      </c>
      <c r="K90" s="112" t="str">
        <f t="shared" si="35"/>
        <v>4015/4016</v>
      </c>
      <c r="L90" s="22" t="str">
        <f>VLOOKUP(A90,'Trips&amp;Operators'!$C$1:$E$10000,3,FALSE)</f>
        <v>STORY</v>
      </c>
      <c r="M90" s="6">
        <f t="shared" si="36"/>
        <v>2.2453703706560191E-2</v>
      </c>
      <c r="N90" s="7"/>
      <c r="O90" s="7"/>
      <c r="P90" s="7"/>
      <c r="Q90" s="23"/>
      <c r="R90" s="23"/>
      <c r="S90" s="35"/>
      <c r="T90" s="50" t="str">
        <f t="shared" si="37"/>
        <v>NorthBound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14:54:37-0600',mode:absolute,to:'2016-10-12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0" s="52" t="str">
        <f t="shared" si="39"/>
        <v>Y</v>
      </c>
      <c r="X90" s="149">
        <f t="shared" si="27"/>
        <v>0</v>
      </c>
      <c r="Y90" s="67">
        <f t="shared" si="40"/>
        <v>4.4600000000000001E-2</v>
      </c>
      <c r="Z90" s="67">
        <f t="shared" si="34"/>
        <v>0.29389999999999999</v>
      </c>
      <c r="AA90" s="67">
        <f t="shared" si="41"/>
        <v>0.24929999999999999</v>
      </c>
      <c r="AB90" s="64" t="str">
        <f>VLOOKUP(A90,Enforcements!$C$7:$K$21,8,0)</f>
        <v>Speed (6)</v>
      </c>
      <c r="AC90" s="60" t="str">
        <f>VLOOKUP(A90,Enforcements!$C$7:$E$21,3,0)</f>
        <v>PERMANENT SPEED RESTRICTION</v>
      </c>
      <c r="AD90" s="61" t="str">
        <f t="shared" si="42"/>
        <v>0199-12</v>
      </c>
      <c r="AE90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90" s="88" t="str">
        <f t="shared" si="44"/>
        <v>"C:\Program Files (x86)\AstroGrep\AstroGrep.exe" /spath="%USERPROFILE%\AppData\Local\Temp\OnboardLogs" /stypes="app*4016*20161012*" /stext=" 22:.+((SYSTEM_STATE.+slice.+state.+changed )|(ment ac)|(system.+state.+changed )|(\[timeout)|(PRM\|1\|D)|(kpr)|(kdp)|(\|lc)|(penalty))" /e /r /s</v>
      </c>
      <c r="AG90" s="1" t="str">
        <f t="shared" si="30"/>
        <v>EC</v>
      </c>
      <c r="AH90" s="92" t="str">
        <f t="shared" si="32"/>
        <v>"%USERPROFILE%\Documents\GitHub\eaglep3\Utilities\RefineRTDCRunTimes.py" --tripid 199-12 --locoid 4016 --swversion DE.1.0.7.0 --startMP 204:446 --initTime 2016-10-12T15:54:37 --startdatetime 2016-10-12T16:08:04 --delay 5 --endMP 204:2939 --enddatetime 2016-10-12T16:40:24 --enforcementcount 0 &gt;&gt;C:\Users\stu\Documents\GitHub\eaglep3-reporting\EC\2016-10-12-refined-times.txt</v>
      </c>
      <c r="AI9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{"issue":{"subject":"","project_id":79,"tracker_id":40,"status_id":1,"priority_id":2,"assigned_to_id":23,"start_date":"2016-10-12","description":"","custom_fields":[{"id":1,"name":"Subdivision","value":"EC"},{"id":4,"name":"Milepost","value":"0.2939"},{"id":17,"name":"Train ID","value":"199-12"},{"id":16,"name":"Locomotive ID","value":"4016"},{"id":130,"name":"Impact","value":""},{"id":150,"name":"Time of Event (Mountain Time)","value":"16:40:24"},{"id":151,"name":"Denver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490</v>
      </c>
      <c r="B91" s="7">
        <v>4015</v>
      </c>
      <c r="C91" s="22" t="s">
        <v>99</v>
      </c>
      <c r="D91" s="22" t="s">
        <v>491</v>
      </c>
      <c r="E91" s="13">
        <v>42655.701817129629</v>
      </c>
      <c r="F91" s="13">
        <v>42655.706226851849</v>
      </c>
      <c r="G91" s="7">
        <v>1</v>
      </c>
      <c r="H91" s="13" t="s">
        <v>313</v>
      </c>
      <c r="I91" s="13">
        <v>42655.733773148146</v>
      </c>
      <c r="J91" s="7">
        <v>0</v>
      </c>
      <c r="K91" s="112" t="str">
        <f t="shared" si="35"/>
        <v>4015/4016</v>
      </c>
      <c r="L91" s="22" t="str">
        <f>VLOOKUP(A91,'Trips&amp;Operators'!$C$1:$E$10000,3,FALSE)</f>
        <v>STORY</v>
      </c>
      <c r="M91" s="6">
        <f t="shared" si="36"/>
        <v>2.7546296296350192E-2</v>
      </c>
      <c r="N91" s="7">
        <f>24*60*SUM($M91:$M91)</f>
        <v>39.666666666744277</v>
      </c>
      <c r="O91" s="7"/>
      <c r="P91" s="7"/>
      <c r="Q91" s="23"/>
      <c r="R91" s="23"/>
      <c r="S91" s="35">
        <f t="shared" ref="S91:S122" si="45">SUM(U91:U91)/IF(AG91="EC",12,1)</f>
        <v>1</v>
      </c>
      <c r="T91" s="50" t="str">
        <f t="shared" si="37"/>
        <v>Southbound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15:50:37-0600',mode:absolute,to:'2016-10-12 18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1" s="52" t="str">
        <f t="shared" si="39"/>
        <v>N</v>
      </c>
      <c r="X91" s="149">
        <f t="shared" si="27"/>
        <v>1</v>
      </c>
      <c r="Y91" s="67">
        <f t="shared" si="40"/>
        <v>23.302499999999998</v>
      </c>
      <c r="Z91" s="67">
        <f t="shared" si="34"/>
        <v>1.61E-2</v>
      </c>
      <c r="AA91" s="67">
        <f t="shared" si="41"/>
        <v>23.286399999999997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2"/>
        <v>0200-12</v>
      </c>
      <c r="AE91" s="91" t="str">
        <f t="shared" si="43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91" s="88" t="str">
        <f t="shared" si="44"/>
        <v>"C:\Program Files (x86)\AstroGrep\AstroGrep.exe" /spath="%USERPROFILE%\AppData\Local\Temp\OnboardLogs" /stypes="app*4015*20161012*" /stext=" 23:.+((SYSTEM_STATE.+slice.+state.+changed )|(ment ac)|(system.+state.+changed )|(\[timeout)|(PRM\|1\|D)|(kpr)|(kdp)|(\|lc)|(penalty))" /e /r /s</v>
      </c>
      <c r="AG91" s="1" t="str">
        <f t="shared" si="30"/>
        <v>EC</v>
      </c>
      <c r="AH91" s="92" t="str">
        <f t="shared" si="32"/>
        <v>"%USERPROFILE%\Documents\GitHub\eaglep3\Utilities\RefineRTDCRunTimes.py" --tripid 200-12 --locoid 4015 --swversion DE.1.0.7.0 --startMP 204:233025 --initTime 2016-10-12T16:50:37 --startdatetime 2016-10-12T16:56:58 --delay 1 --endMP 204:161 --enddatetime 2016-10-12T17:36:38 --enforcementcount 0 &gt;&gt;C:\Users\stu\Documents\GitHub\eaglep3-reporting\EC\2016-10-12-refined-times.txt</v>
      </c>
      <c r="AI9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ID","value":"200-12"},{"id":16,"name":"Locomotive ID","value":"4015"},{"id":130,"name":"Impact","value":""},{"id":150,"name":"Time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492</v>
      </c>
      <c r="B92" s="7">
        <v>4046</v>
      </c>
      <c r="C92" s="22" t="s">
        <v>99</v>
      </c>
      <c r="D92" s="22" t="s">
        <v>421</v>
      </c>
      <c r="E92" s="13">
        <v>42655.673321759263</v>
      </c>
      <c r="F92" s="13">
        <v>42655.67732638889</v>
      </c>
      <c r="G92" s="7">
        <v>1</v>
      </c>
      <c r="H92" s="13" t="s">
        <v>493</v>
      </c>
      <c r="I92" s="13">
        <v>42655.692824074074</v>
      </c>
      <c r="J92" s="7">
        <v>0</v>
      </c>
      <c r="K92" s="112" t="str">
        <f t="shared" si="35"/>
        <v>4045/4046</v>
      </c>
      <c r="L92" s="22" t="str">
        <f>VLOOKUP(A92,'Trips&amp;Operators'!$C$1:$E$10000,3,FALSE)</f>
        <v>BONDS</v>
      </c>
      <c r="M92" s="6">
        <f t="shared" si="36"/>
        <v>1.5497685184527654E-2</v>
      </c>
      <c r="N92" s="7"/>
      <c r="O92" s="7"/>
      <c r="P92" s="7">
        <f>24*60*SUM($M92:$M92)</f>
        <v>22.316666665719822</v>
      </c>
      <c r="Q92" s="23"/>
      <c r="R92" s="173" t="s">
        <v>494</v>
      </c>
      <c r="S92" s="35">
        <f t="shared" si="45"/>
        <v>1</v>
      </c>
      <c r="T92" s="50" t="str">
        <f t="shared" si="37"/>
        <v>NorthBound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15:09:35-0600',mode:absolute,to:'2016-10-12 17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2" t="str">
        <f t="shared" si="39"/>
        <v>Y</v>
      </c>
      <c r="X92" s="149">
        <f t="shared" si="27"/>
        <v>1</v>
      </c>
      <c r="Y92" s="67">
        <f t="shared" si="40"/>
        <v>4.5499999999999999E-2</v>
      </c>
      <c r="Z92" s="67">
        <f t="shared" si="34"/>
        <v>12.827999999999999</v>
      </c>
      <c r="AA92" s="67">
        <f t="shared" si="41"/>
        <v>12.782499999999999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2"/>
        <v>0201-12</v>
      </c>
      <c r="AE92" s="91" t="str">
        <f t="shared" si="43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92" s="88" t="str">
        <f t="shared" si="44"/>
        <v>"C:\Program Files (x86)\AstroGrep\AstroGrep.exe" /spath="%USERPROFILE%\AppData\Local\Temp\OnboardLogs" /stypes="app*4046*20161012*" /stext=" 22:.+((SYSTEM_STATE.+slice.+state.+changed )|(ment ac)|(system.+state.+changed )|(\[timeout)|(PRM\|1\|D)|(kpr)|(kdp)|(\|lc)|(penalty))" /e /r /s</v>
      </c>
      <c r="AG92" s="1" t="str">
        <f t="shared" si="30"/>
        <v>EC</v>
      </c>
      <c r="AH92" s="92" t="str">
        <f t="shared" si="32"/>
        <v>"%USERPROFILE%\Documents\GitHub\eaglep3\Utilities\RefineRTDCRunTimes.py" --tripid 201-12 --locoid 4046 --swversion DE.1.0.7.0 --startMP 204:455 --initTime 2016-10-12T16:09:35 --startdatetime 2016-10-12T16:15:21 --delay 1 --endMP 204:128280 --enddatetime 2016-10-12T16:37:40 --enforcementcount 0 &gt;&gt;C:\Users\stu\Documents\GitHub\eaglep3-reporting\EC\2016-10-12-refined-times.txt</v>
      </c>
      <c r="AI92" s="122" t="str">
        <f t="shared" si="33"/>
        <v>echo {"issue":{"subject":"16:37:13 - 16:40:23 CP 61st was offline - ELXS reset?","project_id":79,"tracker_id":40,"status_id":1,"priority_id":2,"assigned_to_id":23,"start_date":"2016-10-12","description":"See title, was there an ELXS reset or a network outage?","custom_fields":[{"id":1,"name":"Subdivision","value":"EC"},{"id":4,"name":"Milepost","value":"12.828"},{"id":17,"name":"Train ID","value":"201-12"},{"id":16,"name":"Locomotive ID","value":"4046"},{"id":130,"name":"Impact","value":"Unexpected Cut-Out or Disengaged"},{"id":150,"name":"Time of Event (Mountain Time)","value":"16:37:40"},{"id":151,"name":"Denver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2" s="53" t="s">
        <v>495</v>
      </c>
      <c r="AK92" s="53" t="s">
        <v>132</v>
      </c>
      <c r="AL92" s="53" t="s">
        <v>131</v>
      </c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496</v>
      </c>
      <c r="B93" s="7">
        <v>4045</v>
      </c>
      <c r="C93" s="22" t="s">
        <v>99</v>
      </c>
      <c r="D93" s="22" t="s">
        <v>418</v>
      </c>
      <c r="E93" s="13">
        <v>42655.712013888886</v>
      </c>
      <c r="F93" s="13">
        <v>42655.716307870367</v>
      </c>
      <c r="G93" s="7">
        <v>1</v>
      </c>
      <c r="H93" s="13" t="s">
        <v>460</v>
      </c>
      <c r="I93" s="13">
        <v>42655.743993055556</v>
      </c>
      <c r="J93" s="7">
        <v>0</v>
      </c>
      <c r="K93" s="112" t="str">
        <f t="shared" si="35"/>
        <v>4045/4046</v>
      </c>
      <c r="L93" s="22" t="str">
        <f>VLOOKUP(A93,'Trips&amp;Operators'!$C$1:$E$10000,3,FALSE)</f>
        <v>BONDS</v>
      </c>
      <c r="M93" s="6">
        <f t="shared" si="36"/>
        <v>2.768518518860219E-2</v>
      </c>
      <c r="N93" s="7">
        <f t="shared" ref="N93:N156" si="46">24*60*SUM($M93:$M93)</f>
        <v>39.866666671587154</v>
      </c>
      <c r="O93" s="7"/>
      <c r="P93" s="7"/>
      <c r="Q93" s="23"/>
      <c r="R93" s="23"/>
      <c r="S93" s="35">
        <f t="shared" si="45"/>
        <v>1</v>
      </c>
      <c r="T93" s="50" t="str">
        <f t="shared" si="37"/>
        <v>Southbound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16:05:18-0600',mode:absolute,to:'2016-10-12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3" s="52" t="str">
        <f t="shared" si="39"/>
        <v>N</v>
      </c>
      <c r="X93" s="149">
        <f t="shared" si="27"/>
        <v>1</v>
      </c>
      <c r="Y93" s="67">
        <f t="shared" si="40"/>
        <v>23.2973</v>
      </c>
      <c r="Z93" s="67">
        <f t="shared" si="34"/>
        <v>1.5800000000000002E-2</v>
      </c>
      <c r="AA93" s="67">
        <f t="shared" si="41"/>
        <v>23.281500000000001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2"/>
        <v>0202-12</v>
      </c>
      <c r="AE93" s="91" t="str">
        <f t="shared" si="43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93" s="88" t="str">
        <f t="shared" si="44"/>
        <v>"C:\Program Files (x86)\AstroGrep\AstroGrep.exe" /spath="%USERPROFILE%\AppData\Local\Temp\OnboardLogs" /stypes="app*4045*20161012*" /stext=" 23:.+((SYSTEM_STATE.+slice.+state.+changed )|(ment ac)|(system.+state.+changed )|(\[timeout)|(PRM\|1\|D)|(kpr)|(kdp)|(\|lc)|(penalty))" /e /r /s</v>
      </c>
      <c r="AG93" s="1" t="str">
        <f t="shared" si="30"/>
        <v>EC</v>
      </c>
      <c r="AH93" s="92" t="str">
        <f t="shared" si="32"/>
        <v>"%USERPROFILE%\Documents\GitHub\eaglep3\Utilities\RefineRTDCRunTimes.py" --tripid 202-12 --locoid 4045 --swversion DE.1.0.7.0 --startMP 204:232973 --initTime 2016-10-12T17:05:18 --startdatetime 2016-10-12T17:11:29 --delay 1 --endMP 204:158 --enddatetime 2016-10-12T17:51:21 --enforcementcount 0 &gt;&gt;C:\Users\stu\Documents\GitHub\eaglep3-reporting\EC\2016-10-12-refined-times.txt</v>
      </c>
      <c r="AI9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ID","value":"202-12"},{"id":16,"name":"Locomotive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497</v>
      </c>
      <c r="B94" s="7">
        <v>4007</v>
      </c>
      <c r="C94" s="22" t="s">
        <v>99</v>
      </c>
      <c r="D94" s="22" t="s">
        <v>454</v>
      </c>
      <c r="E94" s="13">
        <v>42655.683715277781</v>
      </c>
      <c r="F94" s="13">
        <v>42655.6877662037</v>
      </c>
      <c r="G94" s="7">
        <v>1</v>
      </c>
      <c r="H94" s="13" t="s">
        <v>258</v>
      </c>
      <c r="I94" s="13">
        <v>42655.720266203702</v>
      </c>
      <c r="J94" s="7">
        <v>0</v>
      </c>
      <c r="K94" s="112" t="str">
        <f t="shared" si="35"/>
        <v>4007/4008</v>
      </c>
      <c r="L94" s="22" t="str">
        <f>VLOOKUP(A94,'Trips&amp;Operators'!$C$1:$E$10000,3,FALSE)</f>
        <v>BARTLETT</v>
      </c>
      <c r="M94" s="6">
        <f t="shared" si="36"/>
        <v>3.2500000001164153E-2</v>
      </c>
      <c r="N94" s="7">
        <f t="shared" si="46"/>
        <v>46.800000001676381</v>
      </c>
      <c r="O94" s="7"/>
      <c r="P94" s="7"/>
      <c r="Q94" s="23"/>
      <c r="R94" s="23"/>
      <c r="S94" s="35">
        <f t="shared" si="45"/>
        <v>1</v>
      </c>
      <c r="T94" s="50" t="str">
        <f t="shared" si="37"/>
        <v>NorthBound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15:24:33-0600',mode:absolute,to:'2016-10-12 18:17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4" s="52" t="str">
        <f t="shared" si="39"/>
        <v>N</v>
      </c>
      <c r="X94" s="149">
        <f t="shared" si="27"/>
        <v>1</v>
      </c>
      <c r="Y94" s="67">
        <f t="shared" si="40"/>
        <v>4.6199999999999998E-2</v>
      </c>
      <c r="Z94" s="67">
        <f t="shared" si="34"/>
        <v>23.331399999999999</v>
      </c>
      <c r="AA94" s="67">
        <f t="shared" si="41"/>
        <v>23.2852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2"/>
        <v>0203-12</v>
      </c>
      <c r="AE94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94" s="88" t="str">
        <f t="shared" si="44"/>
        <v>"C:\Program Files (x86)\AstroGrep\AstroGrep.exe" /spath="%USERPROFILE%\AppData\Local\Temp\OnboardLogs" /stypes="app*4007*20161012*" /stext=" 23:.+((SYSTEM_STATE.+slice.+state.+changed )|(ment ac)|(system.+state.+changed )|(\[timeout)|(PRM\|1\|D)|(kpr)|(kdp)|(\|lc)|(penalty))" /e /r /s</v>
      </c>
      <c r="AG94" s="1" t="str">
        <f t="shared" si="30"/>
        <v>EC</v>
      </c>
      <c r="AH94" s="92" t="str">
        <f t="shared" si="32"/>
        <v>"%USERPROFILE%\Documents\GitHub\eaglep3\Utilities\RefineRTDCRunTimes.py" --tripid 203-12 --locoid 4007 --swversion DE.1.0.7.0 --startMP 204:462 --initTime 2016-10-12T16:24:33 --startdatetime 2016-10-12T16:30:23 --delay 1 --endMP 204:233314 --enddatetime 2016-10-12T17:17:11 --enforcementcount 0 &gt;&gt;C:\Users\stu\Documents\GitHub\eaglep3-reporting\EC\2016-10-12-refined-times.txt</v>
      </c>
      <c r="AI9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ID","value":"203-12"},{"id":16,"name":"Locomotive ID","value":"4007"},{"id":130,"name":"Impact","value":""},{"id":150,"name":"Time of Event (Mountain Time)","value":"17:17:11"},{"id":151,"name":"Denver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498</v>
      </c>
      <c r="B95" s="7">
        <v>4008</v>
      </c>
      <c r="C95" s="22" t="s">
        <v>99</v>
      </c>
      <c r="D95" s="22" t="s">
        <v>499</v>
      </c>
      <c r="E95" s="13">
        <v>42655.72184027778</v>
      </c>
      <c r="F95" s="13">
        <v>42655.726620370369</v>
      </c>
      <c r="G95" s="7">
        <v>1</v>
      </c>
      <c r="H95" s="13" t="s">
        <v>500</v>
      </c>
      <c r="I95" s="13">
        <v>42655.753252314818</v>
      </c>
      <c r="J95" s="7">
        <v>0</v>
      </c>
      <c r="K95" s="112" t="str">
        <f t="shared" si="35"/>
        <v>4007/4008</v>
      </c>
      <c r="L95" s="22" t="str">
        <f>VLOOKUP(A95,'Trips&amp;Operators'!$C$1:$E$10000,3,FALSE)</f>
        <v>BARTLETT</v>
      </c>
      <c r="M95" s="6">
        <f t="shared" si="36"/>
        <v>2.6631944449036382E-2</v>
      </c>
      <c r="N95" s="7">
        <f t="shared" si="46"/>
        <v>38.35000000661239</v>
      </c>
      <c r="O95" s="7"/>
      <c r="P95" s="7"/>
      <c r="Q95" s="23"/>
      <c r="R95" s="23"/>
      <c r="S95" s="35">
        <f t="shared" si="45"/>
        <v>1</v>
      </c>
      <c r="T95" s="50" t="str">
        <f t="shared" si="37"/>
        <v>Southbound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16:19:27-0600',mode:absolute,to:'2016-10-12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5" s="52" t="str">
        <f t="shared" si="39"/>
        <v>N</v>
      </c>
      <c r="X95" s="149">
        <f t="shared" si="27"/>
        <v>1</v>
      </c>
      <c r="Y95" s="67">
        <f t="shared" si="40"/>
        <v>23.3004</v>
      </c>
      <c r="Z95" s="67">
        <f t="shared" si="34"/>
        <v>2.01E-2</v>
      </c>
      <c r="AA95" s="67">
        <f t="shared" si="41"/>
        <v>23.2803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2"/>
        <v>0204-12</v>
      </c>
      <c r="AE95" s="91" t="str">
        <f t="shared" si="43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95" s="88" t="str">
        <f t="shared" si="44"/>
        <v>"C:\Program Files (x86)\AstroGrep\AstroGrep.exe" /spath="%USERPROFILE%\AppData\Local\Temp\OnboardLogs" /stypes="app*4008*20161013*" /stext=" 00:.+((SYSTEM_STATE.+slice.+state.+changed )|(ment ac)|(system.+state.+changed )|(\[timeout)|(PRM\|1\|D)|(kpr)|(kdp)|(\|lc)|(penalty))" /e /r /s</v>
      </c>
      <c r="AG95" s="1" t="str">
        <f t="shared" si="30"/>
        <v>EC</v>
      </c>
      <c r="AH95" s="92" t="str">
        <f t="shared" si="32"/>
        <v>"%USERPROFILE%\Documents\GitHub\eaglep3\Utilities\RefineRTDCRunTimes.py" --tripid 204-12 --locoid 4008 --swversion DE.1.0.7.0 --startMP 204:233004 --initTime 2016-10-12T17:19:27 --startdatetime 2016-10-12T17:26:20 --delay 1 --endMP 204:201 --enddatetime 2016-10-12T18:04:41 --enforcementcount 0 &gt;&gt;C:\Users\stu\Documents\GitHub\eaglep3-reporting\EC\2016-10-12-refined-times.txt</v>
      </c>
      <c r="AI9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{"issue":{"subject":"","project_id":79,"tracker_id":40,"status_id":1,"priority_id":2,"assigned_to_id":23,"start_date":"2016-10-12","description":"","custom_fields":[{"id":1,"name":"Subdivision","value":"EC"},{"id":4,"name":"Milepost","value":"0.0201"},{"id":17,"name":"Train ID","value":"204-12"},{"id":16,"name":"Locomotive ID","value":"4008"},{"id":130,"name":"Impact","value":""},{"id":150,"name":"Time of Event (Mountain Time)","value":"18:04:41"},{"id":151,"name":"Denver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501</v>
      </c>
      <c r="B96" s="7">
        <v>4053</v>
      </c>
      <c r="C96" s="22" t="s">
        <v>99</v>
      </c>
      <c r="D96" s="22" t="s">
        <v>343</v>
      </c>
      <c r="E96" s="13">
        <v>42655.694421296299</v>
      </c>
      <c r="F96" s="13">
        <v>42655.69809027778</v>
      </c>
      <c r="G96" s="7">
        <v>1</v>
      </c>
      <c r="H96" s="13" t="s">
        <v>435</v>
      </c>
      <c r="I96" s="13">
        <v>42655.725231481483</v>
      </c>
      <c r="J96" s="7">
        <v>0</v>
      </c>
      <c r="K96" s="112" t="str">
        <f t="shared" si="35"/>
        <v>4053/4054</v>
      </c>
      <c r="L96" s="22" t="str">
        <f>VLOOKUP(A96,'Trips&amp;Operators'!$C$1:$E$10000,3,FALSE)</f>
        <v>BRUDER</v>
      </c>
      <c r="M96" s="6">
        <f t="shared" si="36"/>
        <v>2.7141203703649808E-2</v>
      </c>
      <c r="N96" s="7">
        <f t="shared" si="46"/>
        <v>39.083333333255723</v>
      </c>
      <c r="O96" s="7"/>
      <c r="P96" s="7"/>
      <c r="Q96" s="23"/>
      <c r="R96" s="23"/>
      <c r="S96" s="35">
        <f t="shared" si="45"/>
        <v>1</v>
      </c>
      <c r="T96" s="50" t="str">
        <f t="shared" si="37"/>
        <v>NorthBound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15:39:58-0600',mode:absolute,to:'2016-10-12 18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6" s="52" t="str">
        <f t="shared" si="39"/>
        <v>N</v>
      </c>
      <c r="X96" s="149">
        <f t="shared" si="27"/>
        <v>1</v>
      </c>
      <c r="Y96" s="67">
        <f t="shared" si="40"/>
        <v>4.58E-2</v>
      </c>
      <c r="Z96" s="67">
        <f t="shared" si="34"/>
        <v>23.330500000000001</v>
      </c>
      <c r="AA96" s="67">
        <f t="shared" si="41"/>
        <v>23.284700000000001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2"/>
        <v>0205-12</v>
      </c>
      <c r="AE96" s="91" t="str">
        <f t="shared" si="43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96" s="88" t="str">
        <f t="shared" si="44"/>
        <v>"C:\Program Files (x86)\AstroGrep\AstroGrep.exe" /spath="%USERPROFILE%\AppData\Local\Temp\OnboardLogs" /stypes="app*4053*20161012*" /stext=" 23:.+((SYSTEM_STATE.+slice.+state.+changed )|(ment ac)|(system.+state.+changed )|(\[timeout)|(PRM\|1\|D)|(kpr)|(kdp)|(\|lc)|(penalty))" /e /r /s</v>
      </c>
      <c r="AG96" s="1" t="str">
        <f t="shared" si="30"/>
        <v>EC</v>
      </c>
      <c r="AH96" s="92" t="str">
        <f t="shared" si="32"/>
        <v>"%USERPROFILE%\Documents\GitHub\eaglep3\Utilities\RefineRTDCRunTimes.py" --tripid 205-12 --locoid 4053 --swversion DE.1.0.7.0 --startMP 204:458 --initTime 2016-10-12T16:39:58 --startdatetime 2016-10-12T16:45:15 --delay 1 --endMP 204:233305 --enddatetime 2016-10-12T17:24:20 --enforcementcount 0 &gt;&gt;C:\Users\stu\Documents\GitHub\eaglep3-reporting\EC\2016-10-12-refined-times.txt</v>
      </c>
      <c r="AI9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{"issue":{"subject":"","project_id":79,"tracker_id":40,"status_id":1,"priority_id":2,"assigned_to_id":23,"start_date":"2016-10-12","description":"","custom_fields":[{"id":1,"name":"Subdivision","value":"EC"},{"id":4,"name":"Milepost","value":"23.3305"},{"id":17,"name":"Train ID","value":"205-12"},{"id":16,"name":"Locomotive ID","value":"4053"},{"id":130,"name":"Impact","value":""},{"id":150,"name":"Time of Event (Mountain Time)","value":"17:24:20"},{"id":151,"name":"Denver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502</v>
      </c>
      <c r="B97" s="7">
        <v>4054</v>
      </c>
      <c r="C97" s="22" t="s">
        <v>99</v>
      </c>
      <c r="D97" s="22" t="s">
        <v>503</v>
      </c>
      <c r="E97" s="13">
        <v>42655.73159722222</v>
      </c>
      <c r="F97" s="13">
        <v>42655.737037037034</v>
      </c>
      <c r="G97" s="7">
        <v>2</v>
      </c>
      <c r="H97" s="13" t="s">
        <v>317</v>
      </c>
      <c r="I97" s="13">
        <v>42655.767534722225</v>
      </c>
      <c r="J97" s="7">
        <v>0</v>
      </c>
      <c r="K97" s="112" t="str">
        <f t="shared" si="35"/>
        <v>4053/4054</v>
      </c>
      <c r="L97" s="22" t="str">
        <f>VLOOKUP(A97,'Trips&amp;Operators'!$C$1:$E$10000,3,FALSE)</f>
        <v>BRUDER</v>
      </c>
      <c r="M97" s="6">
        <f t="shared" si="36"/>
        <v>3.0497685191221535E-2</v>
      </c>
      <c r="N97" s="7">
        <f t="shared" si="46"/>
        <v>43.916666675359011</v>
      </c>
      <c r="O97" s="7"/>
      <c r="P97" s="7"/>
      <c r="Q97" s="23"/>
      <c r="R97" s="23"/>
      <c r="S97" s="35">
        <f t="shared" si="45"/>
        <v>1</v>
      </c>
      <c r="T97" s="50" t="str">
        <f t="shared" si="37"/>
        <v>Southbound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16:33:30-0600',mode:absolute,to:'2016-10-12 19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7" s="52" t="str">
        <f t="shared" si="39"/>
        <v>N</v>
      </c>
      <c r="X97" s="149">
        <f t="shared" si="27"/>
        <v>1</v>
      </c>
      <c r="Y97" s="67">
        <f t="shared" si="40"/>
        <v>23.299600000000002</v>
      </c>
      <c r="Z97" s="67">
        <f t="shared" si="34"/>
        <v>1.54E-2</v>
      </c>
      <c r="AA97" s="67">
        <f t="shared" si="41"/>
        <v>23.284200000000002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2"/>
        <v>0206-12</v>
      </c>
      <c r="AE97" s="91" t="str">
        <f t="shared" si="43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97" s="88" t="str">
        <f t="shared" si="44"/>
        <v>"C:\Program Files (x86)\AstroGrep\AstroGrep.exe" /spath="%USERPROFILE%\AppData\Local\Temp\OnboardLogs" /stypes="app*4054*20161013*" /stext=" 00:.+((SYSTEM_STATE.+slice.+state.+changed )|(ment ac)|(system.+state.+changed )|(\[timeout)|(PRM\|1\|D)|(kpr)|(kdp)|(\|lc)|(penalty))" /e /r /s</v>
      </c>
      <c r="AG97" s="1" t="str">
        <f t="shared" si="30"/>
        <v>EC</v>
      </c>
      <c r="AH97" s="92" t="str">
        <f t="shared" si="32"/>
        <v>"%USERPROFILE%\Documents\GitHub\eaglep3\Utilities\RefineRTDCRunTimes.py" --tripid 206-12 --locoid 4054 --swversion DE.1.0.7.0 --startMP 204:232996 --initTime 2016-10-12T17:33:30 --startdatetime 2016-10-12T17:41:20 --delay 2 --endMP 204:154 --enddatetime 2016-10-12T18:25:15 --enforcementcount 0 &gt;&gt;C:\Users\stu\Documents\GitHub\eaglep3-reporting\EC\2016-10-12-refined-times.txt</v>
      </c>
      <c r="AI9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{"issue":{"subject":"","project_id":79,"tracker_id":40,"status_id":1,"priority_id":2,"assigned_to_id":23,"start_date":"2016-10-12","description":"","custom_fields":[{"id":1,"name":"Subdivision","value":"EC"},{"id":4,"name":"Milepost","value":"0.0154"},{"id":17,"name":"Train ID","value":"206-12"},{"id":16,"name":"Locomotive ID","value":"4054"},{"id":130,"name":"Impact","value":""},{"id":150,"name":"Time of Event (Mountain Time)","value":"18:25:15"},{"id":151,"name":"Denver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504</v>
      </c>
      <c r="B98" s="7">
        <v>4040</v>
      </c>
      <c r="C98" s="22" t="s">
        <v>99</v>
      </c>
      <c r="D98" s="22" t="s">
        <v>310</v>
      </c>
      <c r="E98" s="13">
        <v>42655.70584490741</v>
      </c>
      <c r="F98" s="13">
        <v>42655.708645833336</v>
      </c>
      <c r="G98" s="7">
        <v>1</v>
      </c>
      <c r="H98" s="13" t="s">
        <v>505</v>
      </c>
      <c r="I98" s="13">
        <v>42655.732106481482</v>
      </c>
      <c r="J98" s="7">
        <v>0</v>
      </c>
      <c r="K98" s="112" t="str">
        <f t="shared" si="35"/>
        <v>4039/4040</v>
      </c>
      <c r="L98" s="22" t="str">
        <f>VLOOKUP(A98,'Trips&amp;Operators'!$C$1:$E$10000,3,FALSE)</f>
        <v>HELVIE</v>
      </c>
      <c r="M98" s="6">
        <f t="shared" si="36"/>
        <v>2.3460648146283347E-2</v>
      </c>
      <c r="N98" s="7">
        <f t="shared" si="46"/>
        <v>33.78333333064802</v>
      </c>
      <c r="O98" s="7"/>
      <c r="P98" s="7"/>
      <c r="Q98" s="23"/>
      <c r="R98" s="23"/>
      <c r="S98" s="35">
        <f t="shared" si="45"/>
        <v>1</v>
      </c>
      <c r="T98" s="50" t="str">
        <f t="shared" si="37"/>
        <v>NorthBound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15:56:25-0600',mode:absolute,to:'2016-10-12 18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8" s="52" t="str">
        <f t="shared" si="39"/>
        <v>N</v>
      </c>
      <c r="X98" s="149">
        <f t="shared" si="27"/>
        <v>1</v>
      </c>
      <c r="Y98" s="67">
        <f t="shared" si="40"/>
        <v>4.4200000000000003E-2</v>
      </c>
      <c r="Z98" s="67">
        <f t="shared" si="34"/>
        <v>23.323399999999999</v>
      </c>
      <c r="AA98" s="67">
        <f t="shared" si="41"/>
        <v>23.279199999999999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2"/>
        <v>0207-12</v>
      </c>
      <c r="AE98" s="91" t="str">
        <f t="shared" si="43"/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AF98" s="88" t="str">
        <f t="shared" si="44"/>
        <v>"C:\Program Files (x86)\AstroGrep\AstroGrep.exe" /spath="%USERPROFILE%\AppData\Local\Temp\OnboardLogs" /stypes="app*4040*20161012*" /stext=" 23:.+((SYSTEM_STATE.+slice.+state.+changed )|(ment ac)|(system.+state.+changed )|(\[timeout)|(PRM\|1\|D)|(kpr)|(kdp)|(\|lc)|(penalty))" /e /r /s</v>
      </c>
      <c r="AG98" s="1" t="str">
        <f t="shared" si="30"/>
        <v>EC</v>
      </c>
      <c r="AH98" s="92" t="str">
        <f t="shared" si="32"/>
        <v>"%USERPROFILE%\Documents\GitHub\eaglep3\Utilities\RefineRTDCRunTimes.py" --tripid 207-12 --locoid 4040 --swversion DE.1.0.7.0 --startMP 204:442 --initTime 2016-10-12T16:56:25 --startdatetime 2016-10-12T17:00:27 --delay 1 --endMP 204:233234 --enddatetime 2016-10-12T17:34:14 --enforcementcount 0 &gt;&gt;C:\Users\stu\Documents\GitHub\eaglep3-reporting\EC\2016-10-12-refined-times.txt</v>
      </c>
      <c r="AI9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{"issue":{"subject":"","project_id":79,"tracker_id":40,"status_id":1,"priority_id":2,"assigned_to_id":23,"start_date":"2016-10-12","description":"","custom_fields":[{"id":1,"name":"Subdivision","value":"EC"},{"id":4,"name":"Milepost","value":"23.3234"},{"id":17,"name":"Train ID","value":"207-12"},{"id":16,"name":"Locomotive ID","value":"4040"},{"id":130,"name":"Impact","value":""},{"id":150,"name":"Time of Event (Mountain Time)","value":"17:34:14"},{"id":151,"name":"Denver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506</v>
      </c>
      <c r="B99" s="7">
        <v>4039</v>
      </c>
      <c r="C99" s="22" t="s">
        <v>99</v>
      </c>
      <c r="D99" s="22" t="s">
        <v>507</v>
      </c>
      <c r="E99" s="13">
        <v>42655.736840277779</v>
      </c>
      <c r="F99" s="13">
        <v>42655.747511574074</v>
      </c>
      <c r="G99" s="7">
        <v>1</v>
      </c>
      <c r="H99" s="13" t="s">
        <v>313</v>
      </c>
      <c r="I99" s="13">
        <v>42655.77547453704</v>
      </c>
      <c r="J99" s="7">
        <v>0</v>
      </c>
      <c r="K99" s="112" t="str">
        <f t="shared" si="35"/>
        <v>4039/4040</v>
      </c>
      <c r="L99" s="22" t="str">
        <f>VLOOKUP(A99,'Trips&amp;Operators'!$C$1:$E$10000,3,FALSE)</f>
        <v>HELVIE</v>
      </c>
      <c r="M99" s="6">
        <f t="shared" si="36"/>
        <v>2.7962962965830229E-2</v>
      </c>
      <c r="N99" s="7">
        <f t="shared" si="46"/>
        <v>40.26666667079553</v>
      </c>
      <c r="O99" s="7"/>
      <c r="P99" s="7"/>
      <c r="Q99" s="23"/>
      <c r="R99" s="23"/>
      <c r="S99" s="35">
        <f t="shared" si="45"/>
        <v>1</v>
      </c>
      <c r="T99" s="50" t="str">
        <f t="shared" si="37"/>
        <v>Southbound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16:41:03-0600',mode:absolute,to:'2016-10-12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9" s="52" t="str">
        <f t="shared" si="39"/>
        <v>N</v>
      </c>
      <c r="X99" s="149">
        <f t="shared" si="27"/>
        <v>1</v>
      </c>
      <c r="Y99" s="67">
        <f t="shared" si="40"/>
        <v>23.2911</v>
      </c>
      <c r="Z99" s="67">
        <f t="shared" si="34"/>
        <v>1.61E-2</v>
      </c>
      <c r="AA99" s="67">
        <f t="shared" si="41"/>
        <v>23.274999999999999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2"/>
        <v>0208-12</v>
      </c>
      <c r="AE99" s="91" t="str">
        <f t="shared" si="43"/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AF99" s="88" t="str">
        <f t="shared" si="44"/>
        <v>"C:\Program Files (x86)\AstroGrep\AstroGrep.exe" /spath="%USERPROFILE%\AppData\Local\Temp\OnboardLogs" /stypes="app*4039*20161013*" /stext=" 00:.+((SYSTEM_STATE.+slice.+state.+changed )|(ment ac)|(system.+state.+changed )|(\[timeout)|(PRM\|1\|D)|(kpr)|(kdp)|(\|lc)|(penalty))" /e /r /s</v>
      </c>
      <c r="AG99" s="1" t="str">
        <f t="shared" si="30"/>
        <v>EC</v>
      </c>
      <c r="AH99" s="92" t="str">
        <f t="shared" si="32"/>
        <v>"%USERPROFILE%\Documents\GitHub\eaglep3\Utilities\RefineRTDCRunTimes.py" --tripid 208-12 --locoid 4039 --swversion DE.1.0.7.0 --startMP 204:232911 --initTime 2016-10-12T17:41:03 --startdatetime 2016-10-12T17:56:25 --delay 1 --endMP 204:161 --enddatetime 2016-10-12T18:36:41 --enforcementcount 0 &gt;&gt;C:\Users\stu\Documents\GitHub\eaglep3-reporting\EC\2016-10-12-refined-times.txt</v>
      </c>
      <c r="AI9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{"issue":{"subject":"","project_id":79,"tracker_id":40,"status_id":1,"priority_id":2,"assigned_to_id":23,"start_date":"2016-10-12","description":"","custom_fields":[{"id":1,"name":"Subdivision","value":"EC"},{"id":4,"name":"Milepost","value":"0.0161"},{"id":17,"name":"Train ID","value":"208-12"},{"id":16,"name":"Locomotive ID","value":"4039"},{"id":130,"name":"Impact","value":""},{"id":150,"name":"Time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508</v>
      </c>
      <c r="B100" s="7">
        <v>4018</v>
      </c>
      <c r="C100" s="22" t="s">
        <v>99</v>
      </c>
      <c r="D100" s="22" t="s">
        <v>509</v>
      </c>
      <c r="E100" s="13">
        <v>42655.712685185186</v>
      </c>
      <c r="F100" s="13">
        <v>42655.720370370371</v>
      </c>
      <c r="G100" s="7">
        <v>2</v>
      </c>
      <c r="H100" s="13" t="s">
        <v>510</v>
      </c>
      <c r="I100" s="13">
        <v>42655.745243055557</v>
      </c>
      <c r="J100" s="7">
        <v>0</v>
      </c>
      <c r="K100" s="112" t="str">
        <f t="shared" si="35"/>
        <v>4017/4018</v>
      </c>
      <c r="L100" s="22" t="str">
        <f>VLOOKUP(A100,'Trips&amp;Operators'!$C$1:$E$10000,3,FALSE)</f>
        <v>STURGEON</v>
      </c>
      <c r="M100" s="6">
        <f t="shared" si="36"/>
        <v>2.4872685185982846E-2</v>
      </c>
      <c r="N100" s="7">
        <f t="shared" si="46"/>
        <v>35.816666667815298</v>
      </c>
      <c r="O100" s="7"/>
      <c r="P100" s="7"/>
      <c r="Q100" s="23"/>
      <c r="R100" s="23"/>
      <c r="S100" s="35">
        <f t="shared" si="45"/>
        <v>1</v>
      </c>
      <c r="T100" s="50" t="str">
        <f t="shared" si="37"/>
        <v>NorthBound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16:06:16-0600',mode:absolute,to:'2016-10-12 18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0" s="52" t="str">
        <f t="shared" si="39"/>
        <v>N</v>
      </c>
      <c r="X100" s="149">
        <f t="shared" si="27"/>
        <v>1</v>
      </c>
      <c r="Y100" s="67">
        <f t="shared" si="40"/>
        <v>0.15620000000000001</v>
      </c>
      <c r="Z100" s="67">
        <f t="shared" si="34"/>
        <v>23.329899999999999</v>
      </c>
      <c r="AA100" s="67">
        <f t="shared" si="41"/>
        <v>23.1737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2"/>
        <v>0209-12</v>
      </c>
      <c r="AE100" s="91" t="str">
        <f t="shared" si="43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00" s="88" t="str">
        <f t="shared" si="44"/>
        <v>"C:\Program Files (x86)\AstroGrep\AstroGrep.exe" /spath="%USERPROFILE%\AppData\Local\Temp\OnboardLogs" /stypes="app*4018*20161012*" /stext=" 23:.+((SYSTEM_STATE.+slice.+state.+changed )|(ment ac)|(system.+state.+changed )|(\[timeout)|(PRM\|1\|D)|(kpr)|(kdp)|(\|lc)|(penalty))" /e /r /s</v>
      </c>
      <c r="AG100" s="1" t="str">
        <f t="shared" si="30"/>
        <v>EC</v>
      </c>
      <c r="AH100" s="92" t="str">
        <f t="shared" si="32"/>
        <v>"%USERPROFILE%\Documents\GitHub\eaglep3\Utilities\RefineRTDCRunTimes.py" --tripid 209-12 --locoid 4018 --swversion DE.1.0.7.0 --startMP 204:1562 --initTime 2016-10-12T17:06:16 --startdatetime 2016-10-12T17:17:20 --delay 2 --endMP 204:233299 --enddatetime 2016-10-12T17:53:09 --enforcementcount 0 &gt;&gt;C:\Users\stu\Documents\GitHub\eaglep3-reporting\EC\2016-10-12-refined-times.txt</v>
      </c>
      <c r="AI10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{"issue":{"subject":"","project_id":79,"tracker_id":40,"status_id":1,"priority_id":2,"assigned_to_id":23,"start_date":"2016-10-12","description":"","custom_fields":[{"id":1,"name":"Subdivision","value":"EC"},{"id":4,"name":"Milepost","value":"23.3299"},{"id":17,"name":"Train ID","value":"209-12"},{"id":16,"name":"Locomotive ID","value":"4018"},{"id":130,"name":"Impact","value":""},{"id":150,"name":"Time of Event (Mountain Time)","value":"17:53:09"},{"id":151,"name":"Denver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511</v>
      </c>
      <c r="B101" s="7">
        <v>4017</v>
      </c>
      <c r="C101" s="22" t="s">
        <v>99</v>
      </c>
      <c r="D101" s="22" t="s">
        <v>512</v>
      </c>
      <c r="E101" s="13">
        <v>42655.748981481483</v>
      </c>
      <c r="F101" s="13">
        <v>42655.758159722223</v>
      </c>
      <c r="G101" s="7">
        <v>6</v>
      </c>
      <c r="H101" s="13" t="s">
        <v>347</v>
      </c>
      <c r="I101" s="13">
        <v>42655.788657407407</v>
      </c>
      <c r="J101" s="7">
        <v>0</v>
      </c>
      <c r="K101" s="112" t="str">
        <f t="shared" si="35"/>
        <v>4017/4018</v>
      </c>
      <c r="L101" s="22" t="str">
        <f>VLOOKUP(A101,'Trips&amp;Operators'!$C$1:$E$10000,3,FALSE)</f>
        <v>STURGEON</v>
      </c>
      <c r="M101" s="6">
        <f t="shared" si="36"/>
        <v>3.0497685183945578E-2</v>
      </c>
      <c r="N101" s="7">
        <f t="shared" si="46"/>
        <v>43.916666664881632</v>
      </c>
      <c r="O101" s="7"/>
      <c r="P101" s="7"/>
      <c r="Q101" s="23"/>
      <c r="R101" s="23"/>
      <c r="S101" s="35">
        <f t="shared" si="45"/>
        <v>1</v>
      </c>
      <c r="T101" s="50" t="str">
        <f t="shared" si="37"/>
        <v>Southbound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16:58:32-0600',mode:absolute,to:'2016-10-12 19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1" s="52" t="str">
        <f t="shared" si="39"/>
        <v>N</v>
      </c>
      <c r="X101" s="149">
        <f t="shared" si="27"/>
        <v>1</v>
      </c>
      <c r="Y101" s="67">
        <f t="shared" si="40"/>
        <v>23.2957</v>
      </c>
      <c r="Z101" s="67">
        <f t="shared" si="34"/>
        <v>1.49E-2</v>
      </c>
      <c r="AA101" s="67">
        <f t="shared" si="41"/>
        <v>23.280799999999999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2"/>
        <v>0210-12</v>
      </c>
      <c r="AE101" s="91" t="str">
        <f t="shared" si="43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01" s="88" t="str">
        <f t="shared" si="44"/>
        <v>"C:\Program Files (x86)\AstroGrep\AstroGrep.exe" /spath="%USERPROFILE%\AppData\Local\Temp\OnboardLogs" /stypes="app*4017*20161013*" /stext=" 00:.+((SYSTEM_STATE.+slice.+state.+changed )|(ment ac)|(system.+state.+changed )|(\[timeout)|(PRM\|1\|D)|(kpr)|(kdp)|(\|lc)|(penalty))" /e /r /s</v>
      </c>
      <c r="AG101" s="1" t="str">
        <f t="shared" si="30"/>
        <v>EC</v>
      </c>
      <c r="AH101" s="92" t="str">
        <f t="shared" si="32"/>
        <v>"%USERPROFILE%\Documents\GitHub\eaglep3\Utilities\RefineRTDCRunTimes.py" --tripid 210-12 --locoid 4017 --swversion DE.1.0.7.0 --startMP 204:232957 --initTime 2016-10-12T17:58:32 --startdatetime 2016-10-12T18:11:45 --delay 6 --endMP 204:149 --enddatetime 2016-10-12T18:55:40 --enforcementcount 0 &gt;&gt;C:\Users\stu\Documents\GitHub\eaglep3-reporting\EC\2016-10-12-refined-times.txt</v>
      </c>
      <c r="AI10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{"issue":{"subject":"","project_id":79,"tracker_id":40,"status_id":1,"priority_id":2,"assigned_to_id":23,"start_date":"2016-10-12","description":"","custom_fields":[{"id":1,"name":"Subdivision","value":"EC"},{"id":4,"name":"Milepost","value":"0.0149"},{"id":17,"name":"Train ID","value":"210-12"},{"id":16,"name":"Locomotive ID","value":"4017"},{"id":130,"name":"Impact","value":""},{"id":150,"name":"Time of Event (Mountain Time)","value":"18:55:40"},{"id":151,"name":"Denver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513</v>
      </c>
      <c r="B102" s="7">
        <v>4031</v>
      </c>
      <c r="C102" s="22" t="s">
        <v>99</v>
      </c>
      <c r="D102" s="22" t="s">
        <v>310</v>
      </c>
      <c r="E102" s="13">
        <v>42655.729444444441</v>
      </c>
      <c r="F102" s="13">
        <v>42655.73128472222</v>
      </c>
      <c r="G102" s="7">
        <v>1</v>
      </c>
      <c r="H102" s="13" t="s">
        <v>430</v>
      </c>
      <c r="I102" s="13">
        <v>42655.756122685183</v>
      </c>
      <c r="J102" s="7">
        <v>0</v>
      </c>
      <c r="K102" s="112" t="str">
        <f t="shared" si="35"/>
        <v>4031/4032</v>
      </c>
      <c r="L102" s="22" t="str">
        <f>VLOOKUP(A102,'Trips&amp;Operators'!$C$1:$E$10000,3,FALSE)</f>
        <v>HILLS</v>
      </c>
      <c r="M102" s="6">
        <f t="shared" si="36"/>
        <v>2.4837962962919846E-2</v>
      </c>
      <c r="N102" s="7">
        <f t="shared" si="46"/>
        <v>35.766666666604578</v>
      </c>
      <c r="O102" s="7"/>
      <c r="P102" s="7"/>
      <c r="Q102" s="23"/>
      <c r="R102" s="23"/>
      <c r="S102" s="35">
        <f t="shared" si="45"/>
        <v>1</v>
      </c>
      <c r="T102" s="50" t="str">
        <f t="shared" si="37"/>
        <v>NorthBound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16:30:24-0600',mode:absolute,to:'2016-10-12 19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2" s="52" t="str">
        <f t="shared" si="39"/>
        <v>N</v>
      </c>
      <c r="X102" s="149">
        <f t="shared" si="27"/>
        <v>1</v>
      </c>
      <c r="Y102" s="67">
        <f t="shared" si="40"/>
        <v>4.4200000000000003E-2</v>
      </c>
      <c r="Z102" s="67">
        <f t="shared" si="34"/>
        <v>23.334900000000001</v>
      </c>
      <c r="AA102" s="67">
        <f t="shared" si="41"/>
        <v>23.290700000000001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2"/>
        <v>0211-12</v>
      </c>
      <c r="AE102" s="91" t="str">
        <f t="shared" si="43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102" s="88" t="str">
        <f t="shared" si="44"/>
        <v>"C:\Program Files (x86)\AstroGrep\AstroGrep.exe" /spath="%USERPROFILE%\AppData\Local\Temp\OnboardLogs" /stypes="app*4031*20161013*" /stext=" 00:.+((SYSTEM_STATE.+slice.+state.+changed )|(ment ac)|(system.+state.+changed )|(\[timeout)|(PRM\|1\|D)|(kpr)|(kdp)|(\|lc)|(penalty))" /e /r /s</v>
      </c>
      <c r="AG102" s="1" t="str">
        <f t="shared" si="30"/>
        <v>EC</v>
      </c>
      <c r="AH102" s="92" t="str">
        <f t="shared" si="32"/>
        <v>"%USERPROFILE%\Documents\GitHub\eaglep3\Utilities\RefineRTDCRunTimes.py" --tripid 211-12 --locoid 4031 --swversion DE.1.0.7.0 --startMP 204:442 --initTime 2016-10-12T17:30:24 --startdatetime 2016-10-12T17:33:03 --delay 1 --endMP 204:233349 --enddatetime 2016-10-12T18:08:49 --enforcementcount 0 &gt;&gt;C:\Users\stu\Documents\GitHub\eaglep3-reporting\EC\2016-10-12-refined-times.txt</v>
      </c>
      <c r="AI10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{"issue":{"subject":"","project_id":79,"tracker_id":40,"status_id":1,"priority_id":2,"assigned_to_id":23,"start_date":"2016-10-12","description":"","custom_fields":[{"id":1,"name":"Subdivision","value":"EC"},{"id":4,"name":"Milepost","value":"23.3349"},{"id":17,"name":"Train ID","value":"211-12"},{"id":16,"name":"Locomotive ID","value":"4031"},{"id":130,"name":"Impact","value":""},{"id":150,"name":"Time of Event (Mountain Time)","value":"18:08:49"},{"id":151,"name":"Denver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514</v>
      </c>
      <c r="B103" s="7">
        <v>4032</v>
      </c>
      <c r="C103" s="22" t="s">
        <v>99</v>
      </c>
      <c r="D103" s="22" t="s">
        <v>515</v>
      </c>
      <c r="E103" s="13">
        <v>42655.759120370371</v>
      </c>
      <c r="F103" s="13">
        <v>42655.769201388888</v>
      </c>
      <c r="G103" s="7">
        <v>1</v>
      </c>
      <c r="H103" s="13" t="s">
        <v>516</v>
      </c>
      <c r="I103" s="13">
        <v>42655.799722222226</v>
      </c>
      <c r="J103" s="7">
        <v>0</v>
      </c>
      <c r="K103" s="112" t="str">
        <f t="shared" si="35"/>
        <v>4031/4032</v>
      </c>
      <c r="L103" s="22" t="str">
        <f>VLOOKUP(A103,'Trips&amp;Operators'!$C$1:$E$10000,3,FALSE)</f>
        <v>HILLS</v>
      </c>
      <c r="M103" s="6">
        <f t="shared" si="36"/>
        <v>3.0520833337504882E-2</v>
      </c>
      <c r="N103" s="7">
        <f t="shared" si="46"/>
        <v>43.950000006007031</v>
      </c>
      <c r="O103" s="7"/>
      <c r="P103" s="7"/>
      <c r="Q103" s="23"/>
      <c r="R103" s="23"/>
      <c r="S103" s="35">
        <f t="shared" si="45"/>
        <v>1</v>
      </c>
      <c r="T103" s="50" t="str">
        <f t="shared" si="37"/>
        <v>Southbound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17:13:08-0600',mode:absolute,to:'2016-10-12 20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3" s="52" t="str">
        <f t="shared" si="39"/>
        <v>N</v>
      </c>
      <c r="X103" s="149">
        <f t="shared" si="27"/>
        <v>1</v>
      </c>
      <c r="Y103" s="67">
        <f t="shared" si="40"/>
        <v>23.304500000000001</v>
      </c>
      <c r="Z103" s="67">
        <f t="shared" si="34"/>
        <v>8.7300000000000003E-2</v>
      </c>
      <c r="AA103" s="67">
        <f t="shared" si="41"/>
        <v>23.217200000000002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2"/>
        <v>0212-12</v>
      </c>
      <c r="AE103" s="91" t="str">
        <f t="shared" si="43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103" s="88" t="str">
        <f t="shared" si="44"/>
        <v>"C:\Program Files (x86)\AstroGrep\AstroGrep.exe" /spath="%USERPROFILE%\AppData\Local\Temp\OnboardLogs" /stypes="app*4032*20161013*" /stext=" 01:.+((SYSTEM_STATE.+slice.+state.+changed )|(ment ac)|(system.+state.+changed )|(\[timeout)|(PRM\|1\|D)|(kpr)|(kdp)|(\|lc)|(penalty))" /e /r /s</v>
      </c>
      <c r="AG103" s="1" t="str">
        <f t="shared" si="30"/>
        <v>EC</v>
      </c>
      <c r="AH103" s="92" t="str">
        <f t="shared" si="32"/>
        <v>"%USERPROFILE%\Documents\GitHub\eaglep3\Utilities\RefineRTDCRunTimes.py" --tripid 212-12 --locoid 4032 --swversion DE.1.0.7.0 --startMP 204:233045 --initTime 2016-10-12T18:13:08 --startdatetime 2016-10-12T18:27:39 --delay 1 --endMP 204:873 --enddatetime 2016-10-12T19:11:36 --enforcementcount 0 &gt;&gt;C:\Users\stu\Documents\GitHub\eaglep3-reporting\EC\2016-10-12-refined-times.txt</v>
      </c>
      <c r="AI10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{"issue":{"subject":"","project_id":79,"tracker_id":40,"status_id":1,"priority_id":2,"assigned_to_id":23,"start_date":"2016-10-12","description":"","custom_fields":[{"id":1,"name":"Subdivision","value":"EC"},{"id":4,"name":"Milepost","value":"0.0873"},{"id":17,"name":"Train ID","value":"212-12"},{"id":16,"name":"Locomotive ID","value":"4032"},{"id":130,"name":"Impact","value":""},{"id":150,"name":"Time of Event (Mountain Time)","value":"19:11:36"},{"id":151,"name":"Denver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517</v>
      </c>
      <c r="B104" s="7">
        <v>4016</v>
      </c>
      <c r="C104" s="22" t="s">
        <v>99</v>
      </c>
      <c r="D104" s="22" t="s">
        <v>518</v>
      </c>
      <c r="E104" s="13">
        <v>42655.739201388889</v>
      </c>
      <c r="F104" s="13">
        <v>42655.741643518515</v>
      </c>
      <c r="G104" s="7">
        <v>2</v>
      </c>
      <c r="H104" s="13" t="s">
        <v>519</v>
      </c>
      <c r="I104" s="13">
        <v>42655.769016203703</v>
      </c>
      <c r="J104" s="7">
        <v>0</v>
      </c>
      <c r="K104" s="112" t="str">
        <f t="shared" si="35"/>
        <v>4015/4016</v>
      </c>
      <c r="L104" s="22" t="str">
        <f>VLOOKUP(A104,'Trips&amp;Operators'!$C$1:$E$10000,3,FALSE)</f>
        <v>BRANDNER</v>
      </c>
      <c r="M104" s="6">
        <f t="shared" si="36"/>
        <v>2.7372685188311152E-2</v>
      </c>
      <c r="N104" s="7">
        <f t="shared" si="46"/>
        <v>39.416666671168059</v>
      </c>
      <c r="O104" s="7"/>
      <c r="P104" s="7"/>
      <c r="Q104" s="23"/>
      <c r="R104" s="23"/>
      <c r="S104" s="35">
        <f t="shared" si="45"/>
        <v>1</v>
      </c>
      <c r="T104" s="50" t="str">
        <f t="shared" si="37"/>
        <v>NorthBound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16:44:27-0600',mode:absolute,to:'2016-10-12 19:27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4" s="52" t="str">
        <f t="shared" si="39"/>
        <v>N</v>
      </c>
      <c r="X104" s="149">
        <f t="shared" si="27"/>
        <v>1</v>
      </c>
      <c r="Y104" s="67">
        <f t="shared" si="40"/>
        <v>4.8000000000000001E-2</v>
      </c>
      <c r="Z104" s="67">
        <f t="shared" si="34"/>
        <v>23.335899999999999</v>
      </c>
      <c r="AA104" s="67">
        <f t="shared" si="41"/>
        <v>23.2879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2"/>
        <v>0213-12</v>
      </c>
      <c r="AE104" s="91" t="str">
        <f t="shared" si="43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04" s="88" t="str">
        <f t="shared" si="44"/>
        <v>"C:\Program Files (x86)\AstroGrep\AstroGrep.exe" /spath="%USERPROFILE%\AppData\Local\Temp\OnboardLogs" /stypes="app*4016*20161013*" /stext=" 00:.+((SYSTEM_STATE.+slice.+state.+changed )|(ment ac)|(system.+state.+changed )|(\[timeout)|(PRM\|1\|D)|(kpr)|(kdp)|(\|lc)|(penalty))" /e /r /s</v>
      </c>
      <c r="AG104" s="1" t="str">
        <f t="shared" si="30"/>
        <v>EC</v>
      </c>
      <c r="AH104" s="92" t="str">
        <f t="shared" si="32"/>
        <v>"%USERPROFILE%\Documents\GitHub\eaglep3\Utilities\RefineRTDCRunTimes.py" --tripid 213-12 --locoid 4016 --swversion DE.1.0.7.0 --startMP 204:480 --initTime 2016-10-12T17:44:27 --startdatetime 2016-10-12T17:47:58 --delay 2 --endMP 204:233359 --enddatetime 2016-10-12T18:27:23 --enforcementcount 0 &gt;&gt;C:\Users\stu\Documents\GitHub\eaglep3-reporting\EC\2016-10-12-refined-times.txt</v>
      </c>
      <c r="AI10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{"issue":{"subject":"","project_id":79,"tracker_id":40,"status_id":1,"priority_id":2,"assigned_to_id":23,"start_date":"2016-10-12","description":"","custom_fields":[{"id":1,"name":"Subdivision","value":"EC"},{"id":4,"name":"Milepost","value":"23.3359"},{"id":17,"name":"Train ID","value":"213-12"},{"id":16,"name":"Locomotive ID","value":"4016"},{"id":130,"name":"Impact","value":""},{"id":150,"name":"Time of Event (Mountain Time)","value":"18:27:23"},{"id":151,"name":"Denver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520</v>
      </c>
      <c r="B105" s="7">
        <v>4015</v>
      </c>
      <c r="C105" s="22" t="s">
        <v>99</v>
      </c>
      <c r="D105" s="22" t="s">
        <v>521</v>
      </c>
      <c r="E105" s="13">
        <v>42655.774027777778</v>
      </c>
      <c r="F105" s="13">
        <v>42655.773252314815</v>
      </c>
      <c r="G105" s="7">
        <v>1</v>
      </c>
      <c r="H105" s="13" t="s">
        <v>376</v>
      </c>
      <c r="I105" s="13">
        <v>42655.80914351852</v>
      </c>
      <c r="J105" s="7">
        <v>0</v>
      </c>
      <c r="K105" s="112" t="str">
        <f t="shared" si="35"/>
        <v>4015/4016</v>
      </c>
      <c r="L105" s="22" t="str">
        <f>VLOOKUP(A105,'Trips&amp;Operators'!$C$1:$E$10000,3,FALSE)</f>
        <v>BRANDNER</v>
      </c>
      <c r="M105" s="6">
        <f t="shared" si="36"/>
        <v>3.5891203704522923E-2</v>
      </c>
      <c r="N105" s="7">
        <f t="shared" si="46"/>
        <v>51.683333334513009</v>
      </c>
      <c r="O105" s="7"/>
      <c r="P105" s="7"/>
      <c r="Q105" s="23"/>
      <c r="R105" s="23"/>
      <c r="S105" s="35">
        <f t="shared" si="45"/>
        <v>1</v>
      </c>
      <c r="T105" s="50" t="str">
        <f t="shared" si="37"/>
        <v>Southbound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17:34:36-0600',mode:absolute,to:'2016-10-12 20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5" s="52" t="str">
        <f t="shared" si="39"/>
        <v>N</v>
      </c>
      <c r="X105" s="149">
        <f t="shared" si="27"/>
        <v>1</v>
      </c>
      <c r="Y105" s="67">
        <f t="shared" si="40"/>
        <v>23.3</v>
      </c>
      <c r="Z105" s="67">
        <f t="shared" si="34"/>
        <v>1.4999999999999999E-2</v>
      </c>
      <c r="AA105" s="67">
        <f t="shared" si="41"/>
        <v>23.285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2"/>
        <v>0214-12</v>
      </c>
      <c r="AE105" s="91" t="str">
        <f t="shared" si="43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05" s="88" t="str">
        <f t="shared" si="44"/>
        <v>"C:\Program Files (x86)\AstroGrep\AstroGrep.exe" /spath="%USERPROFILE%\AppData\Local\Temp\OnboardLogs" /stypes="app*4015*20161013*" /stext=" 01:.+((SYSTEM_STATE.+slice.+state.+changed )|(ment ac)|(system.+state.+changed )|(\[timeout)|(PRM\|1\|D)|(kpr)|(kdp)|(\|lc)|(penalty))" /e /r /s</v>
      </c>
      <c r="AG105" s="1" t="str">
        <f t="shared" si="30"/>
        <v>EC</v>
      </c>
      <c r="AH105" s="92" t="str">
        <f t="shared" si="32"/>
        <v>"%USERPROFILE%\Documents\GitHub\eaglep3\Utilities\RefineRTDCRunTimes.py" --tripid 214-12 --locoid 4015 --swversion DE.1.0.7.0 --startMP 204:233000 --initTime 2016-10-12T18:34:36 --startdatetime 2016-10-12T18:33:29 --delay 1 --endMP 204:150 --enddatetime 2016-10-12T19:25:10 --enforcementcount 0 &gt;&gt;C:\Users\stu\Documents\GitHub\eaglep3-reporting\EC\2016-10-12-refined-times.txt</v>
      </c>
      <c r="AI10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{"issue":{"subject":"","project_id":79,"tracker_id":40,"status_id":1,"priority_id":2,"assigned_to_id":23,"start_date":"2016-10-12","description":"","custom_fields":[{"id":1,"name":"Subdivision","value":"EC"},{"id":4,"name":"Milepost","value":"0.015"},{"id":17,"name":"Train ID","value":"214-12"},{"id":16,"name":"Locomotive ID","value":"4015"},{"id":130,"name":"Impact","value":""},{"id":150,"name":"Time of Event (Mountain Time)","value":"19:25:10"},{"id":151,"name":"Denver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522</v>
      </c>
      <c r="B106" s="7">
        <v>4046</v>
      </c>
      <c r="C106" s="22" t="s">
        <v>99</v>
      </c>
      <c r="D106" s="22" t="s">
        <v>454</v>
      </c>
      <c r="E106" s="13">
        <v>42655.746990740743</v>
      </c>
      <c r="F106" s="13">
        <v>42655.750891203701</v>
      </c>
      <c r="G106" s="7">
        <v>1</v>
      </c>
      <c r="H106" s="13" t="s">
        <v>523</v>
      </c>
      <c r="I106" s="13">
        <v>42655.777187500003</v>
      </c>
      <c r="J106" s="7">
        <v>0</v>
      </c>
      <c r="K106" s="112" t="str">
        <f t="shared" si="35"/>
        <v>4045/4046</v>
      </c>
      <c r="L106" s="22" t="str">
        <f>VLOOKUP(A106,'Trips&amp;Operators'!$C$1:$E$10000,3,FALSE)</f>
        <v>STORY</v>
      </c>
      <c r="M106" s="6">
        <f t="shared" si="36"/>
        <v>2.6296296302461997E-2</v>
      </c>
      <c r="N106" s="7">
        <f t="shared" si="46"/>
        <v>37.866666675545275</v>
      </c>
      <c r="O106" s="7"/>
      <c r="P106" s="7"/>
      <c r="Q106" s="23"/>
      <c r="R106" s="23"/>
      <c r="S106" s="35">
        <f t="shared" si="45"/>
        <v>1</v>
      </c>
      <c r="T106" s="50" t="str">
        <f t="shared" si="37"/>
        <v>NorthBound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16:55:40-0600',mode:absolute,to:'2016-10-12 19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6" s="52" t="str">
        <f t="shared" si="39"/>
        <v>N</v>
      </c>
      <c r="X106" s="149">
        <f t="shared" si="27"/>
        <v>1</v>
      </c>
      <c r="Y106" s="67">
        <f t="shared" si="40"/>
        <v>4.6199999999999998E-2</v>
      </c>
      <c r="Z106" s="67">
        <f t="shared" si="34"/>
        <v>23.327999999999999</v>
      </c>
      <c r="AA106" s="67">
        <f t="shared" si="41"/>
        <v>23.2818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2"/>
        <v>0215-12</v>
      </c>
      <c r="AE106" s="91" t="str">
        <f t="shared" si="43"/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AF106" s="88" t="str">
        <f t="shared" si="44"/>
        <v>"C:\Program Files (x86)\AstroGrep\AstroGrep.exe" /spath="%USERPROFILE%\AppData\Local\Temp\OnboardLogs" /stypes="app*4046*20161013*" /stext=" 00:.+((SYSTEM_STATE.+slice.+state.+changed )|(ment ac)|(system.+state.+changed )|(\[timeout)|(PRM\|1\|D)|(kpr)|(kdp)|(\|lc)|(penalty))" /e /r /s</v>
      </c>
      <c r="AG106" s="1" t="str">
        <f t="shared" si="30"/>
        <v>EC</v>
      </c>
      <c r="AH106" s="92" t="str">
        <f t="shared" si="32"/>
        <v>"%USERPROFILE%\Documents\GitHub\eaglep3\Utilities\RefineRTDCRunTimes.py" --tripid 215-12 --locoid 4046 --swversion DE.1.0.7.0 --startMP 204:462 --initTime 2016-10-12T17:55:40 --startdatetime 2016-10-12T18:01:17 --delay 1 --endMP 204:233280 --enddatetime 2016-10-12T18:39:09 --enforcementcount 0 &gt;&gt;C:\Users\stu\Documents\GitHub\eaglep3-reporting\EC\2016-10-12-refined-times.txt</v>
      </c>
      <c r="AI10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{"issue":{"subject":"","project_id":79,"tracker_id":40,"status_id":1,"priority_id":2,"assigned_to_id":23,"start_date":"2016-10-12","description":"","custom_fields":[{"id":1,"name":"Subdivision","value":"EC"},{"id":4,"name":"Milepost","value":"23.328"},{"id":17,"name":"Train ID","value":"215-12"},{"id":16,"name":"Locomotive ID","value":"4046"},{"id":130,"name":"Impact","value":""},{"id":150,"name":"Time of Event (Mountain Time)","value":"18:39:09"},{"id":151,"name":"Denver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524</v>
      </c>
      <c r="B107" s="7">
        <v>4045</v>
      </c>
      <c r="C107" s="22" t="s">
        <v>99</v>
      </c>
      <c r="D107" s="22" t="s">
        <v>441</v>
      </c>
      <c r="E107" s="13">
        <v>42655.785752314812</v>
      </c>
      <c r="F107" s="13">
        <v>42655.789236111108</v>
      </c>
      <c r="G107" s="7">
        <v>1</v>
      </c>
      <c r="H107" s="13" t="s">
        <v>525</v>
      </c>
      <c r="I107" s="13">
        <v>42655.819328703707</v>
      </c>
      <c r="J107" s="7">
        <v>0</v>
      </c>
      <c r="K107" s="112" t="str">
        <f t="shared" si="35"/>
        <v>4045/4046</v>
      </c>
      <c r="L107" s="22" t="str">
        <f>VLOOKUP(A107,'Trips&amp;Operators'!$C$1:$E$10000,3,FALSE)</f>
        <v>STORY</v>
      </c>
      <c r="M107" s="6">
        <f t="shared" si="36"/>
        <v>3.0092592598521151E-2</v>
      </c>
      <c r="N107" s="7">
        <f t="shared" si="46"/>
        <v>43.333333341870457</v>
      </c>
      <c r="O107" s="7"/>
      <c r="P107" s="7"/>
      <c r="Q107" s="23"/>
      <c r="R107" s="23"/>
      <c r="S107" s="35">
        <f t="shared" si="45"/>
        <v>1</v>
      </c>
      <c r="T107" s="50" t="str">
        <f t="shared" si="37"/>
        <v>Southbound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17:51:29-0600',mode:absolute,to:'2016-10-12 20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7" s="52" t="str">
        <f t="shared" si="39"/>
        <v>N</v>
      </c>
      <c r="X107" s="149">
        <f t="shared" ref="X107:X170" si="47">VALUE(LEFT(AD107,4))-VALUE(LEFT(AD106,4))</f>
        <v>1</v>
      </c>
      <c r="Y107" s="67">
        <f t="shared" si="40"/>
        <v>23.297599999999999</v>
      </c>
      <c r="Z107" s="67">
        <f t="shared" si="34"/>
        <v>1.67E-2</v>
      </c>
      <c r="AA107" s="67">
        <f t="shared" si="41"/>
        <v>23.280899999999999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2"/>
        <v>0216-12</v>
      </c>
      <c r="AE107" s="91" t="str">
        <f t="shared" si="43"/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AF107" s="88" t="str">
        <f t="shared" si="44"/>
        <v>"C:\Program Files (x86)\AstroGrep\AstroGrep.exe" /spath="%USERPROFILE%\AppData\Local\Temp\OnboardLogs" /stypes="app*4045*20161013*" /stext=" 01:.+((SYSTEM_STATE.+slice.+state.+changed )|(ment ac)|(system.+state.+changed )|(\[timeout)|(PRM\|1\|D)|(kpr)|(kdp)|(\|lc)|(penalty))" /e /r /s</v>
      </c>
      <c r="AG107" s="1" t="str">
        <f t="shared" si="30"/>
        <v>EC</v>
      </c>
      <c r="AH107" s="92" t="str">
        <f t="shared" si="32"/>
        <v>"%USERPROFILE%\Documents\GitHub\eaglep3\Utilities\RefineRTDCRunTimes.py" --tripid 216-12 --locoid 4045 --swversion DE.1.0.7.0 --startMP 204:232976 --initTime 2016-10-12T18:51:29 --startdatetime 2016-10-12T18:56:30 --delay 1 --endMP 204:167 --enddatetime 2016-10-12T19:39:50 --enforcementcount 0 &gt;&gt;C:\Users\stu\Documents\GitHub\eaglep3-reporting\EC\2016-10-12-refined-times.txt</v>
      </c>
      <c r="AI10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{"issue":{"subject":"","project_id":79,"tracker_id":40,"status_id":1,"priority_id":2,"assigned_to_id":23,"start_date":"2016-10-12","description":"","custom_fields":[{"id":1,"name":"Subdivision","value":"EC"},{"id":4,"name":"Milepost","value":"0.0167"},{"id":17,"name":"Train ID","value":"216-12"},{"id":16,"name":"Locomotive ID","value":"4045"},{"id":130,"name":"Impact","value":""},{"id":150,"name":"Time of Event (Mountain Time)","value":"19:39:50"},{"id":151,"name":"Denver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526</v>
      </c>
      <c r="B108" s="7">
        <v>4007</v>
      </c>
      <c r="C108" s="22" t="s">
        <v>99</v>
      </c>
      <c r="D108" s="22" t="s">
        <v>527</v>
      </c>
      <c r="E108" s="13">
        <v>42655.756365740737</v>
      </c>
      <c r="F108" s="13">
        <v>42655.760717592595</v>
      </c>
      <c r="G108" s="7">
        <v>1</v>
      </c>
      <c r="H108" s="13" t="s">
        <v>344</v>
      </c>
      <c r="I108" s="13">
        <v>42655.788194444445</v>
      </c>
      <c r="J108" s="7">
        <v>0</v>
      </c>
      <c r="K108" s="112" t="str">
        <f t="shared" si="35"/>
        <v>4007/4008</v>
      </c>
      <c r="L108" s="22" t="str">
        <f>VLOOKUP(A108,'Trips&amp;Operators'!$C$1:$E$10000,3,FALSE)</f>
        <v>BERLING</v>
      </c>
      <c r="M108" s="6">
        <f t="shared" si="36"/>
        <v>2.7476851850224193E-2</v>
      </c>
      <c r="N108" s="7">
        <f t="shared" si="46"/>
        <v>39.566666664322838</v>
      </c>
      <c r="O108" s="7"/>
      <c r="P108" s="7"/>
      <c r="Q108" s="23"/>
      <c r="R108" s="23"/>
      <c r="S108" s="35">
        <f t="shared" si="45"/>
        <v>1</v>
      </c>
      <c r="T108" s="50" t="str">
        <f t="shared" si="37"/>
        <v>NorthBound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17:09:10-0600',mode:absolute,to:'2016-10-12 19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8" s="52" t="str">
        <f t="shared" si="39"/>
        <v>N</v>
      </c>
      <c r="X108" s="149">
        <f t="shared" si="47"/>
        <v>1</v>
      </c>
      <c r="Y108" s="67">
        <f t="shared" si="40"/>
        <v>5.04E-2</v>
      </c>
      <c r="Z108" s="67">
        <f t="shared" si="34"/>
        <v>23.328399999999998</v>
      </c>
      <c r="AA108" s="67">
        <f t="shared" si="41"/>
        <v>23.277999999999999</v>
      </c>
      <c r="AB108" s="64" t="str">
        <f>VLOOKUP(A108,Enforcements!$C$7:$K$21,8,0)</f>
        <v>Speed (6)</v>
      </c>
      <c r="AC108" s="60" t="str">
        <f>VLOOKUP(A108,Enforcements!$C$7:$E$21,3,0)</f>
        <v>PERMANENT SPEED RESTRICTION</v>
      </c>
      <c r="AD108" s="61" t="str">
        <f t="shared" si="42"/>
        <v>0217-12</v>
      </c>
      <c r="AE108" s="91" t="str">
        <f t="shared" si="43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08" s="88" t="str">
        <f t="shared" si="44"/>
        <v>"C:\Program Files (x86)\AstroGrep\AstroGrep.exe" /spath="%USERPROFILE%\AppData\Local\Temp\OnboardLogs" /stypes="app*4007*20161013*" /stext=" 00:.+((SYSTEM_STATE.+slice.+state.+changed )|(ment ac)|(system.+state.+changed )|(\[timeout)|(PRM\|1\|D)|(kpr)|(kdp)|(\|lc)|(penalty))" /e /r /s</v>
      </c>
      <c r="AG108" s="1" t="str">
        <f t="shared" si="30"/>
        <v>EC</v>
      </c>
      <c r="AH108" s="92" t="str">
        <f t="shared" si="32"/>
        <v>"%USERPROFILE%\Documents\GitHub\eaglep3\Utilities\RefineRTDCRunTimes.py" --tripid 217-12 --locoid 4007 --swversion DE.1.0.7.0 --startMP 204:504 --initTime 2016-10-12T18:09:10 --startdatetime 2016-10-12T18:15:26 --delay 1 --endMP 204:233284 --enddatetime 2016-10-12T18:55:00 --enforcementcount 0 &gt;&gt;C:\Users\stu\Documents\GitHub\eaglep3-reporting\EC\2016-10-12-refined-times.txt</v>
      </c>
      <c r="AI10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{"issue":{"subject":"","project_id":79,"tracker_id":40,"status_id":1,"priority_id":2,"assigned_to_id":23,"start_date":"2016-10-12","description":"","custom_fields":[{"id":1,"name":"Subdivision","value":"EC"},{"id":4,"name":"Milepost","value":"23.3284"},{"id":17,"name":"Train ID","value":"217-12"},{"id":16,"name":"Locomotive ID","value":"4007"},{"id":130,"name":"Impact","value":""},{"id":150,"name":"Time of Event (Mountain Time)","value":"18:55:00"},{"id":151,"name":"Denver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528</v>
      </c>
      <c r="B109" s="7">
        <v>4008</v>
      </c>
      <c r="C109" s="22" t="s">
        <v>99</v>
      </c>
      <c r="D109" s="22" t="s">
        <v>529</v>
      </c>
      <c r="E109" s="13">
        <v>42655.795381944445</v>
      </c>
      <c r="F109" s="13">
        <v>42655.799560185187</v>
      </c>
      <c r="G109" s="7">
        <v>1</v>
      </c>
      <c r="H109" s="13" t="s">
        <v>530</v>
      </c>
      <c r="I109" s="13">
        <v>42655.827604166669</v>
      </c>
      <c r="J109" s="7">
        <v>0</v>
      </c>
      <c r="K109" s="112" t="str">
        <f t="shared" si="35"/>
        <v>4007/4008</v>
      </c>
      <c r="L109" s="22" t="str">
        <f>VLOOKUP(A109,'Trips&amp;Operators'!$C$1:$E$10000,3,FALSE)</f>
        <v>BERLING</v>
      </c>
      <c r="M109" s="6">
        <f t="shared" si="36"/>
        <v>2.8043981481459923E-2</v>
      </c>
      <c r="N109" s="7">
        <f t="shared" si="46"/>
        <v>40.383333333302289</v>
      </c>
      <c r="O109" s="7"/>
      <c r="P109" s="7"/>
      <c r="Q109" s="23"/>
      <c r="R109" s="23"/>
      <c r="S109" s="35">
        <f t="shared" si="45"/>
        <v>1</v>
      </c>
      <c r="T109" s="50" t="str">
        <f t="shared" si="37"/>
        <v>Southbound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18:05:21-0600',mode:absolute,to:'2016-10-12 20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9" s="52" t="str">
        <f t="shared" si="39"/>
        <v>N</v>
      </c>
      <c r="X109" s="149">
        <f t="shared" si="47"/>
        <v>1</v>
      </c>
      <c r="Y109" s="67">
        <f t="shared" si="40"/>
        <v>23.296700000000001</v>
      </c>
      <c r="Z109" s="67">
        <f t="shared" si="34"/>
        <v>1.6500000000000001E-2</v>
      </c>
      <c r="AA109" s="67">
        <f t="shared" si="41"/>
        <v>23.280200000000001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2"/>
        <v>0218-12</v>
      </c>
      <c r="AE109" s="91" t="str">
        <f t="shared" ref="AE109:AE139" si="48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09" s="88" t="str">
        <f t="shared" ref="AF109:AF139" si="49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/stypes="app*4008*20161013*" /stext=" 01:.+((SYSTEM_STATE.+slice.+state.+changed )|(ment ac)|(system.+state.+changed )|(\[timeout)|(PRM\|1\|D)|(kpr)|(kdp)|(\|lc)|(penalty))" /e /r /s</v>
      </c>
      <c r="AG109" s="1" t="str">
        <f t="shared" ref="AG109:AG172" si="50">IFERROR(IF(VALUE(LEFT(AD109,2))&lt;=2,"EC",IF(OR(VALUE(LEFT(AD109,2))=8,VALUE(LEFT(AD109,2))=18),"NW","Other")),"Other")</f>
        <v>EC</v>
      </c>
      <c r="AH109" s="92" t="str">
        <f t="shared" si="32"/>
        <v>"%USERPROFILE%\Documents\GitHub\eaglep3\Utilities\RefineRTDCRunTimes.py" --tripid 218-12 --locoid 4008 --swversion DE.1.0.7.0 --startMP 204:232967 --initTime 2016-10-12T19:05:21 --startdatetime 2016-10-12T19:11:22 --delay 1 --endMP 204:165 --enddatetime 2016-10-12T19:51:45 --enforcementcount 0 &gt;&gt;C:\Users\stu\Documents\GitHub\eaglep3-reporting\EC\2016-10-12-refined-times.txt</v>
      </c>
      <c r="AI10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{"issue":{"subject":"","project_id":79,"tracker_id":40,"status_id":1,"priority_id":2,"assigned_to_id":23,"start_date":"2016-10-12","description":"","custom_fields":[{"id":1,"name":"Subdivision","value":"EC"},{"id":4,"name":"Milepost","value":"0.0165"},{"id":17,"name":"Train ID","value":"218-12"},{"id":16,"name":"Locomotive ID","value":"4008"},{"id":130,"name":"Impact","value":""},{"id":150,"name":"Time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531</v>
      </c>
      <c r="B110" s="7">
        <v>4053</v>
      </c>
      <c r="C110" s="22" t="s">
        <v>99</v>
      </c>
      <c r="D110" s="22" t="s">
        <v>421</v>
      </c>
      <c r="E110" s="13">
        <v>42655.771655092591</v>
      </c>
      <c r="F110" s="13">
        <v>42655.773564814815</v>
      </c>
      <c r="G110" s="7">
        <v>1</v>
      </c>
      <c r="H110" s="13" t="s">
        <v>439</v>
      </c>
      <c r="I110" s="13">
        <v>42655.799629629626</v>
      </c>
      <c r="J110" s="7">
        <v>0</v>
      </c>
      <c r="K110" s="112" t="str">
        <f t="shared" si="35"/>
        <v>4053/4054</v>
      </c>
      <c r="L110" s="22" t="str">
        <f>VLOOKUP(A110,'Trips&amp;Operators'!$C$1:$E$10000,3,FALSE)</f>
        <v>YOUNG</v>
      </c>
      <c r="M110" s="6">
        <f t="shared" si="36"/>
        <v>2.6064814810524695E-2</v>
      </c>
      <c r="N110" s="7">
        <f t="shared" si="46"/>
        <v>37.53333332715556</v>
      </c>
      <c r="O110" s="7"/>
      <c r="P110" s="7"/>
      <c r="Q110" s="23"/>
      <c r="R110" s="23"/>
      <c r="S110" s="35">
        <f t="shared" si="45"/>
        <v>1</v>
      </c>
      <c r="T110" s="50" t="str">
        <f t="shared" si="37"/>
        <v>NorthBound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17:31:11-0600',mode:absolute,to:'2016-10-12 20:11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0" s="52" t="str">
        <f t="shared" si="39"/>
        <v>N</v>
      </c>
      <c r="X110" s="149">
        <f t="shared" si="47"/>
        <v>1</v>
      </c>
      <c r="Y110" s="67">
        <f t="shared" si="40"/>
        <v>4.5499999999999999E-2</v>
      </c>
      <c r="Z110" s="67">
        <f t="shared" si="34"/>
        <v>23.329799999999999</v>
      </c>
      <c r="AA110" s="67">
        <f t="shared" si="41"/>
        <v>23.284299999999998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2"/>
        <v>0219-12</v>
      </c>
      <c r="AE110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10" s="88" t="str">
        <f t="shared" si="49"/>
        <v>"C:\Program Files (x86)\AstroGrep\AstroGrep.exe" /spath="%USERPROFILE%\AppData\Local\Temp\OnboardLogs" /stypes="app*4053*20161013*" /stext=" 01:.+((SYSTEM_STATE.+slice.+state.+changed )|(ment ac)|(system.+state.+changed )|(\[timeout)|(PRM\|1\|D)|(kpr)|(kdp)|(\|lc)|(penalty))" /e /r /s</v>
      </c>
      <c r="AG110" s="1" t="str">
        <f t="shared" si="50"/>
        <v>EC</v>
      </c>
      <c r="AH110" s="92" t="str">
        <f t="shared" si="32"/>
        <v>"%USERPROFILE%\Documents\GitHub\eaglep3\Utilities\RefineRTDCRunTimes.py" --tripid 219-12 --locoid 4053 --swversion DE.1.0.7.0 --startMP 204:455 --initTime 2016-10-12T18:31:11 --startdatetime 2016-10-12T18:33:56 --delay 1 --endMP 204:233298 --enddatetime 2016-10-12T19:11:28 --enforcementcount 0 &gt;&gt;C:\Users\stu\Documents\GitHub\eaglep3-reporting\EC\2016-10-12-refined-times.txt</v>
      </c>
      <c r="AI11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ID","value":"219-12"},{"id":16,"name":"Locomotive ID","value":"4053"},{"id":130,"name":"Impact","value":""},{"id":150,"name":"Time of Event (Mountain Time)","value":"19:11:28"},{"id":151,"name":"Denver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7" t="s">
        <v>532</v>
      </c>
      <c r="B111" s="7">
        <v>4054</v>
      </c>
      <c r="C111" s="22" t="s">
        <v>99</v>
      </c>
      <c r="D111" s="22" t="s">
        <v>533</v>
      </c>
      <c r="E111" s="13">
        <v>42655.804513888892</v>
      </c>
      <c r="F111" s="13">
        <v>42655.81009259259</v>
      </c>
      <c r="G111" s="7">
        <v>1</v>
      </c>
      <c r="H111" s="13" t="s">
        <v>534</v>
      </c>
      <c r="I111" s="13">
        <v>42655.838692129626</v>
      </c>
      <c r="J111" s="7">
        <v>0</v>
      </c>
      <c r="K111" s="112" t="str">
        <f t="shared" si="35"/>
        <v>4053/4054</v>
      </c>
      <c r="L111" s="22" t="str">
        <f>VLOOKUP(A111,'Trips&amp;Operators'!$C$1:$E$10000,3,FALSE)</f>
        <v>YOUNG</v>
      </c>
      <c r="M111" s="6">
        <f t="shared" si="36"/>
        <v>2.8599537035916001E-2</v>
      </c>
      <c r="N111" s="7">
        <f t="shared" si="46"/>
        <v>41.183333331719041</v>
      </c>
      <c r="O111" s="7"/>
      <c r="P111" s="7"/>
      <c r="Q111" s="23"/>
      <c r="R111" s="23"/>
      <c r="S111" s="35">
        <f t="shared" si="45"/>
        <v>1</v>
      </c>
      <c r="T111" s="50" t="str">
        <f t="shared" si="37"/>
        <v>Southbound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18:18:30-0600',mode:absolute,to:'2016-10-12 21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1" s="52" t="str">
        <f t="shared" si="39"/>
        <v>N</v>
      </c>
      <c r="X111" s="149">
        <f t="shared" si="47"/>
        <v>1</v>
      </c>
      <c r="Y111" s="67">
        <f t="shared" si="40"/>
        <v>23.2989</v>
      </c>
      <c r="Z111" s="67">
        <f t="shared" si="34"/>
        <v>1.6E-2</v>
      </c>
      <c r="AA111" s="67">
        <f t="shared" si="41"/>
        <v>23.282900000000001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2"/>
        <v>0220-12</v>
      </c>
      <c r="AE111" s="91" t="str">
        <f t="shared" si="4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111" s="88" t="str">
        <f t="shared" si="49"/>
        <v>"C:\Program Files (x86)\AstroGrep\AstroGrep.exe" /spath="%USERPROFILE%\AppData\Local\Temp\OnboardLogs" /stypes="app*4054*20161013*" /stext=" 02:.+((SYSTEM_STATE.+slice.+state.+changed )|(ment ac)|(system.+state.+changed )|(\[timeout)|(PRM\|1\|D)|(kpr)|(kdp)|(\|lc)|(penalty))" /e /r /s</v>
      </c>
      <c r="AG111" s="1" t="str">
        <f t="shared" si="50"/>
        <v>EC</v>
      </c>
      <c r="AH111" s="92" t="str">
        <f t="shared" si="32"/>
        <v>"%USERPROFILE%\Documents\GitHub\eaglep3\Utilities\RefineRTDCRunTimes.py" --tripid 220-12 --locoid 4054 --swversion DE.1.0.7.0 --startMP 204:232989 --initTime 2016-10-12T19:18:30 --startdatetime 2016-10-12T19:26:32 --delay 1 --endMP 204:160 --enddatetime 2016-10-12T20:07:43 --enforcementcount 0 &gt;&gt;C:\Users\stu\Documents\GitHub\eaglep3-reporting\EC\2016-10-12-refined-times.txt</v>
      </c>
      <c r="AI11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{"issue":{"subject":"","project_id":79,"tracker_id":40,"status_id":1,"priority_id":2,"assigned_to_id":23,"start_date":"2016-10-12","description":"","custom_fields":[{"id":1,"name":"Subdivision","value":"EC"},{"id":4,"name":"Milepost","value":"0.016"},{"id":17,"name":"Train ID","value":"220-12"},{"id":16,"name":"Locomotive ID","value":"4054"},{"id":130,"name":"Impact","value":""},{"id":150,"name":"Time of Event (Mountain Time)","value":"20:07:43"},{"id":151,"name":"Denver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x14ac:dyDescent="0.25">
      <c r="A112" s="37" t="s">
        <v>535</v>
      </c>
      <c r="B112" s="7">
        <v>4018</v>
      </c>
      <c r="C112" s="22" t="s">
        <v>99</v>
      </c>
      <c r="D112" s="22" t="s">
        <v>438</v>
      </c>
      <c r="E112" s="13">
        <v>42655.790173611109</v>
      </c>
      <c r="F112" s="13">
        <v>42655.792245370372</v>
      </c>
      <c r="G112" s="7">
        <v>1</v>
      </c>
      <c r="H112" s="13" t="s">
        <v>326</v>
      </c>
      <c r="I112" s="13">
        <v>42655.81890046296</v>
      </c>
      <c r="J112" s="7">
        <v>0</v>
      </c>
      <c r="K112" s="112" t="str">
        <f t="shared" si="35"/>
        <v>4017/4018</v>
      </c>
      <c r="L112" s="22" t="str">
        <f>VLOOKUP(A112,'Trips&amp;Operators'!$C$1:$E$10000,3,FALSE)</f>
        <v>STURGEON</v>
      </c>
      <c r="M112" s="6">
        <f t="shared" si="36"/>
        <v>2.6655092588043772E-2</v>
      </c>
      <c r="N112" s="7">
        <f t="shared" si="46"/>
        <v>38.383333326783031</v>
      </c>
      <c r="O112" s="7"/>
      <c r="P112" s="7"/>
      <c r="Q112" s="23"/>
      <c r="R112" s="23"/>
      <c r="S112" s="35">
        <f t="shared" si="45"/>
        <v>1</v>
      </c>
      <c r="T112" s="50" t="str">
        <f t="shared" si="37"/>
        <v>NorthBound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17:57:51-0600',mode:absolute,to:'2016-10-12 20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39"/>
        <v>N</v>
      </c>
      <c r="X112" s="149">
        <f t="shared" si="47"/>
        <v>1</v>
      </c>
      <c r="Y112" s="67">
        <f t="shared" si="40"/>
        <v>4.8599999999999997E-2</v>
      </c>
      <c r="Z112" s="67">
        <f t="shared" si="34"/>
        <v>23.331700000000001</v>
      </c>
      <c r="AA112" s="67">
        <f t="shared" si="41"/>
        <v>23.283100000000001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2"/>
        <v>0221-12</v>
      </c>
      <c r="AE112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12" s="88" t="str">
        <f t="shared" si="49"/>
        <v>"C:\Program Files (x86)\AstroGrep\AstroGrep.exe" /spath="%USERPROFILE%\AppData\Local\Temp\OnboardLogs" /stypes="app*4018*20161013*" /stext=" 01:.+((SYSTEM_STATE.+slice.+state.+changed )|(ment ac)|(system.+state.+changed )|(\[timeout)|(PRM\|1\|D)|(kpr)|(kdp)|(\|lc)|(penalty))" /e /r /s</v>
      </c>
      <c r="AG112" s="1" t="str">
        <f t="shared" si="50"/>
        <v>EC</v>
      </c>
      <c r="AH112" s="92" t="str">
        <f t="shared" si="32"/>
        <v>"%USERPROFILE%\Documents\GitHub\eaglep3\Utilities\RefineRTDCRunTimes.py" --tripid 221-12 --locoid 4018 --swversion DE.1.0.7.0 --startMP 204:486 --initTime 2016-10-12T18:57:51 --startdatetime 2016-10-12T19:00:50 --delay 1 --endMP 204:233317 --enddatetime 2016-10-12T19:39:13 --enforcementcount 0 &gt;&gt;C:\Users\stu\Documents\GitHub\eaglep3-reporting\EC\2016-10-12-refined-times.txt</v>
      </c>
      <c r="AI11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{"issue":{"subject":"","project_id":79,"tracker_id":40,"status_id":1,"priority_id":2,"assigned_to_id":23,"start_date":"2016-10-12","description":"","custom_fields":[{"id":1,"name":"Subdivision","value":"EC"},{"id":4,"name":"Milepost","value":"23.3317"},{"id":17,"name":"Train ID","value":"221-12"},{"id":16,"name":"Locomotive ID","value":"4018"},{"id":130,"name":"Impact","value":""},{"id":150,"name":"Time of Event (Mountain Time)","value":"19:39:13"},{"id":151,"name":"Denver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91" s="21" customFormat="1" x14ac:dyDescent="0.25">
      <c r="A113" s="37" t="s">
        <v>536</v>
      </c>
      <c r="B113" s="7">
        <v>4017</v>
      </c>
      <c r="C113" s="22" t="s">
        <v>99</v>
      </c>
      <c r="D113" s="22" t="s">
        <v>537</v>
      </c>
      <c r="E113" s="13">
        <v>42655.823344907411</v>
      </c>
      <c r="F113" s="13">
        <v>42655.830775462964</v>
      </c>
      <c r="G113" s="7">
        <v>1</v>
      </c>
      <c r="H113" s="13" t="s">
        <v>460</v>
      </c>
      <c r="I113" s="13">
        <v>42655.859490740739</v>
      </c>
      <c r="J113" s="7">
        <v>0</v>
      </c>
      <c r="K113" s="112" t="str">
        <f t="shared" si="35"/>
        <v>4017/4018</v>
      </c>
      <c r="L113" s="22" t="str">
        <f>VLOOKUP(A113,'Trips&amp;Operators'!$C$1:$E$10000,3,FALSE)</f>
        <v>STURGEON</v>
      </c>
      <c r="M113" s="6">
        <f t="shared" si="36"/>
        <v>2.8715277774608694E-2</v>
      </c>
      <c r="N113" s="7">
        <f t="shared" si="46"/>
        <v>41.349999995436519</v>
      </c>
      <c r="O113" s="7"/>
      <c r="P113" s="7"/>
      <c r="Q113" s="23"/>
      <c r="R113" s="23"/>
      <c r="S113" s="35">
        <f t="shared" si="45"/>
        <v>1</v>
      </c>
      <c r="T113" s="50" t="str">
        <f t="shared" si="37"/>
        <v>Southbound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18:45:37-0600',mode:absolute,to:'2016-10-12 21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39"/>
        <v>N</v>
      </c>
      <c r="X113" s="149">
        <f t="shared" si="47"/>
        <v>1</v>
      </c>
      <c r="Y113" s="67">
        <f t="shared" si="40"/>
        <v>23.298100000000002</v>
      </c>
      <c r="Z113" s="67">
        <f t="shared" si="34"/>
        <v>1.5800000000000002E-2</v>
      </c>
      <c r="AA113" s="67">
        <f t="shared" si="41"/>
        <v>23.282300000000003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2"/>
        <v>0222-12</v>
      </c>
      <c r="AE113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13" s="88" t="str">
        <f t="shared" si="49"/>
        <v>"C:\Program Files (x86)\AstroGrep\AstroGrep.exe" /spath="%USERPROFILE%\AppData\Local\Temp\OnboardLogs" /stypes="app*4017*20161013*" /stext=" 02:.+((SYSTEM_STATE.+slice.+state.+changed )|(ment ac)|(system.+state.+changed )|(\[timeout)|(PRM\|1\|D)|(kpr)|(kdp)|(\|lc)|(penalty))" /e /r /s</v>
      </c>
      <c r="AG113" s="1" t="str">
        <f t="shared" si="50"/>
        <v>EC</v>
      </c>
      <c r="AH113" s="92" t="str">
        <f t="shared" si="32"/>
        <v>"%USERPROFILE%\Documents\GitHub\eaglep3\Utilities\RefineRTDCRunTimes.py" --tripid 222-12 --locoid 4017 --swversion DE.1.0.7.0 --startMP 204:232981 --initTime 2016-10-12T19:45:37 --startdatetime 2016-10-12T19:56:19 --delay 1 --endMP 204:158 --enddatetime 2016-10-12T20:37:40 --enforcementcount 0 &gt;&gt;C:\Users\stu\Documents\GitHub\eaglep3-reporting\EC\2016-10-12-refined-times.txt</v>
      </c>
      <c r="AI11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{"issue":{"subject":"","project_id":79,"tracker_id":40,"status_id":1,"priority_id":2,"assigned_to_id":23,"start_date":"2016-10-12","description":"","custom_fields":[{"id":1,"name":"Subdivision","value":"EC"},{"id":4,"name":"Milepost","value":"0.0158"},{"id":17,"name":"Train ID","value":"222-12"},{"id":16,"name":"Locomotive ID","value":"4017"},{"id":130,"name":"Impact","value":""},{"id":150,"name":"Time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538</v>
      </c>
      <c r="B114" s="7">
        <v>4016</v>
      </c>
      <c r="C114" s="22" t="s">
        <v>99</v>
      </c>
      <c r="D114" s="22" t="s">
        <v>211</v>
      </c>
      <c r="E114" s="13">
        <v>42655.811631944445</v>
      </c>
      <c r="F114" s="13">
        <v>42655.813148148147</v>
      </c>
      <c r="G114" s="7">
        <v>2</v>
      </c>
      <c r="H114" s="13" t="s">
        <v>473</v>
      </c>
      <c r="I114" s="13">
        <v>42655.83935185185</v>
      </c>
      <c r="J114" s="7">
        <v>0</v>
      </c>
      <c r="K114" s="112" t="str">
        <f t="shared" si="35"/>
        <v>4015/4016</v>
      </c>
      <c r="L114" s="22" t="str">
        <f>VLOOKUP(A114,'Trips&amp;Operators'!$C$1:$E$10000,3,FALSE)</f>
        <v>BRANDNER</v>
      </c>
      <c r="M114" s="6">
        <f t="shared" si="36"/>
        <v>2.6203703702776693E-2</v>
      </c>
      <c r="N114" s="7">
        <f t="shared" si="46"/>
        <v>37.733333331998438</v>
      </c>
      <c r="O114" s="7"/>
      <c r="P114" s="7"/>
      <c r="Q114" s="23"/>
      <c r="R114" s="23"/>
      <c r="S114" s="35">
        <f t="shared" si="45"/>
        <v>1</v>
      </c>
      <c r="T114" s="50" t="str">
        <f t="shared" si="37"/>
        <v>NorthBound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18:28:45-0600',mode:absolute,to:'2016-10-12 21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52" t="str">
        <f t="shared" si="39"/>
        <v>N</v>
      </c>
      <c r="X114" s="149">
        <f t="shared" si="47"/>
        <v>1</v>
      </c>
      <c r="Y114" s="67">
        <f t="shared" si="40"/>
        <v>4.4400000000000002E-2</v>
      </c>
      <c r="Z114" s="67">
        <f t="shared" si="34"/>
        <v>23.329499999999999</v>
      </c>
      <c r="AA114" s="67">
        <f t="shared" si="41"/>
        <v>23.2851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2"/>
        <v>0223-12</v>
      </c>
      <c r="AE114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14" s="88" t="str">
        <f t="shared" si="49"/>
        <v>"C:\Program Files (x86)\AstroGrep\AstroGrep.exe" /spath="%USERPROFILE%\AppData\Local\Temp\OnboardLogs" /stypes="app*4016*20161013*" /stext=" 02:.+((SYSTEM_STATE.+slice.+state.+changed )|(ment ac)|(system.+state.+changed )|(\[timeout)|(PRM\|1\|D)|(kpr)|(kdp)|(\|lc)|(penalty))" /e /r /s</v>
      </c>
      <c r="AG114" s="1" t="str">
        <f t="shared" si="50"/>
        <v>EC</v>
      </c>
      <c r="AH114" s="92" t="str">
        <f t="shared" si="32"/>
        <v>"%USERPROFILE%\Documents\GitHub\eaglep3\Utilities\RefineRTDCRunTimes.py" --tripid 223-12 --locoid 4016 --swversion DE.1.0.7.0 --startMP 204:444 --initTime 2016-10-12T19:28:45 --startdatetime 2016-10-12T19:30:56 --delay 2 --endMP 204:233295 --enddatetime 2016-10-12T20:08:40 --enforcementcount 0 &gt;&gt;C:\Users\stu\Documents\GitHub\eaglep3-reporting\EC\2016-10-12-refined-times.txt</v>
      </c>
      <c r="AI11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{"issue":{"subject":"","project_id":79,"tracker_id":40,"status_id":1,"priority_id":2,"assigned_to_id":23,"start_date":"2016-10-12","description":"","custom_fields":[{"id":1,"name":"Subdivision","value":"EC"},{"id":4,"name":"Milepost","value":"23.3295"},{"id":17,"name":"Train ID","value":"223-12"},{"id":16,"name":"Locomotive ID","value":"4016"},{"id":130,"name":"Impact","value":""},{"id":150,"name":"Time of Event (Mountain Time)","value":"20:08:40"},{"id":151,"name":"Denver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539</v>
      </c>
      <c r="B115" s="7">
        <v>4015</v>
      </c>
      <c r="C115" s="22" t="s">
        <v>99</v>
      </c>
      <c r="D115" s="22" t="s">
        <v>540</v>
      </c>
      <c r="E115" s="13">
        <v>42655.846053240741</v>
      </c>
      <c r="F115" s="13">
        <v>42655.851921296293</v>
      </c>
      <c r="G115" s="7">
        <v>1</v>
      </c>
      <c r="H115" s="13" t="s">
        <v>176</v>
      </c>
      <c r="I115" s="13">
        <v>42655.880810185183</v>
      </c>
      <c r="J115" s="7">
        <v>0</v>
      </c>
      <c r="K115" s="112" t="str">
        <f t="shared" si="35"/>
        <v>4015/4016</v>
      </c>
      <c r="L115" s="22" t="str">
        <f>VLOOKUP(A115,'Trips&amp;Operators'!$C$1:$E$10000,3,FALSE)</f>
        <v>BRANDNER</v>
      </c>
      <c r="M115" s="6">
        <f t="shared" si="36"/>
        <v>2.8888888889923692E-2</v>
      </c>
      <c r="N115" s="7">
        <f t="shared" si="46"/>
        <v>41.600000001490116</v>
      </c>
      <c r="O115" s="7"/>
      <c r="P115" s="7"/>
      <c r="Q115" s="23"/>
      <c r="R115" s="23"/>
      <c r="S115" s="35">
        <f t="shared" si="45"/>
        <v>1</v>
      </c>
      <c r="T115" s="50" t="str">
        <f t="shared" si="37"/>
        <v>Southbound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19:18:19-0600',mode:absolute,to:'2016-10-12 22:08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52" t="str">
        <f t="shared" si="39"/>
        <v>N</v>
      </c>
      <c r="X115" s="149">
        <f t="shared" si="47"/>
        <v>1</v>
      </c>
      <c r="Y115" s="67">
        <f t="shared" si="40"/>
        <v>23.297899999999998</v>
      </c>
      <c r="Z115" s="67">
        <f t="shared" si="34"/>
        <v>1.47E-2</v>
      </c>
      <c r="AA115" s="67">
        <f t="shared" si="41"/>
        <v>23.283199999999997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2"/>
        <v>0224-12</v>
      </c>
      <c r="AE115" s="91" t="str">
        <f t="shared" si="4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15" s="88" t="str">
        <f t="shared" si="49"/>
        <v>"C:\Program Files (x86)\AstroGrep\AstroGrep.exe" /spath="%USERPROFILE%\AppData\Local\Temp\OnboardLogs" /stypes="app*4015*20161013*" /stext=" 03:.+((SYSTEM_STATE.+slice.+state.+changed )|(ment ac)|(system.+state.+changed )|(\[timeout)|(PRM\|1\|D)|(kpr)|(kdp)|(\|lc)|(penalty))" /e /r /s</v>
      </c>
      <c r="AG115" s="1" t="str">
        <f t="shared" si="50"/>
        <v>EC</v>
      </c>
      <c r="AH115" s="92" t="str">
        <f t="shared" si="32"/>
        <v>"%USERPROFILE%\Documents\GitHub\eaglep3\Utilities\RefineRTDCRunTimes.py" --tripid 224-12 --locoid 4015 --swversion DE.1.0.7.0 --startMP 204:232979 --initTime 2016-10-12T20:18:19 --startdatetime 2016-10-12T20:26:46 --delay 1 --endMP 204:147 --enddatetime 2016-10-12T21:08:22 --enforcementcount 0 &gt;&gt;C:\Users\stu\Documents\GitHub\eaglep3-reporting\EC\2016-10-12-refined-times.txt</v>
      </c>
      <c r="AI11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{"issue":{"subject":"","project_id":79,"tracker_id":40,"status_id":1,"priority_id":2,"assigned_to_id":23,"start_date":"2016-10-12","description":"","custom_fields":[{"id":1,"name":"Subdivision","value":"EC"},{"id":4,"name":"Milepost","value":"0.0147"},{"id":17,"name":"Train ID","value":"224-12"},{"id":16,"name":"Locomotive ID","value":"4015"},{"id":130,"name":"Impact","value":""},{"id":150,"name":"Time of Event (Mountain Time)","value":"21:08:22"},{"id":151,"name":"Denver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541</v>
      </c>
      <c r="B116" s="7">
        <v>4007</v>
      </c>
      <c r="C116" s="22" t="s">
        <v>99</v>
      </c>
      <c r="D116" s="22" t="s">
        <v>489</v>
      </c>
      <c r="E116" s="13">
        <v>42655.829618055555</v>
      </c>
      <c r="F116" s="13">
        <v>42655.83357638889</v>
      </c>
      <c r="G116" s="7">
        <v>3</v>
      </c>
      <c r="H116" s="13" t="s">
        <v>258</v>
      </c>
      <c r="I116" s="13">
        <v>42655.859131944446</v>
      </c>
      <c r="J116" s="7">
        <v>0</v>
      </c>
      <c r="K116" s="112" t="str">
        <f t="shared" si="35"/>
        <v>4007/4008</v>
      </c>
      <c r="L116" s="22" t="str">
        <f>VLOOKUP(A116,'Trips&amp;Operators'!$C$1:$E$10000,3,FALSE)</f>
        <v>BERLING</v>
      </c>
      <c r="M116" s="6">
        <f t="shared" si="36"/>
        <v>2.5555555555911269E-2</v>
      </c>
      <c r="N116" s="7">
        <f t="shared" si="46"/>
        <v>36.800000000512227</v>
      </c>
      <c r="O116" s="7"/>
      <c r="P116" s="7"/>
      <c r="Q116" s="23"/>
      <c r="R116" s="23"/>
      <c r="S116" s="35">
        <f t="shared" si="45"/>
        <v>1</v>
      </c>
      <c r="T116" s="50" t="str">
        <f t="shared" si="37"/>
        <v>NorthBound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18:54:39-0600',mode:absolute,to:'2016-10-12 21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6" s="52" t="str">
        <f t="shared" si="39"/>
        <v>N</v>
      </c>
      <c r="X116" s="149">
        <f t="shared" si="47"/>
        <v>1</v>
      </c>
      <c r="Y116" s="67">
        <f t="shared" si="40"/>
        <v>4.4600000000000001E-2</v>
      </c>
      <c r="Z116" s="67">
        <f t="shared" si="34"/>
        <v>23.331399999999999</v>
      </c>
      <c r="AA116" s="67">
        <f t="shared" si="41"/>
        <v>23.286799999999999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42"/>
        <v>0225-12</v>
      </c>
      <c r="AE116" s="91" t="str">
        <f t="shared" si="4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16" s="88" t="str">
        <f t="shared" si="49"/>
        <v>"C:\Program Files (x86)\AstroGrep\AstroGrep.exe" /spath="%USERPROFILE%\AppData\Local\Temp\OnboardLogs" /stypes="app*4007*20161013*" /stext=" 02:.+((SYSTEM_STATE.+slice.+state.+changed )|(ment ac)|(system.+state.+changed )|(\[timeout)|(PRM\|1\|D)|(kpr)|(kdp)|(\|lc)|(penalty))" /e /r /s</v>
      </c>
      <c r="AG116" s="1" t="str">
        <f t="shared" si="50"/>
        <v>EC</v>
      </c>
      <c r="AH116" s="92" t="str">
        <f t="shared" si="32"/>
        <v>"%USERPROFILE%\Documents\GitHub\eaglep3\Utilities\RefineRTDCRunTimes.py" --tripid 225-12 --locoid 4007 --swversion DE.1.0.7.0 --startMP 204:446 --initTime 2016-10-12T19:54:39 --startdatetime 2016-10-12T20:00:21 --delay 3 --endMP 204:233314 --enddatetime 2016-10-12T20:37:09 --enforcementcount 0 &gt;&gt;C:\Users\stu\Documents\GitHub\eaglep3-reporting\EC\2016-10-12-refined-times.txt</v>
      </c>
      <c r="AI11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ID","value":"225-12"},{"id":16,"name":"Locomotive ID","value":"4007"},{"id":130,"name":"Impact","value":""},{"id":150,"name":"Time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542</v>
      </c>
      <c r="B117" s="7">
        <v>4008</v>
      </c>
      <c r="C117" s="22" t="s">
        <v>99</v>
      </c>
      <c r="D117" s="22" t="s">
        <v>451</v>
      </c>
      <c r="E117" s="13">
        <v>42655.866979166669</v>
      </c>
      <c r="F117" s="13">
        <v>42655.872499999998</v>
      </c>
      <c r="G117" s="7">
        <v>1</v>
      </c>
      <c r="H117" s="13" t="s">
        <v>391</v>
      </c>
      <c r="I117" s="13">
        <v>42655.903391203705</v>
      </c>
      <c r="J117" s="7">
        <v>0</v>
      </c>
      <c r="K117" s="112" t="str">
        <f t="shared" si="35"/>
        <v>4007/4008</v>
      </c>
      <c r="L117" s="22" t="str">
        <f>VLOOKUP(A117,'Trips&amp;Operators'!$C$1:$E$10000,3,FALSE)</f>
        <v>BERLING</v>
      </c>
      <c r="M117" s="6">
        <f t="shared" si="36"/>
        <v>3.0891203707142267E-2</v>
      </c>
      <c r="N117" s="7">
        <f t="shared" si="46"/>
        <v>44.483333338284865</v>
      </c>
      <c r="O117" s="7"/>
      <c r="P117" s="7"/>
      <c r="Q117" s="23"/>
      <c r="R117" s="23"/>
      <c r="S117" s="35">
        <f t="shared" si="45"/>
        <v>1</v>
      </c>
      <c r="T117" s="50" t="str">
        <f t="shared" si="37"/>
        <v>Southbound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19:48:27-0600',mode:absolute,to:'2016-10-12 22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7" s="52" t="str">
        <f t="shared" si="39"/>
        <v>N</v>
      </c>
      <c r="X117" s="149">
        <f t="shared" si="47"/>
        <v>1</v>
      </c>
      <c r="Y117" s="67">
        <f t="shared" si="40"/>
        <v>23.300599999999999</v>
      </c>
      <c r="Z117" s="67">
        <f t="shared" si="34"/>
        <v>1.32E-2</v>
      </c>
      <c r="AA117" s="67">
        <f t="shared" si="41"/>
        <v>23.287399999999998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2"/>
        <v>0226-12</v>
      </c>
      <c r="AE117" s="91" t="str">
        <f t="shared" si="4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17" s="88" t="str">
        <f t="shared" si="49"/>
        <v>"C:\Program Files (x86)\AstroGrep\AstroGrep.exe" /spath="%USERPROFILE%\AppData\Local\Temp\OnboardLogs" /stypes="app*4008*20161013*" /stext=" 03:.+((SYSTEM_STATE.+slice.+state.+changed )|(ment ac)|(system.+state.+changed )|(\[timeout)|(PRM\|1\|D)|(kpr)|(kdp)|(\|lc)|(penalty))" /e /r /s</v>
      </c>
      <c r="AG117" s="1" t="str">
        <f t="shared" si="50"/>
        <v>EC</v>
      </c>
      <c r="AH117" s="92" t="str">
        <f t="shared" si="32"/>
        <v>"%USERPROFILE%\Documents\GitHub\eaglep3\Utilities\RefineRTDCRunTimes.py" --tripid 226-12 --locoid 4008 --swversion DE.1.0.7.0 --startMP 204:233006 --initTime 2016-10-12T20:48:27 --startdatetime 2016-10-12T20:56:24 --delay 1 --endMP 204:132 --enddatetime 2016-10-12T21:40:53 --enforcementcount 0 &gt;&gt;C:\Users\stu\Documents\GitHub\eaglep3-reporting\EC\2016-10-12-refined-times.txt</v>
      </c>
      <c r="AI11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{"issue":{"subject":"","project_id":79,"tracker_id":40,"status_id":1,"priority_id":2,"assigned_to_id":23,"start_date":"2016-10-12","description":"","custom_fields":[{"id":1,"name":"Subdivision","value":"EC"},{"id":4,"name":"Milepost","value":"0.0132"},{"id":17,"name":"Train ID","value":"226-12"},{"id":16,"name":"Locomotive ID","value":"4008"},{"id":130,"name":"Impact","value":""},{"id":150,"name":"Time of Event (Mountain Time)","value":"21:40:53"},{"id":151,"name":"Denver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543</v>
      </c>
      <c r="B118" s="7">
        <v>4053</v>
      </c>
      <c r="C118" s="22" t="s">
        <v>99</v>
      </c>
      <c r="D118" s="22" t="s">
        <v>468</v>
      </c>
      <c r="E118" s="13">
        <v>42655.84615740741</v>
      </c>
      <c r="F118" s="13">
        <v>42655.854537037034</v>
      </c>
      <c r="G118" s="7">
        <v>1</v>
      </c>
      <c r="H118" s="13" t="s">
        <v>406</v>
      </c>
      <c r="I118" s="13">
        <v>42655.880335648151</v>
      </c>
      <c r="J118" s="7">
        <v>0</v>
      </c>
      <c r="K118" s="112" t="str">
        <f t="shared" si="35"/>
        <v>4053/4054</v>
      </c>
      <c r="L118" s="22" t="str">
        <f>VLOOKUP(A118,'Trips&amp;Operators'!$C$1:$E$10000,3,FALSE)</f>
        <v>YOUNG</v>
      </c>
      <c r="M118" s="6">
        <f t="shared" si="36"/>
        <v>2.5798611117352266E-2</v>
      </c>
      <c r="N118" s="7">
        <f t="shared" si="46"/>
        <v>37.150000008987263</v>
      </c>
      <c r="O118" s="7"/>
      <c r="P118" s="7"/>
      <c r="Q118" s="23"/>
      <c r="R118" s="23"/>
      <c r="S118" s="35">
        <f t="shared" si="45"/>
        <v>1</v>
      </c>
      <c r="T118" s="50" t="str">
        <f t="shared" si="37"/>
        <v>NorthBound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19:18:28-0600',mode:absolute,to:'2016-10-12 22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8" s="52" t="str">
        <f t="shared" si="39"/>
        <v>N</v>
      </c>
      <c r="X118" s="149">
        <f t="shared" si="47"/>
        <v>1</v>
      </c>
      <c r="Y118" s="67">
        <f t="shared" si="40"/>
        <v>4.6600000000000003E-2</v>
      </c>
      <c r="Z118" s="67">
        <f t="shared" si="34"/>
        <v>23.33</v>
      </c>
      <c r="AA118" s="67">
        <f t="shared" si="41"/>
        <v>23.283399999999997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2"/>
        <v>0227-12</v>
      </c>
      <c r="AE118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18" s="88" t="str">
        <f t="shared" si="49"/>
        <v>"C:\Program Files (x86)\AstroGrep\AstroGrep.exe" /spath="%USERPROFILE%\AppData\Local\Temp\OnboardLogs" /stypes="app*4053*20161013*" /stext=" 03:.+((SYSTEM_STATE.+slice.+state.+changed )|(ment ac)|(system.+state.+changed )|(\[timeout)|(PRM\|1\|D)|(kpr)|(kdp)|(\|lc)|(penalty))" /e /r /s</v>
      </c>
      <c r="AG118" s="1" t="str">
        <f t="shared" si="50"/>
        <v>EC</v>
      </c>
      <c r="AH118" s="92" t="str">
        <f t="shared" si="32"/>
        <v>"%USERPROFILE%\Documents\GitHub\eaglep3\Utilities\RefineRTDCRunTimes.py" --tripid 227-12 --locoid 4053 --swversion DE.1.0.7.0 --startMP 204:466 --initTime 2016-10-12T20:18:28 --startdatetime 2016-10-12T20:30:32 --delay 1 --endMP 204:233300 --enddatetime 2016-10-12T21:07:41 --enforcementcount 0 &gt;&gt;C:\Users\stu\Documents\GitHub\eaglep3-reporting\EC\2016-10-12-refined-times.txt</v>
      </c>
      <c r="AI118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{"issue":{"subject":"","project_id":79,"tracker_id":40,"status_id":1,"priority_id":2,"assigned_to_id":23,"start_date":"2016-10-12","description":"","custom_fields":[{"id":1,"name":"Subdivision","value":"EC"},{"id":4,"name":"Milepost","value":"23.33"},{"id":17,"name":"Train ID","value":"227-12"},{"id":16,"name":"Locomotive ID","value":"4053"},{"id":130,"name":"Impact","value":""},{"id":150,"name":"Time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544</v>
      </c>
      <c r="B119" s="7">
        <v>4054</v>
      </c>
      <c r="C119" s="22" t="s">
        <v>99</v>
      </c>
      <c r="D119" s="22" t="s">
        <v>451</v>
      </c>
      <c r="E119" s="13">
        <v>42655.886331018519</v>
      </c>
      <c r="F119" s="13">
        <v>42655.893553240741</v>
      </c>
      <c r="G119" s="7">
        <v>1</v>
      </c>
      <c r="H119" s="13" t="s">
        <v>329</v>
      </c>
      <c r="I119" s="13">
        <v>42655.924641203703</v>
      </c>
      <c r="J119" s="7">
        <v>0</v>
      </c>
      <c r="K119" s="112" t="str">
        <f t="shared" si="35"/>
        <v>4053/4054</v>
      </c>
      <c r="L119" s="22" t="str">
        <f>VLOOKUP(A119,'Trips&amp;Operators'!$C$1:$E$10000,3,FALSE)</f>
        <v>YOUNG</v>
      </c>
      <c r="M119" s="6">
        <f t="shared" si="36"/>
        <v>3.1087962961464655E-2</v>
      </c>
      <c r="N119" s="7">
        <f t="shared" si="46"/>
        <v>44.766666664509103</v>
      </c>
      <c r="O119" s="7"/>
      <c r="P119" s="7"/>
      <c r="Q119" s="23"/>
      <c r="R119" s="23"/>
      <c r="S119" s="35">
        <f t="shared" si="45"/>
        <v>1</v>
      </c>
      <c r="T119" s="50" t="str">
        <f t="shared" si="37"/>
        <v>Southbound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20:16:19-0600',mode:absolute,to:'2016-10-12 23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9" s="52" t="str">
        <f t="shared" si="39"/>
        <v>N</v>
      </c>
      <c r="X119" s="149">
        <f t="shared" si="47"/>
        <v>1</v>
      </c>
      <c r="Y119" s="67">
        <f t="shared" si="40"/>
        <v>23.300599999999999</v>
      </c>
      <c r="Z119" s="67">
        <f t="shared" si="34"/>
        <v>1.4500000000000001E-2</v>
      </c>
      <c r="AA119" s="67">
        <f t="shared" si="41"/>
        <v>23.286099999999998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2"/>
        <v>0228-12</v>
      </c>
      <c r="AE119" s="91" t="str">
        <f t="shared" si="48"/>
        <v>aws s3 cp s3://rtdc.mdm.uploadarchive.raw/RTDC4054/ "%USERPROFILE%\AppData\Local\Temp\OnboardLogs"\RTDC4054\2016-10-12 --exclude "*" --recursive --include "*20161012*" &amp; "%USERPROFILE%\Documents\GitHub\mrs-test-scripts\Headless Mode &amp; Sideloading\WalkAndUnGZ.bat" "%USERPROFILE%\AppData\Local\Temp\OnboardLogs"\RTDC4054\2016-10-12 &amp; aws s3 cp s3://rtdc.mdm.uploadarchive.raw/RTDC4054/ "%USERPROFILE%\AppData\Local\Temp\OnboardLogs"\RTDC4054\2016-10-13 --exclude "*" --recursive --include "*20161013*" &amp; "%USERPROFILE%\Documents\GitHub\mrs-test-scripts\Headless Mode &amp; Sideloading\WalkAndUnGZ.bat" "%USERPROFILE%\AppData\Local\Temp\OnboardLogs"\RTDC4054\2016-10-13</v>
      </c>
      <c r="AF119" s="88" t="str">
        <f t="shared" si="49"/>
        <v>"C:\Program Files (x86)\AstroGrep\AstroGrep.exe" /spath="%USERPROFILE%\AppData\Local\Temp\OnboardLogs" /stypes="app*4054*20161013*" /stext=" 04:.+((SYSTEM_STATE.+slice.+state.+changed )|(ment ac)|(system.+state.+changed )|(\[timeout)|(PRM\|1\|D)|(kpr)|(kdp)|(\|lc)|(penalty))" /e /r /s</v>
      </c>
      <c r="AG119" s="1" t="str">
        <f t="shared" si="50"/>
        <v>EC</v>
      </c>
      <c r="AH119" s="92" t="str">
        <f t="shared" si="32"/>
        <v>"%USERPROFILE%\Documents\GitHub\eaglep3\Utilities\RefineRTDCRunTimes.py" --tripid 228-12 --locoid 4054 --swversion DE.1.0.7.0 --startMP 204:233006 --initTime 2016-10-12T21:16:19 --startdatetime 2016-10-12T21:26:43 --delay 1 --endMP 204:145 --enddatetime 2016-10-12T22:11:29 --enforcementcount 0 &gt;&gt;C:\Users\stu\Documents\GitHub\eaglep3-reporting\EC\2016-10-12-refined-times.txt</v>
      </c>
      <c r="AI119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{"issue":{"subject":"","project_id":79,"tracker_id":40,"status_id":1,"priority_id":2,"assigned_to_id":23,"start_date":"2016-10-12","description":"","custom_fields":[{"id":1,"name":"Subdivision","value":"EC"},{"id":4,"name":"Milepost","value":"0.0145"},{"id":17,"name":"Train ID","value":"228-12"},{"id":16,"name":"Locomotive ID","value":"4054"},{"id":130,"name":"Impact","value":""},{"id":150,"name":"Time of Event (Mountain Time)","value":"22:11:29"},{"id":151,"name":"Denver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545</v>
      </c>
      <c r="B120" s="7">
        <v>4018</v>
      </c>
      <c r="C120" s="22" t="s">
        <v>99</v>
      </c>
      <c r="D120" s="22" t="s">
        <v>546</v>
      </c>
      <c r="E120" s="13">
        <v>42655.872557870367</v>
      </c>
      <c r="F120" s="13">
        <v>42655.875451388885</v>
      </c>
      <c r="G120" s="7">
        <v>1</v>
      </c>
      <c r="H120" s="13" t="s">
        <v>547</v>
      </c>
      <c r="I120" s="13">
        <v>42655.901956018519</v>
      </c>
      <c r="J120" s="7">
        <v>0</v>
      </c>
      <c r="K120" s="112" t="str">
        <f t="shared" si="35"/>
        <v>4017/4018</v>
      </c>
      <c r="L120" s="22" t="str">
        <f>VLOOKUP(A120,'Trips&amp;Operators'!$C$1:$E$10000,3,FALSE)</f>
        <v>RICHARDSON</v>
      </c>
      <c r="M120" s="6">
        <f t="shared" si="36"/>
        <v>2.6504629633564036E-2</v>
      </c>
      <c r="N120" s="7">
        <f t="shared" si="46"/>
        <v>38.166666672332212</v>
      </c>
      <c r="O120" s="7"/>
      <c r="P120" s="7"/>
      <c r="Q120" s="23"/>
      <c r="R120" s="23"/>
      <c r="S120" s="35">
        <f t="shared" si="45"/>
        <v>1</v>
      </c>
      <c r="T120" s="50" t="str">
        <f t="shared" si="37"/>
        <v>NorthBound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19:56:29-0600',mode:absolute,to:'2016-10-12 22:38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2" t="str">
        <f t="shared" si="39"/>
        <v>N</v>
      </c>
      <c r="X120" s="149">
        <f t="shared" si="47"/>
        <v>1</v>
      </c>
      <c r="Y120" s="67">
        <f t="shared" si="40"/>
        <v>4.5999999999999999E-2</v>
      </c>
      <c r="Z120" s="67">
        <f t="shared" si="34"/>
        <v>23.3306</v>
      </c>
      <c r="AA120" s="67">
        <f t="shared" si="41"/>
        <v>23.284600000000001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2"/>
        <v>0229-12</v>
      </c>
      <c r="AE120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20" s="88" t="str">
        <f t="shared" si="49"/>
        <v>"C:\Program Files (x86)\AstroGrep\AstroGrep.exe" /spath="%USERPROFILE%\AppData\Local\Temp\OnboardLogs" /stypes="app*4018*20161013*" /stext=" 03:.+((SYSTEM_STATE.+slice.+state.+changed )|(ment ac)|(system.+state.+changed )|(\[timeout)|(PRM\|1\|D)|(kpr)|(kdp)|(\|lc)|(penalty))" /e /r /s</v>
      </c>
      <c r="AG120" s="1" t="str">
        <f t="shared" si="50"/>
        <v>EC</v>
      </c>
      <c r="AH120" s="92" t="str">
        <f t="shared" si="32"/>
        <v>"%USERPROFILE%\Documents\GitHub\eaglep3\Utilities\RefineRTDCRunTimes.py" --tripid 229-12 --locoid 4018 --swversion DE.1.0.7.0 --startMP 204:460 --initTime 2016-10-12T20:56:29 --startdatetime 2016-10-12T21:00:39 --delay 1 --endMP 204:233306 --enddatetime 2016-10-12T21:38:49 --enforcementcount 0 &gt;&gt;C:\Users\stu\Documents\GitHub\eaglep3-reporting\EC\2016-10-12-refined-times.txt</v>
      </c>
      <c r="AI120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{"issue":{"subject":"","project_id":79,"tracker_id":40,"status_id":1,"priority_id":2,"assigned_to_id":23,"start_date":"2016-10-12","description":"","custom_fields":[{"id":1,"name":"Subdivision","value":"EC"},{"id":4,"name":"Milepost","value":"23.3306"},{"id":17,"name":"Train ID","value":"229-12"},{"id":16,"name":"Locomotive ID","value":"4018"},{"id":130,"name":"Impact","value":""},{"id":150,"name":"Time of Event (Mountain Time)","value":"21:38:49"},{"id":151,"name":"Denver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548</v>
      </c>
      <c r="B121" s="7">
        <v>4017</v>
      </c>
      <c r="C121" s="22" t="s">
        <v>99</v>
      </c>
      <c r="D121" s="22" t="s">
        <v>408</v>
      </c>
      <c r="E121" s="13">
        <v>42655.907835648148</v>
      </c>
      <c r="F121" s="13">
        <v>42655.914583333331</v>
      </c>
      <c r="G121" s="7">
        <v>1</v>
      </c>
      <c r="H121" s="13" t="s">
        <v>549</v>
      </c>
      <c r="I121" s="13">
        <v>42655.94734953704</v>
      </c>
      <c r="J121" s="7">
        <v>0</v>
      </c>
      <c r="K121" s="112" t="str">
        <f t="shared" si="35"/>
        <v>4017/4018</v>
      </c>
      <c r="L121" s="22" t="str">
        <f>VLOOKUP(A121,'Trips&amp;Operators'!$C$1:$E$10000,3,FALSE)</f>
        <v>STURGEON</v>
      </c>
      <c r="M121" s="6">
        <f t="shared" si="36"/>
        <v>3.2766203708888497E-2</v>
      </c>
      <c r="N121" s="7">
        <f t="shared" si="46"/>
        <v>47.183333340799436</v>
      </c>
      <c r="O121" s="7"/>
      <c r="P121" s="7"/>
      <c r="Q121" s="23"/>
      <c r="R121" s="23"/>
      <c r="S121" s="35">
        <f t="shared" si="45"/>
        <v>1</v>
      </c>
      <c r="T121" s="50" t="str">
        <f t="shared" si="37"/>
        <v>Southbound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20:47:17-0600',mode:absolute,to:'2016-10-12 23:44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2" t="str">
        <f t="shared" si="39"/>
        <v>N</v>
      </c>
      <c r="X121" s="149">
        <f t="shared" si="47"/>
        <v>1</v>
      </c>
      <c r="Y121" s="67">
        <f t="shared" si="40"/>
        <v>23.298300000000001</v>
      </c>
      <c r="Z121" s="67">
        <f t="shared" si="34"/>
        <v>1.3899999999999999E-2</v>
      </c>
      <c r="AA121" s="67">
        <f t="shared" si="41"/>
        <v>23.284400000000002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2"/>
        <v>0230-12</v>
      </c>
      <c r="AE121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21" s="88" t="str">
        <f t="shared" si="49"/>
        <v>"C:\Program Files (x86)\AstroGrep\AstroGrep.exe" /spath="%USERPROFILE%\AppData\Local\Temp\OnboardLogs" /stypes="app*4017*20161013*" /stext=" 04:.+((SYSTEM_STATE.+slice.+state.+changed )|(ment ac)|(system.+state.+changed )|(\[timeout)|(PRM\|1\|D)|(kpr)|(kdp)|(\|lc)|(penalty))" /e /r /s</v>
      </c>
      <c r="AG121" s="1" t="str">
        <f t="shared" si="50"/>
        <v>EC</v>
      </c>
      <c r="AH121" s="92" t="str">
        <f t="shared" si="32"/>
        <v>"%USERPROFILE%\Documents\GitHub\eaglep3\Utilities\RefineRTDCRunTimes.py" --tripid 230-12 --locoid 4017 --swversion DE.1.0.7.0 --startMP 204:232983 --initTime 2016-10-12T21:47:17 --startdatetime 2016-10-12T21:57:00 --delay 1 --endMP 204:139 --enddatetime 2016-10-12T22:44:11 --enforcementcount 0 &gt;&gt;C:\Users\stu\Documents\GitHub\eaglep3-reporting\EC\2016-10-12-refined-times.txt</v>
      </c>
      <c r="AI121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{"issue":{"subject":"","project_id":79,"tracker_id":40,"status_id":1,"priority_id":2,"assigned_to_id":23,"start_date":"2016-10-12","description":"","custom_fields":[{"id":1,"name":"Subdivision","value":"EC"},{"id":4,"name":"Milepost","value":"0.0139"},{"id":17,"name":"Train ID","value":"230-12"},{"id":16,"name":"Locomotive ID","value":"4017"},{"id":130,"name":"Impact","value":""},{"id":150,"name":"Time of Event (Mountain Time)","value":"22:44:11"},{"id":151,"name":"Denver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550</v>
      </c>
      <c r="B122" s="7">
        <v>4016</v>
      </c>
      <c r="C122" s="22" t="s">
        <v>99</v>
      </c>
      <c r="D122" s="22" t="s">
        <v>546</v>
      </c>
      <c r="E122" s="13">
        <v>42655.883726851855</v>
      </c>
      <c r="F122" s="13">
        <v>42655.896122685182</v>
      </c>
      <c r="G122" s="7">
        <v>7</v>
      </c>
      <c r="H122" s="13" t="s">
        <v>439</v>
      </c>
      <c r="I122" s="13">
        <v>42655.924155092594</v>
      </c>
      <c r="J122" s="7">
        <v>0</v>
      </c>
      <c r="K122" s="112" t="str">
        <f t="shared" si="35"/>
        <v>4015/4016</v>
      </c>
      <c r="L122" s="22" t="str">
        <f>VLOOKUP(A122,'Trips&amp;Operators'!$C$1:$E$10000,3,FALSE)</f>
        <v>BRANDNER</v>
      </c>
      <c r="M122" s="6">
        <f t="shared" si="36"/>
        <v>2.8032407411956228E-2</v>
      </c>
      <c r="N122" s="7">
        <f t="shared" si="46"/>
        <v>40.366666673216969</v>
      </c>
      <c r="O122" s="7"/>
      <c r="P122" s="7"/>
      <c r="Q122" s="23"/>
      <c r="R122" s="23"/>
      <c r="S122" s="35">
        <f t="shared" si="45"/>
        <v>1</v>
      </c>
      <c r="T122" s="50" t="str">
        <f t="shared" si="37"/>
        <v>NorthBound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20:12:34-0600',mode:absolute,to:'2016-10-12 23:10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2" s="52" t="str">
        <f t="shared" si="39"/>
        <v>N</v>
      </c>
      <c r="X122" s="149">
        <f t="shared" si="47"/>
        <v>1</v>
      </c>
      <c r="Y122" s="67">
        <f t="shared" si="40"/>
        <v>4.5999999999999999E-2</v>
      </c>
      <c r="Z122" s="67">
        <f t="shared" si="34"/>
        <v>23.329799999999999</v>
      </c>
      <c r="AA122" s="67">
        <f t="shared" si="41"/>
        <v>23.283799999999999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2"/>
        <v>0231-12</v>
      </c>
      <c r="AE122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22" s="88" t="str">
        <f t="shared" si="49"/>
        <v>"C:\Program Files (x86)\AstroGrep\AstroGrep.exe" /spath="%USERPROFILE%\AppData\Local\Temp\OnboardLogs" /stypes="app*4016*20161013*" /stext=" 04:.+((SYSTEM_STATE.+slice.+state.+changed )|(ment ac)|(system.+state.+changed )|(\[timeout)|(PRM\|1\|D)|(kpr)|(kdp)|(\|lc)|(penalty))" /e /r /s</v>
      </c>
      <c r="AG122" s="1" t="str">
        <f t="shared" si="50"/>
        <v>EC</v>
      </c>
      <c r="AH122" s="92" t="str">
        <f t="shared" si="32"/>
        <v>"%USERPROFILE%\Documents\GitHub\eaglep3\Utilities\RefineRTDCRunTimes.py" --tripid 231-12 --locoid 4016 --swversion DE.1.0.7.0 --startMP 204:460 --initTime 2016-10-12T21:12:34 --startdatetime 2016-10-12T21:30:25 --delay 7 --endMP 204:233298 --enddatetime 2016-10-12T22:10:47 --enforcementcount 0 &gt;&gt;C:\Users\stu\Documents\GitHub\eaglep3-reporting\EC\2016-10-12-refined-times.txt</v>
      </c>
      <c r="AI122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{"issue":{"subject":"","project_id":79,"tracker_id":40,"status_id":1,"priority_id":2,"assigned_to_id":23,"start_date":"2016-10-12","description":"","custom_fields":[{"id":1,"name":"Subdivision","value":"EC"},{"id":4,"name":"Milepost","value":"23.3298"},{"id":17,"name":"Train ID","value":"231-12"},{"id":16,"name":"Locomotive ID","value":"4016"},{"id":130,"name":"Impact","value":""},{"id":150,"name":"Time of Event (Mountain Time)","value":"22:10:47"},{"id":151,"name":"Denver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551</v>
      </c>
      <c r="B123" s="7">
        <v>4015</v>
      </c>
      <c r="C123" s="22" t="s">
        <v>99</v>
      </c>
      <c r="D123" s="22" t="s">
        <v>408</v>
      </c>
      <c r="E123" s="13">
        <v>42655.927442129629</v>
      </c>
      <c r="F123" s="13">
        <v>42655.934918981482</v>
      </c>
      <c r="G123" s="7">
        <v>2</v>
      </c>
      <c r="H123" s="13" t="s">
        <v>534</v>
      </c>
      <c r="I123" s="13">
        <v>42655.966921296298</v>
      </c>
      <c r="J123" s="7">
        <v>0</v>
      </c>
      <c r="K123" s="112" t="str">
        <f t="shared" si="35"/>
        <v>4015/4016</v>
      </c>
      <c r="L123" s="22" t="str">
        <f>VLOOKUP(A123,'Trips&amp;Operators'!$C$1:$E$10000,3,FALSE)</f>
        <v>BRANDNER</v>
      </c>
      <c r="M123" s="6">
        <f t="shared" si="36"/>
        <v>3.2002314816054422E-2</v>
      </c>
      <c r="N123" s="7">
        <f t="shared" si="46"/>
        <v>46.083333335118368</v>
      </c>
      <c r="O123" s="7"/>
      <c r="P123" s="7"/>
      <c r="Q123" s="23"/>
      <c r="R123" s="23"/>
      <c r="S123" s="35">
        <f t="shared" ref="S123:S186" si="51">SUM(U123:U123)/IF(AG123="EC",12,1)</f>
        <v>1</v>
      </c>
      <c r="T123" s="50" t="str">
        <f t="shared" si="37"/>
        <v>Southbound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21:15:31-0600',mode:absolute,to:'2016-10-13 00:12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3" s="52" t="str">
        <f t="shared" si="39"/>
        <v>N</v>
      </c>
      <c r="X123" s="149">
        <f t="shared" si="47"/>
        <v>1</v>
      </c>
      <c r="Y123" s="67">
        <f t="shared" si="40"/>
        <v>23.298300000000001</v>
      </c>
      <c r="Z123" s="67">
        <f t="shared" si="34"/>
        <v>1.6E-2</v>
      </c>
      <c r="AA123" s="67">
        <f t="shared" si="41"/>
        <v>23.282300000000003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2"/>
        <v>0232-12</v>
      </c>
      <c r="AE123" s="91" t="str">
        <f t="shared" si="48"/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AF123" s="88" t="str">
        <f t="shared" si="49"/>
        <v>"C:\Program Files (x86)\AstroGrep\AstroGrep.exe" /spath="%USERPROFILE%\AppData\Local\Temp\OnboardLogs" /stypes="app*4015*20161013*" /stext=" 05:.+((SYSTEM_STATE.+slice.+state.+changed )|(ment ac)|(system.+state.+changed )|(\[timeout)|(PRM\|1\|D)|(kpr)|(kdp)|(\|lc)|(penalty))" /e /r /s</v>
      </c>
      <c r="AG123" s="1" t="str">
        <f t="shared" si="50"/>
        <v>EC</v>
      </c>
      <c r="AH123" s="92" t="str">
        <f t="shared" si="32"/>
        <v>"%USERPROFILE%\Documents\GitHub\eaglep3\Utilities\RefineRTDCRunTimes.py" --tripid 232-12 --locoid 4015 --swversion DE.1.0.7.0 --startMP 204:232983 --initTime 2016-10-12T22:15:31 --startdatetime 2016-10-12T22:26:17 --delay 2 --endMP 204:160 --enddatetime 2016-10-12T23:12:22 --enforcementcount 0 &gt;&gt;C:\Users\stu\Documents\GitHub\eaglep3-reporting\EC\2016-10-12-refined-times.txt</v>
      </c>
      <c r="AI123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{"issue":{"subject":"","project_id":79,"tracker_id":40,"status_id":1,"priority_id":2,"assigned_to_id":23,"start_date":"2016-10-12","description":"","custom_fields":[{"id":1,"name":"Subdivision","value":"EC"},{"id":4,"name":"Milepost","value":"0.016"},{"id":17,"name":"Train ID","value":"232-12"},{"id":16,"name":"Locomotive ID","value":"4015"},{"id":130,"name":"Impact","value":""},{"id":150,"name":"Time of Event (Mountain Time)","value":"23:12:22"},{"id":151,"name":"Denver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552</v>
      </c>
      <c r="B124" s="7">
        <v>4007</v>
      </c>
      <c r="C124" s="22" t="s">
        <v>99</v>
      </c>
      <c r="D124" s="22" t="s">
        <v>411</v>
      </c>
      <c r="E124" s="13">
        <v>42655.910763888889</v>
      </c>
      <c r="F124" s="13">
        <v>42655.917048611111</v>
      </c>
      <c r="G124" s="7">
        <v>4</v>
      </c>
      <c r="H124" s="13" t="s">
        <v>258</v>
      </c>
      <c r="I124" s="13">
        <v>42655.943842592591</v>
      </c>
      <c r="J124" s="7">
        <v>0</v>
      </c>
      <c r="K124" s="112" t="str">
        <f t="shared" si="35"/>
        <v>4007/4008</v>
      </c>
      <c r="L124" s="22" t="str">
        <f>VLOOKUP(A124,'Trips&amp;Operators'!$C$1:$E$10000,3,FALSE)</f>
        <v>BERLING</v>
      </c>
      <c r="M124" s="6">
        <f t="shared" si="36"/>
        <v>2.679398148029577E-2</v>
      </c>
      <c r="N124" s="7">
        <f t="shared" si="46"/>
        <v>38.583333331625909</v>
      </c>
      <c r="O124" s="7"/>
      <c r="P124" s="7"/>
      <c r="Q124" s="23"/>
      <c r="R124" s="23"/>
      <c r="S124" s="35">
        <f t="shared" si="51"/>
        <v>1</v>
      </c>
      <c r="T124" s="50" t="str">
        <f t="shared" si="37"/>
        <v>NorthBound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20:51:30-0600',mode:absolute,to:'2016-10-12 23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2" t="str">
        <f t="shared" si="39"/>
        <v>N</v>
      </c>
      <c r="X124" s="149">
        <f t="shared" si="47"/>
        <v>1</v>
      </c>
      <c r="Y124" s="67">
        <f t="shared" si="40"/>
        <v>4.6399999999999997E-2</v>
      </c>
      <c r="Z124" s="67">
        <f t="shared" si="34"/>
        <v>23.331399999999999</v>
      </c>
      <c r="AA124" s="67">
        <f t="shared" si="41"/>
        <v>23.285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2"/>
        <v>0233-12</v>
      </c>
      <c r="AE124" s="91" t="str">
        <f t="shared" si="48"/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AF124" s="88" t="str">
        <f t="shared" si="49"/>
        <v>"C:\Program Files (x86)\AstroGrep\AstroGrep.exe" /spath="%USERPROFILE%\AppData\Local\Temp\OnboardLogs" /stypes="app*4007*20161013*" /stext=" 04:.+((SYSTEM_STATE.+slice.+state.+changed )|(ment ac)|(system.+state.+changed )|(\[timeout)|(PRM\|1\|D)|(kpr)|(kdp)|(\|lc)|(penalty))" /e /r /s</v>
      </c>
      <c r="AG124" s="1" t="str">
        <f t="shared" si="50"/>
        <v>EC</v>
      </c>
      <c r="AH124" s="92" t="str">
        <f t="shared" si="32"/>
        <v>"%USERPROFILE%\Documents\GitHub\eaglep3\Utilities\RefineRTDCRunTimes.py" --tripid 233-12 --locoid 4007 --swversion DE.1.0.7.0 --startMP 204:464 --initTime 2016-10-12T21:51:30 --startdatetime 2016-10-12T22:00:33 --delay 4 --endMP 204:233314 --enddatetime 2016-10-12T22:39:08 --enforcementcount 0 &gt;&gt;C:\Users\stu\Documents\GitHub\eaglep3-reporting\EC\2016-10-12-refined-times.txt</v>
      </c>
      <c r="AI124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{"issue":{"subject":"","project_id":79,"tracker_id":40,"status_id":1,"priority_id":2,"assigned_to_id":23,"start_date":"2016-10-12","description":"","custom_fields":[{"id":1,"name":"Subdivision","value":"EC"},{"id":4,"name":"Milepost","value":"23.3314"},{"id":17,"name":"Train ID","value":"233-12"},{"id":16,"name":"Locomotive ID","value":"4007"},{"id":130,"name":"Impact","value":""},{"id":150,"name":"Time of Event (Mountain Time)","value":"22:39:08"},{"id":151,"name":"Denver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553</v>
      </c>
      <c r="B125" s="7">
        <v>4008</v>
      </c>
      <c r="C125" s="22" t="s">
        <v>99</v>
      </c>
      <c r="D125" s="22" t="s">
        <v>533</v>
      </c>
      <c r="E125" s="13">
        <v>42655.949826388889</v>
      </c>
      <c r="F125" s="13">
        <v>42655.955740740741</v>
      </c>
      <c r="G125" s="7">
        <v>1</v>
      </c>
      <c r="H125" s="13" t="s">
        <v>409</v>
      </c>
      <c r="I125" s="13">
        <v>42655.987222222226</v>
      </c>
      <c r="J125" s="7">
        <v>0</v>
      </c>
      <c r="K125" s="112" t="str">
        <f t="shared" si="35"/>
        <v>4007/4008</v>
      </c>
      <c r="L125" s="22" t="str">
        <f>VLOOKUP(A125,'Trips&amp;Operators'!$C$1:$E$10000,3,FALSE)</f>
        <v>BERLING</v>
      </c>
      <c r="M125" s="6">
        <f t="shared" si="36"/>
        <v>3.1481481484661344E-2</v>
      </c>
      <c r="N125" s="7">
        <f t="shared" si="46"/>
        <v>45.333333337912336</v>
      </c>
      <c r="O125" s="7"/>
      <c r="P125" s="7"/>
      <c r="Q125" s="23"/>
      <c r="R125" s="23"/>
      <c r="S125" s="35">
        <f t="shared" si="51"/>
        <v>1</v>
      </c>
      <c r="T125" s="50" t="str">
        <f t="shared" si="37"/>
        <v>Southbound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21:47:45-0600',mode:absolute,to:'2016-10-13 00:41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2" t="str">
        <f t="shared" si="39"/>
        <v>N</v>
      </c>
      <c r="X125" s="149">
        <f t="shared" si="47"/>
        <v>1</v>
      </c>
      <c r="Y125" s="67">
        <f t="shared" si="40"/>
        <v>23.2989</v>
      </c>
      <c r="Z125" s="67">
        <f t="shared" si="34"/>
        <v>1.6299999999999999E-2</v>
      </c>
      <c r="AA125" s="67">
        <f t="shared" si="41"/>
        <v>23.282599999999999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2"/>
        <v>0234-12</v>
      </c>
      <c r="AE125" s="91" t="str">
        <f t="shared" si="48"/>
        <v>aws s3 cp s3://rtdc.mdm.uploadarchive.raw/RTDC4008/ "%USERPROFILE%\AppData\Local\Temp\OnboardLogs"\RTDC4008\2016-10-12 --exclude "*" --recursive --include "*20161012*" &amp; "%USERPROFILE%\Documents\GitHub\mrs-test-scripts\Headless Mode &amp; Sideloading\WalkAndUnGZ.bat" "%USERPROFILE%\AppData\Local\Temp\OnboardLogs"\RTDC4008\2016-10-12 &amp; 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</v>
      </c>
      <c r="AF125" s="88" t="str">
        <f t="shared" si="49"/>
        <v>"C:\Program Files (x86)\AstroGrep\AstroGrep.exe" /spath="%USERPROFILE%\AppData\Local\Temp\OnboardLogs" /stypes="app*4008*20161013*" /stext=" 05:.+((SYSTEM_STATE.+slice.+state.+changed )|(ment ac)|(system.+state.+changed )|(\[timeout)|(PRM\|1\|D)|(kpr)|(kdp)|(\|lc)|(penalty))" /e /r /s</v>
      </c>
      <c r="AG125" s="1" t="str">
        <f t="shared" si="50"/>
        <v>EC</v>
      </c>
      <c r="AH125" s="92" t="str">
        <f t="shared" si="32"/>
        <v>"%USERPROFILE%\Documents\GitHub\eaglep3\Utilities\RefineRTDCRunTimes.py" --tripid 234-12 --locoid 4008 --swversion DE.1.0.7.0 --startMP 204:232989 --initTime 2016-10-12T22:47:45 --startdatetime 2016-10-12T22:56:16 --delay 1 --endMP 204:163 --enddatetime 2016-10-12T23:41:36 --enforcementcount 0 &gt;&gt;C:\Users\stu\Documents\GitHub\eaglep3-reporting\EC\2016-10-12-refined-times.txt</v>
      </c>
      <c r="AI125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{"issue":{"subject":"","project_id":79,"tracker_id":40,"status_id":1,"priority_id":2,"assigned_to_id":23,"start_date":"2016-10-12","description":"","custom_fields":[{"id":1,"name":"Subdivision","value":"EC"},{"id":4,"name":"Milepost","value":"0.0163"},{"id":17,"name":"Train ID","value":"234-12"},{"id":16,"name":"Locomotive ID","value":"4008"},{"id":130,"name":"Impact","value":""},{"id":150,"name":"Time of Event (Mountain Time)","value":"23:41:36"},{"id":151,"name":"Denver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554</v>
      </c>
      <c r="B126" s="7">
        <v>4053</v>
      </c>
      <c r="C126" s="22" t="s">
        <v>99</v>
      </c>
      <c r="D126" s="22" t="s">
        <v>468</v>
      </c>
      <c r="E126" s="13">
        <v>42655.928935185184</v>
      </c>
      <c r="F126" s="13">
        <v>42655.937962962962</v>
      </c>
      <c r="G126" s="7">
        <v>1</v>
      </c>
      <c r="H126" s="13" t="s">
        <v>555</v>
      </c>
      <c r="I126" s="13">
        <v>42655.964039351849</v>
      </c>
      <c r="J126" s="7">
        <v>0</v>
      </c>
      <c r="K126" s="112" t="str">
        <f t="shared" si="35"/>
        <v>4053/4054</v>
      </c>
      <c r="L126" s="22" t="str">
        <f>VLOOKUP(A126,'Trips&amp;Operators'!$C$1:$E$10000,3,FALSE)</f>
        <v>YOUNG</v>
      </c>
      <c r="M126" s="6">
        <f t="shared" si="36"/>
        <v>2.6076388887304347E-2</v>
      </c>
      <c r="N126" s="7">
        <f t="shared" si="46"/>
        <v>37.54999999771826</v>
      </c>
      <c r="O126" s="7"/>
      <c r="P126" s="7"/>
      <c r="Q126" s="23"/>
      <c r="R126" s="23"/>
      <c r="S126" s="35">
        <f t="shared" si="51"/>
        <v>1</v>
      </c>
      <c r="T126" s="50" t="str">
        <f t="shared" si="37"/>
        <v>NorthBound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21:17:40-0600',mode:absolute,to:'2016-10-13 00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 t="shared" si="39"/>
        <v>N</v>
      </c>
      <c r="X126" s="149">
        <f t="shared" si="47"/>
        <v>1</v>
      </c>
      <c r="Y126" s="67">
        <f t="shared" si="40"/>
        <v>4.6600000000000003E-2</v>
      </c>
      <c r="Z126" s="67">
        <f t="shared" si="34"/>
        <v>23.330400000000001</v>
      </c>
      <c r="AA126" s="67">
        <f t="shared" si="41"/>
        <v>23.283799999999999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2"/>
        <v>0235-12</v>
      </c>
      <c r="AE126" s="91" t="str">
        <f t="shared" si="48"/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AF126" s="88" t="str">
        <f t="shared" si="49"/>
        <v>"C:\Program Files (x86)\AstroGrep\AstroGrep.exe" /spath="%USERPROFILE%\AppData\Local\Temp\OnboardLogs" /stypes="app*4053*20161013*" /stext=" 05:.+((SYSTEM_STATE.+slice.+state.+changed )|(ment ac)|(system.+state.+changed )|(\[timeout)|(PRM\|1\|D)|(kpr)|(kdp)|(\|lc)|(penalty))" /e /r /s</v>
      </c>
      <c r="AG126" s="1" t="str">
        <f t="shared" si="50"/>
        <v>EC</v>
      </c>
      <c r="AH126" s="92" t="str">
        <f t="shared" si="32"/>
        <v>"%USERPROFILE%\Documents\GitHub\eaglep3\Utilities\RefineRTDCRunTimes.py" --tripid 235-12 --locoid 4053 --swversion DE.1.0.7.0 --startMP 204:466 --initTime 2016-10-12T22:17:40 --startdatetime 2016-10-12T22:30:40 --delay 1 --endMP 204:233304 --enddatetime 2016-10-12T23:08:13 --enforcementcount 0 &gt;&gt;C:\Users\stu\Documents\GitHub\eaglep3-reporting\EC\2016-10-12-refined-times.txt</v>
      </c>
      <c r="AI126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{"issue":{"subject":"","project_id":79,"tracker_id":40,"status_id":1,"priority_id":2,"assigned_to_id":23,"start_date":"2016-10-12","description":"","custom_fields":[{"id":1,"name":"Subdivision","value":"EC"},{"id":4,"name":"Milepost","value":"23.3304"},{"id":17,"name":"Train ID","value":"235-12"},{"id":16,"name":"Locomotive ID","value":"4053"},{"id":130,"name":"Impact","value":""},{"id":150,"name":"Time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556</v>
      </c>
      <c r="B127" s="7">
        <v>4018</v>
      </c>
      <c r="C127" s="22" t="s">
        <v>99</v>
      </c>
      <c r="D127" s="22" t="s">
        <v>448</v>
      </c>
      <c r="E127" s="13">
        <v>42655.952870370369</v>
      </c>
      <c r="F127" s="13">
        <v>42655.958564814813</v>
      </c>
      <c r="G127" s="7">
        <v>1</v>
      </c>
      <c r="H127" s="13" t="s">
        <v>557</v>
      </c>
      <c r="I127" s="13">
        <v>42655.985532407409</v>
      </c>
      <c r="J127" s="7">
        <v>0</v>
      </c>
      <c r="K127" s="112" t="str">
        <f t="shared" si="35"/>
        <v>4017/4018</v>
      </c>
      <c r="L127" s="22" t="str">
        <f>VLOOKUP(A127,'Trips&amp;Operators'!$C$1:$E$10000,3,FALSE)</f>
        <v>STURGEON</v>
      </c>
      <c r="M127" s="6">
        <f t="shared" si="36"/>
        <v>2.6967592595610768E-2</v>
      </c>
      <c r="N127" s="7">
        <f t="shared" si="46"/>
        <v>38.833333337679505</v>
      </c>
      <c r="O127" s="7"/>
      <c r="P127" s="7"/>
      <c r="Q127" s="23"/>
      <c r="R127" s="23"/>
      <c r="S127" s="35">
        <f t="shared" si="51"/>
        <v>1</v>
      </c>
      <c r="T127" s="50" t="str">
        <f t="shared" si="37"/>
        <v>NorthBound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21:52:08-0600',mode:absolute,to:'2016-10-13 00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39"/>
        <v>N</v>
      </c>
      <c r="X127" s="149">
        <f t="shared" si="47"/>
        <v>2</v>
      </c>
      <c r="Y127" s="67">
        <f t="shared" si="40"/>
        <v>4.5699999999999998E-2</v>
      </c>
      <c r="Z127" s="67">
        <f t="shared" si="34"/>
        <v>23.328900000000001</v>
      </c>
      <c r="AA127" s="67">
        <f t="shared" si="41"/>
        <v>23.283200000000001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2"/>
        <v>0237-12</v>
      </c>
      <c r="AE127" s="91" t="str">
        <f t="shared" si="48"/>
        <v>aws s3 cp s3://rtdc.mdm.uploadarchive.raw/RTDC4018/ "%USERPROFILE%\AppData\Local\Temp\OnboardLogs"\RTDC4018\2016-10-12 --exclude "*" --recursive --include "*20161012*" &amp; "%USERPROFILE%\Documents\GitHub\mrs-test-scripts\Headless Mode &amp; Sideloading\WalkAndUnGZ.bat" "%USERPROFILE%\AppData\Local\Temp\OnboardLogs"\RTDC4018\2016-10-12 &amp; 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</v>
      </c>
      <c r="AF127" s="88" t="str">
        <f t="shared" si="49"/>
        <v>"C:\Program Files (x86)\AstroGrep\AstroGrep.exe" /spath="%USERPROFILE%\AppData\Local\Temp\OnboardLogs" /stypes="app*4018*20161013*" /stext=" 05:.+((SYSTEM_STATE.+slice.+state.+changed )|(ment ac)|(system.+state.+changed )|(\[timeout)|(PRM\|1\|D)|(kpr)|(kdp)|(\|lc)|(penalty))" /e /r /s</v>
      </c>
      <c r="AG127" s="1" t="str">
        <f t="shared" si="50"/>
        <v>EC</v>
      </c>
      <c r="AH127" s="92" t="str">
        <f t="shared" si="32"/>
        <v>"%USERPROFILE%\Documents\GitHub\eaglep3\Utilities\RefineRTDCRunTimes.py" --tripid 237-12 --locoid 4018 --swversion DE.1.0.7.0 --startMP 204:457 --initTime 2016-10-12T22:52:08 --startdatetime 2016-10-12T23:00:20 --delay 1 --endMP 204:233289 --enddatetime 2016-10-12T23:39:10 --enforcementcount 0 &gt;&gt;C:\Users\stu\Documents\GitHub\eaglep3-reporting\EC\2016-10-12-refined-times.txt</v>
      </c>
      <c r="AI127" s="122" t="str">
        <f t="shared" si="33"/>
        <v>echo {"issue":{"subject":"","project_id":79,"tracker_id":40,"status_id":1,"priority_id":2,"assigned_to_id":23,"start_date":"2016-10-12","description":"","custom_fields":[{"id":1,"name":"Subdivision","value":"EC"},{"id":4,"name":"Milepost","value":"23.3289"},{"id":17,"name":"Train ID","value":"237-12"},{"id":16,"name":"Locomotive ID","value":"4018"},{"id":130,"name":"Impact","value":""},{"id":150,"name":"Time of Event (Mountain Time)","value":"23:39:10"},{"id":151,"name":"Denver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558</v>
      </c>
      <c r="B128" s="7">
        <v>4017</v>
      </c>
      <c r="C128" s="22" t="s">
        <v>99</v>
      </c>
      <c r="D128" s="22" t="s">
        <v>559</v>
      </c>
      <c r="E128" s="13">
        <v>42655.990648148145</v>
      </c>
      <c r="F128" s="13">
        <v>42655.997430555559</v>
      </c>
      <c r="G128" s="7">
        <v>6</v>
      </c>
      <c r="H128" s="13" t="s">
        <v>534</v>
      </c>
      <c r="I128" s="13">
        <v>42656.028622685182</v>
      </c>
      <c r="J128" s="7">
        <v>0</v>
      </c>
      <c r="K128" s="112" t="str">
        <f t="shared" si="35"/>
        <v>4017/4018</v>
      </c>
      <c r="L128" s="22" t="str">
        <f>VLOOKUP(A128,'Trips&amp;Operators'!$C$1:$E$10000,3,FALSE)</f>
        <v>STURGEON</v>
      </c>
      <c r="M128" s="6">
        <f t="shared" si="36"/>
        <v>3.1192129623377696E-2</v>
      </c>
      <c r="N128" s="7">
        <f t="shared" si="46"/>
        <v>44.916666657663882</v>
      </c>
      <c r="O128" s="7"/>
      <c r="P128" s="7"/>
      <c r="Q128" s="23"/>
      <c r="R128" s="23"/>
      <c r="S128" s="35">
        <f t="shared" si="51"/>
        <v>1</v>
      </c>
      <c r="T128" s="50" t="str">
        <f t="shared" si="37"/>
        <v>Southbound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22:46:32-0600',mode:absolute,to:'2016-10-13 01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39"/>
        <v>N</v>
      </c>
      <c r="X128" s="149">
        <f t="shared" si="47"/>
        <v>1</v>
      </c>
      <c r="Y128" s="67">
        <f t="shared" si="40"/>
        <v>23.2986</v>
      </c>
      <c r="Z128" s="67">
        <f t="shared" si="34"/>
        <v>1.6E-2</v>
      </c>
      <c r="AA128" s="67">
        <f t="shared" si="41"/>
        <v>23.282600000000002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2"/>
        <v>0238-12</v>
      </c>
      <c r="AE128" s="91" t="str">
        <f t="shared" si="48"/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AF128" s="88" t="str">
        <f t="shared" si="49"/>
        <v>"C:\Program Files (x86)\AstroGrep\AstroGrep.exe" /spath="%USERPROFILE%\AppData\Local\Temp\OnboardLogs" /stypes="app*4017*20161013*" /stext=" 06:.+((SYSTEM_STATE.+slice.+state.+changed )|(ment ac)|(system.+state.+changed )|(\[timeout)|(PRM\|1\|D)|(kpr)|(kdp)|(\|lc)|(penalty))" /e /r /s</v>
      </c>
      <c r="AG128" s="1" t="str">
        <f t="shared" si="50"/>
        <v>EC</v>
      </c>
      <c r="AH128" s="92" t="str">
        <f t="shared" si="32"/>
        <v>"%USERPROFILE%\Documents\GitHub\eaglep3\Utilities\RefineRTDCRunTimes.py" --tripid 238-12 --locoid 4017 --swversion DE.1.0.7.0 --startMP 204:232986 --initTime 2016-10-12T23:46:32 --startdatetime 2016-10-12T23:56:18 --delay 6 --endMP 204:160 --enddatetime 2016-10-13T00:41:13 --enforcementcount 0 &gt;&gt;C:\Users\stu\Documents\GitHub\eaglep3-reporting\EC\2016-10-12-refined-times.txt</v>
      </c>
      <c r="AI128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{"issue":{"subject":"","project_id":79,"tracker_id":40,"status_id":1,"priority_id":2,"assigned_to_id":23,"start_date":"2016-10-13","description":"","custom_fields":[{"id":1,"name":"Subdivision","value":"EC"},{"id":4,"name":"Milepost","value":"0.016"},{"id":17,"name":"Train ID","value":"238-12"},{"id":16,"name":"Locomotive ID","value":"4017"},{"id":130,"name":"Impact","value":""},{"id":150,"name":"Time of Event (Mountain Time)","value":"00:41:13"},{"id":151,"name":"Denver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560</v>
      </c>
      <c r="B129" s="7">
        <v>4016</v>
      </c>
      <c r="C129" s="22" t="s">
        <v>99</v>
      </c>
      <c r="D129" s="22" t="s">
        <v>448</v>
      </c>
      <c r="E129" s="13">
        <v>42655.973645833335</v>
      </c>
      <c r="F129" s="13">
        <v>42655.979525462964</v>
      </c>
      <c r="G129" s="7">
        <v>6</v>
      </c>
      <c r="H129" s="13" t="s">
        <v>561</v>
      </c>
      <c r="I129" s="13">
        <v>42656.006342592591</v>
      </c>
      <c r="J129" s="7">
        <v>0</v>
      </c>
      <c r="K129" s="112" t="str">
        <f t="shared" si="35"/>
        <v>4015/4016</v>
      </c>
      <c r="L129" s="22" t="str">
        <f>VLOOKUP(A129,'Trips&amp;Operators'!$C$1:$E$10000,3,FALSE)</f>
        <v>BRANDNER</v>
      </c>
      <c r="M129" s="6">
        <f t="shared" si="36"/>
        <v>2.6817129626579117E-2</v>
      </c>
      <c r="N129" s="7">
        <f t="shared" si="46"/>
        <v>38.616666662273929</v>
      </c>
      <c r="O129" s="7"/>
      <c r="P129" s="7"/>
      <c r="Q129" s="23"/>
      <c r="R129" s="23"/>
      <c r="S129" s="35">
        <f t="shared" si="51"/>
        <v>1</v>
      </c>
      <c r="T129" s="50" t="str">
        <f t="shared" si="37"/>
        <v>NorthBound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22:22:03-0600',mode:absolute,to:'2016-10-13 01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 t="shared" si="39"/>
        <v>N</v>
      </c>
      <c r="X129" s="149">
        <f t="shared" si="47"/>
        <v>1</v>
      </c>
      <c r="Y129" s="67">
        <f t="shared" si="40"/>
        <v>4.5699999999999998E-2</v>
      </c>
      <c r="Z129" s="67">
        <f t="shared" si="34"/>
        <v>23.3291</v>
      </c>
      <c r="AA129" s="67">
        <f t="shared" si="41"/>
        <v>23.2834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2"/>
        <v>0239-12</v>
      </c>
      <c r="AE129" s="91" t="str">
        <f t="shared" si="48"/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AF129" s="88" t="str">
        <f t="shared" si="49"/>
        <v>"C:\Program Files (x86)\AstroGrep\AstroGrep.exe" /spath="%USERPROFILE%\AppData\Local\Temp\OnboardLogs" /stypes="app*4016*20161013*" /stext=" 06:.+((SYSTEM_STATE.+slice.+state.+changed )|(ment ac)|(system.+state.+changed )|(\[timeout)|(PRM\|1\|D)|(kpr)|(kdp)|(\|lc)|(penalty))" /e /r /s</v>
      </c>
      <c r="AG129" s="1" t="str">
        <f t="shared" si="50"/>
        <v>EC</v>
      </c>
      <c r="AH129" s="92" t="str">
        <f t="shared" si="32"/>
        <v>"%USERPROFILE%\Documents\GitHub\eaglep3\Utilities\RefineRTDCRunTimes.py" --tripid 239-12 --locoid 4016 --swversion DE.1.0.7.0 --startMP 204:457 --initTime 2016-10-12T23:22:03 --startdatetime 2016-10-12T23:30:31 --delay 6 --endMP 204:233291 --enddatetime 2016-10-13T00:09:08 --enforcementcount 0 &gt;&gt;C:\Users\stu\Documents\GitHub\eaglep3-reporting\EC\2016-10-12-refined-times.txt</v>
      </c>
      <c r="AI129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{"issue":{"subject":"","project_id":79,"tracker_id":40,"status_id":1,"priority_id":2,"assigned_to_id":23,"start_date":"2016-10-13","description":"","custom_fields":[{"id":1,"name":"Subdivision","value":"EC"},{"id":4,"name":"Milepost","value":"23.3291"},{"id":17,"name":"Train ID","value":"239-12"},{"id":16,"name":"Locomotive ID","value":"4016"},{"id":130,"name":"Impact","value":""},{"id":150,"name":"Time of Event (Mountain Time)","value":"00:09:08"},{"id":151,"name":"Denver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562</v>
      </c>
      <c r="B130" s="7">
        <v>4015</v>
      </c>
      <c r="C130" s="22" t="s">
        <v>99</v>
      </c>
      <c r="D130" s="22" t="s">
        <v>418</v>
      </c>
      <c r="E130" s="13">
        <v>42656.009212962963</v>
      </c>
      <c r="F130" s="13">
        <v>42656.01840277778</v>
      </c>
      <c r="G130" s="7">
        <v>2</v>
      </c>
      <c r="H130" s="13" t="s">
        <v>563</v>
      </c>
      <c r="I130" s="13">
        <v>42656.047743055555</v>
      </c>
      <c r="J130" s="7">
        <v>0</v>
      </c>
      <c r="K130" s="112" t="str">
        <f t="shared" si="35"/>
        <v>4015/4016</v>
      </c>
      <c r="L130" s="22" t="str">
        <f>VLOOKUP(A130,'Trips&amp;Operators'!$C$1:$E$10000,3,FALSE)</f>
        <v>BRANDNER</v>
      </c>
      <c r="M130" s="6">
        <f t="shared" si="36"/>
        <v>2.9340277775190771E-2</v>
      </c>
      <c r="N130" s="7">
        <f t="shared" si="46"/>
        <v>42.24999999627471</v>
      </c>
      <c r="O130" s="7"/>
      <c r="P130" s="7"/>
      <c r="Q130" s="23"/>
      <c r="R130" s="23"/>
      <c r="S130" s="35">
        <f t="shared" si="51"/>
        <v>1</v>
      </c>
      <c r="T130" s="50" t="str">
        <f t="shared" si="37"/>
        <v>Southbound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23:13:16-0600',mode:absolute,to:'2016-10-13 02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 t="shared" si="39"/>
        <v>N</v>
      </c>
      <c r="X130" s="149">
        <f t="shared" si="47"/>
        <v>1</v>
      </c>
      <c r="Y130" s="67">
        <f t="shared" si="40"/>
        <v>23.2973</v>
      </c>
      <c r="Z130" s="67">
        <f t="shared" si="34"/>
        <v>1.6899999999999998E-2</v>
      </c>
      <c r="AA130" s="67">
        <f t="shared" si="41"/>
        <v>23.2804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2"/>
        <v>0240-12</v>
      </c>
      <c r="AE130" s="91" t="str">
        <f t="shared" si="48"/>
        <v>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 &amp; aws s3 cp s3://rtdc.mdm.uploadarchive.raw/RTDC4015/ "%USERPROFILE%\AppData\Local\Temp\OnboardLogs"\RTDC4015\2016-10-14 --exclude "*" --recursive --include "*20161014*" &amp; "%USERPROFILE%\Documents\GitHub\mrs-test-scripts\Headless Mode &amp; Sideloading\WalkAndUnGZ.bat" "%USERPROFILE%\AppData\Local\Temp\OnboardLogs"\RTDC4015\2016-10-14</v>
      </c>
      <c r="AF130" s="88" t="str">
        <f t="shared" si="49"/>
        <v>"C:\Program Files (x86)\AstroGrep\AstroGrep.exe" /spath="%USERPROFILE%\AppData\Local\Temp\OnboardLogs" /stypes="app*4015*20161013*" /stext=" 07:.+((SYSTEM_STATE.+slice.+state.+changed )|(ment ac)|(system.+state.+changed )|(\[timeout)|(PRM\|1\|D)|(kpr)|(kdp)|(\|lc)|(penalty))" /e /r /s</v>
      </c>
      <c r="AG130" s="1" t="str">
        <f t="shared" si="50"/>
        <v>EC</v>
      </c>
      <c r="AH130" s="92" t="str">
        <f t="shared" si="32"/>
        <v>"%USERPROFILE%\Documents\GitHub\eaglep3\Utilities\RefineRTDCRunTimes.py" --tripid 240-12 --locoid 4015 --swversion DE.1.0.7.0 --startMP 204:232973 --initTime 2016-10-13T00:13:16 --startdatetime 2016-10-13T00:26:30 --delay 2 --endMP 204:169 --enddatetime 2016-10-13T01:08:45 --enforcementcount 0 &gt;&gt;C:\Users\stu\Documents\GitHub\eaglep3-reporting\EC\2016-10-12-refined-times.txt</v>
      </c>
      <c r="AI130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{"issue":{"subject":"","project_id":79,"tracker_id":40,"status_id":1,"priority_id":2,"assigned_to_id":23,"start_date":"2016-10-13","description":"","custom_fields":[{"id":1,"name":"Subdivision","value":"EC"},{"id":4,"name":"Milepost","value":"0.0169"},{"id":17,"name":"Train ID","value":"240-12"},{"id":16,"name":"Locomotive ID","value":"4015"},{"id":130,"name":"Impact","value":""},{"id":150,"name":"Time of Event (Mountain Time)","value":"01:08:45"},{"id":151,"name":"Denver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564</v>
      </c>
      <c r="B131" s="7">
        <v>4007</v>
      </c>
      <c r="C131" s="22" t="s">
        <v>99</v>
      </c>
      <c r="D131" s="22" t="s">
        <v>565</v>
      </c>
      <c r="E131" s="13">
        <v>42655.993541666663</v>
      </c>
      <c r="F131" s="13">
        <v>42656.000243055554</v>
      </c>
      <c r="G131" s="7">
        <v>1</v>
      </c>
      <c r="H131" s="13" t="s">
        <v>473</v>
      </c>
      <c r="I131" s="13">
        <v>42656.026863425926</v>
      </c>
      <c r="J131" s="7">
        <v>0</v>
      </c>
      <c r="K131" s="112" t="str">
        <f t="shared" si="35"/>
        <v>4007/4008</v>
      </c>
      <c r="L131" s="22" t="str">
        <f>VLOOKUP(A131,'Trips&amp;Operators'!$C$1:$E$10000,3,FALSE)</f>
        <v>BERLING</v>
      </c>
      <c r="M131" s="6">
        <f t="shared" si="36"/>
        <v>2.662037037225673E-2</v>
      </c>
      <c r="N131" s="7">
        <f t="shared" si="46"/>
        <v>38.333333336049691</v>
      </c>
      <c r="O131" s="7"/>
      <c r="P131" s="7"/>
      <c r="Q131" s="23"/>
      <c r="R131" s="23"/>
      <c r="S131" s="35">
        <f t="shared" si="51"/>
        <v>1</v>
      </c>
      <c r="T131" s="50" t="str">
        <f t="shared" si="37"/>
        <v>NorthBound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22:50:42-0600',mode:absolute,to:'2016-10-13 01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1" s="52" t="str">
        <f t="shared" si="39"/>
        <v>N</v>
      </c>
      <c r="X131" s="149">
        <f t="shared" si="47"/>
        <v>1</v>
      </c>
      <c r="Y131" s="67">
        <f t="shared" si="40"/>
        <v>4.6899999999999997E-2</v>
      </c>
      <c r="Z131" s="67">
        <f t="shared" si="34"/>
        <v>23.329499999999999</v>
      </c>
      <c r="AA131" s="67">
        <f t="shared" si="41"/>
        <v>23.282599999999999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2"/>
        <v>0241-12</v>
      </c>
      <c r="AE131" s="91" t="str">
        <f t="shared" si="48"/>
        <v>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 &amp; aws s3 cp s3://rtdc.mdm.uploadarchive.raw/RTDC4007/ "%USERPROFILE%\AppData\Local\Temp\OnboardLogs"\RTDC4007\2016-10-14 --exclude "*" --recursive --include "*20161014*" &amp; "%USERPROFILE%\Documents\GitHub\mrs-test-scripts\Headless Mode &amp; Sideloading\WalkAndUnGZ.bat" "%USERPROFILE%\AppData\Local\Temp\OnboardLogs"\RTDC4007\2016-10-14</v>
      </c>
      <c r="AF131" s="88" t="str">
        <f t="shared" si="49"/>
        <v>"C:\Program Files (x86)\AstroGrep\AstroGrep.exe" /spath="%USERPROFILE%\AppData\Local\Temp\OnboardLogs" /stypes="app*4007*20161013*" /stext=" 06:.+((SYSTEM_STATE.+slice.+state.+changed )|(ment ac)|(system.+state.+changed )|(\[timeout)|(PRM\|1\|D)|(kpr)|(kdp)|(\|lc)|(penalty))" /e /r /s</v>
      </c>
      <c r="AG131" s="1" t="str">
        <f t="shared" si="50"/>
        <v>EC</v>
      </c>
      <c r="AH131" s="92" t="str">
        <f t="shared" si="32"/>
        <v>"%USERPROFILE%\Documents\GitHub\eaglep3\Utilities\RefineRTDCRunTimes.py" --tripid 241-12 --locoid 4007 --swversion DE.1.0.7.0 --startMP 204:469 --initTime 2016-10-12T23:50:42 --startdatetime 2016-10-13T00:00:21 --delay 1 --endMP 204:233295 --enddatetime 2016-10-13T00:38:41 --enforcementcount 0 &gt;&gt;C:\Users\stu\Documents\GitHub\eaglep3-reporting\EC\2016-10-12-refined-times.txt</v>
      </c>
      <c r="AI131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{"issue":{"subject":"","project_id":79,"tracker_id":40,"status_id":1,"priority_id":2,"assigned_to_id":23,"start_date":"2016-10-13","description":"","custom_fields":[{"id":1,"name":"Subdivision","value":"EC"},{"id":4,"name":"Milepost","value":"23.3295"},{"id":17,"name":"Train ID","value":"241-12"},{"id":16,"name":"Locomotive ID","value":"4007"},{"id":130,"name":"Impact","value":""},{"id":150,"name":"Time of Event (Mountain Time)","value":"00:38:41"},{"id":151,"name":"Denver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x14ac:dyDescent="0.25">
      <c r="A132" s="37" t="s">
        <v>566</v>
      </c>
      <c r="B132" s="7">
        <v>4008</v>
      </c>
      <c r="C132" s="22" t="s">
        <v>99</v>
      </c>
      <c r="D132" s="22" t="s">
        <v>418</v>
      </c>
      <c r="E132" s="13">
        <v>42656.036550925928</v>
      </c>
      <c r="F132" s="13">
        <v>42656.039178240739</v>
      </c>
      <c r="G132" s="7">
        <v>0</v>
      </c>
      <c r="H132" s="13" t="s">
        <v>427</v>
      </c>
      <c r="I132" s="13">
        <v>42656.070474537039</v>
      </c>
      <c r="J132" s="7">
        <v>0</v>
      </c>
      <c r="K132" s="112" t="str">
        <f t="shared" si="35"/>
        <v>4007/4008</v>
      </c>
      <c r="L132" s="22" t="str">
        <f>VLOOKUP(A132,'Trips&amp;Operators'!$C$1:$E$10000,3,FALSE)</f>
        <v>BERLING</v>
      </c>
      <c r="M132" s="6">
        <f t="shared" si="36"/>
        <v>3.1296296299842652E-2</v>
      </c>
      <c r="N132" s="7">
        <f t="shared" si="46"/>
        <v>45.066666671773419</v>
      </c>
      <c r="O132" s="7"/>
      <c r="P132" s="7"/>
      <c r="Q132" s="23"/>
      <c r="R132" s="23"/>
      <c r="S132" s="35">
        <f t="shared" si="51"/>
        <v>1</v>
      </c>
      <c r="T132" s="50" t="str">
        <f t="shared" si="37"/>
        <v>Southbound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23:52:38-0600',mode:absolute,to:'2016-10-13 02:41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2" s="52" t="str">
        <f t="shared" si="39"/>
        <v>N</v>
      </c>
      <c r="X132" s="149">
        <f t="shared" si="47"/>
        <v>1</v>
      </c>
      <c r="Y132" s="67">
        <f t="shared" si="40"/>
        <v>23.2973</v>
      </c>
      <c r="Z132" s="67">
        <f t="shared" si="34"/>
        <v>1.3599999999999999E-2</v>
      </c>
      <c r="AA132" s="67">
        <f t="shared" si="41"/>
        <v>23.2837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2"/>
        <v>0242-12</v>
      </c>
      <c r="AE132" s="91" t="str">
        <f t="shared" si="48"/>
        <v>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 &amp; aws s3 cp s3://rtdc.mdm.uploadarchive.raw/RTDC4008/ "%USERPROFILE%\AppData\Local\Temp\OnboardLogs"\RTDC4008\2016-10-14 --exclude "*" --recursive --include "*20161014*" &amp; "%USERPROFILE%\Documents\GitHub\mrs-test-scripts\Headless Mode &amp; Sideloading\WalkAndUnGZ.bat" "%USERPROFILE%\AppData\Local\Temp\OnboardLogs"\RTDC4008\2016-10-14</v>
      </c>
      <c r="AF132" s="88" t="str">
        <f t="shared" si="49"/>
        <v>"C:\Program Files (x86)\AstroGrep\AstroGrep.exe" /spath="%USERPROFILE%\AppData\Local\Temp\OnboardLogs" /stypes="app*4008*20161013*" /stext=" 07:.+((SYSTEM_STATE.+slice.+state.+changed )|(ment ac)|(system.+state.+changed )|(\[timeout)|(PRM\|1\|D)|(kpr)|(kdp)|(\|lc)|(penalty))" /e /r /s</v>
      </c>
      <c r="AG132" s="1" t="str">
        <f t="shared" si="50"/>
        <v>EC</v>
      </c>
      <c r="AH132" s="92" t="str">
        <f t="shared" si="32"/>
        <v>"%USERPROFILE%\Documents\GitHub\eaglep3\Utilities\RefineRTDCRunTimes.py" --tripid 242-12 --locoid 4008 --swversion DE.1.0.7.0 --startMP 204:232973 --initTime 2016-10-13T00:52:38 --startdatetime 2016-10-13T00:56:25 --delay 0 --endMP 204:136 --enddatetime 2016-10-13T01:41:29 --enforcementcount 0 &gt;&gt;C:\Users\stu\Documents\GitHub\eaglep3-reporting\EC\2016-10-12-refined-times.txt</v>
      </c>
      <c r="AI132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{"issue":{"subject":"","project_id":79,"tracker_id":40,"status_id":1,"priority_id":2,"assigned_to_id":23,"start_date":"2016-10-13","description":"","custom_fields":[{"id":1,"name":"Subdivision","value":"EC"},{"id":4,"name":"Milepost","value":"0.0136"},{"id":17,"name":"Train ID","value":"242-12"},{"id":16,"name":"Locomotive ID","value":"4008"},{"id":130,"name":"Impact","value":""},{"id":150,"name":"Time of Event (Mountain Time)","value":"01:41:29"},{"id":151,"name":"Denver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s="21" customFormat="1" x14ac:dyDescent="0.25">
      <c r="A133" s="37" t="s">
        <v>567</v>
      </c>
      <c r="B133" s="7">
        <v>4029</v>
      </c>
      <c r="C133" s="22" t="s">
        <v>99</v>
      </c>
      <c r="D133" s="22" t="s">
        <v>568</v>
      </c>
      <c r="E133" s="13">
        <v>42656.005810185183</v>
      </c>
      <c r="F133" s="13">
        <v>42656.021157407406</v>
      </c>
      <c r="G133" s="7">
        <v>1</v>
      </c>
      <c r="H133" s="13" t="s">
        <v>569</v>
      </c>
      <c r="I133" s="13">
        <v>42656.05228009259</v>
      </c>
      <c r="J133" s="7">
        <v>0</v>
      </c>
      <c r="K133" s="112" t="str">
        <f t="shared" si="35"/>
        <v>4029/4030</v>
      </c>
      <c r="L133" s="22" t="str">
        <f>VLOOKUP(A133,'Trips&amp;Operators'!$C$1:$E$10000,3,FALSE)</f>
        <v>DELGADO</v>
      </c>
      <c r="M133" s="6">
        <f t="shared" si="36"/>
        <v>3.1122685184527654E-2</v>
      </c>
      <c r="N133" s="7">
        <f t="shared" si="46"/>
        <v>44.816666665719822</v>
      </c>
      <c r="O133" s="7"/>
      <c r="P133" s="7"/>
      <c r="Q133" s="23"/>
      <c r="R133" s="23"/>
      <c r="S133" s="35">
        <f t="shared" si="51"/>
        <v>1</v>
      </c>
      <c r="T133" s="50" t="str">
        <f t="shared" si="37"/>
        <v>NorthBound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23:08:22-0600',mode:absolute,to:'2016-10-13 02:15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3" s="52" t="str">
        <f t="shared" si="39"/>
        <v>N</v>
      </c>
      <c r="X133" s="149">
        <f t="shared" si="47"/>
        <v>1</v>
      </c>
      <c r="Y133" s="67">
        <f t="shared" si="40"/>
        <v>0.1205</v>
      </c>
      <c r="Z133" s="67">
        <f t="shared" si="34"/>
        <v>23.29</v>
      </c>
      <c r="AA133" s="67">
        <f t="shared" si="41"/>
        <v>23.169499999999999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2"/>
        <v>0243-12</v>
      </c>
      <c r="AE133" s="91" t="str">
        <f t="shared" si="48"/>
        <v>aws s3 cp s3://rtdc.mdm.uploadarchive.raw/RTDC4029/ "%USERPROFILE%\AppData\Local\Temp\OnboardLogs"\RTDC4029\2016-10-13 --exclude "*" --recursive --include "*20161013*" &amp; "%USERPROFILE%\Documents\GitHub\mrs-test-scripts\Headless Mode &amp; Sideloading\WalkAndUnGZ.bat" "%USERPROFILE%\AppData\Local\Temp\OnboardLogs"\RTDC4029\2016-10-13 &amp; aws s3 cp s3://rtdc.mdm.uploadarchive.raw/RTDC4029/ "%USERPROFILE%\AppData\Local\Temp\OnboardLogs"\RTDC4029\2016-10-14 --exclude "*" --recursive --include "*20161014*" &amp; "%USERPROFILE%\Documents\GitHub\mrs-test-scripts\Headless Mode &amp; Sideloading\WalkAndUnGZ.bat" "%USERPROFILE%\AppData\Local\Temp\OnboardLogs"\RTDC4029\2016-10-14</v>
      </c>
      <c r="AF133" s="88" t="str">
        <f t="shared" si="49"/>
        <v>"C:\Program Files (x86)\AstroGrep\AstroGrep.exe" /spath="%USERPROFILE%\AppData\Local\Temp\OnboardLogs" /stypes="app*4029*20161013*" /stext=" 07:.+((SYSTEM_STATE.+slice.+state.+changed )|(ment ac)|(system.+state.+changed )|(\[timeout)|(PRM\|1\|D)|(kpr)|(kdp)|(\|lc)|(penalty))" /e /r /s</v>
      </c>
      <c r="AG133" s="1" t="str">
        <f t="shared" si="50"/>
        <v>EC</v>
      </c>
      <c r="AH133" s="92" t="str">
        <f t="shared" si="32"/>
        <v>"%USERPROFILE%\Documents\GitHub\eaglep3\Utilities\RefineRTDCRunTimes.py" --tripid 243-12 --locoid 4029 --swversion DE.1.0.7.0 --startMP 204:1205 --initTime 2016-10-13T00:08:22 --startdatetime 2016-10-13T00:30:28 --delay 1 --endMP 204:232900 --enddatetime 2016-10-13T01:15:17 --enforcementcount 0 &gt;&gt;C:\Users\stu\Documents\GitHub\eaglep3-reporting\EC\2016-10-12-refined-times.txt</v>
      </c>
      <c r="AI133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{"issue":{"subject":"","project_id":79,"tracker_id":40,"status_id":1,"priority_id":2,"assigned_to_id":23,"start_date":"2016-10-13","description":"","custom_fields":[{"id":1,"name":"Subdivision","value":"EC"},{"id":4,"name":"Milepost","value":"23.29"},{"id":17,"name":"Train ID","value":"243-12"},{"id":16,"name":"Locomotive ID","value":"4029"},{"id":130,"name":"Impact","value":""},{"id":150,"name":"Time of Event (Mountain Time)","value":"01:15:17"},{"id":151,"name":"Denver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570</v>
      </c>
      <c r="B134" s="7">
        <v>4030</v>
      </c>
      <c r="C134" s="22" t="s">
        <v>99</v>
      </c>
      <c r="D134" s="22" t="s">
        <v>328</v>
      </c>
      <c r="E134" s="13">
        <v>42656.057604166665</v>
      </c>
      <c r="F134" s="13">
        <v>42656.060081018521</v>
      </c>
      <c r="G134" s="7">
        <v>1</v>
      </c>
      <c r="H134" s="13" t="s">
        <v>347</v>
      </c>
      <c r="I134" s="13">
        <v>42656.088680555556</v>
      </c>
      <c r="J134" s="7">
        <v>0</v>
      </c>
      <c r="K134" s="112" t="str">
        <f t="shared" si="35"/>
        <v>4029/4030</v>
      </c>
      <c r="L134" s="22" t="str">
        <f>VLOOKUP(A134,'Trips&amp;Operators'!$C$1:$E$10000,3,FALSE)</f>
        <v>DELGADO</v>
      </c>
      <c r="M134" s="6">
        <f t="shared" si="36"/>
        <v>2.8599537035916001E-2</v>
      </c>
      <c r="N134" s="7">
        <f t="shared" si="46"/>
        <v>41.183333331719041</v>
      </c>
      <c r="O134" s="7"/>
      <c r="P134" s="7"/>
      <c r="Q134" s="23"/>
      <c r="R134" s="23"/>
      <c r="S134" s="35">
        <f t="shared" si="51"/>
        <v>1</v>
      </c>
      <c r="T134" s="50" t="str">
        <f t="shared" si="37"/>
        <v>Southbound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https://search-rtdc-monitor-bjffxe2xuh6vdkpspy63sjmuny.us-east-1.es.amazonaws.com/_plugin/kibana/#/discover/Steve-Slow-Train-Analysis-(2080s-and-2083s)?_g=(refreshInterval:(display:Off,section:0,value:0),time:(from:'2016-10-13 00:22:57-0600',mode:absolute,to:'2016-10-13 03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4" s="52" t="str">
        <f t="shared" si="39"/>
        <v>N</v>
      </c>
      <c r="X134" s="149">
        <f t="shared" si="47"/>
        <v>1</v>
      </c>
      <c r="Y134" s="67">
        <f t="shared" si="40"/>
        <v>23.2668</v>
      </c>
      <c r="Z134" s="67">
        <f t="shared" si="34"/>
        <v>1.49E-2</v>
      </c>
      <c r="AA134" s="67">
        <f t="shared" si="41"/>
        <v>23.251899999999999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2"/>
        <v>0244-12</v>
      </c>
      <c r="AE134" s="91" t="str">
        <f t="shared" si="48"/>
        <v>aws s3 cp s3://rtdc.mdm.uploadarchive.raw/RTDC4030/ "%USERPROFILE%\AppData\Local\Temp\OnboardLogs"\RTDC4030\2016-10-13 --exclude "*" --recursive --include "*20161013*" &amp; "%USERPROFILE%\Documents\GitHub\mrs-test-scripts\Headless Mode &amp; Sideloading\WalkAndUnGZ.bat" "%USERPROFILE%\AppData\Local\Temp\OnboardLogs"\RTDC4030\2016-10-13 &amp; aws s3 cp s3://rtdc.mdm.uploadarchive.raw/RTDC4030/ "%USERPROFILE%\AppData\Local\Temp\OnboardLogs"\RTDC4030\2016-10-14 --exclude "*" --recursive --include "*20161014*" &amp; "%USERPROFILE%\Documents\GitHub\mrs-test-scripts\Headless Mode &amp; Sideloading\WalkAndUnGZ.bat" "%USERPROFILE%\AppData\Local\Temp\OnboardLogs"\RTDC4030\2016-10-14</v>
      </c>
      <c r="AF134" s="88" t="str">
        <f t="shared" si="49"/>
        <v>"C:\Program Files (x86)\AstroGrep\AstroGrep.exe" /spath="%USERPROFILE%\AppData\Local\Temp\OnboardLogs" /stypes="app*4030*20161013*" /stext=" 08:.+((SYSTEM_STATE.+slice.+state.+changed )|(ment ac)|(system.+state.+changed )|(\[timeout)|(PRM\|1\|D)|(kpr)|(kdp)|(\|lc)|(penalty))" /e /r /s</v>
      </c>
      <c r="AG134" s="1" t="str">
        <f t="shared" si="50"/>
        <v>EC</v>
      </c>
      <c r="AH134" s="92" t="str">
        <f t="shared" si="32"/>
        <v>"%USERPROFILE%\Documents\GitHub\eaglep3\Utilities\RefineRTDCRunTimes.py" --tripid 244-12 --locoid 4030 --swversion DE.1.0.7.0 --startMP 204:232668 --initTime 2016-10-13T01:22:57 --startdatetime 2016-10-13T01:26:31 --delay 1 --endMP 204:149 --enddatetime 2016-10-13T02:07:42 --enforcementcount 0 &gt;&gt;C:\Users\stu\Documents\GitHub\eaglep3-reporting\EC\2016-10-12-refined-times.txt</v>
      </c>
      <c r="AI134" s="122" t="str">
        <f t="shared" si="33"/>
        <v>echo {"issue":{"subject":"","project_id":79,"tracker_id":40,"status_id":1,"priority_id":2,"assigned_to_id":23,"start_date":"2016-10-13","description":"","custom_fields":[{"id":1,"name":"Subdivision","value":"EC"},{"id":4,"name":"Milepost","value":"0.0149"},{"id":17,"name":"Train ID","value":"244-12"},{"id":16,"name":"Locomotive ID","value":"4030"},{"id":130,"name":"Impact","value":""},{"id":150,"name":"Time of Event (Mountain Time)","value":"02:07:42"},{"id":151,"name":"Denver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s="21" customFormat="1" x14ac:dyDescent="0.25">
      <c r="A135" s="37" t="s">
        <v>286</v>
      </c>
      <c r="B135" s="7">
        <v>4037</v>
      </c>
      <c r="C135" s="22" t="s">
        <v>99</v>
      </c>
      <c r="D135" s="22" t="s">
        <v>571</v>
      </c>
      <c r="E135" s="13">
        <v>42655.21597222222</v>
      </c>
      <c r="F135" s="13">
        <v>42655.217627314814</v>
      </c>
      <c r="G135" s="7">
        <v>1</v>
      </c>
      <c r="H135" s="13" t="s">
        <v>331</v>
      </c>
      <c r="I135" s="13">
        <v>42655.227060185185</v>
      </c>
      <c r="J135" s="7">
        <v>0</v>
      </c>
      <c r="K135" s="112" t="str">
        <f t="shared" si="35"/>
        <v>4037/4038</v>
      </c>
      <c r="L135" s="22" t="str">
        <f>VLOOKUP(A135,'Trips&amp;Operators'!$C$1:$E$10000,3,FALSE)</f>
        <v>STARKS</v>
      </c>
      <c r="M135" s="6">
        <f t="shared" si="36"/>
        <v>9.4328703708015382E-3</v>
      </c>
      <c r="N135" s="7">
        <f t="shared" si="46"/>
        <v>13.583333333954215</v>
      </c>
      <c r="O135" s="7"/>
      <c r="P135" s="7"/>
      <c r="Q135" s="23"/>
      <c r="R135" s="23"/>
      <c r="S135" s="35">
        <f t="shared" si="51"/>
        <v>1</v>
      </c>
      <c r="T135" s="50" t="str">
        <f t="shared" si="37"/>
        <v>Southbound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</v>
      </c>
      <c r="V135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04:11:00-0600',mode:absolute,to:'2016-10-12 06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 t="shared" si="39"/>
        <v>N</v>
      </c>
      <c r="X135" s="149">
        <f t="shared" si="47"/>
        <v>556</v>
      </c>
      <c r="Y135" s="67">
        <f t="shared" si="40"/>
        <v>5.8611000000000004</v>
      </c>
      <c r="Z135" s="67">
        <f t="shared" si="34"/>
        <v>7.4999999999999997E-2</v>
      </c>
      <c r="AA135" s="67">
        <f t="shared" si="41"/>
        <v>5.7861000000000002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2"/>
        <v>0800-12</v>
      </c>
      <c r="AE135" s="91" t="str">
        <f t="shared" si="48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35" s="88" t="str">
        <f t="shared" si="49"/>
        <v>"C:\Program Files (x86)\AstroGrep\AstroGrep.exe" /spath="%USERPROFILE%\AppData\Local\Temp\OnboardLogs" /stypes="app*4037*20161012*" /stext=" 11:.+((SYSTEM_STATE.+slice.+state.+changed )|(ment ac)|(system.+state.+changed )|(\[timeout)|(PRM\|1\|D)|(kpr)|(kdp)|(\|lc)|(penalty))" /e /r /s</v>
      </c>
      <c r="AG135" s="1" t="str">
        <f t="shared" si="50"/>
        <v>NW</v>
      </c>
      <c r="AH135" s="92" t="str">
        <f t="shared" ref="AH135:AH196" si="52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800-12 --locoid 4037 --swversion DE.1.0.7.0 --startMP 300:58611 --initTime 2016-10-12T05:11:00 --startdatetime 2016-10-12T05:13:23 --delay 1 --endMP 204:750 --enddatetime 2016-10-12T05:26:58 --enforcementcount 0 &gt;&gt;C:\Users\stu\Documents\GitHub\eaglep3-reporting\EC\2016-10-12-refined-times.txt</v>
      </c>
      <c r="AI135" s="122" t="str">
        <f t="shared" ref="AI135:AI196" si="53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{"issue":{"subject":"","project_id":79,"tracker_id":40,"status_id":1,"priority_id":2,"assigned_to_id":23,"start_date":"2016-10-12","description":"","custom_fields":[{"id":1,"name":"Subdivision","value":"NW"},{"id":4,"name":"Milepost","value":"0.075"},{"id":17,"name":"Train ID","value":"800-12"},{"id":16,"name":"Locomotive ID","value":"4037"},{"id":130,"name":"Impact","value":""},{"id":150,"name":"Time of Event (Mountain Time)","value":"05:26:58"},{"id":151,"name":"Denver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290</v>
      </c>
      <c r="B136" s="7">
        <v>4038</v>
      </c>
      <c r="C136" s="22" t="s">
        <v>99</v>
      </c>
      <c r="D136" s="22" t="s">
        <v>572</v>
      </c>
      <c r="E136" s="13">
        <v>42655.228055555555</v>
      </c>
      <c r="F136" s="13">
        <v>42655.244016203702</v>
      </c>
      <c r="G136" s="7">
        <v>1</v>
      </c>
      <c r="H136" s="13" t="s">
        <v>573</v>
      </c>
      <c r="I136" s="13">
        <v>42655.254363425927</v>
      </c>
      <c r="J136" s="7">
        <v>0</v>
      </c>
      <c r="K136" s="112" t="str">
        <f t="shared" si="35"/>
        <v>4037/4038</v>
      </c>
      <c r="L136" s="22" t="str">
        <f>VLOOKUP(A136,'Trips&amp;Operators'!$C$1:$E$10000,3,FALSE)</f>
        <v>STARKS</v>
      </c>
      <c r="M136" s="6">
        <f t="shared" si="36"/>
        <v>1.0347222225391306E-2</v>
      </c>
      <c r="N136" s="7">
        <f t="shared" si="46"/>
        <v>14.900000004563481</v>
      </c>
      <c r="O136" s="7"/>
      <c r="P136" s="7"/>
      <c r="Q136" s="23"/>
      <c r="R136" s="23"/>
      <c r="S136" s="35">
        <f t="shared" si="51"/>
        <v>1</v>
      </c>
      <c r="T136" s="50" t="str">
        <f t="shared" si="37"/>
        <v>NorthBound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</v>
      </c>
      <c r="V136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04:28:24-0600',mode:absolute,to:'2016-10-12 07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6" s="52" t="str">
        <f t="shared" si="39"/>
        <v>N</v>
      </c>
      <c r="X136" s="149">
        <f t="shared" si="47"/>
        <v>1</v>
      </c>
      <c r="Y136" s="67">
        <f t="shared" si="40"/>
        <v>0.1028</v>
      </c>
      <c r="Z136" s="67">
        <f t="shared" si="34"/>
        <v>5.8924000000000003</v>
      </c>
      <c r="AA136" s="67">
        <f t="shared" si="41"/>
        <v>5.7896000000000001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2"/>
        <v>0801-12</v>
      </c>
      <c r="AE136" s="91" t="str">
        <f t="shared" si="48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36" s="88" t="str">
        <f t="shared" si="49"/>
        <v>"C:\Program Files (x86)\AstroGrep\AstroGrep.exe" /spath="%USERPROFILE%\AppData\Local\Temp\OnboardLogs" /stypes="app*4038*20161012*" /stext=" 12:.+((SYSTEM_STATE.+slice.+state.+changed )|(ment ac)|(system.+state.+changed )|(\[timeout)|(PRM\|1\|D)|(kpr)|(kdp)|(\|lc)|(penalty))" /e /r /s</v>
      </c>
      <c r="AG136" s="1" t="str">
        <f t="shared" si="50"/>
        <v>NW</v>
      </c>
      <c r="AH136" s="92" t="str">
        <f t="shared" si="52"/>
        <v>"%USERPROFILE%\Documents\GitHub\eaglep3\Utilities\RefineRTDCRunTimes.py" --tripid 801-12 --locoid 4038 --swversion DE.1.0.7.0 --startMP 204:1028 --initTime 2016-10-12T05:28:24 --startdatetime 2016-10-12T05:51:23 --delay 1 --endMP 300:58924 --enddatetime 2016-10-12T06:06:17 --enforcementcount 0 &gt;&gt;C:\Users\stu\Documents\GitHub\eaglep3-reporting\EC\2016-10-12-refined-times.txt</v>
      </c>
      <c r="AI13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{"issue":{"subject":"","project_id":79,"tracker_id":40,"status_id":1,"priority_id":2,"assigned_to_id":23,"start_date":"2016-10-12","description":"","custom_fields":[{"id":1,"name":"Subdivision","value":"NW"},{"id":4,"name":"Milepost","value":"5.8924"},{"id":17,"name":"Train ID","value":"801-12"},{"id":16,"name":"Locomotive ID","value":"4038"},{"id":130,"name":"Impact","value":""},{"id":150,"name":"Time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291</v>
      </c>
      <c r="B137" s="7">
        <v>4037</v>
      </c>
      <c r="C137" s="22" t="s">
        <v>99</v>
      </c>
      <c r="D137" s="22" t="s">
        <v>574</v>
      </c>
      <c r="E137" s="13">
        <v>42655.255358796298</v>
      </c>
      <c r="F137" s="13">
        <v>42655.257164351853</v>
      </c>
      <c r="G137" s="7">
        <v>1</v>
      </c>
      <c r="H137" s="13" t="s">
        <v>575</v>
      </c>
      <c r="I137" s="13">
        <v>42655.268854166665</v>
      </c>
      <c r="J137" s="7">
        <v>0</v>
      </c>
      <c r="K137" s="112" t="str">
        <f t="shared" si="35"/>
        <v>4037/4038</v>
      </c>
      <c r="L137" s="22" t="str">
        <f>VLOOKUP(A137,'Trips&amp;Operators'!$C$1:$E$10000,3,FALSE)</f>
        <v>STARKS</v>
      </c>
      <c r="M137" s="6">
        <f t="shared" si="36"/>
        <v>1.1689814811688848E-2</v>
      </c>
      <c r="N137" s="7">
        <f t="shared" si="46"/>
        <v>16.833333328831941</v>
      </c>
      <c r="O137" s="7"/>
      <c r="P137" s="7"/>
      <c r="Q137" s="23"/>
      <c r="R137" s="23"/>
      <c r="S137" s="35">
        <f t="shared" si="51"/>
        <v>1</v>
      </c>
      <c r="T137" s="50" t="str">
        <f t="shared" si="37"/>
        <v>Southbound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</v>
      </c>
      <c r="V137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05:07:43-0600',mode:absolute,to:'2016-10-12 07:27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7" s="52" t="str">
        <f t="shared" si="39"/>
        <v>N</v>
      </c>
      <c r="X137" s="149">
        <f t="shared" si="47"/>
        <v>1</v>
      </c>
      <c r="Y137" s="67">
        <f t="shared" si="40"/>
        <v>5.8613</v>
      </c>
      <c r="Z137" s="67">
        <f t="shared" si="34"/>
        <v>7.17E-2</v>
      </c>
      <c r="AA137" s="67">
        <f t="shared" si="41"/>
        <v>5.7896000000000001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2"/>
        <v>0802-12</v>
      </c>
      <c r="AE137" s="91" t="str">
        <f t="shared" si="48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37" s="88" t="str">
        <f t="shared" si="49"/>
        <v>"C:\Program Files (x86)\AstroGrep\AstroGrep.exe" /spath="%USERPROFILE%\AppData\Local\Temp\OnboardLogs" /stypes="app*4037*20161012*" /stext=" 12:.+((SYSTEM_STATE.+slice.+state.+changed )|(ment ac)|(system.+state.+changed )|(\[timeout)|(PRM\|1\|D)|(kpr)|(kdp)|(\|lc)|(penalty))" /e /r /s</v>
      </c>
      <c r="AG137" s="1" t="str">
        <f t="shared" si="50"/>
        <v>NW</v>
      </c>
      <c r="AH137" s="92" t="str">
        <f t="shared" si="52"/>
        <v>"%USERPROFILE%\Documents\GitHub\eaglep3\Utilities\RefineRTDCRunTimes.py" --tripid 802-12 --locoid 4037 --swversion DE.1.0.7.0 --startMP 300:58613 --initTime 2016-10-12T06:07:43 --startdatetime 2016-10-12T06:10:19 --delay 1 --endMP 204:717 --enddatetime 2016-10-12T06:27:09 --enforcementcount 0 &gt;&gt;C:\Users\stu\Documents\GitHub\eaglep3-reporting\EC\2016-10-12-refined-times.txt</v>
      </c>
      <c r="AI13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{"issue":{"subject":"","project_id":79,"tracker_id":40,"status_id":1,"priority_id":2,"assigned_to_id":23,"start_date":"2016-10-12","description":"","custom_fields":[{"id":1,"name":"Subdivision","value":"NW"},{"id":4,"name":"Milepost","value":"0.0717"},{"id":17,"name":"Train ID","value":"802-12"},{"id":16,"name":"Locomotive ID","value":"4037"},{"id":130,"name":"Impact","value":""},{"id":150,"name":"Time of Event (Mountain Time)","value":"06:27:09"},{"id":151,"name":"Denver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292</v>
      </c>
      <c r="B138" s="7">
        <v>4003</v>
      </c>
      <c r="C138" s="22" t="s">
        <v>99</v>
      </c>
      <c r="D138" s="22" t="s">
        <v>576</v>
      </c>
      <c r="E138" s="13">
        <v>42655.256666666668</v>
      </c>
      <c r="F138" s="13">
        <v>42655.265914351854</v>
      </c>
      <c r="G138" s="7">
        <v>2</v>
      </c>
      <c r="H138" s="13" t="s">
        <v>577</v>
      </c>
      <c r="I138" s="13">
        <v>42655.275057870371</v>
      </c>
      <c r="J138" s="7">
        <v>0</v>
      </c>
      <c r="K138" s="112" t="str">
        <f t="shared" si="35"/>
        <v>4003/4004</v>
      </c>
      <c r="L138" s="22" t="str">
        <f>VLOOKUP(A138,'Trips&amp;Operators'!$C$1:$E$10000,3,FALSE)</f>
        <v>GEBRETEKLE</v>
      </c>
      <c r="M138" s="6">
        <f t="shared" si="36"/>
        <v>9.1435185167938471E-3</v>
      </c>
      <c r="N138" s="7">
        <f t="shared" si="46"/>
        <v>13.16666666418314</v>
      </c>
      <c r="O138" s="7"/>
      <c r="P138" s="7"/>
      <c r="Q138" s="23"/>
      <c r="R138" s="23"/>
      <c r="S138" s="35">
        <f t="shared" si="51"/>
        <v>1</v>
      </c>
      <c r="T138" s="50" t="str">
        <f t="shared" si="37"/>
        <v>NorthBound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</v>
      </c>
      <c r="V138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05:09:36-0600',mode:absolute,to:'2016-10-12 07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52" t="str">
        <f t="shared" si="39"/>
        <v>N</v>
      </c>
      <c r="X138" s="149">
        <f t="shared" si="47"/>
        <v>1</v>
      </c>
      <c r="Y138" s="67">
        <f t="shared" si="40"/>
        <v>9.6500000000000002E-2</v>
      </c>
      <c r="Z138" s="67">
        <f t="shared" si="34"/>
        <v>5.9013999999999998</v>
      </c>
      <c r="AA138" s="67">
        <f t="shared" si="41"/>
        <v>5.8048999999999999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2"/>
        <v>0803-12</v>
      </c>
      <c r="AE138" s="91" t="str">
        <f t="shared" si="48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38" s="88" t="str">
        <f t="shared" si="49"/>
        <v>"C:\Program Files (x86)\AstroGrep\AstroGrep.exe" /spath="%USERPROFILE%\AppData\Local\Temp\OnboardLogs" /stypes="app*4003*20161012*" /stext=" 12:.+((SYSTEM_STATE.+slice.+state.+changed )|(ment ac)|(system.+state.+changed )|(\[timeout)|(PRM\|1\|D)|(kpr)|(kdp)|(\|lc)|(penalty))" /e /r /s</v>
      </c>
      <c r="AG138" s="1" t="str">
        <f t="shared" si="50"/>
        <v>NW</v>
      </c>
      <c r="AH138" s="92" t="str">
        <f t="shared" si="52"/>
        <v>"%USERPROFILE%\Documents\GitHub\eaglep3\Utilities\RefineRTDCRunTimes.py" --tripid 803-12 --locoid 4003 --swversion DE.1.0.7.0 --startMP 204:965 --initTime 2016-10-12T06:09:36 --startdatetime 2016-10-12T06:22:55 --delay 2 --endMP 300:59014 --enddatetime 2016-10-12T06:36:05 --enforcementcount 0 &gt;&gt;C:\Users\stu\Documents\GitHub\eaglep3-reporting\EC\2016-10-12-refined-times.txt</v>
      </c>
      <c r="AI13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{"issue":{"subject":"","project_id":79,"tracker_id":40,"status_id":1,"priority_id":2,"assigned_to_id":23,"start_date":"2016-10-12","description":"","custom_fields":[{"id":1,"name":"Subdivision","value":"NW"},{"id":4,"name":"Milepost","value":"5.9014"},{"id":17,"name":"Train ID","value":"803-12"},{"id":16,"name":"Locomotive ID","value":"4003"},{"id":130,"name":"Impact","value":""},{"id":150,"name":"Time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x14ac:dyDescent="0.25">
      <c r="A139" s="37" t="s">
        <v>269</v>
      </c>
      <c r="B139" s="7">
        <v>4004</v>
      </c>
      <c r="C139" s="22" t="s">
        <v>99</v>
      </c>
      <c r="D139" s="22" t="s">
        <v>578</v>
      </c>
      <c r="E139" s="13">
        <v>42655.276365740741</v>
      </c>
      <c r="F139" s="13">
        <v>42655.278368055559</v>
      </c>
      <c r="G139" s="7">
        <v>1</v>
      </c>
      <c r="H139" s="13" t="s">
        <v>579</v>
      </c>
      <c r="I139" s="13">
        <v>42655.288680555554</v>
      </c>
      <c r="J139" s="7">
        <v>0</v>
      </c>
      <c r="K139" s="112" t="str">
        <f t="shared" si="35"/>
        <v>4003/4004</v>
      </c>
      <c r="L139" s="22" t="str">
        <f>VLOOKUP(A139,'Trips&amp;Operators'!$C$1:$E$10000,3,FALSE)</f>
        <v>GEBRETEKLE</v>
      </c>
      <c r="M139" s="6">
        <f t="shared" si="36"/>
        <v>1.0312499995052349E-2</v>
      </c>
      <c r="N139" s="7">
        <f t="shared" si="46"/>
        <v>14.849999992875382</v>
      </c>
      <c r="O139" s="7"/>
      <c r="P139" s="7"/>
      <c r="Q139" s="23"/>
      <c r="R139" s="23"/>
      <c r="S139" s="35">
        <f t="shared" si="51"/>
        <v>1</v>
      </c>
      <c r="T139" s="50" t="str">
        <f t="shared" si="37"/>
        <v>Southbound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</v>
      </c>
      <c r="V139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05:37:58-0600',mode:absolute,to:'2016-10-12 07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52" t="str">
        <f t="shared" si="39"/>
        <v>N</v>
      </c>
      <c r="X139" s="149">
        <f t="shared" si="47"/>
        <v>1</v>
      </c>
      <c r="Y139" s="67">
        <f t="shared" si="40"/>
        <v>5.8696000000000002</v>
      </c>
      <c r="Z139" s="67">
        <f t="shared" ref="Z139:Z202" si="54">RIGHT(H139,LEN(H139)-4)/10000</f>
        <v>6.8900000000000003E-2</v>
      </c>
      <c r="AA139" s="67">
        <f t="shared" si="41"/>
        <v>5.8007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2"/>
        <v>0804-12</v>
      </c>
      <c r="AE139" s="91" t="str">
        <f t="shared" si="48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39" s="88" t="str">
        <f t="shared" si="49"/>
        <v>"C:\Program Files (x86)\AstroGrep\AstroGrep.exe" /spath="%USERPROFILE%\AppData\Local\Temp\OnboardLogs" /stypes="app*4004*20161012*" /stext=" 12:.+((SYSTEM_STATE.+slice.+state.+changed )|(ment ac)|(system.+state.+changed )|(\[timeout)|(PRM\|1\|D)|(kpr)|(kdp)|(\|lc)|(penalty))" /e /r /s</v>
      </c>
      <c r="AG139" s="1" t="str">
        <f t="shared" si="50"/>
        <v>NW</v>
      </c>
      <c r="AH139" s="92" t="str">
        <f t="shared" si="52"/>
        <v>"%USERPROFILE%\Documents\GitHub\eaglep3\Utilities\RefineRTDCRunTimes.py" --tripid 804-12 --locoid 4004 --swversion DE.1.0.7.0 --startMP 300:58696 --initTime 2016-10-12T06:37:58 --startdatetime 2016-10-12T06:40:51 --delay 1 --endMP 204:689 --enddatetime 2016-10-12T06:55:42 --enforcementcount 0 &gt;&gt;C:\Users\stu\Documents\GitHub\eaglep3-reporting\EC\2016-10-12-refined-times.txt</v>
      </c>
      <c r="AI13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{"issue":{"subject":"","project_id":79,"tracker_id":40,"status_id":1,"priority_id":2,"assigned_to_id":23,"start_date":"2016-10-12","description":"","custom_fields":[{"id":1,"name":"Subdivision","value":"NW"},{"id":4,"name":"Milepost","value":"0.0689"},{"id":17,"name":"Train ID","value":"804-12"},{"id":16,"name":"Locomotive ID","value":"4004"},{"id":130,"name":"Impact","value":""},{"id":150,"name":"Time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x14ac:dyDescent="0.25">
      <c r="A140" s="37" t="s">
        <v>294</v>
      </c>
      <c r="B140" s="7">
        <v>4038</v>
      </c>
      <c r="C140" s="22" t="s">
        <v>99</v>
      </c>
      <c r="D140" s="22" t="s">
        <v>580</v>
      </c>
      <c r="E140" s="13">
        <v>42655.270856481482</v>
      </c>
      <c r="F140" s="13">
        <v>42655.285601851851</v>
      </c>
      <c r="G140" s="7">
        <v>1</v>
      </c>
      <c r="H140" s="13" t="s">
        <v>581</v>
      </c>
      <c r="I140" s="13">
        <v>42655.295532407406</v>
      </c>
      <c r="J140" s="7">
        <v>0</v>
      </c>
      <c r="K140" s="112" t="str">
        <f t="shared" si="35"/>
        <v>4037/4038</v>
      </c>
      <c r="L140" s="22" t="str">
        <f>VLOOKUP(A140,'Trips&amp;Operators'!$C$1:$E$10000,3,FALSE)</f>
        <v>STARKS</v>
      </c>
      <c r="M140" s="6">
        <f t="shared" si="36"/>
        <v>9.930555555911269E-3</v>
      </c>
      <c r="N140" s="7">
        <f t="shared" si="46"/>
        <v>14.300000000512227</v>
      </c>
      <c r="O140" s="7"/>
      <c r="P140" s="7"/>
      <c r="Q140" s="23"/>
      <c r="R140" s="23"/>
      <c r="S140" s="35">
        <f t="shared" si="51"/>
        <v>1</v>
      </c>
      <c r="T140" s="50" t="str">
        <f t="shared" si="37"/>
        <v>NorthBound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</v>
      </c>
      <c r="V140" s="98" t="str">
        <f t="shared" si="38"/>
        <v>https://search-rtdc-monitor-bjffxe2xuh6vdkpspy63sjmuny.us-east-1.es.amazonaws.com/_plugin/kibana/#/discover/Steve-Slow-Train-Analysis-(2080s-and-2083s)?_g=(refreshInterval:(display:Off,section:0,value:0),time:(from:'2016-10-12 05:30:02-0600',mode:absolute,to:'2016-10-12 08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0" s="52" t="str">
        <f t="shared" si="39"/>
        <v>N</v>
      </c>
      <c r="X140" s="149">
        <f t="shared" si="47"/>
        <v>1</v>
      </c>
      <c r="Y140" s="67">
        <f t="shared" si="40"/>
        <v>0.1</v>
      </c>
      <c r="Z140" s="67">
        <f t="shared" si="54"/>
        <v>5.8936999999999999</v>
      </c>
      <c r="AA140" s="67">
        <f t="shared" si="41"/>
        <v>5.7937000000000003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2"/>
        <v>0805-12</v>
      </c>
      <c r="AE140" s="91" t="str">
        <f t="shared" ref="AE140:AE171" si="55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40" s="88" t="str">
        <f t="shared" ref="AF140:AF171" si="56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/stypes="app*4038*20161012*" /stext=" 13:.+((SYSTEM_STATE.+slice.+state.+changed )|(ment ac)|(system.+state.+changed )|(\[timeout)|(PRM\|1\|D)|(kpr)|(kdp)|(\|lc)|(penalty))" /e /r /s</v>
      </c>
      <c r="AG140" s="1" t="str">
        <f t="shared" si="50"/>
        <v>NW</v>
      </c>
      <c r="AH140" s="92" t="str">
        <f t="shared" si="52"/>
        <v>"%USERPROFILE%\Documents\GitHub\eaglep3\Utilities\RefineRTDCRunTimes.py" --tripid 805-12 --locoid 4038 --swversion DE.1.0.7.0 --startMP 204:1000 --initTime 2016-10-12T06:30:02 --startdatetime 2016-10-12T06:51:16 --delay 1 --endMP 300:58937 --enddatetime 2016-10-12T07:05:34 --enforcementcount 0 &gt;&gt;C:\Users\stu\Documents\GitHub\eaglep3-reporting\EC\2016-10-12-refined-times.txt</v>
      </c>
      <c r="AI14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{"issue":{"subject":"","project_id":79,"tracker_id":40,"status_id":1,"priority_id":2,"assigned_to_id":23,"start_date":"2016-10-12","description":"","custom_fields":[{"id":1,"name":"Subdivision","value":"NW"},{"id":4,"name":"Milepost","value":"5.8937"},{"id":17,"name":"Train ID","value":"805-12"},{"id":16,"name":"Locomotive ID","value":"4038"},{"id":130,"name":"Impact","value":""},{"id":150,"name":"Time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582</v>
      </c>
      <c r="B141" s="7">
        <v>4037</v>
      </c>
      <c r="C141" s="22" t="s">
        <v>99</v>
      </c>
      <c r="D141" s="22" t="s">
        <v>583</v>
      </c>
      <c r="E141" s="13">
        <v>42655.296493055554</v>
      </c>
      <c r="F141" s="13">
        <v>42655.299085648148</v>
      </c>
      <c r="G141" s="7">
        <v>1</v>
      </c>
      <c r="H141" s="13" t="s">
        <v>584</v>
      </c>
      <c r="I141" s="13">
        <v>42655.309849537036</v>
      </c>
      <c r="J141" s="7">
        <v>0</v>
      </c>
      <c r="K141" s="112" t="str">
        <f t="shared" ref="K141:K204" si="57">IF(ISEVEN(B141),(B141-1)&amp;"/"&amp;B141,B141&amp;"/"&amp;(B141+1))</f>
        <v>4037/4038</v>
      </c>
      <c r="L141" s="22" t="str">
        <f>VLOOKUP(A141,'Trips&amp;Operators'!$C$1:$E$10000,3,FALSE)</f>
        <v>STARKS</v>
      </c>
      <c r="M141" s="6">
        <f t="shared" ref="M141:M204" si="58">I141-F141</f>
        <v>1.0763888887595385E-2</v>
      </c>
      <c r="N141" s="7">
        <f t="shared" si="46"/>
        <v>15.499999998137355</v>
      </c>
      <c r="O141" s="7"/>
      <c r="P141" s="7"/>
      <c r="Q141" s="23"/>
      <c r="R141" s="23"/>
      <c r="S141" s="35">
        <f t="shared" si="51"/>
        <v>1</v>
      </c>
      <c r="T141" s="50" t="str">
        <f t="shared" ref="T141:T204" si="59">IF(ISEVEN(LEFT(AD141,4)),"Southbound","NorthBound")</f>
        <v>Southbound</v>
      </c>
      <c r="U141" s="14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</v>
      </c>
      <c r="V141" s="98" t="str">
        <f t="shared" ref="V141:V204" si="6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https://search-rtdc-monitor-bjffxe2xuh6vdkpspy63sjmuny.us-east-1.es.amazonaws.com/_plugin/kibana/#/discover/Steve-Slow-Train-Analysis-(2080s-and-2083s)?_g=(refreshInterval:(display:Off,section:0,value:0),time:(from:'2016-10-12 06:06:57-0600',mode:absolute,to:'2016-10-12 08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1" s="52" t="str">
        <f t="shared" ref="W141:W204" si="61">IF(AA141&lt;IF(AG141="EC",23,5.65),"Y","N")</f>
        <v>N</v>
      </c>
      <c r="X141" s="149">
        <f t="shared" si="47"/>
        <v>1</v>
      </c>
      <c r="Y141" s="67">
        <f t="shared" ref="Y141:Y204" si="62">RIGHT(D141,LEN(D141)-4)/10000</f>
        <v>5.8620999999999999</v>
      </c>
      <c r="Z141" s="67">
        <f t="shared" si="54"/>
        <v>7.1900000000000006E-2</v>
      </c>
      <c r="AA141" s="67">
        <f t="shared" ref="AA141:AA204" si="63">ABS(Z141-Y141)</f>
        <v>5.7901999999999996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64">IF(LEN(A141)=6,"0"&amp;A141,A141)</f>
        <v>0806-12</v>
      </c>
      <c r="AE141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41" s="88" t="str">
        <f t="shared" si="56"/>
        <v>"C:\Program Files (x86)\AstroGrep\AstroGrep.exe" /spath="%USERPROFILE%\AppData\Local\Temp\OnboardLogs" /stypes="app*4037*20161012*" /stext=" 13:.+((SYSTEM_STATE.+slice.+state.+changed )|(ment ac)|(system.+state.+changed )|(\[timeout)|(PRM\|1\|D)|(kpr)|(kdp)|(\|lc)|(penalty))" /e /r /s</v>
      </c>
      <c r="AG141" s="1" t="str">
        <f t="shared" si="50"/>
        <v>NW</v>
      </c>
      <c r="AH141" s="92" t="str">
        <f t="shared" si="52"/>
        <v>"%USERPROFILE%\Documents\GitHub\eaglep3\Utilities\RefineRTDCRunTimes.py" --tripid 806-12 --locoid 4037 --swversion DE.1.0.7.0 --startMP 300:58621 --initTime 2016-10-12T07:06:57 --startdatetime 2016-10-12T07:10:41 --delay 1 --endMP 204:719 --enddatetime 2016-10-12T07:26:11 --enforcementcount 0 &gt;&gt;C:\Users\stu\Documents\GitHub\eaglep3-reporting\EC\2016-10-12-refined-times.txt</v>
      </c>
      <c r="AI14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{"issue":{"subject":"","project_id":79,"tracker_id":40,"status_id":1,"priority_id":2,"assigned_to_id":23,"start_date":"2016-10-12","description":"","custom_fields":[{"id":1,"name":"Subdivision","value":"NW"},{"id":4,"name":"Milepost","value":"0.0719"},{"id":17,"name":"Train ID","value":"806-12"},{"id":16,"name":"Locomotive ID","value":"4037"},{"id":130,"name":"Impact","value":""},{"id":150,"name":"Time of Event (Mountain Time)","value":"07:26:11"},{"id":151,"name":"Denver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585</v>
      </c>
      <c r="B142" s="7">
        <v>4003</v>
      </c>
      <c r="C142" s="22" t="s">
        <v>99</v>
      </c>
      <c r="D142" s="22" t="s">
        <v>586</v>
      </c>
      <c r="E142" s="13">
        <v>42655.303749999999</v>
      </c>
      <c r="F142" s="13">
        <v>42655.306423611109</v>
      </c>
      <c r="G142" s="7">
        <v>1</v>
      </c>
      <c r="H142" s="13" t="s">
        <v>587</v>
      </c>
      <c r="I142" s="13">
        <v>42655.315625000003</v>
      </c>
      <c r="J142" s="7">
        <v>0</v>
      </c>
      <c r="K142" s="112" t="str">
        <f t="shared" si="57"/>
        <v>4003/4004</v>
      </c>
      <c r="L142" s="22" t="str">
        <f>VLOOKUP(A142,'Trips&amp;Operators'!$C$1:$E$10000,3,FALSE)</f>
        <v>GEBRETEKLE</v>
      </c>
      <c r="M142" s="6">
        <f t="shared" si="58"/>
        <v>9.2013888934161514E-3</v>
      </c>
      <c r="N142" s="7">
        <f t="shared" si="46"/>
        <v>13.250000006519258</v>
      </c>
      <c r="O142" s="7"/>
      <c r="P142" s="7"/>
      <c r="Q142" s="23"/>
      <c r="R142" s="23"/>
      <c r="S142" s="35">
        <f t="shared" si="51"/>
        <v>1</v>
      </c>
      <c r="T142" s="50" t="str">
        <f t="shared" si="59"/>
        <v>NorthBound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</v>
      </c>
      <c r="V14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06:17:24-0600',mode:absolute,to:'2016-10-12 08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2" s="52" t="str">
        <f t="shared" si="61"/>
        <v>N</v>
      </c>
      <c r="X142" s="149">
        <f t="shared" si="47"/>
        <v>1</v>
      </c>
      <c r="Y142" s="67">
        <f t="shared" si="62"/>
        <v>9.9900000000000003E-2</v>
      </c>
      <c r="Z142" s="67">
        <f t="shared" si="54"/>
        <v>5.8998999999999997</v>
      </c>
      <c r="AA142" s="67">
        <f t="shared" si="63"/>
        <v>5.8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64"/>
        <v>0807-12</v>
      </c>
      <c r="AE142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2" s="88" t="str">
        <f t="shared" si="56"/>
        <v>"C:\Program Files (x86)\AstroGrep\AstroGrep.exe" /spath="%USERPROFILE%\AppData\Local\Temp\OnboardLogs" /stypes="app*4003*20161012*" /stext=" 13:.+((SYSTEM_STATE.+slice.+state.+changed )|(ment ac)|(system.+state.+changed )|(\[timeout)|(PRM\|1\|D)|(kpr)|(kdp)|(\|lc)|(penalty))" /e /r /s</v>
      </c>
      <c r="AG142" s="1" t="str">
        <f t="shared" si="50"/>
        <v>NW</v>
      </c>
      <c r="AH142" s="92" t="str">
        <f t="shared" si="52"/>
        <v>"%USERPROFILE%\Documents\GitHub\eaglep3\Utilities\RefineRTDCRunTimes.py" --tripid 807-12 --locoid 4003 --swversion DE.1.0.7.0 --startMP 204:999 --initTime 2016-10-12T07:17:24 --startdatetime 2016-10-12T07:21:15 --delay 1 --endMP 300:58999 --enddatetime 2016-10-12T07:34:30 --enforcementcount 0 &gt;&gt;C:\Users\stu\Documents\GitHub\eaglep3-reporting\EC\2016-10-12-refined-times.txt</v>
      </c>
      <c r="AI14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{"issue":{"subject":"","project_id":79,"tracker_id":40,"status_id":1,"priority_id":2,"assigned_to_id":23,"start_date":"2016-10-12","description":"","custom_fields":[{"id":1,"name":"Subdivision","value":"NW"},{"id":4,"name":"Milepost","value":"5.8999"},{"id":17,"name":"Train ID","value":"807-12"},{"id":16,"name":"Locomotive ID","value":"4003"},{"id":130,"name":"Impact","value":""},{"id":150,"name":"Time of Event (Mountain Time)","value":"07:34:30"},{"id":151,"name":"Denver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588</v>
      </c>
      <c r="B143" s="7">
        <v>4004</v>
      </c>
      <c r="C143" s="22" t="s">
        <v>99</v>
      </c>
      <c r="D143" s="22" t="s">
        <v>589</v>
      </c>
      <c r="E143" s="13">
        <v>42655.316805555558</v>
      </c>
      <c r="F143" s="13">
        <v>42655.318229166667</v>
      </c>
      <c r="G143" s="7">
        <v>1</v>
      </c>
      <c r="H143" s="13" t="s">
        <v>590</v>
      </c>
      <c r="I143" s="13">
        <v>42655.330636574072</v>
      </c>
      <c r="J143" s="7">
        <v>0</v>
      </c>
      <c r="K143" s="112" t="str">
        <f t="shared" si="57"/>
        <v>4003/4004</v>
      </c>
      <c r="L143" s="22" t="str">
        <f>VLOOKUP(A143,'Trips&amp;Operators'!$C$1:$E$10000,3,FALSE)</f>
        <v>GEBRETEKLE</v>
      </c>
      <c r="M143" s="6">
        <f t="shared" si="58"/>
        <v>1.2407407404680271E-2</v>
      </c>
      <c r="N143" s="7">
        <f t="shared" si="46"/>
        <v>17.86666666273959</v>
      </c>
      <c r="O143" s="7"/>
      <c r="P143" s="7"/>
      <c r="Q143" s="23"/>
      <c r="R143" s="23"/>
      <c r="S143" s="35">
        <f t="shared" si="51"/>
        <v>1</v>
      </c>
      <c r="T143" s="50" t="str">
        <f t="shared" si="59"/>
        <v>Southbound</v>
      </c>
      <c r="U143" s="14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06:36:12-0600',mode:absolute,to:'2016-10-12 08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3" s="52" t="str">
        <f t="shared" si="61"/>
        <v>N</v>
      </c>
      <c r="X143" s="149">
        <f t="shared" si="47"/>
        <v>1</v>
      </c>
      <c r="Y143" s="67">
        <f t="shared" si="62"/>
        <v>5.8682999999999996</v>
      </c>
      <c r="Z143" s="67">
        <f t="shared" si="54"/>
        <v>7.1199999999999999E-2</v>
      </c>
      <c r="AA143" s="67">
        <f t="shared" si="63"/>
        <v>5.7970999999999995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64"/>
        <v>0808-12</v>
      </c>
      <c r="AE143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3" s="88" t="str">
        <f t="shared" si="56"/>
        <v>"C:\Program Files (x86)\AstroGrep\AstroGrep.exe" /spath="%USERPROFILE%\AppData\Local\Temp\OnboardLogs" /stypes="app*4004*20161012*" /stext=" 13:.+((SYSTEM_STATE.+slice.+state.+changed )|(ment ac)|(system.+state.+changed )|(\[timeout)|(PRM\|1\|D)|(kpr)|(kdp)|(\|lc)|(penalty))" /e /r /s</v>
      </c>
      <c r="AG143" s="1" t="str">
        <f t="shared" si="50"/>
        <v>NW</v>
      </c>
      <c r="AH143" s="92" t="str">
        <f t="shared" si="52"/>
        <v>"%USERPROFILE%\Documents\GitHub\eaglep3\Utilities\RefineRTDCRunTimes.py" --tripid 808-12 --locoid 4004 --swversion DE.1.0.7.0 --startMP 300:58683 --initTime 2016-10-12T07:36:12 --startdatetime 2016-10-12T07:38:15 --delay 1 --endMP 204:712 --enddatetime 2016-10-12T07:56:07 --enforcementcount 0 &gt;&gt;C:\Users\stu\Documents\GitHub\eaglep3-reporting\EC\2016-10-12-refined-times.txt</v>
      </c>
      <c r="AI14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{"issue":{"subject":"","project_id":79,"tracker_id":40,"status_id":1,"priority_id":2,"assigned_to_id":23,"start_date":"2016-10-12","description":"","custom_fields":[{"id":1,"name":"Subdivision","value":"NW"},{"id":4,"name":"Milepost","value":"0.0712"},{"id":17,"name":"Train ID","value":"808-12"},{"id":16,"name":"Locomotive ID","value":"4004"},{"id":130,"name":"Impact","value":""},{"id":150,"name":"Time of Event (Mountain Time)","value":"07:56:07"},{"id":151,"name":"Denver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591</v>
      </c>
      <c r="B144" s="7">
        <v>4038</v>
      </c>
      <c r="C144" s="22" t="s">
        <v>99</v>
      </c>
      <c r="D144" s="22" t="s">
        <v>592</v>
      </c>
      <c r="E144" s="13">
        <v>42655.312048611115</v>
      </c>
      <c r="F144" s="13">
        <v>42655.328055555554</v>
      </c>
      <c r="G144" s="7">
        <v>0</v>
      </c>
      <c r="H144" s="13" t="s">
        <v>593</v>
      </c>
      <c r="I144" s="13">
        <v>42655.337650462963</v>
      </c>
      <c r="J144" s="7">
        <v>0</v>
      </c>
      <c r="K144" s="112" t="str">
        <f t="shared" si="57"/>
        <v>4037/4038</v>
      </c>
      <c r="L144" s="22" t="str">
        <f>VLOOKUP(A144,'Trips&amp;Operators'!$C$1:$E$10000,3,FALSE)</f>
        <v>STARKS</v>
      </c>
      <c r="M144" s="6">
        <f t="shared" si="58"/>
        <v>9.5949074093368836E-3</v>
      </c>
      <c r="N144" s="7">
        <f t="shared" si="46"/>
        <v>13.816666669445112</v>
      </c>
      <c r="O144" s="7"/>
      <c r="P144" s="7"/>
      <c r="Q144" s="23"/>
      <c r="R144" s="23"/>
      <c r="S144" s="35">
        <f t="shared" si="51"/>
        <v>1</v>
      </c>
      <c r="T144" s="50" t="str">
        <f t="shared" si="59"/>
        <v>NorthBound</v>
      </c>
      <c r="U144" s="14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06:29:21-0600',mode:absolute,to:'2016-10-12 09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4" s="52" t="str">
        <f t="shared" si="61"/>
        <v>N</v>
      </c>
      <c r="X144" s="149">
        <f t="shared" si="47"/>
        <v>1</v>
      </c>
      <c r="Y144" s="67">
        <f t="shared" si="62"/>
        <v>0.1014</v>
      </c>
      <c r="Z144" s="67">
        <f t="shared" si="54"/>
        <v>5.8939000000000004</v>
      </c>
      <c r="AA144" s="67">
        <f t="shared" si="63"/>
        <v>5.7925000000000004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4"/>
        <v>0809-12</v>
      </c>
      <c r="AE144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44" s="88" t="str">
        <f t="shared" si="56"/>
        <v>"C:\Program Files (x86)\AstroGrep\AstroGrep.exe" /spath="%USERPROFILE%\AppData\Local\Temp\OnboardLogs" /stypes="app*4038*20161012*" /stext=" 14:.+((SYSTEM_STATE.+slice.+state.+changed )|(ment ac)|(system.+state.+changed )|(\[timeout)|(PRM\|1\|D)|(kpr)|(kdp)|(\|lc)|(penalty))" /e /r /s</v>
      </c>
      <c r="AG144" s="1" t="str">
        <f t="shared" si="50"/>
        <v>NW</v>
      </c>
      <c r="AH144" s="92" t="str">
        <f t="shared" si="52"/>
        <v>"%USERPROFILE%\Documents\GitHub\eaglep3\Utilities\RefineRTDCRunTimes.py" --tripid 809-12 --locoid 4038 --swversion DE.1.0.7.0 --startMP 204:1014 --initTime 2016-10-12T07:29:21 --startdatetime 2016-10-12T07:52:24 --delay 0 --endMP 300:58939 --enddatetime 2016-10-12T08:06:13 --enforcementcount 0 &gt;&gt;C:\Users\stu\Documents\GitHub\eaglep3-reporting\EC\2016-10-12-refined-times.txt</v>
      </c>
      <c r="AI14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{"issue":{"subject":"","project_id":79,"tracker_id":40,"status_id":1,"priority_id":2,"assigned_to_id":23,"start_date":"2016-10-12","description":"","custom_fields":[{"id":1,"name":"Subdivision","value":"NW"},{"id":4,"name":"Milepost","value":"5.8939"},{"id":17,"name":"Train ID","value":"809-12"},{"id":16,"name":"Locomotive ID","value":"4038"},{"id":130,"name":"Impact","value":""},{"id":150,"name":"Time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594</v>
      </c>
      <c r="B145" s="7">
        <v>4037</v>
      </c>
      <c r="C145" s="22" t="s">
        <v>99</v>
      </c>
      <c r="D145" s="22" t="s">
        <v>595</v>
      </c>
      <c r="E145" s="13">
        <v>42655.33865740741</v>
      </c>
      <c r="F145" s="13">
        <v>42655.339814814812</v>
      </c>
      <c r="G145" s="7">
        <v>1</v>
      </c>
      <c r="H145" s="13" t="s">
        <v>596</v>
      </c>
      <c r="I145" s="13">
        <v>42655.351539351854</v>
      </c>
      <c r="J145" s="7">
        <v>0</v>
      </c>
      <c r="K145" s="112" t="str">
        <f t="shared" si="57"/>
        <v>4037/4038</v>
      </c>
      <c r="L145" s="22" t="str">
        <f>VLOOKUP(A145,'Trips&amp;Operators'!$C$1:$E$10000,3,FALSE)</f>
        <v>STARKS</v>
      </c>
      <c r="M145" s="6">
        <f t="shared" si="58"/>
        <v>1.1724537042027805E-2</v>
      </c>
      <c r="N145" s="7">
        <f t="shared" si="46"/>
        <v>16.883333340520039</v>
      </c>
      <c r="O145" s="7"/>
      <c r="P145" s="7"/>
      <c r="Q145" s="23"/>
      <c r="R145" s="23"/>
      <c r="S145" s="35">
        <f t="shared" si="51"/>
        <v>1</v>
      </c>
      <c r="T145" s="50" t="str">
        <f t="shared" si="59"/>
        <v>Southbound</v>
      </c>
      <c r="U145" s="14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07:07:40-0600',mode:absolute,to:'2016-10-12 09:26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5" s="52" t="str">
        <f t="shared" si="61"/>
        <v>N</v>
      </c>
      <c r="X145" s="149">
        <f t="shared" si="47"/>
        <v>1</v>
      </c>
      <c r="Y145" s="67">
        <f t="shared" si="62"/>
        <v>5.8619000000000003</v>
      </c>
      <c r="Z145" s="67">
        <f t="shared" si="54"/>
        <v>6.8400000000000002E-2</v>
      </c>
      <c r="AA145" s="67">
        <f t="shared" si="63"/>
        <v>5.7935000000000008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4"/>
        <v>0810-12</v>
      </c>
      <c r="AE145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45" s="88" t="str">
        <f t="shared" si="56"/>
        <v>"C:\Program Files (x86)\AstroGrep\AstroGrep.exe" /spath="%USERPROFILE%\AppData\Local\Temp\OnboardLogs" /stypes="app*4037*20161012*" /stext=" 14:.+((SYSTEM_STATE.+slice.+state.+changed )|(ment ac)|(system.+state.+changed )|(\[timeout)|(PRM\|1\|D)|(kpr)|(kdp)|(\|lc)|(penalty))" /e /r /s</v>
      </c>
      <c r="AG145" s="1" t="str">
        <f t="shared" si="50"/>
        <v>NW</v>
      </c>
      <c r="AH145" s="92" t="str">
        <f t="shared" si="52"/>
        <v>"%USERPROFILE%\Documents\GitHub\eaglep3\Utilities\RefineRTDCRunTimes.py" --tripid 810-12 --locoid 4037 --swversion DE.1.0.7.0 --startMP 300:58619 --initTime 2016-10-12T08:07:40 --startdatetime 2016-10-12T08:09:20 --delay 1 --endMP 204:684 --enddatetime 2016-10-12T08:26:13 --enforcementcount 0 &gt;&gt;C:\Users\stu\Documents\GitHub\eaglep3-reporting\EC\2016-10-12-refined-times.txt</v>
      </c>
      <c r="AI14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{"issue":{"subject":"","project_id":79,"tracker_id":40,"status_id":1,"priority_id":2,"assigned_to_id":23,"start_date":"2016-10-12","description":"","custom_fields":[{"id":1,"name":"Subdivision","value":"NW"},{"id":4,"name":"Milepost","value":"0.0684"},{"id":17,"name":"Train ID","value":"810-12"},{"id":16,"name":"Locomotive ID","value":"4037"},{"id":130,"name":"Impact","value":""},{"id":150,"name":"Time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597</v>
      </c>
      <c r="B146" s="7">
        <v>4003</v>
      </c>
      <c r="C146" s="22" t="s">
        <v>99</v>
      </c>
      <c r="D146" s="22" t="s">
        <v>598</v>
      </c>
      <c r="E146" s="13">
        <v>42655.332361111112</v>
      </c>
      <c r="F146" s="13">
        <v>42655.348171296297</v>
      </c>
      <c r="G146" s="7">
        <v>1</v>
      </c>
      <c r="H146" s="13" t="s">
        <v>599</v>
      </c>
      <c r="I146" s="13">
        <v>42655.358240740738</v>
      </c>
      <c r="J146" s="7">
        <v>0</v>
      </c>
      <c r="K146" s="112" t="str">
        <f t="shared" si="57"/>
        <v>4003/4004</v>
      </c>
      <c r="L146" s="22" t="str">
        <f>VLOOKUP(A146,'Trips&amp;Operators'!$C$1:$E$10000,3,FALSE)</f>
        <v>GEBRETEKLE</v>
      </c>
      <c r="M146" s="6">
        <f t="shared" si="58"/>
        <v>1.006944444088731E-2</v>
      </c>
      <c r="N146" s="7">
        <f t="shared" si="46"/>
        <v>14.499999994877726</v>
      </c>
      <c r="O146" s="7"/>
      <c r="P146" s="7"/>
      <c r="Q146" s="23"/>
      <c r="R146" s="23"/>
      <c r="S146" s="35">
        <f t="shared" si="51"/>
        <v>1</v>
      </c>
      <c r="T146" s="50" t="str">
        <f t="shared" si="59"/>
        <v>NorthBound</v>
      </c>
      <c r="U146" s="14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06:58:36-0600',mode:absolute,to:'2016-10-12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52" t="str">
        <f t="shared" si="61"/>
        <v>N</v>
      </c>
      <c r="X146" s="149">
        <f t="shared" si="47"/>
        <v>1</v>
      </c>
      <c r="Y146" s="67">
        <f t="shared" si="62"/>
        <v>9.8100000000000007E-2</v>
      </c>
      <c r="Z146" s="67">
        <f t="shared" si="54"/>
        <v>5.8987999999999996</v>
      </c>
      <c r="AA146" s="67">
        <f t="shared" si="63"/>
        <v>5.8007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4"/>
        <v>0811-12</v>
      </c>
      <c r="AE146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6" s="88" t="str">
        <f t="shared" si="56"/>
        <v>"C:\Program Files (x86)\AstroGrep\AstroGrep.exe" /spath="%USERPROFILE%\AppData\Local\Temp\OnboardLogs" /stypes="app*4003*20161012*" /stext=" 14:.+((SYSTEM_STATE.+slice.+state.+changed )|(ment ac)|(system.+state.+changed )|(\[timeout)|(PRM\|1\|D)|(kpr)|(kdp)|(\|lc)|(penalty))" /e /r /s</v>
      </c>
      <c r="AG146" s="1" t="str">
        <f t="shared" si="50"/>
        <v>NW</v>
      </c>
      <c r="AH146" s="92" t="str">
        <f t="shared" si="52"/>
        <v>"%USERPROFILE%\Documents\GitHub\eaglep3\Utilities\RefineRTDCRunTimes.py" --tripid 811-12 --locoid 4003 --swversion DE.1.0.7.0 --startMP 204:981 --initTime 2016-10-12T07:58:36 --startdatetime 2016-10-12T08:21:22 --delay 1 --endMP 300:58988 --enddatetime 2016-10-12T08:35:52 --enforcementcount 0 &gt;&gt;C:\Users\stu\Documents\GitHub\eaglep3-reporting\EC\2016-10-12-refined-times.txt</v>
      </c>
      <c r="AI14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{"issue":{"subject":"","project_id":79,"tracker_id":40,"status_id":1,"priority_id":2,"assigned_to_id":23,"start_date":"2016-10-12","description":"","custom_fields":[{"id":1,"name":"Subdivision","value":"NW"},{"id":4,"name":"Milepost","value":"5.8988"},{"id":17,"name":"Train ID","value":"811-12"},{"id":16,"name":"Locomotive ID","value":"4003"},{"id":130,"name":"Impact","value":""},{"id":150,"name":"Time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600</v>
      </c>
      <c r="B147" s="7">
        <v>4004</v>
      </c>
      <c r="C147" s="22" t="s">
        <v>99</v>
      </c>
      <c r="D147" s="22" t="s">
        <v>601</v>
      </c>
      <c r="E147" s="13">
        <v>42655.359594907408</v>
      </c>
      <c r="F147" s="13">
        <v>42655.361504629633</v>
      </c>
      <c r="G147" s="7">
        <v>1</v>
      </c>
      <c r="H147" s="13" t="s">
        <v>602</v>
      </c>
      <c r="I147" s="13">
        <v>42655.372407407405</v>
      </c>
      <c r="J147" s="7">
        <v>0</v>
      </c>
      <c r="K147" s="112" t="str">
        <f t="shared" si="57"/>
        <v>4003/4004</v>
      </c>
      <c r="L147" s="22" t="str">
        <f>VLOOKUP(A147,'Trips&amp;Operators'!$C$1:$E$10000,3,FALSE)</f>
        <v>GEBRETEKLE</v>
      </c>
      <c r="M147" s="6">
        <f t="shared" si="58"/>
        <v>1.0902777772571426E-2</v>
      </c>
      <c r="N147" s="7">
        <f t="shared" si="46"/>
        <v>15.699999992502853</v>
      </c>
      <c r="O147" s="7"/>
      <c r="P147" s="7"/>
      <c r="Q147" s="23"/>
      <c r="R147" s="23"/>
      <c r="S147" s="35">
        <f t="shared" si="51"/>
        <v>1</v>
      </c>
      <c r="T147" s="50" t="str">
        <f t="shared" si="59"/>
        <v>Southbound</v>
      </c>
      <c r="U147" s="14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07:37:49-0600',mode:absolute,to:'2016-10-12 09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52" t="str">
        <f t="shared" si="61"/>
        <v>N</v>
      </c>
      <c r="X147" s="149">
        <f t="shared" si="47"/>
        <v>1</v>
      </c>
      <c r="Y147" s="67">
        <f t="shared" si="62"/>
        <v>5.8674999999999997</v>
      </c>
      <c r="Z147" s="67">
        <f t="shared" si="54"/>
        <v>6.9400000000000003E-2</v>
      </c>
      <c r="AA147" s="67">
        <f t="shared" si="63"/>
        <v>5.7980999999999998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4"/>
        <v>0812-12</v>
      </c>
      <c r="AE147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7" s="88" t="str">
        <f t="shared" si="56"/>
        <v>"C:\Program Files (x86)\AstroGrep\AstroGrep.exe" /spath="%USERPROFILE%\AppData\Local\Temp\OnboardLogs" /stypes="app*4004*20161012*" /stext=" 14:.+((SYSTEM_STATE.+slice.+state.+changed )|(ment ac)|(system.+state.+changed )|(\[timeout)|(PRM\|1\|D)|(kpr)|(kdp)|(\|lc)|(penalty))" /e /r /s</v>
      </c>
      <c r="AG147" s="1" t="str">
        <f t="shared" si="50"/>
        <v>NW</v>
      </c>
      <c r="AH147" s="92" t="str">
        <f t="shared" si="52"/>
        <v>"%USERPROFILE%\Documents\GitHub\eaglep3\Utilities\RefineRTDCRunTimes.py" --tripid 812-12 --locoid 4004 --swversion DE.1.0.7.0 --startMP 300:58675 --initTime 2016-10-12T08:37:49 --startdatetime 2016-10-12T08:40:34 --delay 1 --endMP 204:694 --enddatetime 2016-10-12T08:56:16 --enforcementcount 0 &gt;&gt;C:\Users\stu\Documents\GitHub\eaglep3-reporting\EC\2016-10-12-refined-times.txt</v>
      </c>
      <c r="AI14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{"issue":{"subject":"","project_id":79,"tracker_id":40,"status_id":1,"priority_id":2,"assigned_to_id":23,"start_date":"2016-10-12","description":"","custom_fields":[{"id":1,"name":"Subdivision","value":"NW"},{"id":4,"name":"Milepost","value":"0.0694"},{"id":17,"name":"Train ID","value":"812-12"},{"id":16,"name":"Locomotive ID","value":"4004"},{"id":130,"name":"Impact","value":""},{"id":150,"name":"Time of Event (Mountain Time)","value":"08:56:16"},{"id":151,"name":"Denver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603</v>
      </c>
      <c r="B148" s="7">
        <v>4003</v>
      </c>
      <c r="C148" s="22" t="s">
        <v>99</v>
      </c>
      <c r="D148" s="22" t="s">
        <v>598</v>
      </c>
      <c r="E148" s="13">
        <v>42655.388842592591</v>
      </c>
      <c r="F148" s="13">
        <v>42655.390914351854</v>
      </c>
      <c r="G148" s="7">
        <v>1</v>
      </c>
      <c r="H148" s="13" t="s">
        <v>604</v>
      </c>
      <c r="I148" s="13">
        <v>42655.399907407409</v>
      </c>
      <c r="J148" s="7">
        <v>0</v>
      </c>
      <c r="K148" s="112" t="str">
        <f t="shared" si="57"/>
        <v>4003/4004</v>
      </c>
      <c r="L148" s="22" t="str">
        <f>VLOOKUP(A148,'Trips&amp;Operators'!$C$1:$E$10000,3,FALSE)</f>
        <v>GEBRETEKLE</v>
      </c>
      <c r="M148" s="6">
        <f t="shared" si="58"/>
        <v>8.9930555550381541E-3</v>
      </c>
      <c r="N148" s="7">
        <f t="shared" si="46"/>
        <v>12.949999999254942</v>
      </c>
      <c r="O148" s="7"/>
      <c r="P148" s="7"/>
      <c r="Q148" s="23"/>
      <c r="R148" s="23"/>
      <c r="S148" s="35">
        <f t="shared" si="51"/>
        <v>1</v>
      </c>
      <c r="T148" s="50" t="str">
        <f t="shared" si="59"/>
        <v>NorthBound</v>
      </c>
      <c r="U148" s="14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08:19:56-0600',mode:absolute,to:'2016-10-12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8" s="52" t="str">
        <f t="shared" si="61"/>
        <v>N</v>
      </c>
      <c r="X148" s="149">
        <f t="shared" si="47"/>
        <v>1</v>
      </c>
      <c r="Y148" s="67">
        <f t="shared" si="62"/>
        <v>9.8100000000000007E-2</v>
      </c>
      <c r="Z148" s="67">
        <f t="shared" si="54"/>
        <v>5.8993000000000002</v>
      </c>
      <c r="AA148" s="67">
        <f t="shared" si="63"/>
        <v>5.8012000000000006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64"/>
        <v>0813-12</v>
      </c>
      <c r="AE14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48" s="88" t="str">
        <f t="shared" si="56"/>
        <v>"C:\Program Files (x86)\AstroGrep\AstroGrep.exe" /spath="%USERPROFILE%\AppData\Local\Temp\OnboardLogs" /stypes="app*4003*20161012*" /stext=" 15:.+((SYSTEM_STATE.+slice.+state.+changed )|(ment ac)|(system.+state.+changed )|(\[timeout)|(PRM\|1\|D)|(kpr)|(kdp)|(\|lc)|(penalty))" /e /r /s</v>
      </c>
      <c r="AG148" s="1" t="str">
        <f t="shared" si="50"/>
        <v>NW</v>
      </c>
      <c r="AH148" s="92" t="str">
        <f t="shared" si="52"/>
        <v>"%USERPROFILE%\Documents\GitHub\eaglep3\Utilities\RefineRTDCRunTimes.py" --tripid 813-12 --locoid 4003 --swversion DE.1.0.7.0 --startMP 204:981 --initTime 2016-10-12T09:19:56 --startdatetime 2016-10-12T09:22:55 --delay 1 --endMP 300:58993 --enddatetime 2016-10-12T09:35:52 --enforcementcount 0 &gt;&gt;C:\Users\stu\Documents\GitHub\eaglep3-reporting\EC\2016-10-12-refined-times.txt</v>
      </c>
      <c r="AI14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{"issue":{"subject":"","project_id":79,"tracker_id":40,"status_id":1,"priority_id":2,"assigned_to_id":23,"start_date":"2016-10-12","description":"","custom_fields":[{"id":1,"name":"Subdivision","value":"NW"},{"id":4,"name":"Milepost","value":"5.8993"},{"id":17,"name":"Train ID","value":"813-12"},{"id":16,"name":"Locomotive ID","value":"4003"},{"id":130,"name":"Impact","value":""},{"id":150,"name":"Time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605</v>
      </c>
      <c r="B149" s="7">
        <v>4004</v>
      </c>
      <c r="C149" s="22" t="s">
        <v>99</v>
      </c>
      <c r="D149" s="22" t="s">
        <v>606</v>
      </c>
      <c r="E149" s="13">
        <v>42655.40111111111</v>
      </c>
      <c r="F149" s="13">
        <v>42655.402951388889</v>
      </c>
      <c r="G149" s="7">
        <v>1</v>
      </c>
      <c r="H149" s="13" t="s">
        <v>314</v>
      </c>
      <c r="I149" s="13">
        <v>42655.413819444446</v>
      </c>
      <c r="J149" s="7">
        <v>0</v>
      </c>
      <c r="K149" s="112" t="str">
        <f t="shared" si="57"/>
        <v>4003/4004</v>
      </c>
      <c r="L149" s="22" t="str">
        <f>VLOOKUP(A149,'Trips&amp;Operators'!$C$1:$E$10000,3,FALSE)</f>
        <v>GEBRETEKLE</v>
      </c>
      <c r="M149" s="6">
        <f t="shared" si="58"/>
        <v>1.0868055556784384E-2</v>
      </c>
      <c r="N149" s="7">
        <f t="shared" si="46"/>
        <v>15.650000001769513</v>
      </c>
      <c r="O149" s="7"/>
      <c r="P149" s="7"/>
      <c r="Q149" s="23"/>
      <c r="R149" s="23"/>
      <c r="S149" s="35">
        <f t="shared" si="51"/>
        <v>1</v>
      </c>
      <c r="T149" s="50" t="str">
        <f t="shared" si="59"/>
        <v>Southbound</v>
      </c>
      <c r="U149" s="14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08:37:36-0600',mode:absolute,to:'2016-10-12 10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9" s="52" t="str">
        <f t="shared" si="61"/>
        <v>N</v>
      </c>
      <c r="X149" s="149">
        <f t="shared" si="47"/>
        <v>1</v>
      </c>
      <c r="Y149" s="67">
        <f t="shared" si="62"/>
        <v>5.8681000000000001</v>
      </c>
      <c r="Z149" s="67">
        <f t="shared" si="54"/>
        <v>7.0599999999999996E-2</v>
      </c>
      <c r="AA149" s="67">
        <f t="shared" si="63"/>
        <v>5.7975000000000003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4"/>
        <v>0814-12</v>
      </c>
      <c r="AE14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49" s="88" t="str">
        <f t="shared" si="56"/>
        <v>"C:\Program Files (x86)\AstroGrep\AstroGrep.exe" /spath="%USERPROFILE%\AppData\Local\Temp\OnboardLogs" /stypes="app*4004*20161012*" /stext=" 15:.+((SYSTEM_STATE.+slice.+state.+changed )|(ment ac)|(system.+state.+changed )|(\[timeout)|(PRM\|1\|D)|(kpr)|(kdp)|(\|lc)|(penalty))" /e /r /s</v>
      </c>
      <c r="AG149" s="1" t="str">
        <f t="shared" si="50"/>
        <v>NW</v>
      </c>
      <c r="AH149" s="92" t="str">
        <f t="shared" si="52"/>
        <v>"%USERPROFILE%\Documents\GitHub\eaglep3\Utilities\RefineRTDCRunTimes.py" --tripid 814-12 --locoid 4004 --swversion DE.1.0.7.0 --startMP 300:58681 --initTime 2016-10-12T09:37:36 --startdatetime 2016-10-12T09:40:15 --delay 1 --endMP 204:706 --enddatetime 2016-10-12T09:55:54 --enforcementcount 0 &gt;&gt;C:\Users\stu\Documents\GitHub\eaglep3-reporting\EC\2016-10-12-refined-times.txt</v>
      </c>
      <c r="AI14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ID","value":"814-12"},{"id":16,"name":"Locomotive ID","value":"4004"},{"id":130,"name":"Impact","value":""},{"id":150,"name":"Time of Event (Mountain Time)","value":"09:55:54"},{"id":151,"name":"Denver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607</v>
      </c>
      <c r="B150" s="7">
        <v>4003</v>
      </c>
      <c r="C150" s="22" t="s">
        <v>99</v>
      </c>
      <c r="D150" s="22" t="s">
        <v>608</v>
      </c>
      <c r="E150" s="13">
        <v>42655.415370370371</v>
      </c>
      <c r="F150" s="13">
        <v>42655.431469907409</v>
      </c>
      <c r="G150" s="7">
        <v>1</v>
      </c>
      <c r="H150" s="13" t="s">
        <v>609</v>
      </c>
      <c r="I150" s="13">
        <v>42655.440763888888</v>
      </c>
      <c r="J150" s="7">
        <v>0</v>
      </c>
      <c r="K150" s="112" t="str">
        <f t="shared" si="57"/>
        <v>4003/4004</v>
      </c>
      <c r="L150" s="22" t="str">
        <f>VLOOKUP(A150,'Trips&amp;Operators'!$C$1:$E$10000,3,FALSE)</f>
        <v>GEBRETEKLE</v>
      </c>
      <c r="M150" s="6">
        <f t="shared" si="58"/>
        <v>9.29398147854954E-3</v>
      </c>
      <c r="N150" s="7">
        <f t="shared" si="46"/>
        <v>13.383333329111338</v>
      </c>
      <c r="O150" s="7"/>
      <c r="P150" s="7"/>
      <c r="Q150" s="23"/>
      <c r="R150" s="23"/>
      <c r="S150" s="35">
        <f t="shared" si="51"/>
        <v>1</v>
      </c>
      <c r="T150" s="50" t="str">
        <f t="shared" si="59"/>
        <v>NorthBound</v>
      </c>
      <c r="U150" s="14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08:58:08-0600',mode:absolute,to:'2016-10-12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0" s="52" t="str">
        <f t="shared" si="61"/>
        <v>N</v>
      </c>
      <c r="X150" s="149">
        <f t="shared" si="47"/>
        <v>1</v>
      </c>
      <c r="Y150" s="67">
        <f t="shared" si="62"/>
        <v>9.7900000000000001E-2</v>
      </c>
      <c r="Z150" s="67">
        <f t="shared" si="54"/>
        <v>5.8086000000000002</v>
      </c>
      <c r="AA150" s="67">
        <f t="shared" si="63"/>
        <v>5.7107000000000001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4"/>
        <v>0815-12</v>
      </c>
      <c r="AE150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0" s="88" t="str">
        <f t="shared" si="56"/>
        <v>"C:\Program Files (x86)\AstroGrep\AstroGrep.exe" /spath="%USERPROFILE%\AppData\Local\Temp\OnboardLogs" /stypes="app*4003*20161012*" /stext=" 16:.+((SYSTEM_STATE.+slice.+state.+changed )|(ment ac)|(system.+state.+changed )|(\[timeout)|(PRM\|1\|D)|(kpr)|(kdp)|(\|lc)|(penalty))" /e /r /s</v>
      </c>
      <c r="AG150" s="1" t="str">
        <f t="shared" si="50"/>
        <v>NW</v>
      </c>
      <c r="AH150" s="92" t="str">
        <f t="shared" si="52"/>
        <v>"%USERPROFILE%\Documents\GitHub\eaglep3\Utilities\RefineRTDCRunTimes.py" --tripid 815-12 --locoid 4003 --swversion DE.1.0.7.0 --startMP 204:979 --initTime 2016-10-12T09:58:08 --startdatetime 2016-10-12T10:21:19 --delay 1 --endMP 300:58086 --enddatetime 2016-10-12T10:34:42 --enforcementcount 0 &gt;&gt;C:\Users\stu\Documents\GitHub\eaglep3-reporting\EC\2016-10-12-refined-times.txt</v>
      </c>
      <c r="AI15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{"issue":{"subject":"","project_id":79,"tracker_id":40,"status_id":1,"priority_id":2,"assigned_to_id":23,"start_date":"2016-10-12","description":"","custom_fields":[{"id":1,"name":"Subdivision","value":"NW"},{"id":4,"name":"Milepost","value":"5.8086"},{"id":17,"name":"Train ID","value":"815-12"},{"id":16,"name":"Locomotive ID","value":"4003"},{"id":130,"name":"Impact","value":""},{"id":150,"name":"Time of Event (Mountain Time)","value":"10:34:42"},{"id":151,"name":"Denver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610</v>
      </c>
      <c r="B151" s="7">
        <v>4004</v>
      </c>
      <c r="C151" s="22" t="s">
        <v>99</v>
      </c>
      <c r="D151" s="22" t="s">
        <v>611</v>
      </c>
      <c r="E151" s="13">
        <v>42655.442499999997</v>
      </c>
      <c r="F151" s="13">
        <v>42655.444398148145</v>
      </c>
      <c r="G151" s="7">
        <v>1</v>
      </c>
      <c r="H151" s="13" t="s">
        <v>612</v>
      </c>
      <c r="I151" s="13">
        <v>42655.454918981479</v>
      </c>
      <c r="J151" s="7">
        <v>0</v>
      </c>
      <c r="K151" s="112" t="str">
        <f t="shared" si="57"/>
        <v>4003/4004</v>
      </c>
      <c r="L151" s="22" t="str">
        <f>VLOOKUP(A151,'Trips&amp;Operators'!$C$1:$E$10000,3,FALSE)</f>
        <v>GEBRETEKLE</v>
      </c>
      <c r="M151" s="6">
        <f t="shared" si="58"/>
        <v>1.0520833333430346E-2</v>
      </c>
      <c r="N151" s="7">
        <f t="shared" si="46"/>
        <v>15.150000000139698</v>
      </c>
      <c r="O151" s="7"/>
      <c r="P151" s="7"/>
      <c r="Q151" s="23"/>
      <c r="R151" s="23"/>
      <c r="S151" s="35">
        <f t="shared" si="51"/>
        <v>1</v>
      </c>
      <c r="T151" s="50" t="str">
        <f t="shared" si="59"/>
        <v>Southbound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09:37:12-0600',mode:absolute,to:'2016-10-12 11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1" s="52" t="str">
        <f t="shared" si="61"/>
        <v>N</v>
      </c>
      <c r="X151" s="149">
        <f t="shared" si="47"/>
        <v>1</v>
      </c>
      <c r="Y151" s="67">
        <f t="shared" si="62"/>
        <v>5.8704999999999998</v>
      </c>
      <c r="Z151" s="67">
        <f t="shared" si="54"/>
        <v>7.0499999999999993E-2</v>
      </c>
      <c r="AA151" s="67">
        <f t="shared" si="63"/>
        <v>5.8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4"/>
        <v>0816-12</v>
      </c>
      <c r="AE151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1" s="88" t="str">
        <f t="shared" si="56"/>
        <v>"C:\Program Files (x86)\AstroGrep\AstroGrep.exe" /spath="%USERPROFILE%\AppData\Local\Temp\OnboardLogs" /stypes="app*4004*20161012*" /stext=" 16:.+((SYSTEM_STATE.+slice.+state.+changed )|(ment ac)|(system.+state.+changed )|(\[timeout)|(PRM\|1\|D)|(kpr)|(kdp)|(\|lc)|(penalty))" /e /r /s</v>
      </c>
      <c r="AG151" s="1" t="str">
        <f t="shared" si="50"/>
        <v>NW</v>
      </c>
      <c r="AH151" s="92" t="str">
        <f t="shared" si="52"/>
        <v>"%USERPROFILE%\Documents\GitHub\eaglep3\Utilities\RefineRTDCRunTimes.py" --tripid 816-12 --locoid 4004 --swversion DE.1.0.7.0 --startMP 300:58705 --initTime 2016-10-12T10:37:12 --startdatetime 2016-10-12T10:39:56 --delay 1 --endMP 204:705 --enddatetime 2016-10-12T10:55:05 --enforcementcount 0 &gt;&gt;C:\Users\stu\Documents\GitHub\eaglep3-reporting\EC\2016-10-12-refined-times.txt</v>
      </c>
      <c r="AI15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{"issue":{"subject":"","project_id":79,"tracker_id":40,"status_id":1,"priority_id":2,"assigned_to_id":23,"start_date":"2016-10-12","description":"","custom_fields":[{"id":1,"name":"Subdivision","value":"NW"},{"id":4,"name":"Milepost","value":"0.0705"},{"id":17,"name":"Train ID","value":"816-12"},{"id":16,"name":"Locomotive ID","value":"4004"},{"id":130,"name":"Impact","value":""},{"id":150,"name":"Time of Event (Mountain Time)","value":"10:55:05"},{"id":151,"name":"Denver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613</v>
      </c>
      <c r="B152" s="7">
        <v>4003</v>
      </c>
      <c r="C152" s="22" t="s">
        <v>99</v>
      </c>
      <c r="D152" s="22" t="s">
        <v>614</v>
      </c>
      <c r="E152" s="13">
        <v>42655.458969907406</v>
      </c>
      <c r="F152" s="13">
        <v>42655.473101851851</v>
      </c>
      <c r="G152" s="7">
        <v>2</v>
      </c>
      <c r="H152" s="13" t="s">
        <v>615</v>
      </c>
      <c r="I152" s="13">
        <v>42655.48233796296</v>
      </c>
      <c r="J152" s="7">
        <v>0</v>
      </c>
      <c r="K152" s="112" t="str">
        <f t="shared" si="57"/>
        <v>4003/4004</v>
      </c>
      <c r="L152" s="22" t="str">
        <f>VLOOKUP(A152,'Trips&amp;Operators'!$C$1:$E$10000,3,FALSE)</f>
        <v>GEBRETEKLE</v>
      </c>
      <c r="M152" s="6">
        <f t="shared" si="58"/>
        <v>9.2361111092031933E-3</v>
      </c>
      <c r="N152" s="7">
        <f t="shared" si="46"/>
        <v>13.299999997252598</v>
      </c>
      <c r="O152" s="7"/>
      <c r="P152" s="7"/>
      <c r="Q152" s="23"/>
      <c r="R152" s="23"/>
      <c r="S152" s="35">
        <f t="shared" si="51"/>
        <v>1</v>
      </c>
      <c r="T152" s="50" t="str">
        <f t="shared" si="59"/>
        <v>NorthBound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10:00:55-0600',mode:absolute,to:'2016-10-12 12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52" t="str">
        <f t="shared" si="61"/>
        <v>N</v>
      </c>
      <c r="X152" s="149">
        <f t="shared" si="47"/>
        <v>1</v>
      </c>
      <c r="Y152" s="67">
        <f t="shared" si="62"/>
        <v>9.7799999999999998E-2</v>
      </c>
      <c r="Z152" s="67">
        <f t="shared" si="54"/>
        <v>5.8994999999999997</v>
      </c>
      <c r="AA152" s="67">
        <f t="shared" si="63"/>
        <v>5.8016999999999994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4"/>
        <v>0817-12</v>
      </c>
      <c r="AE152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2" s="88" t="str">
        <f t="shared" si="56"/>
        <v>"C:\Program Files (x86)\AstroGrep\AstroGrep.exe" /spath="%USERPROFILE%\AppData\Local\Temp\OnboardLogs" /stypes="app*4003*20161012*" /stext=" 17:.+((SYSTEM_STATE.+slice.+state.+changed )|(ment ac)|(system.+state.+changed )|(\[timeout)|(PRM\|1\|D)|(kpr)|(kdp)|(\|lc)|(penalty))" /e /r /s</v>
      </c>
      <c r="AG152" s="1" t="str">
        <f t="shared" si="50"/>
        <v>NW</v>
      </c>
      <c r="AH152" s="92" t="str">
        <f t="shared" si="52"/>
        <v>"%USERPROFILE%\Documents\GitHub\eaglep3\Utilities\RefineRTDCRunTimes.py" --tripid 817-12 --locoid 4003 --swversion DE.1.0.7.0 --startMP 204:978 --initTime 2016-10-12T11:00:55 --startdatetime 2016-10-12T11:21:16 --delay 2 --endMP 300:58995 --enddatetime 2016-10-12T11:34:34 --enforcementcount 0 &gt;&gt;C:\Users\stu\Documents\GitHub\eaglep3-reporting\EC\2016-10-12-refined-times.txt</v>
      </c>
      <c r="AI15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{"issue":{"subject":"","project_id":79,"tracker_id":40,"status_id":1,"priority_id":2,"assigned_to_id":23,"start_date":"2016-10-12","description":"","custom_fields":[{"id":1,"name":"Subdivision","value":"NW"},{"id":4,"name":"Milepost","value":"5.8995"},{"id":17,"name":"Train ID","value":"817-12"},{"id":16,"name":"Locomotive ID","value":"4003"},{"id":130,"name":"Impact","value":""},{"id":150,"name":"Time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616</v>
      </c>
      <c r="B153" s="7">
        <v>4004</v>
      </c>
      <c r="C153" s="22" t="s">
        <v>99</v>
      </c>
      <c r="D153" s="22" t="s">
        <v>617</v>
      </c>
      <c r="E153" s="13">
        <v>42655.483587962961</v>
      </c>
      <c r="F153" s="13">
        <v>42655.485162037039</v>
      </c>
      <c r="G153" s="7">
        <v>1</v>
      </c>
      <c r="H153" s="13" t="s">
        <v>618</v>
      </c>
      <c r="I153" s="13">
        <v>42655.496990740743</v>
      </c>
      <c r="J153" s="7">
        <v>0</v>
      </c>
      <c r="K153" s="112" t="str">
        <f t="shared" si="57"/>
        <v>4003/4004</v>
      </c>
      <c r="L153" s="22" t="str">
        <f>VLOOKUP(A153,'Trips&amp;Operators'!$C$1:$E$10000,3,FALSE)</f>
        <v>GEBRETEKLE</v>
      </c>
      <c r="M153" s="6">
        <f t="shared" si="58"/>
        <v>1.1828703703940846E-2</v>
      </c>
      <c r="N153" s="7">
        <f t="shared" si="46"/>
        <v>17.033333333674818</v>
      </c>
      <c r="O153" s="7"/>
      <c r="P153" s="7"/>
      <c r="Q153" s="23"/>
      <c r="R153" s="23"/>
      <c r="S153" s="35">
        <f t="shared" si="51"/>
        <v>1</v>
      </c>
      <c r="T153" s="50" t="str">
        <f t="shared" si="59"/>
        <v>Southbound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10:36:22-0600',mode:absolute,to:'2016-10-12 12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3" s="52" t="str">
        <f t="shared" si="61"/>
        <v>N</v>
      </c>
      <c r="X153" s="149">
        <f t="shared" si="47"/>
        <v>1</v>
      </c>
      <c r="Y153" s="67">
        <f t="shared" si="62"/>
        <v>5.8672000000000004</v>
      </c>
      <c r="Z153" s="67">
        <f t="shared" si="54"/>
        <v>6.9900000000000004E-2</v>
      </c>
      <c r="AA153" s="67">
        <f t="shared" si="63"/>
        <v>5.7973000000000008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4"/>
        <v>0818-12</v>
      </c>
      <c r="AE153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3" s="88" t="str">
        <f t="shared" si="56"/>
        <v>"C:\Program Files (x86)\AstroGrep\AstroGrep.exe" /spath="%USERPROFILE%\AppData\Local\Temp\OnboardLogs" /stypes="app*4004*20161012*" /stext=" 17:.+((SYSTEM_STATE.+slice.+state.+changed )|(ment ac)|(system.+state.+changed )|(\[timeout)|(PRM\|1\|D)|(kpr)|(kdp)|(\|lc)|(penalty))" /e /r /s</v>
      </c>
      <c r="AG153" s="1" t="str">
        <f t="shared" si="50"/>
        <v>NW</v>
      </c>
      <c r="AH153" s="92" t="str">
        <f t="shared" si="52"/>
        <v>"%USERPROFILE%\Documents\GitHub\eaglep3\Utilities\RefineRTDCRunTimes.py" --tripid 818-12 --locoid 4004 --swversion DE.1.0.7.0 --startMP 300:58672 --initTime 2016-10-12T11:36:22 --startdatetime 2016-10-12T11:38:38 --delay 1 --endMP 204:699 --enddatetime 2016-10-12T11:55:40 --enforcementcount 0 &gt;&gt;C:\Users\stu\Documents\GitHub\eaglep3-reporting\EC\2016-10-12-refined-times.txt</v>
      </c>
      <c r="AI15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{"issue":{"subject":"","project_id":79,"tracker_id":40,"status_id":1,"priority_id":2,"assigned_to_id":23,"start_date":"2016-10-12","description":"","custom_fields":[{"id":1,"name":"Subdivision","value":"NW"},{"id":4,"name":"Milepost","value":"0.0699"},{"id":17,"name":"Train ID","value":"818-12"},{"id":16,"name":"Locomotive ID","value":"4004"},{"id":130,"name":"Impact","value":""},{"id":150,"name":"Time of Event (Mountain Time)","value":"11:55:40"},{"id":151,"name":"Denver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619</v>
      </c>
      <c r="B154" s="7">
        <v>4003</v>
      </c>
      <c r="C154" s="22" t="s">
        <v>99</v>
      </c>
      <c r="D154" s="22" t="s">
        <v>620</v>
      </c>
      <c r="E154" s="13">
        <v>42655.500740740739</v>
      </c>
      <c r="F154" s="13">
        <v>42655.514826388891</v>
      </c>
      <c r="G154" s="7">
        <v>2</v>
      </c>
      <c r="H154" s="13" t="s">
        <v>621</v>
      </c>
      <c r="I154" s="13">
        <v>42655.52447916667</v>
      </c>
      <c r="J154" s="7">
        <v>0</v>
      </c>
      <c r="K154" s="112" t="str">
        <f t="shared" si="57"/>
        <v>4003/4004</v>
      </c>
      <c r="L154" s="22" t="str">
        <f>VLOOKUP(A154,'Trips&amp;Operators'!$C$1:$E$10000,3,FALSE)</f>
        <v>GEBRETEKLE</v>
      </c>
      <c r="M154" s="6">
        <f t="shared" si="58"/>
        <v>9.6527777786832303E-3</v>
      </c>
      <c r="N154" s="7">
        <f t="shared" si="46"/>
        <v>13.900000001303852</v>
      </c>
      <c r="O154" s="7"/>
      <c r="P154" s="7"/>
      <c r="Q154" s="23"/>
      <c r="R154" s="23"/>
      <c r="S154" s="35">
        <f t="shared" si="51"/>
        <v>1</v>
      </c>
      <c r="T154" s="50" t="str">
        <f t="shared" si="59"/>
        <v>NorthBound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11:01:04-0600',mode:absolute,to:'2016-10-12 13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4" s="52" t="str">
        <f t="shared" si="61"/>
        <v>N</v>
      </c>
      <c r="X154" s="149">
        <f t="shared" si="47"/>
        <v>1</v>
      </c>
      <c r="Y154" s="67">
        <f t="shared" si="62"/>
        <v>9.8799999999999999E-2</v>
      </c>
      <c r="Z154" s="67">
        <f t="shared" si="54"/>
        <v>5.8983999999999996</v>
      </c>
      <c r="AA154" s="67">
        <f t="shared" si="63"/>
        <v>5.7995999999999999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4"/>
        <v>0819-12</v>
      </c>
      <c r="AE154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4" s="88" t="str">
        <f t="shared" si="56"/>
        <v>"C:\Program Files (x86)\AstroGrep\AstroGrep.exe" /spath="%USERPROFILE%\AppData\Local\Temp\OnboardLogs" /stypes="app*4003*20161012*" /stext=" 18:.+((SYSTEM_STATE.+slice.+state.+changed )|(ment ac)|(system.+state.+changed )|(\[timeout)|(PRM\|1\|D)|(kpr)|(kdp)|(\|lc)|(penalty))" /e /r /s</v>
      </c>
      <c r="AG154" s="1" t="str">
        <f t="shared" si="50"/>
        <v>NW</v>
      </c>
      <c r="AH154" s="92" t="str">
        <f t="shared" si="52"/>
        <v>"%USERPROFILE%\Documents\GitHub\eaglep3\Utilities\RefineRTDCRunTimes.py" --tripid 819-12 --locoid 4003 --swversion DE.1.0.7.0 --startMP 204:988 --initTime 2016-10-12T12:01:04 --startdatetime 2016-10-12T12:21:21 --delay 2 --endMP 300:58984 --enddatetime 2016-10-12T12:35:15 --enforcementcount 0 &gt;&gt;C:\Users\stu\Documents\GitHub\eaglep3-reporting\EC\2016-10-12-refined-times.txt</v>
      </c>
      <c r="AI15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{"issue":{"subject":"","project_id":79,"tracker_id":40,"status_id":1,"priority_id":2,"assigned_to_id":23,"start_date":"2016-10-12","description":"","custom_fields":[{"id":1,"name":"Subdivision","value":"NW"},{"id":4,"name":"Milepost","value":"5.8984"},{"id":17,"name":"Train ID","value":"819-12"},{"id":16,"name":"Locomotive ID","value":"4003"},{"id":130,"name":"Impact","value":""},{"id":150,"name":"Time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622</v>
      </c>
      <c r="B155" s="7">
        <v>4004</v>
      </c>
      <c r="C155" s="22" t="s">
        <v>99</v>
      </c>
      <c r="D155" s="22" t="s">
        <v>601</v>
      </c>
      <c r="E155" s="13">
        <v>42655.526828703703</v>
      </c>
      <c r="F155" s="13">
        <v>42655.528275462966</v>
      </c>
      <c r="G155" s="7">
        <v>1</v>
      </c>
      <c r="H155" s="13" t="s">
        <v>623</v>
      </c>
      <c r="I155" s="13">
        <v>42655.537800925929</v>
      </c>
      <c r="J155" s="7">
        <v>0</v>
      </c>
      <c r="K155" s="112" t="str">
        <f t="shared" si="57"/>
        <v>4003/4004</v>
      </c>
      <c r="L155" s="22" t="str">
        <f>VLOOKUP(A155,'Trips&amp;Operators'!$C$1:$E$10000,3,FALSE)</f>
        <v>GEBRETEKLE</v>
      </c>
      <c r="M155" s="6">
        <f t="shared" si="58"/>
        <v>9.5254629632108845E-3</v>
      </c>
      <c r="N155" s="7">
        <f t="shared" si="46"/>
        <v>13.716666667023674</v>
      </c>
      <c r="O155" s="7"/>
      <c r="P155" s="7"/>
      <c r="Q155" s="23"/>
      <c r="R155" s="23"/>
      <c r="S155" s="35">
        <f t="shared" si="51"/>
        <v>1</v>
      </c>
      <c r="T155" s="50" t="str">
        <f t="shared" si="59"/>
        <v>Southbound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11:38:38-0600',mode:absolute,to:'2016-10-12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5" s="52" t="str">
        <f t="shared" si="61"/>
        <v>N</v>
      </c>
      <c r="X155" s="149">
        <f t="shared" si="47"/>
        <v>1</v>
      </c>
      <c r="Y155" s="67">
        <f t="shared" si="62"/>
        <v>5.8674999999999997</v>
      </c>
      <c r="Z155" s="67">
        <f t="shared" si="54"/>
        <v>7.4700000000000003E-2</v>
      </c>
      <c r="AA155" s="67">
        <f t="shared" si="63"/>
        <v>5.7927999999999997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4"/>
        <v>0820-12</v>
      </c>
      <c r="AE155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5" s="88" t="str">
        <f t="shared" si="56"/>
        <v>"C:\Program Files (x86)\AstroGrep\AstroGrep.exe" /spath="%USERPROFILE%\AppData\Local\Temp\OnboardLogs" /stypes="app*4004*20161012*" /stext=" 18:.+((SYSTEM_STATE.+slice.+state.+changed )|(ment ac)|(system.+state.+changed )|(\[timeout)|(PRM\|1\|D)|(kpr)|(kdp)|(\|lc)|(penalty))" /e /r /s</v>
      </c>
      <c r="AG155" s="1" t="str">
        <f t="shared" si="50"/>
        <v>NW</v>
      </c>
      <c r="AH155" s="92" t="str">
        <f t="shared" si="52"/>
        <v>"%USERPROFILE%\Documents\GitHub\eaglep3\Utilities\RefineRTDCRunTimes.py" --tripid 820-12 --locoid 4004 --swversion DE.1.0.7.0 --startMP 300:58675 --initTime 2016-10-12T12:38:38 --startdatetime 2016-10-12T12:40:43 --delay 1 --endMP 204:747 --enddatetime 2016-10-12T12:54:26 --enforcementcount 0 &gt;&gt;C:\Users\stu\Documents\GitHub\eaglep3-reporting\EC\2016-10-12-refined-times.txt</v>
      </c>
      <c r="AI15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{"issue":{"subject":"","project_id":79,"tracker_id":40,"status_id":1,"priority_id":2,"assigned_to_id":23,"start_date":"2016-10-12","description":"","custom_fields":[{"id":1,"name":"Subdivision","value":"NW"},{"id":4,"name":"Milepost","value":"0.0747"},{"id":17,"name":"Train ID","value":"820-12"},{"id":16,"name":"Locomotive ID","value":"4004"},{"id":130,"name":"Impact","value":""},{"id":150,"name":"Time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624</v>
      </c>
      <c r="B156" s="7">
        <v>4003</v>
      </c>
      <c r="C156" s="22" t="s">
        <v>99</v>
      </c>
      <c r="D156" s="22" t="s">
        <v>625</v>
      </c>
      <c r="E156" s="13">
        <v>42655.549664351849</v>
      </c>
      <c r="F156" s="13">
        <v>42655.556620370371</v>
      </c>
      <c r="G156" s="7">
        <v>3</v>
      </c>
      <c r="H156" s="13" t="s">
        <v>626</v>
      </c>
      <c r="I156" s="13">
        <v>42655.566874999997</v>
      </c>
      <c r="J156" s="7">
        <v>0</v>
      </c>
      <c r="K156" s="112" t="str">
        <f t="shared" si="57"/>
        <v>4003/4004</v>
      </c>
      <c r="L156" s="22" t="str">
        <f>VLOOKUP(A156,'Trips&amp;Operators'!$C$1:$E$10000,3,FALSE)</f>
        <v>STAMBAUGH</v>
      </c>
      <c r="M156" s="6">
        <f t="shared" si="58"/>
        <v>1.0254629625706002E-2</v>
      </c>
      <c r="N156" s="7">
        <f t="shared" si="46"/>
        <v>14.766666661016643</v>
      </c>
      <c r="O156" s="7"/>
      <c r="P156" s="7"/>
      <c r="Q156" s="23"/>
      <c r="R156" s="23"/>
      <c r="S156" s="35">
        <f t="shared" si="51"/>
        <v>1</v>
      </c>
      <c r="T156" s="50" t="str">
        <f t="shared" si="59"/>
        <v>NorthBound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12:11:31-0600',mode:absolute,to:'2016-10-12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6" s="52" t="str">
        <f t="shared" si="61"/>
        <v>N</v>
      </c>
      <c r="X156" s="149">
        <f t="shared" si="47"/>
        <v>1</v>
      </c>
      <c r="Y156" s="67">
        <f t="shared" si="62"/>
        <v>0.1041</v>
      </c>
      <c r="Z156" s="67">
        <f t="shared" si="54"/>
        <v>5.8960999999999997</v>
      </c>
      <c r="AA156" s="67">
        <f t="shared" si="63"/>
        <v>5.7919999999999998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4"/>
        <v>0821-12</v>
      </c>
      <c r="AE156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6" s="88" t="str">
        <f t="shared" si="56"/>
        <v>"C:\Program Files (x86)\AstroGrep\AstroGrep.exe" /spath="%USERPROFILE%\AppData\Local\Temp\OnboardLogs" /stypes="app*4003*20161012*" /stext=" 19:.+((SYSTEM_STATE.+slice.+state.+changed )|(ment ac)|(system.+state.+changed )|(\[timeout)|(PRM\|1\|D)|(kpr)|(kdp)|(\|lc)|(penalty))" /e /r /s</v>
      </c>
      <c r="AG156" s="1" t="str">
        <f t="shared" si="50"/>
        <v>NW</v>
      </c>
      <c r="AH156" s="92" t="str">
        <f t="shared" si="52"/>
        <v>"%USERPROFILE%\Documents\GitHub\eaglep3\Utilities\RefineRTDCRunTimes.py" --tripid 821-12 --locoid 4003 --swversion DE.1.0.7.0 --startMP 204:1041 --initTime 2016-10-12T13:11:31 --startdatetime 2016-10-12T13:21:32 --delay 3 --endMP 300:58961 --enddatetime 2016-10-12T13:36:18 --enforcementcount 0 &gt;&gt;C:\Users\stu\Documents\GitHub\eaglep3-reporting\EC\2016-10-12-refined-times.txt</v>
      </c>
      <c r="AI15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{"issue":{"subject":"","project_id":79,"tracker_id":40,"status_id":1,"priority_id":2,"assigned_to_id":23,"start_date":"2016-10-12","description":"","custom_fields":[{"id":1,"name":"Subdivision","value":"NW"},{"id":4,"name":"Milepost","value":"5.8961"},{"id":17,"name":"Train ID","value":"821-12"},{"id":16,"name":"Locomotive ID","value":"4003"},{"id":130,"name":"Impact","value":""},{"id":150,"name":"Time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627</v>
      </c>
      <c r="B157" s="7">
        <v>4004</v>
      </c>
      <c r="C157" s="22" t="s">
        <v>99</v>
      </c>
      <c r="D157" s="22" t="s">
        <v>628</v>
      </c>
      <c r="E157" s="13">
        <v>42655.56821759259</v>
      </c>
      <c r="F157" s="13">
        <v>42655.570127314815</v>
      </c>
      <c r="G157" s="7">
        <v>1</v>
      </c>
      <c r="H157" s="13" t="s">
        <v>629</v>
      </c>
      <c r="I157" s="13">
        <v>42655.580347222225</v>
      </c>
      <c r="J157" s="7">
        <v>0</v>
      </c>
      <c r="K157" s="112" t="str">
        <f t="shared" si="57"/>
        <v>4003/4004</v>
      </c>
      <c r="L157" s="22" t="str">
        <f>VLOOKUP(A157,'Trips&amp;Operators'!$C$1:$E$10000,3,FALSE)</f>
        <v>STAMBAUGH</v>
      </c>
      <c r="M157" s="6">
        <f t="shared" si="58"/>
        <v>1.021990740991896E-2</v>
      </c>
      <c r="N157" s="7">
        <f t="shared" ref="N157:N205" si="65">24*60*SUM($M157:$M157)</f>
        <v>14.716666670283303</v>
      </c>
      <c r="O157" s="7"/>
      <c r="P157" s="7"/>
      <c r="Q157" s="23"/>
      <c r="R157" s="23"/>
      <c r="S157" s="35">
        <f t="shared" si="51"/>
        <v>1</v>
      </c>
      <c r="T157" s="50" t="str">
        <f t="shared" si="59"/>
        <v>Southbound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12:38:14-0600',mode:absolute,to:'2016-10-12 14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61"/>
        <v>N</v>
      </c>
      <c r="X157" s="149">
        <f t="shared" si="47"/>
        <v>1</v>
      </c>
      <c r="Y157" s="67">
        <f t="shared" si="62"/>
        <v>5.8659999999999997</v>
      </c>
      <c r="Z157" s="67">
        <f t="shared" si="54"/>
        <v>7.2700000000000001E-2</v>
      </c>
      <c r="AA157" s="67">
        <f t="shared" si="63"/>
        <v>5.7932999999999995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64"/>
        <v>0822-12</v>
      </c>
      <c r="AE157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7" s="88" t="str">
        <f t="shared" si="56"/>
        <v>"C:\Program Files (x86)\AstroGrep\AstroGrep.exe" /spath="%USERPROFILE%\AppData\Local\Temp\OnboardLogs" /stypes="app*4004*20161012*" /stext=" 19:.+((SYSTEM_STATE.+slice.+state.+changed )|(ment ac)|(system.+state.+changed )|(\[timeout)|(PRM\|1\|D)|(kpr)|(kdp)|(\|lc)|(penalty))" /e /r /s</v>
      </c>
      <c r="AG157" s="1" t="str">
        <f t="shared" si="50"/>
        <v>NW</v>
      </c>
      <c r="AH157" s="92" t="str">
        <f t="shared" si="52"/>
        <v>"%USERPROFILE%\Documents\GitHub\eaglep3\Utilities\RefineRTDCRunTimes.py" --tripid 822-12 --locoid 4004 --swversion DE.1.0.7.0 --startMP 300:58660 --initTime 2016-10-12T13:38:14 --startdatetime 2016-10-12T13:40:59 --delay 1 --endMP 204:727 --enddatetime 2016-10-12T13:55:42 --enforcementcount 0 &gt;&gt;C:\Users\stu\Documents\GitHub\eaglep3-reporting\EC\2016-10-12-refined-times.txt</v>
      </c>
      <c r="AI15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{"issue":{"subject":"","project_id":79,"tracker_id":40,"status_id":1,"priority_id":2,"assigned_to_id":23,"start_date":"2016-10-12","description":"","custom_fields":[{"id":1,"name":"Subdivision","value":"NW"},{"id":4,"name":"Milepost","value":"0.0727"},{"id":17,"name":"Train ID","value":"822-12"},{"id":16,"name":"Locomotive ID","value":"4004"},{"id":130,"name":"Impact","value":""},{"id":150,"name":"Time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x14ac:dyDescent="0.25">
      <c r="A158" s="37" t="s">
        <v>630</v>
      </c>
      <c r="B158" s="7">
        <v>4003</v>
      </c>
      <c r="C158" s="22" t="s">
        <v>99</v>
      </c>
      <c r="D158" s="22" t="s">
        <v>631</v>
      </c>
      <c r="E158" s="13">
        <v>42655.58184027778</v>
      </c>
      <c r="F158" s="13">
        <v>42655.598310185182</v>
      </c>
      <c r="G158" s="7">
        <v>1</v>
      </c>
      <c r="H158" s="13" t="s">
        <v>632</v>
      </c>
      <c r="I158" s="13">
        <v>42655.607812499999</v>
      </c>
      <c r="J158" s="7">
        <v>0</v>
      </c>
      <c r="K158" s="112" t="str">
        <f t="shared" si="57"/>
        <v>4003/4004</v>
      </c>
      <c r="L158" s="22" t="str">
        <f>VLOOKUP(A158,'Trips&amp;Operators'!$C$1:$E$10000,3,FALSE)</f>
        <v>STAMBAUGH</v>
      </c>
      <c r="M158" s="6">
        <f t="shared" si="58"/>
        <v>9.5023148169275373E-3</v>
      </c>
      <c r="N158" s="7">
        <f t="shared" si="65"/>
        <v>13.683333336375654</v>
      </c>
      <c r="O158" s="7"/>
      <c r="P158" s="7"/>
      <c r="Q158" s="23"/>
      <c r="R158" s="23"/>
      <c r="S158" s="35">
        <f t="shared" si="51"/>
        <v>1</v>
      </c>
      <c r="T158" s="50" t="str">
        <f t="shared" si="59"/>
        <v>NorthBound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12:57:51-0600',mode:absolute,to:'2016-10-12 15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8" s="52" t="str">
        <f t="shared" si="61"/>
        <v>N</v>
      </c>
      <c r="X158" s="149">
        <f t="shared" si="47"/>
        <v>1</v>
      </c>
      <c r="Y158" s="67">
        <f t="shared" si="62"/>
        <v>0.1016</v>
      </c>
      <c r="Z158" s="67">
        <f t="shared" si="54"/>
        <v>5.8876999999999997</v>
      </c>
      <c r="AA158" s="67">
        <f t="shared" si="63"/>
        <v>5.7860999999999994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4"/>
        <v>0823-12</v>
      </c>
      <c r="AE15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58" s="88" t="str">
        <f t="shared" si="56"/>
        <v>"C:\Program Files (x86)\AstroGrep\AstroGrep.exe" /spath="%USERPROFILE%\AppData\Local\Temp\OnboardLogs" /stypes="app*4003*20161012*" /stext=" 20:.+((SYSTEM_STATE.+slice.+state.+changed )|(ment ac)|(system.+state.+changed )|(\[timeout)|(PRM\|1\|D)|(kpr)|(kdp)|(\|lc)|(penalty))" /e /r /s</v>
      </c>
      <c r="AG158" s="1" t="str">
        <f t="shared" si="50"/>
        <v>NW</v>
      </c>
      <c r="AH158" s="92" t="str">
        <f t="shared" si="52"/>
        <v>"%USERPROFILE%\Documents\GitHub\eaglep3\Utilities\RefineRTDCRunTimes.py" --tripid 823-12 --locoid 4003 --swversion DE.1.0.7.0 --startMP 204:1016 --initTime 2016-10-12T13:57:51 --startdatetime 2016-10-12T14:21:34 --delay 1 --endMP 300:58877 --enddatetime 2016-10-12T14:35:15 --enforcementcount 0 &gt;&gt;C:\Users\stu\Documents\GitHub\eaglep3-reporting\EC\2016-10-12-refined-times.txt</v>
      </c>
      <c r="AI15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{"issue":{"subject":"","project_id":79,"tracker_id":40,"status_id":1,"priority_id":2,"assigned_to_id":23,"start_date":"2016-10-12","description":"","custom_fields":[{"id":1,"name":"Subdivision","value":"NW"},{"id":4,"name":"Milepost","value":"5.8877"},{"id":17,"name":"Train ID","value":"823-12"},{"id":16,"name":"Locomotive ID","value":"4003"},{"id":130,"name":"Impact","value":""},{"id":150,"name":"Time of Event (Mountain Time)","value":"14:35:15"},{"id":151,"name":"Denver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x14ac:dyDescent="0.25">
      <c r="A159" s="37" t="s">
        <v>633</v>
      </c>
      <c r="B159" s="7">
        <v>4004</v>
      </c>
      <c r="C159" s="22" t="s">
        <v>99</v>
      </c>
      <c r="D159" s="22" t="s">
        <v>634</v>
      </c>
      <c r="E159" s="13">
        <v>42655.609606481485</v>
      </c>
      <c r="F159" s="13">
        <v>42655.611446759256</v>
      </c>
      <c r="G159" s="7">
        <v>1</v>
      </c>
      <c r="H159" s="13" t="s">
        <v>635</v>
      </c>
      <c r="I159" s="13">
        <v>42655.621874999997</v>
      </c>
      <c r="J159" s="7">
        <v>0</v>
      </c>
      <c r="K159" s="112" t="str">
        <f t="shared" si="57"/>
        <v>4003/4004</v>
      </c>
      <c r="L159" s="22" t="str">
        <f>VLOOKUP(A159,'Trips&amp;Operators'!$C$1:$E$10000,3,FALSE)</f>
        <v>STAMBAUGH</v>
      </c>
      <c r="M159" s="6">
        <f t="shared" si="58"/>
        <v>1.0428240741021E-2</v>
      </c>
      <c r="N159" s="7">
        <f t="shared" si="65"/>
        <v>15.01666666707024</v>
      </c>
      <c r="O159" s="7"/>
      <c r="P159" s="7"/>
      <c r="Q159" s="23"/>
      <c r="R159" s="23"/>
      <c r="S159" s="35">
        <f t="shared" si="51"/>
        <v>1</v>
      </c>
      <c r="T159" s="50" t="str">
        <f t="shared" si="59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13:37:50-0600',mode:absolute,to:'2016-10-12 15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9" s="52" t="str">
        <f t="shared" si="61"/>
        <v>N</v>
      </c>
      <c r="X159" s="149">
        <f t="shared" si="47"/>
        <v>1</v>
      </c>
      <c r="Y159" s="67">
        <f t="shared" si="62"/>
        <v>5.8562000000000003</v>
      </c>
      <c r="Z159" s="67">
        <f t="shared" si="54"/>
        <v>7.0300000000000001E-2</v>
      </c>
      <c r="AA159" s="67">
        <f t="shared" si="63"/>
        <v>5.7859000000000007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4"/>
        <v>0824-12</v>
      </c>
      <c r="AE15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59" s="88" t="str">
        <f t="shared" si="56"/>
        <v>"C:\Program Files (x86)\AstroGrep\AstroGrep.exe" /spath="%USERPROFILE%\AppData\Local\Temp\OnboardLogs" /stypes="app*4004*20161012*" /stext=" 20:.+((SYSTEM_STATE.+slice.+state.+changed )|(ment ac)|(system.+state.+changed )|(\[timeout)|(PRM\|1\|D)|(kpr)|(kdp)|(\|lc)|(penalty))" /e /r /s</v>
      </c>
      <c r="AG159" s="1" t="str">
        <f t="shared" si="50"/>
        <v>NW</v>
      </c>
      <c r="AH159" s="92" t="str">
        <f t="shared" si="52"/>
        <v>"%USERPROFILE%\Documents\GitHub\eaglep3\Utilities\RefineRTDCRunTimes.py" --tripid 824-12 --locoid 4004 --swversion DE.1.0.7.0 --startMP 300:58562 --initTime 2016-10-12T14:37:50 --startdatetime 2016-10-12T14:40:29 --delay 1 --endMP 204:703 --enddatetime 2016-10-12T14:55:30 --enforcementcount 0 &gt;&gt;C:\Users\stu\Documents\GitHub\eaglep3-reporting\EC\2016-10-12-refined-times.txt</v>
      </c>
      <c r="AI15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{"issue":{"subject":"","project_id":79,"tracker_id":40,"status_id":1,"priority_id":2,"assigned_to_id":23,"start_date":"2016-10-12","description":"","custom_fields":[{"id":1,"name":"Subdivision","value":"NW"},{"id":4,"name":"Milepost","value":"0.0703"},{"id":17,"name":"Train ID","value":"824-12"},{"id":16,"name":"Locomotive ID","value":"4004"},{"id":130,"name":"Impact","value":""},{"id":150,"name":"Time of Event (Mountain Time)","value":"14:55:30"},{"id":151,"name":"Denver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x14ac:dyDescent="0.25">
      <c r="A160" s="37" t="s">
        <v>636</v>
      </c>
      <c r="B160" s="7">
        <v>4003</v>
      </c>
      <c r="C160" s="22" t="s">
        <v>99</v>
      </c>
      <c r="D160" s="22" t="s">
        <v>637</v>
      </c>
      <c r="E160" s="13">
        <v>42655.634340277778</v>
      </c>
      <c r="F160" s="13">
        <v>42655.640104166669</v>
      </c>
      <c r="G160" s="7">
        <v>2</v>
      </c>
      <c r="H160" s="13" t="s">
        <v>638</v>
      </c>
      <c r="I160" s="13">
        <v>42655.649571759262</v>
      </c>
      <c r="J160" s="7">
        <v>0</v>
      </c>
      <c r="K160" s="112" t="str">
        <f t="shared" si="57"/>
        <v>4003/4004</v>
      </c>
      <c r="L160" s="22" t="str">
        <f>VLOOKUP(A160,'Trips&amp;Operators'!$C$1:$E$10000,3,FALSE)</f>
        <v>STAMBAUGH</v>
      </c>
      <c r="M160" s="6">
        <f t="shared" si="58"/>
        <v>9.4675925938645378E-3</v>
      </c>
      <c r="N160" s="7">
        <f t="shared" si="65"/>
        <v>13.633333335164934</v>
      </c>
      <c r="O160" s="7"/>
      <c r="P160" s="7"/>
      <c r="Q160" s="23"/>
      <c r="R160" s="23"/>
      <c r="S160" s="35">
        <f t="shared" si="51"/>
        <v>1</v>
      </c>
      <c r="T160" s="50" t="str">
        <f t="shared" si="59"/>
        <v>NorthBound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14:13:27-0600',mode:absolute,to:'2016-10-12 16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61"/>
        <v>N</v>
      </c>
      <c r="X160" s="149">
        <f t="shared" si="47"/>
        <v>1</v>
      </c>
      <c r="Y160" s="67">
        <f t="shared" si="62"/>
        <v>9.9000000000000005E-2</v>
      </c>
      <c r="Z160" s="67">
        <f t="shared" si="54"/>
        <v>5.8914</v>
      </c>
      <c r="AA160" s="67">
        <f t="shared" si="63"/>
        <v>5.7923999999999998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4"/>
        <v>0825-12</v>
      </c>
      <c r="AE160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0" s="88" t="str">
        <f t="shared" si="56"/>
        <v>"C:\Program Files (x86)\AstroGrep\AstroGrep.exe" /spath="%USERPROFILE%\AppData\Local\Temp\OnboardLogs" /stypes="app*4003*20161012*" /stext=" 21:.+((SYSTEM_STATE.+slice.+state.+changed )|(ment ac)|(system.+state.+changed )|(\[timeout)|(PRM\|1\|D)|(kpr)|(kdp)|(\|lc)|(penalty))" /e /r /s</v>
      </c>
      <c r="AG160" s="1" t="str">
        <f t="shared" si="50"/>
        <v>NW</v>
      </c>
      <c r="AH160" s="92" t="str">
        <f t="shared" si="52"/>
        <v>"%USERPROFILE%\Documents\GitHub\eaglep3\Utilities\RefineRTDCRunTimes.py" --tripid 825-12 --locoid 4003 --swversion DE.1.0.7.0 --startMP 204:990 --initTime 2016-10-12T15:13:27 --startdatetime 2016-10-12T15:21:45 --delay 2 --endMP 300:58914 --enddatetime 2016-10-12T15:35:23 --enforcementcount 0 &gt;&gt;C:\Users\stu\Documents\GitHub\eaglep3-reporting\EC\2016-10-12-refined-times.txt</v>
      </c>
      <c r="AI16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{"issue":{"subject":"","project_id":79,"tracker_id":40,"status_id":1,"priority_id":2,"assigned_to_id":23,"start_date":"2016-10-12","description":"","custom_fields":[{"id":1,"name":"Subdivision","value":"NW"},{"id":4,"name":"Milepost","value":"5.8914"},{"id":17,"name":"Train ID","value":"825-12"},{"id":16,"name":"Locomotive ID","value":"4003"},{"id":130,"name":"Impact","value":""},{"id":150,"name":"Time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639</v>
      </c>
      <c r="B161" s="7">
        <v>4004</v>
      </c>
      <c r="C161" s="22" t="s">
        <v>99</v>
      </c>
      <c r="D161" s="22" t="s">
        <v>640</v>
      </c>
      <c r="E161" s="13">
        <v>42655.651006944441</v>
      </c>
      <c r="F161" s="13">
        <v>42655.652800925927</v>
      </c>
      <c r="G161" s="7">
        <v>1</v>
      </c>
      <c r="H161" s="13" t="s">
        <v>641</v>
      </c>
      <c r="I161" s="13">
        <v>42655.669039351851</v>
      </c>
      <c r="J161" s="7">
        <v>0</v>
      </c>
      <c r="K161" s="112" t="str">
        <f t="shared" si="57"/>
        <v>4003/4004</v>
      </c>
      <c r="L161" s="22" t="str">
        <f>VLOOKUP(A161,'Trips&amp;Operators'!$C$1:$E$10000,3,FALSE)</f>
        <v>STAMBAUGH</v>
      </c>
      <c r="M161" s="6">
        <f t="shared" si="58"/>
        <v>1.6238425923802424E-2</v>
      </c>
      <c r="N161" s="7">
        <f t="shared" si="65"/>
        <v>23.383333330275491</v>
      </c>
      <c r="O161" s="7"/>
      <c r="P161" s="7"/>
      <c r="Q161" s="23"/>
      <c r="R161" s="23"/>
      <c r="S161" s="35">
        <f t="shared" si="51"/>
        <v>1</v>
      </c>
      <c r="T161" s="50" t="str">
        <f t="shared" si="59"/>
        <v>Southbound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14:37:27-0600',mode:absolute,to:'2016-10-12 17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61"/>
        <v>N</v>
      </c>
      <c r="X161" s="149">
        <f t="shared" si="47"/>
        <v>1</v>
      </c>
      <c r="Y161" s="67">
        <f t="shared" si="62"/>
        <v>5.8592000000000004</v>
      </c>
      <c r="Z161" s="67">
        <f t="shared" si="54"/>
        <v>1.4E-2</v>
      </c>
      <c r="AA161" s="67">
        <f t="shared" si="63"/>
        <v>5.8452000000000002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4"/>
        <v>0826-12</v>
      </c>
      <c r="AE161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1" s="88" t="str">
        <f t="shared" si="56"/>
        <v>"C:\Program Files (x86)\AstroGrep\AstroGrep.exe" /spath="%USERPROFILE%\AppData\Local\Temp\OnboardLogs" /stypes="app*4004*20161012*" /stext=" 22:.+((SYSTEM_STATE.+slice.+state.+changed )|(ment ac)|(system.+state.+changed )|(\[timeout)|(PRM\|1\|D)|(kpr)|(kdp)|(\|lc)|(penalty))" /e /r /s</v>
      </c>
      <c r="AG161" s="1" t="str">
        <f t="shared" si="50"/>
        <v>NW</v>
      </c>
      <c r="AH161" s="92" t="str">
        <f t="shared" si="52"/>
        <v>"%USERPROFILE%\Documents\GitHub\eaglep3\Utilities\RefineRTDCRunTimes.py" --tripid 826-12 --locoid 4004 --swversion DE.1.0.7.0 --startMP 300:58592 --initTime 2016-10-12T15:37:27 --startdatetime 2016-10-12T15:40:02 --delay 1 --endMP 204:140 --enddatetime 2016-10-12T16:03:25 --enforcementcount 0 &gt;&gt;C:\Users\stu\Documents\GitHub\eaglep3-reporting\EC\2016-10-12-refined-times.txt</v>
      </c>
      <c r="AI16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{"issue":{"subject":"","project_id":79,"tracker_id":40,"status_id":1,"priority_id":2,"assigned_to_id":23,"start_date":"2016-10-12","description":"","custom_fields":[{"id":1,"name":"Subdivision","value":"NW"},{"id":4,"name":"Milepost","value":"0.014"},{"id":17,"name":"Train ID","value":"826-12"},{"id":16,"name":"Locomotive ID","value":"4004"},{"id":130,"name":"Impact","value":""},{"id":150,"name":"Time of Event (Mountain Time)","value":"16:03:25"},{"id":151,"name":"Denver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642</v>
      </c>
      <c r="B162" s="7">
        <v>4038</v>
      </c>
      <c r="C162" s="22" t="s">
        <v>99</v>
      </c>
      <c r="D162" s="22" t="s">
        <v>620</v>
      </c>
      <c r="E162" s="13">
        <v>42655.667523148149</v>
      </c>
      <c r="F162" s="13">
        <v>42655.669710648152</v>
      </c>
      <c r="G162" s="7">
        <v>1</v>
      </c>
      <c r="H162" s="13" t="s">
        <v>643</v>
      </c>
      <c r="I162" s="13">
        <v>42655.680104166669</v>
      </c>
      <c r="J162" s="7">
        <v>0</v>
      </c>
      <c r="K162" s="112" t="str">
        <f t="shared" si="57"/>
        <v>4037/4038</v>
      </c>
      <c r="L162" s="22" t="str">
        <f>VLOOKUP(A162,'Trips&amp;Operators'!$C$1:$E$10000,3,FALSE)</f>
        <v>ARVIDSON</v>
      </c>
      <c r="M162" s="6">
        <f t="shared" si="58"/>
        <v>1.0393518517958E-2</v>
      </c>
      <c r="N162" s="7">
        <f t="shared" si="65"/>
        <v>14.96666666585952</v>
      </c>
      <c r="O162" s="7"/>
      <c r="P162" s="7"/>
      <c r="Q162" s="23"/>
      <c r="R162" s="23"/>
      <c r="S162" s="35">
        <f t="shared" si="51"/>
        <v>1</v>
      </c>
      <c r="T162" s="50" t="str">
        <f t="shared" si="59"/>
        <v>NorthBound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15:01:14-0600',mode:absolute,to:'2016-10-12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2" s="52" t="str">
        <f t="shared" si="61"/>
        <v>N</v>
      </c>
      <c r="X162" s="149">
        <f t="shared" si="47"/>
        <v>1</v>
      </c>
      <c r="Y162" s="67">
        <f t="shared" si="62"/>
        <v>9.8799999999999999E-2</v>
      </c>
      <c r="Z162" s="67">
        <f t="shared" si="54"/>
        <v>5.8917999999999999</v>
      </c>
      <c r="AA162" s="67">
        <f t="shared" si="63"/>
        <v>5.7930000000000001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4"/>
        <v>0827-12</v>
      </c>
      <c r="AE162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62" s="88" t="str">
        <f t="shared" si="56"/>
        <v>"C:\Program Files (x86)\AstroGrep\AstroGrep.exe" /spath="%USERPROFILE%\AppData\Local\Temp\OnboardLogs" /stypes="app*4038*20161012*" /stext=" 22:.+((SYSTEM_STATE.+slice.+state.+changed )|(ment ac)|(system.+state.+changed )|(\[timeout)|(PRM\|1\|D)|(kpr)|(kdp)|(\|lc)|(penalty))" /e /r /s</v>
      </c>
      <c r="AG162" s="1" t="str">
        <f t="shared" si="50"/>
        <v>NW</v>
      </c>
      <c r="AH162" s="92" t="str">
        <f t="shared" si="52"/>
        <v>"%USERPROFILE%\Documents\GitHub\eaglep3\Utilities\RefineRTDCRunTimes.py" --tripid 827-12 --locoid 4038 --swversion DE.1.0.7.0 --startMP 204:988 --initTime 2016-10-12T16:01:14 --startdatetime 2016-10-12T16:04:23 --delay 1 --endMP 300:58918 --enddatetime 2016-10-12T16:19:21 --enforcementcount 0 &gt;&gt;C:\Users\stu\Documents\GitHub\eaglep3-reporting\EC\2016-10-12-refined-times.txt</v>
      </c>
      <c r="AI16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{"issue":{"subject":"","project_id":79,"tracker_id":40,"status_id":1,"priority_id":2,"assigned_to_id":23,"start_date":"2016-10-12","description":"","custom_fields":[{"id":1,"name":"Subdivision","value":"NW"},{"id":4,"name":"Milepost","value":"5.8918"},{"id":17,"name":"Train ID","value":"827-12"},{"id":16,"name":"Locomotive ID","value":"4038"},{"id":130,"name":"Impact","value":""},{"id":150,"name":"Time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644</v>
      </c>
      <c r="B163" s="7">
        <v>4037</v>
      </c>
      <c r="C163" s="22" t="s">
        <v>99</v>
      </c>
      <c r="D163" s="22" t="s">
        <v>645</v>
      </c>
      <c r="E163" s="13">
        <v>42655.681226851855</v>
      </c>
      <c r="F163" s="13">
        <v>42655.682881944442</v>
      </c>
      <c r="G163" s="7">
        <v>1</v>
      </c>
      <c r="H163" s="13" t="s">
        <v>646</v>
      </c>
      <c r="I163" s="13">
        <v>42655.69263888889</v>
      </c>
      <c r="J163" s="7">
        <v>0</v>
      </c>
      <c r="K163" s="112" t="str">
        <f t="shared" si="57"/>
        <v>4037/4038</v>
      </c>
      <c r="L163" s="22" t="str">
        <f>VLOOKUP(A163,'Trips&amp;Operators'!$C$1:$E$10000,3,FALSE)</f>
        <v>ARVIDSON</v>
      </c>
      <c r="M163" s="6">
        <f t="shared" si="58"/>
        <v>9.7569444478722289E-3</v>
      </c>
      <c r="N163" s="7">
        <f t="shared" si="65"/>
        <v>14.05000000493601</v>
      </c>
      <c r="O163" s="7"/>
      <c r="P163" s="7"/>
      <c r="Q163" s="23"/>
      <c r="R163" s="23"/>
      <c r="S163" s="35">
        <f t="shared" si="51"/>
        <v>1</v>
      </c>
      <c r="T163" s="50" t="str">
        <f t="shared" si="59"/>
        <v>Southbound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15:20:58-0600',mode:absolute,to:'2016-10-12 17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3" s="52" t="str">
        <f t="shared" si="61"/>
        <v>N</v>
      </c>
      <c r="X163" s="149">
        <f t="shared" si="47"/>
        <v>1</v>
      </c>
      <c r="Y163" s="67">
        <f t="shared" si="62"/>
        <v>5.8601999999999999</v>
      </c>
      <c r="Z163" s="67">
        <f t="shared" si="54"/>
        <v>6.9800000000000001E-2</v>
      </c>
      <c r="AA163" s="67">
        <f t="shared" si="63"/>
        <v>5.7904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4"/>
        <v>0828-12</v>
      </c>
      <c r="AE163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63" s="88" t="str">
        <f t="shared" si="56"/>
        <v>"C:\Program Files (x86)\AstroGrep\AstroGrep.exe" /spath="%USERPROFILE%\AppData\Local\Temp\OnboardLogs" /stypes="app*4037*20161012*" /stext=" 22:.+((SYSTEM_STATE.+slice.+state.+changed )|(ment ac)|(system.+state.+changed )|(\[timeout)|(PRM\|1\|D)|(kpr)|(kdp)|(\|lc)|(penalty))" /e /r /s</v>
      </c>
      <c r="AG163" s="1" t="str">
        <f t="shared" si="50"/>
        <v>NW</v>
      </c>
      <c r="AH163" s="92" t="str">
        <f t="shared" si="52"/>
        <v>"%USERPROFILE%\Documents\GitHub\eaglep3\Utilities\RefineRTDCRunTimes.py" --tripid 828-12 --locoid 4037 --swversion DE.1.0.7.0 --startMP 300:58602 --initTime 2016-10-12T16:20:58 --startdatetime 2016-10-12T16:23:21 --delay 1 --endMP 204:698 --enddatetime 2016-10-12T16:37:24 --enforcementcount 0 &gt;&gt;C:\Users\stu\Documents\GitHub\eaglep3-reporting\EC\2016-10-12-refined-times.txt</v>
      </c>
      <c r="AI16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{"issue":{"subject":"","project_id":79,"tracker_id":40,"status_id":1,"priority_id":2,"assigned_to_id":23,"start_date":"2016-10-12","description":"","custom_fields":[{"id":1,"name":"Subdivision","value":"NW"},{"id":4,"name":"Milepost","value":"0.0698"},{"id":17,"name":"Train ID","value":"828-12"},{"id":16,"name":"Locomotive ID","value":"4037"},{"id":130,"name":"Impact","value":""},{"id":150,"name":"Time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647</v>
      </c>
      <c r="B164" s="7">
        <v>4003</v>
      </c>
      <c r="C164" s="22" t="s">
        <v>99</v>
      </c>
      <c r="D164" s="22" t="s">
        <v>648</v>
      </c>
      <c r="E164" s="13">
        <v>42655.677893518521</v>
      </c>
      <c r="F164" s="13">
        <v>42655.681539351855</v>
      </c>
      <c r="G164" s="7">
        <v>1</v>
      </c>
      <c r="H164" s="13" t="s">
        <v>649</v>
      </c>
      <c r="I164" s="13">
        <v>42655.693113425928</v>
      </c>
      <c r="J164" s="7">
        <v>0</v>
      </c>
      <c r="K164" s="112" t="str">
        <f t="shared" si="57"/>
        <v>4003/4004</v>
      </c>
      <c r="L164" s="22" t="str">
        <f>VLOOKUP(A164,'Trips&amp;Operators'!$C$1:$E$10000,3,FALSE)</f>
        <v>STAMBAUGH</v>
      </c>
      <c r="M164" s="6">
        <f t="shared" si="58"/>
        <v>1.1574074072996154E-2</v>
      </c>
      <c r="N164" s="7">
        <f t="shared" si="65"/>
        <v>16.666666665114462</v>
      </c>
      <c r="O164" s="7"/>
      <c r="P164" s="7"/>
      <c r="Q164" s="23"/>
      <c r="R164" s="23"/>
      <c r="S164" s="35">
        <f t="shared" si="51"/>
        <v>1</v>
      </c>
      <c r="T164" s="50" t="str">
        <f t="shared" si="59"/>
        <v>NorthBound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15:16:10-0600',mode:absolute,to:'2016-10-12 17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61"/>
        <v>N</v>
      </c>
      <c r="X164" s="149">
        <f t="shared" si="47"/>
        <v>1</v>
      </c>
      <c r="Y164" s="67">
        <f t="shared" si="62"/>
        <v>4.48E-2</v>
      </c>
      <c r="Z164" s="67">
        <f t="shared" si="54"/>
        <v>5.8910999999999998</v>
      </c>
      <c r="AA164" s="67">
        <f t="shared" si="63"/>
        <v>5.8462999999999994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4"/>
        <v>0829-12</v>
      </c>
      <c r="AE164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4" s="88" t="str">
        <f t="shared" si="56"/>
        <v>"C:\Program Files (x86)\AstroGrep\AstroGrep.exe" /spath="%USERPROFILE%\AppData\Local\Temp\OnboardLogs" /stypes="app*4003*20161012*" /stext=" 22:.+((SYSTEM_STATE.+slice.+state.+changed )|(ment ac)|(system.+state.+changed )|(\[timeout)|(PRM\|1\|D)|(kpr)|(kdp)|(\|lc)|(penalty))" /e /r /s</v>
      </c>
      <c r="AG164" s="1" t="str">
        <f t="shared" si="50"/>
        <v>NW</v>
      </c>
      <c r="AH164" s="92" t="str">
        <f t="shared" si="52"/>
        <v>"%USERPROFILE%\Documents\GitHub\eaglep3\Utilities\RefineRTDCRunTimes.py" --tripid 829-12 --locoid 4003 --swversion DE.1.0.7.0 --startMP 204:448 --initTime 2016-10-12T16:16:10 --startdatetime 2016-10-12T16:21:25 --delay 1 --endMP 300:58911 --enddatetime 2016-10-12T16:38:05 --enforcementcount 0 &gt;&gt;C:\Users\stu\Documents\GitHub\eaglep3-reporting\EC\2016-10-12-refined-times.txt</v>
      </c>
      <c r="AI16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{"issue":{"subject":"","project_id":79,"tracker_id":40,"status_id":1,"priority_id":2,"assigned_to_id":23,"start_date":"2016-10-12","description":"","custom_fields":[{"id":1,"name":"Subdivision","value":"NW"},{"id":4,"name":"Milepost","value":"5.8911"},{"id":17,"name":"Train ID","value":"829-12"},{"id":16,"name":"Locomotive ID","value":"4003"},{"id":130,"name":"Impact","value":""},{"id":150,"name":"Time of Event (Mountain Time)","value":"16:38:05"},{"id":151,"name":"Denver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650</v>
      </c>
      <c r="B165" s="7">
        <v>4004</v>
      </c>
      <c r="C165" s="22" t="s">
        <v>99</v>
      </c>
      <c r="D165" s="22" t="s">
        <v>640</v>
      </c>
      <c r="E165" s="13">
        <v>42655.694502314815</v>
      </c>
      <c r="F165" s="13">
        <v>42655.696053240739</v>
      </c>
      <c r="G165" s="7">
        <v>1</v>
      </c>
      <c r="H165" s="13" t="s">
        <v>651</v>
      </c>
      <c r="I165" s="13">
        <v>42655.70616898148</v>
      </c>
      <c r="J165" s="7">
        <v>0</v>
      </c>
      <c r="K165" s="112" t="str">
        <f t="shared" si="57"/>
        <v>4003/4004</v>
      </c>
      <c r="L165" s="22" t="str">
        <f>VLOOKUP(A165,'Trips&amp;Operators'!$C$1:$E$10000,3,FALSE)</f>
        <v>STAMBAUGH</v>
      </c>
      <c r="M165" s="6">
        <f t="shared" si="58"/>
        <v>1.0115740740729962E-2</v>
      </c>
      <c r="N165" s="7">
        <f t="shared" si="65"/>
        <v>14.566666666651145</v>
      </c>
      <c r="O165" s="7"/>
      <c r="P165" s="7"/>
      <c r="Q165" s="23"/>
      <c r="R165" s="23"/>
      <c r="S165" s="35">
        <f t="shared" si="51"/>
        <v>1</v>
      </c>
      <c r="T165" s="50" t="str">
        <f t="shared" si="59"/>
        <v>Southbound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15:40:05-0600',mode:absolute,to:'2016-10-12 17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61"/>
        <v>N</v>
      </c>
      <c r="X165" s="149">
        <f t="shared" si="47"/>
        <v>1</v>
      </c>
      <c r="Y165" s="67">
        <f t="shared" si="62"/>
        <v>5.8592000000000004</v>
      </c>
      <c r="Z165" s="67">
        <f t="shared" si="54"/>
        <v>7.1999999999999995E-2</v>
      </c>
      <c r="AA165" s="67">
        <f t="shared" si="63"/>
        <v>5.7872000000000003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64"/>
        <v>0830-12</v>
      </c>
      <c r="AE165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5" s="88" t="str">
        <f t="shared" si="56"/>
        <v>"C:\Program Files (x86)\AstroGrep\AstroGrep.exe" /spath="%USERPROFILE%\AppData\Local\Temp\OnboardLogs" /stypes="app*4004*20161012*" /stext=" 22:.+((SYSTEM_STATE.+slice.+state.+changed )|(ment ac)|(system.+state.+changed )|(\[timeout)|(PRM\|1\|D)|(kpr)|(kdp)|(\|lc)|(penalty))" /e /r /s</v>
      </c>
      <c r="AG165" s="1" t="str">
        <f t="shared" si="50"/>
        <v>NW</v>
      </c>
      <c r="AH165" s="92" t="str">
        <f t="shared" si="52"/>
        <v>"%USERPROFILE%\Documents\GitHub\eaglep3\Utilities\RefineRTDCRunTimes.py" --tripid 830-12 --locoid 4004 --swversion DE.1.0.7.0 --startMP 300:58592 --initTime 2016-10-12T16:40:05 --startdatetime 2016-10-12T16:42:19 --delay 1 --endMP 204:720 --enddatetime 2016-10-12T16:56:53 --enforcementcount 0 &gt;&gt;C:\Users\stu\Documents\GitHub\eaglep3-reporting\EC\2016-10-12-refined-times.txt</v>
      </c>
      <c r="AI16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{"issue":{"subject":"","project_id":79,"tracker_id":40,"status_id":1,"priority_id":2,"assigned_to_id":23,"start_date":"2016-10-12","description":"","custom_fields":[{"id":1,"name":"Subdivision","value":"NW"},{"id":4,"name":"Milepost","value":"0.072"},{"id":17,"name":"Train ID","value":"830-12"},{"id":16,"name":"Locomotive ID","value":"4004"},{"id":130,"name":"Impact","value":""},{"id":150,"name":"Time of Event (Mountain Time)","value":"16:56:53"},{"id":151,"name":"Denver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652</v>
      </c>
      <c r="B166" s="7">
        <v>4038</v>
      </c>
      <c r="C166" s="22" t="s">
        <v>99</v>
      </c>
      <c r="D166" s="22" t="s">
        <v>580</v>
      </c>
      <c r="E166" s="13">
        <v>42655.697013888886</v>
      </c>
      <c r="F166" s="13">
        <v>42655.702581018515</v>
      </c>
      <c r="G166" s="7">
        <v>1</v>
      </c>
      <c r="H166" s="13" t="s">
        <v>653</v>
      </c>
      <c r="I166" s="13">
        <v>42655.712939814817</v>
      </c>
      <c r="J166" s="7">
        <v>0</v>
      </c>
      <c r="K166" s="112" t="str">
        <f t="shared" si="57"/>
        <v>4037/4038</v>
      </c>
      <c r="L166" s="22" t="str">
        <f>VLOOKUP(A166,'Trips&amp;Operators'!$C$1:$E$10000,3,FALSE)</f>
        <v>ARVIDSON</v>
      </c>
      <c r="M166" s="6">
        <f t="shared" si="58"/>
        <v>1.0358796302170958E-2</v>
      </c>
      <c r="N166" s="7">
        <f t="shared" si="65"/>
        <v>14.91666667512618</v>
      </c>
      <c r="O166" s="7"/>
      <c r="P166" s="7"/>
      <c r="Q166" s="23"/>
      <c r="R166" s="23"/>
      <c r="S166" s="35">
        <f t="shared" si="51"/>
        <v>1</v>
      </c>
      <c r="T166" s="50" t="str">
        <f t="shared" si="59"/>
        <v>NorthBound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15:43:42-0600',mode:absolute,to:'2016-10-12 18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6" s="52" t="str">
        <f t="shared" si="61"/>
        <v>N</v>
      </c>
      <c r="X166" s="149">
        <f t="shared" si="47"/>
        <v>1</v>
      </c>
      <c r="Y166" s="67">
        <f t="shared" si="62"/>
        <v>0.1</v>
      </c>
      <c r="Z166" s="67">
        <f t="shared" si="54"/>
        <v>5.8921999999999999</v>
      </c>
      <c r="AA166" s="67">
        <f t="shared" si="63"/>
        <v>5.7922000000000002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64"/>
        <v>0831-12</v>
      </c>
      <c r="AE166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66" s="88" t="str">
        <f t="shared" si="56"/>
        <v>"C:\Program Files (x86)\AstroGrep\AstroGrep.exe" /spath="%USERPROFILE%\AppData\Local\Temp\OnboardLogs" /stypes="app*4038*20161012*" /stext=" 23:.+((SYSTEM_STATE.+slice.+state.+changed )|(ment ac)|(system.+state.+changed )|(\[timeout)|(PRM\|1\|D)|(kpr)|(kdp)|(\|lc)|(penalty))" /e /r /s</v>
      </c>
      <c r="AG166" s="1" t="str">
        <f t="shared" si="50"/>
        <v>NW</v>
      </c>
      <c r="AH166" s="92" t="str">
        <f t="shared" si="52"/>
        <v>"%USERPROFILE%\Documents\GitHub\eaglep3\Utilities\RefineRTDCRunTimes.py" --tripid 831-12 --locoid 4038 --swversion DE.1.0.7.0 --startMP 204:1000 --initTime 2016-10-12T16:43:42 --startdatetime 2016-10-12T16:51:43 --delay 1 --endMP 300:58922 --enddatetime 2016-10-12T17:06:38 --enforcementcount 0 &gt;&gt;C:\Users\stu\Documents\GitHub\eaglep3-reporting\EC\2016-10-12-refined-times.txt</v>
      </c>
      <c r="AI16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ID","value":"831-12"},{"id":16,"name":"Locomotive ID","value":"4038"},{"id":130,"name":"Impact","value":""},{"id":150,"name":"Time of Event (Mountain Time)","value":"17:06:38"},{"id":151,"name":"Denver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654</v>
      </c>
      <c r="B167" s="7">
        <v>4037</v>
      </c>
      <c r="C167" s="22" t="s">
        <v>99</v>
      </c>
      <c r="D167" s="22" t="s">
        <v>655</v>
      </c>
      <c r="E167" s="13">
        <v>42655.714375000003</v>
      </c>
      <c r="F167" s="13">
        <v>42655.716064814813</v>
      </c>
      <c r="G167" s="7">
        <v>1</v>
      </c>
      <c r="H167" s="13" t="s">
        <v>314</v>
      </c>
      <c r="I167" s="13">
        <v>42655.734722222223</v>
      </c>
      <c r="J167" s="7">
        <v>0</v>
      </c>
      <c r="K167" s="112" t="str">
        <f t="shared" si="57"/>
        <v>4037/4038</v>
      </c>
      <c r="L167" s="22" t="str">
        <f>VLOOKUP(A167,'Trips&amp;Operators'!$C$1:$E$10000,3,FALSE)</f>
        <v>ARVIDSON</v>
      </c>
      <c r="M167" s="6">
        <f t="shared" si="58"/>
        <v>1.8657407410501037E-2</v>
      </c>
      <c r="N167" s="7">
        <f t="shared" si="65"/>
        <v>26.866666671121493</v>
      </c>
      <c r="O167" s="7"/>
      <c r="P167" s="7"/>
      <c r="Q167" s="23"/>
      <c r="R167" s="23"/>
      <c r="S167" s="35">
        <f t="shared" si="51"/>
        <v>1</v>
      </c>
      <c r="T167" s="50" t="str">
        <f t="shared" si="59"/>
        <v>Southbound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16:08:42-0600',mode:absolute,to:'2016-10-12 18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7" s="52" t="str">
        <f t="shared" si="61"/>
        <v>N</v>
      </c>
      <c r="X167" s="149">
        <f t="shared" si="47"/>
        <v>1</v>
      </c>
      <c r="Y167" s="67">
        <f t="shared" si="62"/>
        <v>5.8605999999999998</v>
      </c>
      <c r="Z167" s="67">
        <f t="shared" si="54"/>
        <v>7.0599999999999996E-2</v>
      </c>
      <c r="AA167" s="67">
        <f t="shared" si="63"/>
        <v>5.79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64"/>
        <v>0832-12</v>
      </c>
      <c r="AE167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67" s="88" t="str">
        <f t="shared" si="56"/>
        <v>"C:\Program Files (x86)\AstroGrep\AstroGrep.exe" /spath="%USERPROFILE%\AppData\Local\Temp\OnboardLogs" /stypes="app*4037*20161012*" /stext=" 23:.+((SYSTEM_STATE.+slice.+state.+changed )|(ment ac)|(system.+state.+changed )|(\[timeout)|(PRM\|1\|D)|(kpr)|(kdp)|(\|lc)|(penalty))" /e /r /s</v>
      </c>
      <c r="AG167" s="1" t="str">
        <f t="shared" si="50"/>
        <v>NW</v>
      </c>
      <c r="AH167" s="92" t="str">
        <f t="shared" si="52"/>
        <v>"%USERPROFILE%\Documents\GitHub\eaglep3\Utilities\RefineRTDCRunTimes.py" --tripid 832-12 --locoid 4037 --swversion DE.1.0.7.0 --startMP 300:58606 --initTime 2016-10-12T17:08:42 --startdatetime 2016-10-12T17:11:08 --delay 1 --endMP 204:706 --enddatetime 2016-10-12T17:38:00 --enforcementcount 0 &gt;&gt;C:\Users\stu\Documents\GitHub\eaglep3-reporting\EC\2016-10-12-refined-times.txt</v>
      </c>
      <c r="AI16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ID","value":"832-12"},{"id":16,"name":"Locomotive ID","value":"4037"},{"id":130,"name":"Impact","value":""},{"id":150,"name":"Time of Event (Mountain Time)","value":"17:38:00"},{"id":151,"name":"Denver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656</v>
      </c>
      <c r="B168" s="7">
        <v>4003</v>
      </c>
      <c r="C168" s="22" t="s">
        <v>99</v>
      </c>
      <c r="D168" s="22" t="s">
        <v>657</v>
      </c>
      <c r="E168" s="13">
        <v>42655.717627314814</v>
      </c>
      <c r="F168" s="13">
        <v>42655.723194444443</v>
      </c>
      <c r="G168" s="7">
        <v>1</v>
      </c>
      <c r="H168" s="13" t="s">
        <v>658</v>
      </c>
      <c r="I168" s="13">
        <v>42655.734236111108</v>
      </c>
      <c r="J168" s="7">
        <v>0</v>
      </c>
      <c r="K168" s="112" t="str">
        <f t="shared" si="57"/>
        <v>4003/4004</v>
      </c>
      <c r="L168" s="22" t="str">
        <f>VLOOKUP(A168,'Trips&amp;Operators'!$C$1:$E$10000,3,FALSE)</f>
        <v>STAMBAUGH</v>
      </c>
      <c r="M168" s="6">
        <f t="shared" si="58"/>
        <v>1.1041666664823424E-2</v>
      </c>
      <c r="N168" s="7">
        <f t="shared" si="65"/>
        <v>15.899999997345731</v>
      </c>
      <c r="O168" s="7"/>
      <c r="P168" s="7"/>
      <c r="Q168" s="23"/>
      <c r="R168" s="23"/>
      <c r="S168" s="35">
        <f t="shared" si="51"/>
        <v>1</v>
      </c>
      <c r="T168" s="50" t="str">
        <f t="shared" si="59"/>
        <v>NorthBound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16:13:23-0600',mode:absolute,to:'2016-10-12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61"/>
        <v>N</v>
      </c>
      <c r="X168" s="149">
        <f t="shared" si="47"/>
        <v>1</v>
      </c>
      <c r="Y168" s="67">
        <f t="shared" si="62"/>
        <v>0.1021</v>
      </c>
      <c r="Z168" s="67">
        <f t="shared" si="54"/>
        <v>5.8905000000000003</v>
      </c>
      <c r="AA168" s="67">
        <f t="shared" si="63"/>
        <v>5.7884000000000002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64"/>
        <v>0833-12</v>
      </c>
      <c r="AE168" s="91" t="str">
        <f t="shared" si="55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68" s="88" t="str">
        <f t="shared" si="56"/>
        <v>"C:\Program Files (x86)\AstroGrep\AstroGrep.exe" /spath="%USERPROFILE%\AppData\Local\Temp\OnboardLogs" /stypes="app*4003*20161012*" /stext=" 23:.+((SYSTEM_STATE.+slice.+state.+changed )|(ment ac)|(system.+state.+changed )|(\[timeout)|(PRM\|1\|D)|(kpr)|(kdp)|(\|lc)|(penalty))" /e /r /s</v>
      </c>
      <c r="AG168" s="1" t="str">
        <f t="shared" si="50"/>
        <v>NW</v>
      </c>
      <c r="AH168" s="92" t="str">
        <f t="shared" si="52"/>
        <v>"%USERPROFILE%\Documents\GitHub\eaglep3\Utilities\RefineRTDCRunTimes.py" --tripid 833-12 --locoid 4003 --swversion DE.1.0.7.0 --startMP 204:1021 --initTime 2016-10-12T17:13:23 --startdatetime 2016-10-12T17:21:24 --delay 1 --endMP 300:58905 --enddatetime 2016-10-12T17:37:18 --enforcementcount 0 &gt;&gt;C:\Users\stu\Documents\GitHub\eaglep3-reporting\EC\2016-10-12-refined-times.txt</v>
      </c>
      <c r="AI16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{"issue":{"subject":"","project_id":79,"tracker_id":40,"status_id":1,"priority_id":2,"assigned_to_id":23,"start_date":"2016-10-12","description":"","custom_fields":[{"id":1,"name":"Subdivision","value":"NW"},{"id":4,"name":"Milepost","value":"5.8905"},{"id":17,"name":"Train ID","value":"833-12"},{"id":16,"name":"Locomotive ID","value":"4003"},{"id":130,"name":"Impact","value":""},{"id":150,"name":"Time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659</v>
      </c>
      <c r="B169" s="7">
        <v>4004</v>
      </c>
      <c r="C169" s="22" t="s">
        <v>99</v>
      </c>
      <c r="D169" s="22" t="s">
        <v>660</v>
      </c>
      <c r="E169" s="13">
        <v>42655.735717592594</v>
      </c>
      <c r="F169" s="13">
        <v>42655.737083333333</v>
      </c>
      <c r="G169" s="7">
        <v>1</v>
      </c>
      <c r="H169" s="13" t="s">
        <v>314</v>
      </c>
      <c r="I169" s="13">
        <v>42655.747442129628</v>
      </c>
      <c r="J169" s="7">
        <v>0</v>
      </c>
      <c r="K169" s="112" t="str">
        <f t="shared" si="57"/>
        <v>4003/4004</v>
      </c>
      <c r="L169" s="22" t="str">
        <f>VLOOKUP(A169,'Trips&amp;Operators'!$C$1:$E$10000,3,FALSE)</f>
        <v>STAMBAUGH</v>
      </c>
      <c r="M169" s="6">
        <f t="shared" si="58"/>
        <v>1.0358796294895001E-2</v>
      </c>
      <c r="N169" s="7">
        <f t="shared" si="65"/>
        <v>14.916666664648801</v>
      </c>
      <c r="O169" s="7"/>
      <c r="P169" s="7"/>
      <c r="Q169" s="23"/>
      <c r="R169" s="23"/>
      <c r="S169" s="35">
        <f t="shared" si="51"/>
        <v>1</v>
      </c>
      <c r="T169" s="50" t="str">
        <f t="shared" si="59"/>
        <v>Southbound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16:39:26-0600',mode:absolute,to:'2016-10-12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61"/>
        <v>N</v>
      </c>
      <c r="X169" s="149">
        <f t="shared" si="47"/>
        <v>1</v>
      </c>
      <c r="Y169" s="67">
        <f t="shared" si="62"/>
        <v>5.8586999999999998</v>
      </c>
      <c r="Z169" s="67">
        <f t="shared" si="54"/>
        <v>7.0599999999999996E-2</v>
      </c>
      <c r="AA169" s="67">
        <f t="shared" si="63"/>
        <v>5.7881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64"/>
        <v>0834-12</v>
      </c>
      <c r="AE169" s="91" t="str">
        <f t="shared" si="55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69" s="88" t="str">
        <f t="shared" si="56"/>
        <v>"C:\Program Files (x86)\AstroGrep\AstroGrep.exe" /spath="%USERPROFILE%\AppData\Local\Temp\OnboardLogs" /stypes="app*4004*20161012*" /stext=" 23:.+((SYSTEM_STATE.+slice.+state.+changed )|(ment ac)|(system.+state.+changed )|(\[timeout)|(PRM\|1\|D)|(kpr)|(kdp)|(\|lc)|(penalty))" /e /r /s</v>
      </c>
      <c r="AG169" s="1" t="str">
        <f t="shared" si="50"/>
        <v>NW</v>
      </c>
      <c r="AH169" s="92" t="str">
        <f t="shared" si="52"/>
        <v>"%USERPROFILE%\Documents\GitHub\eaglep3\Utilities\RefineRTDCRunTimes.py" --tripid 834-12 --locoid 4004 --swversion DE.1.0.7.0 --startMP 300:58587 --initTime 2016-10-12T17:39:26 --startdatetime 2016-10-12T17:41:24 --delay 1 --endMP 204:706 --enddatetime 2016-10-12T17:56:19 --enforcementcount 0 &gt;&gt;C:\Users\stu\Documents\GitHub\eaglep3-reporting\EC\2016-10-12-refined-times.txt</v>
      </c>
      <c r="AI16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ID","value":"834-12"},{"id":16,"name":"Locomotive ID","value":"4004"},{"id":130,"name":"Impact","value":""},{"id":150,"name":"Time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661</v>
      </c>
      <c r="B170" s="7">
        <v>4038</v>
      </c>
      <c r="C170" s="22" t="s">
        <v>99</v>
      </c>
      <c r="D170" s="22" t="s">
        <v>662</v>
      </c>
      <c r="E170" s="13">
        <v>42655.741840277777</v>
      </c>
      <c r="F170" s="13">
        <v>42655.744120370371</v>
      </c>
      <c r="G170" s="7">
        <v>1</v>
      </c>
      <c r="H170" s="13" t="s">
        <v>653</v>
      </c>
      <c r="I170" s="13">
        <v>42655.754756944443</v>
      </c>
      <c r="J170" s="7">
        <v>0</v>
      </c>
      <c r="K170" s="112" t="str">
        <f t="shared" si="57"/>
        <v>4037/4038</v>
      </c>
      <c r="L170" s="22" t="str">
        <f>VLOOKUP(A170,'Trips&amp;Operators'!$C$1:$E$10000,3,FALSE)</f>
        <v>ARVIDSON</v>
      </c>
      <c r="M170" s="6">
        <f t="shared" si="58"/>
        <v>1.063657407212304E-2</v>
      </c>
      <c r="N170" s="7">
        <f t="shared" si="65"/>
        <v>15.316666663857177</v>
      </c>
      <c r="O170" s="7"/>
      <c r="P170" s="7"/>
      <c r="Q170" s="23"/>
      <c r="R170" s="23"/>
      <c r="S170" s="35">
        <f t="shared" si="51"/>
        <v>1</v>
      </c>
      <c r="T170" s="50" t="str">
        <f t="shared" si="59"/>
        <v>NorthBound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16:48:15-0600',mode:absolute,to:'2016-10-12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0" s="52" t="str">
        <f t="shared" si="61"/>
        <v>N</v>
      </c>
      <c r="X170" s="149">
        <f t="shared" si="47"/>
        <v>1</v>
      </c>
      <c r="Y170" s="67">
        <f t="shared" si="62"/>
        <v>0.1007</v>
      </c>
      <c r="Z170" s="67">
        <f t="shared" si="54"/>
        <v>5.8921999999999999</v>
      </c>
      <c r="AA170" s="67">
        <f t="shared" si="63"/>
        <v>5.7915000000000001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64"/>
        <v>0835-12</v>
      </c>
      <c r="AE170" s="91" t="str">
        <f t="shared" si="55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70" s="88" t="str">
        <f t="shared" si="56"/>
        <v>"C:\Program Files (x86)\AstroGrep\AstroGrep.exe" /spath="%USERPROFILE%\AppData\Local\Temp\OnboardLogs" /stypes="app*4038*20161013*" /stext=" 00:.+((SYSTEM_STATE.+slice.+state.+changed )|(ment ac)|(system.+state.+changed )|(\[timeout)|(PRM\|1\|D)|(kpr)|(kdp)|(\|lc)|(penalty))" /e /r /s</v>
      </c>
      <c r="AG170" s="1" t="str">
        <f t="shared" si="50"/>
        <v>NW</v>
      </c>
      <c r="AH170" s="92" t="str">
        <f t="shared" si="52"/>
        <v>"%USERPROFILE%\Documents\GitHub\eaglep3\Utilities\RefineRTDCRunTimes.py" --tripid 835-12 --locoid 4038 --swversion DE.1.0.7.0 --startMP 204:1007 --initTime 2016-10-12T17:48:15 --startdatetime 2016-10-12T17:51:32 --delay 1 --endMP 300:58922 --enddatetime 2016-10-12T18:06:51 --enforcementcount 0 &gt;&gt;C:\Users\stu\Documents\GitHub\eaglep3-reporting\EC\2016-10-12-refined-times.txt</v>
      </c>
      <c r="AI17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ID","value":"835-12"},{"id":16,"name":"Locomotive ID","value":"4038"},{"id":130,"name":"Impact","value":""},{"id":150,"name":"Time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663</v>
      </c>
      <c r="B171" s="7">
        <v>4037</v>
      </c>
      <c r="C171" s="22" t="s">
        <v>99</v>
      </c>
      <c r="D171" s="22" t="s">
        <v>645</v>
      </c>
      <c r="E171" s="13">
        <v>42655.756145833337</v>
      </c>
      <c r="F171" s="13">
        <v>42655.757592592592</v>
      </c>
      <c r="G171" s="7">
        <v>1</v>
      </c>
      <c r="H171" s="13" t="s">
        <v>602</v>
      </c>
      <c r="I171" s="13">
        <v>42655.769965277781</v>
      </c>
      <c r="J171" s="7">
        <v>0</v>
      </c>
      <c r="K171" s="112" t="str">
        <f t="shared" si="57"/>
        <v>4037/4038</v>
      </c>
      <c r="L171" s="22" t="str">
        <f>VLOOKUP(A171,'Trips&amp;Operators'!$C$1:$E$10000,3,FALSE)</f>
        <v>ARVIDSON</v>
      </c>
      <c r="M171" s="6">
        <f t="shared" si="58"/>
        <v>1.2372685188893229E-2</v>
      </c>
      <c r="N171" s="7">
        <f t="shared" si="65"/>
        <v>17.816666672006249</v>
      </c>
      <c r="O171" s="7"/>
      <c r="P171" s="7"/>
      <c r="Q171" s="23"/>
      <c r="R171" s="23"/>
      <c r="S171" s="35">
        <f t="shared" si="51"/>
        <v>1</v>
      </c>
      <c r="T171" s="50" t="str">
        <f t="shared" si="59"/>
        <v>Southbound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17:08:51-0600',mode:absolute,to:'2016-10-12 19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1" s="52" t="str">
        <f t="shared" si="61"/>
        <v>N</v>
      </c>
      <c r="X171" s="149">
        <f t="shared" ref="X171:X196" si="66">VALUE(LEFT(AD171,4))-VALUE(LEFT(AD170,4))</f>
        <v>1</v>
      </c>
      <c r="Y171" s="67">
        <f t="shared" si="62"/>
        <v>5.8601999999999999</v>
      </c>
      <c r="Z171" s="67">
        <f t="shared" si="54"/>
        <v>6.9400000000000003E-2</v>
      </c>
      <c r="AA171" s="67">
        <f t="shared" si="63"/>
        <v>5.7907999999999999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64"/>
        <v>0836-12</v>
      </c>
      <c r="AE171" s="91" t="str">
        <f t="shared" si="55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71" s="88" t="str">
        <f t="shared" si="56"/>
        <v>"C:\Program Files (x86)\AstroGrep\AstroGrep.exe" /spath="%USERPROFILE%\AppData\Local\Temp\OnboardLogs" /stypes="app*4037*20161013*" /stext=" 00:.+((SYSTEM_STATE.+slice.+state.+changed )|(ment ac)|(system.+state.+changed )|(\[timeout)|(PRM\|1\|D)|(kpr)|(kdp)|(\|lc)|(penalty))" /e /r /s</v>
      </c>
      <c r="AG171" s="1" t="str">
        <f t="shared" si="50"/>
        <v>NW</v>
      </c>
      <c r="AH171" s="92" t="str">
        <f t="shared" si="52"/>
        <v>"%USERPROFILE%\Documents\GitHub\eaglep3\Utilities\RefineRTDCRunTimes.py" --tripid 836-12 --locoid 4037 --swversion DE.1.0.7.0 --startMP 300:58602 --initTime 2016-10-12T18:08:51 --startdatetime 2016-10-12T18:10:56 --delay 1 --endMP 204:694 --enddatetime 2016-10-12T18:28:45 --enforcementcount 0 &gt;&gt;C:\Users\stu\Documents\GitHub\eaglep3-reporting\EC\2016-10-12-refined-times.txt</v>
      </c>
      <c r="AI17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{"issue":{"subject":"","project_id":79,"tracker_id":40,"status_id":1,"priority_id":2,"assigned_to_id":23,"start_date":"2016-10-12","description":"","custom_fields":[{"id":1,"name":"Subdivision","value":"NW"},{"id":4,"name":"Milepost","value":"0.0694"},{"id":17,"name":"Train ID","value":"836-12"},{"id":16,"name":"Locomotive ID","value":"4037"},{"id":130,"name":"Impact","value":""},{"id":150,"name":"Time of Event (Mountain Time)","value":"18:28:45"},{"id":151,"name":"Denver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664</v>
      </c>
      <c r="B172" s="7">
        <v>4003</v>
      </c>
      <c r="C172" s="22" t="s">
        <v>99</v>
      </c>
      <c r="D172" s="22" t="s">
        <v>631</v>
      </c>
      <c r="E172" s="13">
        <v>42655.75986111111</v>
      </c>
      <c r="F172" s="13">
        <v>42655.766180555554</v>
      </c>
      <c r="G172" s="7">
        <v>2</v>
      </c>
      <c r="H172" s="13" t="s">
        <v>653</v>
      </c>
      <c r="I172" s="13">
        <v>42655.775057870371</v>
      </c>
      <c r="J172" s="7">
        <v>0</v>
      </c>
      <c r="K172" s="112" t="str">
        <f t="shared" si="57"/>
        <v>4003/4004</v>
      </c>
      <c r="L172" s="22" t="str">
        <f>VLOOKUP(A172,'Trips&amp;Operators'!$C$1:$E$10000,3,FALSE)</f>
        <v>STAMBAUGH</v>
      </c>
      <c r="M172" s="6">
        <f t="shared" si="58"/>
        <v>8.8773148163454607E-3</v>
      </c>
      <c r="N172" s="7">
        <f t="shared" si="65"/>
        <v>12.783333335537463</v>
      </c>
      <c r="O172" s="7"/>
      <c r="P172" s="7"/>
      <c r="Q172" s="23"/>
      <c r="R172" s="23"/>
      <c r="S172" s="35">
        <f t="shared" si="51"/>
        <v>1</v>
      </c>
      <c r="T172" s="50" t="str">
        <f t="shared" si="59"/>
        <v>NorthBound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17:14:12-0600',mode:absolute,to:'2016-10-12 19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61"/>
        <v>N</v>
      </c>
      <c r="X172" s="149">
        <f t="shared" si="66"/>
        <v>1</v>
      </c>
      <c r="Y172" s="67">
        <f t="shared" si="62"/>
        <v>0.1016</v>
      </c>
      <c r="Z172" s="67">
        <f t="shared" si="54"/>
        <v>5.8921999999999999</v>
      </c>
      <c r="AA172" s="67">
        <f t="shared" si="63"/>
        <v>5.7905999999999995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64"/>
        <v>0837-12</v>
      </c>
      <c r="AE172" s="91" t="str">
        <f t="shared" ref="AE172:AE205" si="67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2" s="88" t="str">
        <f t="shared" ref="AF172:AF205" si="68"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/stypes="app*4003*20161013*" /stext=" 00:.+((SYSTEM_STATE.+slice.+state.+changed )|(ment ac)|(system.+state.+changed )|(\[timeout)|(PRM\|1\|D)|(kpr)|(kdp)|(\|lc)|(penalty))" /e /r /s</v>
      </c>
      <c r="AG172" s="1" t="str">
        <f t="shared" si="50"/>
        <v>NW</v>
      </c>
      <c r="AH172" s="92" t="str">
        <f t="shared" si="52"/>
        <v>"%USERPROFILE%\Documents\GitHub\eaglep3\Utilities\RefineRTDCRunTimes.py" --tripid 837-12 --locoid 4003 --swversion DE.1.0.7.0 --startMP 204:1016 --initTime 2016-10-12T18:14:12 --startdatetime 2016-10-12T18:23:18 --delay 2 --endMP 300:58922 --enddatetime 2016-10-12T18:36:05 --enforcementcount 0 &gt;&gt;C:\Users\stu\Documents\GitHub\eaglep3-reporting\EC\2016-10-12-refined-times.txt</v>
      </c>
      <c r="AI172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ID","value":"837-12"},{"id":16,"name":"Locomotive ID","value":"4003"},{"id":130,"name":"Impact","value":""},{"id":150,"name":"Time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665</v>
      </c>
      <c r="B173" s="7">
        <v>4004</v>
      </c>
      <c r="C173" s="22" t="s">
        <v>99</v>
      </c>
      <c r="D173" s="22" t="s">
        <v>645</v>
      </c>
      <c r="E173" s="13">
        <v>42655.776423611111</v>
      </c>
      <c r="F173" s="13">
        <v>42655.77784722222</v>
      </c>
      <c r="G173" s="7">
        <v>1</v>
      </c>
      <c r="H173" s="13" t="s">
        <v>314</v>
      </c>
      <c r="I173" s="13">
        <v>42655.792766203704</v>
      </c>
      <c r="J173" s="7">
        <v>0</v>
      </c>
      <c r="K173" s="112" t="str">
        <f t="shared" si="57"/>
        <v>4003/4004</v>
      </c>
      <c r="L173" s="22" t="str">
        <f>VLOOKUP(A173,'Trips&amp;Operators'!$C$1:$E$10000,3,FALSE)</f>
        <v>STAMBAUGH</v>
      </c>
      <c r="M173" s="6">
        <f t="shared" si="58"/>
        <v>1.491898148378823E-2</v>
      </c>
      <c r="N173" s="7">
        <f t="shared" si="65"/>
        <v>21.483333336655051</v>
      </c>
      <c r="O173" s="7"/>
      <c r="P173" s="7"/>
      <c r="Q173" s="23"/>
      <c r="R173" s="23"/>
      <c r="S173" s="35">
        <f t="shared" si="51"/>
        <v>1</v>
      </c>
      <c r="T173" s="50" t="str">
        <f t="shared" si="59"/>
        <v>Southbound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17:38:03-0600',mode:absolute,to:'2016-10-12 20:01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61"/>
        <v>N</v>
      </c>
      <c r="X173" s="149">
        <f t="shared" si="66"/>
        <v>1</v>
      </c>
      <c r="Y173" s="67">
        <f t="shared" si="62"/>
        <v>5.8601999999999999</v>
      </c>
      <c r="Z173" s="67">
        <f t="shared" si="54"/>
        <v>7.0599999999999996E-2</v>
      </c>
      <c r="AA173" s="67">
        <f t="shared" si="63"/>
        <v>5.7896000000000001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64"/>
        <v>0838-12</v>
      </c>
      <c r="AE173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3" s="88" t="str">
        <f t="shared" si="68"/>
        <v>"C:\Program Files (x86)\AstroGrep\AstroGrep.exe" /spath="%USERPROFILE%\AppData\Local\Temp\OnboardLogs" /stypes="app*4004*20161013*" /stext=" 01:.+((SYSTEM_STATE.+slice.+state.+changed )|(ment ac)|(system.+state.+changed )|(\[timeout)|(PRM\|1\|D)|(kpr)|(kdp)|(\|lc)|(penalty))" /e /r /s</v>
      </c>
      <c r="AG173" s="1" t="str">
        <f t="shared" ref="AG173:AG205" si="69">IFERROR(IF(VALUE(LEFT(AD173,2))&lt;=2,"EC",IF(OR(VALUE(LEFT(AD173,2))=8,VALUE(LEFT(AD173,2))=18),"NW","Other")),"Other")</f>
        <v>NW</v>
      </c>
      <c r="AH173" s="92" t="str">
        <f t="shared" si="52"/>
        <v>"%USERPROFILE%\Documents\GitHub\eaglep3\Utilities\RefineRTDCRunTimes.py" --tripid 838-12 --locoid 4004 --swversion DE.1.0.7.0 --startMP 300:58602 --initTime 2016-10-12T18:38:03 --startdatetime 2016-10-12T18:40:06 --delay 1 --endMP 204:706 --enddatetime 2016-10-12T19:01:35 --enforcementcount 0 &gt;&gt;C:\Users\stu\Documents\GitHub\eaglep3-reporting\EC\2016-10-12-refined-times.txt</v>
      </c>
      <c r="AI173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{"issue":{"subject":"","project_id":79,"tracker_id":40,"status_id":1,"priority_id":2,"assigned_to_id":23,"start_date":"2016-10-12","description":"","custom_fields":[{"id":1,"name":"Subdivision","value":"NW"},{"id":4,"name":"Milepost","value":"0.0706"},{"id":17,"name":"Train ID","value":"838-12"},{"id":16,"name":"Locomotive ID","value":"4004"},{"id":130,"name":"Impact","value":""},{"id":150,"name":"Time of Event (Mountain Time)","value":"19:01:35"},{"id":151,"name":"Denver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666</v>
      </c>
      <c r="B174" s="7">
        <v>4038</v>
      </c>
      <c r="C174" s="22" t="s">
        <v>99</v>
      </c>
      <c r="D174" s="22" t="s">
        <v>667</v>
      </c>
      <c r="E174" s="13">
        <v>42655.780092592591</v>
      </c>
      <c r="F174" s="13">
        <v>42655.785856481481</v>
      </c>
      <c r="G174" s="7">
        <v>1</v>
      </c>
      <c r="H174" s="13" t="s">
        <v>668</v>
      </c>
      <c r="I174" s="13">
        <v>42655.797025462962</v>
      </c>
      <c r="J174" s="7">
        <v>0</v>
      </c>
      <c r="K174" s="112" t="str">
        <f t="shared" si="57"/>
        <v>4037/4038</v>
      </c>
      <c r="L174" s="22" t="str">
        <f>VLOOKUP(A174,'Trips&amp;Operators'!$C$1:$E$10000,3,FALSE)</f>
        <v>ARVIDSON</v>
      </c>
      <c r="M174" s="6">
        <f t="shared" si="58"/>
        <v>1.116898148029577E-2</v>
      </c>
      <c r="N174" s="7">
        <f t="shared" si="65"/>
        <v>16.083333331625909</v>
      </c>
      <c r="O174" s="7"/>
      <c r="P174" s="7"/>
      <c r="Q174" s="23"/>
      <c r="R174" s="23"/>
      <c r="S174" s="35">
        <f t="shared" si="51"/>
        <v>1</v>
      </c>
      <c r="T174" s="50" t="str">
        <f t="shared" si="59"/>
        <v>NorthBound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17:43:20-0600',mode:absolute,to:'2016-10-12 20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4" s="52" t="str">
        <f t="shared" si="61"/>
        <v>N</v>
      </c>
      <c r="X174" s="149">
        <f t="shared" si="66"/>
        <v>1</v>
      </c>
      <c r="Y174" s="67">
        <f t="shared" si="62"/>
        <v>0.1013</v>
      </c>
      <c r="Z174" s="67">
        <f t="shared" si="54"/>
        <v>5.8916000000000004</v>
      </c>
      <c r="AA174" s="67">
        <f t="shared" si="63"/>
        <v>5.7903000000000002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64"/>
        <v>0839-12</v>
      </c>
      <c r="AE174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74" s="88" t="str">
        <f t="shared" si="68"/>
        <v>"C:\Program Files (x86)\AstroGrep\AstroGrep.exe" /spath="%USERPROFILE%\AppData\Local\Temp\OnboardLogs" /stypes="app*4038*20161013*" /stext=" 01:.+((SYSTEM_STATE.+slice.+state.+changed )|(ment ac)|(system.+state.+changed )|(\[timeout)|(PRM\|1\|D)|(kpr)|(kdp)|(\|lc)|(penalty))" /e /r /s</v>
      </c>
      <c r="AG174" s="1" t="str">
        <f t="shared" si="69"/>
        <v>NW</v>
      </c>
      <c r="AH174" s="92" t="str">
        <f t="shared" si="52"/>
        <v>"%USERPROFILE%\Documents\GitHub\eaglep3\Utilities\RefineRTDCRunTimes.py" --tripid 839-12 --locoid 4038 --swversion DE.1.0.7.0 --startMP 204:1013 --initTime 2016-10-12T18:43:20 --startdatetime 2016-10-12T18:51:38 --delay 1 --endMP 300:58916 --enddatetime 2016-10-12T19:07:43 --enforcementcount 0 &gt;&gt;C:\Users\stu\Documents\GitHub\eaglep3-reporting\EC\2016-10-12-refined-times.txt</v>
      </c>
      <c r="AI174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{"issue":{"subject":"","project_id":79,"tracker_id":40,"status_id":1,"priority_id":2,"assigned_to_id":23,"start_date":"2016-10-12","description":"","custom_fields":[{"id":1,"name":"Subdivision","value":"NW"},{"id":4,"name":"Milepost","value":"5.8916"},{"id":17,"name":"Train ID","value":"839-12"},{"id":16,"name":"Locomotive ID","value":"4038"},{"id":130,"name":"Impact","value":""},{"id":150,"name":"Time of Event (Mountain Time)","value":"19:07:43"},{"id":151,"name":"Denver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669</v>
      </c>
      <c r="B175" s="7">
        <v>4004</v>
      </c>
      <c r="C175" s="22" t="s">
        <v>99</v>
      </c>
      <c r="D175" s="22" t="s">
        <v>670</v>
      </c>
      <c r="E175" s="13">
        <v>42655.819247685184</v>
      </c>
      <c r="F175" s="13">
        <v>42655.820543981485</v>
      </c>
      <c r="G175" s="7">
        <v>1</v>
      </c>
      <c r="H175" s="13" t="s">
        <v>671</v>
      </c>
      <c r="I175" s="13">
        <v>42655.832789351851</v>
      </c>
      <c r="J175" s="7">
        <v>0</v>
      </c>
      <c r="K175" s="112" t="str">
        <f t="shared" si="57"/>
        <v>4003/4004</v>
      </c>
      <c r="L175" s="22" t="str">
        <f>VLOOKUP(A175,'Trips&amp;Operators'!$C$1:$E$10000,3,FALSE)</f>
        <v>STAMBAUGH</v>
      </c>
      <c r="M175" s="6">
        <f t="shared" si="58"/>
        <v>1.2245370366144925E-2</v>
      </c>
      <c r="N175" s="7">
        <f t="shared" si="65"/>
        <v>17.633333327248693</v>
      </c>
      <c r="O175" s="7"/>
      <c r="P175" s="7"/>
      <c r="Q175" s="23"/>
      <c r="R175" s="23"/>
      <c r="S175" s="35">
        <f t="shared" si="51"/>
        <v>1</v>
      </c>
      <c r="T175" s="50" t="str">
        <f t="shared" si="59"/>
        <v>Southbound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18:39:43-0600',mode:absolute,to:'2016-10-12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61"/>
        <v>N</v>
      </c>
      <c r="X175" s="149">
        <f t="shared" si="66"/>
        <v>1</v>
      </c>
      <c r="Y175" s="67">
        <f t="shared" si="62"/>
        <v>5.86</v>
      </c>
      <c r="Z175" s="67">
        <f t="shared" si="54"/>
        <v>7.0099999999999996E-2</v>
      </c>
      <c r="AA175" s="67">
        <f t="shared" si="63"/>
        <v>5.7899000000000003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64"/>
        <v>0840-12</v>
      </c>
      <c r="AE175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5" s="88" t="str">
        <f t="shared" si="68"/>
        <v>"C:\Program Files (x86)\AstroGrep\AstroGrep.exe" /spath="%USERPROFILE%\AppData\Local\Temp\OnboardLogs" /stypes="app*4004*20161013*" /stext=" 01:.+((SYSTEM_STATE.+slice.+state.+changed )|(ment ac)|(system.+state.+changed )|(\[timeout)|(PRM\|1\|D)|(kpr)|(kdp)|(\|lc)|(penalty))" /e /r /s</v>
      </c>
      <c r="AG175" s="1" t="str">
        <f t="shared" si="69"/>
        <v>NW</v>
      </c>
      <c r="AH175" s="92" t="str">
        <f t="shared" si="52"/>
        <v>"%USERPROFILE%\Documents\GitHub\eaglep3\Utilities\RefineRTDCRunTimes.py" --tripid 840-12 --locoid 4004 --swversion DE.1.0.7.0 --startMP 300:58600 --initTime 2016-10-12T19:39:43 --startdatetime 2016-10-12T19:41:35 --delay 1 --endMP 204:701 --enddatetime 2016-10-12T19:59:13 --enforcementcount 0 &gt;&gt;C:\Users\stu\Documents\GitHub\eaglep3-reporting\EC\2016-10-12-refined-times.txt</v>
      </c>
      <c r="AI175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{"issue":{"subject":"","project_id":79,"tracker_id":40,"status_id":1,"priority_id":2,"assigned_to_id":23,"start_date":"2016-10-12","description":"","custom_fields":[{"id":1,"name":"Subdivision","value":"NW"},{"id":4,"name":"Milepost","value":"0.0701"},{"id":17,"name":"Train ID","value":"840-12"},{"id":16,"name":"Locomotive ID","value":"4004"},{"id":130,"name":"Impact","value":""},{"id":150,"name":"Time of Event (Mountain Time)","value":"19:59:13"},{"id":151,"name":"Denver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672</v>
      </c>
      <c r="B176" s="7">
        <v>4003</v>
      </c>
      <c r="C176" s="22" t="s">
        <v>99</v>
      </c>
      <c r="D176" s="22" t="s">
        <v>673</v>
      </c>
      <c r="E176" s="13">
        <v>42655.803657407407</v>
      </c>
      <c r="F176" s="13">
        <v>42655.806608796294</v>
      </c>
      <c r="G176" s="7">
        <v>1</v>
      </c>
      <c r="H176" s="13" t="s">
        <v>674</v>
      </c>
      <c r="I176" s="13">
        <v>42655.818240740744</v>
      </c>
      <c r="J176" s="7">
        <v>0</v>
      </c>
      <c r="K176" s="112" t="str">
        <f t="shared" si="57"/>
        <v>4003/4004</v>
      </c>
      <c r="L176" s="22" t="str">
        <f>VLOOKUP(A176,'Trips&amp;Operators'!$C$1:$E$10000,3,FALSE)</f>
        <v>STAMBAUGH</v>
      </c>
      <c r="M176" s="6">
        <f t="shared" si="58"/>
        <v>1.1631944449618459E-2</v>
      </c>
      <c r="N176" s="7">
        <f t="shared" si="65"/>
        <v>16.750000007450581</v>
      </c>
      <c r="O176" s="7"/>
      <c r="P176" s="7"/>
      <c r="Q176" s="23"/>
      <c r="R176" s="23"/>
      <c r="S176" s="35">
        <f t="shared" si="51"/>
        <v>1</v>
      </c>
      <c r="T176" s="50" t="str">
        <f t="shared" si="59"/>
        <v>NorthBound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18:17:16-0600',mode:absolute,to:'2016-10-12 20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61"/>
        <v>N</v>
      </c>
      <c r="X176" s="149">
        <f t="shared" si="66"/>
        <v>1</v>
      </c>
      <c r="Y176" s="67">
        <f t="shared" si="62"/>
        <v>9.9199999999999997E-2</v>
      </c>
      <c r="Z176" s="67">
        <f t="shared" si="54"/>
        <v>5.8912000000000004</v>
      </c>
      <c r="AA176" s="67">
        <f t="shared" si="63"/>
        <v>5.7920000000000007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64"/>
        <v>0841-12</v>
      </c>
      <c r="AE176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6" s="88" t="str">
        <f t="shared" si="68"/>
        <v>"C:\Program Files (x86)\AstroGrep\AstroGrep.exe" /spath="%USERPROFILE%\AppData\Local\Temp\OnboardLogs" /stypes="app*4003*20161013*" /stext=" 01:.+((SYSTEM_STATE.+slice.+state.+changed )|(ment ac)|(system.+state.+changed )|(\[timeout)|(PRM\|1\|D)|(kpr)|(kdp)|(\|lc)|(penalty))" /e /r /s</v>
      </c>
      <c r="AG176" s="1" t="str">
        <f t="shared" si="69"/>
        <v>NW</v>
      </c>
      <c r="AH176" s="92" t="str">
        <f t="shared" si="52"/>
        <v>"%USERPROFILE%\Documents\GitHub\eaglep3\Utilities\RefineRTDCRunTimes.py" --tripid 841-12 --locoid 4003 --swversion DE.1.0.7.0 --startMP 204:992 --initTime 2016-10-12T19:17:16 --startdatetime 2016-10-12T19:21:31 --delay 1 --endMP 300:58912 --enddatetime 2016-10-12T19:38:16 --enforcementcount 0 &gt;&gt;C:\Users\stu\Documents\GitHub\eaglep3-reporting\EC\2016-10-12-refined-times.txt</v>
      </c>
      <c r="AI176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{"issue":{"subject":"","project_id":79,"tracker_id":40,"status_id":1,"priority_id":2,"assigned_to_id":23,"start_date":"2016-10-12","description":"","custom_fields":[{"id":1,"name":"Subdivision","value":"NW"},{"id":4,"name":"Milepost","value":"5.8912"},{"id":17,"name":"Train ID","value":"841-12"},{"id":16,"name":"Locomotive ID","value":"4003"},{"id":130,"name":"Impact","value":""},{"id":150,"name":"Time of Event (Mountain Time)","value":"19:38:16"},{"id":151,"name":"Denver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675</v>
      </c>
      <c r="B177" s="7">
        <v>4004</v>
      </c>
      <c r="C177" s="22" t="s">
        <v>99</v>
      </c>
      <c r="D177" s="22" t="s">
        <v>676</v>
      </c>
      <c r="E177" s="13">
        <v>42655.859467592592</v>
      </c>
      <c r="F177" s="13">
        <v>42655.861180555556</v>
      </c>
      <c r="G177" s="7">
        <v>1</v>
      </c>
      <c r="H177" s="13" t="s">
        <v>671</v>
      </c>
      <c r="I177" s="13">
        <v>42655.871238425927</v>
      </c>
      <c r="J177" s="7">
        <v>0</v>
      </c>
      <c r="K177" s="112" t="str">
        <f t="shared" si="57"/>
        <v>4003/4004</v>
      </c>
      <c r="L177" s="22" t="str">
        <f>VLOOKUP(A177,'Trips&amp;Operators'!$C$1:$E$10000,3,FALSE)</f>
        <v>STAMBAUGH</v>
      </c>
      <c r="M177" s="6">
        <f t="shared" si="58"/>
        <v>1.0057870371383615E-2</v>
      </c>
      <c r="N177" s="7">
        <f t="shared" si="65"/>
        <v>14.483333334792405</v>
      </c>
      <c r="O177" s="7"/>
      <c r="P177" s="7"/>
      <c r="Q177" s="23"/>
      <c r="R177" s="23"/>
      <c r="S177" s="35">
        <f t="shared" si="51"/>
        <v>1</v>
      </c>
      <c r="T177" s="50" t="str">
        <f t="shared" si="59"/>
        <v>Southbound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19:37:38-0600',mode:absolute,to:'2016-10-12 21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61"/>
        <v>N</v>
      </c>
      <c r="X177" s="149">
        <f t="shared" si="66"/>
        <v>1</v>
      </c>
      <c r="Y177" s="67">
        <f t="shared" si="62"/>
        <v>5.8609</v>
      </c>
      <c r="Z177" s="67">
        <f t="shared" si="54"/>
        <v>7.0099999999999996E-2</v>
      </c>
      <c r="AA177" s="67">
        <f t="shared" si="63"/>
        <v>5.7907999999999999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64"/>
        <v>0842-12</v>
      </c>
      <c r="AE177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7" s="88" t="str">
        <f t="shared" si="68"/>
        <v>"C:\Program Files (x86)\AstroGrep\AstroGrep.exe" /spath="%USERPROFILE%\AppData\Local\Temp\OnboardLogs" /stypes="app*4004*20161013*" /stext=" 02:.+((SYSTEM_STATE.+slice.+state.+changed )|(ment ac)|(system.+state.+changed )|(\[timeout)|(PRM\|1\|D)|(kpr)|(kdp)|(\|lc)|(penalty))" /e /r /s</v>
      </c>
      <c r="AG177" s="1" t="str">
        <f t="shared" si="69"/>
        <v>NW</v>
      </c>
      <c r="AH177" s="92" t="str">
        <f t="shared" si="52"/>
        <v>"%USERPROFILE%\Documents\GitHub\eaglep3\Utilities\RefineRTDCRunTimes.py" --tripid 842-12 --locoid 4004 --swversion DE.1.0.7.0 --startMP 300:58609 --initTime 2016-10-12T20:37:38 --startdatetime 2016-10-12T20:40:06 --delay 1 --endMP 204:701 --enddatetime 2016-10-12T20:54:35 --enforcementcount 0 &gt;&gt;C:\Users\stu\Documents\GitHub\eaglep3-reporting\EC\2016-10-12-refined-times.txt</v>
      </c>
      <c r="AI177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{"issue":{"subject":"","project_id":79,"tracker_id":40,"status_id":1,"priority_id":2,"assigned_to_id":23,"start_date":"2016-10-12","description":"","custom_fields":[{"id":1,"name":"Subdivision","value":"NW"},{"id":4,"name":"Milepost","value":"0.0701"},{"id":17,"name":"Train ID","value":"842-12"},{"id":16,"name":"Locomotive ID","value":"4004"},{"id":130,"name":"Impact","value":""},{"id":150,"name":"Time of Event (Mountain Time)","value":"20:54:35"},{"id":151,"name":"Denver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677</v>
      </c>
      <c r="B178" s="7">
        <v>4003</v>
      </c>
      <c r="C178" s="22" t="s">
        <v>99</v>
      </c>
      <c r="D178" s="22" t="s">
        <v>678</v>
      </c>
      <c r="E178" s="13">
        <v>42655.84165509259</v>
      </c>
      <c r="F178" s="13">
        <v>42655.84878472222</v>
      </c>
      <c r="G178" s="7">
        <v>2</v>
      </c>
      <c r="H178" s="13" t="s">
        <v>653</v>
      </c>
      <c r="I178" s="13">
        <v>42655.858252314814</v>
      </c>
      <c r="J178" s="7">
        <v>0</v>
      </c>
      <c r="K178" s="112" t="str">
        <f t="shared" si="57"/>
        <v>4003/4004</v>
      </c>
      <c r="L178" s="22" t="str">
        <f>VLOOKUP(A178,'Trips&amp;Operators'!$C$1:$E$10000,3,FALSE)</f>
        <v>STAMBAUGH</v>
      </c>
      <c r="M178" s="6">
        <f t="shared" si="58"/>
        <v>9.4675925938645378E-3</v>
      </c>
      <c r="N178" s="7">
        <f t="shared" si="65"/>
        <v>13.633333335164934</v>
      </c>
      <c r="O178" s="7"/>
      <c r="P178" s="7"/>
      <c r="Q178" s="23"/>
      <c r="R178" s="23"/>
      <c r="S178" s="35">
        <f t="shared" si="51"/>
        <v>1</v>
      </c>
      <c r="T178" s="50" t="str">
        <f t="shared" si="59"/>
        <v>NorthBound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19:11:59-0600',mode:absolute,to:'2016-10-12 21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61"/>
        <v>N</v>
      </c>
      <c r="X178" s="149">
        <f t="shared" si="66"/>
        <v>1</v>
      </c>
      <c r="Y178" s="67">
        <f t="shared" si="62"/>
        <v>9.8599999999999993E-2</v>
      </c>
      <c r="Z178" s="67">
        <f t="shared" si="54"/>
        <v>5.8921999999999999</v>
      </c>
      <c r="AA178" s="67">
        <f t="shared" si="63"/>
        <v>5.7935999999999996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64"/>
        <v>0843-12</v>
      </c>
      <c r="AE178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78" s="88" t="str">
        <f t="shared" si="68"/>
        <v>"C:\Program Files (x86)\AstroGrep\AstroGrep.exe" /spath="%USERPROFILE%\AppData\Local\Temp\OnboardLogs" /stypes="app*4003*20161013*" /stext=" 02:.+((SYSTEM_STATE.+slice.+state.+changed )|(ment ac)|(system.+state.+changed )|(\[timeout)|(PRM\|1\|D)|(kpr)|(kdp)|(\|lc)|(penalty))" /e /r /s</v>
      </c>
      <c r="AG178" s="1" t="str">
        <f t="shared" si="69"/>
        <v>NW</v>
      </c>
      <c r="AH178" s="92" t="str">
        <f t="shared" si="52"/>
        <v>"%USERPROFILE%\Documents\GitHub\eaglep3\Utilities\RefineRTDCRunTimes.py" --tripid 843-12 --locoid 4003 --swversion DE.1.0.7.0 --startMP 204:986 --initTime 2016-10-12T20:11:59 --startdatetime 2016-10-12T20:22:15 --delay 2 --endMP 300:58922 --enddatetime 2016-10-12T20:35:53 --enforcementcount 0 &gt;&gt;C:\Users\stu\Documents\GitHub\eaglep3-reporting\EC\2016-10-12-refined-times.txt</v>
      </c>
      <c r="AI178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{"issue":{"subject":"","project_id":79,"tracker_id":40,"status_id":1,"priority_id":2,"assigned_to_id":23,"start_date":"2016-10-12","description":"","custom_fields":[{"id":1,"name":"Subdivision","value":"NW"},{"id":4,"name":"Milepost","value":"5.8922"},{"id":17,"name":"Train ID","value":"843-12"},{"id":16,"name":"Locomotive ID","value":"4003"},{"id":130,"name":"Impact","value":""},{"id":150,"name":"Time of Event (Mountain Time)","value":"20:35:53"},{"id":151,"name":"Denver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679</v>
      </c>
      <c r="B179" s="7">
        <v>4004</v>
      </c>
      <c r="C179" s="22" t="s">
        <v>99</v>
      </c>
      <c r="D179" s="22" t="s">
        <v>574</v>
      </c>
      <c r="E179" s="13">
        <v>42655.902002314811</v>
      </c>
      <c r="F179" s="13">
        <v>42655.903645833336</v>
      </c>
      <c r="G179" s="7">
        <v>1</v>
      </c>
      <c r="H179" s="13" t="s">
        <v>680</v>
      </c>
      <c r="I179" s="13">
        <v>42655.913877314815</v>
      </c>
      <c r="J179" s="7">
        <v>0</v>
      </c>
      <c r="K179" s="112" t="str">
        <f t="shared" si="57"/>
        <v>4003/4004</v>
      </c>
      <c r="L179" s="22" t="str">
        <f>VLOOKUP(A179,'Trips&amp;Operators'!$C$1:$E$10000,3,FALSE)</f>
        <v>ARVIDSON</v>
      </c>
      <c r="M179" s="6">
        <f t="shared" si="58"/>
        <v>1.0231481479422655E-2</v>
      </c>
      <c r="N179" s="7">
        <f t="shared" si="65"/>
        <v>14.733333330368623</v>
      </c>
      <c r="O179" s="7"/>
      <c r="P179" s="7"/>
      <c r="Q179" s="23"/>
      <c r="R179" s="23"/>
      <c r="S179" s="35">
        <f t="shared" si="51"/>
        <v>1</v>
      </c>
      <c r="T179" s="50" t="str">
        <f t="shared" si="59"/>
        <v>Southbound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20:38:53-0600',mode:absolute,to:'2016-10-12 22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61"/>
        <v>N</v>
      </c>
      <c r="X179" s="149">
        <f t="shared" si="66"/>
        <v>1</v>
      </c>
      <c r="Y179" s="67">
        <f t="shared" si="62"/>
        <v>5.8613</v>
      </c>
      <c r="Z179" s="67">
        <f t="shared" si="54"/>
        <v>7.4499999999999997E-2</v>
      </c>
      <c r="AA179" s="67">
        <f t="shared" si="63"/>
        <v>5.7868000000000004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64"/>
        <v>0844-12</v>
      </c>
      <c r="AE179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79" s="88" t="str">
        <f t="shared" si="68"/>
        <v>"C:\Program Files (x86)\AstroGrep\AstroGrep.exe" /spath="%USERPROFILE%\AppData\Local\Temp\OnboardLogs" /stypes="app*4004*20161013*" /stext=" 03:.+((SYSTEM_STATE.+slice.+state.+changed )|(ment ac)|(system.+state.+changed )|(\[timeout)|(PRM\|1\|D)|(kpr)|(kdp)|(\|lc)|(penalty))" /e /r /s</v>
      </c>
      <c r="AG179" s="1" t="str">
        <f t="shared" si="69"/>
        <v>NW</v>
      </c>
      <c r="AH179" s="92" t="str">
        <f t="shared" si="52"/>
        <v>"%USERPROFILE%\Documents\GitHub\eaglep3\Utilities\RefineRTDCRunTimes.py" --tripid 844-12 --locoid 4004 --swversion DE.1.0.7.0 --startMP 300:58613 --initTime 2016-10-12T21:38:53 --startdatetime 2016-10-12T21:41:15 --delay 1 --endMP 204:745 --enddatetime 2016-10-12T21:55:59 --enforcementcount 0 &gt;&gt;C:\Users\stu\Documents\GitHub\eaglep3-reporting\EC\2016-10-12-refined-times.txt</v>
      </c>
      <c r="AI179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{"issue":{"subject":"","project_id":79,"tracker_id":40,"status_id":1,"priority_id":2,"assigned_to_id":23,"start_date":"2016-10-12","description":"","custom_fields":[{"id":1,"name":"Subdivision","value":"NW"},{"id":4,"name":"Milepost","value":"0.0745"},{"id":17,"name":"Train ID","value":"844-12"},{"id":16,"name":"Locomotive ID","value":"4004"},{"id":130,"name":"Impact","value":""},{"id":150,"name":"Time of Event (Mountain Time)","value":"21:55:59"},{"id":151,"name":"Denver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681</v>
      </c>
      <c r="B180" s="7">
        <v>4003</v>
      </c>
      <c r="C180" s="22" t="s">
        <v>99</v>
      </c>
      <c r="D180" s="22" t="s">
        <v>598</v>
      </c>
      <c r="E180" s="13">
        <v>42655.884560185186</v>
      </c>
      <c r="F180" s="13">
        <v>42655.889884259261</v>
      </c>
      <c r="G180" s="7">
        <v>1</v>
      </c>
      <c r="H180" s="13" t="s">
        <v>682</v>
      </c>
      <c r="I180" s="13">
        <v>42655.900312500002</v>
      </c>
      <c r="J180" s="7">
        <v>0</v>
      </c>
      <c r="K180" s="112" t="str">
        <f t="shared" si="57"/>
        <v>4003/4004</v>
      </c>
      <c r="L180" s="22" t="str">
        <f>VLOOKUP(A180,'Trips&amp;Operators'!$C$1:$E$10000,3,FALSE)</f>
        <v>ARVIDSON</v>
      </c>
      <c r="M180" s="6">
        <f t="shared" si="58"/>
        <v>1.0428240741021E-2</v>
      </c>
      <c r="N180" s="7">
        <f t="shared" si="65"/>
        <v>15.01666666707024</v>
      </c>
      <c r="O180" s="7"/>
      <c r="P180" s="7"/>
      <c r="Q180" s="23"/>
      <c r="R180" s="23"/>
      <c r="S180" s="35">
        <f t="shared" si="51"/>
        <v>1</v>
      </c>
      <c r="T180" s="50" t="str">
        <f t="shared" si="59"/>
        <v>NorthBound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20:13:46-0600',mode:absolute,to:'2016-10-12 22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61"/>
        <v>N</v>
      </c>
      <c r="X180" s="149">
        <f t="shared" si="66"/>
        <v>1</v>
      </c>
      <c r="Y180" s="67">
        <f t="shared" si="62"/>
        <v>9.8100000000000007E-2</v>
      </c>
      <c r="Z180" s="67">
        <f t="shared" si="54"/>
        <v>5.8933</v>
      </c>
      <c r="AA180" s="67">
        <f t="shared" si="63"/>
        <v>5.7952000000000004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64"/>
        <v>0845-12</v>
      </c>
      <c r="AE180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80" s="88" t="str">
        <f t="shared" si="68"/>
        <v>"C:\Program Files (x86)\AstroGrep\AstroGrep.exe" /spath="%USERPROFILE%\AppData\Local\Temp\OnboardLogs" /stypes="app*4003*20161013*" /stext=" 03:.+((SYSTEM_STATE.+slice.+state.+changed )|(ment ac)|(system.+state.+changed )|(\[timeout)|(PRM\|1\|D)|(kpr)|(kdp)|(\|lc)|(penalty))" /e /r /s</v>
      </c>
      <c r="AG180" s="1" t="str">
        <f t="shared" si="69"/>
        <v>NW</v>
      </c>
      <c r="AH180" s="92" t="str">
        <f t="shared" si="52"/>
        <v>"%USERPROFILE%\Documents\GitHub\eaglep3\Utilities\RefineRTDCRunTimes.py" --tripid 845-12 --locoid 4003 --swversion DE.1.0.7.0 --startMP 204:981 --initTime 2016-10-12T21:13:46 --startdatetime 2016-10-12T21:21:26 --delay 1 --endMP 300:58933 --enddatetime 2016-10-12T21:36:27 --enforcementcount 0 &gt;&gt;C:\Users\stu\Documents\GitHub\eaglep3-reporting\EC\2016-10-12-refined-times.txt</v>
      </c>
      <c r="AI180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{"issue":{"subject":"","project_id":79,"tracker_id":40,"status_id":1,"priority_id":2,"assigned_to_id":23,"start_date":"2016-10-12","description":"","custom_fields":[{"id":1,"name":"Subdivision","value":"NW"},{"id":4,"name":"Milepost","value":"5.8933"},{"id":17,"name":"Train ID","value":"845-12"},{"id":16,"name":"Locomotive ID","value":"4003"},{"id":130,"name":"Impact","value":""},{"id":150,"name":"Time of Event (Mountain Time)","value":"21:36:27"},{"id":151,"name":"Denver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683</v>
      </c>
      <c r="B181" s="7">
        <v>4003</v>
      </c>
      <c r="C181" s="22" t="s">
        <v>99</v>
      </c>
      <c r="D181" s="22" t="s">
        <v>684</v>
      </c>
      <c r="E181" s="13">
        <v>42655.926828703705</v>
      </c>
      <c r="F181" s="13">
        <v>42655.93178240741</v>
      </c>
      <c r="G181" s="7">
        <v>1</v>
      </c>
      <c r="H181" s="13" t="s">
        <v>573</v>
      </c>
      <c r="I181" s="13">
        <v>42655.94295138889</v>
      </c>
      <c r="J181" s="7">
        <v>0</v>
      </c>
      <c r="K181" s="112" t="str">
        <f t="shared" si="57"/>
        <v>4003/4004</v>
      </c>
      <c r="L181" s="22" t="str">
        <f>VLOOKUP(A181,'Trips&amp;Operators'!$C$1:$E$10000,3,FALSE)</f>
        <v>ARVIDSON</v>
      </c>
      <c r="M181" s="6">
        <f t="shared" si="58"/>
        <v>1.116898148029577E-2</v>
      </c>
      <c r="N181" s="7">
        <f t="shared" si="65"/>
        <v>16.083333331625909</v>
      </c>
      <c r="O181" s="7"/>
      <c r="P181" s="7"/>
      <c r="Q181" s="23"/>
      <c r="R181" s="23"/>
      <c r="S181" s="35">
        <f t="shared" si="51"/>
        <v>1</v>
      </c>
      <c r="T181" s="50" t="str">
        <f t="shared" si="59"/>
        <v>NorthBound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21:14:38-0600',mode:absolute,to:'2016-10-12 23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52" t="str">
        <f t="shared" si="61"/>
        <v>N</v>
      </c>
      <c r="X181" s="149">
        <f t="shared" si="66"/>
        <v>2</v>
      </c>
      <c r="Y181" s="67">
        <f t="shared" si="62"/>
        <v>0.10340000000000001</v>
      </c>
      <c r="Z181" s="67">
        <f t="shared" si="54"/>
        <v>5.8924000000000003</v>
      </c>
      <c r="AA181" s="67">
        <f t="shared" si="63"/>
        <v>5.7890000000000006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64"/>
        <v>0847-12</v>
      </c>
      <c r="AE181" s="91" t="str">
        <f t="shared" si="67"/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AF181" s="88" t="str">
        <f t="shared" si="68"/>
        <v>"C:\Program Files (x86)\AstroGrep\AstroGrep.exe" /spath="%USERPROFILE%\AppData\Local\Temp\OnboardLogs" /stypes="app*4003*20161013*" /stext=" 04:.+((SYSTEM_STATE.+slice.+state.+changed )|(ment ac)|(system.+state.+changed )|(\[timeout)|(PRM\|1\|D)|(kpr)|(kdp)|(\|lc)|(penalty))" /e /r /s</v>
      </c>
      <c r="AG181" s="1" t="str">
        <f t="shared" si="69"/>
        <v>NW</v>
      </c>
      <c r="AH181" s="92" t="str">
        <f t="shared" si="52"/>
        <v>"%USERPROFILE%\Documents\GitHub\eaglep3\Utilities\RefineRTDCRunTimes.py" --tripid 847-12 --locoid 4003 --swversion DE.1.0.7.0 --startMP 204:1034 --initTime 2016-10-12T22:14:38 --startdatetime 2016-10-12T22:21:46 --delay 1 --endMP 300:58924 --enddatetime 2016-10-12T22:37:51 --enforcementcount 0 &gt;&gt;C:\Users\stu\Documents\GitHub\eaglep3-reporting\EC\2016-10-12-refined-times.txt</v>
      </c>
      <c r="AI181" s="122" t="str">
        <f t="shared" si="53"/>
        <v>echo {"issue":{"subject":"","project_id":79,"tracker_id":40,"status_id":1,"priority_id":2,"assigned_to_id":23,"start_date":"2016-10-12","description":"","custom_fields":[{"id":1,"name":"Subdivision","value":"NW"},{"id":4,"name":"Milepost","value":"5.8924"},{"id":17,"name":"Train ID","value":"847-12"},{"id":16,"name":"Locomotive ID","value":"4003"},{"id":130,"name":"Impact","value":""},{"id":150,"name":"Time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685</v>
      </c>
      <c r="B182" s="7">
        <v>4040</v>
      </c>
      <c r="C182" s="22" t="s">
        <v>99</v>
      </c>
      <c r="D182" s="22" t="s">
        <v>429</v>
      </c>
      <c r="E182" s="13">
        <v>42655.777685185189</v>
      </c>
      <c r="F182" s="13">
        <v>25568.708333333332</v>
      </c>
      <c r="G182" s="7">
        <v>4</v>
      </c>
      <c r="H182" s="13" t="s">
        <v>686</v>
      </c>
      <c r="I182" s="13">
        <v>25568.708333333332</v>
      </c>
      <c r="J182" s="7">
        <v>0</v>
      </c>
      <c r="K182" s="112" t="str">
        <f t="shared" si="57"/>
        <v>4039/4040</v>
      </c>
      <c r="L182" s="22" t="str">
        <f>VLOOKUP(A182,'Trips&amp;Operators'!$C$1:$E$10000,3,FALSE)</f>
        <v>HELVIE</v>
      </c>
      <c r="M182" s="6">
        <f t="shared" si="58"/>
        <v>0</v>
      </c>
      <c r="N182" s="7">
        <f t="shared" si="65"/>
        <v>0</v>
      </c>
      <c r="O182" s="7"/>
      <c r="P182" s="7"/>
      <c r="Q182" s="23"/>
      <c r="R182" s="23"/>
      <c r="S182" s="35">
        <f t="shared" si="51"/>
        <v>1</v>
      </c>
      <c r="T182" s="50" t="str">
        <f t="shared" si="59"/>
        <v>NorthBound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17:39:52-0600',mode:absolute,to:'1969-12-31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61"/>
        <v>Y</v>
      </c>
      <c r="X182" s="149">
        <f t="shared" si="66"/>
        <v>-544</v>
      </c>
      <c r="Y182" s="67">
        <f t="shared" si="62"/>
        <v>4.6699999999999998E-2</v>
      </c>
      <c r="Z182" s="67">
        <f t="shared" si="54"/>
        <v>2.3311999999999999</v>
      </c>
      <c r="AA182" s="67">
        <f t="shared" si="63"/>
        <v>2.2845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64"/>
        <v>0303-12</v>
      </c>
      <c r="AE182" s="91" t="str">
        <f t="shared" si="67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182" s="88" t="str">
        <f t="shared" si="68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182" s="1" t="str">
        <f t="shared" si="69"/>
        <v>Other</v>
      </c>
      <c r="AH182" s="92" t="str">
        <f t="shared" si="52"/>
        <v>"%USERPROFILE%\Documents\GitHub\eaglep3\Utilities\RefineRTDCRunTimes.py" --tripid 303-12 --locoid 4040 --swversion DE.1.0.7.0 --startMP 204:467 --initTime 2016-10-12T18:39:52 --startdatetime 1969-12-31T17:00:00 --delay 4 --endMP 300:23312 --enddatetime 1969-12-31T17:00:00 --enforcementcount 0 &gt;&gt;C:\Users\stu\Documents\GitHub\eaglep3-reporting\EC\2016-10-12-refined-times.txt</v>
      </c>
      <c r="AI182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ID","value":"303-12"},{"id":16,"name":"Locomotive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687</v>
      </c>
      <c r="B183" s="7">
        <v>4031</v>
      </c>
      <c r="C183" s="22" t="s">
        <v>99</v>
      </c>
      <c r="D183" s="22" t="s">
        <v>688</v>
      </c>
      <c r="E183" s="13">
        <v>42655.801886574074</v>
      </c>
      <c r="F183" s="13">
        <v>42655.805590277778</v>
      </c>
      <c r="G183" s="7">
        <v>1</v>
      </c>
      <c r="H183" s="13" t="s">
        <v>689</v>
      </c>
      <c r="I183" s="13">
        <v>42655.810856481483</v>
      </c>
      <c r="J183" s="7">
        <v>0</v>
      </c>
      <c r="K183" s="112" t="str">
        <f t="shared" si="57"/>
        <v>4031/4032</v>
      </c>
      <c r="L183" s="22" t="str">
        <f>VLOOKUP(A183,'Trips&amp;Operators'!$C$1:$E$10000,3,FALSE)</f>
        <v>HILLS</v>
      </c>
      <c r="M183" s="6">
        <f t="shared" si="58"/>
        <v>5.2662037051049992E-3</v>
      </c>
      <c r="N183" s="7">
        <f t="shared" si="65"/>
        <v>7.5833333353511989</v>
      </c>
      <c r="O183" s="7"/>
      <c r="P183" s="7"/>
      <c r="Q183" s="23"/>
      <c r="R183" s="23"/>
      <c r="S183" s="35">
        <f t="shared" si="51"/>
        <v>0</v>
      </c>
      <c r="T183" s="50" t="str">
        <f t="shared" si="59"/>
        <v>NorthBound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18:14:43-0600',mode:absolute,to:'2016-10-12 20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3" s="52" t="str">
        <f t="shared" si="61"/>
        <v>Y</v>
      </c>
      <c r="X183" s="149">
        <f t="shared" si="66"/>
        <v>2</v>
      </c>
      <c r="Y183" s="67">
        <f t="shared" si="62"/>
        <v>0.1196</v>
      </c>
      <c r="Z183" s="67">
        <f t="shared" si="54"/>
        <v>0.1198</v>
      </c>
      <c r="AA183" s="67">
        <f t="shared" si="63"/>
        <v>2.0000000000000573E-4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64"/>
        <v>0305-12</v>
      </c>
      <c r="AE183" s="91" t="str">
        <f t="shared" si="67"/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AF183" s="88" t="str">
        <f t="shared" si="68"/>
        <v>"C:\Program Files (x86)\AstroGrep\AstroGrep.exe" /spath="%USERPROFILE%\AppData\Local\Temp\OnboardLogs" /stypes="app*4031*20161013*" /stext=" 01:.+((SYSTEM_STATE.+slice.+state.+changed )|(ment ac)|(system.+state.+changed )|(\[timeout)|(PRM\|1\|D)|(kpr)|(kdp)|(\|lc)|(penalty))" /e /r /s</v>
      </c>
      <c r="AG183" s="1" t="str">
        <f t="shared" si="69"/>
        <v>Other</v>
      </c>
      <c r="AH183" s="92" t="str">
        <f t="shared" si="52"/>
        <v>"%USERPROFILE%\Documents\GitHub\eaglep3\Utilities\RefineRTDCRunTimes.py" --tripid 305-12 --locoid 4031 --swversion DE.1.0.7.0 --startMP 204:1196 --initTime 2016-10-12T19:14:43 --startdatetime 2016-10-12T19:20:03 --delay 1 --endMP 204:1198 --enddatetime 2016-10-12T19:27:38 --enforcementcount 0 &gt;&gt;C:\Users\stu\Documents\GitHub\eaglep3-reporting\EC\2016-10-12-refined-times.txt</v>
      </c>
      <c r="AI183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{"issue":{"subject":"","project_id":79,"tracker_id":40,"status_id":1,"priority_id":2,"assigned_to_id":23,"start_date":"2016-10-12","description":"","custom_fields":[{"id":1,"name":"Subdivision","value":"Other"},{"id":4,"name":"Milepost","value":"0.1198"},{"id":17,"name":"Train ID","value":"305-12"},{"id":16,"name":"Locomotive ID","value":"4031"},{"id":130,"name":"Impact","value":""},{"id":150,"name":"Time of Event (Mountain Time)","value":"19:27:38"},{"id":151,"name":"Denver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690</v>
      </c>
      <c r="B184" s="7">
        <v>4046</v>
      </c>
      <c r="C184" s="22" t="s">
        <v>99</v>
      </c>
      <c r="D184" s="22" t="s">
        <v>565</v>
      </c>
      <c r="E184" s="13">
        <v>42655.821319444447</v>
      </c>
      <c r="F184" s="13">
        <v>25568.708333333332</v>
      </c>
      <c r="G184" s="7">
        <v>4</v>
      </c>
      <c r="H184" s="13" t="s">
        <v>691</v>
      </c>
      <c r="I184" s="13">
        <v>25568.708333333332</v>
      </c>
      <c r="J184" s="7">
        <v>0</v>
      </c>
      <c r="K184" s="112" t="str">
        <f t="shared" si="57"/>
        <v>4045/4046</v>
      </c>
      <c r="L184" s="22" t="str">
        <f>VLOOKUP(A184,'Trips&amp;Operators'!$C$1:$E$10000,3,FALSE)</f>
        <v>STORY</v>
      </c>
      <c r="M184" s="6">
        <f t="shared" si="58"/>
        <v>0</v>
      </c>
      <c r="N184" s="7">
        <f t="shared" si="65"/>
        <v>0</v>
      </c>
      <c r="O184" s="7"/>
      <c r="P184" s="7"/>
      <c r="Q184" s="23"/>
      <c r="R184" s="23"/>
      <c r="S184" s="35">
        <f t="shared" si="51"/>
        <v>1</v>
      </c>
      <c r="T184" s="50" t="str">
        <f t="shared" si="59"/>
        <v>NorthBound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18:42:42-0600',mode:absolute,to:'1969-12-31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61"/>
        <v>Y</v>
      </c>
      <c r="X184" s="149">
        <f t="shared" si="66"/>
        <v>2</v>
      </c>
      <c r="Y184" s="67">
        <f t="shared" si="62"/>
        <v>4.6899999999999997E-2</v>
      </c>
      <c r="Z184" s="67">
        <f t="shared" si="54"/>
        <v>2.3306</v>
      </c>
      <c r="AA184" s="67">
        <f t="shared" si="63"/>
        <v>2.2837000000000001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64"/>
        <v>0307-12</v>
      </c>
      <c r="AE184" s="91" t="str">
        <f t="shared" si="6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184" s="88" t="str">
        <f t="shared" si="68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184" s="1" t="str">
        <f t="shared" si="69"/>
        <v>Other</v>
      </c>
      <c r="AH184" s="92" t="str">
        <f t="shared" si="52"/>
        <v>"%USERPROFILE%\Documents\GitHub\eaglep3\Utilities\RefineRTDCRunTimes.py" --tripid 307-12 --locoid 4046 --swversion DE.1.0.7.0 --startMP 204:469 --initTime 2016-10-12T19:42:42 --startdatetime 1969-12-31T17:00:00 --delay 4 --endMP 300:23306 --enddatetime 1969-12-31T17:00:00 --enforcementcount 0 &gt;&gt;C:\Users\stu\Documents\GitHub\eaglep3-reporting\EC\2016-10-12-refined-times.txt</v>
      </c>
      <c r="AI184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263</v>
      </c>
      <c r="B185" s="7">
        <v>4043</v>
      </c>
      <c r="C185" s="22" t="s">
        <v>99</v>
      </c>
      <c r="D185" s="22" t="s">
        <v>692</v>
      </c>
      <c r="E185" s="13">
        <v>42655.173020833332</v>
      </c>
      <c r="F185" s="13">
        <v>42655.174803240741</v>
      </c>
      <c r="G185" s="7">
        <v>1</v>
      </c>
      <c r="H185" s="13" t="s">
        <v>182</v>
      </c>
      <c r="I185" s="13">
        <v>42655.181041666663</v>
      </c>
      <c r="J185" s="7">
        <v>0</v>
      </c>
      <c r="K185" s="112" t="str">
        <f t="shared" si="57"/>
        <v>4043/4044</v>
      </c>
      <c r="L185" s="22" t="str">
        <f>VLOOKUP(A185,'Trips&amp;Operators'!$C$1:$E$10000,3,FALSE)</f>
        <v>SPECTOR</v>
      </c>
      <c r="M185" s="6">
        <f t="shared" si="58"/>
        <v>6.2384259217651561E-3</v>
      </c>
      <c r="N185" s="7">
        <f t="shared" si="65"/>
        <v>8.9833333273418248</v>
      </c>
      <c r="O185" s="7"/>
      <c r="P185" s="7"/>
      <c r="Q185" s="23"/>
      <c r="R185" s="23"/>
      <c r="S185" s="35">
        <f t="shared" si="51"/>
        <v>1</v>
      </c>
      <c r="T185" s="50" t="str">
        <f t="shared" si="59"/>
        <v>Southbound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03:09:09-0600',mode:absolute,to:'2016-10-12 05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5" s="52" t="str">
        <f t="shared" si="61"/>
        <v>Y</v>
      </c>
      <c r="X185" s="149">
        <f t="shared" si="66"/>
        <v>1</v>
      </c>
      <c r="Y185" s="67">
        <f t="shared" si="62"/>
        <v>2.3277000000000001</v>
      </c>
      <c r="Z185" s="67">
        <f t="shared" si="54"/>
        <v>1.41E-2</v>
      </c>
      <c r="AA185" s="67">
        <f t="shared" si="63"/>
        <v>2.3136000000000001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64"/>
        <v>0308-12</v>
      </c>
      <c r="AE185" s="91" t="str">
        <f t="shared" si="67"/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AF185" s="88" t="str">
        <f t="shared" si="68"/>
        <v>"C:\Program Files (x86)\AstroGrep\AstroGrep.exe" /spath="%USERPROFILE%\AppData\Local\Temp\OnboardLogs" /stypes="app*4043*20161012*" /stext=" 10:.+((SYSTEM_STATE.+slice.+state.+changed )|(ment ac)|(system.+state.+changed )|(\[timeout)|(PRM\|1\|D)|(kpr)|(kdp)|(\|lc)|(penalty))" /e /r /s</v>
      </c>
      <c r="AG185" s="1" t="str">
        <f t="shared" si="69"/>
        <v>Other</v>
      </c>
      <c r="AH185" s="92" t="str">
        <f t="shared" si="52"/>
        <v>"%USERPROFILE%\Documents\GitHub\eaglep3\Utilities\RefineRTDCRunTimes.py" --tripid 308-12 --locoid 4043 --swversion DE.1.0.7.0 --startMP 300:23277 --initTime 2016-10-12T04:09:09 --startdatetime 2016-10-12T04:11:43 --delay 1 --endMP 204:141 --enddatetime 2016-10-12T04:20:42 --enforcementcount 0 &gt;&gt;C:\Users\stu\Documents\GitHub\eaglep3-reporting\EC\2016-10-12-refined-times.txt</v>
      </c>
      <c r="AI185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{"issue":{"subject":"","project_id":79,"tracker_id":40,"status_id":1,"priority_id":2,"assigned_to_id":23,"start_date":"2016-10-12","description":"","custom_fields":[{"id":1,"name":"Subdivision","value":"Other"},{"id":4,"name":"Milepost","value":"0.0141"},{"id":17,"name":"Train ID","value":"308-12"},{"id":16,"name":"Locomotive ID","value":"4043"},{"id":130,"name":"Impact","value":""},{"id":150,"name":"Time of Event (Mountain Time)","value":"04:20:42"},{"id":151,"name":"Denver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693</v>
      </c>
      <c r="B186" s="7">
        <v>4018</v>
      </c>
      <c r="C186" s="22" t="s">
        <v>99</v>
      </c>
      <c r="D186" s="22" t="s">
        <v>694</v>
      </c>
      <c r="E186" s="13">
        <v>42656.032569444447</v>
      </c>
      <c r="F186" s="13">
        <v>42656.034212962964</v>
      </c>
      <c r="G186" s="7">
        <v>1</v>
      </c>
      <c r="H186" s="13" t="s">
        <v>695</v>
      </c>
      <c r="I186" s="13">
        <v>42656.039710648147</v>
      </c>
      <c r="J186" s="7">
        <v>0</v>
      </c>
      <c r="K186" s="112" t="str">
        <f t="shared" si="57"/>
        <v>4017/4018</v>
      </c>
      <c r="L186" s="22" t="str">
        <f>VLOOKUP(A186,'Trips&amp;Operators'!$C$1:$E$10000,3,FALSE)</f>
        <v>STURGEON</v>
      </c>
      <c r="M186" s="6">
        <f t="shared" si="58"/>
        <v>5.4976851824903861E-3</v>
      </c>
      <c r="N186" s="7">
        <f t="shared" si="65"/>
        <v>7.9166666627861559</v>
      </c>
      <c r="O186" s="7"/>
      <c r="P186" s="7"/>
      <c r="Q186" s="23"/>
      <c r="R186" s="23"/>
      <c r="S186" s="35">
        <f t="shared" si="51"/>
        <v>1</v>
      </c>
      <c r="T186" s="50" t="str">
        <f t="shared" si="59"/>
        <v>NorthBound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23:46:54-0600',mode:absolute,to:'2016-10-13 01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2" t="str">
        <f t="shared" si="61"/>
        <v>Y</v>
      </c>
      <c r="X186" s="149">
        <f t="shared" si="66"/>
        <v>1</v>
      </c>
      <c r="Y186" s="67">
        <f t="shared" si="62"/>
        <v>4.82E-2</v>
      </c>
      <c r="Z186" s="67">
        <f t="shared" si="54"/>
        <v>2.3289</v>
      </c>
      <c r="AA186" s="67">
        <f t="shared" si="63"/>
        <v>2.2806999999999999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64"/>
        <v>0309-12</v>
      </c>
      <c r="AE186" s="91" t="str">
        <f t="shared" si="67"/>
        <v>aws s3 cp s3://rtdc.mdm.uploadarchive.raw/RTDC4018/ "%USERPROFILE%\AppData\Local\Temp\OnboardLogs"\RTDC4018\2016-10-13 --exclude "*" --recursive --include "*20161013*" &amp; "%USERPROFILE%\Documents\GitHub\mrs-test-scripts\Headless Mode &amp; Sideloading\WalkAndUnGZ.bat" "%USERPROFILE%\AppData\Local\Temp\OnboardLogs"\RTDC4018\2016-10-13 &amp; aws s3 cp s3://rtdc.mdm.uploadarchive.raw/RTDC4018/ "%USERPROFILE%\AppData\Local\Temp\OnboardLogs"\RTDC4018\2016-10-14 --exclude "*" --recursive --include "*20161014*" &amp; "%USERPROFILE%\Documents\GitHub\mrs-test-scripts\Headless Mode &amp; Sideloading\WalkAndUnGZ.bat" "%USERPROFILE%\AppData\Local\Temp\OnboardLogs"\RTDC4018\2016-10-14</v>
      </c>
      <c r="AF186" s="88" t="str">
        <f t="shared" si="68"/>
        <v>"C:\Program Files (x86)\AstroGrep\AstroGrep.exe" /spath="%USERPROFILE%\AppData\Local\Temp\OnboardLogs" /stypes="app*4018*20161013*" /stext=" 06:.+((SYSTEM_STATE.+slice.+state.+changed )|(ment ac)|(system.+state.+changed )|(\[timeout)|(PRM\|1\|D)|(kpr)|(kdp)|(\|lc)|(penalty))" /e /r /s</v>
      </c>
      <c r="AG186" s="1" t="str">
        <f t="shared" si="69"/>
        <v>Other</v>
      </c>
      <c r="AH186" s="92" t="str">
        <f t="shared" si="52"/>
        <v>"%USERPROFILE%\Documents\GitHub\eaglep3\Utilities\RefineRTDCRunTimes.py" --tripid 309-12 --locoid 4018 --swversion DE.1.0.7.0 --startMP 204:482 --initTime 2016-10-13T00:46:54 --startdatetime 2016-10-13T00:49:16 --delay 1 --endMP 300:23289 --enddatetime 2016-10-13T00:57:11 --enforcementcount 0 &gt;&gt;C:\Users\stu\Documents\GitHub\eaglep3-reporting\EC\2016-10-12-refined-times.txt</v>
      </c>
      <c r="AI186" s="122" t="str">
        <f t="shared" si="53"/>
        <v>echo {"issue":{"subject":"","project_id":79,"tracker_id":40,"status_id":1,"priority_id":2,"assigned_to_id":23,"start_date":"2016-10-13","description":"","custom_fields":[{"id":1,"name":"Subdivision","value":"Other"},{"id":4,"name":"Milepost","value":"2.3289"},{"id":17,"name":"Train ID","value":"309-12"},{"id":16,"name":"Locomotive ID","value":"4018"},{"id":130,"name":"Impact","value":""},{"id":150,"name":"Time of Event (Mountain Time)","value":"00:57:11"},{"id":151,"name":"Denver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282</v>
      </c>
      <c r="B187" s="7">
        <v>4032</v>
      </c>
      <c r="C187" s="22" t="s">
        <v>99</v>
      </c>
      <c r="D187" s="22" t="s">
        <v>696</v>
      </c>
      <c r="E187" s="13">
        <v>42655.181122685186</v>
      </c>
      <c r="F187" s="13">
        <v>42655.182245370372</v>
      </c>
      <c r="G187" s="7">
        <v>1</v>
      </c>
      <c r="H187" s="13" t="s">
        <v>409</v>
      </c>
      <c r="I187" s="13">
        <v>42655.191562499997</v>
      </c>
      <c r="J187" s="7">
        <v>0</v>
      </c>
      <c r="K187" s="112" t="str">
        <f t="shared" si="57"/>
        <v>4031/4032</v>
      </c>
      <c r="L187" s="22" t="str">
        <f>VLOOKUP(A187,'Trips&amp;Operators'!$C$1:$E$10000,3,FALSE)</f>
        <v>KILLION</v>
      </c>
      <c r="M187" s="6">
        <f t="shared" si="58"/>
        <v>9.3171296248328872E-3</v>
      </c>
      <c r="N187" s="7">
        <f t="shared" si="65"/>
        <v>13.416666659759358</v>
      </c>
      <c r="O187" s="7"/>
      <c r="P187" s="7"/>
      <c r="Q187" s="23"/>
      <c r="R187" s="23"/>
      <c r="S187" s="35">
        <f t="shared" ref="S187:S205" si="70">SUM(U187:U187)/IF(AG187="EC",12,1)</f>
        <v>1</v>
      </c>
      <c r="T187" s="50" t="str">
        <f t="shared" si="59"/>
        <v>Southbound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03:20:49-0600',mode:absolute,to:'2016-10-12 05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7" s="52" t="str">
        <f t="shared" si="61"/>
        <v>Y</v>
      </c>
      <c r="X187" s="149">
        <f t="shared" si="66"/>
        <v>1</v>
      </c>
      <c r="Y187" s="67">
        <f t="shared" si="62"/>
        <v>2.2982999999999998</v>
      </c>
      <c r="Z187" s="67">
        <f t="shared" si="54"/>
        <v>1.6299999999999999E-2</v>
      </c>
      <c r="AA187" s="67">
        <f t="shared" si="63"/>
        <v>2.2819999999999996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64"/>
        <v>0310-12</v>
      </c>
      <c r="AE187" s="91" t="str">
        <f t="shared" si="67"/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AF187" s="88" t="str">
        <f t="shared" si="68"/>
        <v>"C:\Program Files (x86)\AstroGrep\AstroGrep.exe" /spath="%USERPROFILE%\AppData\Local\Temp\OnboardLogs" /stypes="app*4032*20161012*" /stext=" 10:.+((SYSTEM_STATE.+slice.+state.+changed )|(ment ac)|(system.+state.+changed )|(\[timeout)|(PRM\|1\|D)|(kpr)|(kdp)|(\|lc)|(penalty))" /e /r /s</v>
      </c>
      <c r="AG187" s="1" t="str">
        <f t="shared" si="69"/>
        <v>Other</v>
      </c>
      <c r="AH187" s="92" t="str">
        <f t="shared" si="52"/>
        <v>"%USERPROFILE%\Documents\GitHub\eaglep3\Utilities\RefineRTDCRunTimes.py" --tripid 310-12 --locoid 4032 --swversion DE.1.0.7.0 --startMP 300:22983 --initTime 2016-10-12T04:20:49 --startdatetime 2016-10-12T04:22:26 --delay 1 --endMP 204:163 --enddatetime 2016-10-12T04:35:51 --enforcementcount 0 &gt;&gt;C:\Users\stu\Documents\GitHub\eaglep3-reporting\EC\2016-10-12-refined-times.txt</v>
      </c>
      <c r="AI187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{"issue":{"subject":"","project_id":79,"tracker_id":40,"status_id":1,"priority_id":2,"assigned_to_id":23,"start_date":"2016-10-12","description":"","custom_fields":[{"id":1,"name":"Subdivision","value":"Other"},{"id":4,"name":"Milepost","value":"0.0163"},{"id":17,"name":"Train ID","value":"310-12"},{"id":16,"name":"Locomotive ID","value":"4032"},{"id":130,"name":"Impact","value":""},{"id":150,"name":"Time of Event (Mountain Time)","value":"04:35:51"},{"id":151,"name":"Denver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697</v>
      </c>
      <c r="B188" s="7">
        <v>4016</v>
      </c>
      <c r="C188" s="22" t="s">
        <v>99</v>
      </c>
      <c r="D188" s="22" t="s">
        <v>421</v>
      </c>
      <c r="E188" s="13">
        <v>42656.050868055558</v>
      </c>
      <c r="F188" s="13">
        <v>25568.708333333332</v>
      </c>
      <c r="G188" s="7">
        <v>3</v>
      </c>
      <c r="H188" s="13" t="s">
        <v>698</v>
      </c>
      <c r="I188" s="13">
        <v>25568.708333333332</v>
      </c>
      <c r="J188" s="7">
        <v>0</v>
      </c>
      <c r="K188" s="112" t="str">
        <f t="shared" si="57"/>
        <v>4015/4016</v>
      </c>
      <c r="L188" s="22" t="str">
        <f>VLOOKUP(A188,'Trips&amp;Operators'!$C$1:$E$10000,3,FALSE)</f>
        <v>BRANDNER</v>
      </c>
      <c r="M188" s="6">
        <f t="shared" si="58"/>
        <v>0</v>
      </c>
      <c r="N188" s="7">
        <f t="shared" si="65"/>
        <v>0</v>
      </c>
      <c r="O188" s="7"/>
      <c r="P188" s="7"/>
      <c r="Q188" s="23"/>
      <c r="R188" s="23"/>
      <c r="S188" s="35">
        <f t="shared" si="70"/>
        <v>1</v>
      </c>
      <c r="T188" s="50" t="str">
        <f t="shared" si="59"/>
        <v>NorthBound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00:13:15-0600',mode:absolute,to:'1969-12-31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88" s="52" t="str">
        <f t="shared" si="61"/>
        <v>Y</v>
      </c>
      <c r="X188" s="149">
        <f t="shared" si="66"/>
        <v>1</v>
      </c>
      <c r="Y188" s="67">
        <f t="shared" si="62"/>
        <v>4.5499999999999999E-2</v>
      </c>
      <c r="Z188" s="67">
        <f t="shared" si="54"/>
        <v>2.3298999999999999</v>
      </c>
      <c r="AA188" s="67">
        <f t="shared" si="63"/>
        <v>2.2843999999999998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64"/>
        <v>0311-12</v>
      </c>
      <c r="AE188" s="91" t="str">
        <f t="shared" si="6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88" s="88" t="str">
        <f t="shared" si="6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188" s="1" t="str">
        <f t="shared" si="69"/>
        <v>Other</v>
      </c>
      <c r="AH188" s="92" t="str">
        <f t="shared" si="52"/>
        <v>"%USERPROFILE%\Documents\GitHub\eaglep3\Utilities\RefineRTDCRunTimes.py" --tripid 311-12 --locoid 4016 --swversion DE.1.0.7.0 --startMP 204:455 --initTime 2016-10-13T01:13:15 --startdatetime 1969-12-31T17:00:00 --delay 3 --endMP 300:23299 --enddatetime 1969-12-31T17:00:00 --enforcementcount 0 &gt;&gt;C:\Users\stu\Documents\GitHub\eaglep3-reporting\EC\2016-10-12-refined-times.txt</v>
      </c>
      <c r="AI188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ID","value":"311-12"},{"id":16,"name":"Locomotive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699</v>
      </c>
      <c r="B189" s="7">
        <v>4007</v>
      </c>
      <c r="C189" s="22" t="s">
        <v>99</v>
      </c>
      <c r="D189" s="22" t="s">
        <v>700</v>
      </c>
      <c r="E189" s="13">
        <v>42656.072523148148</v>
      </c>
      <c r="F189" s="13">
        <v>25568.708333333332</v>
      </c>
      <c r="G189" s="7">
        <v>3</v>
      </c>
      <c r="H189" s="13" t="s">
        <v>701</v>
      </c>
      <c r="I189" s="13">
        <v>25568.708333333332</v>
      </c>
      <c r="J189" s="7">
        <v>0</v>
      </c>
      <c r="K189" s="112" t="str">
        <f t="shared" si="57"/>
        <v>4007/4008</v>
      </c>
      <c r="L189" s="22" t="str">
        <f>VLOOKUP(A189,'Trips&amp;Operators'!$C$1:$E$10000,3,FALSE)</f>
        <v>BERLING</v>
      </c>
      <c r="M189" s="6">
        <f t="shared" si="58"/>
        <v>0</v>
      </c>
      <c r="N189" s="7">
        <f t="shared" si="65"/>
        <v>0</v>
      </c>
      <c r="O189" s="7"/>
      <c r="P189" s="7"/>
      <c r="Q189" s="23"/>
      <c r="R189" s="23"/>
      <c r="S189" s="35">
        <f t="shared" si="70"/>
        <v>1</v>
      </c>
      <c r="T189" s="50" t="str">
        <f t="shared" si="59"/>
        <v>NorthBound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00:44:26-0600',mode:absolute,to:'1969-12-31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9" s="52" t="str">
        <f t="shared" si="61"/>
        <v>Y</v>
      </c>
      <c r="X189" s="149">
        <f t="shared" si="66"/>
        <v>2</v>
      </c>
      <c r="Y189" s="67">
        <f t="shared" si="62"/>
        <v>4.3999999999999997E-2</v>
      </c>
      <c r="Z189" s="67">
        <f t="shared" si="54"/>
        <v>2.306</v>
      </c>
      <c r="AA189" s="67">
        <f t="shared" si="63"/>
        <v>2.262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64"/>
        <v>0313-12</v>
      </c>
      <c r="AE189" s="91" t="str">
        <f t="shared" si="67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189" s="88" t="str">
        <f t="shared" si="68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189" s="1" t="str">
        <f t="shared" si="69"/>
        <v>Other</v>
      </c>
      <c r="AH189" s="92" t="str">
        <f t="shared" si="52"/>
        <v>"%USERPROFILE%\Documents\GitHub\eaglep3\Utilities\RefineRTDCRunTimes.py" --tripid 313-12 --locoid 4007 --swversion DE.1.0.7.0 --startMP 204:440 --initTime 2016-10-13T01:44:26 --startdatetime 1969-12-31T17:00:00 --delay 3 --endMP 300:23060 --enddatetime 1969-12-31T17:00:00 --enforcementcount 0 &gt;&gt;C:\Users\stu\Documents\GitHub\eaglep3-reporting\EC\2016-10-12-refined-times.txt</v>
      </c>
      <c r="AI189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{"issue":{"subject":"","project_id":79,"tracker_id":40,"status_id":1,"priority_id":2,"assigned_to_id":23,"start_date":"1969-12-31","description":"","custom_fields":[{"id":1,"name":"Subdivision","value":"Other"},{"id":4,"name":"Milepost","value":"2.306"},{"id":17,"name":"Train ID","value":"313-12"},{"id":16,"name":"Locomotive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257</v>
      </c>
      <c r="B190" s="7">
        <v>4014</v>
      </c>
      <c r="C190" s="22" t="s">
        <v>99</v>
      </c>
      <c r="D190" s="22" t="s">
        <v>702</v>
      </c>
      <c r="E190" s="13">
        <v>42655.107245370367</v>
      </c>
      <c r="F190" s="13">
        <v>42655.108506944445</v>
      </c>
      <c r="G190" s="7">
        <v>1</v>
      </c>
      <c r="H190" s="13" t="s">
        <v>703</v>
      </c>
      <c r="I190" s="13">
        <v>42655.11414351852</v>
      </c>
      <c r="J190" s="7">
        <v>0</v>
      </c>
      <c r="K190" s="112" t="str">
        <f t="shared" si="57"/>
        <v>4013/4014</v>
      </c>
      <c r="L190" s="22" t="str">
        <f>VLOOKUP(A190,'Trips&amp;Operators'!$C$1:$E$10000,3,FALSE)</f>
        <v>CHANDLER</v>
      </c>
      <c r="M190" s="6">
        <f t="shared" si="58"/>
        <v>5.6365740747423843E-3</v>
      </c>
      <c r="N190" s="7">
        <f t="shared" si="65"/>
        <v>8.1166666676290333</v>
      </c>
      <c r="O190" s="7"/>
      <c r="P190" s="7"/>
      <c r="Q190" s="23"/>
      <c r="R190" s="23"/>
      <c r="S190" s="35">
        <f t="shared" si="70"/>
        <v>1</v>
      </c>
      <c r="T190" s="50" t="str">
        <f t="shared" si="59"/>
        <v>NorthBound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01:34:26-0600',mode:absolute,to:'2016-10-12 03:44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0" s="52" t="str">
        <f t="shared" si="61"/>
        <v>Y</v>
      </c>
      <c r="X190" s="149">
        <f t="shared" si="66"/>
        <v>2</v>
      </c>
      <c r="Y190" s="67">
        <f t="shared" si="62"/>
        <v>3.7400000000000003E-2</v>
      </c>
      <c r="Z190" s="67">
        <f t="shared" si="54"/>
        <v>2.2233999999999998</v>
      </c>
      <c r="AA190" s="67">
        <f t="shared" si="63"/>
        <v>2.1859999999999999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64"/>
        <v>0315-11</v>
      </c>
      <c r="AE190" s="91" t="str">
        <f t="shared" si="67"/>
        <v>aws s3 cp s3://rtdc.mdm.uploadarchive.raw/RTDC4014/ "%USERPROFILE%\AppData\Local\Temp\OnboardLogs"\RTDC4014\2016-10-12 --exclude "*" --recursive --include "*20161012*" &amp; "%USERPROFILE%\Documents\GitHub\mrs-test-scripts\Headless Mode &amp; Sideloading\WalkAndUnGZ.bat" "%USERPROFILE%\AppData\Local\Temp\OnboardLogs"\RTDC4014\2016-10-12 &amp; aws s3 cp s3://rtdc.mdm.uploadarchive.raw/RTDC4014/ "%USERPROFILE%\AppData\Local\Temp\OnboardLogs"\RTDC4014\2016-10-13 --exclude "*" --recursive --include "*20161013*" &amp; "%USERPROFILE%\Documents\GitHub\mrs-test-scripts\Headless Mode &amp; Sideloading\WalkAndUnGZ.bat" "%USERPROFILE%\AppData\Local\Temp\OnboardLogs"\RTDC4014\2016-10-13</v>
      </c>
      <c r="AF190" s="88" t="str">
        <f t="shared" si="68"/>
        <v>"C:\Program Files (x86)\AstroGrep\AstroGrep.exe" /spath="%USERPROFILE%\AppData\Local\Temp\OnboardLogs" /stypes="app*4014*20161012*" /stext=" 08:.+((SYSTEM_STATE.+slice.+state.+changed )|(ment ac)|(system.+state.+changed )|(\[timeout)|(PRM\|1\|D)|(kpr)|(kdp)|(\|lc)|(penalty))" /e /r /s</v>
      </c>
      <c r="AG190" s="1" t="str">
        <f t="shared" si="69"/>
        <v>Other</v>
      </c>
      <c r="AH190" s="92" t="str">
        <f t="shared" si="52"/>
        <v>"%USERPROFILE%\Documents\GitHub\eaglep3\Utilities\RefineRTDCRunTimes.py" --tripid 315-11 --locoid 4014 --swversion DE.1.0.7.0 --startMP 204:374 --initTime 2016-10-12T02:34:26 --startdatetime 2016-10-12T02:36:15 --delay 1 --endMP 300:22234 --enddatetime 2016-10-12T02:44:22 --enforcementcount 0 &gt;&gt;C:\Users\stu\Documents\GitHub\eaglep3-reporting\EC\2016-10-12-refined-times.txt</v>
      </c>
      <c r="AI190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{"issue":{"subject":"","project_id":79,"tracker_id":40,"status_id":1,"priority_id":2,"assigned_to_id":23,"start_date":"2016-10-12","description":"","custom_fields":[{"id":1,"name":"Subdivision","value":"Other"},{"id":4,"name":"Milepost","value":"2.2234"},{"id":17,"name":"Train ID","value":"315-11"},{"id":16,"name":"Locomotive ID","value":"4014"},{"id":130,"name":"Impact","value":""},{"id":150,"name":"Time of Event (Mountain Time)","value":"02:44:22"},{"id":151,"name":"Denver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704</v>
      </c>
      <c r="B191" s="7">
        <v>4053</v>
      </c>
      <c r="C191" s="22" t="s">
        <v>99</v>
      </c>
      <c r="D191" s="22" t="s">
        <v>336</v>
      </c>
      <c r="E191" s="13">
        <v>42656.101087962961</v>
      </c>
      <c r="F191" s="13">
        <v>25568.708333333332</v>
      </c>
      <c r="G191" s="7">
        <v>1</v>
      </c>
      <c r="H191" s="13" t="s">
        <v>705</v>
      </c>
      <c r="I191" s="13">
        <v>25568.708333333332</v>
      </c>
      <c r="J191" s="7">
        <v>0</v>
      </c>
      <c r="K191" s="112" t="str">
        <f t="shared" si="57"/>
        <v>4053/4054</v>
      </c>
      <c r="L191" s="22" t="str">
        <f>VLOOKUP(A191,'Trips&amp;Operators'!$C$1:$E$10000,3,FALSE)</f>
        <v>YOUNG</v>
      </c>
      <c r="M191" s="6">
        <f t="shared" si="58"/>
        <v>0</v>
      </c>
      <c r="N191" s="7">
        <f t="shared" si="65"/>
        <v>0</v>
      </c>
      <c r="O191" s="7"/>
      <c r="P191" s="7"/>
      <c r="Q191" s="23"/>
      <c r="R191" s="23"/>
      <c r="S191" s="35">
        <f t="shared" si="70"/>
        <v>1</v>
      </c>
      <c r="T191" s="50" t="str">
        <f t="shared" si="59"/>
        <v>NorthBound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https://search-rtdc-monitor-bjffxe2xuh6vdkpspy63sjmuny.us-east-1.es.amazonaws.com/_plugin/kibana/#/discover/Steve-Slow-Train-Analysis-(2080s-and-2083s)?_g=(refreshInterval:(display:Off,section:0,value:0),time:(from:'2016-10-13 01:25:34-0600',mode:absolute,to:'1969-12-31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1" s="52" t="str">
        <f t="shared" si="61"/>
        <v>Y</v>
      </c>
      <c r="X191" s="149">
        <f t="shared" si="66"/>
        <v>0</v>
      </c>
      <c r="Y191" s="67">
        <f t="shared" si="62"/>
        <v>7.6300000000000007E-2</v>
      </c>
      <c r="Z191" s="67">
        <f t="shared" si="54"/>
        <v>2.3313999999999999</v>
      </c>
      <c r="AA191" s="67">
        <f t="shared" si="63"/>
        <v>2.2551000000000001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64"/>
        <v>0315-12</v>
      </c>
      <c r="AE191" s="91" t="str">
        <f t="shared" si="6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191" s="88" t="str">
        <f t="shared" si="68"/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191" s="1" t="str">
        <f t="shared" si="69"/>
        <v>Other</v>
      </c>
      <c r="AH191" s="92" t="str">
        <f t="shared" si="52"/>
        <v>"%USERPROFILE%\Documents\GitHub\eaglep3\Utilities\RefineRTDCRunTimes.py" --tripid 315-12 --locoid 4053 --swversion DE.1.0.7.0 --startMP 204:763 --initTime 2016-10-13T02:25:34 --startdatetime 1969-12-31T17:00:00 --delay 1 --endMP 300:23314 --enddatetime 1969-12-31T17:00:00 --enforcementcount 0 &gt;&gt;C:\Users\stu\Documents\GitHub\eaglep3-reporting\EC\2016-10-12-refined-times.txt</v>
      </c>
      <c r="AI191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ID","value":"315-12"},{"id":16,"name":"Locomotive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284</v>
      </c>
      <c r="B192" s="7">
        <v>4038</v>
      </c>
      <c r="C192" s="22" t="s">
        <v>99</v>
      </c>
      <c r="D192" s="22" t="s">
        <v>706</v>
      </c>
      <c r="E192" s="13">
        <v>42655.202743055554</v>
      </c>
      <c r="F192" s="13">
        <v>42655.210428240738</v>
      </c>
      <c r="G192" s="7">
        <v>10</v>
      </c>
      <c r="H192" s="13" t="s">
        <v>707</v>
      </c>
      <c r="I192" s="13">
        <v>42655.214675925927</v>
      </c>
      <c r="J192" s="7">
        <v>0</v>
      </c>
      <c r="K192" s="112" t="str">
        <f t="shared" si="57"/>
        <v>4037/4038</v>
      </c>
      <c r="L192" s="22" t="str">
        <f>VLOOKUP(A192,'Trips&amp;Operators'!$C$1:$E$10000,3,FALSE)</f>
        <v>STARKS</v>
      </c>
      <c r="M192" s="6">
        <f t="shared" si="58"/>
        <v>4.2476851886021905E-3</v>
      </c>
      <c r="N192" s="7">
        <f t="shared" si="65"/>
        <v>6.1166666715871543</v>
      </c>
      <c r="O192" s="7"/>
      <c r="P192" s="7"/>
      <c r="Q192" s="23"/>
      <c r="R192" s="23"/>
      <c r="S192" s="35">
        <f t="shared" si="70"/>
        <v>0</v>
      </c>
      <c r="T192" s="50" t="str">
        <f t="shared" si="59"/>
        <v>NorthBound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03:51:57-0600',mode:absolute,to:'2016-10-12 06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2" s="52" t="str">
        <f t="shared" si="61"/>
        <v>Y</v>
      </c>
      <c r="X192" s="149">
        <f t="shared" si="66"/>
        <v>586</v>
      </c>
      <c r="Y192" s="67">
        <f t="shared" si="62"/>
        <v>3.6524999999999999</v>
      </c>
      <c r="Z192" s="67">
        <f t="shared" si="54"/>
        <v>5.8928000000000003</v>
      </c>
      <c r="AA192" s="67">
        <f t="shared" si="63"/>
        <v>2.2403000000000004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64"/>
        <v>0901-12</v>
      </c>
      <c r="AE192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92" s="88" t="str">
        <f t="shared" si="68"/>
        <v>"C:\Program Files (x86)\AstroGrep\AstroGrep.exe" /spath="%USERPROFILE%\AppData\Local\Temp\OnboardLogs" /stypes="app*4038*20161012*" /stext=" 11:.+((SYSTEM_STATE.+slice.+state.+changed )|(ment ac)|(system.+state.+changed )|(\[timeout)|(PRM\|1\|D)|(kpr)|(kdp)|(\|lc)|(penalty))" /e /r /s</v>
      </c>
      <c r="AG192" s="1" t="str">
        <f t="shared" si="69"/>
        <v>Other</v>
      </c>
      <c r="AH192" s="92" t="str">
        <f t="shared" si="52"/>
        <v>"%USERPROFILE%\Documents\GitHub\eaglep3\Utilities\RefineRTDCRunTimes.py" --tripid 901-12 --locoid 4038 --swversion DE.1.0.7.0 --startMP 300:36525 --initTime 2016-10-12T04:51:57 --startdatetime 2016-10-12T05:03:01 --delay 10 --endMP 300:58928 --enddatetime 2016-10-12T05:09:08 --enforcementcount 0 &gt;&gt;C:\Users\stu\Documents\GitHub\eaglep3-reporting\EC\2016-10-12-refined-times.txt</v>
      </c>
      <c r="AI192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{"issue":{"subject":"","project_id":79,"tracker_id":40,"status_id":1,"priority_id":2,"assigned_to_id":23,"start_date":"2016-10-12","description":"","custom_fields":[{"id":1,"name":"Subdivision","value":"Other"},{"id":4,"name":"Milepost","value":"5.8928"},{"id":17,"name":"Train ID","value":"901-12"},{"id":16,"name":"Locomotive ID","value":"4038"},{"id":130,"name":"Impact","value":""},{"id":150,"name":"Time of Event (Mountain Time)","value":"05:09:08"},{"id":151,"name":"Denver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708</v>
      </c>
      <c r="B193" s="7">
        <v>4038</v>
      </c>
      <c r="C193" s="22" t="s">
        <v>99</v>
      </c>
      <c r="D193" s="22" t="s">
        <v>592</v>
      </c>
      <c r="E193" s="13">
        <v>42655.353148148148</v>
      </c>
      <c r="F193" s="13">
        <v>42655.356064814812</v>
      </c>
      <c r="G193" s="7">
        <v>1</v>
      </c>
      <c r="H193" s="13" t="s">
        <v>709</v>
      </c>
      <c r="I193" s="13">
        <v>42655.362858796296</v>
      </c>
      <c r="J193" s="7">
        <v>0</v>
      </c>
      <c r="K193" s="112" t="str">
        <f t="shared" si="57"/>
        <v>4037/4038</v>
      </c>
      <c r="L193" s="22" t="str">
        <f>VLOOKUP(A193,'Trips&amp;Operators'!$C$1:$E$10000,3,FALSE)</f>
        <v>STARKS</v>
      </c>
      <c r="M193" s="6">
        <f t="shared" si="58"/>
        <v>6.7939814834971912E-3</v>
      </c>
      <c r="N193" s="7">
        <f t="shared" si="65"/>
        <v>9.7833333362359554</v>
      </c>
      <c r="O193" s="7"/>
      <c r="P193" s="7"/>
      <c r="Q193" s="23"/>
      <c r="R193" s="23"/>
      <c r="S193" s="35">
        <f t="shared" si="70"/>
        <v>1</v>
      </c>
      <c r="T193" s="50" t="str">
        <f t="shared" si="59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07:28:32-0600',mode:absolute,to:'2016-10-12 09:42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3" s="52" t="str">
        <f t="shared" si="61"/>
        <v>Y</v>
      </c>
      <c r="X193" s="149">
        <f t="shared" si="66"/>
        <v>2</v>
      </c>
      <c r="Y193" s="67">
        <f t="shared" si="62"/>
        <v>0.1014</v>
      </c>
      <c r="Z193" s="67">
        <f t="shared" si="54"/>
        <v>2.4207000000000001</v>
      </c>
      <c r="AA193" s="67">
        <f t="shared" si="63"/>
        <v>2.3193000000000001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64"/>
        <v>0903-12</v>
      </c>
      <c r="AE193" s="91" t="str">
        <f t="shared" si="67"/>
        <v>aws s3 cp s3://rtdc.mdm.uploadarchive.raw/RTDC4038/ "%USERPROFILE%\AppData\Local\Temp\OnboardLogs"\RTDC4038\2016-10-12 --exclude "*" --recursive --include "*20161012*" &amp; "%USERPROFILE%\Documents\GitHub\mrs-test-scripts\Headless Mode &amp; Sideloading\WalkAndUnGZ.bat" "%USERPROFILE%\AppData\Local\Temp\OnboardLogs"\RTDC4038\2016-10-12 &amp; aws s3 cp s3://rtdc.mdm.uploadarchive.raw/RTDC4038/ "%USERPROFILE%\AppData\Local\Temp\OnboardLogs"\RTDC4038\2016-10-13 --exclude "*" --recursive --include "*20161013*" &amp; "%USERPROFILE%\Documents\GitHub\mrs-test-scripts\Headless Mode &amp; Sideloading\WalkAndUnGZ.bat" "%USERPROFILE%\AppData\Local\Temp\OnboardLogs"\RTDC4038\2016-10-13</v>
      </c>
      <c r="AF193" s="88" t="str">
        <f t="shared" si="68"/>
        <v>"C:\Program Files (x86)\AstroGrep\AstroGrep.exe" /spath="%USERPROFILE%\AppData\Local\Temp\OnboardLogs" /stypes="app*4038*20161012*" /stext=" 14:.+((SYSTEM_STATE.+slice.+state.+changed )|(ment ac)|(system.+state.+changed )|(\[timeout)|(PRM\|1\|D)|(kpr)|(kdp)|(\|lc)|(penalty))" /e /r /s</v>
      </c>
      <c r="AG193" s="1" t="str">
        <f t="shared" si="69"/>
        <v>Other</v>
      </c>
      <c r="AH193" s="92" t="str">
        <f t="shared" si="52"/>
        <v>"%USERPROFILE%\Documents\GitHub\eaglep3\Utilities\RefineRTDCRunTimes.py" --tripid 903-12 --locoid 4038 --swversion DE.1.0.7.0 --startMP 204:1014 --initTime 2016-10-12T08:28:32 --startdatetime 2016-10-12T08:32:44 --delay 1 --endMP 300:24207 --enddatetime 2016-10-12T08:42:31 --enforcementcount 0 &gt;&gt;C:\Users\stu\Documents\GitHub\eaglep3-reporting\EC\2016-10-12-refined-times.txt</v>
      </c>
      <c r="AI193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{"issue":{"subject":"","project_id":79,"tracker_id":40,"status_id":1,"priority_id":2,"assigned_to_id":23,"start_date":"2016-10-12","description":"","custom_fields":[{"id":1,"name":"Subdivision","value":"Other"},{"id":4,"name":"Milepost","value":"2.4207"},{"id":17,"name":"Train ID","value":"903-12"},{"id":16,"name":"Locomotive ID","value":"4038"},{"id":130,"name":"Impact","value":""},{"id":150,"name":"Time of Event (Mountain Time)","value":"08:42:31"},{"id":151,"name":"Denver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710</v>
      </c>
      <c r="B194" s="7">
        <v>4037</v>
      </c>
      <c r="C194" s="22" t="s">
        <v>99</v>
      </c>
      <c r="D194" s="22" t="s">
        <v>711</v>
      </c>
      <c r="E194" s="13">
        <v>42655.65896990741</v>
      </c>
      <c r="F194" s="13">
        <v>42655.660150462965</v>
      </c>
      <c r="G194" s="7">
        <v>1</v>
      </c>
      <c r="H194" s="13" t="s">
        <v>378</v>
      </c>
      <c r="I194" s="13">
        <v>42655.665925925925</v>
      </c>
      <c r="J194" s="7">
        <v>0</v>
      </c>
      <c r="K194" s="112" t="str">
        <f t="shared" si="57"/>
        <v>4037/4038</v>
      </c>
      <c r="L194" s="22" t="str">
        <f>VLOOKUP(A194,'Trips&amp;Operators'!$C$1:$E$10000,3,FALSE)</f>
        <v>ARVIDSON</v>
      </c>
      <c r="M194" s="6">
        <f t="shared" si="58"/>
        <v>5.7754629597184248E-3</v>
      </c>
      <c r="N194" s="7">
        <f t="shared" si="65"/>
        <v>8.3166666619945318</v>
      </c>
      <c r="O194" s="7"/>
      <c r="P194" s="7"/>
      <c r="Q194" s="23"/>
      <c r="R194" s="23"/>
      <c r="S194" s="35">
        <f t="shared" si="70"/>
        <v>1</v>
      </c>
      <c r="T194" s="50" t="str">
        <f t="shared" si="59"/>
        <v>Southbound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14:48:55-0600',mode:absolute,to:'2016-10-12 16:58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4" s="52" t="str">
        <f t="shared" si="61"/>
        <v>Y</v>
      </c>
      <c r="X194" s="149">
        <f t="shared" si="66"/>
        <v>1</v>
      </c>
      <c r="Y194" s="67">
        <f t="shared" si="62"/>
        <v>2.3264</v>
      </c>
      <c r="Z194" s="67">
        <f t="shared" si="54"/>
        <v>7.2599999999999998E-2</v>
      </c>
      <c r="AA194" s="67">
        <f t="shared" si="63"/>
        <v>2.2538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64"/>
        <v>0904-12</v>
      </c>
      <c r="AE194" s="91" t="str">
        <f t="shared" si="67"/>
        <v>aws s3 cp s3://rtdc.mdm.uploadarchive.raw/RTDC4037/ "%USERPROFILE%\AppData\Local\Temp\OnboardLogs"\RTDC4037\2016-10-12 --exclude "*" --recursive --include "*20161012*" &amp; "%USERPROFILE%\Documents\GitHub\mrs-test-scripts\Headless Mode &amp; Sideloading\WalkAndUnGZ.bat" "%USERPROFILE%\AppData\Local\Temp\OnboardLogs"\RTDC4037\2016-10-12 &amp; aws s3 cp s3://rtdc.mdm.uploadarchive.raw/RTDC4037/ "%USERPROFILE%\AppData\Local\Temp\OnboardLogs"\RTDC4037\2016-10-13 --exclude "*" --recursive --include "*20161013*" &amp; "%USERPROFILE%\Documents\GitHub\mrs-test-scripts\Headless Mode &amp; Sideloading\WalkAndUnGZ.bat" "%USERPROFILE%\AppData\Local\Temp\OnboardLogs"\RTDC4037\2016-10-13</v>
      </c>
      <c r="AF194" s="88" t="str">
        <f t="shared" si="68"/>
        <v>"C:\Program Files (x86)\AstroGrep\AstroGrep.exe" /spath="%USERPROFILE%\AppData\Local\Temp\OnboardLogs" /stypes="app*4037*20161012*" /stext=" 21:.+((SYSTEM_STATE.+slice.+state.+changed )|(ment ac)|(system.+state.+changed )|(\[timeout)|(PRM\|1\|D)|(kpr)|(kdp)|(\|lc)|(penalty))" /e /r /s</v>
      </c>
      <c r="AG194" s="1" t="str">
        <f t="shared" si="69"/>
        <v>Other</v>
      </c>
      <c r="AH194" s="92" t="str">
        <f t="shared" si="52"/>
        <v>"%USERPROFILE%\Documents\GitHub\eaglep3\Utilities\RefineRTDCRunTimes.py" --tripid 904-12 --locoid 4037 --swversion DE.1.0.7.0 --startMP 300:23264 --initTime 2016-10-12T15:48:55 --startdatetime 2016-10-12T15:50:37 --delay 1 --endMP 204:726 --enddatetime 2016-10-12T15:58:56 --enforcementcount 0 &gt;&gt;C:\Users\stu\Documents\GitHub\eaglep3-reporting\EC\2016-10-12-refined-times.txt</v>
      </c>
      <c r="AI194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{"issue":{"subject":"","project_id":79,"tracker_id":40,"status_id":1,"priority_id":2,"assigned_to_id":23,"start_date":"2016-10-12","description":"","custom_fields":[{"id":1,"name":"Subdivision","value":"Other"},{"id":4,"name":"Milepost","value":"0.0726"},{"id":17,"name":"Train ID","value":"904-12"},{"id":16,"name":"Locomotive ID","value":"4037"},{"id":130,"name":"Impact","value":""},{"id":150,"name":"Time of Event (Mountain Time)","value":"15:58:56"},{"id":151,"name":"Denver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712</v>
      </c>
      <c r="B195" s="7">
        <v>4037</v>
      </c>
      <c r="C195" s="22" t="s">
        <v>99</v>
      </c>
      <c r="D195" s="22" t="s">
        <v>713</v>
      </c>
      <c r="E195" s="13">
        <v>42655.798773148148</v>
      </c>
      <c r="F195" s="13">
        <v>25568.708333333332</v>
      </c>
      <c r="G195" s="7">
        <v>1</v>
      </c>
      <c r="H195" s="13" t="s">
        <v>714</v>
      </c>
      <c r="I195" s="13">
        <v>25568.708333333332</v>
      </c>
      <c r="J195" s="7">
        <v>0</v>
      </c>
      <c r="K195" s="112" t="str">
        <f t="shared" si="57"/>
        <v>4037/4038</v>
      </c>
      <c r="L195" s="22" t="str">
        <f>VLOOKUP(A195,'Trips&amp;Operators'!$C$1:$E$10000,3,FALSE)</f>
        <v>ARVIDSON</v>
      </c>
      <c r="M195" s="6">
        <f t="shared" si="58"/>
        <v>0</v>
      </c>
      <c r="N195" s="7">
        <f t="shared" si="65"/>
        <v>0</v>
      </c>
      <c r="O195" s="7"/>
      <c r="P195" s="7"/>
      <c r="Q195" s="23"/>
      <c r="R195" s="23"/>
      <c r="S195" s="35">
        <f t="shared" si="70"/>
        <v>0</v>
      </c>
      <c r="T195" s="50" t="str">
        <f t="shared" si="59"/>
        <v>Southbound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18:10:14-0600',mode:absolute,to:'1969-12-31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5" s="52" t="str">
        <f t="shared" si="61"/>
        <v>Y</v>
      </c>
      <c r="X195" s="149">
        <f t="shared" si="66"/>
        <v>2</v>
      </c>
      <c r="Y195" s="67">
        <f t="shared" si="62"/>
        <v>5.8596000000000004</v>
      </c>
      <c r="Z195" s="67">
        <f t="shared" si="54"/>
        <v>2.8797000000000001</v>
      </c>
      <c r="AA195" s="67">
        <f t="shared" si="63"/>
        <v>2.9799000000000002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64"/>
        <v>0906-12</v>
      </c>
      <c r="AE195" s="91" t="str">
        <f t="shared" si="67"/>
        <v>aws s3 cp s3://rtdc.mdm.uploadarchive.raw/RTDC4037/ "%USERPROFILE%\AppData\Local\Temp\OnboardLogs"\RTDC4037\1969-12-31 --exclude "*" --recursive --include "*19691231*" &amp; "%USERPROFILE%\Documents\GitHub\mrs-test-scripts\Headless Mode &amp; Sideloading\WalkAndUnGZ.bat" "%USERPROFILE%\AppData\Local\Temp\OnboardLogs"\RTDC4037\1969-12-31 &amp; aws s3 cp s3://rtdc.mdm.uploadarchive.raw/RTDC4037/ "%USERPROFILE%\AppData\Local\Temp\OnboardLogs"\RTDC4037\1970-01-01 --exclude "*" --recursive --include "*19700101*" &amp; "%USERPROFILE%\Documents\GitHub\mrs-test-scripts\Headless Mode &amp; Sideloading\WalkAndUnGZ.bat" "%USERPROFILE%\AppData\Local\Temp\OnboardLogs"\RTDC4037\1970-01-01</v>
      </c>
      <c r="AF195" s="88" t="str">
        <f t="shared" si="68"/>
        <v>"C:\Program Files (x86)\AstroGrep\AstroGrep.exe" /spath="%USERPROFILE%\AppData\Local\Temp\OnboardLogs" /stypes="app*4037*19691231*" /stext=" 23:.+((SYSTEM_STATE.+slice.+state.+changed )|(ment ac)|(system.+state.+changed )|(\[timeout)|(PRM\|1\|D)|(kpr)|(kdp)|(\|lc)|(penalty))" /e /r /s</v>
      </c>
      <c r="AG195" s="1" t="str">
        <f t="shared" si="69"/>
        <v>Other</v>
      </c>
      <c r="AH195" s="92" t="str">
        <f t="shared" si="52"/>
        <v>"%USERPROFILE%\Documents\GitHub\eaglep3\Utilities\RefineRTDCRunTimes.py" --tripid 906-12 --locoid 4037 --swversion DE.1.0.7.0 --startMP 300:58596 --initTime 2016-10-12T19:10:14 --startdatetime 1969-12-31T17:00:00 --delay 1 --endMP 300:28797 --enddatetime 1969-12-31T17:00:00 --enforcementcount 0 &gt;&gt;C:\Users\stu\Documents\GitHub\eaglep3-reporting\EC\2016-10-12-refined-times.txt</v>
      </c>
      <c r="AI195" s="122" t="str">
        <f t="shared" si="53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ID","value":"906-12"},{"id":16,"name":"Locomotive ID","value":"4037"},{"id":130,"name":"Impact","value":""},{"id":150,"name":"Time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715</v>
      </c>
      <c r="B196" s="7">
        <v>4004</v>
      </c>
      <c r="C196" s="22" t="s">
        <v>99</v>
      </c>
      <c r="D196" s="22" t="s">
        <v>676</v>
      </c>
      <c r="E196" s="13">
        <v>42655.94431712963</v>
      </c>
      <c r="F196" s="13">
        <v>42655.948576388888</v>
      </c>
      <c r="G196" s="7">
        <v>2</v>
      </c>
      <c r="H196" s="13" t="s">
        <v>716</v>
      </c>
      <c r="I196" s="13">
        <v>42655.953993055555</v>
      </c>
      <c r="J196" s="7">
        <v>0</v>
      </c>
      <c r="K196" s="112" t="str">
        <f t="shared" si="57"/>
        <v>4003/4004</v>
      </c>
      <c r="L196" s="22" t="str">
        <f>VLOOKUP(A196,'Trips&amp;Operators'!$C$1:$E$10000,3,FALSE)</f>
        <v>ARVIDSON</v>
      </c>
      <c r="M196" s="6">
        <f t="shared" si="58"/>
        <v>5.4166666668606922E-3</v>
      </c>
      <c r="N196" s="7">
        <f t="shared" si="65"/>
        <v>7.8000000002793968</v>
      </c>
      <c r="O196" s="7"/>
      <c r="P196" s="7"/>
      <c r="Q196" s="23"/>
      <c r="R196" s="23"/>
      <c r="S196" s="35">
        <f t="shared" si="70"/>
        <v>0</v>
      </c>
      <c r="T196" s="50" t="str">
        <f t="shared" si="59"/>
        <v>Southbound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21:39:49-0600',mode:absolute,to:'2016-10-12 23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52" t="str">
        <f t="shared" si="61"/>
        <v>Y</v>
      </c>
      <c r="X196" s="149">
        <f t="shared" si="66"/>
        <v>2</v>
      </c>
      <c r="Y196" s="67">
        <f t="shared" si="62"/>
        <v>5.8609</v>
      </c>
      <c r="Z196" s="67">
        <f t="shared" si="54"/>
        <v>2.1974999999999998</v>
      </c>
      <c r="AA196" s="67">
        <f t="shared" si="63"/>
        <v>3.6634000000000002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64"/>
        <v>0908-12</v>
      </c>
      <c r="AE196" s="91" t="str">
        <f t="shared" si="67"/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AF196" s="88" t="str">
        <f t="shared" si="68"/>
        <v>"C:\Program Files (x86)\AstroGrep\AstroGrep.exe" /spath="%USERPROFILE%\AppData\Local\Temp\OnboardLogs" /stypes="app*4004*20161013*" /stext=" 04:.+((SYSTEM_STATE.+slice.+state.+changed )|(ment ac)|(system.+state.+changed )|(\[timeout)|(PRM\|1\|D)|(kpr)|(kdp)|(\|lc)|(penalty))" /e /r /s</v>
      </c>
      <c r="AG196" s="1" t="str">
        <f t="shared" si="69"/>
        <v>Other</v>
      </c>
      <c r="AH196" s="92" t="str">
        <f t="shared" si="52"/>
        <v>"%USERPROFILE%\Documents\GitHub\eaglep3\Utilities\RefineRTDCRunTimes.py" --tripid 908-12 --locoid 4004 --swversion DE.1.0.7.0 --startMP 300:58609 --initTime 2016-10-12T22:39:49 --startdatetime 2016-10-12T22:45:57 --delay 2 --endMP 300:21975 --enddatetime 2016-10-12T22:53:45 --enforcementcount 0 &gt;&gt;C:\Users\stu\Documents\GitHub\eaglep3-reporting\EC\2016-10-12-refined-times.txt</v>
      </c>
      <c r="AI196" s="122" t="str">
        <f t="shared" si="53"/>
        <v>echo {"issue":{"subject":"","project_id":79,"tracker_id":40,"status_id":1,"priority_id":2,"assigned_to_id":23,"start_date":"2016-10-12","description":"","custom_fields":[{"id":1,"name":"Subdivision","value":"Other"},{"id":4,"name":"Milepost","value":"2.1975"},{"id":17,"name":"Train ID","value":"908-12"},{"id":16,"name":"Locomotive ID","value":"4004"},{"id":130,"name":"Impact","value":""},{"id":150,"name":"Time of Event (Mountain Time)","value":"22:53:45"},{"id":151,"name":"Denver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717</v>
      </c>
      <c r="B197" s="7">
        <v>4028</v>
      </c>
      <c r="C197" s="22" t="s">
        <v>99</v>
      </c>
      <c r="D197" s="22" t="s">
        <v>718</v>
      </c>
      <c r="E197" s="13">
        <v>42655.460844907408</v>
      </c>
      <c r="F197" s="13">
        <v>42655.462152777778</v>
      </c>
      <c r="G197" s="7">
        <v>1</v>
      </c>
      <c r="H197" s="13" t="s">
        <v>719</v>
      </c>
      <c r="I197" s="13">
        <v>42655.468645833331</v>
      </c>
      <c r="J197" s="7">
        <v>0</v>
      </c>
      <c r="K197" s="112" t="str">
        <f t="shared" si="57"/>
        <v>4027/4028</v>
      </c>
      <c r="L197" s="22" t="str">
        <f>VLOOKUP(A197,'Trips&amp;Operators'!$C$1:$E$10000,3,FALSE)</f>
        <v>HELVIE</v>
      </c>
      <c r="M197" s="6">
        <f t="shared" si="58"/>
        <v>6.4930555527098477E-3</v>
      </c>
      <c r="N197" s="7">
        <f t="shared" si="65"/>
        <v>9.3499999959021807</v>
      </c>
      <c r="O197" s="7"/>
      <c r="P197" s="7"/>
      <c r="Q197" s="23"/>
      <c r="R197" s="23"/>
      <c r="S197" s="35">
        <f t="shared" si="70"/>
        <v>0</v>
      </c>
      <c r="T197" s="50" t="e">
        <f t="shared" si="59"/>
        <v>#VALUE!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10:03:37-0600',mode:absolute,to:'2016-10-12 12:14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7" s="52" t="str">
        <f t="shared" si="61"/>
        <v>Y</v>
      </c>
      <c r="X197" s="149" t="e">
        <f>VALUE(LEFT(AD197,4))-VALUE(LEFT(AD44,4))</f>
        <v>#VALUE!</v>
      </c>
      <c r="Y197" s="67">
        <f t="shared" si="62"/>
        <v>2.3209</v>
      </c>
      <c r="Z197" s="67">
        <f t="shared" si="54"/>
        <v>9.8199999999999996E-2</v>
      </c>
      <c r="AA197" s="67">
        <f t="shared" si="63"/>
        <v>2.2227000000000001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64"/>
        <v>54-12</v>
      </c>
      <c r="AE197" s="91" t="str">
        <f t="shared" si="67"/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AF197" s="88" t="str">
        <f t="shared" si="68"/>
        <v>"C:\Program Files (x86)\AstroGrep\AstroGrep.exe" /spath="%USERPROFILE%\AppData\Local\Temp\OnboardLogs" /stypes="app*4028*20161012*" /stext=" 17:.+((SYSTEM_STATE.+slice.+state.+changed )|(ment ac)|(system.+state.+changed )|(\[timeout)|(PRM\|1\|D)|(kpr)|(kdp)|(\|lc)|(penalty))" /e /r /s</v>
      </c>
      <c r="AG197" s="1" t="str">
        <f t="shared" si="69"/>
        <v>Other</v>
      </c>
      <c r="AH197" s="92" t="str">
        <f t="shared" ref="AH197:AH205" si="71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54-12 --locoid 4028 --swversion DE.1.0.7.0 --startMP 300:23209 --initTime 2016-10-12T11:03:37 --startdatetime 2016-10-12T11:05:30 --delay 1 --endMP 204:982 --enddatetime 2016-10-12T11:14:51 --enforcementcount 0 &gt;&gt;C:\Users\stu\Documents\GitHub\eaglep3-reporting\EC\2016-10-12-refined-times.txt</v>
      </c>
      <c r="AI197" s="122" t="str">
        <f t="shared" ref="AI197:AI205" si="72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{"issue":{"subject":"","project_id":79,"tracker_id":40,"status_id":1,"priority_id":2,"assigned_to_id":23,"start_date":"2016-10-12","description":"","custom_fields":[{"id":1,"name":"Subdivision","value":"Other"},{"id":4,"name":"Milepost","value":"0.0982"},{"id":17,"name":"Train ID","value":"54-12"},{"id":16,"name":"Locomotive ID","value":"4028"},{"id":130,"name":"Impact","value":""},{"id":150,"name":"Time of Event (Mountain Time)","value":"11:14:51"},{"id":151,"name":"Denver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720</v>
      </c>
      <c r="B198" s="7">
        <v>4019</v>
      </c>
      <c r="C198" s="22" t="s">
        <v>99</v>
      </c>
      <c r="D198" s="22" t="s">
        <v>721</v>
      </c>
      <c r="E198" s="13">
        <v>42655.433055555557</v>
      </c>
      <c r="F198" s="13">
        <v>42655.434398148151</v>
      </c>
      <c r="G198" s="7">
        <v>1</v>
      </c>
      <c r="H198" s="13" t="s">
        <v>722</v>
      </c>
      <c r="I198" s="13">
        <v>42655.434548611112</v>
      </c>
      <c r="J198" s="7">
        <v>0</v>
      </c>
      <c r="K198" s="112" t="str">
        <f t="shared" si="57"/>
        <v>4019/4020</v>
      </c>
      <c r="L198" s="22" t="str">
        <f>VLOOKUP(A198,'Trips&amp;Operators'!$C$1:$E$10000,3,FALSE)</f>
        <v>BARTLETT</v>
      </c>
      <c r="M198" s="6">
        <f t="shared" si="58"/>
        <v>1.5046296175569296E-4</v>
      </c>
      <c r="N198" s="7">
        <f t="shared" si="65"/>
        <v>0.21666666492819786</v>
      </c>
      <c r="O198" s="7"/>
      <c r="P198" s="7"/>
      <c r="Q198" s="23"/>
      <c r="R198" s="23"/>
      <c r="S198" s="35">
        <f t="shared" si="70"/>
        <v>0</v>
      </c>
      <c r="T198" s="50" t="e">
        <f t="shared" si="59"/>
        <v>#VALUE!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0</v>
      </c>
      <c r="V198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09:23:36-0600',mode:absolute,to:'2016-10-12 11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8" s="52" t="str">
        <f t="shared" si="61"/>
        <v>Y</v>
      </c>
      <c r="X198" s="149" t="e">
        <f t="shared" ref="X198:X205" si="73">VALUE(LEFT(AD198,4))-VALUE(LEFT(AD197,4))</f>
        <v>#VALUE!</v>
      </c>
      <c r="Y198" s="67">
        <f t="shared" si="62"/>
        <v>2.4354</v>
      </c>
      <c r="Z198" s="67">
        <f t="shared" si="54"/>
        <v>2.3944999999999999</v>
      </c>
      <c r="AA198" s="67">
        <f t="shared" si="63"/>
        <v>4.0900000000000158E-2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64"/>
        <v>56-12</v>
      </c>
      <c r="AE198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198" s="88" t="str">
        <f t="shared" si="68"/>
        <v>"C:\Program Files (x86)\AstroGrep\AstroGrep.exe" /spath="%USERPROFILE%\AppData\Local\Temp\OnboardLogs" /stypes="app*4019*20161012*" /stext=" 16:.+((SYSTEM_STATE.+slice.+state.+changed )|(ment ac)|(system.+state.+changed )|(\[timeout)|(PRM\|1\|D)|(kpr)|(kdp)|(\|lc)|(penalty))" /e /r /s</v>
      </c>
      <c r="AG198" s="1" t="str">
        <f t="shared" si="69"/>
        <v>Other</v>
      </c>
      <c r="AH198" s="92" t="str">
        <f t="shared" si="71"/>
        <v>"%USERPROFILE%\Documents\GitHub\eaglep3\Utilities\RefineRTDCRunTimes.py" --tripid 56-12 --locoid 4019 --swversion DE.1.0.7.0 --startMP 300:24354 --initTime 2016-10-12T10:23:36 --startdatetime 2016-10-12T10:25:32 --delay 1 --endMP 300:23945 --enddatetime 2016-10-12T10:25:45 --enforcementcount 0 &gt;&gt;C:\Users\stu\Documents\GitHub\eaglep3-reporting\EC\2016-10-12-refined-times.txt</v>
      </c>
      <c r="AI198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{"issue":{"subject":"","project_id":79,"tracker_id":40,"status_id":1,"priority_id":2,"assigned_to_id":23,"start_date":"2016-10-12","description":"","custom_fields":[{"id":1,"name":"Subdivision","value":"Other"},{"id":4,"name":"Milepost","value":"2.3945"},{"id":17,"name":"Train ID","value":"56-12"},{"id":16,"name":"Locomotive ID","value":"4019"},{"id":130,"name":"Impact","value":""},{"id":150,"name":"Time of Event (Mountain Time)","value":"10:25:45"},{"id":151,"name":"Denver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723</v>
      </c>
      <c r="B199" s="7">
        <v>4027</v>
      </c>
      <c r="C199" s="22" t="s">
        <v>99</v>
      </c>
      <c r="D199" s="22" t="s">
        <v>724</v>
      </c>
      <c r="E199" s="13">
        <v>42655.493171296293</v>
      </c>
      <c r="F199" s="13">
        <v>42655.497083333335</v>
      </c>
      <c r="G199" s="7">
        <v>1</v>
      </c>
      <c r="H199" s="13" t="s">
        <v>725</v>
      </c>
      <c r="I199" s="13">
        <v>42655.504259259258</v>
      </c>
      <c r="J199" s="7">
        <v>0</v>
      </c>
      <c r="K199" s="112" t="str">
        <f t="shared" si="57"/>
        <v>4027/4028</v>
      </c>
      <c r="L199" s="22" t="str">
        <f>VLOOKUP(A199,'Trips&amp;Operators'!$C$1:$E$10000,3,FALSE)</f>
        <v>KILLION</v>
      </c>
      <c r="M199" s="6">
        <f t="shared" si="58"/>
        <v>7.175925922638271E-3</v>
      </c>
      <c r="N199" s="7">
        <f t="shared" si="65"/>
        <v>10.33333332859911</v>
      </c>
      <c r="O199" s="7"/>
      <c r="P199" s="7"/>
      <c r="Q199" s="23"/>
      <c r="R199" s="23"/>
      <c r="S199" s="35">
        <f t="shared" si="70"/>
        <v>0</v>
      </c>
      <c r="T199" s="50" t="e">
        <f t="shared" si="59"/>
        <v>#VALUE!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10:50:10-0600',mode:absolute,to:'2016-10-12 13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9" s="52" t="str">
        <f t="shared" si="61"/>
        <v>Y</v>
      </c>
      <c r="X199" s="149" t="e">
        <f t="shared" si="73"/>
        <v>#VALUE!</v>
      </c>
      <c r="Y199" s="67">
        <f t="shared" si="62"/>
        <v>0.12939999999999999</v>
      </c>
      <c r="Z199" s="67">
        <f t="shared" si="54"/>
        <v>2.5278999999999998</v>
      </c>
      <c r="AA199" s="67">
        <f t="shared" si="63"/>
        <v>2.3984999999999999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64"/>
        <v>57-12</v>
      </c>
      <c r="AE199" s="91" t="str">
        <f t="shared" si="67"/>
        <v>aws s3 cp s3://rtdc.mdm.uploadarchive.raw/RTDC4027/ "%USERPROFILE%\AppData\Local\Temp\OnboardLogs"\RTDC4027\2016-10-12 --exclude "*" --recursive --include "*20161012*" &amp; "%USERPROFILE%\Documents\GitHub\mrs-test-scripts\Headless Mode &amp; Sideloading\WalkAndUnGZ.bat" "%USERPROFILE%\AppData\Local\Temp\OnboardLogs"\RTDC4027\2016-10-12 &amp; aws s3 cp s3://rtdc.mdm.uploadarchive.raw/RTDC4027/ "%USERPROFILE%\AppData\Local\Temp\OnboardLogs"\RTDC4027\2016-10-13 --exclude "*" --recursive --include "*20161013*" &amp; "%USERPROFILE%\Documents\GitHub\mrs-test-scripts\Headless Mode &amp; Sideloading\WalkAndUnGZ.bat" "%USERPROFILE%\AppData\Local\Temp\OnboardLogs"\RTDC4027\2016-10-13</v>
      </c>
      <c r="AF199" s="88" t="str">
        <f t="shared" si="68"/>
        <v>"C:\Program Files (x86)\AstroGrep\AstroGrep.exe" /spath="%USERPROFILE%\AppData\Local\Temp\OnboardLogs" /stypes="app*4027*20161012*" /stext=" 18:.+((SYSTEM_STATE.+slice.+state.+changed )|(ment ac)|(system.+state.+changed )|(\[timeout)|(PRM\|1\|D)|(kpr)|(kdp)|(\|lc)|(penalty))" /e /r /s</v>
      </c>
      <c r="AG199" s="1" t="str">
        <f t="shared" si="69"/>
        <v>Other</v>
      </c>
      <c r="AH199" s="92" t="str">
        <f t="shared" si="71"/>
        <v>"%USERPROFILE%\Documents\GitHub\eaglep3\Utilities\RefineRTDCRunTimes.py" --tripid 57-12 --locoid 4027 --swversion DE.1.0.7.0 --startMP 204:1294 --initTime 2016-10-12T11:50:10 --startdatetime 2016-10-12T11:55:48 --delay 1 --endMP 300:25279 --enddatetime 2016-10-12T12:06:08 --enforcementcount 0 &gt;&gt;C:\Users\stu\Documents\GitHub\eaglep3-reporting\EC\2016-10-12-refined-times.txt</v>
      </c>
      <c r="AI199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{"issue":{"subject":"","project_id":79,"tracker_id":40,"status_id":1,"priority_id":2,"assigned_to_id":23,"start_date":"2016-10-12","description":"","custom_fields":[{"id":1,"name":"Subdivision","value":"Other"},{"id":4,"name":"Milepost","value":"2.5279"},{"id":17,"name":"Train ID","value":"57-12"},{"id":16,"name":"Locomotive ID","value":"4027"},{"id":130,"name":"Impact","value":""},{"id":150,"name":"Time of Event (Mountain Time)","value":"12:06:08"},{"id":151,"name":"Denver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726</v>
      </c>
      <c r="B200" s="7">
        <v>4020</v>
      </c>
      <c r="C200" s="22" t="s">
        <v>99</v>
      </c>
      <c r="D200" s="22" t="s">
        <v>727</v>
      </c>
      <c r="E200" s="13">
        <v>42655.776689814818</v>
      </c>
      <c r="F200" s="13">
        <v>42655.779733796298</v>
      </c>
      <c r="G200" s="7">
        <v>1</v>
      </c>
      <c r="H200" s="13" t="s">
        <v>728</v>
      </c>
      <c r="I200" s="13">
        <v>42655.785092592596</v>
      </c>
      <c r="J200" s="7">
        <v>0</v>
      </c>
      <c r="K200" s="112" t="str">
        <f t="shared" si="57"/>
        <v>4019/4020</v>
      </c>
      <c r="L200" s="22" t="str">
        <f>VLOOKUP(A200,'Trips&amp;Operators'!$C$1:$E$10000,3,FALSE)</f>
        <v>BRUDER</v>
      </c>
      <c r="M200" s="6">
        <f t="shared" si="58"/>
        <v>5.3587962975143455E-3</v>
      </c>
      <c r="N200" s="7">
        <f t="shared" si="65"/>
        <v>7.7166666684206575</v>
      </c>
      <c r="O200" s="7"/>
      <c r="P200" s="7"/>
      <c r="Q200" s="23"/>
      <c r="R200" s="23"/>
      <c r="S200" s="35">
        <f t="shared" si="70"/>
        <v>0</v>
      </c>
      <c r="T200" s="50" t="e">
        <f t="shared" si="59"/>
        <v>#VALUE!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17:38:26-0600',mode:absolute,to:'2016-10-12 19:50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0" s="52" t="str">
        <f t="shared" si="61"/>
        <v>Y</v>
      </c>
      <c r="X200" s="149" t="e">
        <f t="shared" si="73"/>
        <v>#VALUE!</v>
      </c>
      <c r="Y200" s="67">
        <f t="shared" si="62"/>
        <v>7.5899999999999995E-2</v>
      </c>
      <c r="Z200" s="67">
        <f t="shared" si="54"/>
        <v>2.4216000000000002</v>
      </c>
      <c r="AA200" s="67">
        <f t="shared" si="63"/>
        <v>2.3457000000000003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4"/>
        <v>61-12</v>
      </c>
      <c r="AE200" s="91" t="str">
        <f t="shared" si="67"/>
        <v>aws s3 cp s3://rtdc.mdm.uploadarchive.raw/RTDC4020/ "%USERPROFILE%\AppData\Local\Temp\OnboardLogs"\RTDC4020\2016-10-12 --exclude "*" --recursive --include "*20161012*" &amp; "%USERPROFILE%\Documents\GitHub\mrs-test-scripts\Headless Mode &amp; Sideloading\WalkAndUnGZ.bat" "%USERPROFILE%\AppData\Local\Temp\OnboardLogs"\RTDC4020\2016-10-12 &amp; aws s3 cp s3://rtdc.mdm.uploadarchive.raw/RTDC4020/ "%USERPROFILE%\AppData\Local\Temp\OnboardLogs"\RTDC4020\2016-10-13 --exclude "*" --recursive --include "*20161013*" &amp; "%USERPROFILE%\Documents\GitHub\mrs-test-scripts\Headless Mode &amp; Sideloading\WalkAndUnGZ.bat" "%USERPROFILE%\AppData\Local\Temp\OnboardLogs"\RTDC4020\2016-10-13</v>
      </c>
      <c r="AF200" s="88" t="str">
        <f t="shared" si="68"/>
        <v>"C:\Program Files (x86)\AstroGrep\AstroGrep.exe" /spath="%USERPROFILE%\AppData\Local\Temp\OnboardLogs" /stypes="app*4020*20161013*" /stext=" 00:.+((SYSTEM_STATE.+slice.+state.+changed )|(ment ac)|(system.+state.+changed )|(\[timeout)|(PRM\|1\|D)|(kpr)|(kdp)|(\|lc)|(penalty))" /e /r /s</v>
      </c>
      <c r="AG200" s="1" t="str">
        <f t="shared" si="69"/>
        <v>Other</v>
      </c>
      <c r="AH200" s="92" t="str">
        <f t="shared" si="71"/>
        <v>"%USERPROFILE%\Documents\GitHub\eaglep3\Utilities\RefineRTDCRunTimes.py" --tripid 61-12 --locoid 4020 --swversion DE.1.0.7.0 --startMP 204:759 --initTime 2016-10-12T18:38:26 --startdatetime 2016-10-12T18:42:49 --delay 1 --endMP 300:24216 --enddatetime 2016-10-12T18:50:32 --enforcementcount 0 &gt;&gt;C:\Users\stu\Documents\GitHub\eaglep3-reporting\EC\2016-10-12-refined-times.txt</v>
      </c>
      <c r="AI200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{"issue":{"subject":"","project_id":79,"tracker_id":40,"status_id":1,"priority_id":2,"assigned_to_id":23,"start_date":"2016-10-12","description":"","custom_fields":[{"id":1,"name":"Subdivision","value":"Other"},{"id":4,"name":"Milepost","value":"2.4216"},{"id":17,"name":"Train ID","value":"61-12"},{"id":16,"name":"Locomotive ID","value":"4020"},{"id":130,"name":"Impact","value":""},{"id":150,"name":"Time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1" customFormat="1" x14ac:dyDescent="0.25">
      <c r="A201" s="37" t="s">
        <v>729</v>
      </c>
      <c r="B201" s="7">
        <v>4028</v>
      </c>
      <c r="C201" s="22" t="s">
        <v>99</v>
      </c>
      <c r="D201" s="22" t="s">
        <v>730</v>
      </c>
      <c r="E201" s="13">
        <v>42655.721388888887</v>
      </c>
      <c r="F201" s="13">
        <v>42655.723553240743</v>
      </c>
      <c r="G201" s="7">
        <v>1</v>
      </c>
      <c r="H201" s="13" t="s">
        <v>731</v>
      </c>
      <c r="I201" s="13">
        <v>42655.723715277774</v>
      </c>
      <c r="J201" s="7">
        <v>0</v>
      </c>
      <c r="K201" s="112" t="str">
        <f t="shared" si="57"/>
        <v>4027/4028</v>
      </c>
      <c r="L201" s="22" t="str">
        <f>VLOOKUP(A201,'Trips&amp;Operators'!$C$1:$E$10000,3,FALSE)</f>
        <v>BRANDNER</v>
      </c>
      <c r="M201" s="6">
        <f t="shared" si="58"/>
        <v>1.6203703125938773E-4</v>
      </c>
      <c r="N201" s="7">
        <f t="shared" si="65"/>
        <v>0.23333332501351833</v>
      </c>
      <c r="O201" s="7"/>
      <c r="P201" s="7"/>
      <c r="Q201" s="23"/>
      <c r="R201" s="23"/>
      <c r="S201" s="35">
        <f t="shared" si="70"/>
        <v>0</v>
      </c>
      <c r="T201" s="50" t="e">
        <f t="shared" si="59"/>
        <v>#VALUE!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16:18:48-0600',mode:absolute,to:'2016-10-12 18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1" s="52" t="str">
        <f t="shared" si="61"/>
        <v>Y</v>
      </c>
      <c r="X201" s="149" t="e">
        <f t="shared" si="73"/>
        <v>#VALUE!</v>
      </c>
      <c r="Y201" s="67">
        <f t="shared" si="62"/>
        <v>2.4392</v>
      </c>
      <c r="Z201" s="67">
        <f t="shared" si="54"/>
        <v>2.4026999999999998</v>
      </c>
      <c r="AA201" s="67">
        <f t="shared" si="63"/>
        <v>3.6500000000000199E-2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4"/>
        <v>62-12</v>
      </c>
      <c r="AE201" s="91" t="str">
        <f t="shared" si="67"/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AF201" s="88" t="str">
        <f t="shared" si="68"/>
        <v>"C:\Program Files (x86)\AstroGrep\AstroGrep.exe" /spath="%USERPROFILE%\AppData\Local\Temp\OnboardLogs" /stypes="app*4028*20161012*" /stext=" 23:.+((SYSTEM_STATE.+slice.+state.+changed )|(ment ac)|(system.+state.+changed )|(\[timeout)|(PRM\|1\|D)|(kpr)|(kdp)|(\|lc)|(penalty))" /e /r /s</v>
      </c>
      <c r="AG201" s="1" t="str">
        <f t="shared" si="69"/>
        <v>Other</v>
      </c>
      <c r="AH201" s="92" t="str">
        <f t="shared" si="71"/>
        <v>"%USERPROFILE%\Documents\GitHub\eaglep3\Utilities\RefineRTDCRunTimes.py" --tripid 62-12 --locoid 4028 --swversion DE.1.0.7.0 --startMP 300:24392 --initTime 2016-10-12T17:18:48 --startdatetime 2016-10-12T17:21:55 --delay 1 --endMP 300:24027 --enddatetime 2016-10-12T17:22:09 --enforcementcount 0 &gt;&gt;C:\Users\stu\Documents\GitHub\eaglep3-reporting\EC\2016-10-12-refined-times.txt</v>
      </c>
      <c r="AI201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{"issue":{"subject":"","project_id":79,"tracker_id":40,"status_id":1,"priority_id":2,"assigned_to_id":23,"start_date":"2016-10-12","description":"","custom_fields":[{"id":1,"name":"Subdivision","value":"Other"},{"id":4,"name":"Milepost","value":"2.4027"},{"id":17,"name":"Train ID","value":"62-12"},{"id":16,"name":"Locomotive ID","value":"4028"},{"id":130,"name":"Impact","value":""},{"id":150,"name":"Time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732</v>
      </c>
      <c r="B202" s="7">
        <v>4030</v>
      </c>
      <c r="C202" s="22" t="s">
        <v>99</v>
      </c>
      <c r="D202" s="22" t="s">
        <v>733</v>
      </c>
      <c r="E202" s="13">
        <v>42655.746550925927</v>
      </c>
      <c r="F202" s="13">
        <v>42655.747997685183</v>
      </c>
      <c r="G202" s="7">
        <v>1</v>
      </c>
      <c r="H202" s="13" t="s">
        <v>734</v>
      </c>
      <c r="I202" s="13">
        <v>42655.754074074073</v>
      </c>
      <c r="J202" s="7">
        <v>0</v>
      </c>
      <c r="K202" s="112" t="str">
        <f t="shared" si="57"/>
        <v>4029/4030</v>
      </c>
      <c r="L202" s="22" t="str">
        <f>VLOOKUP(A202,'Trips&amp;Operators'!$C$1:$E$10000,3,FALSE)</f>
        <v>DELGADO</v>
      </c>
      <c r="M202" s="6">
        <f t="shared" si="58"/>
        <v>6.0763888905057684E-3</v>
      </c>
      <c r="N202" s="7">
        <f t="shared" si="65"/>
        <v>8.7500000023283064</v>
      </c>
      <c r="O202" s="7"/>
      <c r="P202" s="7"/>
      <c r="Q202" s="23"/>
      <c r="R202" s="23"/>
      <c r="S202" s="35">
        <f t="shared" si="70"/>
        <v>0</v>
      </c>
      <c r="T202" s="50" t="e">
        <f t="shared" si="59"/>
        <v>#VALUE!</v>
      </c>
      <c r="U202" s="14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16:55:02-0600',mode:absolute,to:'2016-10-12 19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2" s="52" t="str">
        <f t="shared" si="61"/>
        <v>Y</v>
      </c>
      <c r="X202" s="149" t="e">
        <f t="shared" si="73"/>
        <v>#VALUE!</v>
      </c>
      <c r="Y202" s="67">
        <f t="shared" si="62"/>
        <v>2.0724999999999998</v>
      </c>
      <c r="Z202" s="67">
        <f t="shared" si="54"/>
        <v>9.3600000000000003E-2</v>
      </c>
      <c r="AA202" s="67">
        <f t="shared" si="63"/>
        <v>1.9788999999999999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4"/>
        <v>64-12</v>
      </c>
      <c r="AE202" s="91" t="str">
        <f t="shared" si="67"/>
        <v>aws s3 cp s3://rtdc.mdm.uploadarchive.raw/RTDC4030/ "%USERPROFILE%\AppData\Local\Temp\OnboardLogs"\RTDC4030\2016-10-12 --exclude "*" --recursive --include "*20161012*" &amp; "%USERPROFILE%\Documents\GitHub\mrs-test-scripts\Headless Mode &amp; Sideloading\WalkAndUnGZ.bat" "%USERPROFILE%\AppData\Local\Temp\OnboardLogs"\RTDC4030\2016-10-12 &amp; aws s3 cp s3://rtdc.mdm.uploadarchive.raw/RTDC4030/ "%USERPROFILE%\AppData\Local\Temp\OnboardLogs"\RTDC4030\2016-10-13 --exclude "*" --recursive --include "*20161013*" &amp; "%USERPROFILE%\Documents\GitHub\mrs-test-scripts\Headless Mode &amp; Sideloading\WalkAndUnGZ.bat" "%USERPROFILE%\AppData\Local\Temp\OnboardLogs"\RTDC4030\2016-10-13</v>
      </c>
      <c r="AF202" s="88" t="str">
        <f t="shared" si="68"/>
        <v>"C:\Program Files (x86)\AstroGrep\AstroGrep.exe" /spath="%USERPROFILE%\AppData\Local\Temp\OnboardLogs" /stypes="app*4030*20161013*" /stext=" 00:.+((SYSTEM_STATE.+slice.+state.+changed )|(ment ac)|(system.+state.+changed )|(\[timeout)|(PRM\|1\|D)|(kpr)|(kdp)|(\|lc)|(penalty))" /e /r /s</v>
      </c>
      <c r="AG202" s="1" t="str">
        <f t="shared" si="69"/>
        <v>Other</v>
      </c>
      <c r="AH202" s="92" t="str">
        <f t="shared" si="71"/>
        <v>"%USERPROFILE%\Documents\GitHub\eaglep3\Utilities\RefineRTDCRunTimes.py" --tripid 64-12 --locoid 4030 --swversion DE.1.0.7.0 --startMP 300:20725 --initTime 2016-10-12T17:55:02 --startdatetime 2016-10-12T17:57:07 --delay 1 --endMP 204:936 --enddatetime 2016-10-12T18:05:52 --enforcementcount 0 &gt;&gt;C:\Users\stu\Documents\GitHub\eaglep3-reporting\EC\2016-10-12-refined-times.txt</v>
      </c>
      <c r="AI202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{"issue":{"subject":"","project_id":79,"tracker_id":40,"status_id":1,"priority_id":2,"assigned_to_id":23,"start_date":"2016-10-12","description":"","custom_fields":[{"id":1,"name":"Subdivision","value":"Other"},{"id":4,"name":"Milepost","value":"0.0936"},{"id":17,"name":"Train ID","value":"64-12"},{"id":16,"name":"Locomotive ID","value":"4030"},{"id":130,"name":"Impact","value":""},{"id":150,"name":"Time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735</v>
      </c>
      <c r="B203" s="7">
        <v>4019</v>
      </c>
      <c r="C203" s="22" t="s">
        <v>99</v>
      </c>
      <c r="D203" s="22" t="s">
        <v>736</v>
      </c>
      <c r="E203" s="13">
        <v>42655.750648148147</v>
      </c>
      <c r="F203" s="13">
        <v>42655.752418981479</v>
      </c>
      <c r="G203" s="7">
        <v>1</v>
      </c>
      <c r="H203" s="13" t="s">
        <v>737</v>
      </c>
      <c r="I203" s="13">
        <v>42655.759583333333</v>
      </c>
      <c r="J203" s="7">
        <v>0</v>
      </c>
      <c r="K203" s="112" t="str">
        <f t="shared" si="57"/>
        <v>4019/4020</v>
      </c>
      <c r="L203" s="22" t="str">
        <f>VLOOKUP(A203,'Trips&amp;Operators'!$C$1:$E$10000,3,FALSE)</f>
        <v>YOUNG</v>
      </c>
      <c r="M203" s="6">
        <f t="shared" si="58"/>
        <v>7.1643518531345762E-3</v>
      </c>
      <c r="N203" s="7">
        <f t="shared" si="65"/>
        <v>10.31666666851379</v>
      </c>
      <c r="O203" s="7"/>
      <c r="P203" s="7"/>
      <c r="Q203" s="23"/>
      <c r="R203" s="23"/>
      <c r="S203" s="35">
        <f t="shared" si="70"/>
        <v>0</v>
      </c>
      <c r="T203" s="50" t="e">
        <f t="shared" si="59"/>
        <v>#VALUE!</v>
      </c>
      <c r="U203" s="14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17:00:56-0600',mode:absolute,to:'2016-10-12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3" s="52" t="str">
        <f t="shared" si="61"/>
        <v>Y</v>
      </c>
      <c r="X203" s="149" t="e">
        <f t="shared" si="73"/>
        <v>#VALUE!</v>
      </c>
      <c r="Y203" s="67">
        <f t="shared" si="62"/>
        <v>2.3588</v>
      </c>
      <c r="Z203" s="67">
        <f t="shared" ref="Z203:Z205" si="74">RIGHT(H203,LEN(H203)-4)/10000</f>
        <v>4.5100000000000001E-2</v>
      </c>
      <c r="AA203" s="67">
        <f t="shared" si="63"/>
        <v>2.3136999999999999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4"/>
        <v>66-12</v>
      </c>
      <c r="AE203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203" s="88" t="str">
        <f t="shared" si="68"/>
        <v>"C:\Program Files (x86)\AstroGrep\AstroGrep.exe" /spath="%USERPROFILE%\AppData\Local\Temp\OnboardLogs" /stypes="app*4019*20161013*" /stext=" 00:.+((SYSTEM_STATE.+slice.+state.+changed )|(ment ac)|(system.+state.+changed )|(\[timeout)|(PRM\|1\|D)|(kpr)|(kdp)|(\|lc)|(penalty))" /e /r /s</v>
      </c>
      <c r="AG203" s="1" t="str">
        <f t="shared" si="69"/>
        <v>Other</v>
      </c>
      <c r="AH203" s="92" t="str">
        <f t="shared" si="71"/>
        <v>"%USERPROFILE%\Documents\GitHub\eaglep3\Utilities\RefineRTDCRunTimes.py" --tripid 66-12 --locoid 4019 --swversion DE.1.0.7.0 --startMP 300:23588 --initTime 2016-10-12T18:00:56 --startdatetime 2016-10-12T18:03:29 --delay 1 --endMP 204:451 --enddatetime 2016-10-12T18:13:48 --enforcementcount 0 &gt;&gt;C:\Users\stu\Documents\GitHub\eaglep3-reporting\EC\2016-10-12-refined-times.txt</v>
      </c>
      <c r="AI203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{"issue":{"subject":"","project_id":79,"tracker_id":40,"status_id":1,"priority_id":2,"assigned_to_id":23,"start_date":"2016-10-12","description":"","custom_fields":[{"id":1,"name":"Subdivision","value":"Other"},{"id":4,"name":"Milepost","value":"0.0451"},{"id":17,"name":"Train ID","value":"66-12"},{"id":16,"name":"Locomotive ID","value":"4019"},{"id":130,"name":"Impact","value":""},{"id":150,"name":"Time of Event (Mountain Time)","value":"18:13:48"},{"id":151,"name":"Denver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735</v>
      </c>
      <c r="B204" s="7">
        <v>4019</v>
      </c>
      <c r="C204" s="22" t="s">
        <v>99</v>
      </c>
      <c r="D204" s="22" t="s">
        <v>738</v>
      </c>
      <c r="E204" s="13">
        <v>42655.74790509259</v>
      </c>
      <c r="F204" s="13">
        <v>42655.752418981479</v>
      </c>
      <c r="G204" s="7">
        <v>2</v>
      </c>
      <c r="H204" s="13" t="s">
        <v>739</v>
      </c>
      <c r="I204" s="13">
        <v>42655.759583333333</v>
      </c>
      <c r="J204" s="7">
        <v>0</v>
      </c>
      <c r="K204" s="112" t="str">
        <f t="shared" si="57"/>
        <v>4019/4020</v>
      </c>
      <c r="L204" s="22" t="str">
        <f>VLOOKUP(A204,'Trips&amp;Operators'!$C$1:$E$10000,3,FALSE)</f>
        <v>YOUNG</v>
      </c>
      <c r="M204" s="6">
        <f t="shared" si="58"/>
        <v>7.1643518531345762E-3</v>
      </c>
      <c r="N204" s="7">
        <f t="shared" si="65"/>
        <v>10.31666666851379</v>
      </c>
      <c r="O204" s="7"/>
      <c r="P204" s="7"/>
      <c r="Q204" s="23"/>
      <c r="R204" s="23"/>
      <c r="S204" s="35">
        <f t="shared" si="70"/>
        <v>0</v>
      </c>
      <c r="T204" s="50" t="e">
        <f t="shared" si="59"/>
        <v>#VALUE!</v>
      </c>
      <c r="U204" s="14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60"/>
        <v>https://search-rtdc-monitor-bjffxe2xuh6vdkpspy63sjmuny.us-east-1.es.amazonaws.com/_plugin/kibana/#/discover/Steve-Slow-Train-Analysis-(2080s-and-2083s)?_g=(refreshInterval:(display:Off,section:0,value:0),time:(from:'2016-10-12 16:56:59-0600',mode:absolute,to:'2016-10-12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4" s="52" t="str">
        <f t="shared" si="61"/>
        <v>Y</v>
      </c>
      <c r="X204" s="149" t="e">
        <f t="shared" si="73"/>
        <v>#VALUE!</v>
      </c>
      <c r="Y204" s="67">
        <f t="shared" si="62"/>
        <v>2.4417</v>
      </c>
      <c r="Z204" s="67">
        <f t="shared" si="74"/>
        <v>2.3984999999999999</v>
      </c>
      <c r="AA204" s="67">
        <f t="shared" si="63"/>
        <v>4.3200000000000127E-2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4"/>
        <v>66-12</v>
      </c>
      <c r="AE204" s="91" t="str">
        <f t="shared" si="67"/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AF204" s="88" t="str">
        <f t="shared" si="68"/>
        <v>"C:\Program Files (x86)\AstroGrep\AstroGrep.exe" /spath="%USERPROFILE%\AppData\Local\Temp\OnboardLogs" /stypes="app*4019*20161013*" /stext=" 00:.+((SYSTEM_STATE.+slice.+state.+changed )|(ment ac)|(system.+state.+changed )|(\[timeout)|(PRM\|1\|D)|(kpr)|(kdp)|(\|lc)|(penalty))" /e /r /s</v>
      </c>
      <c r="AG204" s="1" t="str">
        <f t="shared" si="69"/>
        <v>Other</v>
      </c>
      <c r="AH204" s="92" t="str">
        <f t="shared" si="71"/>
        <v>"%USERPROFILE%\Documents\GitHub\eaglep3\Utilities\RefineRTDCRunTimes.py" --tripid 66-12 --locoid 4019 --swversion DE.1.0.7.0 --startMP 300:24417 --initTime 2016-10-12T17:56:59 --startdatetime 2016-10-12T18:03:29 --delay 2 --endMP 300:23985 --enddatetime 2016-10-12T18:13:48 --enforcementcount 0 &gt;&gt;C:\Users\stu\Documents\GitHub\eaglep3-reporting\EC\2016-10-12-refined-times.txt</v>
      </c>
      <c r="AI204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{"issue":{"subject":"","project_id":79,"tracker_id":40,"status_id":1,"priority_id":2,"assigned_to_id":23,"start_date":"2016-10-12","description":"","custom_fields":[{"id":1,"name":"Subdivision","value":"Other"},{"id":4,"name":"Milepost","value":"2.3985"},{"id":17,"name":"Train ID","value":"66-12"},{"id":16,"name":"Locomotive ID","value":"4019"},{"id":130,"name":"Impact","value":""},{"id":150,"name":"Time of Event (Mountain Time)","value":"18:13:48"},{"id":151,"name":"Denver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740</v>
      </c>
      <c r="B205" s="7">
        <v>4044</v>
      </c>
      <c r="C205" s="22" t="s">
        <v>99</v>
      </c>
      <c r="D205" s="22" t="s">
        <v>741</v>
      </c>
      <c r="E205" s="13">
        <v>42655.76767361111</v>
      </c>
      <c r="F205" s="13">
        <v>42655.79347222222</v>
      </c>
      <c r="G205" s="7">
        <v>1</v>
      </c>
      <c r="H205" s="13" t="s">
        <v>742</v>
      </c>
      <c r="I205" s="13">
        <v>42655.793634259258</v>
      </c>
      <c r="J205" s="7">
        <v>0</v>
      </c>
      <c r="K205" s="112" t="str">
        <f t="shared" ref="K205" si="75">IF(ISEVEN(B205),(B205-1)&amp;"/"&amp;B205,B205&amp;"/"&amp;(B205+1))</f>
        <v>4043/4044</v>
      </c>
      <c r="L205" s="22" t="str">
        <f>VLOOKUP(A205,'Trips&amp;Operators'!$C$1:$E$10000,3,FALSE)</f>
        <v>BONDS</v>
      </c>
      <c r="M205" s="6">
        <f t="shared" ref="M205" si="76">I205-F205</f>
        <v>1.6203703853534535E-4</v>
      </c>
      <c r="N205" s="7">
        <f t="shared" si="65"/>
        <v>0.2333333354908973</v>
      </c>
      <c r="O205" s="7"/>
      <c r="P205" s="7"/>
      <c r="Q205" s="23"/>
      <c r="R205" s="23"/>
      <c r="S205" s="35">
        <f t="shared" si="70"/>
        <v>0</v>
      </c>
      <c r="T205" s="50" t="e">
        <f t="shared" ref="T205" si="77">IF(ISEVEN(LEFT(AD205,4)),"Southbound","NorthBound")</f>
        <v>#VALUE!</v>
      </c>
      <c r="U205" s="14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" si="7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https://search-rtdc-monitor-bjffxe2xuh6vdkpspy63sjmuny.us-east-1.es.amazonaws.com/_plugin/kibana/#/discover/Steve-Slow-Train-Analysis-(2080s-and-2083s)?_g=(refreshInterval:(display:Off,section:0,value:0),time:(from:'2016-10-12 17:25:27-0600',mode:absolute,to:'2016-10-12 20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ref="W205" si="79">IF(AA205&lt;IF(AG205="EC",23,5.65),"Y","N")</f>
        <v>Y</v>
      </c>
      <c r="X205" s="149" t="e">
        <f t="shared" si="73"/>
        <v>#VALUE!</v>
      </c>
      <c r="Y205" s="67">
        <f t="shared" ref="Y205" si="80">RIGHT(D205,LEN(D205)-4)/10000</f>
        <v>0.1545</v>
      </c>
      <c r="Z205" s="67">
        <f t="shared" si="74"/>
        <v>0.21299999999999999</v>
      </c>
      <c r="AA205" s="67">
        <f t="shared" ref="AA205" si="81">ABS(Z205-Y205)</f>
        <v>5.8499999999999996E-2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" si="82">IF(LEN(A205)=6,"0"&amp;A205,A205)</f>
        <v>69-12</v>
      </c>
      <c r="AE205" s="91" t="str">
        <f t="shared" si="67"/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AF205" s="88" t="str">
        <f t="shared" si="68"/>
        <v>"C:\Program Files (x86)\AstroGrep\AstroGrep.exe" /spath="%USERPROFILE%\AppData\Local\Temp\OnboardLogs" /stypes="app*4044*20161013*" /stext=" 01:.+((SYSTEM_STATE.+slice.+state.+changed )|(ment ac)|(system.+state.+changed )|(\[timeout)|(PRM\|1\|D)|(kpr)|(kdp)|(\|lc)|(penalty))" /e /r /s</v>
      </c>
      <c r="AG205" s="1" t="str">
        <f t="shared" si="69"/>
        <v>Other</v>
      </c>
      <c r="AH205" s="92" t="str">
        <f t="shared" si="71"/>
        <v>"%USERPROFILE%\Documents\GitHub\eaglep3\Utilities\RefineRTDCRunTimes.py" --tripid 69-12 --locoid 4044 --swversion DE.1.0.7.0 --startMP 204:1545 --initTime 2016-10-12T18:25:27 --startdatetime 2016-10-12T19:02:36 --delay 1 --endMP 204:2130 --enddatetime 2016-10-12T19:02:50 --enforcementcount 0 &gt;&gt;C:\Users\stu\Documents\GitHub\eaglep3-reporting\EC\2016-10-12-refined-times.txt</v>
      </c>
      <c r="AI205" s="122" t="str">
        <f t="shared" si="72"/>
        <v>echo {"issue":{"subject":"","project_id":79,"tracker_id":40,"status_id":1,"priority_id":2,"assigned_to_id":23,"start_date":"2016-10-12","description":"","custom_fields":[{"id":1,"name":"Subdivision","value":"Other"},{"id":4,"name":"Milepost","value":"0.213"},{"id":17,"name":"Train ID","value":"69-12"},{"id":16,"name":"Locomotive ID","value":"4044"},{"id":130,"name":"Impact","value":""},{"id":150,"name":"Time of Event (Mountain Time)","value":"19:02:50"},{"id":151,"name":"Denver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/>
      <c r="B206" s="7"/>
      <c r="C206" s="22"/>
      <c r="D206" s="22"/>
      <c r="E206" s="13"/>
      <c r="F206" s="13"/>
      <c r="G206" s="7"/>
      <c r="H206" s="13"/>
      <c r="I206" s="13"/>
      <c r="J206" s="7"/>
      <c r="K206" s="112"/>
      <c r="L206" s="22"/>
      <c r="M206" s="6"/>
      <c r="N206" s="7"/>
      <c r="O206" s="7"/>
      <c r="P206" s="7"/>
      <c r="Q206" s="23"/>
      <c r="R206" s="23"/>
      <c r="S206" s="35"/>
      <c r="T206" s="50"/>
      <c r="U206" s="144"/>
      <c r="V206" s="98"/>
      <c r="W206" s="52"/>
      <c r="X206" s="149"/>
      <c r="Y206" s="67"/>
      <c r="Z206" s="67"/>
      <c r="AA206" s="67"/>
      <c r="AB206" s="64"/>
      <c r="AC206" s="60"/>
      <c r="AD206" s="61"/>
      <c r="AE206" s="91"/>
      <c r="AF206" s="88"/>
      <c r="AG206" s="1"/>
      <c r="AI206" s="122"/>
      <c r="AJ206" s="53"/>
      <c r="AK206" s="53"/>
      <c r="AL206" s="53"/>
    </row>
    <row r="207" spans="1:91" x14ac:dyDescent="0.25">
      <c r="A207" s="37"/>
      <c r="B207" s="7"/>
      <c r="C207" s="22"/>
      <c r="D207" s="22"/>
      <c r="E207" s="13"/>
      <c r="F207" s="13"/>
      <c r="G207" s="7"/>
      <c r="H207" s="13"/>
      <c r="I207" s="13"/>
      <c r="J207" s="7"/>
      <c r="K207" s="112"/>
      <c r="L207" s="22"/>
      <c r="M207" s="6"/>
      <c r="N207" s="7"/>
      <c r="O207" s="7"/>
      <c r="P207" s="7"/>
      <c r="Q207" s="23"/>
      <c r="R207" s="23"/>
      <c r="S207" s="35"/>
      <c r="T207" s="50"/>
      <c r="U207" s="144"/>
      <c r="V207" s="98"/>
      <c r="W207" s="52"/>
      <c r="X207" s="149"/>
      <c r="Y207" s="67"/>
      <c r="Z207" s="67"/>
      <c r="AA207" s="67"/>
      <c r="AB207" s="64"/>
      <c r="AC207" s="60"/>
      <c r="AD207" s="61"/>
      <c r="AE207" s="91"/>
      <c r="AF207" s="88"/>
      <c r="AG207" s="1"/>
      <c r="AI207" s="122"/>
      <c r="AJ207" s="53"/>
      <c r="AK207" s="53"/>
      <c r="AL207" s="53"/>
    </row>
    <row r="208" spans="1:91" x14ac:dyDescent="0.25">
      <c r="A208" s="37"/>
      <c r="B208" s="7"/>
      <c r="C208" s="22"/>
      <c r="D208" s="22"/>
      <c r="E208" s="13"/>
      <c r="F208" s="13"/>
      <c r="G208" s="7"/>
      <c r="H208" s="13"/>
      <c r="I208" s="13"/>
      <c r="J208" s="7"/>
      <c r="K208" s="112"/>
      <c r="L208" s="22"/>
      <c r="M208" s="6"/>
      <c r="N208" s="7"/>
      <c r="O208" s="7"/>
      <c r="P208" s="7"/>
      <c r="Q208" s="23"/>
      <c r="R208" s="23"/>
      <c r="S208" s="35"/>
      <c r="T208" s="50"/>
      <c r="U208" s="144"/>
      <c r="V208" s="98"/>
      <c r="W208" s="52"/>
      <c r="X208" s="149"/>
      <c r="Y208" s="67"/>
      <c r="Z208" s="67"/>
      <c r="AA208" s="67"/>
      <c r="AB208" s="64"/>
      <c r="AC208" s="60"/>
      <c r="AD208" s="61"/>
      <c r="AE208" s="91"/>
      <c r="AF208" s="88"/>
      <c r="AG208" s="1"/>
      <c r="AI208" s="122"/>
      <c r="AJ208" s="53"/>
      <c r="AK208" s="53"/>
      <c r="AL208" s="53"/>
    </row>
    <row r="209" spans="1:38" x14ac:dyDescent="0.25">
      <c r="A209" s="37"/>
      <c r="B209" s="7"/>
      <c r="C209" s="22"/>
      <c r="D209" s="22"/>
      <c r="E209" s="13"/>
      <c r="F209" s="13"/>
      <c r="G209" s="7"/>
      <c r="H209" s="13"/>
      <c r="I209" s="13"/>
      <c r="J209" s="7"/>
      <c r="K209" s="112"/>
      <c r="L209" s="22"/>
      <c r="M209" s="6"/>
      <c r="N209" s="7"/>
      <c r="O209" s="7"/>
      <c r="P209" s="7"/>
      <c r="Q209" s="23"/>
      <c r="R209" s="23"/>
      <c r="S209" s="35"/>
      <c r="T209" s="50"/>
      <c r="U209" s="144"/>
      <c r="V209" s="98"/>
      <c r="W209" s="52"/>
      <c r="X209" s="149"/>
      <c r="Y209" s="67"/>
      <c r="Z209" s="67"/>
      <c r="AA209" s="67"/>
      <c r="AB209" s="64"/>
      <c r="AC209" s="60"/>
      <c r="AD209" s="61"/>
      <c r="AE209" s="91"/>
      <c r="AF209" s="88"/>
      <c r="AG209" s="1"/>
      <c r="AI209" s="122"/>
      <c r="AJ209" s="53"/>
      <c r="AK209" s="53"/>
      <c r="AL209" s="53"/>
    </row>
    <row r="210" spans="1:38" x14ac:dyDescent="0.25">
      <c r="A210" s="37"/>
      <c r="B210" s="7"/>
      <c r="C210" s="22"/>
      <c r="D210" s="22"/>
      <c r="E210" s="13"/>
      <c r="F210" s="13"/>
      <c r="G210" s="7"/>
      <c r="H210" s="13"/>
      <c r="I210" s="13"/>
      <c r="J210" s="7"/>
      <c r="K210" s="112"/>
      <c r="L210" s="22"/>
      <c r="M210" s="6"/>
      <c r="N210" s="7"/>
      <c r="O210" s="7"/>
      <c r="P210" s="7"/>
      <c r="Q210" s="23"/>
      <c r="R210" s="23"/>
      <c r="S210" s="35"/>
      <c r="T210" s="50"/>
      <c r="U210" s="144"/>
      <c r="V210" s="98"/>
      <c r="W210" s="52"/>
      <c r="X210" s="149"/>
      <c r="Y210" s="67"/>
      <c r="Z210" s="67"/>
      <c r="AA210" s="67"/>
      <c r="AB210" s="64"/>
      <c r="AC210" s="60"/>
      <c r="AD210" s="61"/>
      <c r="AE210" s="91"/>
      <c r="AF210" s="88"/>
      <c r="AG210" s="1"/>
      <c r="AI210" s="122"/>
      <c r="AJ210" s="53"/>
      <c r="AK210" s="53"/>
      <c r="AL210" s="53"/>
    </row>
    <row r="211" spans="1:38" x14ac:dyDescent="0.25">
      <c r="A211" s="37"/>
      <c r="B211" s="7"/>
      <c r="C211" s="22"/>
      <c r="D211" s="22"/>
      <c r="E211" s="13"/>
      <c r="F211" s="13"/>
      <c r="G211" s="7"/>
      <c r="H211" s="13"/>
      <c r="I211" s="13"/>
      <c r="J211" s="7"/>
      <c r="K211" s="112"/>
      <c r="L211" s="22"/>
      <c r="M211" s="6"/>
      <c r="N211" s="7"/>
      <c r="O211" s="7"/>
      <c r="P211" s="7"/>
      <c r="Q211" s="23"/>
      <c r="R211" s="23"/>
      <c r="S211" s="35"/>
      <c r="T211" s="50"/>
      <c r="U211" s="144"/>
      <c r="V211" s="98"/>
      <c r="W211" s="52"/>
      <c r="X211" s="149"/>
      <c r="Y211" s="67"/>
      <c r="Z211" s="67"/>
      <c r="AA211" s="67"/>
      <c r="AB211" s="64"/>
      <c r="AC211" s="60"/>
      <c r="AD211" s="61"/>
      <c r="AE211" s="91"/>
      <c r="AF211" s="88"/>
      <c r="AG211" s="1"/>
      <c r="AI211" s="122"/>
      <c r="AJ211" s="53"/>
      <c r="AK211" s="53"/>
      <c r="AL211" s="53"/>
    </row>
    <row r="212" spans="1:38" x14ac:dyDescent="0.25">
      <c r="A212" s="37"/>
      <c r="B212" s="7"/>
      <c r="C212" s="22"/>
      <c r="D212" s="22"/>
      <c r="E212" s="13"/>
      <c r="F212" s="13"/>
      <c r="G212" s="7"/>
      <c r="H212" s="13"/>
      <c r="I212" s="13"/>
      <c r="J212" s="7"/>
      <c r="K212" s="112"/>
      <c r="L212" s="22"/>
      <c r="M212" s="6"/>
      <c r="N212" s="7"/>
      <c r="O212" s="7"/>
      <c r="P212" s="7"/>
      <c r="Q212" s="23"/>
      <c r="R212" s="23"/>
      <c r="S212" s="35"/>
      <c r="T212" s="50"/>
      <c r="U212" s="144"/>
      <c r="V212" s="98"/>
      <c r="W212" s="52"/>
      <c r="X212" s="149"/>
      <c r="Y212" s="67"/>
      <c r="Z212" s="67"/>
      <c r="AA212" s="67"/>
      <c r="AB212" s="64"/>
      <c r="AC212" s="60"/>
      <c r="AD212" s="61"/>
      <c r="AE212" s="91"/>
      <c r="AF212" s="88"/>
      <c r="AG212" s="1"/>
      <c r="AI212" s="122"/>
      <c r="AJ212" s="53"/>
      <c r="AK212" s="53"/>
      <c r="AL212" s="53"/>
    </row>
    <row r="213" spans="1:38" x14ac:dyDescent="0.25">
      <c r="A213" s="37"/>
      <c r="B213" s="7"/>
      <c r="C213" s="22"/>
      <c r="D213" s="22"/>
      <c r="E213" s="13"/>
      <c r="F213" s="13"/>
      <c r="G213" s="7"/>
      <c r="H213" s="13"/>
      <c r="I213" s="13"/>
      <c r="J213" s="7"/>
      <c r="K213" s="112"/>
      <c r="L213" s="22"/>
      <c r="M213" s="6"/>
      <c r="N213" s="7"/>
      <c r="O213" s="7"/>
      <c r="P213" s="7"/>
      <c r="Q213" s="23"/>
      <c r="R213" s="23"/>
      <c r="S213" s="35"/>
      <c r="T213" s="50"/>
      <c r="U213" s="144"/>
      <c r="V213" s="98"/>
      <c r="W213" s="52"/>
      <c r="X213" s="149"/>
      <c r="Y213" s="67"/>
      <c r="Z213" s="67"/>
      <c r="AA213" s="67"/>
      <c r="AB213" s="64"/>
      <c r="AC213" s="60"/>
      <c r="AD213" s="61"/>
      <c r="AE213" s="91"/>
      <c r="AF213" s="88"/>
      <c r="AG213" s="1"/>
      <c r="AI213" s="122"/>
      <c r="AJ213" s="53"/>
      <c r="AK213" s="53"/>
      <c r="AL213" s="53"/>
    </row>
    <row r="214" spans="1:38" x14ac:dyDescent="0.25">
      <c r="A214" s="37"/>
      <c r="B214" s="7"/>
      <c r="C214" s="22"/>
      <c r="D214" s="22"/>
      <c r="E214" s="13"/>
      <c r="F214" s="13"/>
      <c r="G214" s="7"/>
      <c r="H214" s="13"/>
      <c r="I214" s="13"/>
      <c r="J214" s="7"/>
      <c r="K214" s="112"/>
      <c r="L214" s="22"/>
      <c r="M214" s="6"/>
      <c r="N214" s="7"/>
      <c r="O214" s="7"/>
      <c r="P214" s="7"/>
      <c r="Q214" s="23"/>
      <c r="R214" s="23"/>
      <c r="S214" s="35"/>
      <c r="T214" s="50"/>
      <c r="U214" s="144"/>
      <c r="V214" s="98"/>
      <c r="W214" s="52"/>
      <c r="X214" s="149"/>
      <c r="Y214" s="67"/>
      <c r="Z214" s="67"/>
      <c r="AA214" s="67"/>
      <c r="AB214" s="64"/>
      <c r="AC214" s="60"/>
      <c r="AD214" s="61"/>
      <c r="AE214" s="91"/>
      <c r="AF214" s="88"/>
      <c r="AG214" s="1"/>
      <c r="AI214" s="122"/>
      <c r="AJ214" s="53"/>
      <c r="AK214" s="53"/>
      <c r="AL214" s="53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>
    <sortState ref="A13:AG257">
      <sortCondition ref="AG13:AG214"/>
      <sortCondition ref="AD13:AD214"/>
    </sortState>
  </autoFilter>
  <sortState ref="A13:AH200">
    <sortCondition ref="AG13:AG200"/>
    <sortCondition ref="AD13:AD200"/>
  </sortState>
  <mergeCells count="1">
    <mergeCell ref="A11:P11"/>
  </mergeCells>
  <conditionalFormatting sqref="W11:W12 W258:X1048576 W13:X214">
    <cfRule type="cellIs" dxfId="15" priority="344" operator="equal">
      <formula>"Y"</formula>
    </cfRule>
  </conditionalFormatting>
  <conditionalFormatting sqref="X258:X1048576 X13:X214">
    <cfRule type="cellIs" dxfId="14" priority="327" operator="greaterThan">
      <formula>1</formula>
    </cfRule>
  </conditionalFormatting>
  <conditionalFormatting sqref="X258:X1048576 X12:X214">
    <cfRule type="cellIs" dxfId="13" priority="324" operator="equal">
      <formula>0</formula>
    </cfRule>
  </conditionalFormatting>
  <conditionalFormatting sqref="A13:S214">
    <cfRule type="expression" dxfId="12" priority="318" stopIfTrue="1">
      <formula>$P13&gt;0</formula>
    </cfRule>
    <cfRule type="expression" dxfId="11" priority="319" stopIfTrue="1">
      <formula>$O13&gt;0</formula>
    </cfRule>
  </conditionalFormatting>
  <conditionalFormatting sqref="W13:X205">
    <cfRule type="cellIs" dxfId="10" priority="6" operator="equal">
      <formula>"Y"</formula>
    </cfRule>
  </conditionalFormatting>
  <conditionalFormatting sqref="X13:X205">
    <cfRule type="cellIs" dxfId="9" priority="5" operator="greaterThan">
      <formula>1</formula>
    </cfRule>
  </conditionalFormatting>
  <conditionalFormatting sqref="X13:X205">
    <cfRule type="cellIs" dxfId="8" priority="4" operator="equal">
      <formula>0</formula>
    </cfRule>
  </conditionalFormatting>
  <conditionalFormatting sqref="A13:S205">
    <cfRule type="expression" dxfId="7" priority="1" stopIfTrue="1">
      <formula>$P13&gt;0</formula>
    </cfRule>
    <cfRule type="expression" dxfId="6" priority="2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'Redmine List Values'!$A$2:$A$7</xm:f>
          </x14:formula1>
          <xm:sqref>AK206:AK214</xm:sqref>
        </x14:dataValidation>
        <x14:dataValidation type="list" allowBlank="1" showInputMessage="1" showErrorMessage="1">
          <x14:formula1>
            <xm:f>'Redmine List Values'!$C$2:$C$20</xm:f>
          </x14:formula1>
          <xm:sqref>AL206:AL214</xm:sqref>
        </x14:dataValidation>
        <x14:dataValidation type="list" allowBlank="1" showInputMessage="1" showErrorMessage="1">
          <x14:formula1>
            <xm:f>'Redmine List Values'!#REF!</xm:f>
          </x14:formula1>
          <xm:sqref>AL13:AL205</xm:sqref>
        </x14:dataValidation>
        <x14:dataValidation type="list" allowBlank="1" showInputMessage="1" showErrorMessage="1">
          <x14:formula1>
            <xm:f>'Redmine List Values'!#REF!</xm:f>
          </x14:formula1>
          <xm:sqref>AK13:AK205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L14" sqref="L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42" customWidth="1"/>
    <col min="5" max="5" width="18.5703125" style="142" customWidth="1"/>
    <col min="6" max="6" width="5.7109375" style="142" customWidth="1"/>
    <col min="7" max="7" width="5.85546875" style="142" customWidth="1"/>
    <col min="8" max="8" width="7.85546875" style="142" customWidth="1"/>
    <col min="9" max="9" width="9" style="142" customWidth="1"/>
    <col min="10" max="10" width="11.5703125" style="142" hidden="1" customWidth="1"/>
    <col min="11" max="11" width="9.140625" style="142" customWidth="1"/>
    <col min="12" max="12" width="7.85546875" style="142" customWidth="1"/>
    <col min="13" max="13" width="7.85546875" style="2" customWidth="1"/>
    <col min="14" max="14" width="11.85546875" style="138" customWidth="1"/>
    <col min="15" max="15" width="5.140625" style="142" customWidth="1"/>
    <col min="16" max="16" width="30.7109375" style="142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55" customWidth="1"/>
  </cols>
  <sheetData>
    <row r="1" spans="1:29" s="21" customFormat="1" ht="15.75" hidden="1" thickBot="1" x14ac:dyDescent="0.3">
      <c r="A1" s="8"/>
      <c r="D1" s="142"/>
      <c r="E1" s="142"/>
      <c r="F1" s="142"/>
      <c r="G1" s="142"/>
      <c r="H1" s="142"/>
      <c r="I1" s="142"/>
      <c r="J1" s="142"/>
      <c r="K1" s="142"/>
      <c r="L1" s="142"/>
      <c r="M1" s="2"/>
      <c r="N1" s="138"/>
      <c r="O1" s="142"/>
      <c r="P1" s="142"/>
      <c r="R1" s="89"/>
      <c r="S1" s="101"/>
      <c r="T1" s="86"/>
      <c r="V1" s="48"/>
      <c r="AC1" s="155"/>
    </row>
    <row r="2" spans="1:29" s="21" customFormat="1" x14ac:dyDescent="0.25">
      <c r="A2" s="8"/>
      <c r="D2" s="142"/>
      <c r="E2" s="142"/>
      <c r="F2" s="142"/>
      <c r="G2" s="142"/>
      <c r="H2" s="142"/>
      <c r="I2" s="142"/>
      <c r="J2" s="142"/>
      <c r="K2" s="142"/>
      <c r="L2" s="165" t="s">
        <v>80</v>
      </c>
      <c r="M2" s="134"/>
      <c r="N2" s="166"/>
      <c r="O2" s="151">
        <f>COUNTIF($O$7:$O$369,"=Y")</f>
        <v>3</v>
      </c>
      <c r="P2" s="136"/>
      <c r="R2" s="89"/>
      <c r="S2" s="101"/>
      <c r="T2" s="86"/>
      <c r="V2" s="48"/>
      <c r="AC2" s="156"/>
    </row>
    <row r="3" spans="1:29" s="21" customFormat="1" ht="15.75" thickBot="1" x14ac:dyDescent="0.3">
      <c r="A3" s="8"/>
      <c r="D3" s="142"/>
      <c r="E3" s="142"/>
      <c r="F3" s="142"/>
      <c r="G3" s="142"/>
      <c r="H3" s="142"/>
      <c r="I3" s="142"/>
      <c r="J3" s="142"/>
      <c r="K3" s="142"/>
      <c r="L3" s="167" t="s">
        <v>81</v>
      </c>
      <c r="M3" s="135"/>
      <c r="N3" s="168"/>
      <c r="O3" s="152">
        <f>COUNTA($O$7:$O$369)-O2</f>
        <v>52</v>
      </c>
      <c r="P3" s="136"/>
      <c r="R3" s="89"/>
      <c r="S3" s="101"/>
      <c r="T3" s="86"/>
      <c r="V3" s="48"/>
      <c r="AC3" s="156"/>
    </row>
    <row r="4" spans="1:29" s="21" customFormat="1" x14ac:dyDescent="0.25">
      <c r="A4" s="8"/>
      <c r="D4" s="142"/>
      <c r="E4" s="142"/>
      <c r="F4" s="142"/>
      <c r="G4" s="142"/>
      <c r="H4" s="142"/>
      <c r="I4" s="142"/>
      <c r="J4" s="142"/>
      <c r="K4" s="142"/>
      <c r="L4" s="142"/>
      <c r="M4" s="2"/>
      <c r="N4" s="138"/>
      <c r="O4" s="142"/>
      <c r="P4" s="142"/>
      <c r="R4" s="89"/>
      <c r="S4" s="101"/>
      <c r="T4" s="86"/>
      <c r="V4" s="48"/>
      <c r="AC4" s="156"/>
    </row>
    <row r="5" spans="1:29" s="10" customFormat="1" ht="15" customHeight="1" x14ac:dyDescent="0.25">
      <c r="A5" s="182" t="str">
        <f>"Eagle P3 Braking Events - "&amp;TEXT(Variables!$A$2,"YYYY-mm-dd")</f>
        <v>Eagle P3 Braking Events - 2016-10-12</v>
      </c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69"/>
      <c r="R5" s="99"/>
      <c r="S5" s="102"/>
      <c r="T5" s="104"/>
      <c r="V5" s="49"/>
      <c r="AC5" s="15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53" t="s">
        <v>35</v>
      </c>
      <c r="E6" s="153" t="s">
        <v>34</v>
      </c>
      <c r="F6" s="153" t="s">
        <v>33</v>
      </c>
      <c r="G6" s="153" t="s">
        <v>32</v>
      </c>
      <c r="H6" s="153" t="s">
        <v>31</v>
      </c>
      <c r="I6" s="153" t="s">
        <v>159</v>
      </c>
      <c r="J6" s="153" t="s">
        <v>30</v>
      </c>
      <c r="K6" s="153" t="s">
        <v>29</v>
      </c>
      <c r="L6" s="153" t="s">
        <v>28</v>
      </c>
      <c r="M6" s="125" t="s">
        <v>160</v>
      </c>
      <c r="N6" s="170" t="s">
        <v>47</v>
      </c>
      <c r="O6" s="153" t="s">
        <v>27</v>
      </c>
      <c r="P6" s="15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58" t="s">
        <v>181</v>
      </c>
    </row>
    <row r="7" spans="1:29" s="1" customFormat="1" x14ac:dyDescent="0.25">
      <c r="A7" s="36">
        <v>42655.282581018517</v>
      </c>
      <c r="B7" s="31" t="s">
        <v>241</v>
      </c>
      <c r="C7" s="31" t="s">
        <v>268</v>
      </c>
      <c r="D7" s="31" t="s">
        <v>189</v>
      </c>
      <c r="E7" s="31" t="s">
        <v>155</v>
      </c>
      <c r="F7" s="47">
        <v>0</v>
      </c>
      <c r="G7" s="47">
        <v>196</v>
      </c>
      <c r="H7" s="47">
        <v>27204</v>
      </c>
      <c r="I7" s="47">
        <v>27061</v>
      </c>
      <c r="J7" s="31" t="s">
        <v>154</v>
      </c>
      <c r="K7" s="47">
        <v>27350</v>
      </c>
      <c r="L7" s="174" t="s">
        <v>51</v>
      </c>
      <c r="M7" s="175">
        <f t="shared" ref="M7:M61" si="0">CONVERT((I7-K7)/10000,"mi","ft")*IF(L7="Increasing Mileposts (1)",-1,1)</f>
        <v>-152.59200000000001</v>
      </c>
      <c r="N7" s="176" t="str">
        <f>VLOOKUP(C7,'Trips&amp;Operators'!$C$1:$E$99999,3,FALSE)</f>
        <v>SPECTOR</v>
      </c>
      <c r="O7" s="154" t="s">
        <v>743</v>
      </c>
      <c r="P7" s="177" t="s">
        <v>744</v>
      </c>
      <c r="Q7" s="31"/>
      <c r="R7" s="100" t="str">
        <f>VLOOKUP(C7,'Train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/stypes="*4032*201610121*" /stext=" 12:.+((SYSTEM_STATE.+slice.+state.+changed )|(ment ac)|(system.+state.+changed )|(\[timeout)|(PRM\|1\|D)|(kpr)|(kdp)|(\|lc)|(penalty))" /e /r /s</v>
      </c>
      <c r="U7" s="9" t="str">
        <f t="shared" ref="U7:U61" si="2">MID(B7,13,4)</f>
        <v>4032</v>
      </c>
      <c r="V7" s="36">
        <f t="shared" ref="V7:V61" si="3">A7+6/24</f>
        <v>42655.532581018517</v>
      </c>
      <c r="W7" s="50" t="str">
        <f t="shared" ref="W7:W61" si="4">IF(VALUE(LEFT(IF(LEN(C7)=6,"0"&amp;C7,C7),2))&lt;=2,"EC",IF(OR(VALUE(LEFT(IF(LEN(C7)=6,"0"&amp;C7,C7),2))=8,VALUE(LEFT(IF(LEN(C7)=6,"0"&amp;C7,C7),2))=18),"NW","Other"))</f>
        <v>EC</v>
      </c>
      <c r="X7" s="50" t="str">
        <f t="shared" ref="X7:X61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arrival","project_id":79,"tracker_id":40,"status_id":1,"priority_id":2,"assigned_to_id":23,"start_date":"2016-10-12","description":"","custom_fields":[{"id":1,"name":"Subdivision","value":"EC"},{"id":4,"name":"Milepost","value":"2.735"},{"id":17,"name":"Train ID","value":"112-12"},{"id":16,"name":"Locomotive ID","value":"4032"},{"id":130,"name":"Impact","value":""},{"id":150,"name":"Time of Event (Mountain Time)","value":"06:46:55"},{"id":151,"name":"Denver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21"/>
      <c r="AC7" s="15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"%USERPROFILE%\AppData\Local\Temp\OnboardLogs"\RTDC4032\*4032*201610121* | grep -SE "((Enforcement Ac)|(PRM))" -</v>
      </c>
    </row>
    <row r="8" spans="1:29" s="1" customFormat="1" x14ac:dyDescent="0.25">
      <c r="A8" s="36">
        <v>42655.579675925925</v>
      </c>
      <c r="B8" s="31" t="s">
        <v>240</v>
      </c>
      <c r="C8" s="31" t="s">
        <v>272</v>
      </c>
      <c r="D8" s="31" t="s">
        <v>189</v>
      </c>
      <c r="E8" s="31" t="s">
        <v>155</v>
      </c>
      <c r="F8" s="47">
        <v>0</v>
      </c>
      <c r="G8" s="47">
        <v>188</v>
      </c>
      <c r="H8" s="47">
        <v>33154</v>
      </c>
      <c r="I8" s="47">
        <v>32911</v>
      </c>
      <c r="J8" s="31" t="s">
        <v>154</v>
      </c>
      <c r="K8" s="47">
        <v>33257</v>
      </c>
      <c r="L8" s="174" t="s">
        <v>51</v>
      </c>
      <c r="M8" s="175">
        <f t="shared" si="0"/>
        <v>-182.68799999999999</v>
      </c>
      <c r="N8" s="176" t="str">
        <f>VLOOKUP(C8,'Trips&amp;Operators'!$C$1:$E$99999,3,FALSE)</f>
        <v>STORY</v>
      </c>
      <c r="O8" s="154" t="s">
        <v>743</v>
      </c>
      <c r="P8" s="177" t="s">
        <v>744</v>
      </c>
      <c r="Q8" s="31"/>
      <c r="R8" s="100" t="str">
        <f>VLOOKUP(C8,'Train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https://search-rtdc-monitor-bjffxe2xuh6vdkpspy63sjmuny.us-east-1.es.amazonaws.com/_plugin/kibana/#/discover/Steve-Slow-Train-Analysis-(2080s-and-2083s)?_g=(refreshInterval:(display:Off,section:0,value:0),time:(from:'2016-10-12 12:23:32-0600',mode:absolute,to:'2016-10-12 15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5" t="str">
        <f t="shared" si="1"/>
        <v>"C:\Program Files (x86)\AstroGrep\AstroGrep.exe" /spath="%USERPROFILE%\AppData\Local\Temp\OnboardLogs" /stypes="*4015*201610121*" /stext=" 19:.+((SYSTEM_STATE.+slice.+state.+changed )|(ment ac)|(system.+state.+changed )|(\[timeout)|(PRM\|1\|D)|(kpr)|(kdp)|(\|lc)|(penalty))" /e /r /s</v>
      </c>
      <c r="U8" s="9" t="str">
        <f t="shared" si="2"/>
        <v>4015</v>
      </c>
      <c r="V8" s="36">
        <f t="shared" si="3"/>
        <v>42655.829675925925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arrival","project_id":79,"tracker_id":40,"status_id":1,"priority_id":2,"assigned_to_id":23,"start_date":"2016-10-12","description":"","custom_fields":[{"id":1,"name":"Subdivision","value":"EC"},{"id":4,"name":"Milepost","value":"3.3257"},{"id":17,"name":"Train ID","value":"172-12"},{"id":16,"name":"Locomotive ID","value":"4015"},{"id":130,"name":"Impact","value":""},{"id":150,"name":"Time of Event (Mountain Time)","value":"13:54:44"},{"id":151,"name":"Denver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21"/>
      <c r="AC8" s="155" t="str">
        <f t="shared" si="7"/>
        <v>grep -hSE -A100 "Enforcement Action" "%USERPROFILE%\AppData\Local\Temp\OnboardLogs"\RTDC4015\*4015*201610121* | grep -SE "((Enforcement Ac)|(PRM))" -</v>
      </c>
    </row>
    <row r="9" spans="1:29" s="1" customFormat="1" x14ac:dyDescent="0.25">
      <c r="A9" s="36">
        <v>42655.51767361111</v>
      </c>
      <c r="B9" s="31" t="s">
        <v>204</v>
      </c>
      <c r="C9" s="31" t="s">
        <v>271</v>
      </c>
      <c r="D9" s="31" t="s">
        <v>49</v>
      </c>
      <c r="E9" s="31" t="s">
        <v>155</v>
      </c>
      <c r="F9" s="47">
        <v>0</v>
      </c>
      <c r="G9" s="47">
        <v>108</v>
      </c>
      <c r="H9" s="47">
        <v>48548</v>
      </c>
      <c r="I9" s="47">
        <v>48412</v>
      </c>
      <c r="J9" s="31" t="s">
        <v>154</v>
      </c>
      <c r="K9" s="47">
        <v>48048</v>
      </c>
      <c r="L9" s="174" t="s">
        <v>51</v>
      </c>
      <c r="M9" s="175">
        <f t="shared" si="0"/>
        <v>192.19200000000001</v>
      </c>
      <c r="N9" s="176" t="str">
        <f>VLOOKUP(C9,'Trips&amp;Operators'!$C$1:$E$99999,3,FALSE)</f>
        <v>BONDS</v>
      </c>
      <c r="O9" s="154" t="s">
        <v>743</v>
      </c>
      <c r="P9" s="177" t="s">
        <v>745</v>
      </c>
      <c r="Q9" s="31"/>
      <c r="R9" s="100" t="str">
        <f>VLOOKUP(C9,'Train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9" s="105" t="str">
        <f t="shared" si="1"/>
        <v>"C:\Program Files (x86)\AstroGrep\AstroGrep.exe" /spath="%USERPROFILE%\AppData\Local\Temp\OnboardLogs" /stypes="*4045*201610121*" /stext=" 18:.+((SYSTEM_STATE.+slice.+state.+changed )|(ment ac)|(system.+state.+changed )|(\[timeout)|(PRM\|1\|D)|(kpr)|(kdp)|(\|lc)|(penalty))" /e /r /s</v>
      </c>
      <c r="U9" s="9" t="str">
        <f t="shared" si="2"/>
        <v>4045</v>
      </c>
      <c r="V9" s="36">
        <f t="shared" si="3"/>
        <v>42655.76767361111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{"issue":{"subject":"Form C","project_id":79,"tracker_id":40,"status_id":1,"priority_id":2,"assigned_to_id":23,"start_date":"2016-10-12","description":"","custom_fields":[{"id":1,"name":"Subdivision","value":"EC"},{"id":4,"name":"Milepost","value":"4.8048"},{"id":17,"name":"Train ID","value":"160-12"},{"id":16,"name":"Locomotive ID","value":"4045"},{"id":130,"name":"Impact","value":""},{"id":150,"name":"Time of Event (Mountain Time)","value":"12:25:27"},{"id":151,"name":"Denver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21"/>
      <c r="AC9" s="155" t="str">
        <f t="shared" si="7"/>
        <v>grep -hSE -A100 "Enforcement Action" "%USERPROFILE%\AppData\Local\Temp\OnboardLogs"\RTDC4045\*4045*201610121* | grep -SE "((Enforcement Ac)|(PRM))" -</v>
      </c>
    </row>
    <row r="10" spans="1:29" s="1" customFormat="1" x14ac:dyDescent="0.25">
      <c r="A10" s="36">
        <v>42655.65011574074</v>
      </c>
      <c r="B10" s="31" t="s">
        <v>240</v>
      </c>
      <c r="C10" s="31" t="s">
        <v>273</v>
      </c>
      <c r="D10" s="31" t="s">
        <v>49</v>
      </c>
      <c r="E10" s="31" t="s">
        <v>155</v>
      </c>
      <c r="F10" s="47">
        <v>150</v>
      </c>
      <c r="G10" s="47">
        <v>236</v>
      </c>
      <c r="H10" s="47">
        <v>63653</v>
      </c>
      <c r="I10" s="47">
        <v>63241</v>
      </c>
      <c r="J10" s="31" t="s">
        <v>154</v>
      </c>
      <c r="K10" s="47">
        <v>63309</v>
      </c>
      <c r="L10" s="174" t="s">
        <v>51</v>
      </c>
      <c r="M10" s="175">
        <f t="shared" si="0"/>
        <v>-35.904000000000003</v>
      </c>
      <c r="N10" s="176" t="str">
        <f>VLOOKUP(C10,'Trips&amp;Operators'!$C$1:$E$99999,3,FALSE)</f>
        <v>STORY</v>
      </c>
      <c r="O10" s="154" t="s">
        <v>743</v>
      </c>
      <c r="P10" s="177" t="s">
        <v>744</v>
      </c>
      <c r="Q10" s="31"/>
      <c r="R10" s="100" t="str">
        <f>VLOOKUP(C10,'Train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14:03:36-0600',mode:absolute,to:'2016-10-12 16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/stypes="*4015*201610122*" /stext=" 21:.+((SYSTEM_STATE.+slice.+state.+changed )|(ment ac)|(system.+state.+changed )|(\[timeout)|(PRM\|1\|D)|(kpr)|(kdp)|(\|lc)|(penalty))" /e /r /s</v>
      </c>
      <c r="U10" s="9" t="str">
        <f t="shared" si="2"/>
        <v>4015</v>
      </c>
      <c r="V10" s="36">
        <f t="shared" si="3"/>
        <v>42655.90011574074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arrival","project_id":79,"tracker_id":40,"status_id":1,"priority_id":2,"assigned_to_id":23,"start_date":"2016-10-12","description":"","custom_fields":[{"id":1,"name":"Subdivision","value":"EC"},{"id":4,"name":"Milepost","value":"6.3309"},{"id":17,"name":"Train ID","value":"186-12"},{"id":16,"name":"Locomotive ID","value":"4015"},{"id":130,"name":"Impact","value":""},{"id":150,"name":"Time of Event (Mountain Time)","value":"15:36:10"},{"id":151,"name":"Denver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21"/>
      <c r="AC10" s="155" t="str">
        <f t="shared" si="7"/>
        <v>grep -hSE -A100 "Enforcement Action" "%USERPROFILE%\AppData\Local\Temp\OnboardLogs"\RTDC4015\*4015*201610122* | grep -SE "((Enforcement Ac)|(PRM))" -</v>
      </c>
    </row>
    <row r="11" spans="1:29" s="1" customFormat="1" x14ac:dyDescent="0.25">
      <c r="A11" s="36">
        <v>42655.670763888891</v>
      </c>
      <c r="B11" s="31" t="s">
        <v>244</v>
      </c>
      <c r="C11" s="31" t="s">
        <v>274</v>
      </c>
      <c r="D11" s="31" t="s">
        <v>49</v>
      </c>
      <c r="E11" s="31" t="s">
        <v>155</v>
      </c>
      <c r="F11" s="47">
        <v>0</v>
      </c>
      <c r="G11" s="47">
        <v>618</v>
      </c>
      <c r="H11" s="47">
        <v>101491</v>
      </c>
      <c r="I11" s="47">
        <v>103310</v>
      </c>
      <c r="J11" s="31" t="s">
        <v>154</v>
      </c>
      <c r="K11" s="47">
        <v>103738</v>
      </c>
      <c r="L11" s="174" t="s">
        <v>50</v>
      </c>
      <c r="M11" s="175">
        <f t="shared" si="0"/>
        <v>225.98400000000001</v>
      </c>
      <c r="N11" s="176" t="str">
        <f>VLOOKUP(C11,'Trips&amp;Operators'!$C$1:$E$99999,3,FALSE)</f>
        <v>HILLS</v>
      </c>
      <c r="O11" s="154" t="s">
        <v>743</v>
      </c>
      <c r="P11" s="177" t="s">
        <v>744</v>
      </c>
      <c r="Q11" s="31"/>
      <c r="R11" s="100" t="str">
        <f>VLOOKUP(C11,'Train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14:38:39-0600',mode:absolute,to:'2016-10-12 17:24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1" s="105" t="str">
        <f t="shared" si="1"/>
        <v>"C:\Program Files (x86)\AstroGrep\AstroGrep.exe" /spath="%USERPROFILE%\AppData\Local\Temp\OnboardLogs" /stypes="*4031*201610122*" /stext=" 22:.+((SYSTEM_STATE.+slice.+state.+changed )|(ment ac)|(system.+state.+changed )|(\[timeout)|(PRM\|1\|D)|(kpr)|(kdp)|(\|lc)|(penalty))" /e /r /s</v>
      </c>
      <c r="U11" s="9" t="str">
        <f t="shared" si="2"/>
        <v>4031</v>
      </c>
      <c r="V11" s="36">
        <f t="shared" si="3"/>
        <v>42655.920763888891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arrival","project_id":79,"tracker_id":40,"status_id":1,"priority_id":2,"assigned_to_id":23,"start_date":"2016-10-12","description":"","custom_fields":[{"id":1,"name":"Subdivision","value":"EC"},{"id":4,"name":"Milepost","value":"10.3738"},{"id":17,"name":"Train ID","value":"197-12"},{"id":16,"name":"Locomotive ID","value":"4031"},{"id":130,"name":"Impact","value":""},{"id":150,"name":"Time of Event (Mountain Time)","value":"16:05:54"},{"id":151,"name":"Denver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21"/>
      <c r="AC11" s="155" t="str">
        <f t="shared" si="7"/>
        <v>grep -hSE -A100 "Enforcement Action" "%USERPROFILE%\AppData\Local\Temp\OnboardLogs"\RTDC4031\*4031*201610122* | grep -SE "((Enforcement Ac)|(PRM))" -</v>
      </c>
    </row>
    <row r="12" spans="1:29" s="1" customFormat="1" x14ac:dyDescent="0.25">
      <c r="A12" s="36">
        <v>42655.268761574072</v>
      </c>
      <c r="B12" s="31" t="s">
        <v>241</v>
      </c>
      <c r="C12" s="31" t="s">
        <v>268</v>
      </c>
      <c r="D12" s="31" t="s">
        <v>98</v>
      </c>
      <c r="E12" s="31" t="s">
        <v>155</v>
      </c>
      <c r="F12" s="47">
        <v>0</v>
      </c>
      <c r="G12" s="47">
        <v>392</v>
      </c>
      <c r="H12" s="47">
        <v>109099</v>
      </c>
      <c r="I12" s="47">
        <v>108443</v>
      </c>
      <c r="J12" s="31" t="s">
        <v>154</v>
      </c>
      <c r="K12" s="47">
        <v>109135</v>
      </c>
      <c r="L12" s="174" t="s">
        <v>51</v>
      </c>
      <c r="M12" s="175">
        <f t="shared" si="0"/>
        <v>-365.37599999999998</v>
      </c>
      <c r="N12" s="176" t="str">
        <f>VLOOKUP(C12,'Trips&amp;Operators'!$C$1:$E$99999,3,FALSE)</f>
        <v>SPECTOR</v>
      </c>
      <c r="O12" s="154" t="s">
        <v>743</v>
      </c>
      <c r="P12" s="177" t="s">
        <v>744</v>
      </c>
      <c r="Q12" s="31"/>
      <c r="R12" s="100" t="str">
        <f>VLOOKUP(C12,'Train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05:04:58-0600',mode:absolute,to:'2016-10-12 07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/stypes="*4032*201610121*" /stext=" 12:.+((SYSTEM_STATE.+slice.+state.+changed )|(ment ac)|(system.+state.+changed )|(\[timeout)|(PRM\|1\|D)|(kpr)|(kdp)|(\|lc)|(penalty))" /e /r /s</v>
      </c>
      <c r="U12" s="9" t="str">
        <f t="shared" si="2"/>
        <v>4032</v>
      </c>
      <c r="V12" s="36">
        <f t="shared" si="3"/>
        <v>42655.518761574072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arrival","project_id":79,"tracker_id":40,"status_id":1,"priority_id":2,"assigned_to_id":23,"start_date":"2016-10-12","description":"","custom_fields":[{"id":1,"name":"Subdivision","value":"EC"},{"id":4,"name":"Milepost","value":"10.9135"},{"id":17,"name":"Train ID","value":"112-12"},{"id":16,"name":"Locomotive ID","value":"4032"},{"id":130,"name":"Impact","value":""},{"id":150,"name":"Time of Event (Mountain Time)","value":"06:27:01"},{"id":151,"name":"Denver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21"/>
      <c r="AC12" s="155" t="str">
        <f t="shared" si="7"/>
        <v>grep -hSE -A100 "Enforcement Action" "%USERPROFILE%\AppData\Local\Temp\OnboardLogs"\RTDC4032\*4032*201610121* | grep -SE "((Enforcement Ac)|(PRM))" -</v>
      </c>
    </row>
    <row r="13" spans="1:29" s="1" customFormat="1" x14ac:dyDescent="0.25">
      <c r="A13" s="36">
        <v>42655.762604166666</v>
      </c>
      <c r="B13" s="31" t="s">
        <v>201</v>
      </c>
      <c r="C13" s="31" t="s">
        <v>526</v>
      </c>
      <c r="D13" s="31" t="s">
        <v>98</v>
      </c>
      <c r="E13" s="31" t="s">
        <v>746</v>
      </c>
      <c r="F13" s="47">
        <v>400</v>
      </c>
      <c r="G13" s="47">
        <v>457</v>
      </c>
      <c r="H13" s="47">
        <v>7309</v>
      </c>
      <c r="I13" s="47">
        <v>8849</v>
      </c>
      <c r="J13" s="31" t="s">
        <v>747</v>
      </c>
      <c r="K13" s="47">
        <v>5439</v>
      </c>
      <c r="L13" s="174" t="s">
        <v>50</v>
      </c>
      <c r="M13" s="175">
        <f t="shared" si="0"/>
        <v>-1800.48</v>
      </c>
      <c r="N13" s="176" t="str">
        <f>VLOOKUP(C13,'Trips&amp;Operators'!$C$1:$E$99999,3,FALSE)</f>
        <v>BERLING</v>
      </c>
      <c r="O13" s="154" t="s">
        <v>743</v>
      </c>
      <c r="P13" s="177"/>
      <c r="Q13" s="31"/>
      <c r="R13" s="100" t="str">
        <f>VLOOKUP(C13,'Train Runs'!$A$13:$AE$10001,31,0)</f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17:09:10-0600',mode:absolute,to:'2016-10-12 19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3" s="105" t="str">
        <f t="shared" si="1"/>
        <v>"C:\Program Files (x86)\AstroGrep\AstroGrep.exe" /spath="%USERPROFILE%\AppData\Local\Temp\OnboardLogs" /stypes="*4007*201610130*" /stext=" 00:.+((SYSTEM_STATE.+slice.+state.+changed )|(ment ac)|(system.+state.+changed )|(\[timeout)|(PRM\|1\|D)|(kpr)|(kdp)|(\|lc)|(penalty))" /e /r /s</v>
      </c>
      <c r="U13" s="9" t="str">
        <f t="shared" si="2"/>
        <v>4007</v>
      </c>
      <c r="V13" s="36">
        <f t="shared" si="3"/>
        <v>42656.012604166666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{"issue":{"subject":"","project_id":79,"tracker_id":40,"status_id":1,"priority_id":2,"assigned_to_id":23,"start_date":"2016-10-12","description":"","custom_fields":[{"id":1,"name":"Subdivision","value":"EC"},{"id":4,"name":"Milepost","value":"0.5439"},{"id":17,"name":"Train ID","value":"217-12"},{"id":16,"name":"Locomotive ID","value":"4007"},{"id":130,"name":"Impact","value":""},{"id":150,"name":"Time of Event (Mountain Time)","value":"18:18:09"},{"id":151,"name":"Denver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21"/>
      <c r="AC13" s="155" t="str">
        <f t="shared" si="7"/>
        <v>grep -hSE -A100 "Enforcement Action" "%USERPROFILE%\AppData\Local\Temp\OnboardLogs"\RTDC4007\*4007*201610130* | grep -SE "((Enforcement Ac)|(PRM))" -</v>
      </c>
    </row>
    <row r="14" spans="1:29" s="1" customFormat="1" x14ac:dyDescent="0.25">
      <c r="A14" s="36">
        <v>42655.472754629627</v>
      </c>
      <c r="B14" s="31" t="s">
        <v>264</v>
      </c>
      <c r="C14" s="31" t="s">
        <v>358</v>
      </c>
      <c r="D14" s="31" t="s">
        <v>49</v>
      </c>
      <c r="E14" s="31" t="s">
        <v>746</v>
      </c>
      <c r="F14" s="47">
        <v>300</v>
      </c>
      <c r="G14" s="47">
        <v>359</v>
      </c>
      <c r="H14" s="47">
        <v>22970</v>
      </c>
      <c r="I14" s="47">
        <v>22105</v>
      </c>
      <c r="J14" s="31" t="s">
        <v>747</v>
      </c>
      <c r="K14" s="47">
        <v>21848</v>
      </c>
      <c r="L14" s="174" t="s">
        <v>51</v>
      </c>
      <c r="M14" s="175">
        <f t="shared" si="0"/>
        <v>135.696</v>
      </c>
      <c r="N14" s="176" t="str">
        <f>VLOOKUP(C14,'Trips&amp;Operators'!$C$1:$E$99999,3,FALSE)</f>
        <v>STRICKLAND</v>
      </c>
      <c r="O14" s="154" t="s">
        <v>743</v>
      </c>
      <c r="P14" s="177"/>
      <c r="Q14" s="31"/>
      <c r="R14" s="100" t="str">
        <f>VLOOKUP(C14,'Train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42655.722754629627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{"issue":{"subject":"","project_id":79,"tracker_id":40,"status_id":1,"priority_id":2,"assigned_to_id":23,"start_date":"2016-10-12","description":"","custom_fields":[{"id":1,"name":"Subdivision","value":"EC"},{"id":4,"name":"Milepost","value":"2.1848"},{"id":17,"name":"Train ID","value":"150-12"},{"id":16,"name":"Locomotive ID","value":"4026"},{"id":130,"name":"Impact","value":""},{"id":150,"name":"Time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21"/>
      <c r="AC14" s="155" t="str">
        <f t="shared" si="7"/>
        <v>grep -hSE -A100 "Enforcement Action" "%USERPROFILE%\AppData\Local\Temp\OnboardLogs"\RTDC4026\*4026*201610121* | grep -SE "((Enforcement Ac)|(PRM))" -</v>
      </c>
    </row>
    <row r="15" spans="1:29" s="1" customFormat="1" x14ac:dyDescent="0.25">
      <c r="A15" s="36">
        <v>42655.228518518517</v>
      </c>
      <c r="B15" s="31" t="s">
        <v>244</v>
      </c>
      <c r="C15" s="31" t="s">
        <v>266</v>
      </c>
      <c r="D15" s="31" t="s">
        <v>49</v>
      </c>
      <c r="E15" s="31" t="s">
        <v>746</v>
      </c>
      <c r="F15" s="47">
        <v>450</v>
      </c>
      <c r="G15" s="47">
        <v>503</v>
      </c>
      <c r="H15" s="47">
        <v>67350</v>
      </c>
      <c r="I15" s="47">
        <v>69161</v>
      </c>
      <c r="J15" s="31" t="s">
        <v>747</v>
      </c>
      <c r="K15" s="47">
        <v>68497</v>
      </c>
      <c r="L15" s="174" t="s">
        <v>50</v>
      </c>
      <c r="M15" s="175">
        <f t="shared" si="0"/>
        <v>-350.59199999999998</v>
      </c>
      <c r="N15" s="176" t="str">
        <f>VLOOKUP(C15,'Trips&amp;Operators'!$C$1:$E$99999,3,FALSE)</f>
        <v>KILLION</v>
      </c>
      <c r="O15" s="154" t="s">
        <v>743</v>
      </c>
      <c r="P15" s="177"/>
      <c r="Q15" s="31"/>
      <c r="R15" s="100" t="str">
        <f>VLOOKUP(C15,'Train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03:38:16-0600',mode:absolute,to:'2016-10-12 06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 t="shared" si="1"/>
        <v>"C:\Program Files (x86)\AstroGrep\AstroGrep.exe" /spath="%USERPROFILE%\AppData\Local\Temp\OnboardLogs" /stypes="*4031*201610121*" /stext=" 11:.+((SYSTEM_STATE.+slice.+state.+changed )|(ment ac)|(system.+state.+changed )|(\[timeout)|(PRM\|1\|D)|(kpr)|(kdp)|(\|lc)|(penalty))" /e /r /s</v>
      </c>
      <c r="U15" s="9" t="str">
        <f t="shared" si="2"/>
        <v>4031</v>
      </c>
      <c r="V15" s="36">
        <f t="shared" si="3"/>
        <v>42655.478518518517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{"issue":{"subject":"","project_id":79,"tracker_id":40,"status_id":1,"priority_id":2,"assigned_to_id":23,"start_date":"2016-10-12","description":"","custom_fields":[{"id":1,"name":"Subdivision","value":"EC"},{"id":4,"name":"Milepost","value":"6.8497"},{"id":17,"name":"Train ID","value":"109-12"},{"id":16,"name":"Locomotive ID","value":"4031"},{"id":130,"name":"Impact","value":""},{"id":150,"name":"Time of Event (Mountain Time)","value":"05:29:04"},{"id":151,"name":"Denver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21"/>
      <c r="AC15" s="155" t="str">
        <f t="shared" si="7"/>
        <v>grep -hSE -A100 "Enforcement Action" "%USERPROFILE%\AppData\Local\Temp\OnboardLogs"\RTDC4031\*4031*201610121* | grep -SE "((Enforcement Ac)|(PRM))" -</v>
      </c>
    </row>
    <row r="16" spans="1:29" s="1" customFormat="1" x14ac:dyDescent="0.25">
      <c r="A16" s="36">
        <v>42655.683657407404</v>
      </c>
      <c r="B16" s="31" t="s">
        <v>748</v>
      </c>
      <c r="C16" s="31" t="s">
        <v>485</v>
      </c>
      <c r="D16" s="31" t="s">
        <v>49</v>
      </c>
      <c r="E16" s="31" t="s">
        <v>746</v>
      </c>
      <c r="F16" s="47">
        <v>400</v>
      </c>
      <c r="G16" s="47">
        <v>577</v>
      </c>
      <c r="H16" s="47">
        <v>115584</v>
      </c>
      <c r="I16" s="47">
        <v>117345</v>
      </c>
      <c r="J16" s="31" t="s">
        <v>747</v>
      </c>
      <c r="K16" s="47">
        <v>116838</v>
      </c>
      <c r="L16" s="174" t="s">
        <v>50</v>
      </c>
      <c r="M16" s="175">
        <f t="shared" si="0"/>
        <v>-267.69600000000003</v>
      </c>
      <c r="N16" s="176" t="str">
        <f>VLOOKUP(C16,'Trips&amp;Operators'!$C$1:$E$99999,3,FALSE)</f>
        <v>STORY</v>
      </c>
      <c r="O16" s="154" t="s">
        <v>743</v>
      </c>
      <c r="P16" s="177"/>
      <c r="Q16" s="31"/>
      <c r="R16" s="100" t="str">
        <f>VLOOKUP(C16,'Train Runs'!$A$13:$AE$10001,31,0)</f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5" t="str">
        <f t="shared" si="1"/>
        <v>"C:\Program Files (x86)\AstroGrep\AstroGrep.exe" /spath="%USERPROFILE%\AppData\Local\Temp\OnboardLogs" /stypes="*4016*201610122*" /stext=" 22:.+((SYSTEM_STATE.+slice.+state.+changed )|(ment ac)|(system.+state.+changed )|(\[timeout)|(PRM\|1\|D)|(kpr)|(kdp)|(\|lc)|(penalty))" /e /r /s</v>
      </c>
      <c r="U16" s="9" t="str">
        <f t="shared" si="2"/>
        <v>4016</v>
      </c>
      <c r="V16" s="36">
        <f t="shared" si="3"/>
        <v>42655.933657407404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{"issue":{"subject":"","project_id":79,"tracker_id":40,"status_id":1,"priority_id":2,"assigned_to_id":23,"start_date":"2016-10-12","description":"","custom_fields":[{"id":1,"name":"Subdivision","value":"EC"},{"id":4,"name":"Milepost","value":"11.6838"},{"id":17,"name":"Train ID","value":"199-12"},{"id":16,"name":"Locomotive ID","value":"4016"},{"id":130,"name":"Impact","value":""},{"id":150,"name":"Time of Event (Mountain Time)","value":"16:24:28"},{"id":151,"name":"Denver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21"/>
      <c r="AC16" s="155" t="str">
        <f t="shared" si="7"/>
        <v>grep -hSE -A100 "Enforcement Action" "%USERPROFILE%\AppData\Local\Temp\OnboardLogs"\RTDC4016\*4016*201610122* | grep -SE "((Enforcement Ac)|(PRM))" -</v>
      </c>
    </row>
    <row r="17" spans="1:30" s="1" customFormat="1" x14ac:dyDescent="0.25">
      <c r="A17" s="36">
        <v>42655.218402777777</v>
      </c>
      <c r="B17" s="31" t="s">
        <v>264</v>
      </c>
      <c r="C17" s="31" t="s">
        <v>265</v>
      </c>
      <c r="D17" s="31" t="s">
        <v>98</v>
      </c>
      <c r="E17" s="31" t="s">
        <v>746</v>
      </c>
      <c r="F17" s="47">
        <v>350</v>
      </c>
      <c r="G17" s="47">
        <v>402</v>
      </c>
      <c r="H17" s="47">
        <v>225094</v>
      </c>
      <c r="I17" s="47">
        <v>223225</v>
      </c>
      <c r="J17" s="31" t="s">
        <v>747</v>
      </c>
      <c r="K17" s="47">
        <v>228668</v>
      </c>
      <c r="L17" s="174" t="s">
        <v>51</v>
      </c>
      <c r="M17" s="175">
        <f t="shared" si="0"/>
        <v>-2873.904</v>
      </c>
      <c r="N17" s="176" t="str">
        <f>VLOOKUP(C17,'Trips&amp;Operators'!$C$1:$E$99999,3,FALSE)</f>
        <v>STRICKLAND</v>
      </c>
      <c r="O17" s="154" t="s">
        <v>743</v>
      </c>
      <c r="P17" s="177"/>
      <c r="Q17" s="31"/>
      <c r="R17" s="100" t="str">
        <f>VLOOKUP(C17,'Train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7" s="105" t="str">
        <f t="shared" si="1"/>
        <v>"C:\Program Files (x86)\AstroGrep\AstroGrep.exe" /spath="%USERPROFILE%\AppData\Local\Temp\OnboardLogs" /stypes="*4026*201610121*" /stext=" 11:.+((SYSTEM_STATE.+slice.+state.+changed )|(ment ac)|(system.+state.+changed )|(\[timeout)|(PRM\|1\|D)|(kpr)|(kdp)|(\|lc)|(penalty))" /e /r /s</v>
      </c>
      <c r="U17" s="9" t="str">
        <f t="shared" si="2"/>
        <v>4026</v>
      </c>
      <c r="V17" s="36">
        <f t="shared" si="3"/>
        <v>42655.468402777777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ID","value":"106-12"},{"id":16,"name":"Locomotive ID","value":"4026"},{"id":130,"name":"Impact","value":""},{"id":150,"name":"Time of Event (Mountain Time)","value":"05:14:30"},{"id":151,"name":"Denver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21"/>
      <c r="AC17" s="155" t="str">
        <f t="shared" si="7"/>
        <v>grep -hSE -A100 "Enforcement Action" "%USERPROFILE%\AppData\Local\Temp\OnboardLogs"\RTDC4026\*4026*201610121* | grep -SE "((Enforcement Ac)|(PRM))" -</v>
      </c>
    </row>
    <row r="18" spans="1:30" s="1" customFormat="1" x14ac:dyDescent="0.25">
      <c r="A18" s="36">
        <v>42655.447430555556</v>
      </c>
      <c r="B18" s="31" t="s">
        <v>264</v>
      </c>
      <c r="C18" s="31" t="s">
        <v>358</v>
      </c>
      <c r="D18" s="31" t="s">
        <v>98</v>
      </c>
      <c r="E18" s="31" t="s">
        <v>746</v>
      </c>
      <c r="F18" s="47">
        <v>350</v>
      </c>
      <c r="G18" s="47">
        <v>409</v>
      </c>
      <c r="H18" s="47">
        <v>224812</v>
      </c>
      <c r="I18" s="47">
        <v>223249</v>
      </c>
      <c r="J18" s="31" t="s">
        <v>747</v>
      </c>
      <c r="K18" s="47">
        <v>228668</v>
      </c>
      <c r="L18" s="174" t="s">
        <v>51</v>
      </c>
      <c r="M18" s="175">
        <f t="shared" si="0"/>
        <v>-2861.2320000000004</v>
      </c>
      <c r="N18" s="176" t="str">
        <f>VLOOKUP(C18,'Trips&amp;Operators'!$C$1:$E$99999,3,FALSE)</f>
        <v>STRICKLAND</v>
      </c>
      <c r="O18" s="154" t="s">
        <v>743</v>
      </c>
      <c r="P18" s="177"/>
      <c r="Q18" s="31"/>
      <c r="R18" s="100" t="str">
        <f>VLOOKUP(C18,'Train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8" s="105" t="str">
        <f t="shared" si="1"/>
        <v>"C:\Program Files (x86)\AstroGrep\AstroGrep.exe" /spath="%USERPROFILE%\AppData\Local\Temp\OnboardLogs" /stypes="*4026*201610121*" /stext=" 16:.+((SYSTEM_STATE.+slice.+state.+changed )|(ment ac)|(system.+state.+changed )|(\[timeout)|(PRM\|1\|D)|(kpr)|(kdp)|(\|lc)|(penalty))" /e /r /s</v>
      </c>
      <c r="U18" s="9" t="str">
        <f t="shared" si="2"/>
        <v>4026</v>
      </c>
      <c r="V18" s="36">
        <f t="shared" si="3"/>
        <v>42655.697430555556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ID","value":"150-12"},{"id":16,"name":"Locomotive ID","value":"4026"},{"id":130,"name":"Impact","value":""},{"id":150,"name":"Time of Event (Mountain Time)","value":"10:44:18"},{"id":151,"name":"Denver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21"/>
      <c r="AC18" s="155" t="str">
        <f t="shared" si="7"/>
        <v>grep -hSE -A100 "Enforcement Action" "%USERPROFILE%\AppData\Local\Temp\OnboardLogs"\RTDC4026\*4026*201610121* | grep -SE "((Enforcement Ac)|(PRM))" -</v>
      </c>
    </row>
    <row r="19" spans="1:30" s="1" customFormat="1" x14ac:dyDescent="0.25">
      <c r="A19" s="36">
        <v>42655.479756944442</v>
      </c>
      <c r="B19" s="31" t="s">
        <v>749</v>
      </c>
      <c r="C19" s="31" t="s">
        <v>381</v>
      </c>
      <c r="D19" s="31" t="s">
        <v>98</v>
      </c>
      <c r="E19" s="31" t="s">
        <v>746</v>
      </c>
      <c r="F19" s="47">
        <v>350</v>
      </c>
      <c r="G19" s="47">
        <v>400</v>
      </c>
      <c r="H19" s="47">
        <v>226086</v>
      </c>
      <c r="I19" s="47">
        <v>224973</v>
      </c>
      <c r="J19" s="31" t="s">
        <v>747</v>
      </c>
      <c r="K19" s="47">
        <v>228668</v>
      </c>
      <c r="L19" s="174" t="s">
        <v>51</v>
      </c>
      <c r="M19" s="175">
        <f t="shared" si="0"/>
        <v>-1950.96</v>
      </c>
      <c r="N19" s="176" t="str">
        <f>VLOOKUP(C19,'Trips&amp;Operators'!$C$1:$E$99999,3,FALSE)</f>
        <v>STARKS</v>
      </c>
      <c r="O19" s="154" t="s">
        <v>743</v>
      </c>
      <c r="P19" s="177"/>
      <c r="Q19" s="31"/>
      <c r="R19" s="100" t="str">
        <f>VLOOKUP(C19,'Train Runs'!$A$13:$AE$10001,31,0)</f>
        <v>aws s3 cp s3://rtdc.mdm.uploadarchive.raw/RTDC4017/ "%USERPROFILE%\AppData\Local\Temp\OnboardLogs"\RTDC4017\2016-10-12 --exclude "*" --recursive --include "*20161012*" &amp; "%USERPROFILE%\Documents\GitHub\mrs-test-scripts\Headless Mode &amp; Sideloading\WalkAndUnGZ.bat" "%USERPROFILE%\AppData\Local\Temp\OnboardLogs"\RTDC4017\2016-10-12 &amp; aws s3 cp s3://rtdc.mdm.uploadarchive.raw/RTDC4017/ "%USERPROFILE%\AppData\Local\Temp\OnboardLogs"\RTDC4017\2016-10-13 --exclude "*" --recursive --include "*20161013*" &amp; "%USERPROFILE%\Documents\GitHub\mrs-test-scripts\Headless Mode &amp; Sideloading\WalkAndUnGZ.bat" "%USERPROFILE%\AppData\Local\Temp\OnboardLogs"\RTDC4017\2016-10-13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10:25:44-0600',mode:absolute,to:'2016-10-12 13:15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9" s="105" t="str">
        <f t="shared" si="1"/>
        <v>"C:\Program Files (x86)\AstroGrep\AstroGrep.exe" /spath="%USERPROFILE%\AppData\Local\Temp\OnboardLogs" /stypes="*4017*201610121*" /stext=" 17:.+((SYSTEM_STATE.+slice.+state.+changed )|(ment ac)|(system.+state.+changed )|(\[timeout)|(PRM\|1\|D)|(kpr)|(kdp)|(\|lc)|(penalty))" /e /r /s</v>
      </c>
      <c r="U19" s="9" t="str">
        <f t="shared" si="2"/>
        <v>4017</v>
      </c>
      <c r="V19" s="36">
        <f t="shared" si="3"/>
        <v>42655.729756944442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{"issue":{"subject":"","project_id":79,"tracker_id":40,"status_id":1,"priority_id":2,"assigned_to_id":23,"start_date":"2016-10-12","description":"","custom_fields":[{"id":1,"name":"Subdivision","value":"EC"},{"id":4,"name":"Milepost","value":"22.8668"},{"id":17,"name":"Train ID","value":"156-12"},{"id":16,"name":"Locomotive ID","value":"4017"},{"id":130,"name":"Impact","value":""},{"id":150,"name":"Time of Event (Mountain Time)","value":"11:30:51"},{"id":151,"name":"Denver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21"/>
      <c r="AC19" s="155" t="str">
        <f t="shared" si="7"/>
        <v>grep -hSE -A100 "Enforcement Action" "%USERPROFILE%\AppData\Local\Temp\OnboardLogs"\RTDC4017\*4017*201610121* | grep -SE "((Enforcement Ac)|(PRM))" -</v>
      </c>
    </row>
    <row r="20" spans="1:30" x14ac:dyDescent="0.25">
      <c r="A20" s="36">
        <v>42655.675219907411</v>
      </c>
      <c r="B20" s="31" t="s">
        <v>230</v>
      </c>
      <c r="C20" s="31" t="s">
        <v>470</v>
      </c>
      <c r="D20" s="31" t="s">
        <v>98</v>
      </c>
      <c r="E20" s="31" t="s">
        <v>746</v>
      </c>
      <c r="F20" s="47">
        <v>150</v>
      </c>
      <c r="G20" s="47">
        <v>200</v>
      </c>
      <c r="H20" s="47">
        <v>232020</v>
      </c>
      <c r="I20" s="47">
        <v>231731</v>
      </c>
      <c r="J20" s="31" t="s">
        <v>747</v>
      </c>
      <c r="K20" s="47">
        <v>233492</v>
      </c>
      <c r="L20" s="174" t="s">
        <v>51</v>
      </c>
      <c r="M20" s="175">
        <f t="shared" si="0"/>
        <v>-929.80799999999999</v>
      </c>
      <c r="N20" s="176" t="str">
        <f>VLOOKUP(C20,'Trips&amp;Operators'!$C$1:$E$99999,3,FALSE)</f>
        <v>HELVIE</v>
      </c>
      <c r="O20" s="154" t="s">
        <v>743</v>
      </c>
      <c r="P20" s="177"/>
      <c r="Q20" s="31"/>
      <c r="R20" s="100" t="str">
        <f>VLOOKUP(C20,'Train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0" s="105" t="str">
        <f t="shared" si="1"/>
        <v>"C:\Program Files (x86)\AstroGrep\AstroGrep.exe" /spath="%USERPROFILE%\AppData\Local\Temp\OnboardLogs" /stypes="*4039*201610122*" /stext=" 22:.+((SYSTEM_STATE.+slice.+state.+changed )|(ment ac)|(system.+state.+changed )|(\[timeout)|(PRM\|1\|D)|(kpr)|(kdp)|(\|lc)|(penalty))" /e /r /s</v>
      </c>
      <c r="U20" s="9" t="str">
        <f t="shared" si="2"/>
        <v>4039</v>
      </c>
      <c r="V20" s="36">
        <f t="shared" si="3"/>
        <v>42655.925219907411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{"issue":{"subject":"","project_id":79,"tracker_id":40,"status_id":1,"priority_id":2,"assigned_to_id":23,"start_date":"2016-10-12","description":"","custom_fields":[{"id":1,"name":"Subdivision","value":"EC"},{"id":4,"name":"Milepost","value":"23.3492"},{"id":17,"name":"Train ID","value":"194-12"},{"id":16,"name":"Locomotive ID","value":"4039"},{"id":130,"name":"Impact","value":""},{"id":150,"name":"Time of Event (Mountain Time)","value":"16:12:19"},{"id":151,"name":"Denver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21"/>
      <c r="AC20" s="155" t="str">
        <f t="shared" si="7"/>
        <v>grep -hSE -A100 "Enforcement Action" "%USERPROFILE%\AppData\Local\Temp\OnboardLogs"\RTDC4039\*4039*201610122* | grep -SE "((Enforcement Ac)|(PRM))" -</v>
      </c>
      <c r="AD20" s="1"/>
    </row>
    <row r="21" spans="1:30" s="1" customFormat="1" x14ac:dyDescent="0.25">
      <c r="A21" s="36">
        <v>42655.667939814812</v>
      </c>
      <c r="B21" s="31" t="s">
        <v>748</v>
      </c>
      <c r="C21" s="31" t="s">
        <v>485</v>
      </c>
      <c r="D21" s="31" t="s">
        <v>98</v>
      </c>
      <c r="E21" s="31" t="s">
        <v>750</v>
      </c>
      <c r="F21" s="47">
        <v>0</v>
      </c>
      <c r="G21" s="47">
        <v>135</v>
      </c>
      <c r="H21" s="47">
        <v>2778</v>
      </c>
      <c r="I21" s="47">
        <v>2973</v>
      </c>
      <c r="J21" s="31" t="s">
        <v>751</v>
      </c>
      <c r="K21" s="47">
        <v>1692</v>
      </c>
      <c r="L21" s="174" t="s">
        <v>50</v>
      </c>
      <c r="M21" s="175">
        <f t="shared" si="0"/>
        <v>-676.36799999999994</v>
      </c>
      <c r="N21" s="176" t="str">
        <f>VLOOKUP(C21,'Trips&amp;Operators'!$C$1:$E$99999,3,FALSE)</f>
        <v>STORY</v>
      </c>
      <c r="O21" s="154" t="s">
        <v>210</v>
      </c>
      <c r="P21" s="177" t="s">
        <v>488</v>
      </c>
      <c r="Q21" s="31"/>
      <c r="R21" s="100" t="str">
        <f>VLOOKUP(C21,'Train Runs'!$A$13:$AE$10001,31,0)</f>
        <v>aws s3 cp s3://rtdc.mdm.uploadarchive.raw/RTDC4016/ "%USERPROFILE%\AppData\Local\Temp\OnboardLogs"\RTDC4016\2016-10-12 --exclude "*" --recursive --include "*20161012*" &amp; "%USERPROFILE%\Documents\GitHub\mrs-test-scripts\Headless Mode &amp; Sideloading\WalkAndUnGZ.bat" "%USERPROFILE%\AppData\Local\Temp\OnboardLogs"\RTDC4016\2016-10-12 &amp; aws s3 cp s3://rtdc.mdm.uploadarchive.raw/RTDC4016/ "%USERPROFILE%\AppData\Local\Temp\OnboardLogs"\RTDC4016\2016-10-13 --exclude "*" --recursive --include "*20161013*" &amp; "%USERPROFILE%\Documents\GitHub\mrs-test-scripts\Headless Mode &amp; Sideloading\WalkAndUnGZ.bat" "%USERPROFILE%\AppData\Local\Temp\OnboardLogs"\RTDC4016\2016-10-13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15:06:11-0600',mode:absolute,to:'2016-10-12 17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1" s="105" t="str">
        <f t="shared" si="1"/>
        <v>"C:\Program Files (x86)\AstroGrep\AstroGrep.exe" /spath="%USERPROFILE%\AppData\Local\Temp\OnboardLogs" /stypes="*4016*201610122*" /stext=" 22:.+((SYSTEM_STATE.+slice.+state.+changed )|(ment ac)|(system.+state.+changed )|(\[timeout)|(PRM\|1\|D)|(kpr)|(kdp)|(\|lc)|(penalty))" /e /r /s</v>
      </c>
      <c r="U21" s="9" t="str">
        <f t="shared" si="2"/>
        <v>4016</v>
      </c>
      <c r="V21" s="36">
        <f t="shared" si="3"/>
        <v>42655.917939814812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{"issue":{"subject":"Wi-MAX outage","project_id":79,"tracker_id":40,"status_id":1,"priority_id":2,"assigned_to_id":23,"start_date":"2016-10-12","description":"http://stevetu21.github.io/eaglep3/load_kml.html?kml=http://rtdc.gmaps-snips.s3.amazonaws.com/ad151d94-180f-4672-bd1b-8a4f2fc5e1f8.kml","custom_fields":[{"id":1,"name":"Subdivision","value":"EC"},{"id":4,"name":"Milepost","value":"0.1692"},{"id":17,"name":"Train ID","value":"199-12"},{"id":16,"name":"Locomotive ID","value":"4016"},{"id":130,"name":"Impact","value":"Enforcement"},{"id":150,"name":"Time of Event (Mountain Time)","value":"16:01:50"},{"id":151,"name":"Denver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1" s="178" t="s">
        <v>752</v>
      </c>
      <c r="AA21" s="53" t="s">
        <v>126</v>
      </c>
      <c r="AB21" s="21" t="s">
        <v>139</v>
      </c>
      <c r="AC21" s="155" t="str">
        <f t="shared" si="7"/>
        <v>grep -hSE -A100 "Enforcement Action" "%USERPROFILE%\AppData\Local\Temp\OnboardLogs"\RTDC4016\*4016*201610122* | grep -SE "((Enforcement Ac)|(PRM))" -</v>
      </c>
    </row>
    <row r="22" spans="1:30" x14ac:dyDescent="0.25">
      <c r="A22" s="36">
        <v>42655.425613425927</v>
      </c>
      <c r="B22" s="31" t="s">
        <v>200</v>
      </c>
      <c r="C22" s="31" t="s">
        <v>361</v>
      </c>
      <c r="D22" s="31" t="s">
        <v>98</v>
      </c>
      <c r="E22" s="31" t="s">
        <v>750</v>
      </c>
      <c r="F22" s="47">
        <v>200</v>
      </c>
      <c r="G22" s="47">
        <v>257</v>
      </c>
      <c r="H22" s="47">
        <v>19824</v>
      </c>
      <c r="I22" s="47">
        <v>20467</v>
      </c>
      <c r="J22" s="31" t="s">
        <v>751</v>
      </c>
      <c r="K22" s="47">
        <v>10800</v>
      </c>
      <c r="L22" s="174" t="s">
        <v>50</v>
      </c>
      <c r="M22" s="175">
        <f t="shared" si="0"/>
        <v>-5104.1760000000004</v>
      </c>
      <c r="N22" s="176" t="str">
        <f>VLOOKUP(C22,'Trips&amp;Operators'!$C$1:$E$99999,3,FALSE)</f>
        <v>KILLION</v>
      </c>
      <c r="O22" s="154" t="s">
        <v>743</v>
      </c>
      <c r="P22" s="177" t="s">
        <v>753</v>
      </c>
      <c r="Q22" s="31"/>
      <c r="R22" s="100" t="str">
        <f>VLOOKUP(C22,'Train Runs'!$A$13:$AE$10001,31,0)</f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09:10:13-0600',mode:absolute,to:'2016-10-12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2" s="105" t="str">
        <f t="shared" si="1"/>
        <v>"C:\Program Files (x86)\AstroGrep\AstroGrep.exe" /spath="%USERPROFILE%\AppData\Local\Temp\OnboardLogs" /stypes="*4044*201610121*" /stext=" 16:.+((SYSTEM_STATE.+slice.+state.+changed )|(ment ac)|(system.+state.+changed )|(\[timeout)|(PRM\|1\|D)|(kpr)|(kdp)|(\|lc)|(penalty))" /e /r /s</v>
      </c>
      <c r="U22" s="9" t="str">
        <f t="shared" si="2"/>
        <v>4044</v>
      </c>
      <c r="V22" s="36">
        <f t="shared" si="3"/>
        <v>42655.675613425927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Overspeed","project_id":79,"tracker_id":40,"status_id":1,"priority_id":2,"assigned_to_id":23,"start_date":"2016-10-12","description":"","custom_fields":[{"id":1,"name":"Subdivision","value":"EC"},{"id":4,"name":"Milepost","value":"1.08"},{"id":17,"name":"Train ID","value":"151-12"},{"id":16,"name":"Locomotive ID","value":"4044"},{"id":130,"name":"Impact","value":""},{"id":150,"name":"Time of Event (Mountain Time)","value":"10:12:53"},{"id":151,"name":"Denver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21"/>
      <c r="AC22" s="155" t="str">
        <f t="shared" si="7"/>
        <v>grep -hSE -A100 "Enforcement Action" "%USERPROFILE%\AppData\Local\Temp\OnboardLogs"\RTDC4044\*4044*201610121* | grep -SE "((Enforcement Ac)|(PRM))" -</v>
      </c>
      <c r="AD22" s="1"/>
    </row>
    <row r="23" spans="1:30" x14ac:dyDescent="0.25">
      <c r="A23" s="36">
        <v>42655.357083333336</v>
      </c>
      <c r="B23" s="31" t="s">
        <v>264</v>
      </c>
      <c r="C23" s="31" t="s">
        <v>327</v>
      </c>
      <c r="D23" s="31" t="s">
        <v>49</v>
      </c>
      <c r="E23" s="31" t="s">
        <v>750</v>
      </c>
      <c r="F23" s="47">
        <v>0</v>
      </c>
      <c r="G23" s="47">
        <v>103</v>
      </c>
      <c r="H23" s="47">
        <v>64314</v>
      </c>
      <c r="I23" s="47">
        <v>64172</v>
      </c>
      <c r="J23" s="31" t="s">
        <v>751</v>
      </c>
      <c r="K23" s="47">
        <v>64008</v>
      </c>
      <c r="L23" s="174" t="s">
        <v>51</v>
      </c>
      <c r="M23" s="175">
        <f t="shared" si="0"/>
        <v>86.592000000000013</v>
      </c>
      <c r="N23" s="176" t="str">
        <f>VLOOKUP(C23,'Trips&amp;Operators'!$C$1:$E$99999,3,FALSE)</f>
        <v>STRICKLAND</v>
      </c>
      <c r="O23" s="154" t="s">
        <v>743</v>
      </c>
      <c r="P23" s="177" t="s">
        <v>754</v>
      </c>
      <c r="Q23" s="31"/>
      <c r="R23" s="100" t="str">
        <f>VLOOKUP(C23,'Train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https://search-rtdc-monitor-bjffxe2xuh6vdkpspy63sjmuny.us-east-1.es.amazonaws.com/_plugin/kibana/#/discover/Steve-Slow-Train-Analysis-(2080s-and-2083s)?_g=(refreshInterval:(display:Off,section:0,value:0),time:(from:'2016-10-12 06:46:49-0600',mode:absolute,to:'2016-10-12 10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 t="shared" si="1"/>
        <v>"C:\Program Files (x86)\AstroGrep\AstroGrep.exe" /spath="%USERPROFILE%\AppData\Local\Temp\OnboardLogs" /stypes="*4026*201610121*" /stext=" 14:.+((SYSTEM_STATE.+slice.+state.+changed )|(ment ac)|(system.+state.+changed )|(\[timeout)|(PRM\|1\|D)|(kpr)|(kdp)|(\|lc)|(penalty))" /e /r /s</v>
      </c>
      <c r="U23" s="9" t="str">
        <f t="shared" si="2"/>
        <v>4026</v>
      </c>
      <c r="V23" s="36">
        <f t="shared" si="3"/>
        <v>42655.607083333336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{"issue":{"subject":"Heavy traffic - STOP aspect","project_id":79,"tracker_id":40,"status_id":1,"priority_id":2,"assigned_to_id":23,"start_date":"2016-10-12","description":"","custom_fields":[{"id":1,"name":"Subdivision","value":"EC"},{"id":4,"name":"Milepost","value":"6.4008"},{"id":17,"name":"Train ID","value":"128-12"},{"id":16,"name":"Locomotive ID","value":"4026"},{"id":130,"name":"Impact","value":""},{"id":150,"name":"Time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21"/>
      <c r="AC23" s="155" t="str">
        <f t="shared" si="7"/>
        <v>grep -hSE -A100 "Enforcement Action" "%USERPROFILE%\AppData\Local\Temp\OnboardLogs"\RTDC4026\*4026*201610121* | grep -SE "((Enforcement Ac)|(PRM))" -</v>
      </c>
      <c r="AD23" s="1"/>
    </row>
    <row r="24" spans="1:30" x14ac:dyDescent="0.25">
      <c r="A24" s="36">
        <v>42655.50677083333</v>
      </c>
      <c r="B24" s="31" t="s">
        <v>204</v>
      </c>
      <c r="C24" s="31" t="s">
        <v>271</v>
      </c>
      <c r="D24" s="31" t="s">
        <v>49</v>
      </c>
      <c r="E24" s="31" t="s">
        <v>750</v>
      </c>
      <c r="F24" s="47">
        <v>0</v>
      </c>
      <c r="G24" s="47">
        <v>114</v>
      </c>
      <c r="H24" s="47">
        <v>127964</v>
      </c>
      <c r="I24" s="47">
        <v>127822</v>
      </c>
      <c r="J24" s="31" t="s">
        <v>751</v>
      </c>
      <c r="K24" s="47">
        <v>127587</v>
      </c>
      <c r="L24" s="174" t="s">
        <v>51</v>
      </c>
      <c r="M24" s="175">
        <f t="shared" si="0"/>
        <v>124.08</v>
      </c>
      <c r="N24" s="176" t="str">
        <f>VLOOKUP(C24,'Trips&amp;Operators'!$C$1:$E$99999,3,FALSE)</f>
        <v>BONDS</v>
      </c>
      <c r="O24" s="154" t="s">
        <v>743</v>
      </c>
      <c r="P24" s="177" t="s">
        <v>755</v>
      </c>
      <c r="Q24" s="31"/>
      <c r="R24" s="100" t="str">
        <f>VLOOKUP(C24,'Train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10:47:22-0600',mode:absolute,to:'2016-10-12 13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4" s="105" t="str">
        <f t="shared" si="1"/>
        <v>"C:\Program Files (x86)\AstroGrep\AstroGrep.exe" /spath="%USERPROFILE%\AppData\Local\Temp\OnboardLogs" /stypes="*4045*201610121*" /stext=" 18:.+((SYSTEM_STATE.+slice.+state.+changed )|(ment ac)|(system.+state.+changed )|(\[timeout)|(PRM\|1\|D)|(kpr)|(kdp)|(\|lc)|(penalty))" /e /r /s</v>
      </c>
      <c r="U24" s="9" t="str">
        <f t="shared" si="2"/>
        <v>4045</v>
      </c>
      <c r="V24" s="36">
        <f t="shared" si="3"/>
        <v>42655.75677083333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{"issue":{"subject":"40th 4S STOP","project_id":79,"tracker_id":40,"status_id":1,"priority_id":2,"assigned_to_id":23,"start_date":"2016-10-12","description":"","custom_fields":[{"id":1,"name":"Subdivision","value":"EC"},{"id":4,"name":"Milepost","value":"12.7587"},{"id":17,"name":"Train ID","value":"160-12"},{"id":16,"name":"Locomotive ID","value":"4045"},{"id":130,"name":"Impact","value":""},{"id":150,"name":"Time of Event (Mountain Time)","value":"12:09:45"},{"id":151,"name":"Denver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21"/>
      <c r="AC24" s="155" t="str">
        <f t="shared" si="7"/>
        <v>grep -hSE -A100 "Enforcement Action" "%USERPROFILE%\AppData\Local\Temp\OnboardLogs"\RTDC4045\*4045*201610121* | grep -SE "((Enforcement Ac)|(PRM))" -</v>
      </c>
      <c r="AD24" s="1"/>
    </row>
    <row r="25" spans="1:30" ht="15" customHeight="1" x14ac:dyDescent="0.25">
      <c r="A25" s="36">
        <v>42655.532222222224</v>
      </c>
      <c r="B25" s="31" t="s">
        <v>230</v>
      </c>
      <c r="C25" s="31" t="s">
        <v>399</v>
      </c>
      <c r="D25" s="31" t="s">
        <v>98</v>
      </c>
      <c r="E25" s="31" t="s">
        <v>750</v>
      </c>
      <c r="F25" s="47">
        <v>200</v>
      </c>
      <c r="G25" s="47">
        <v>274</v>
      </c>
      <c r="H25" s="47">
        <v>153351</v>
      </c>
      <c r="I25" s="47">
        <v>152636</v>
      </c>
      <c r="J25" s="31" t="s">
        <v>751</v>
      </c>
      <c r="K25" s="47">
        <v>157300</v>
      </c>
      <c r="L25" s="174" t="s">
        <v>51</v>
      </c>
      <c r="M25" s="175">
        <f t="shared" si="0"/>
        <v>-2462.5920000000001</v>
      </c>
      <c r="N25" s="176" t="str">
        <f>VLOOKUP(C25,'Trips&amp;Operators'!$C$1:$E$99999,3,FALSE)</f>
        <v>HELVIE</v>
      </c>
      <c r="O25" s="154" t="s">
        <v>743</v>
      </c>
      <c r="P25" s="177" t="s">
        <v>753</v>
      </c>
      <c r="Q25" s="31"/>
      <c r="R25" s="100" t="str">
        <f>VLOOKUP(C25,'Train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11:43:32-0600',mode:absolute,to:'2016-10-12 14:18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 t="shared" si="1"/>
        <v>"C:\Program Files (x86)\AstroGrep\AstroGrep.exe" /spath="%USERPROFILE%\AppData\Local\Temp\OnboardLogs" /stypes="*4039*201610121*" /stext=" 18:.+((SYSTEM_STATE.+slice.+state.+changed )|(ment ac)|(system.+state.+changed )|(\[timeout)|(PRM\|1\|D)|(kpr)|(kdp)|(\|lc)|(penalty))" /e /r /s</v>
      </c>
      <c r="U25" s="9" t="str">
        <f t="shared" si="2"/>
        <v>4039</v>
      </c>
      <c r="V25" s="36">
        <f t="shared" si="3"/>
        <v>42655.782222222224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Overspeed","project_id":79,"tracker_id":40,"status_id":1,"priority_id":2,"assigned_to_id":23,"start_date":"2016-10-12","description":"","custom_fields":[{"id":1,"name":"Subdivision","value":"EC"},{"id":4,"name":"Milepost","value":"15.73"},{"id":17,"name":"Train ID","value":"164-12"},{"id":16,"name":"Locomotive ID","value":"4039"},{"id":130,"name":"Impact","value":""},{"id":150,"name":"Time of Event (Mountain Time)","value":"12:46:24"},{"id":151,"name":"Denver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21"/>
      <c r="AC25" s="155" t="str">
        <f t="shared" si="7"/>
        <v>grep -hSE -A100 "Enforcement Action" "%USERPROFILE%\AppData\Local\Temp\OnboardLogs"\RTDC4039\*4039*201610121* | grep -SE "((Enforcement Ac)|(PRM))" -</v>
      </c>
      <c r="AD25" s="1"/>
    </row>
    <row r="26" spans="1:30" x14ac:dyDescent="0.25">
      <c r="A26" s="36">
        <v>42655.693009259259</v>
      </c>
      <c r="B26" s="31" t="s">
        <v>224</v>
      </c>
      <c r="C26" s="31" t="s">
        <v>474</v>
      </c>
      <c r="D26" s="31" t="s">
        <v>49</v>
      </c>
      <c r="E26" s="31" t="s">
        <v>750</v>
      </c>
      <c r="F26" s="47">
        <v>0</v>
      </c>
      <c r="G26" s="47">
        <v>712</v>
      </c>
      <c r="H26" s="47">
        <v>178982</v>
      </c>
      <c r="I26" s="47">
        <v>175581</v>
      </c>
      <c r="J26" s="31" t="s">
        <v>751</v>
      </c>
      <c r="K26" s="47">
        <v>175398</v>
      </c>
      <c r="L26" s="174" t="s">
        <v>51</v>
      </c>
      <c r="M26" s="175">
        <f t="shared" si="0"/>
        <v>96.623999999999995</v>
      </c>
      <c r="N26" s="176" t="str">
        <f>VLOOKUP(C26,'Trips&amp;Operators'!$C$1:$E$99999,3,FALSE)</f>
        <v>CRAYTON</v>
      </c>
      <c r="O26" s="154" t="s">
        <v>210</v>
      </c>
      <c r="P26" s="177" t="s">
        <v>477</v>
      </c>
      <c r="Q26" s="31"/>
      <c r="R26" s="100" t="str">
        <f>VLOOKUP(C26,'Train Runs'!$A$13:$AE$10001,31,0)</f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15:52:52-0600',mode:absolute,to:'2016-10-12 18:23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6" s="105" t="str">
        <f t="shared" si="1"/>
        <v>"C:\Program Files (x86)\AstroGrep\AstroGrep.exe" /spath="%USERPROFILE%\AppData\Local\Temp\OnboardLogs" /stypes="*4043*201610122*" /stext=" 22:.+((SYSTEM_STATE.+slice.+state.+changed )|(ment ac)|(system.+state.+changed )|(\[timeout)|(PRM\|1\|D)|(kpr)|(kdp)|(\|lc)|(penalty))" /e /r /s</v>
      </c>
      <c r="U26" s="9" t="str">
        <f t="shared" si="2"/>
        <v>4043</v>
      </c>
      <c r="V26" s="36">
        <f t="shared" si="3"/>
        <v>42655.943009259259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{"issue":{"subject":"Premature downgrade at EC1752RH 175-1T 1S","project_id":79,"tracker_id":40,"status_id":1,"priority_id":2,"assigned_to_id":23,"start_date":"2016-10-12","description":"","custom_fields":[{"id":1,"name":"Subdivision","value":"EC"},{"id":4,"name":"Milepost","value":"17.5398"},{"id":17,"name":"Train ID","value":"196-12"},{"id":16,"name":"Locomotive ID","value":"4043"},{"id":130,"name":"Impact","value":""},{"id":150,"name":"Time of Event (Mountain Time)","value":"16:37:56"},{"id":151,"name":"Denver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21"/>
      <c r="AC26" s="155" t="str">
        <f t="shared" si="7"/>
        <v>grep -hSE -A100 "Enforcement Action" "%USERPROFILE%\AppData\Local\Temp\OnboardLogs"\RTDC4043\*4043*201610122* | grep -SE "((Enforcement Ac)|(PRM))" -</v>
      </c>
      <c r="AD26" s="1"/>
    </row>
    <row r="27" spans="1:30" x14ac:dyDescent="0.25">
      <c r="A27" s="36">
        <v>42655.245254629626</v>
      </c>
      <c r="B27" s="31" t="s">
        <v>230</v>
      </c>
      <c r="C27" s="31" t="s">
        <v>267</v>
      </c>
      <c r="D27" s="31" t="s">
        <v>49</v>
      </c>
      <c r="E27" s="31" t="s">
        <v>756</v>
      </c>
      <c r="F27" s="47">
        <v>0</v>
      </c>
      <c r="G27" s="47">
        <v>70</v>
      </c>
      <c r="H27" s="47">
        <v>267</v>
      </c>
      <c r="I27" s="47">
        <v>165</v>
      </c>
      <c r="J27" s="31" t="s">
        <v>757</v>
      </c>
      <c r="K27" s="47">
        <v>1</v>
      </c>
      <c r="L27" s="174" t="s">
        <v>51</v>
      </c>
      <c r="M27" s="175">
        <f t="shared" si="0"/>
        <v>86.592000000000013</v>
      </c>
      <c r="N27" s="176" t="str">
        <f>VLOOKUP(C27,'Trips&amp;Operators'!$C$1:$E$99999,3,FALSE)</f>
        <v>ACKERMAN</v>
      </c>
      <c r="O27" s="154" t="s">
        <v>743</v>
      </c>
      <c r="P27" s="177"/>
      <c r="Q27" s="31"/>
      <c r="R27" s="100" t="str">
        <f>VLOOKUP(C27,'Train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7" s="105" t="str">
        <f t="shared" si="1"/>
        <v>"C:\Program Files (x86)\AstroGrep\AstroGrep.exe" /spath="%USERPROFILE%\AppData\Local\Temp\OnboardLogs" /stypes="*4039*201610121*" /stext=" 11:.+((SYSTEM_STATE.+slice.+state.+changed )|(ment ac)|(system.+state.+changed )|(\[timeout)|(PRM\|1\|D)|(kpr)|(kdp)|(\|lc)|(penalty))" /e /r /s</v>
      </c>
      <c r="U27" s="9" t="str">
        <f t="shared" si="2"/>
        <v>4039</v>
      </c>
      <c r="V27" s="36">
        <f t="shared" si="3"/>
        <v>42655.495254629626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ID","value":"104-12"},{"id":16,"name":"Locomotive ID","value":"4039"},{"id":130,"name":"Impact","value":""},{"id":150,"name":"Time of Event (Mountain Time)","value":"05:53:10"},{"id":151,"name":"Denver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21"/>
      <c r="AC27" s="155" t="str">
        <f t="shared" si="7"/>
        <v>grep -hSE -A100 "Enforcement Action" "%USERPROFILE%\AppData\Local\Temp\OnboardLogs"\RTDC4039\*4039*201610121* | grep -SE "((Enforcement Ac)|(PRM))" -</v>
      </c>
      <c r="AD27" s="1"/>
    </row>
    <row r="28" spans="1:30" x14ac:dyDescent="0.25">
      <c r="A28" s="36">
        <v>42655.24560185185</v>
      </c>
      <c r="B28" s="31" t="s">
        <v>230</v>
      </c>
      <c r="C28" s="31" t="s">
        <v>267</v>
      </c>
      <c r="D28" s="31" t="s">
        <v>49</v>
      </c>
      <c r="E28" s="31" t="s">
        <v>756</v>
      </c>
      <c r="F28" s="47">
        <v>0</v>
      </c>
      <c r="G28" s="47">
        <v>35</v>
      </c>
      <c r="H28" s="47">
        <v>134</v>
      </c>
      <c r="I28" s="47">
        <v>121</v>
      </c>
      <c r="J28" s="31" t="s">
        <v>757</v>
      </c>
      <c r="K28" s="47">
        <v>1</v>
      </c>
      <c r="L28" s="174" t="s">
        <v>51</v>
      </c>
      <c r="M28" s="175">
        <f t="shared" si="0"/>
        <v>63.36</v>
      </c>
      <c r="N28" s="176" t="str">
        <f>VLOOKUP(C28,'Trips&amp;Operators'!$C$1:$E$99999,3,FALSE)</f>
        <v>ACKERMAN</v>
      </c>
      <c r="O28" s="154" t="s">
        <v>743</v>
      </c>
      <c r="P28" s="177"/>
      <c r="Q28" s="31"/>
      <c r="R28" s="100" t="str">
        <f>VLOOKUP(C28,'Train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03:33:37-0600',mode:absolute,to:'2016-10-12 06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8" s="105" t="str">
        <f t="shared" si="1"/>
        <v>"C:\Program Files (x86)\AstroGrep\AstroGrep.exe" /spath="%USERPROFILE%\AppData\Local\Temp\OnboardLogs" /stypes="*4039*201610121*" /stext=" 11:.+((SYSTEM_STATE.+slice.+state.+changed )|(ment ac)|(system.+state.+changed )|(\[timeout)|(PRM\|1\|D)|(kpr)|(kdp)|(\|lc)|(penalty))" /e /r /s</v>
      </c>
      <c r="U28" s="9" t="str">
        <f t="shared" si="2"/>
        <v>4039</v>
      </c>
      <c r="V28" s="36">
        <f t="shared" si="3"/>
        <v>42655.49560185185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ID","value":"104-12"},{"id":16,"name":"Locomotive ID","value":"4039"},{"id":130,"name":"Impact","value":""},{"id":150,"name":"Time of Event (Mountain Time)","value":"05:53:40"},{"id":151,"name":"Denver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21"/>
      <c r="AC28" s="155" t="str">
        <f t="shared" si="7"/>
        <v>grep -hSE -A100 "Enforcement Action" "%USERPROFILE%\AppData\Local\Temp\OnboardLogs"\RTDC4039\*4039*201610121* | grep -SE "((Enforcement Ac)|(PRM))" -</v>
      </c>
      <c r="AD28" s="1"/>
    </row>
    <row r="29" spans="1:30" x14ac:dyDescent="0.25">
      <c r="A29" s="36">
        <v>42655.27103009259</v>
      </c>
      <c r="B29" s="31" t="s">
        <v>264</v>
      </c>
      <c r="C29" s="31" t="s">
        <v>265</v>
      </c>
      <c r="D29" s="31" t="s">
        <v>49</v>
      </c>
      <c r="E29" s="31" t="s">
        <v>756</v>
      </c>
      <c r="F29" s="47">
        <v>0</v>
      </c>
      <c r="G29" s="47">
        <v>91</v>
      </c>
      <c r="H29" s="47">
        <v>362</v>
      </c>
      <c r="I29" s="47">
        <v>251</v>
      </c>
      <c r="J29" s="31" t="s">
        <v>757</v>
      </c>
      <c r="K29" s="47">
        <v>1</v>
      </c>
      <c r="L29" s="174" t="s">
        <v>51</v>
      </c>
      <c r="M29" s="175">
        <f t="shared" si="0"/>
        <v>132</v>
      </c>
      <c r="N29" s="176" t="str">
        <f>VLOOKUP(C29,'Trips&amp;Operators'!$C$1:$E$99999,3,FALSE)</f>
        <v>STRICKLAND</v>
      </c>
      <c r="O29" s="154" t="s">
        <v>743</v>
      </c>
      <c r="P29" s="177"/>
      <c r="Q29" s="31"/>
      <c r="R29" s="100" t="str">
        <f>VLOOKUP(C29,'Train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9" s="105" t="str">
        <f t="shared" si="1"/>
        <v>"C:\Program Files (x86)\AstroGrep\AstroGrep.exe" /spath="%USERPROFILE%\AppData\Local\Temp\OnboardLogs" /stypes="*4026*201610121*" /stext=" 12:.+((SYSTEM_STATE.+slice.+state.+changed )|(ment ac)|(system.+state.+changed )|(\[timeout)|(PRM\|1\|D)|(kpr)|(kdp)|(\|lc)|(penalty))" /e /r /s</v>
      </c>
      <c r="U29" s="9" t="str">
        <f t="shared" si="2"/>
        <v>4026</v>
      </c>
      <c r="V29" s="36">
        <f t="shared" si="3"/>
        <v>42655.52103009259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ID","value":"106-12"},{"id":16,"name":"Locomotive ID","value":"4026"},{"id":130,"name":"Impact","value":""},{"id":150,"name":"Time of Event (Mountain Time)","value":"06:30:17"},{"id":151,"name":"Denver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21"/>
      <c r="AC29" s="155" t="str">
        <f t="shared" si="7"/>
        <v>grep -hSE -A100 "Enforcement Action" "%USERPROFILE%\AppData\Local\Temp\OnboardLogs"\RTDC4026\*4026*201610121* | grep -SE "((Enforcement Ac)|(PRM))" -</v>
      </c>
      <c r="AD29" s="1"/>
    </row>
    <row r="30" spans="1:30" x14ac:dyDescent="0.25">
      <c r="A30" s="36">
        <v>42655.271481481483</v>
      </c>
      <c r="B30" s="31" t="s">
        <v>264</v>
      </c>
      <c r="C30" s="31" t="s">
        <v>265</v>
      </c>
      <c r="D30" s="31" t="s">
        <v>49</v>
      </c>
      <c r="E30" s="31" t="s">
        <v>756</v>
      </c>
      <c r="F30" s="47">
        <v>0</v>
      </c>
      <c r="G30" s="47">
        <v>40</v>
      </c>
      <c r="H30" s="47">
        <v>125</v>
      </c>
      <c r="I30" s="47">
        <v>110</v>
      </c>
      <c r="J30" s="31" t="s">
        <v>757</v>
      </c>
      <c r="K30" s="47">
        <v>1</v>
      </c>
      <c r="L30" s="174" t="s">
        <v>51</v>
      </c>
      <c r="M30" s="175">
        <f t="shared" si="0"/>
        <v>57.552</v>
      </c>
      <c r="N30" s="176" t="str">
        <f>VLOOKUP(C30,'Trips&amp;Operators'!$C$1:$E$99999,3,FALSE)</f>
        <v>STRICKLAND</v>
      </c>
      <c r="O30" s="154" t="s">
        <v>743</v>
      </c>
      <c r="P30" s="177"/>
      <c r="Q30" s="31"/>
      <c r="R30" s="100" t="str">
        <f>VLOOKUP(C30,'Train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04:06:39-0600',mode:absolute,to:'2016-10-12 07:30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0" s="105" t="str">
        <f t="shared" si="1"/>
        <v>"C:\Program Files (x86)\AstroGrep\AstroGrep.exe" /spath="%USERPROFILE%\AppData\Local\Temp\OnboardLogs" /stypes="*4026*201610121*" /stext=" 12:.+((SYSTEM_STATE.+slice.+state.+changed )|(ment ac)|(system.+state.+changed )|(\[timeout)|(PRM\|1\|D)|(kpr)|(kdp)|(\|lc)|(penalty))" /e /r /s</v>
      </c>
      <c r="U30" s="9" t="str">
        <f t="shared" si="2"/>
        <v>4026</v>
      </c>
      <c r="V30" s="36">
        <f t="shared" si="3"/>
        <v>42655.521481481483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ID","value":"106-12"},{"id":16,"name":"Locomotive ID","value":"4026"},{"id":130,"name":"Impact","value":""},{"id":150,"name":"Time of Event (Mountain Time)","value":"06:30:56"},{"id":151,"name":"Denver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21"/>
      <c r="AC30" s="155" t="str">
        <f t="shared" si="7"/>
        <v>grep -hSE -A100 "Enforcement Action" "%USERPROFILE%\AppData\Local\Temp\OnboardLogs"\RTDC4026\*4026*201610121* | grep -SE "((Enforcement Ac)|(PRM))" -</v>
      </c>
      <c r="AD30" s="1"/>
    </row>
    <row r="31" spans="1:30" ht="15" customHeight="1" x14ac:dyDescent="0.25">
      <c r="A31" s="36">
        <v>42655.40965277778</v>
      </c>
      <c r="B31" s="31" t="s">
        <v>241</v>
      </c>
      <c r="C31" s="31" t="s">
        <v>333</v>
      </c>
      <c r="D31" s="31" t="s">
        <v>49</v>
      </c>
      <c r="E31" s="31" t="s">
        <v>756</v>
      </c>
      <c r="F31" s="47">
        <v>0</v>
      </c>
      <c r="G31" s="47">
        <v>39</v>
      </c>
      <c r="H31" s="47">
        <v>141</v>
      </c>
      <c r="I31" s="47">
        <v>114</v>
      </c>
      <c r="J31" s="31" t="s">
        <v>757</v>
      </c>
      <c r="K31" s="47">
        <v>1</v>
      </c>
      <c r="L31" s="174" t="s">
        <v>51</v>
      </c>
      <c r="M31" s="175">
        <f t="shared" si="0"/>
        <v>59.664000000000001</v>
      </c>
      <c r="N31" s="176" t="str">
        <f>VLOOKUP(C31,'Trips&amp;Operators'!$C$1:$E$99999,3,FALSE)</f>
        <v>SPECTOR</v>
      </c>
      <c r="O31" s="154" t="s">
        <v>743</v>
      </c>
      <c r="P31" s="177"/>
      <c r="Q31" s="31"/>
      <c r="R31" s="100" t="str">
        <f>VLOOKUP(C31,'Train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31" s="103" t="str">
        <f>VLOOKUP(C31,'Train Runs'!$A$13:$AE$10001,22,0)</f>
        <v>https://search-rtdc-monitor-bjffxe2xuh6vdkpspy63sjmuny.us-east-1.es.amazonaws.com/_plugin/kibana/#/discover/Steve-Slow-Train-Analysis-(2080s-and-2083s)?_g=(refreshInterval:(display:Off,section:0,value:0),time:(from:'2016-10-12 07:05:53-0600',mode:absolute,to:'2016-10-12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1" s="105" t="str">
        <f t="shared" si="1"/>
        <v>"C:\Program Files (x86)\AstroGrep\AstroGrep.exe" /spath="%USERPROFILE%\AppData\Local\Temp\OnboardLogs" /stypes="*4032*201610121*" /stext=" 15:.+((SYSTEM_STATE.+slice.+state.+changed )|(ment ac)|(system.+state.+changed )|(\[timeout)|(PRM\|1\|D)|(kpr)|(kdp)|(\|lc)|(penalty))" /e /r /s</v>
      </c>
      <c r="U31" s="9" t="str">
        <f t="shared" si="2"/>
        <v>4032</v>
      </c>
      <c r="V31" s="36">
        <f t="shared" si="3"/>
        <v>42655.65965277778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ID","value":"132-12"},{"id":16,"name":"Locomotive ID","value":"4032"},{"id":130,"name":"Impact","value":""},{"id":150,"name":"Time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21"/>
      <c r="AC31" s="155" t="str">
        <f t="shared" si="7"/>
        <v>grep -hSE -A100 "Enforcement Action" "%USERPROFILE%\AppData\Local\Temp\OnboardLogs"\RTDC4032\*4032*201610121* | grep -SE "((Enforcement Ac)|(PRM))" -</v>
      </c>
      <c r="AD31" s="1"/>
    </row>
    <row r="32" spans="1:30" x14ac:dyDescent="0.25">
      <c r="A32" s="36">
        <v>42655.465196759258</v>
      </c>
      <c r="B32" s="31" t="s">
        <v>230</v>
      </c>
      <c r="C32" s="31" t="s">
        <v>351</v>
      </c>
      <c r="D32" s="31" t="s">
        <v>49</v>
      </c>
      <c r="E32" s="31" t="s">
        <v>756</v>
      </c>
      <c r="F32" s="47">
        <v>0</v>
      </c>
      <c r="G32" s="47">
        <v>56</v>
      </c>
      <c r="H32" s="47">
        <v>209</v>
      </c>
      <c r="I32" s="47">
        <v>156</v>
      </c>
      <c r="J32" s="31" t="s">
        <v>757</v>
      </c>
      <c r="K32" s="47">
        <v>1</v>
      </c>
      <c r="L32" s="174" t="s">
        <v>51</v>
      </c>
      <c r="M32" s="175">
        <f t="shared" si="0"/>
        <v>81.84</v>
      </c>
      <c r="N32" s="176" t="str">
        <f>VLOOKUP(C32,'Trips&amp;Operators'!$C$1:$E$99999,3,FALSE)</f>
        <v>ACKERMAN</v>
      </c>
      <c r="O32" s="154" t="s">
        <v>743</v>
      </c>
      <c r="P32" s="177"/>
      <c r="Q32" s="31"/>
      <c r="R32" s="100" t="str">
        <f>VLOOKUP(C32,'Train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32" s="103" t="str">
        <f>VLOOKUP(C32,'Train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09:24:14-0600',mode:absolute,to:'2016-10-12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2" s="105" t="str">
        <f t="shared" si="1"/>
        <v>"C:\Program Files (x86)\AstroGrep\AstroGrep.exe" /spath="%USERPROFILE%\AppData\Local\Temp\OnboardLogs" /stypes="*4039*201610121*" /stext=" 17:.+((SYSTEM_STATE.+slice.+state.+changed )|(ment ac)|(system.+state.+changed )|(\[timeout)|(PRM\|1\|D)|(kpr)|(kdp)|(\|lc)|(penalty))" /e /r /s</v>
      </c>
      <c r="U32" s="9" t="str">
        <f t="shared" si="2"/>
        <v>4039</v>
      </c>
      <c r="V32" s="36">
        <f t="shared" si="3"/>
        <v>42655.715196759258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ID","value":"148-12"},{"id":16,"name":"Locomotive ID","value":"4039"},{"id":130,"name":"Impact","value":""},{"id":150,"name":"Time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21"/>
      <c r="AC32" s="155" t="str">
        <f t="shared" si="7"/>
        <v>grep -hSE -A100 "Enforcement Action" "%USERPROFILE%\AppData\Local\Temp\OnboardLogs"\RTDC4039\*4039*201610121* | grep -SE "((Enforcement Ac)|(PRM))" -</v>
      </c>
      <c r="AD32" s="1"/>
    </row>
    <row r="33" spans="1:30" ht="15" customHeight="1" x14ac:dyDescent="0.25">
      <c r="A33" s="36">
        <v>42655.704097222224</v>
      </c>
      <c r="B33" s="31" t="s">
        <v>230</v>
      </c>
      <c r="C33" s="31" t="s">
        <v>470</v>
      </c>
      <c r="D33" s="31" t="s">
        <v>49</v>
      </c>
      <c r="E33" s="31" t="s">
        <v>756</v>
      </c>
      <c r="F33" s="47">
        <v>0</v>
      </c>
      <c r="G33" s="47">
        <v>45</v>
      </c>
      <c r="H33" s="47">
        <v>152</v>
      </c>
      <c r="I33" s="47">
        <v>132</v>
      </c>
      <c r="J33" s="31" t="s">
        <v>757</v>
      </c>
      <c r="K33" s="47">
        <v>1</v>
      </c>
      <c r="L33" s="174" t="s">
        <v>51</v>
      </c>
      <c r="M33" s="175">
        <f t="shared" si="0"/>
        <v>69.168000000000006</v>
      </c>
      <c r="N33" s="176" t="str">
        <f>VLOOKUP(C33,'Trips&amp;Operators'!$C$1:$E$99999,3,FALSE)</f>
        <v>HELVIE</v>
      </c>
      <c r="O33" s="154" t="s">
        <v>743</v>
      </c>
      <c r="P33" s="177"/>
      <c r="Q33" s="31"/>
      <c r="R33" s="100" t="str">
        <f>VLOOKUP(C33,'Train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33" s="103" t="str">
        <f>VLOOKUP(C33,'Train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14:59:22-0600',mode:absolute,to:'2016-10-12 17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/stypes="*4039*201610122*" /stext=" 22:.+((SYSTEM_STATE.+slice.+state.+changed )|(ment ac)|(system.+state.+changed )|(\[timeout)|(PRM\|1\|D)|(kpr)|(kdp)|(\|lc)|(penalty))" /e /r /s</v>
      </c>
      <c r="U33" s="9" t="str">
        <f t="shared" si="2"/>
        <v>4039</v>
      </c>
      <c r="V33" s="36">
        <f t="shared" si="3"/>
        <v>42655.954097222224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ID","value":"194-12"},{"id":16,"name":"Locomotive ID","value":"4039"},{"id":130,"name":"Impact","value":""},{"id":150,"name":"Time of Event (Mountain Time)","value":"16:53:54"},{"id":151,"name":"Denver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21"/>
      <c r="AC33" s="155" t="str">
        <f t="shared" si="7"/>
        <v>grep -hSE -A100 "Enforcement Action" "%USERPROFILE%\AppData\Local\Temp\OnboardLogs"\RTDC4039\*4039*201610122* | grep -SE "((Enforcement Ac)|(PRM))" -</v>
      </c>
      <c r="AD33" s="1"/>
    </row>
    <row r="34" spans="1:30" x14ac:dyDescent="0.25">
      <c r="A34" s="36">
        <v>42655.733773148146</v>
      </c>
      <c r="B34" s="31" t="s">
        <v>240</v>
      </c>
      <c r="C34" s="31" t="s">
        <v>490</v>
      </c>
      <c r="D34" s="31" t="s">
        <v>49</v>
      </c>
      <c r="E34" s="31" t="s">
        <v>756</v>
      </c>
      <c r="F34" s="47">
        <v>0</v>
      </c>
      <c r="G34" s="47">
        <v>58</v>
      </c>
      <c r="H34" s="47">
        <v>176</v>
      </c>
      <c r="I34" s="47">
        <v>136</v>
      </c>
      <c r="J34" s="31" t="s">
        <v>757</v>
      </c>
      <c r="K34" s="47">
        <v>1</v>
      </c>
      <c r="L34" s="174" t="s">
        <v>51</v>
      </c>
      <c r="M34" s="175">
        <f t="shared" si="0"/>
        <v>71.28</v>
      </c>
      <c r="N34" s="176" t="str">
        <f>VLOOKUP(C34,'Trips&amp;Operators'!$C$1:$E$99999,3,FALSE)</f>
        <v>STORY</v>
      </c>
      <c r="O34" s="154" t="s">
        <v>743</v>
      </c>
      <c r="P34" s="177"/>
      <c r="Q34" s="31"/>
      <c r="R34" s="100" t="str">
        <f>VLOOKUP(C34,'Train Runs'!$A$13:$AE$10001,31,0)</f>
        <v>aws s3 cp s3://rtdc.mdm.uploadarchive.raw/RTDC4015/ "%USERPROFILE%\AppData\Local\Temp\OnboardLogs"\RTDC4015\2016-10-12 --exclude "*" --recursive --include "*20161012*" &amp; "%USERPROFILE%\Documents\GitHub\mrs-test-scripts\Headless Mode &amp; Sideloading\WalkAndUnGZ.bat" "%USERPROFILE%\AppData\Local\Temp\OnboardLogs"\RTDC4015\2016-10-12 &amp; aws s3 cp s3://rtdc.mdm.uploadarchive.raw/RTDC4015/ "%USERPROFILE%\AppData\Local\Temp\OnboardLogs"\RTDC4015\2016-10-13 --exclude "*" --recursive --include "*20161013*" &amp; "%USERPROFILE%\Documents\GitHub\mrs-test-scripts\Headless Mode &amp; Sideloading\WalkAndUnGZ.bat" "%USERPROFILE%\AppData\Local\Temp\OnboardLogs"\RTDC4015\2016-10-13</v>
      </c>
      <c r="S34" s="103" t="str">
        <f>VLOOKUP(C34,'Train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15:50:37-0600',mode:absolute,to:'2016-10-12 18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4" s="105" t="str">
        <f t="shared" si="1"/>
        <v>"C:\Program Files (x86)\AstroGrep\AstroGrep.exe" /spath="%USERPROFILE%\AppData\Local\Temp\OnboardLogs" /stypes="*4015*201610122*" /stext=" 23:.+((SYSTEM_STATE.+slice.+state.+changed )|(ment ac)|(system.+state.+changed )|(\[timeout)|(PRM\|1\|D)|(kpr)|(kdp)|(\|lc)|(penalty))" /e /r /s</v>
      </c>
      <c r="U34" s="9" t="str">
        <f t="shared" si="2"/>
        <v>4015</v>
      </c>
      <c r="V34" s="36">
        <f t="shared" si="3"/>
        <v>42655.983773148146</v>
      </c>
      <c r="W34" s="50" t="str">
        <f t="shared" si="4"/>
        <v>EC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ID","value":"200-12"},{"id":16,"name":"Locomotive ID","value":"4015"},{"id":130,"name":"Impact","value":""},{"id":150,"name":"Time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21"/>
      <c r="AC34" s="155" t="str">
        <f t="shared" si="7"/>
        <v>grep -hSE -A100 "Enforcement Action" "%USERPROFILE%\AppData\Local\Temp\OnboardLogs"\RTDC4015\*4015*201610122* | grep -SE "((Enforcement Ac)|(PRM))" -</v>
      </c>
      <c r="AD34" s="1"/>
    </row>
    <row r="35" spans="1:30" x14ac:dyDescent="0.25">
      <c r="A35" s="36">
        <v>42655.743993055556</v>
      </c>
      <c r="B35" s="31" t="s">
        <v>204</v>
      </c>
      <c r="C35" s="31" t="s">
        <v>496</v>
      </c>
      <c r="D35" s="31" t="s">
        <v>49</v>
      </c>
      <c r="E35" s="31" t="s">
        <v>756</v>
      </c>
      <c r="F35" s="47">
        <v>0</v>
      </c>
      <c r="G35" s="47">
        <v>46</v>
      </c>
      <c r="H35" s="47">
        <v>161</v>
      </c>
      <c r="I35" s="47">
        <v>127</v>
      </c>
      <c r="J35" s="31" t="s">
        <v>757</v>
      </c>
      <c r="K35" s="47">
        <v>1</v>
      </c>
      <c r="L35" s="174" t="s">
        <v>51</v>
      </c>
      <c r="M35" s="175">
        <f t="shared" si="0"/>
        <v>66.528000000000006</v>
      </c>
      <c r="N35" s="176" t="str">
        <f>VLOOKUP(C35,'Trips&amp;Operators'!$C$1:$E$99999,3,FALSE)</f>
        <v>BONDS</v>
      </c>
      <c r="O35" s="154" t="s">
        <v>743</v>
      </c>
      <c r="P35" s="177"/>
      <c r="Q35" s="31"/>
      <c r="R35" s="100" t="str">
        <f>VLOOKUP(C35,'Train Runs'!$A$13:$AE$10001,31,0)</f>
        <v>aws s3 cp s3://rtdc.mdm.uploadarchive.raw/RTDC4045/ "%USERPROFILE%\AppData\Local\Temp\OnboardLogs"\RTDC4045\2016-10-12 --exclude "*" --recursive --include "*20161012*" &amp; "%USERPROFILE%\Documents\GitHub\mrs-test-scripts\Headless Mode &amp; Sideloading\WalkAndUnGZ.bat" "%USERPROFILE%\AppData\Local\Temp\OnboardLogs"\RTDC4045\2016-10-12 &amp; aws s3 cp s3://rtdc.mdm.uploadarchive.raw/RTDC4045/ "%USERPROFILE%\AppData\Local\Temp\OnboardLogs"\RTDC4045\2016-10-13 --exclude "*" --recursive --include "*20161013*" &amp; "%USERPROFILE%\Documents\GitHub\mrs-test-scripts\Headless Mode &amp; Sideloading\WalkAndUnGZ.bat" "%USERPROFILE%\AppData\Local\Temp\OnboardLogs"\RTDC4045\2016-10-13</v>
      </c>
      <c r="S35" s="103" t="str">
        <f>VLOOKUP(C35,'Train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16:05:18-0600',mode:absolute,to:'2016-10-12 18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5" s="105" t="str">
        <f t="shared" si="1"/>
        <v>"C:\Program Files (x86)\AstroGrep\AstroGrep.exe" /spath="%USERPROFILE%\AppData\Local\Temp\OnboardLogs" /stypes="*4045*201610122*" /stext=" 23:.+((SYSTEM_STATE.+slice.+state.+changed )|(ment ac)|(system.+state.+changed )|(\[timeout)|(PRM\|1\|D)|(kpr)|(kdp)|(\|lc)|(penalty))" /e /r /s</v>
      </c>
      <c r="U35" s="9" t="str">
        <f t="shared" si="2"/>
        <v>4045</v>
      </c>
      <c r="V35" s="36">
        <f t="shared" si="3"/>
        <v>42655.993993055556</v>
      </c>
      <c r="W35" s="50" t="str">
        <f t="shared" si="4"/>
        <v>EC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{"issue":{"subject":"","project_id":79,"tracker_id":40,"status_id":1,"priority_id":2,"assigned_to_id":23,"start_date":"2016-10-12","description":"","custom_fields":[{"id":1,"name":"Subdivision","value":"EC"},{"id":4,"name":"Milepost","value":"0.0001"},{"id":17,"name":"Train ID","value":"202-12"},{"id":16,"name":"Locomotive ID","value":"4045"},{"id":130,"name":"Impact","value":""},{"id":150,"name":"Time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21"/>
      <c r="AC35" s="155" t="str">
        <f t="shared" si="7"/>
        <v>grep -hSE -A100 "Enforcement Action" "%USERPROFILE%\AppData\Local\Temp\OnboardLogs"\RTDC4045\*4045*201610122* | grep -SE "((Enforcement Ac)|(PRM))" -</v>
      </c>
      <c r="AD35" s="1"/>
    </row>
    <row r="36" spans="1:30" x14ac:dyDescent="0.25">
      <c r="A36" s="36">
        <v>42656.070474537039</v>
      </c>
      <c r="B36" s="31" t="s">
        <v>199</v>
      </c>
      <c r="C36" s="31" t="s">
        <v>566</v>
      </c>
      <c r="D36" s="31" t="s">
        <v>49</v>
      </c>
      <c r="E36" s="31" t="s">
        <v>756</v>
      </c>
      <c r="F36" s="47">
        <v>0</v>
      </c>
      <c r="G36" s="47">
        <v>44</v>
      </c>
      <c r="H36" s="47">
        <v>141</v>
      </c>
      <c r="I36" s="47">
        <v>103</v>
      </c>
      <c r="J36" s="31" t="s">
        <v>757</v>
      </c>
      <c r="K36" s="47">
        <v>1</v>
      </c>
      <c r="L36" s="174" t="s">
        <v>51</v>
      </c>
      <c r="M36" s="175">
        <f t="shared" si="0"/>
        <v>53.856000000000002</v>
      </c>
      <c r="N36" s="176" t="str">
        <f>VLOOKUP(C36,'Trips&amp;Operators'!$C$1:$E$99999,3,FALSE)</f>
        <v>BERLING</v>
      </c>
      <c r="O36" s="154" t="s">
        <v>743</v>
      </c>
      <c r="P36" s="177"/>
      <c r="Q36" s="31"/>
      <c r="R36" s="100" t="str">
        <f>VLOOKUP(C36,'Train Runs'!$A$13:$AE$10001,31,0)</f>
        <v>aws s3 cp s3://rtdc.mdm.uploadarchive.raw/RTDC4008/ "%USERPROFILE%\AppData\Local\Temp\OnboardLogs"\RTDC4008\2016-10-13 --exclude "*" --recursive --include "*20161013*" &amp; "%USERPROFILE%\Documents\GitHub\mrs-test-scripts\Headless Mode &amp; Sideloading\WalkAndUnGZ.bat" "%USERPROFILE%\AppData\Local\Temp\OnboardLogs"\RTDC4008\2016-10-13 &amp; aws s3 cp s3://rtdc.mdm.uploadarchive.raw/RTDC4008/ "%USERPROFILE%\AppData\Local\Temp\OnboardLogs"\RTDC4008\2016-10-14 --exclude "*" --recursive --include "*20161014*" &amp; "%USERPROFILE%\Documents\GitHub\mrs-test-scripts\Headless Mode &amp; Sideloading\WalkAndUnGZ.bat" "%USERPROFILE%\AppData\Local\Temp\OnboardLogs"\RTDC4008\2016-10-14</v>
      </c>
      <c r="S36" s="103" t="str">
        <f>VLOOKUP(C36,'Train Runs'!$A$13:$AE$10001,22,0)</f>
        <v>https://search-rtdc-monitor-bjffxe2xuh6vdkpspy63sjmuny.us-east-1.es.amazonaws.com/_plugin/kibana/#/discover/Steve-Slow-Train-Analysis-(2080s-and-2083s)?_g=(refreshInterval:(display:Off,section:0,value:0),time:(from:'2016-10-12 23:52:38-0600',mode:absolute,to:'2016-10-13 02:41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6" s="105" t="str">
        <f t="shared" si="1"/>
        <v>"C:\Program Files (x86)\AstroGrep\AstroGrep.exe" /spath="%USERPROFILE%\AppData\Local\Temp\OnboardLogs" /stypes="*4008*201610130*" /stext=" 07:.+((SYSTEM_STATE.+slice.+state.+changed )|(ment ac)|(system.+state.+changed )|(\[timeout)|(PRM\|1\|D)|(kpr)|(kdp)|(\|lc)|(penalty))" /e /r /s</v>
      </c>
      <c r="U36" s="9" t="str">
        <f t="shared" si="2"/>
        <v>4008</v>
      </c>
      <c r="V36" s="36">
        <f t="shared" si="3"/>
        <v>42656.320474537039</v>
      </c>
      <c r="W36" s="50" t="str">
        <f t="shared" si="4"/>
        <v>EC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{"issue":{"subject":"","project_id":79,"tracker_id":40,"status_id":1,"priority_id":2,"assigned_to_id":23,"start_date":"2016-10-13","description":"","custom_fields":[{"id":1,"name":"Subdivision","value":"EC"},{"id":4,"name":"Milepost","value":"0.0001"},{"id":17,"name":"Train ID","value":"242-12"},{"id":16,"name":"Locomotive ID","value":"4008"},{"id":130,"name":"Impact","value":""},{"id":150,"name":"Time of Event (Mountain Time)","value":"01:41:29"},{"id":151,"name":"Denver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21"/>
      <c r="AC36" s="155" t="str">
        <f t="shared" si="7"/>
        <v>grep -hSE -A100 "Enforcement Action" "%USERPROFILE%\AppData\Local\Temp\OnboardLogs"\RTDC4008\*4008*201610130* | grep -SE "((Enforcement Ac)|(PRM))" -</v>
      </c>
      <c r="AD36" s="1"/>
    </row>
    <row r="37" spans="1:30" ht="15" customHeight="1" x14ac:dyDescent="0.25">
      <c r="A37" s="36">
        <v>42655.477766203701</v>
      </c>
      <c r="B37" s="31" t="s">
        <v>264</v>
      </c>
      <c r="C37" s="31" t="s">
        <v>358</v>
      </c>
      <c r="D37" s="31" t="s">
        <v>49</v>
      </c>
      <c r="E37" s="31" t="s">
        <v>756</v>
      </c>
      <c r="F37" s="47">
        <v>0</v>
      </c>
      <c r="G37" s="47">
        <v>45</v>
      </c>
      <c r="H37" s="47">
        <v>1030</v>
      </c>
      <c r="I37" s="47">
        <v>952</v>
      </c>
      <c r="J37" s="31" t="s">
        <v>757</v>
      </c>
      <c r="K37" s="47">
        <v>839</v>
      </c>
      <c r="L37" s="174" t="s">
        <v>51</v>
      </c>
      <c r="M37" s="175">
        <f t="shared" si="0"/>
        <v>59.664000000000001</v>
      </c>
      <c r="N37" s="176" t="str">
        <f>VLOOKUP(C37,'Trips&amp;Operators'!$C$1:$E$99999,3,FALSE)</f>
        <v>STRICKLAND</v>
      </c>
      <c r="O37" s="154" t="s">
        <v>743</v>
      </c>
      <c r="P37" s="177"/>
      <c r="Q37" s="31"/>
      <c r="R37" s="100" t="str">
        <f>VLOOKUP(C37,'Train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7" s="103" t="str">
        <f>VLOOKUP(C37,'Train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7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37" s="9" t="str">
        <f t="shared" si="2"/>
        <v>4026</v>
      </c>
      <c r="V37" s="36">
        <f t="shared" si="3"/>
        <v>42655.727766203701</v>
      </c>
      <c r="W37" s="50" t="str">
        <f t="shared" si="4"/>
        <v>EC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ID","value":"150-12"},{"id":16,"name":"Locomotive ID","value":"4026"},{"id":130,"name":"Impact","value":""},{"id":150,"name":"Time of Event (Mountain Time)","value":"11:27:59"},{"id":151,"name":"Denver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21"/>
      <c r="AC37" s="155" t="str">
        <f t="shared" si="7"/>
        <v>grep -hSE -A100 "Enforcement Action" "%USERPROFILE%\AppData\Local\Temp\OnboardLogs"\RTDC4026\*4026*201610121* | grep -SE "((Enforcement Ac)|(PRM))" -</v>
      </c>
      <c r="AD37" s="1"/>
    </row>
    <row r="38" spans="1:30" x14ac:dyDescent="0.25">
      <c r="A38" s="36">
        <v>42655.478125000001</v>
      </c>
      <c r="B38" s="31" t="s">
        <v>264</v>
      </c>
      <c r="C38" s="31" t="s">
        <v>358</v>
      </c>
      <c r="D38" s="31" t="s">
        <v>49</v>
      </c>
      <c r="E38" s="31" t="s">
        <v>756</v>
      </c>
      <c r="F38" s="47">
        <v>0</v>
      </c>
      <c r="G38" s="47">
        <v>30</v>
      </c>
      <c r="H38" s="47">
        <v>941</v>
      </c>
      <c r="I38" s="47">
        <v>882</v>
      </c>
      <c r="J38" s="31" t="s">
        <v>757</v>
      </c>
      <c r="K38" s="47">
        <v>839</v>
      </c>
      <c r="L38" s="174" t="s">
        <v>51</v>
      </c>
      <c r="M38" s="175">
        <f t="shared" si="0"/>
        <v>22.704000000000001</v>
      </c>
      <c r="N38" s="176" t="str">
        <f>VLOOKUP(C38,'Trips&amp;Operators'!$C$1:$E$99999,3,FALSE)</f>
        <v>STRICKLAND</v>
      </c>
      <c r="O38" s="154" t="s">
        <v>743</v>
      </c>
      <c r="P38" s="177"/>
      <c r="Q38" s="31"/>
      <c r="R38" s="100" t="str">
        <f>VLOOKUP(C38,'Train Runs'!$A$13:$AE$10001,31,0)</f>
        <v>aws s3 cp s3://rtdc.mdm.uploadarchive.raw/RTDC4026/ "%USERPROFILE%\AppData\Local\Temp\OnboardLogs"\RTDC4026\2016-10-12 --exclude "*" --recursive --include "*20161012*" &amp; "%USERPROFILE%\Documents\GitHub\mrs-test-scripts\Headless Mode &amp; Sideloading\WalkAndUnGZ.bat" "%USERPROFILE%\AppData\Local\Temp\OnboardLogs"\RTDC4026\2016-10-12 &amp; aws s3 cp s3://rtdc.mdm.uploadarchive.raw/RTDC4026/ "%USERPROFILE%\AppData\Local\Temp\OnboardLogs"\RTDC4026\2016-10-13 --exclude "*" --recursive --include "*20161013*" &amp; "%USERPROFILE%\Documents\GitHub\mrs-test-scripts\Headless Mode &amp; Sideloading\WalkAndUnGZ.bat" "%USERPROFILE%\AppData\Local\Temp\OnboardLogs"\RTDC4026\2016-10-13</v>
      </c>
      <c r="S38" s="103" t="str">
        <f>VLOOKUP(C38,'Train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09:36:24-0600',mode:absolute,to:'2016-10-12 12:28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8" s="105" t="str">
        <f t="shared" si="1"/>
        <v>"C:\Program Files (x86)\AstroGrep\AstroGrep.exe" /spath="%USERPROFILE%\AppData\Local\Temp\OnboardLogs" /stypes="*4026*201610121*" /stext=" 17:.+((SYSTEM_STATE.+slice.+state.+changed )|(ment ac)|(system.+state.+changed )|(\[timeout)|(PRM\|1\|D)|(kpr)|(kdp)|(\|lc)|(penalty))" /e /r /s</v>
      </c>
      <c r="U38" s="9" t="str">
        <f t="shared" si="2"/>
        <v>4026</v>
      </c>
      <c r="V38" s="36">
        <f t="shared" si="3"/>
        <v>42655.728125000001</v>
      </c>
      <c r="W38" s="50" t="str">
        <f t="shared" si="4"/>
        <v>EC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ID","value":"150-12"},{"id":16,"name":"Locomotive ID","value":"4026"},{"id":130,"name":"Impact","value":""},{"id":150,"name":"Time of Event (Mountain Time)","value":"11:28:30"},{"id":151,"name":"Denver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21"/>
      <c r="AC38" s="155" t="str">
        <f t="shared" si="7"/>
        <v>grep -hSE -A100 "Enforcement Action" "%USERPROFILE%\AppData\Local\Temp\OnboardLogs"\RTDC4026\*4026*201610121* | grep -SE "((Enforcement Ac)|(PRM))" -</v>
      </c>
      <c r="AD38" s="1"/>
    </row>
    <row r="39" spans="1:30" x14ac:dyDescent="0.25">
      <c r="A39" s="36">
        <v>42655.799733796295</v>
      </c>
      <c r="B39" s="31" t="s">
        <v>241</v>
      </c>
      <c r="C39" s="31" t="s">
        <v>514</v>
      </c>
      <c r="D39" s="31" t="s">
        <v>49</v>
      </c>
      <c r="E39" s="31" t="s">
        <v>756</v>
      </c>
      <c r="F39" s="47">
        <v>0</v>
      </c>
      <c r="G39" s="47">
        <v>16</v>
      </c>
      <c r="H39" s="47">
        <v>850</v>
      </c>
      <c r="I39" s="47">
        <v>841</v>
      </c>
      <c r="J39" s="31" t="s">
        <v>757</v>
      </c>
      <c r="K39" s="47">
        <v>839</v>
      </c>
      <c r="L39" s="174" t="s">
        <v>51</v>
      </c>
      <c r="M39" s="175">
        <f t="shared" si="0"/>
        <v>1.056</v>
      </c>
      <c r="N39" s="176" t="str">
        <f>VLOOKUP(C39,'Trips&amp;Operators'!$C$1:$E$99999,3,FALSE)</f>
        <v>HILLS</v>
      </c>
      <c r="O39" s="154" t="s">
        <v>743</v>
      </c>
      <c r="P39" s="177"/>
      <c r="Q39" s="31"/>
      <c r="R39" s="100" t="str">
        <f>VLOOKUP(C39,'Train Runs'!$A$13:$AE$10001,31,0)</f>
        <v>aws s3 cp s3://rtdc.mdm.uploadarchive.raw/RTDC4032/ "%USERPROFILE%\AppData\Local\Temp\OnboardLogs"\RTDC4032\2016-10-12 --exclude "*" --recursive --include "*20161012*" &amp; "%USERPROFILE%\Documents\GitHub\mrs-test-scripts\Headless Mode &amp; Sideloading\WalkAndUnGZ.bat" "%USERPROFILE%\AppData\Local\Temp\OnboardLogs"\RTDC4032\2016-10-12 &amp; aws s3 cp s3://rtdc.mdm.uploadarchive.raw/RTDC4032/ "%USERPROFILE%\AppData\Local\Temp\OnboardLogs"\RTDC4032\2016-10-13 --exclude "*" --recursive --include "*20161013*" &amp; "%USERPROFILE%\Documents\GitHub\mrs-test-scripts\Headless Mode &amp; Sideloading\WalkAndUnGZ.bat" "%USERPROFILE%\AppData\Local\Temp\OnboardLogs"\RTDC4032\2016-10-13</v>
      </c>
      <c r="S39" s="103" t="str">
        <f>VLOOKUP(C39,'Train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17:13:08-0600',mode:absolute,to:'2016-10-12 20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5" t="str">
        <f t="shared" ref="T39:T61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/stypes="*4032*201610130*" /stext=" 01:.+((SYSTEM_STATE.+slice.+state.+changed )|(ment ac)|(system.+state.+changed )|(\[timeout)|(PRM\|1\|D)|(kpr)|(kdp)|(\|lc)|(penalty))" /e /r /s</v>
      </c>
      <c r="U39" s="9" t="str">
        <f t="shared" si="2"/>
        <v>4032</v>
      </c>
      <c r="V39" s="36">
        <f t="shared" si="3"/>
        <v>42656.049733796295</v>
      </c>
      <c r="W39" s="50" t="str">
        <f t="shared" si="4"/>
        <v>EC</v>
      </c>
      <c r="X39" s="50" t="str">
        <f t="shared" si="5"/>
        <v>KEEP</v>
      </c>
      <c r="Y39" s="122" t="str">
        <f t="shared" ref="Y39:Y61" si="9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{"issue":{"subject":"","project_id":79,"tracker_id":40,"status_id":1,"priority_id":2,"assigned_to_id":23,"start_date":"2016-10-12","description":"","custom_fields":[{"id":1,"name":"Subdivision","value":"EC"},{"id":4,"name":"Milepost","value":"0.0839"},{"id":17,"name":"Train ID","value":"212-12"},{"id":16,"name":"Locomotive ID","value":"4032"},{"id":130,"name":"Impact","value":""},{"id":150,"name":"Time of Event (Mountain Time)","value":"19:11:37"},{"id":151,"name":"Denver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21"/>
      <c r="AC39" s="155" t="str">
        <f t="shared" ref="AC39:AC61" si="10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"%USERPROFILE%\AppData\Local\Temp\OnboardLogs"\RTDC4032\*4032*201610130* | grep -SE "((Enforcement Ac)|(PRM))" -</v>
      </c>
      <c r="AD39" s="1"/>
    </row>
    <row r="40" spans="1:30" x14ac:dyDescent="0.25">
      <c r="A40" s="36">
        <v>42655.313981481479</v>
      </c>
      <c r="B40" s="31" t="s">
        <v>201</v>
      </c>
      <c r="C40" s="31" t="s">
        <v>270</v>
      </c>
      <c r="D40" s="31" t="s">
        <v>49</v>
      </c>
      <c r="E40" s="31" t="s">
        <v>756</v>
      </c>
      <c r="F40" s="47">
        <v>0</v>
      </c>
      <c r="G40" s="47">
        <v>32</v>
      </c>
      <c r="H40" s="47">
        <v>233389</v>
      </c>
      <c r="I40" s="47">
        <v>233391</v>
      </c>
      <c r="J40" s="31" t="s">
        <v>757</v>
      </c>
      <c r="K40" s="47">
        <v>233491</v>
      </c>
      <c r="L40" s="174" t="s">
        <v>50</v>
      </c>
      <c r="M40" s="175">
        <f t="shared" si="0"/>
        <v>52.8</v>
      </c>
      <c r="N40" s="176" t="str">
        <f>VLOOKUP(C40,'Trips&amp;Operators'!$C$1:$E$99999,3,FALSE)</f>
        <v>ACKERMAN</v>
      </c>
      <c r="O40" s="154" t="s">
        <v>743</v>
      </c>
      <c r="P40" s="177"/>
      <c r="Q40" s="31"/>
      <c r="R40" s="100" t="str">
        <f>VLOOKUP(C40,'Train Runs'!$A$13:$AE$10001,31,0)</f>
        <v>aws s3 cp s3://rtdc.mdm.uploadarchive.raw/RTDC4007/ "%USERPROFILE%\AppData\Local\Temp\OnboardLogs"\RTDC4007\2016-10-12 --exclude "*" --recursive --include "*20161012*" &amp; "%USERPROFILE%\Documents\GitHub\mrs-test-scripts\Headless Mode &amp; Sideloading\WalkAndUnGZ.bat" "%USERPROFILE%\AppData\Local\Temp\OnboardLogs"\RTDC4007\2016-10-12 &amp; aws s3 cp s3://rtdc.mdm.uploadarchive.raw/RTDC4007/ "%USERPROFILE%\AppData\Local\Temp\OnboardLogs"\RTDC4007\2016-10-13 --exclude "*" --recursive --include "*20161013*" &amp; "%USERPROFILE%\Documents\GitHub\mrs-test-scripts\Headless Mode &amp; Sideloading\WalkAndUnGZ.bat" "%USERPROFILE%\AppData\Local\Temp\OnboardLogs"\RTDC4007\2016-10-13</v>
      </c>
      <c r="S40" s="103" t="str">
        <f>VLOOKUP(C40,'Train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05:20:43-0600',mode:absolute,to:'2016-10-12 08:32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40" s="105" t="str">
        <f t="shared" si="8"/>
        <v>"C:\Program Files (x86)\AstroGrep\AstroGrep.exe" /spath="%USERPROFILE%\AppData\Local\Temp\OnboardLogs" /stypes="*4007*201610121*" /stext=" 13:.+((SYSTEM_STATE.+slice.+state.+changed )|(ment ac)|(system.+state.+changed )|(\[timeout)|(PRM\|1\|D)|(kpr)|(kdp)|(\|lc)|(penalty))" /e /r /s</v>
      </c>
      <c r="U40" s="9" t="str">
        <f t="shared" si="2"/>
        <v>4007</v>
      </c>
      <c r="V40" s="36">
        <f t="shared" si="3"/>
        <v>42655.563981481479</v>
      </c>
      <c r="W40" s="50" t="str">
        <f t="shared" si="4"/>
        <v>EC</v>
      </c>
      <c r="X40" s="50" t="str">
        <f t="shared" si="5"/>
        <v>KEEP</v>
      </c>
      <c r="Y40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ID","value":"123-12"},{"id":16,"name":"Locomotive ID","value":"4007"},{"id":130,"name":"Impact","value":""},{"id":150,"name":"Time of Event (Mountain Time)","value":"07:32:08"},{"id":151,"name":"Denver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21"/>
      <c r="AC40" s="155" t="str">
        <f t="shared" si="10"/>
        <v>grep -hSE -A100 "Enforcement Action" "%USERPROFILE%\AppData\Local\Temp\OnboardLogs"\RTDC4007\*4007*201610121* | grep -SE "((Enforcement Ac)|(PRM))" -</v>
      </c>
      <c r="AD40" s="1"/>
    </row>
    <row r="41" spans="1:30" x14ac:dyDescent="0.25">
      <c r="A41" s="36">
        <v>42655.320289351854</v>
      </c>
      <c r="B41" s="31" t="s">
        <v>245</v>
      </c>
      <c r="C41" s="31" t="s">
        <v>324</v>
      </c>
      <c r="D41" s="31" t="s">
        <v>49</v>
      </c>
      <c r="E41" s="31" t="s">
        <v>756</v>
      </c>
      <c r="F41" s="47">
        <v>0</v>
      </c>
      <c r="G41" s="47">
        <v>53</v>
      </c>
      <c r="H41" s="47">
        <v>233295</v>
      </c>
      <c r="I41" s="47">
        <v>233346</v>
      </c>
      <c r="J41" s="31" t="s">
        <v>757</v>
      </c>
      <c r="K41" s="47">
        <v>233491</v>
      </c>
      <c r="L41" s="174" t="s">
        <v>50</v>
      </c>
      <c r="M41" s="175">
        <f t="shared" si="0"/>
        <v>76.56</v>
      </c>
      <c r="N41" s="176" t="str">
        <f>VLOOKUP(C41,'Trips&amp;Operators'!$C$1:$E$99999,3,FALSE)</f>
        <v>STRICKLAND</v>
      </c>
      <c r="O41" s="154" t="s">
        <v>743</v>
      </c>
      <c r="P41" s="177"/>
      <c r="Q41" s="31"/>
      <c r="R41" s="100" t="str">
        <f>VLOOKUP(C41,'Train Runs'!$A$13:$AE$10001,31,0)</f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S41" s="103" t="str">
        <f>VLOOKUP(C41,'Train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05:51:06-0600',mode:absolute,to:'2016-10-12 08:41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1" s="105" t="str">
        <f t="shared" si="8"/>
        <v>"C:\Program Files (x86)\AstroGrep\AstroGrep.exe" /spath="%USERPROFILE%\AppData\Local\Temp\OnboardLogs" /stypes="*4053*201610121*" /stext=" 13:.+((SYSTEM_STATE.+slice.+state.+changed )|(ment ac)|(system.+state.+changed )|(\[timeout)|(PRM\|1\|D)|(kpr)|(kdp)|(\|lc)|(penalty))" /e /r /s</v>
      </c>
      <c r="U41" s="9" t="str">
        <f t="shared" si="2"/>
        <v>4053</v>
      </c>
      <c r="V41" s="36">
        <f t="shared" si="3"/>
        <v>42655.570289351854</v>
      </c>
      <c r="W41" s="50" t="str">
        <f t="shared" si="4"/>
        <v>EC</v>
      </c>
      <c r="X41" s="50" t="str">
        <f t="shared" si="5"/>
        <v>KEEP</v>
      </c>
      <c r="Y41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ID","value":"127-12"},{"id":16,"name":"Locomotive ID","value":"4053"},{"id":130,"name":"Impact","value":""},{"id":150,"name":"Time of Event (Mountain Time)","value":"07:41:13"},{"id":151,"name":"Denver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21"/>
      <c r="AC41" s="155" t="str">
        <f t="shared" si="10"/>
        <v>grep -hSE -A100 "Enforcement Action" "%USERPROFILE%\AppData\Local\Temp\OnboardLogs"\RTDC4053\*4053*201610121* | grep -SE "((Enforcement Ac)|(PRM))" -</v>
      </c>
      <c r="AD41" s="1"/>
    </row>
    <row r="42" spans="1:30" x14ac:dyDescent="0.25">
      <c r="A42" s="36">
        <v>42655.438993055555</v>
      </c>
      <c r="B42" s="31" t="s">
        <v>245</v>
      </c>
      <c r="C42" s="31" t="s">
        <v>354</v>
      </c>
      <c r="D42" s="31" t="s">
        <v>49</v>
      </c>
      <c r="E42" s="31" t="s">
        <v>756</v>
      </c>
      <c r="F42" s="47">
        <v>0</v>
      </c>
      <c r="G42" s="47">
        <v>37</v>
      </c>
      <c r="H42" s="47">
        <v>233382</v>
      </c>
      <c r="I42" s="47">
        <v>233407</v>
      </c>
      <c r="J42" s="31" t="s">
        <v>757</v>
      </c>
      <c r="K42" s="47">
        <v>233491</v>
      </c>
      <c r="L42" s="174" t="s">
        <v>50</v>
      </c>
      <c r="M42" s="175">
        <f t="shared" si="0"/>
        <v>44.351999999999997</v>
      </c>
      <c r="N42" s="176" t="str">
        <f>VLOOKUP(C42,'Trips&amp;Operators'!$C$1:$E$99999,3,FALSE)</f>
        <v>STRICKLAND</v>
      </c>
      <c r="O42" s="154" t="s">
        <v>743</v>
      </c>
      <c r="P42" s="177"/>
      <c r="Q42" s="31"/>
      <c r="R42" s="100" t="str">
        <f>VLOOKUP(C42,'Train Runs'!$A$13:$AE$10001,31,0)</f>
        <v>aws s3 cp s3://rtdc.mdm.uploadarchive.raw/RTDC4053/ "%USERPROFILE%\AppData\Local\Temp\OnboardLogs"\RTDC4053\2016-10-12 --exclude "*" --recursive --include "*20161012*" &amp; "%USERPROFILE%\Documents\GitHub\mrs-test-scripts\Headless Mode &amp; Sideloading\WalkAndUnGZ.bat" "%USERPROFILE%\AppData\Local\Temp\OnboardLogs"\RTDC4053\2016-10-12 &amp; aws s3 cp s3://rtdc.mdm.uploadarchive.raw/RTDC4053/ "%USERPROFILE%\AppData\Local\Temp\OnboardLogs"\RTDC4053\2016-10-13 --exclude "*" --recursive --include "*20161013*" &amp; "%USERPROFILE%\Documents\GitHub\mrs-test-scripts\Headless Mode &amp; Sideloading\WalkAndUnGZ.bat" "%USERPROFILE%\AppData\Local\Temp\OnboardLogs"\RTDC4053\2016-10-13</v>
      </c>
      <c r="S42" s="103" t="str">
        <f>VLOOKUP(C42,'Train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08:24:54-0600',mode:absolute,to:'2016-10-12 11:32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2" s="105" t="str">
        <f t="shared" si="8"/>
        <v>"C:\Program Files (x86)\AstroGrep\AstroGrep.exe" /spath="%USERPROFILE%\AppData\Local\Temp\OnboardLogs" /stypes="*4053*201610121*" /stext=" 16:.+((SYSTEM_STATE.+slice.+state.+changed )|(ment ac)|(system.+state.+changed )|(\[timeout)|(PRM\|1\|D)|(kpr)|(kdp)|(\|lc)|(penalty))" /e /r /s</v>
      </c>
      <c r="U42" s="9" t="str">
        <f t="shared" si="2"/>
        <v>4053</v>
      </c>
      <c r="V42" s="36">
        <f t="shared" si="3"/>
        <v>42655.688993055555</v>
      </c>
      <c r="W42" s="50" t="str">
        <f t="shared" si="4"/>
        <v>EC</v>
      </c>
      <c r="X42" s="50" t="str">
        <f t="shared" si="5"/>
        <v>KEEP</v>
      </c>
      <c r="Y42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ID","value":"149-12"},{"id":16,"name":"Locomotive ID","value":"4053"},{"id":130,"name":"Impact","value":""},{"id":150,"name":"Time of Event (Mountain Time)","value":"10:32:09"},{"id":151,"name":"Denver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21"/>
      <c r="AC42" s="155" t="str">
        <f t="shared" si="10"/>
        <v>grep -hSE -A100 "Enforcement Action" "%USERPROFILE%\AppData\Local\Temp\OnboardLogs"\RTDC4053\*4053*201610121* | grep -SE "((Enforcement Ac)|(PRM))" -</v>
      </c>
      <c r="AD42" s="1"/>
    </row>
    <row r="43" spans="1:30" x14ac:dyDescent="0.25">
      <c r="A43" s="36">
        <v>42655.486018518517</v>
      </c>
      <c r="B43" s="31" t="s">
        <v>203</v>
      </c>
      <c r="C43" s="31" t="s">
        <v>388</v>
      </c>
      <c r="D43" s="31" t="s">
        <v>49</v>
      </c>
      <c r="E43" s="31" t="s">
        <v>756</v>
      </c>
      <c r="F43" s="47">
        <v>0</v>
      </c>
      <c r="G43" s="47">
        <v>51</v>
      </c>
      <c r="H43" s="47">
        <v>233304</v>
      </c>
      <c r="I43" s="47">
        <v>233346</v>
      </c>
      <c r="J43" s="31" t="s">
        <v>757</v>
      </c>
      <c r="K43" s="47">
        <v>233491</v>
      </c>
      <c r="L43" s="174" t="s">
        <v>50</v>
      </c>
      <c r="M43" s="175">
        <f t="shared" si="0"/>
        <v>76.56</v>
      </c>
      <c r="N43" s="176" t="str">
        <f>VLOOKUP(C43,'Trips&amp;Operators'!$C$1:$E$99999,3,FALSE)</f>
        <v>BONDS</v>
      </c>
      <c r="O43" s="154" t="s">
        <v>743</v>
      </c>
      <c r="P43" s="177"/>
      <c r="Q43" s="31"/>
      <c r="R43" s="100" t="str">
        <f>VLOOKUP(C43,'Train Runs'!$A$13:$AE$10001,31,0)</f>
        <v>aws s3 cp s3://rtdc.mdm.uploadarchive.raw/RTDC4046/ "%USERPROFILE%\AppData\Local\Temp\OnboardLogs"\RTDC4046\2016-10-12 --exclude "*" --recursive --include "*20161012*" &amp; "%USERPROFILE%\Documents\GitHub\mrs-test-scripts\Headless Mode &amp; Sideloading\WalkAndUnGZ.bat" "%USERPROFILE%\AppData\Local\Temp\OnboardLogs"\RTDC4046\2016-10-12 &amp; aws s3 cp s3://rtdc.mdm.uploadarchive.raw/RTDC4046/ "%USERPROFILE%\AppData\Local\Temp\OnboardLogs"\RTDC4046\2016-10-13 --exclude "*" --recursive --include "*20161013*" &amp; "%USERPROFILE%\Documents\GitHub\mrs-test-scripts\Headless Mode &amp; Sideloading\WalkAndUnGZ.bat" "%USERPROFILE%\AppData\Local\Temp\OnboardLogs"\RTDC4046\2016-10-13</v>
      </c>
      <c r="S43" s="103" t="str">
        <f>VLOOKUP(C43,'Train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09:52:39-0600',mode:absolute,to:'2016-10-12 12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3" s="105" t="str">
        <f t="shared" si="8"/>
        <v>"C:\Program Files (x86)\AstroGrep\AstroGrep.exe" /spath="%USERPROFILE%\AppData\Local\Temp\OnboardLogs" /stypes="*4046*201610121*" /stext=" 17:.+((SYSTEM_STATE.+slice.+state.+changed )|(ment ac)|(system.+state.+changed )|(\[timeout)|(PRM\|1\|D)|(kpr)|(kdp)|(\|lc)|(penalty))" /e /r /s</v>
      </c>
      <c r="U43" s="9" t="str">
        <f t="shared" si="2"/>
        <v>4046</v>
      </c>
      <c r="V43" s="36">
        <f t="shared" si="3"/>
        <v>42655.736018518517</v>
      </c>
      <c r="W43" s="50" t="str">
        <f t="shared" si="4"/>
        <v>EC</v>
      </c>
      <c r="X43" s="50" t="str">
        <f t="shared" si="5"/>
        <v>KEEP</v>
      </c>
      <c r="Y43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ID","value":"159-12"},{"id":16,"name":"Locomotive ID","value":"4046"},{"id":130,"name":"Impact","value":""},{"id":150,"name":"Time of Event (Mountain Time)","value":"11:39:52"},{"id":151,"name":"Denver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21"/>
      <c r="AC43" s="155" t="str">
        <f t="shared" si="10"/>
        <v>grep -hSE -A100 "Enforcement Action" "%USERPROFILE%\AppData\Local\Temp\OnboardLogs"\RTDC4046\*4046*201610121* | grep -SE "((Enforcement Ac)|(PRM))" -</v>
      </c>
      <c r="AD43" s="1"/>
    </row>
    <row r="44" spans="1:30" x14ac:dyDescent="0.25">
      <c r="A44" s="36">
        <v>42655.511365740742</v>
      </c>
      <c r="B44" s="31" t="s">
        <v>758</v>
      </c>
      <c r="C44" s="31" t="s">
        <v>397</v>
      </c>
      <c r="D44" s="31" t="s">
        <v>49</v>
      </c>
      <c r="E44" s="31" t="s">
        <v>756</v>
      </c>
      <c r="F44" s="47">
        <v>0</v>
      </c>
      <c r="G44" s="47">
        <v>125</v>
      </c>
      <c r="H44" s="47">
        <v>232975</v>
      </c>
      <c r="I44" s="47">
        <v>233117</v>
      </c>
      <c r="J44" s="31" t="s">
        <v>757</v>
      </c>
      <c r="K44" s="47">
        <v>233491</v>
      </c>
      <c r="L44" s="174" t="s">
        <v>50</v>
      </c>
      <c r="M44" s="175">
        <f t="shared" si="0"/>
        <v>197.47200000000001</v>
      </c>
      <c r="N44" s="176" t="str">
        <f>VLOOKUP(C44,'Trips&amp;Operators'!$C$1:$E$99999,3,FALSE)</f>
        <v>HELVIE</v>
      </c>
      <c r="O44" s="154" t="s">
        <v>743</v>
      </c>
      <c r="P44" s="177"/>
      <c r="Q44" s="31"/>
      <c r="R44" s="100" t="str">
        <f>VLOOKUP(C44,'Train Runs'!$A$13:$AE$10001,31,0)</f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S44" s="103" t="str">
        <f>VLOOKUP(C44,'Train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10:24:34-0600',mode:absolute,to:'2016-10-12 13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4" s="105" t="str">
        <f t="shared" si="8"/>
        <v>"C:\Program Files (x86)\AstroGrep\AstroGrep.exe" /spath="%USERPROFILE%\AppData\Local\Temp\OnboardLogs" /stypes="*4040*201610121*" /stext=" 18:.+((SYSTEM_STATE.+slice.+state.+changed )|(ment ac)|(system.+state.+changed )|(\[timeout)|(PRM\|1\|D)|(kpr)|(kdp)|(\|lc)|(penalty))" /e /r /s</v>
      </c>
      <c r="U44" s="9" t="str">
        <f t="shared" si="2"/>
        <v>4040</v>
      </c>
      <c r="V44" s="36">
        <f t="shared" si="3"/>
        <v>42655.761365740742</v>
      </c>
      <c r="W44" s="50" t="str">
        <f t="shared" si="4"/>
        <v>EC</v>
      </c>
      <c r="X44" s="50" t="str">
        <f t="shared" si="5"/>
        <v>KEEP</v>
      </c>
      <c r="Y44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ID","value":"163-12"},{"id":16,"name":"Locomotive ID","value":"4040"},{"id":130,"name":"Impact","value":""},{"id":150,"name":"Time of Event (Mountain Time)","value":"12:16:22"},{"id":151,"name":"Denver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21"/>
      <c r="AC44" s="155" t="str">
        <f t="shared" si="10"/>
        <v>grep -hSE -A100 "Enforcement Action" "%USERPROFILE%\AppData\Local\Temp\OnboardLogs"\RTDC4040\*4040*201610121* | grep -SE "((Enforcement Ac)|(PRM))" -</v>
      </c>
      <c r="AD44" s="1"/>
    </row>
    <row r="45" spans="1:30" x14ac:dyDescent="0.25">
      <c r="A45" s="36">
        <v>42655.732094907406</v>
      </c>
      <c r="B45" s="31" t="s">
        <v>758</v>
      </c>
      <c r="C45" s="31" t="s">
        <v>504</v>
      </c>
      <c r="D45" s="31" t="s">
        <v>49</v>
      </c>
      <c r="E45" s="31" t="s">
        <v>756</v>
      </c>
      <c r="F45" s="47">
        <v>0</v>
      </c>
      <c r="G45" s="47">
        <v>87</v>
      </c>
      <c r="H45" s="47">
        <v>233168</v>
      </c>
      <c r="I45" s="47">
        <v>233264</v>
      </c>
      <c r="J45" s="31" t="s">
        <v>757</v>
      </c>
      <c r="K45" s="47">
        <v>233491</v>
      </c>
      <c r="L45" s="174" t="s">
        <v>50</v>
      </c>
      <c r="M45" s="175">
        <f t="shared" si="0"/>
        <v>119.85599999999999</v>
      </c>
      <c r="N45" s="176" t="str">
        <f>VLOOKUP(C45,'Trips&amp;Operators'!$C$1:$E$99999,3,FALSE)</f>
        <v>HELVIE</v>
      </c>
      <c r="O45" s="154" t="s">
        <v>743</v>
      </c>
      <c r="P45" s="177"/>
      <c r="Q45" s="31"/>
      <c r="R45" s="100" t="str">
        <f>VLOOKUP(C45,'Train Runs'!$A$13:$AE$10001,31,0)</f>
        <v>aws s3 cp s3://rtdc.mdm.uploadarchive.raw/RTDC4040/ "%USERPROFILE%\AppData\Local\Temp\OnboardLogs"\RTDC4040\2016-10-12 --exclude "*" --recursive --include "*20161012*" &amp; "%USERPROFILE%\Documents\GitHub\mrs-test-scripts\Headless Mode &amp; Sideloading\WalkAndUnGZ.bat" "%USERPROFILE%\AppData\Local\Temp\OnboardLogs"\RTDC4040\2016-10-12 &amp; aws s3 cp s3://rtdc.mdm.uploadarchive.raw/RTDC4040/ "%USERPROFILE%\AppData\Local\Temp\OnboardLogs"\RTDC4040\2016-10-13 --exclude "*" --recursive --include "*20161013*" &amp; "%USERPROFILE%\Documents\GitHub\mrs-test-scripts\Headless Mode &amp; Sideloading\WalkAndUnGZ.bat" "%USERPROFILE%\AppData\Local\Temp\OnboardLogs"\RTDC4040\2016-10-13</v>
      </c>
      <c r="S45" s="103" t="str">
        <f>VLOOKUP(C45,'Train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15:56:25-0600',mode:absolute,to:'2016-10-12 18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5" s="105" t="str">
        <f t="shared" si="8"/>
        <v>"C:\Program Files (x86)\AstroGrep\AstroGrep.exe" /spath="%USERPROFILE%\AppData\Local\Temp\OnboardLogs" /stypes="*4040*201610122*" /stext=" 23:.+((SYSTEM_STATE.+slice.+state.+changed )|(ment ac)|(system.+state.+changed )|(\[timeout)|(PRM\|1\|D)|(kpr)|(kdp)|(\|lc)|(penalty))" /e /r /s</v>
      </c>
      <c r="U45" s="9" t="str">
        <f t="shared" si="2"/>
        <v>4040</v>
      </c>
      <c r="V45" s="36">
        <f t="shared" si="3"/>
        <v>42655.982094907406</v>
      </c>
      <c r="W45" s="50" t="str">
        <f t="shared" si="4"/>
        <v>EC</v>
      </c>
      <c r="X45" s="50" t="str">
        <f t="shared" si="5"/>
        <v>KEEP</v>
      </c>
      <c r="Y45" s="122" t="str">
        <f t="shared" si="9"/>
        <v>echo {"issue":{"subject":"","project_id":79,"tracker_id":40,"status_id":1,"priority_id":2,"assigned_to_id":23,"start_date":"2016-10-12","description":"","custom_fields":[{"id":1,"name":"Subdivision","value":"EC"},{"id":4,"name":"Milepost","value":"23.3491"},{"id":17,"name":"Train ID","value":"207-12"},{"id":16,"name":"Locomotive ID","value":"4040"},{"id":130,"name":"Impact","value":""},{"id":150,"name":"Time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21"/>
      <c r="AC45" s="155" t="str">
        <f t="shared" si="10"/>
        <v>grep -hSE -A100 "Enforcement Action" "%USERPROFILE%\AppData\Local\Temp\OnboardLogs"\RTDC4040\*4040*201610122* | grep -SE "((Enforcement Ac)|(PRM))" -</v>
      </c>
      <c r="AD45" s="1"/>
    </row>
    <row r="46" spans="1:30" x14ac:dyDescent="0.25">
      <c r="A46" s="36">
        <v>42655.787800925929</v>
      </c>
      <c r="B46" s="31" t="s">
        <v>197</v>
      </c>
      <c r="C46" s="31" t="s">
        <v>665</v>
      </c>
      <c r="D46" s="31" t="s">
        <v>49</v>
      </c>
      <c r="E46" s="31" t="s">
        <v>155</v>
      </c>
      <c r="F46" s="47">
        <v>320</v>
      </c>
      <c r="G46" s="47">
        <v>452</v>
      </c>
      <c r="H46" s="47">
        <v>17236</v>
      </c>
      <c r="I46" s="47">
        <v>15843</v>
      </c>
      <c r="J46" s="31" t="s">
        <v>154</v>
      </c>
      <c r="K46" s="47">
        <v>15777</v>
      </c>
      <c r="L46" s="174" t="s">
        <v>51</v>
      </c>
      <c r="M46" s="175">
        <f t="shared" si="0"/>
        <v>34.847999999999999</v>
      </c>
      <c r="N46" s="176" t="str">
        <f>VLOOKUP(C46,'Trips&amp;Operators'!$C$1:$E$99999,3,FALSE)</f>
        <v>STAMBAUGH</v>
      </c>
      <c r="O46" s="154" t="s">
        <v>210</v>
      </c>
      <c r="P46" s="177" t="s">
        <v>759</v>
      </c>
      <c r="Q46" s="31"/>
      <c r="R46" s="100" t="str">
        <f>VLOOKUP(C46,'Train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6" s="103" t="str">
        <f>VLOOKUP(C46,'Train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17:38:03-0600',mode:absolute,to:'2016-10-12 20:01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6" s="105" t="str">
        <f t="shared" si="8"/>
        <v>"C:\Program Files (x86)\AstroGrep\AstroGrep.exe" /spath="%USERPROFILE%\AppData\Local\Temp\OnboardLogs" /stypes="*4004*201610130*" /stext=" 00:.+((SYSTEM_STATE.+slice.+state.+changed )|(ment ac)|(system.+state.+changed )|(\[timeout)|(PRM\|1\|D)|(kpr)|(kdp)|(\|lc)|(penalty))" /e /r /s</v>
      </c>
      <c r="U46" s="9" t="str">
        <f t="shared" si="2"/>
        <v>4004</v>
      </c>
      <c r="V46" s="36">
        <f t="shared" si="3"/>
        <v>42656.037800925929</v>
      </c>
      <c r="W46" s="50" t="str">
        <f t="shared" si="4"/>
        <v>NW</v>
      </c>
      <c r="X46" s="50" t="str">
        <f t="shared" si="5"/>
        <v>KEEP</v>
      </c>
      <c r="Y46" s="122" t="str">
        <f t="shared" si="9"/>
        <v>echo {"issue":{"subject":"Early arrival @ 41ST STATION","project_id":79,"tracker_id":40,"status_id":1,"priority_id":2,"assigned_to_id":23,"start_date":"2016-10-12","description":"","custom_fields":[{"id":1,"name":"Subdivision","value":"NW"},{"id":4,"name":"Milepost","value":"1.5777"},{"id":17,"name":"Train ID","value":"838-12"},{"id":16,"name":"Locomotive ID","value":"4004"},{"id":130,"name":"Impact","value":""},{"id":150,"name":"Time of Event (Mountain Time)","value":"18:54:26"},{"id":151,"name":"Denver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21"/>
      <c r="AC46" s="155" t="str">
        <f t="shared" si="10"/>
        <v>grep -hSE -A100 "Enforcement Action" "%USERPROFILE%\AppData\Local\Temp\OnboardLogs"\RTDC4004\*4004*201610130* | grep -SE "((Enforcement Ac)|(PRM))" -</v>
      </c>
      <c r="AD46" s="1"/>
    </row>
    <row r="47" spans="1:30" x14ac:dyDescent="0.25">
      <c r="A47" s="36">
        <v>42655.494351851848</v>
      </c>
      <c r="B47" s="31" t="s">
        <v>197</v>
      </c>
      <c r="C47" s="31" t="s">
        <v>616</v>
      </c>
      <c r="D47" s="31" t="s">
        <v>49</v>
      </c>
      <c r="E47" s="31" t="s">
        <v>750</v>
      </c>
      <c r="F47" s="47">
        <v>0</v>
      </c>
      <c r="G47" s="47">
        <v>305</v>
      </c>
      <c r="H47" s="47">
        <v>7954</v>
      </c>
      <c r="I47" s="47">
        <v>7277</v>
      </c>
      <c r="J47" s="31" t="s">
        <v>751</v>
      </c>
      <c r="K47" s="47">
        <v>6799</v>
      </c>
      <c r="L47" s="174" t="s">
        <v>51</v>
      </c>
      <c r="M47" s="175">
        <f t="shared" si="0"/>
        <v>252.38399999999999</v>
      </c>
      <c r="N47" s="176" t="str">
        <f>VLOOKUP(C47,'Trips&amp;Operators'!$C$1:$E$99999,3,FALSE)</f>
        <v>GEBRETEKLE</v>
      </c>
      <c r="O47" s="154" t="s">
        <v>743</v>
      </c>
      <c r="P47" s="177" t="s">
        <v>760</v>
      </c>
      <c r="Q47" s="31"/>
      <c r="R47" s="100" t="str">
        <f>VLOOKUP(C47,'Train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7" s="103" t="str">
        <f>VLOOKUP(C47,'Train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10:36:22-0600',mode:absolute,to:'2016-10-12 12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7" s="105" t="str">
        <f t="shared" si="8"/>
        <v>"C:\Program Files (x86)\AstroGrep\AstroGrep.exe" /spath="%USERPROFILE%\AppData\Local\Temp\OnboardLogs" /stypes="*4004*201610121*" /stext=" 17:.+((SYSTEM_STATE.+slice.+state.+changed )|(ment ac)|(system.+state.+changed )|(\[timeout)|(PRM\|1\|D)|(kpr)|(kdp)|(\|lc)|(penalty))" /e /r /s</v>
      </c>
      <c r="U47" s="9" t="str">
        <f t="shared" si="2"/>
        <v>4004</v>
      </c>
      <c r="V47" s="36">
        <f t="shared" si="3"/>
        <v>42655.744351851848</v>
      </c>
      <c r="W47" s="50" t="str">
        <f t="shared" si="4"/>
        <v>NW</v>
      </c>
      <c r="X47" s="50" t="str">
        <f t="shared" si="5"/>
        <v>KEEP</v>
      </c>
      <c r="Y47" s="122" t="str">
        <f t="shared" si="9"/>
        <v>echo {"issue":{"subject":"RESTRICTED aspect","project_id":79,"tracker_id":40,"status_id":1,"priority_id":2,"assigned_to_id":23,"start_date":"2016-10-12","description":"","custom_fields":[{"id":1,"name":"Subdivision","value":"NW"},{"id":4,"name":"Milepost","value":"0.6799"},{"id":17,"name":"Train ID","value":"818-12"},{"id":16,"name":"Locomotive ID","value":"4004"},{"id":130,"name":"Impact","value":""},{"id":150,"name":"Time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21"/>
      <c r="AC47" s="155" t="str">
        <f t="shared" si="10"/>
        <v>grep -hSE -A100 "Enforcement Action" "%USERPROFILE%\AppData\Local\Temp\OnboardLogs"\RTDC4004\*4004*201610121* | grep -SE "((Enforcement Ac)|(PRM))" -</v>
      </c>
      <c r="AD47" s="1"/>
    </row>
    <row r="48" spans="1:30" x14ac:dyDescent="0.25">
      <c r="A48" s="36">
        <v>42655.288680555554</v>
      </c>
      <c r="B48" s="31" t="s">
        <v>197</v>
      </c>
      <c r="C48" s="31" t="s">
        <v>269</v>
      </c>
      <c r="D48" s="31" t="s">
        <v>49</v>
      </c>
      <c r="E48" s="31" t="s">
        <v>756</v>
      </c>
      <c r="F48" s="47">
        <v>0</v>
      </c>
      <c r="G48" s="47">
        <v>35</v>
      </c>
      <c r="H48" s="47">
        <v>699</v>
      </c>
      <c r="I48" s="47">
        <v>670</v>
      </c>
      <c r="J48" s="31" t="s">
        <v>757</v>
      </c>
      <c r="K48" s="47">
        <v>575</v>
      </c>
      <c r="L48" s="174" t="s">
        <v>51</v>
      </c>
      <c r="M48" s="175">
        <f t="shared" si="0"/>
        <v>50.16</v>
      </c>
      <c r="N48" s="176" t="str">
        <f>VLOOKUP(C48,'Trips&amp;Operators'!$C$1:$E$99999,3,FALSE)</f>
        <v>GEBRETEKLE</v>
      </c>
      <c r="O48" s="154" t="s">
        <v>743</v>
      </c>
      <c r="P48" s="177"/>
      <c r="Q48" s="31"/>
      <c r="R48" s="100" t="str">
        <f>VLOOKUP(C48,'Train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8" s="103" t="str">
        <f>VLOOKUP(C48,'Train Runs'!$A$13:$AE$10001,22,0)</f>
        <v>https://search-rtdc-monitor-bjffxe2xuh6vdkpspy63sjmuny.us-east-1.es.amazonaws.com/_plugin/kibana/#/discover/Steve-Slow-Train-Analysis-(2080s-and-2083s)?_g=(refreshInterval:(display:Off,section:0,value:0),time:(from:'2016-10-12 05:37:58-0600',mode:absolute,to:'2016-10-12 07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8" s="105" t="str">
        <f t="shared" si="8"/>
        <v>"C:\Program Files (x86)\AstroGrep\AstroGrep.exe" /spath="%USERPROFILE%\AppData\Local\Temp\OnboardLogs" /stypes="*4004*201610121*" /stext=" 12:.+((SYSTEM_STATE.+slice.+state.+changed )|(ment ac)|(system.+state.+changed )|(\[timeout)|(PRM\|1\|D)|(kpr)|(kdp)|(\|lc)|(penalty))" /e /r /s</v>
      </c>
      <c r="U48" s="9" t="str">
        <f t="shared" si="2"/>
        <v>4004</v>
      </c>
      <c r="V48" s="36">
        <f t="shared" si="3"/>
        <v>42655.538680555554</v>
      </c>
      <c r="W48" s="50" t="str">
        <f t="shared" si="4"/>
        <v>NW</v>
      </c>
      <c r="X48" s="50" t="str">
        <f t="shared" si="5"/>
        <v>KEEP</v>
      </c>
      <c r="Y48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ID","value":"804-12"},{"id":16,"name":"Locomotive ID","value":"4004"},{"id":130,"name":"Impact","value":""},{"id":150,"name":"Time of Event (Mountain Time)","value":"06:55:42"},{"id":151,"name":"Denver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21"/>
      <c r="AC48" s="155" t="str">
        <f t="shared" si="10"/>
        <v>grep -hSE -A100 "Enforcement Action" "%USERPROFILE%\AppData\Local\Temp\OnboardLogs"\RTDC4004\*4004*201610121* | grep -SE "((Enforcement Ac)|(PRM))" -</v>
      </c>
      <c r="AD48" s="1"/>
    </row>
    <row r="49" spans="1:30" x14ac:dyDescent="0.25">
      <c r="A49" s="36">
        <v>42655.537800925929</v>
      </c>
      <c r="B49" s="31" t="s">
        <v>197</v>
      </c>
      <c r="C49" s="31" t="s">
        <v>622</v>
      </c>
      <c r="D49" s="31" t="s">
        <v>49</v>
      </c>
      <c r="E49" s="31" t="s">
        <v>756</v>
      </c>
      <c r="F49" s="47">
        <v>0</v>
      </c>
      <c r="G49" s="47">
        <v>54</v>
      </c>
      <c r="H49" s="47">
        <v>764</v>
      </c>
      <c r="I49" s="47">
        <v>720</v>
      </c>
      <c r="J49" s="31" t="s">
        <v>757</v>
      </c>
      <c r="K49" s="47">
        <v>575</v>
      </c>
      <c r="L49" s="174" t="s">
        <v>51</v>
      </c>
      <c r="M49" s="175">
        <f t="shared" si="0"/>
        <v>76.56</v>
      </c>
      <c r="N49" s="176" t="str">
        <f>VLOOKUP(C49,'Trips&amp;Operators'!$C$1:$E$99999,3,FALSE)</f>
        <v>GEBRETEKLE</v>
      </c>
      <c r="O49" s="154" t="s">
        <v>743</v>
      </c>
      <c r="P49" s="177"/>
      <c r="Q49" s="31"/>
      <c r="R49" s="100" t="str">
        <f>VLOOKUP(C49,'Train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49" s="103" t="str">
        <f>VLOOKUP(C49,'Train Runs'!$A$13:$AE$10001,22,0)</f>
        <v>https://search-rtdc-monitor-bjffxe2xuh6vdkpspy63sjmuny.us-east-1.es.amazonaws.com/_plugin/kibana/#/discover/Steve-Slow-Train-Analysis-(2080s-and-2083s)?_g=(refreshInterval:(display:Off,section:0,value:0),time:(from:'2016-10-12 11:38:38-0600',mode:absolute,to:'2016-10-12 13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 t="shared" si="8"/>
        <v>"C:\Program Files (x86)\AstroGrep\AstroGrep.exe" /spath="%USERPROFILE%\AppData\Local\Temp\OnboardLogs" /stypes="*4004*201610121*" /stext=" 18:.+((SYSTEM_STATE.+slice.+state.+changed )|(ment ac)|(system.+state.+changed )|(\[timeout)|(PRM\|1\|D)|(kpr)|(kdp)|(\|lc)|(penalty))" /e /r /s</v>
      </c>
      <c r="U49" s="9" t="str">
        <f t="shared" si="2"/>
        <v>4004</v>
      </c>
      <c r="V49" s="36">
        <f t="shared" si="3"/>
        <v>42655.787800925929</v>
      </c>
      <c r="W49" s="50" t="str">
        <f t="shared" si="4"/>
        <v>NW</v>
      </c>
      <c r="X49" s="50" t="str">
        <f t="shared" si="5"/>
        <v>KEEP</v>
      </c>
      <c r="Y49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ID","value":"820-12"},{"id":16,"name":"Locomotive ID","value":"4004"},{"id":130,"name":"Impact","value":""},{"id":150,"name":"Time of Event (Mountain Time)","value":"12:54:26"},{"id":151,"name":"Denver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21"/>
      <c r="AC49" s="155" t="str">
        <f t="shared" si="10"/>
        <v>grep -hSE -A100 "Enforcement Action" "%USERPROFILE%\AppData\Local\Temp\OnboardLogs"\RTDC4004\*4004*201610121* | grep -SE "((Enforcement Ac)|(PRM))" -</v>
      </c>
      <c r="AD49" s="1"/>
    </row>
    <row r="50" spans="1:30" x14ac:dyDescent="0.25">
      <c r="A50" s="36">
        <v>42655.70616898148</v>
      </c>
      <c r="B50" s="31" t="s">
        <v>197</v>
      </c>
      <c r="C50" s="31" t="s">
        <v>650</v>
      </c>
      <c r="D50" s="31" t="s">
        <v>49</v>
      </c>
      <c r="E50" s="31" t="s">
        <v>756</v>
      </c>
      <c r="F50" s="47">
        <v>0</v>
      </c>
      <c r="G50" s="47">
        <v>41</v>
      </c>
      <c r="H50" s="47">
        <v>733</v>
      </c>
      <c r="I50" s="47">
        <v>699</v>
      </c>
      <c r="J50" s="31" t="s">
        <v>757</v>
      </c>
      <c r="K50" s="47">
        <v>575</v>
      </c>
      <c r="L50" s="174" t="s">
        <v>51</v>
      </c>
      <c r="M50" s="175">
        <f t="shared" si="0"/>
        <v>65.471999999999994</v>
      </c>
      <c r="N50" s="176" t="str">
        <f>VLOOKUP(C50,'Trips&amp;Operators'!$C$1:$E$99999,3,FALSE)</f>
        <v>STAMBAUGH</v>
      </c>
      <c r="O50" s="154" t="s">
        <v>743</v>
      </c>
      <c r="P50" s="177"/>
      <c r="Q50" s="31"/>
      <c r="R50" s="100" t="str">
        <f>VLOOKUP(C50,'Train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50" s="103" t="str">
        <f>VLOOKUP(C50,'Train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15:40:05-0600',mode:absolute,to:'2016-10-12 17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0" s="105" t="str">
        <f t="shared" si="8"/>
        <v>"C:\Program Files (x86)\AstroGrep\AstroGrep.exe" /spath="%USERPROFILE%\AppData\Local\Temp\OnboardLogs" /stypes="*4004*201610122*" /stext=" 22:.+((SYSTEM_STATE.+slice.+state.+changed )|(ment ac)|(system.+state.+changed )|(\[timeout)|(PRM\|1\|D)|(kpr)|(kdp)|(\|lc)|(penalty))" /e /r /s</v>
      </c>
      <c r="U50" s="9" t="str">
        <f t="shared" si="2"/>
        <v>4004</v>
      </c>
      <c r="V50" s="36">
        <f t="shared" si="3"/>
        <v>42655.95616898148</v>
      </c>
      <c r="W50" s="50" t="str">
        <f t="shared" si="4"/>
        <v>NW</v>
      </c>
      <c r="X50" s="50" t="str">
        <f t="shared" si="5"/>
        <v>KEEP</v>
      </c>
      <c r="Y50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ID","value":"830-12"},{"id":16,"name":"Locomotive ID","value":"4004"},{"id":130,"name":"Impact","value":""},{"id":150,"name":"Time of Event (Mountain Time)","value":"16:56:53"},{"id":151,"name":"Denver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21"/>
      <c r="AC50" s="155" t="str">
        <f t="shared" si="10"/>
        <v>grep -hSE -A100 "Enforcement Action" "%USERPROFILE%\AppData\Local\Temp\OnboardLogs"\RTDC4004\*4004*201610122* | grep -SE "((Enforcement Ac)|(PRM))" -</v>
      </c>
      <c r="AD50" s="1"/>
    </row>
    <row r="51" spans="1:30" x14ac:dyDescent="0.25">
      <c r="A51" s="36">
        <v>42655.747442129628</v>
      </c>
      <c r="B51" s="31" t="s">
        <v>197</v>
      </c>
      <c r="C51" s="31" t="s">
        <v>659</v>
      </c>
      <c r="D51" s="31" t="s">
        <v>49</v>
      </c>
      <c r="E51" s="31" t="s">
        <v>756</v>
      </c>
      <c r="F51" s="47">
        <v>0</v>
      </c>
      <c r="G51" s="47">
        <v>46</v>
      </c>
      <c r="H51" s="47">
        <v>727</v>
      </c>
      <c r="I51" s="47">
        <v>696</v>
      </c>
      <c r="J51" s="31" t="s">
        <v>757</v>
      </c>
      <c r="K51" s="47">
        <v>575</v>
      </c>
      <c r="L51" s="174" t="s">
        <v>51</v>
      </c>
      <c r="M51" s="175">
        <f t="shared" si="0"/>
        <v>63.887999999999998</v>
      </c>
      <c r="N51" s="176" t="str">
        <f>VLOOKUP(C51,'Trips&amp;Operators'!$C$1:$E$99999,3,FALSE)</f>
        <v>STAMBAUGH</v>
      </c>
      <c r="O51" s="154" t="s">
        <v>743</v>
      </c>
      <c r="P51" s="177"/>
      <c r="Q51" s="31"/>
      <c r="R51" s="100" t="str">
        <f>VLOOKUP(C51,'Train Runs'!$A$13:$AE$10001,31,0)</f>
        <v>aws s3 cp s3://rtdc.mdm.uploadarchive.raw/RTDC4004/ "%USERPROFILE%\AppData\Local\Temp\OnboardLogs"\RTDC4004\2016-10-12 --exclude "*" --recursive --include "*20161012*" &amp; "%USERPROFILE%\Documents\GitHub\mrs-test-scripts\Headless Mode &amp; Sideloading\WalkAndUnGZ.bat" "%USERPROFILE%\AppData\Local\Temp\OnboardLogs"\RTDC4004\2016-10-12 &amp; aws s3 cp s3://rtdc.mdm.uploadarchive.raw/RTDC4004/ "%USERPROFILE%\AppData\Local\Temp\OnboardLogs"\RTDC4004\2016-10-13 --exclude "*" --recursive --include "*20161013*" &amp; "%USERPROFILE%\Documents\GitHub\mrs-test-scripts\Headless Mode &amp; Sideloading\WalkAndUnGZ.bat" "%USERPROFILE%\AppData\Local\Temp\OnboardLogs"\RTDC4004\2016-10-13</v>
      </c>
      <c r="S51" s="103" t="str">
        <f>VLOOKUP(C51,'Train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16:39:26-0600',mode:absolute,to:'2016-10-12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1" s="105" t="str">
        <f t="shared" si="8"/>
        <v>"C:\Program Files (x86)\AstroGrep\AstroGrep.exe" /spath="%USERPROFILE%\AppData\Local\Temp\OnboardLogs" /stypes="*4004*201610122*" /stext=" 23:.+((SYSTEM_STATE.+slice.+state.+changed )|(ment ac)|(system.+state.+changed )|(\[timeout)|(PRM\|1\|D)|(kpr)|(kdp)|(\|lc)|(penalty))" /e /r /s</v>
      </c>
      <c r="U51" s="9" t="str">
        <f t="shared" si="2"/>
        <v>4004</v>
      </c>
      <c r="V51" s="36">
        <f t="shared" si="3"/>
        <v>42655.997442129628</v>
      </c>
      <c r="W51" s="50" t="str">
        <f t="shared" si="4"/>
        <v>NW</v>
      </c>
      <c r="X51" s="50" t="str">
        <f t="shared" si="5"/>
        <v>KEEP</v>
      </c>
      <c r="Y51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{"issue":{"subject":"","project_id":79,"tracker_id":40,"status_id":1,"priority_id":2,"assigned_to_id":23,"start_date":"2016-10-12","description":"","custom_fields":[{"id":1,"name":"Subdivision","value":"NW"},{"id":4,"name":"Milepost","value":"0.0575"},{"id":17,"name":"Train ID","value":"834-12"},{"id":16,"name":"Locomotive ID","value":"4004"},{"id":130,"name":"Impact","value":""},{"id":150,"name":"Time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21"/>
      <c r="AC51" s="155" t="str">
        <f t="shared" si="10"/>
        <v>grep -hSE -A100 "Enforcement Action" "%USERPROFILE%\AppData\Local\Temp\OnboardLogs"\RTDC4004\*4004*201610122* | grep -SE "((Enforcement Ac)|(PRM))" -</v>
      </c>
      <c r="AD51" s="1"/>
    </row>
    <row r="52" spans="1:30" x14ac:dyDescent="0.25">
      <c r="A52" s="36">
        <v>42655.440775462965</v>
      </c>
      <c r="B52" s="31" t="s">
        <v>196</v>
      </c>
      <c r="C52" s="31" t="s">
        <v>607</v>
      </c>
      <c r="D52" s="31" t="s">
        <v>98</v>
      </c>
      <c r="E52" s="31" t="s">
        <v>756</v>
      </c>
      <c r="F52" s="47">
        <v>0</v>
      </c>
      <c r="G52" s="47">
        <v>18</v>
      </c>
      <c r="H52" s="47">
        <v>59048</v>
      </c>
      <c r="I52" s="47">
        <v>0</v>
      </c>
      <c r="J52" s="31" t="s">
        <v>757</v>
      </c>
      <c r="K52" s="47">
        <v>59048</v>
      </c>
      <c r="L52" s="174" t="s">
        <v>50</v>
      </c>
      <c r="M52" s="175">
        <f t="shared" si="0"/>
        <v>31177.344000000001</v>
      </c>
      <c r="N52" s="176" t="str">
        <f>VLOOKUP(C52,'Trips&amp;Operators'!$C$1:$E$99999,3,FALSE)</f>
        <v>GEBRETEKLE</v>
      </c>
      <c r="O52" s="154" t="s">
        <v>743</v>
      </c>
      <c r="P52" s="177"/>
      <c r="Q52" s="31"/>
      <c r="R52" s="100" t="str">
        <f>VLOOKUP(C52,'Train Runs'!$A$13:$AE$10001,31,0)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S52" s="103" t="str">
        <f>VLOOKUP(C52,'Train Runs'!$A$13:$AE$10001,22,0)</f>
        <v>https://search-rtdc-monitor-bjffxe2xuh6vdkpspy63sjmuny.us-east-1.es.amazonaws.com/_plugin/kibana/#/discover/Steve-Slow-Train-Analysis-(2080s-and-2083s)?_g=(refreshInterval:(display:Off,section:0,value:0),time:(from:'2016-10-12 08:58:08-0600',mode:absolute,to:'2016-10-12 11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2" s="105" t="str">
        <f t="shared" si="8"/>
        <v>"C:\Program Files (x86)\AstroGrep\AstroGrep.exe" /spath="%USERPROFILE%\AppData\Local\Temp\OnboardLogs" /stypes="*4003*201610121*" /stext=" 16:.+((SYSTEM_STATE.+slice.+state.+changed )|(ment ac)|(system.+state.+changed )|(\[timeout)|(PRM\|1\|D)|(kpr)|(kdp)|(\|lc)|(penalty))" /e /r /s</v>
      </c>
      <c r="U52" s="9" t="str">
        <f t="shared" si="2"/>
        <v>4003</v>
      </c>
      <c r="V52" s="36">
        <f t="shared" si="3"/>
        <v>42655.690775462965</v>
      </c>
      <c r="W52" s="50" t="str">
        <f t="shared" si="4"/>
        <v>NW</v>
      </c>
      <c r="X52" s="50" t="str">
        <f t="shared" si="5"/>
        <v>KEEP</v>
      </c>
      <c r="Y52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{"issue":{"subject":"","project_id":79,"tracker_id":40,"status_id":1,"priority_id":2,"assigned_to_id":23,"start_date":"2016-10-12","description":"","custom_fields":[{"id":1,"name":"Subdivision","value":"NW"},{"id":4,"name":"Milepost","value":"5.9048"},{"id":17,"name":"Train ID","value":"815-12"},{"id":16,"name":"Locomotive ID","value":"4003"},{"id":130,"name":"Impact","value":""},{"id":150,"name":"Time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21"/>
      <c r="AC52" s="155" t="str">
        <f t="shared" si="10"/>
        <v>grep -hSE -A100 "Enforcement Action" "%USERPROFILE%\AppData\Local\Temp\OnboardLogs"\RTDC4003\*4003*201610121* | grep -SE "((Enforcement Ac)|(PRM))" -</v>
      </c>
      <c r="AD52" s="1"/>
    </row>
    <row r="53" spans="1:30" x14ac:dyDescent="0.25">
      <c r="A53" s="36">
        <v>42655.69222222222</v>
      </c>
      <c r="B53" s="31" t="s">
        <v>196</v>
      </c>
      <c r="C53" s="31" t="s">
        <v>647</v>
      </c>
      <c r="D53" s="31" t="s">
        <v>49</v>
      </c>
      <c r="E53" s="31" t="s">
        <v>756</v>
      </c>
      <c r="F53" s="47">
        <v>0</v>
      </c>
      <c r="G53" s="47">
        <v>147</v>
      </c>
      <c r="H53" s="47">
        <v>57960</v>
      </c>
      <c r="I53" s="47">
        <v>58185</v>
      </c>
      <c r="J53" s="31" t="s">
        <v>757</v>
      </c>
      <c r="K53" s="47">
        <v>59048</v>
      </c>
      <c r="L53" s="174" t="s">
        <v>50</v>
      </c>
      <c r="M53" s="175">
        <f t="shared" si="0"/>
        <v>455.66399999999999</v>
      </c>
      <c r="N53" s="176" t="str">
        <f>VLOOKUP(C53,'Trips&amp;Operators'!$C$1:$E$99999,3,FALSE)</f>
        <v>STAMBAUGH</v>
      </c>
      <c r="O53" s="154" t="s">
        <v>743</v>
      </c>
      <c r="P53" s="177"/>
      <c r="Q53" s="31"/>
      <c r="R53" s="100" t="str">
        <f>VLOOKUP(C53,'Train Runs'!$A$13:$AE$10001,31,0)</f>
        <v>aws s3 cp s3://rtdc.mdm.uploadarchive.raw/RTDC4003/ "%USERPROFILE%\AppData\Local\Temp\OnboardLogs"\RTDC4003\2016-10-12 --exclude "*" --recursive --include "*20161012*" &amp; "%USERPROFILE%\Documents\GitHub\mrs-test-scripts\Headless Mode &amp; Sideloading\WalkAndUnGZ.bat" "%USERPROFILE%\AppData\Local\Temp\OnboardLogs"\RTDC4003\2016-10-12 &amp; aws s3 cp s3://rtdc.mdm.uploadarchive.raw/RTDC4003/ "%USERPROFILE%\AppData\Local\Temp\OnboardLogs"\RTDC4003\2016-10-13 --exclude "*" --recursive --include "*20161013*" &amp; "%USERPROFILE%\Documents\GitHub\mrs-test-scripts\Headless Mode &amp; Sideloading\WalkAndUnGZ.bat" "%USERPROFILE%\AppData\Local\Temp\OnboardLogs"\RTDC4003\2016-10-13</v>
      </c>
      <c r="S53" s="103" t="str">
        <f>VLOOKUP(C53,'Train Runs'!$A$13:$AE$10001,22,0)</f>
        <v>https://search-rtdc-monitor-bjffxe2xuh6vdkpspy63sjmuny.us-east-1.es.amazonaws.com/_plugin/kibana/#/discover/Steve-Slow-Train-Analysis-(2080s-and-2083s)?_g=(refreshInterval:(display:Off,section:0,value:0),time:(from:'2016-10-12 15:16:10-0600',mode:absolute,to:'2016-10-12 17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3" s="105" t="str">
        <f t="shared" si="8"/>
        <v>"C:\Program Files (x86)\AstroGrep\AstroGrep.exe" /spath="%USERPROFILE%\AppData\Local\Temp\OnboardLogs" /stypes="*4003*201610122*" /stext=" 22:.+((SYSTEM_STATE.+slice.+state.+changed )|(ment ac)|(system.+state.+changed )|(\[timeout)|(PRM\|1\|D)|(kpr)|(kdp)|(\|lc)|(penalty))" /e /r /s</v>
      </c>
      <c r="U53" s="9" t="str">
        <f t="shared" si="2"/>
        <v>4003</v>
      </c>
      <c r="V53" s="36">
        <f t="shared" si="3"/>
        <v>42655.94222222222</v>
      </c>
      <c r="W53" s="50" t="str">
        <f t="shared" si="4"/>
        <v>NW</v>
      </c>
      <c r="X53" s="50" t="str">
        <f t="shared" si="5"/>
        <v>KEEP</v>
      </c>
      <c r="Y53" s="122" t="str">
        <f t="shared" si="9"/>
        <v>echo {"issue":{"subject":"","project_id":79,"tracker_id":40,"status_id":1,"priority_id":2,"assigned_to_id":23,"start_date":"2016-10-12","description":"","custom_fields":[{"id":1,"name":"Subdivision","value":"NW"},{"id":4,"name":"Milepost","value":"5.9048"},{"id":17,"name":"Train ID","value":"829-12"},{"id":16,"name":"Locomotive ID","value":"4003"},{"id":130,"name":"Impact","value":""},{"id":150,"name":"Time of Event (Mountain Time)","value":"16:36:48"},{"id":151,"name":"Denver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21"/>
      <c r="AC53" s="155" t="str">
        <f t="shared" si="10"/>
        <v>grep -hSE -A100 "Enforcement Action" "%USERPROFILE%\AppData\Local\Temp\OnboardLogs"\RTDC4003\*4003*201610122* | grep -SE "((Enforcement Ac)|(PRM))" -</v>
      </c>
      <c r="AD53" s="1"/>
    </row>
    <row r="54" spans="1:30" x14ac:dyDescent="0.25">
      <c r="A54" s="36">
        <v>42655.793634259258</v>
      </c>
      <c r="B54" s="31" t="s">
        <v>200</v>
      </c>
      <c r="C54" s="31" t="s">
        <v>740</v>
      </c>
      <c r="D54" s="31" t="s">
        <v>98</v>
      </c>
      <c r="E54" s="31" t="s">
        <v>750</v>
      </c>
      <c r="F54" s="47">
        <v>0</v>
      </c>
      <c r="G54" s="47">
        <v>117</v>
      </c>
      <c r="H54" s="47">
        <v>2000</v>
      </c>
      <c r="I54" s="47">
        <v>2161</v>
      </c>
      <c r="J54" s="31" t="s">
        <v>751</v>
      </c>
      <c r="K54" s="47">
        <v>1692</v>
      </c>
      <c r="L54" s="174" t="s">
        <v>50</v>
      </c>
      <c r="M54" s="175">
        <f t="shared" si="0"/>
        <v>-247.63200000000001</v>
      </c>
      <c r="N54" s="176" t="str">
        <f>VLOOKUP(C54,'Trips&amp;Operators'!$C$1:$E$99999,3,FALSE)</f>
        <v>BONDS</v>
      </c>
      <c r="O54" s="154" t="s">
        <v>743</v>
      </c>
      <c r="P54" s="177"/>
      <c r="Q54" s="31"/>
      <c r="R54" s="100" t="str">
        <f>VLOOKUP(C54,'Train Runs'!$A$13:$AE$10001,31,0)</f>
        <v>aws s3 cp s3://rtdc.mdm.uploadarchive.raw/RTDC4044/ "%USERPROFILE%\AppData\Local\Temp\OnboardLogs"\RTDC4044\2016-10-12 --exclude "*" --recursive --include "*20161012*" &amp; "%USERPROFILE%\Documents\GitHub\mrs-test-scripts\Headless Mode &amp; Sideloading\WalkAndUnGZ.bat" "%USERPROFILE%\AppData\Local\Temp\OnboardLogs"\RTDC4044\2016-10-12 &amp; aws s3 cp s3://rtdc.mdm.uploadarchive.raw/RTDC4044/ "%USERPROFILE%\AppData\Local\Temp\OnboardLogs"\RTDC4044\2016-10-13 --exclude "*" --recursive --include "*20161013*" &amp; "%USERPROFILE%\Documents\GitHub\mrs-test-scripts\Headless Mode &amp; Sideloading\WalkAndUnGZ.bat" "%USERPROFILE%\AppData\Local\Temp\OnboardLogs"\RTDC4044\2016-10-13</v>
      </c>
      <c r="S54" s="103" t="str">
        <f>VLOOKUP(C54,'Train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17:25:27-0600',mode:absolute,to:'2016-10-12 20:02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54" s="105" t="str">
        <f t="shared" si="8"/>
        <v>"C:\Program Files (x86)\AstroGrep\AstroGrep.exe" /spath="%USERPROFILE%\AppData\Local\Temp\OnboardLogs" /stypes="*4044*201610130*" /stext=" 01:.+((SYSTEM_STATE.+slice.+state.+changed )|(ment ac)|(system.+state.+changed )|(\[timeout)|(PRM\|1\|D)|(kpr)|(kdp)|(\|lc)|(penalty))" /e /r /s</v>
      </c>
      <c r="U54" s="9" t="str">
        <f t="shared" si="2"/>
        <v>4044</v>
      </c>
      <c r="V54" s="36">
        <f t="shared" si="3"/>
        <v>42656.043634259258</v>
      </c>
      <c r="W54" s="50" t="str">
        <f t="shared" si="4"/>
        <v>Other</v>
      </c>
      <c r="X54" s="50" t="str">
        <f t="shared" si="5"/>
        <v>KEEP</v>
      </c>
      <c r="Y54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{"issue":{"subject":"","project_id":79,"tracker_id":40,"status_id":1,"priority_id":2,"assigned_to_id":23,"start_date":"2016-10-12","description":"","custom_fields":[{"id":1,"name":"Subdivision","value":"Other"},{"id":4,"name":"Milepost","value":"0.1692"},{"id":17,"name":"Train ID","value":"69-12"},{"id":16,"name":"Locomotive ID","value":"4044"},{"id":130,"name":"Impact","value":""},{"id":150,"name":"Time of Event (Mountain Time)","value":"19:02:50"},{"id":151,"name":"Denver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21"/>
      <c r="AC54" s="155" t="str">
        <f t="shared" si="10"/>
        <v>grep -hSE -A100 "Enforcement Action" "%USERPROFILE%\AppData\Local\Temp\OnboardLogs"\RTDC4044\*4044*201610130* | grep -SE "((Enforcement Ac)|(PRM))" -</v>
      </c>
      <c r="AD54" s="1"/>
    </row>
    <row r="55" spans="1:30" x14ac:dyDescent="0.25">
      <c r="A55" s="36">
        <v>42655.809861111113</v>
      </c>
      <c r="B55" s="31" t="s">
        <v>244</v>
      </c>
      <c r="C55" s="31" t="s">
        <v>687</v>
      </c>
      <c r="D55" s="31" t="s">
        <v>49</v>
      </c>
      <c r="E55" s="31" t="s">
        <v>750</v>
      </c>
      <c r="F55" s="47">
        <v>0</v>
      </c>
      <c r="G55" s="47">
        <v>161</v>
      </c>
      <c r="H55" s="47">
        <v>21791</v>
      </c>
      <c r="I55" s="47">
        <v>22000</v>
      </c>
      <c r="J55" s="31" t="s">
        <v>751</v>
      </c>
      <c r="K55" s="47">
        <v>22314</v>
      </c>
      <c r="L55" s="174" t="s">
        <v>50</v>
      </c>
      <c r="M55" s="175">
        <f t="shared" si="0"/>
        <v>165.79199999999997</v>
      </c>
      <c r="N55" s="176" t="str">
        <f>VLOOKUP(C55,'Trips&amp;Operators'!$C$1:$E$99999,3,FALSE)</f>
        <v>HILLS</v>
      </c>
      <c r="O55" s="154" t="s">
        <v>743</v>
      </c>
      <c r="P55" s="177"/>
      <c r="Q55" s="31"/>
      <c r="R55" s="100" t="str">
        <f>VLOOKUP(C55,'Train Runs'!$A$13:$AE$10001,31,0)</f>
        <v>aws s3 cp s3://rtdc.mdm.uploadarchive.raw/RTDC4031/ "%USERPROFILE%\AppData\Local\Temp\OnboardLogs"\RTDC4031\2016-10-12 --exclude "*" --recursive --include "*20161012*" &amp; "%USERPROFILE%\Documents\GitHub\mrs-test-scripts\Headless Mode &amp; Sideloading\WalkAndUnGZ.bat" "%USERPROFILE%\AppData\Local\Temp\OnboardLogs"\RTDC4031\2016-10-12 &amp; aws s3 cp s3://rtdc.mdm.uploadarchive.raw/RTDC4031/ "%USERPROFILE%\AppData\Local\Temp\OnboardLogs"\RTDC4031\2016-10-13 --exclude "*" --recursive --include "*20161013*" &amp; "%USERPROFILE%\Documents\GitHub\mrs-test-scripts\Headless Mode &amp; Sideloading\WalkAndUnGZ.bat" "%USERPROFILE%\AppData\Local\Temp\OnboardLogs"\RTDC4031\2016-10-13</v>
      </c>
      <c r="S55" s="103" t="str">
        <f>VLOOKUP(C55,'Train Runs'!$A$13:$AE$10001,22,0)</f>
        <v>https://search-rtdc-monitor-bjffxe2xuh6vdkpspy63sjmuny.us-east-1.es.amazonaws.com/_plugin/kibana/#/discover/Steve-Slow-Train-Analysis-(2080s-and-2083s)?_g=(refreshInterval:(display:Off,section:0,value:0),time:(from:'2016-10-12 18:14:43-0600',mode:absolute,to:'2016-10-12 20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55" s="105" t="str">
        <f t="shared" si="8"/>
        <v>"C:\Program Files (x86)\AstroGrep\AstroGrep.exe" /spath="%USERPROFILE%\AppData\Local\Temp\OnboardLogs" /stypes="*4031*201610130*" /stext=" 01:.+((SYSTEM_STATE.+slice.+state.+changed )|(ment ac)|(system.+state.+changed )|(\[timeout)|(PRM\|1\|D)|(kpr)|(kdp)|(\|lc)|(penalty))" /e /r /s</v>
      </c>
      <c r="U55" s="9" t="str">
        <f t="shared" si="2"/>
        <v>4031</v>
      </c>
      <c r="V55" s="36">
        <f t="shared" si="3"/>
        <v>42656.059861111113</v>
      </c>
      <c r="W55" s="50" t="str">
        <f t="shared" si="4"/>
        <v>Other</v>
      </c>
      <c r="X55" s="50" t="str">
        <f t="shared" si="5"/>
        <v>KEEP</v>
      </c>
      <c r="Y55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{"issue":{"subject":"","project_id":79,"tracker_id":40,"status_id":1,"priority_id":2,"assigned_to_id":23,"start_date":"2016-10-12","description":"","custom_fields":[{"id":1,"name":"Subdivision","value":"Other"},{"id":4,"name":"Milepost","value":"2.2314"},{"id":17,"name":"Train ID","value":"305-12"},{"id":16,"name":"Locomotive ID","value":"4031"},{"id":130,"name":"Impact","value":""},{"id":150,"name":"Time of Event (Mountain Time)","value":"19:26:12"},{"id":151,"name":"Denver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21"/>
      <c r="AC55" s="155" t="str">
        <f t="shared" si="10"/>
        <v>grep -hSE -A100 "Enforcement Action" "%USERPROFILE%\AppData\Local\Temp\OnboardLogs"\RTDC4031\*4031*201610130* | grep -SE "((Enforcement Ac)|(PRM))" -</v>
      </c>
      <c r="AD55" s="1"/>
    </row>
    <row r="56" spans="1:30" x14ac:dyDescent="0.25">
      <c r="A56" s="36">
        <v>42655.434537037036</v>
      </c>
      <c r="B56" s="31" t="s">
        <v>761</v>
      </c>
      <c r="C56" s="31" t="s">
        <v>720</v>
      </c>
      <c r="D56" s="31" t="s">
        <v>98</v>
      </c>
      <c r="E56" s="31" t="s">
        <v>750</v>
      </c>
      <c r="F56" s="47">
        <v>0</v>
      </c>
      <c r="G56" s="47">
        <v>89</v>
      </c>
      <c r="H56" s="47">
        <v>24025</v>
      </c>
      <c r="I56" s="47">
        <v>23915</v>
      </c>
      <c r="J56" s="31" t="s">
        <v>751</v>
      </c>
      <c r="K56" s="47">
        <v>24235</v>
      </c>
      <c r="L56" s="174" t="s">
        <v>51</v>
      </c>
      <c r="M56" s="175">
        <f t="shared" si="0"/>
        <v>-168.96</v>
      </c>
      <c r="N56" s="176" t="str">
        <f>VLOOKUP(C56,'Trips&amp;Operators'!$C$1:$E$99999,3,FALSE)</f>
        <v>BARTLETT</v>
      </c>
      <c r="O56" s="154" t="s">
        <v>743</v>
      </c>
      <c r="P56" s="177"/>
      <c r="Q56" s="31"/>
      <c r="R56" s="100" t="str">
        <f>VLOOKUP(C56,'Train Runs'!$A$13:$AE$10001,31,0)</f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S56" s="103" t="str">
        <f>VLOOKUP(C56,'Train Runs'!$A$13:$AE$10001,22,0)</f>
        <v>https://search-rtdc-monitor-bjffxe2xuh6vdkpspy63sjmuny.us-east-1.es.amazonaws.com/_plugin/kibana/#/discover/Steve-Slow-Train-Analysis-(2080s-and-2083s)?_g=(refreshInterval:(display:Off,section:0,value:0),time:(from:'2016-10-12 09:23:36-0600',mode:absolute,to:'2016-10-12 11:25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6" s="105" t="str">
        <f t="shared" si="8"/>
        <v>"C:\Program Files (x86)\AstroGrep\AstroGrep.exe" /spath="%USERPROFILE%\AppData\Local\Temp\OnboardLogs" /stypes="*4019*201610121*" /stext=" 16:.+((SYSTEM_STATE.+slice.+state.+changed )|(ment ac)|(system.+state.+changed )|(\[timeout)|(PRM\|1\|D)|(kpr)|(kdp)|(\|lc)|(penalty))" /e /r /s</v>
      </c>
      <c r="U56" s="9" t="str">
        <f t="shared" si="2"/>
        <v>4019</v>
      </c>
      <c r="V56" s="36">
        <f t="shared" si="3"/>
        <v>42655.684537037036</v>
      </c>
      <c r="W56" s="50" t="str">
        <f t="shared" si="4"/>
        <v>Other</v>
      </c>
      <c r="X56" s="50" t="str">
        <f t="shared" si="5"/>
        <v>KEEP</v>
      </c>
      <c r="Y56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ID","value":"56-12"},{"id":16,"name":"Locomotive ID","value":"4019"},{"id":130,"name":"Impact","value":""},{"id":150,"name":"Time of Event (Mountain Time)","value":"10:25:44"},{"id":151,"name":"Denver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21"/>
      <c r="AC56" s="155" t="str">
        <f t="shared" si="10"/>
        <v>grep -hSE -A100 "Enforcement Action" "%USERPROFILE%\AppData\Local\Temp\OnboardLogs"\RTDC4019\*4019*201610121* | grep -SE "((Enforcement Ac)|(PRM))" -</v>
      </c>
      <c r="AD56" s="1"/>
    </row>
    <row r="57" spans="1:30" x14ac:dyDescent="0.25">
      <c r="A57" s="36">
        <v>42655.723715277774</v>
      </c>
      <c r="B57" s="31" t="s">
        <v>762</v>
      </c>
      <c r="C57" s="31" t="s">
        <v>729</v>
      </c>
      <c r="D57" s="31" t="s">
        <v>98</v>
      </c>
      <c r="E57" s="31" t="s">
        <v>750</v>
      </c>
      <c r="F57" s="47">
        <v>0</v>
      </c>
      <c r="G57" s="47">
        <v>65</v>
      </c>
      <c r="H57" s="47">
        <v>24133</v>
      </c>
      <c r="I57" s="47">
        <v>23996</v>
      </c>
      <c r="J57" s="31" t="s">
        <v>751</v>
      </c>
      <c r="K57" s="47">
        <v>24235</v>
      </c>
      <c r="L57" s="174" t="s">
        <v>51</v>
      </c>
      <c r="M57" s="175">
        <f t="shared" si="0"/>
        <v>-126.19199999999999</v>
      </c>
      <c r="N57" s="176" t="str">
        <f>VLOOKUP(C57,'Trips&amp;Operators'!$C$1:$E$99999,3,FALSE)</f>
        <v>BRANDNER</v>
      </c>
      <c r="O57" s="154" t="s">
        <v>743</v>
      </c>
      <c r="P57" s="177"/>
      <c r="Q57" s="31"/>
      <c r="R57" s="100" t="str">
        <f>VLOOKUP(C57,'Train Runs'!$A$13:$AE$10001,31,0)</f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S57" s="103" t="str">
        <f>VLOOKUP(C57,'Train Runs'!$A$13:$AE$10001,22,0)</f>
        <v>https://search-rtdc-monitor-bjffxe2xuh6vdkpspy63sjmuny.us-east-1.es.amazonaws.com/_plugin/kibana/#/discover/Steve-Slow-Train-Analysis-(2080s-and-2083s)?_g=(refreshInterval:(display:Off,section:0,value:0),time:(from:'2016-10-12 16:18:48-0600',mode:absolute,to:'2016-10-12 18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57" s="105" t="str">
        <f t="shared" si="8"/>
        <v>"C:\Program Files (x86)\AstroGrep\AstroGrep.exe" /spath="%USERPROFILE%\AppData\Local\Temp\OnboardLogs" /stypes="*4028*201610122*" /stext=" 23:.+((SYSTEM_STATE.+slice.+state.+changed )|(ment ac)|(system.+state.+changed )|(\[timeout)|(PRM\|1\|D)|(kpr)|(kdp)|(\|lc)|(penalty))" /e /r /s</v>
      </c>
      <c r="U57" s="9" t="str">
        <f t="shared" si="2"/>
        <v>4028</v>
      </c>
      <c r="V57" s="36">
        <f t="shared" si="3"/>
        <v>42655.973715277774</v>
      </c>
      <c r="W57" s="50" t="str">
        <f t="shared" si="4"/>
        <v>Other</v>
      </c>
      <c r="X57" s="50" t="str">
        <f t="shared" si="5"/>
        <v>KEEP</v>
      </c>
      <c r="Y57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ID","value":"62-12"},{"id":16,"name":"Locomotive ID","value":"4028"},{"id":130,"name":"Impact","value":""},{"id":150,"name":"Time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21"/>
      <c r="AC57" s="155" t="str">
        <f t="shared" si="10"/>
        <v>grep -hSE -A100 "Enforcement Action" "%USERPROFILE%\AppData\Local\Temp\OnboardLogs"\RTDC4028\*4028*201610122* | grep -SE "((Enforcement Ac)|(PRM))" -</v>
      </c>
      <c r="AD57" s="1"/>
    </row>
    <row r="58" spans="1:30" x14ac:dyDescent="0.25">
      <c r="A58" s="36">
        <v>42655.749872685185</v>
      </c>
      <c r="B58" s="31" t="s">
        <v>761</v>
      </c>
      <c r="C58" s="31" t="s">
        <v>735</v>
      </c>
      <c r="D58" s="31" t="s">
        <v>98</v>
      </c>
      <c r="E58" s="31" t="s">
        <v>750</v>
      </c>
      <c r="F58" s="47">
        <v>0</v>
      </c>
      <c r="G58" s="47">
        <v>101</v>
      </c>
      <c r="H58" s="47">
        <v>24095</v>
      </c>
      <c r="I58" s="47">
        <v>23953</v>
      </c>
      <c r="J58" s="31" t="s">
        <v>751</v>
      </c>
      <c r="K58" s="47">
        <v>24235</v>
      </c>
      <c r="L58" s="174" t="s">
        <v>51</v>
      </c>
      <c r="M58" s="175">
        <f t="shared" si="0"/>
        <v>-148.89599999999999</v>
      </c>
      <c r="N58" s="176" t="str">
        <f>VLOOKUP(C58,'Trips&amp;Operators'!$C$1:$E$99999,3,FALSE)</f>
        <v>YOUNG</v>
      </c>
      <c r="O58" s="154" t="s">
        <v>743</v>
      </c>
      <c r="P58" s="177"/>
      <c r="Q58" s="31"/>
      <c r="R58" s="100" t="str">
        <f>VLOOKUP(C58,'Train Runs'!$A$13:$AE$10001,31,0)</f>
        <v>aws s3 cp s3://rtdc.mdm.uploadarchive.raw/RTDC4019/ "%USERPROFILE%\AppData\Local\Temp\OnboardLogs"\RTDC4019\2016-10-12 --exclude "*" --recursive --include "*20161012*" &amp; "%USERPROFILE%\Documents\GitHub\mrs-test-scripts\Headless Mode &amp; Sideloading\WalkAndUnGZ.bat" "%USERPROFILE%\AppData\Local\Temp\OnboardLogs"\RTDC4019\2016-10-12 &amp; aws s3 cp s3://rtdc.mdm.uploadarchive.raw/RTDC4019/ "%USERPROFILE%\AppData\Local\Temp\OnboardLogs"\RTDC4019\2016-10-13 --exclude "*" --recursive --include "*20161013*" &amp; "%USERPROFILE%\Documents\GitHub\mrs-test-scripts\Headless Mode &amp; Sideloading\WalkAndUnGZ.bat" "%USERPROFILE%\AppData\Local\Temp\OnboardLogs"\RTDC4019\2016-10-13</v>
      </c>
      <c r="S58" s="103" t="str">
        <f>VLOOKUP(C58,'Train Runs'!$A$13:$AE$10001,22,0)</f>
        <v>https://search-rtdc-monitor-bjffxe2xuh6vdkpspy63sjmuny.us-east-1.es.amazonaws.com/_plugin/kibana/#/discover/Steve-Slow-Train-Analysis-(2080s-and-2083s)?_g=(refreshInterval:(display:Off,section:0,value:0),time:(from:'2016-10-12 17:00:56-0600',mode:absolute,to:'2016-10-12 19:13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8" s="105" t="str">
        <f t="shared" si="8"/>
        <v>"C:\Program Files (x86)\AstroGrep\AstroGrep.exe" /spath="%USERPROFILE%\AppData\Local\Temp\OnboardLogs" /stypes="*4019*201610122*" /stext=" 23:.+((SYSTEM_STATE.+slice.+state.+changed )|(ment ac)|(system.+state.+changed )|(\[timeout)|(PRM\|1\|D)|(kpr)|(kdp)|(\|lc)|(penalty))" /e /r /s</v>
      </c>
      <c r="U58" s="9" t="str">
        <f t="shared" si="2"/>
        <v>4019</v>
      </c>
      <c r="V58" s="36">
        <f t="shared" si="3"/>
        <v>42655.999872685185</v>
      </c>
      <c r="W58" s="50" t="str">
        <f t="shared" si="4"/>
        <v>Other</v>
      </c>
      <c r="X58" s="50" t="str">
        <f t="shared" si="5"/>
        <v>KEEP</v>
      </c>
      <c r="Y58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{"issue":{"subject":"","project_id":79,"tracker_id":40,"status_id":1,"priority_id":2,"assigned_to_id":23,"start_date":"2016-10-12","description":"","custom_fields":[{"id":1,"name":"Subdivision","value":"Other"},{"id":4,"name":"Milepost","value":"2.4235"},{"id":17,"name":"Train ID","value":"66-12"},{"id":16,"name":"Locomotive ID","value":"4019"},{"id":130,"name":"Impact","value":""},{"id":150,"name":"Time of Event (Mountain Time)","value":"17:59:49"},{"id":151,"name":"Denver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21"/>
      <c r="AC58" s="155" t="str">
        <f t="shared" si="10"/>
        <v>grep -hSE -A100 "Enforcement Action" "%USERPROFILE%\AppData\Local\Temp\OnboardLogs"\RTDC4019\*4019*201610122* | grep -SE "((Enforcement Ac)|(PRM))" -</v>
      </c>
      <c r="AD58" s="1"/>
    </row>
    <row r="59" spans="1:30" x14ac:dyDescent="0.25">
      <c r="A59" s="36">
        <v>42655.177291666667</v>
      </c>
      <c r="B59" s="31" t="s">
        <v>224</v>
      </c>
      <c r="C59" s="31" t="s">
        <v>263</v>
      </c>
      <c r="D59" s="31" t="s">
        <v>49</v>
      </c>
      <c r="E59" s="31" t="s">
        <v>763</v>
      </c>
      <c r="F59" s="47">
        <v>100</v>
      </c>
      <c r="G59" s="47">
        <v>152</v>
      </c>
      <c r="H59" s="47">
        <v>11463</v>
      </c>
      <c r="I59" s="47">
        <v>11220</v>
      </c>
      <c r="J59" s="31" t="s">
        <v>154</v>
      </c>
      <c r="K59" s="47">
        <v>11000</v>
      </c>
      <c r="L59" s="174" t="s">
        <v>51</v>
      </c>
      <c r="M59" s="175">
        <f t="shared" si="0"/>
        <v>116.16</v>
      </c>
      <c r="N59" s="176" t="str">
        <f>VLOOKUP(C59,'Trips&amp;Operators'!$C$1:$E$99999,3,FALSE)</f>
        <v>SPECTOR</v>
      </c>
      <c r="O59" s="154" t="s">
        <v>743</v>
      </c>
      <c r="P59" s="177"/>
      <c r="Q59" s="31"/>
      <c r="R59" s="100" t="str">
        <f>VLOOKUP(C59,'Train Runs'!$A$13:$AE$10001,31,0)</f>
        <v>aws s3 cp s3://rtdc.mdm.uploadarchive.raw/RTDC4043/ "%USERPROFILE%\AppData\Local\Temp\OnboardLogs"\RTDC4043\2016-10-12 --exclude "*" --recursive --include "*20161012*" &amp; "%USERPROFILE%\Documents\GitHub\mrs-test-scripts\Headless Mode &amp; Sideloading\WalkAndUnGZ.bat" "%USERPROFILE%\AppData\Local\Temp\OnboardLogs"\RTDC4043\2016-10-12 &amp; aws s3 cp s3://rtdc.mdm.uploadarchive.raw/RTDC4043/ "%USERPROFILE%\AppData\Local\Temp\OnboardLogs"\RTDC4043\2016-10-13 --exclude "*" --recursive --include "*20161013*" &amp; "%USERPROFILE%\Documents\GitHub\mrs-test-scripts\Headless Mode &amp; Sideloading\WalkAndUnGZ.bat" "%USERPROFILE%\AppData\Local\Temp\OnboardLogs"\RTDC4043\2016-10-13</v>
      </c>
      <c r="S59" s="103" t="str">
        <f>VLOOKUP(C59,'Train Runs'!$A$13:$AE$10001,22,0)</f>
        <v>https://search-rtdc-monitor-bjffxe2xuh6vdkpspy63sjmuny.us-east-1.es.amazonaws.com/_plugin/kibana/#/discover/Steve-Slow-Train-Analysis-(2080s-and-2083s)?_g=(refreshInterval:(display:Off,section:0,value:0),time:(from:'2016-10-12 03:09:09-0600',mode:absolute,to:'2016-10-12 05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9" s="105" t="str">
        <f t="shared" si="8"/>
        <v>"C:\Program Files (x86)\AstroGrep\AstroGrep.exe" /spath="%USERPROFILE%\AppData\Local\Temp\OnboardLogs" /stypes="*4043*201610121*" /stext=" 10:.+((SYSTEM_STATE.+slice.+state.+changed )|(ment ac)|(system.+state.+changed )|(\[timeout)|(PRM\|1\|D)|(kpr)|(kdp)|(\|lc)|(penalty))" /e /r /s</v>
      </c>
      <c r="U59" s="9" t="str">
        <f t="shared" si="2"/>
        <v>4043</v>
      </c>
      <c r="V59" s="36">
        <f t="shared" si="3"/>
        <v>42655.427291666667</v>
      </c>
      <c r="W59" s="50" t="str">
        <f t="shared" si="4"/>
        <v>Other</v>
      </c>
      <c r="X59" s="50" t="str">
        <f t="shared" si="5"/>
        <v>KEEP</v>
      </c>
      <c r="Y59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{"issue":{"subject":"","project_id":79,"tracker_id":40,"status_id":1,"priority_id":2,"assigned_to_id":23,"start_date":"2016-10-12","description":"","custom_fields":[{"id":1,"name":"Subdivision","value":"Other"},{"id":4,"name":"Milepost","value":"1.1"},{"id":17,"name":"Train ID","value":"308-12"},{"id":16,"name":"Locomotive ID","value":"4043"},{"id":130,"name":"Impact","value":""},{"id":150,"name":"Time of Event (Mountain Time)","value":"04:15:18"},{"id":151,"name":"Denver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21"/>
      <c r="AC59" s="155" t="str">
        <f t="shared" si="10"/>
        <v>grep -hSE -A100 "Enforcement Action" "%USERPROFILE%\AppData\Local\Temp\OnboardLogs"\RTDC4043\*4043*201610121* | grep -SE "((Enforcement Ac)|(PRM))" -</v>
      </c>
      <c r="AD59" s="1"/>
    </row>
    <row r="60" spans="1:30" x14ac:dyDescent="0.25">
      <c r="A60" s="36">
        <v>42655.378113425926</v>
      </c>
      <c r="B60" s="31" t="s">
        <v>230</v>
      </c>
      <c r="C60" s="31" t="s">
        <v>320</v>
      </c>
      <c r="D60" s="31" t="s">
        <v>49</v>
      </c>
      <c r="E60" s="31" t="s">
        <v>756</v>
      </c>
      <c r="F60" s="47">
        <v>0</v>
      </c>
      <c r="G60" s="47">
        <v>19</v>
      </c>
      <c r="H60" s="47">
        <v>52</v>
      </c>
      <c r="I60" s="47">
        <v>43</v>
      </c>
      <c r="J60" s="31" t="s">
        <v>757</v>
      </c>
      <c r="K60" s="47">
        <v>1</v>
      </c>
      <c r="L60" s="174" t="s">
        <v>51</v>
      </c>
      <c r="M60" s="175">
        <f t="shared" si="0"/>
        <v>22.175999999999998</v>
      </c>
      <c r="N60" s="176" t="str">
        <f>VLOOKUP(C60,'Trips&amp;Operators'!$C$1:$E$99999,3,FALSE)</f>
        <v>ACKERMAN</v>
      </c>
      <c r="O60" s="154" t="s">
        <v>743</v>
      </c>
      <c r="P60" s="177"/>
      <c r="Q60" s="31"/>
      <c r="R60" s="100" t="str">
        <f>VLOOKUP(C60,'Train Runs'!$A$13:$AE$10001,31,0)</f>
        <v>aws s3 cp s3://rtdc.mdm.uploadarchive.raw/RTDC4039/ "%USERPROFILE%\AppData\Local\Temp\OnboardLogs"\RTDC4039\2016-10-12 --exclude "*" --recursive --include "*20161012*" &amp; "%USERPROFILE%\Documents\GitHub\mrs-test-scripts\Headless Mode &amp; Sideloading\WalkAndUnGZ.bat" "%USERPROFILE%\AppData\Local\Temp\OnboardLogs"\RTDC4039\2016-10-12 &amp; aws s3 cp s3://rtdc.mdm.uploadarchive.raw/RTDC4039/ "%USERPROFILE%\AppData\Local\Temp\OnboardLogs"\RTDC4039\2016-10-13 --exclude "*" --recursive --include "*20161013*" &amp; "%USERPROFILE%\Documents\GitHub\mrs-test-scripts\Headless Mode &amp; Sideloading\WalkAndUnGZ.bat" "%USERPROFILE%\AppData\Local\Temp\OnboardLogs"\RTDC4039\2016-10-13</v>
      </c>
      <c r="S60" s="103" t="str">
        <f>VLOOKUP(C60,'Train Runs'!$A$13:$AE$10001,22,0)</f>
        <v>https://search-rtdc-monitor-bjffxe2xuh6vdkpspy63sjmuny.us-east-1.es.amazonaws.com/_plugin/kibana/#/discover/Steve-Slow-Train-Analysis-(2080s-and-2083s)?_g=(refreshInterval:(display:Off,section:0,value:0),time:(from:'2016-10-12 06:37:56-0600',mode:absolute,to:'2016-10-12 09:47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60" s="105" t="str">
        <f t="shared" si="8"/>
        <v>"C:\Program Files (x86)\AstroGrep\AstroGrep.exe" /spath="%USERPROFILE%\AppData\Local\Temp\OnboardLogs" /stypes="*4039*201610121*" /stext=" 15:.+((SYSTEM_STATE.+slice.+state.+changed )|(ment ac)|(system.+state.+changed )|(\[timeout)|(PRM\|1\|D)|(kpr)|(kdp)|(\|lc)|(penalty))" /e /r /s</v>
      </c>
      <c r="U60" s="9" t="str">
        <f t="shared" si="2"/>
        <v>4039</v>
      </c>
      <c r="V60" s="36">
        <f t="shared" si="3"/>
        <v>42655.628113425926</v>
      </c>
      <c r="W60" s="50" t="str">
        <f t="shared" si="4"/>
        <v>Other</v>
      </c>
      <c r="X60" s="50" t="str">
        <f t="shared" si="5"/>
        <v>KEEP</v>
      </c>
      <c r="Y60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{"issue":{"subject":"","project_id":79,"tracker_id":40,"status_id":1,"priority_id":2,"assigned_to_id":23,"start_date":"2016-10-12","description":"","custom_fields":[{"id":1,"name":"Subdivision","value":"Other"},{"id":4,"name":"Milepost","value":"0.0001"},{"id":17,"name":"Train ID","value":"50-12"},{"id":16,"name":"Locomotive ID","value":"4039"},{"id":130,"name":"Impact","value":""},{"id":150,"name":"Time of Event (Mountain Time)","value":"09:04:29"},{"id":151,"name":"Denver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21"/>
      <c r="AC60" s="155" t="str">
        <f t="shared" si="10"/>
        <v>grep -hSE -A100 "Enforcement Action" "%USERPROFILE%\AppData\Local\Temp\OnboardLogs"\RTDC4039\*4039*201610121* | grep -SE "((Enforcement Ac)|(PRM))" -</v>
      </c>
      <c r="AD60" s="1"/>
    </row>
    <row r="61" spans="1:30" x14ac:dyDescent="0.25">
      <c r="A61" s="36">
        <v>42655.468645833331</v>
      </c>
      <c r="B61" s="31" t="s">
        <v>762</v>
      </c>
      <c r="C61" s="31" t="s">
        <v>717</v>
      </c>
      <c r="D61" s="31" t="s">
        <v>49</v>
      </c>
      <c r="E61" s="31" t="s">
        <v>756</v>
      </c>
      <c r="F61" s="47">
        <v>0</v>
      </c>
      <c r="G61" s="47">
        <v>53</v>
      </c>
      <c r="H61" s="47">
        <v>1006</v>
      </c>
      <c r="I61" s="47">
        <v>950</v>
      </c>
      <c r="J61" s="31" t="s">
        <v>757</v>
      </c>
      <c r="K61" s="47">
        <v>826</v>
      </c>
      <c r="L61" s="174" t="s">
        <v>51</v>
      </c>
      <c r="M61" s="175">
        <f t="shared" si="0"/>
        <v>65.471999999999994</v>
      </c>
      <c r="N61" s="176" t="str">
        <f>VLOOKUP(C61,'Trips&amp;Operators'!$C$1:$E$99999,3,FALSE)</f>
        <v>HELVIE</v>
      </c>
      <c r="O61" s="154" t="s">
        <v>743</v>
      </c>
      <c r="P61" s="177"/>
      <c r="Q61" s="31"/>
      <c r="R61" s="100" t="str">
        <f>VLOOKUP(C61,'Train Runs'!$A$13:$AE$10001,31,0)</f>
        <v>aws s3 cp s3://rtdc.mdm.uploadarchive.raw/RTDC4028/ "%USERPROFILE%\AppData\Local\Temp\OnboardLogs"\RTDC4028\2016-10-12 --exclude "*" --recursive --include "*20161012*" &amp; "%USERPROFILE%\Documents\GitHub\mrs-test-scripts\Headless Mode &amp; Sideloading\WalkAndUnGZ.bat" "%USERPROFILE%\AppData\Local\Temp\OnboardLogs"\RTDC4028\2016-10-12 &amp; aws s3 cp s3://rtdc.mdm.uploadarchive.raw/RTDC4028/ "%USERPROFILE%\AppData\Local\Temp\OnboardLogs"\RTDC4028\2016-10-13 --exclude "*" --recursive --include "*20161013*" &amp; "%USERPROFILE%\Documents\GitHub\mrs-test-scripts\Headless Mode &amp; Sideloading\WalkAndUnGZ.bat" "%USERPROFILE%\AppData\Local\Temp\OnboardLogs"\RTDC4028\2016-10-13</v>
      </c>
      <c r="S61" s="103" t="str">
        <f>VLOOKUP(C61,'Train Runs'!$A$13:$AE$10001,22,0)</f>
        <v>https://search-rtdc-monitor-bjffxe2xuh6vdkpspy63sjmuny.us-east-1.es.amazonaws.com/_plugin/kibana/#/discover/Steve-Slow-Train-Analysis-(2080s-and-2083s)?_g=(refreshInterval:(display:Off,section:0,value:0),time:(from:'2016-10-12 10:03:37-0600',mode:absolute,to:'2016-10-12 12:14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61" s="105" t="str">
        <f t="shared" si="8"/>
        <v>"C:\Program Files (x86)\AstroGrep\AstroGrep.exe" /spath="%USERPROFILE%\AppData\Local\Temp\OnboardLogs" /stypes="*4028*201610121*" /stext=" 17:.+((SYSTEM_STATE.+slice.+state.+changed )|(ment ac)|(system.+state.+changed )|(\[timeout)|(PRM\|1\|D)|(kpr)|(kdp)|(\|lc)|(penalty))" /e /r /s</v>
      </c>
      <c r="U61" s="9" t="str">
        <f t="shared" si="2"/>
        <v>4028</v>
      </c>
      <c r="V61" s="36">
        <f t="shared" si="3"/>
        <v>42655.718645833331</v>
      </c>
      <c r="W61" s="50" t="str">
        <f t="shared" si="4"/>
        <v>Other</v>
      </c>
      <c r="X61" s="50" t="str">
        <f t="shared" si="5"/>
        <v>KEEP</v>
      </c>
      <c r="Y61" s="122" t="str">
        <f t="shared" si="9"/>
        <v>echo {"issue":{"subject":"","project_id":79,"tracker_id":40,"status_id":1,"priority_id":2,"assigned_to_id":23,"start_date":"2016-10-12","description":"","custom_fields":[{"id":1,"name":"Subdivision","value":"Other"},{"id":4,"name":"Milepost","value":"0.0826"},{"id":17,"name":"Train ID","value":"54-12"},{"id":16,"name":"Locomotive ID","value":"4028"},{"id":130,"name":"Impact","value":""},{"id":150,"name":"Time of Event (Mountain Time)","value":"11:14:51"},{"id":151,"name":"Denver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21"/>
      <c r="AC61" s="155" t="str">
        <f t="shared" si="10"/>
        <v>grep -hSE -A100 "Enforcement Action" "%USERPROFILE%\AppData\Local\Temp\OnboardLogs"\RTDC4028\*4028*201610121* | grep -SE "((Enforcement Ac)|(PRM))" -</v>
      </c>
      <c r="AD61" s="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61"/>
      <sortCondition ref="E7:E61"/>
      <sortCondition ref="K7:K61"/>
      <sortCondition ref="F7:F61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61">
    <cfRule type="cellIs" dxfId="1" priority="2" operator="equal">
      <formula>"Y"</formula>
    </cfRule>
  </conditionalFormatting>
  <conditionalFormatting sqref="A7:P61">
    <cfRule type="expression" dxfId="0" priority="1">
      <formula>$O7="Y"</formula>
    </cfRule>
  </conditionalFormatting>
  <hyperlinks>
    <hyperlink ref="Z2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Values'!#REF!</xm:f>
          </x14:formula1>
          <xm:sqref>AA7:AA61</xm:sqref>
        </x14:dataValidation>
        <x14:dataValidation type="list" allowBlank="1" showInputMessage="1" showErrorMessage="1">
          <x14:formula1>
            <xm:f>'Redmine List Values'!#REF!</xm:f>
          </x14:formula1>
          <xm:sqref>AB7:AB61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A28" sqref="A28:M34"/>
    </sheetView>
  </sheetViews>
  <sheetFormatPr defaultRowHeight="15" x14ac:dyDescent="0.25"/>
  <cols>
    <col min="1" max="1" width="9.140625" style="142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42"/>
      <c r="B1" s="183" t="str">
        <f>"Trips that did not appear in PTC Data "&amp;TEXT(Variables!$A$2,"YYYY-mm-dd")</f>
        <v>Trips that did not appear in PTC Data 2016-10-12</v>
      </c>
      <c r="C1" s="183"/>
      <c r="D1" s="183"/>
      <c r="E1" s="183"/>
      <c r="F1" s="183"/>
    </row>
    <row r="2" spans="1:11" s="24" customFormat="1" ht="45" x14ac:dyDescent="0.25">
      <c r="A2" s="15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64">
        <v>108</v>
      </c>
      <c r="B3" s="47" t="str">
        <f>A3&amp;"-"&amp;IF(DAY(Variables!$A$2)&lt;10,0,"")&amp;DAY(Variables!$A$2)</f>
        <v>108-12</v>
      </c>
      <c r="C3" s="179"/>
      <c r="D3" s="180"/>
      <c r="E3" s="31" t="s">
        <v>764</v>
      </c>
      <c r="F3" s="22" t="str">
        <f>VLOOKUP(B3,'Trips&amp;Operators'!$C$2:$E$10000,3,FALSE)</f>
        <v>SPECTOR</v>
      </c>
      <c r="G3" s="22" t="str">
        <f>VLOOKUP(B3,'Trips&amp;Operators'!$C$1:$F$10000,4,FALSE)</f>
        <v>rtdc.l.rtdc.4043:itc</v>
      </c>
      <c r="H3" s="30">
        <f>VLOOKUP(B3,'Trips&amp;Operators'!$C$1:$H$10000,5,FALSE)</f>
        <v>42655.223263888889</v>
      </c>
      <c r="I3" s="50" t="str">
        <f t="shared" ref="I3:I2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22108-12%22)),sort:!(Time,asc))</v>
      </c>
      <c r="J3" s="31" t="e">
        <f>VLOOKUP(B3,'Train Runs'!$A$13:$A$99998,1,FALSE)</f>
        <v>#N/A</v>
      </c>
      <c r="K3" s="21" t="e">
        <f t="shared" ref="K3:K27" si="1">IF(VLOOKUP(A3,$K$66:$K$89,1,FALSE),"Cancelled")</f>
        <v>#N/A</v>
      </c>
    </row>
    <row r="4" spans="1:11" x14ac:dyDescent="0.25">
      <c r="A4" s="164">
        <v>139</v>
      </c>
      <c r="B4" s="47" t="str">
        <f>A4&amp;"-"&amp;IF(DAY(Variables!$A$2)&lt;10,0,"")&amp;DAY(Variables!$A$2)</f>
        <v>139-12</v>
      </c>
      <c r="C4" s="179"/>
      <c r="D4" s="180"/>
      <c r="E4" s="31" t="s">
        <v>764</v>
      </c>
      <c r="F4" s="22" t="str">
        <f>VLOOKUP(B4,'Trips&amp;Operators'!$C$2:$E$10000,3,FALSE)</f>
        <v>DE LA ROSA</v>
      </c>
      <c r="G4" s="22" t="str">
        <f>VLOOKUP(B4,'Trips&amp;Operators'!$C$1:$F$10000,4,FALSE)</f>
        <v>rtdc.l.rtdc.4046:itc</v>
      </c>
      <c r="H4" s="30">
        <f>VLOOKUP(B4,'Trips&amp;Operators'!$C$1:$H$10000,5,FALSE)</f>
        <v>42655.344814814816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22139-12%22)),sort:!(Time,asc))</v>
      </c>
      <c r="J4" s="31" t="e">
        <f>VLOOKUP(B4,'Train Runs'!$A$13:$A$99998,1,FALSE)</f>
        <v>#N/A</v>
      </c>
      <c r="K4" s="21" t="e">
        <f t="shared" si="1"/>
        <v>#N/A</v>
      </c>
    </row>
    <row r="5" spans="1:11" x14ac:dyDescent="0.25">
      <c r="A5" s="164">
        <v>110</v>
      </c>
      <c r="B5" s="47" t="str">
        <f>A5&amp;"-"&amp;IF(DAY(Variables!$A$2)&lt;10,0,"")&amp;DAY(Variables!$A$2)</f>
        <v>110-12</v>
      </c>
      <c r="C5" s="179"/>
      <c r="D5" s="180"/>
      <c r="E5" s="31" t="s">
        <v>764</v>
      </c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22110-12%22)),sort:!(Time,asc))</v>
      </c>
      <c r="J5" s="31" t="e">
        <f>VLOOKUP(B5,'Train Runs'!$A$13:$A$99998,1,FALSE)</f>
        <v>#N/A</v>
      </c>
      <c r="K5" s="21" t="e">
        <f t="shared" si="1"/>
        <v>#N/A</v>
      </c>
    </row>
    <row r="6" spans="1:11" x14ac:dyDescent="0.25">
      <c r="A6" s="164">
        <v>111</v>
      </c>
      <c r="B6" s="47" t="str">
        <f>A6&amp;"-"&amp;IF(DAY(Variables!$A$2)&lt;10,0,"")&amp;DAY(Variables!$A$2)</f>
        <v>111-12</v>
      </c>
      <c r="C6" s="179"/>
      <c r="D6" s="180"/>
      <c r="E6" s="31" t="s">
        <v>764</v>
      </c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22111-12%22)),sort:!(Time,asc))</v>
      </c>
      <c r="J6" s="31" t="e">
        <f>VLOOKUP(B6,'Train Runs'!$A$13:$A$99998,1,FALSE)</f>
        <v>#N/A</v>
      </c>
      <c r="K6" s="21" t="e">
        <f t="shared" si="1"/>
        <v>#N/A</v>
      </c>
    </row>
    <row r="7" spans="1:11" x14ac:dyDescent="0.25">
      <c r="A7" s="164">
        <v>113</v>
      </c>
      <c r="B7" s="47" t="str">
        <f>A7&amp;"-"&amp;IF(DAY(Variables!$A$2)&lt;10,0,"")&amp;DAY(Variables!$A$2)</f>
        <v>113-12</v>
      </c>
      <c r="C7" s="179"/>
      <c r="D7" s="180"/>
      <c r="E7" s="31" t="s">
        <v>764</v>
      </c>
      <c r="F7" s="22" t="str">
        <f>VLOOKUP(B7,'Trips&amp;Operators'!$C$2:$E$10000,3,FALSE)</f>
        <v>MAELZER</v>
      </c>
      <c r="G7" s="22" t="str">
        <f>VLOOKUP(B7,'Trips&amp;Operators'!$C$1:$F$10000,4,FALSE)</f>
        <v>rtdc.l.rtdc.4018:itc</v>
      </c>
      <c r="H7" s="30">
        <f>VLOOKUP(B7,'Trips&amp;Operators'!$C$1:$H$10000,5,FALSE)</f>
        <v>42655.219398148147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22113-12%22)),sort:!(Time,asc))</v>
      </c>
      <c r="J7" s="31" t="e">
        <f>VLOOKUP(B7,'Train Runs'!$A$13:$A$99998,1,FALSE)</f>
        <v>#N/A</v>
      </c>
      <c r="K7" s="21" t="e">
        <f t="shared" si="1"/>
        <v>#N/A</v>
      </c>
    </row>
    <row r="8" spans="1:11" x14ac:dyDescent="0.25">
      <c r="A8" s="164">
        <v>114</v>
      </c>
      <c r="B8" s="47" t="str">
        <f>A8&amp;"-"&amp;IF(DAY(Variables!$A$2)&lt;10,0,"")&amp;DAY(Variables!$A$2)</f>
        <v>114-12</v>
      </c>
      <c r="C8" s="179"/>
      <c r="D8" s="180"/>
      <c r="E8" s="31" t="s">
        <v>764</v>
      </c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-12%22)),sort:!(Time,asc))</v>
      </c>
      <c r="J8" s="31" t="e">
        <f>VLOOKUP(B8,'Train Runs'!$A$13:$A$99998,1,FALSE)</f>
        <v>#N/A</v>
      </c>
      <c r="K8" s="21" t="e">
        <f t="shared" si="1"/>
        <v>#N/A</v>
      </c>
    </row>
    <row r="9" spans="1:11" x14ac:dyDescent="0.25">
      <c r="A9" s="164">
        <v>116</v>
      </c>
      <c r="B9" s="47" t="str">
        <f>A9&amp;"-"&amp;IF(DAY(Variables!$A$2)&lt;10,0,"")&amp;DAY(Variables!$A$2)</f>
        <v>116-12</v>
      </c>
      <c r="C9" s="179"/>
      <c r="D9" s="180"/>
      <c r="E9" s="31" t="s">
        <v>764</v>
      </c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22116-12%22)),sort:!(Time,asc))</v>
      </c>
      <c r="J9" s="31" t="e">
        <f>VLOOKUP(B9,'Train Runs'!$A$13:$A$99998,1,FALSE)</f>
        <v>#N/A</v>
      </c>
      <c r="K9" s="21" t="e">
        <f t="shared" si="1"/>
        <v>#N/A</v>
      </c>
    </row>
    <row r="10" spans="1:11" x14ac:dyDescent="0.25">
      <c r="A10" s="164">
        <v>117</v>
      </c>
      <c r="B10" s="47" t="str">
        <f>A10&amp;"-"&amp;IF(DAY(Variables!$A$2)&lt;10,0,"")&amp;DAY(Variables!$A$2)</f>
        <v>117-12</v>
      </c>
      <c r="C10" s="179"/>
      <c r="D10" s="180"/>
      <c r="E10" s="31" t="s">
        <v>764</v>
      </c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22117-12%22)),sort:!(Time,asc))</v>
      </c>
      <c r="J10" s="31" t="e">
        <f>VLOOKUP(B10,'Train Runs'!$A$13:$A$99998,1,FALSE)</f>
        <v>#N/A</v>
      </c>
      <c r="K10" s="21" t="e">
        <f t="shared" si="1"/>
        <v>#N/A</v>
      </c>
    </row>
    <row r="11" spans="1:11" x14ac:dyDescent="0.25">
      <c r="A11" s="164">
        <v>118</v>
      </c>
      <c r="B11" s="47" t="str">
        <f>A11&amp;"-"&amp;IF(DAY(Variables!$A$2)&lt;10,0,"")&amp;DAY(Variables!$A$2)</f>
        <v>118-12</v>
      </c>
      <c r="C11" s="179"/>
      <c r="D11" s="180"/>
      <c r="E11" s="31" t="s">
        <v>764</v>
      </c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22118-12%22)),sort:!(Time,asc))</v>
      </c>
      <c r="J11" s="31" t="e">
        <f>VLOOKUP(B11,'Train Runs'!$A$13:$A$99998,1,FALSE)</f>
        <v>#N/A</v>
      </c>
      <c r="K11" s="21" t="e">
        <f t="shared" si="1"/>
        <v>#N/A</v>
      </c>
    </row>
    <row r="12" spans="1:11" x14ac:dyDescent="0.25">
      <c r="A12" s="164">
        <v>119</v>
      </c>
      <c r="B12" s="47" t="str">
        <f>A12&amp;"-"&amp;IF(DAY(Variables!$A$2)&lt;10,0,"")&amp;DAY(Variables!$A$2)</f>
        <v>119-12</v>
      </c>
      <c r="C12" s="179"/>
      <c r="D12" s="180"/>
      <c r="E12" s="31" t="s">
        <v>764</v>
      </c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-12%22)),sort:!(Time,asc))</v>
      </c>
      <c r="J12" s="31" t="e">
        <f>VLOOKUP(B12,'Train Runs'!$A$13:$A$99998,1,FALSE)</f>
        <v>#N/A</v>
      </c>
      <c r="K12" s="21" t="e">
        <f t="shared" si="1"/>
        <v>#N/A</v>
      </c>
    </row>
    <row r="13" spans="1:11" x14ac:dyDescent="0.25">
      <c r="A13" s="164">
        <v>121</v>
      </c>
      <c r="B13" s="47" t="str">
        <f>A13&amp;"-"&amp;IF(DAY(Variables!$A$2)&lt;10,0,"")&amp;DAY(Variables!$A$2)</f>
        <v>121-12</v>
      </c>
      <c r="C13" s="179"/>
      <c r="D13" s="180"/>
      <c r="E13" s="31" t="s">
        <v>764</v>
      </c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22121-12%22)),sort:!(Time,asc))</v>
      </c>
      <c r="J13" s="31" t="e">
        <f>VLOOKUP(B13,'Train Runs'!$A$13:$A$99998,1,FALSE)</f>
        <v>#N/A</v>
      </c>
      <c r="K13" s="21" t="e">
        <f t="shared" si="1"/>
        <v>#N/A</v>
      </c>
    </row>
    <row r="14" spans="1:11" s="21" customFormat="1" x14ac:dyDescent="0.25">
      <c r="A14" s="164">
        <v>122</v>
      </c>
      <c r="B14" s="47" t="str">
        <f>A14&amp;"-"&amp;IF(DAY(Variables!$A$2)&lt;10,0,"")&amp;DAY(Variables!$A$2)</f>
        <v>122-12</v>
      </c>
      <c r="C14" s="179"/>
      <c r="D14" s="180"/>
      <c r="E14" s="31" t="s">
        <v>764</v>
      </c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22122-12%22)),sort:!(Time,asc))</v>
      </c>
      <c r="J14" s="31" t="e">
        <f>VLOOKUP(B14,'Train Runs'!$A$13:$A$99998,1,FALSE)</f>
        <v>#N/A</v>
      </c>
      <c r="K14" s="21" t="e">
        <f t="shared" si="1"/>
        <v>#N/A</v>
      </c>
    </row>
    <row r="15" spans="1:11" x14ac:dyDescent="0.25">
      <c r="A15" s="164">
        <v>124</v>
      </c>
      <c r="B15" s="47" t="str">
        <f>A15&amp;"-"&amp;IF(DAY(Variables!$A$2)&lt;10,0,"")&amp;DAY(Variables!$A$2)</f>
        <v>124-12</v>
      </c>
      <c r="C15" s="179"/>
      <c r="D15" s="180"/>
      <c r="E15" s="31" t="s">
        <v>764</v>
      </c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22124-12%22)),sort:!(Time,asc))</v>
      </c>
      <c r="J15" s="31" t="e">
        <f>VLOOKUP(B15,'Train Runs'!$A$13:$A$99998,1,FALSE)</f>
        <v>#N/A</v>
      </c>
      <c r="K15" s="21" t="e">
        <f t="shared" si="1"/>
        <v>#N/A</v>
      </c>
    </row>
    <row r="16" spans="1:11" x14ac:dyDescent="0.25">
      <c r="A16" s="164">
        <v>125</v>
      </c>
      <c r="B16" s="47" t="str">
        <f>A16&amp;"-"&amp;IF(DAY(Variables!$A$2)&lt;10,0,"")&amp;DAY(Variables!$A$2)</f>
        <v>125-12</v>
      </c>
      <c r="C16" s="179"/>
      <c r="D16" s="180"/>
      <c r="E16" s="31" t="s">
        <v>764</v>
      </c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22125-12%22)),sort:!(Time,asc))</v>
      </c>
      <c r="J16" s="31" t="e">
        <f>VLOOKUP(B16,'Train Runs'!$A$13:$A$99998,1,FALSE)</f>
        <v>#N/A</v>
      </c>
      <c r="K16" s="21" t="e">
        <f t="shared" si="1"/>
        <v>#N/A</v>
      </c>
    </row>
    <row r="17" spans="1:11" x14ac:dyDescent="0.25">
      <c r="A17" s="164">
        <v>130</v>
      </c>
      <c r="B17" s="47" t="str">
        <f>A17&amp;"-"&amp;IF(DAY(Variables!$A$2)&lt;10,0,"")&amp;DAY(Variables!$A$2)</f>
        <v>130-12</v>
      </c>
      <c r="C17" s="179"/>
      <c r="D17" s="180"/>
      <c r="E17" s="31" t="s">
        <v>764</v>
      </c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22130-12%22)),sort:!(Time,asc))</v>
      </c>
      <c r="J17" s="31" t="e">
        <f>VLOOKUP(B17,'Train Runs'!$A$13:$A$99998,1,FALSE)</f>
        <v>#N/A</v>
      </c>
      <c r="K17" s="21" t="e">
        <f t="shared" si="1"/>
        <v>#N/A</v>
      </c>
    </row>
    <row r="18" spans="1:11" x14ac:dyDescent="0.25">
      <c r="A18" s="164">
        <v>131</v>
      </c>
      <c r="B18" s="47" t="str">
        <f>A18&amp;"-"&amp;IF(DAY(Variables!$A$2)&lt;10,0,"")&amp;DAY(Variables!$A$2)</f>
        <v>131-12</v>
      </c>
      <c r="C18" s="179"/>
      <c r="D18" s="180"/>
      <c r="E18" s="31" t="s">
        <v>764</v>
      </c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22131-12%22)),sort:!(Time,asc))</v>
      </c>
      <c r="J18" s="31" t="e">
        <f>VLOOKUP(B18,'Train Runs'!$A$13:$A$99998,1,FALSE)</f>
        <v>#N/A</v>
      </c>
      <c r="K18" s="21" t="e">
        <f t="shared" si="1"/>
        <v>#N/A</v>
      </c>
    </row>
    <row r="19" spans="1:11" x14ac:dyDescent="0.25">
      <c r="A19" s="164">
        <v>133</v>
      </c>
      <c r="B19" s="47" t="str">
        <f>A19&amp;"-"&amp;IF(DAY(Variables!$A$2)&lt;10,0,"")&amp;DAY(Variables!$A$2)</f>
        <v>133-12</v>
      </c>
      <c r="C19" s="179"/>
      <c r="D19" s="180"/>
      <c r="E19" s="31" t="s">
        <v>764</v>
      </c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-12%22)),sort:!(Time,asc))</v>
      </c>
      <c r="J19" s="31" t="e">
        <f>VLOOKUP(B19,'Train Runs'!$A$13:$A$99998,1,FALSE)</f>
        <v>#N/A</v>
      </c>
      <c r="K19" s="21" t="e">
        <f t="shared" si="1"/>
        <v>#N/A</v>
      </c>
    </row>
    <row r="20" spans="1:11" x14ac:dyDescent="0.25">
      <c r="A20" s="164">
        <v>134</v>
      </c>
      <c r="B20" s="47" t="str">
        <f>A20&amp;"-"&amp;IF(DAY(Variables!$A$2)&lt;10,0,"")&amp;DAY(Variables!$A$2)</f>
        <v>134-12</v>
      </c>
      <c r="C20" s="179"/>
      <c r="D20" s="180"/>
      <c r="E20" s="31" t="s">
        <v>764</v>
      </c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22134-12%22)),sort:!(Time,asc))</v>
      </c>
      <c r="J20" s="31" t="e">
        <f>VLOOKUP(B20,'Train Runs'!$A$13:$A$99998,1,FALSE)</f>
        <v>#N/A</v>
      </c>
      <c r="K20" s="21" t="e">
        <f t="shared" si="1"/>
        <v>#N/A</v>
      </c>
    </row>
    <row r="21" spans="1:11" x14ac:dyDescent="0.25">
      <c r="A21" s="164">
        <v>137</v>
      </c>
      <c r="B21" s="47" t="str">
        <f>A21&amp;"-"&amp;IF(DAY(Variables!$A$2)&lt;10,0,"")&amp;DAY(Variables!$A$2)</f>
        <v>137-12</v>
      </c>
      <c r="C21" s="179"/>
      <c r="D21" s="180"/>
      <c r="E21" s="31" t="s">
        <v>764</v>
      </c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22137-12%22)),sort:!(Time,asc))</v>
      </c>
      <c r="J21" s="31" t="e">
        <f>VLOOKUP(B21,'Train Runs'!$A$13:$A$99998,1,FALSE)</f>
        <v>#N/A</v>
      </c>
      <c r="K21" s="21" t="e">
        <f t="shared" si="1"/>
        <v>#N/A</v>
      </c>
    </row>
    <row r="22" spans="1:11" x14ac:dyDescent="0.25">
      <c r="A22" s="164">
        <v>138</v>
      </c>
      <c r="B22" s="47" t="str">
        <f>A22&amp;"-"&amp;IF(DAY(Variables!$A$2)&lt;10,0,"")&amp;DAY(Variables!$A$2)</f>
        <v>138-12</v>
      </c>
      <c r="C22" s="179"/>
      <c r="D22" s="180"/>
      <c r="E22" s="31" t="s">
        <v>764</v>
      </c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22138-12%22)),sort:!(Time,asc))</v>
      </c>
      <c r="J22" s="31" t="e">
        <f>VLOOKUP(B22,'Train Runs'!$A$13:$A$99998,1,FALSE)</f>
        <v>#N/A</v>
      </c>
      <c r="K22" s="21" t="e">
        <f t="shared" si="1"/>
        <v>#N/A</v>
      </c>
    </row>
    <row r="23" spans="1:11" x14ac:dyDescent="0.25">
      <c r="A23" s="164">
        <v>140</v>
      </c>
      <c r="B23" s="47" t="str">
        <f>A23&amp;"-"&amp;IF(DAY(Variables!$A$2)&lt;10,0,"")&amp;DAY(Variables!$A$2)</f>
        <v>140-12</v>
      </c>
      <c r="C23" s="179"/>
      <c r="D23" s="180"/>
      <c r="E23" s="31" t="s">
        <v>764</v>
      </c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22140-12%22)),sort:!(Time,asc))</v>
      </c>
      <c r="J23" s="31" t="e">
        <f>VLOOKUP(B23,'Train Runs'!$A$13:$A$99998,1,FALSE)</f>
        <v>#N/A</v>
      </c>
      <c r="K23" s="21" t="e">
        <f t="shared" si="1"/>
        <v>#N/A</v>
      </c>
    </row>
    <row r="24" spans="1:11" x14ac:dyDescent="0.25">
      <c r="A24" s="164">
        <v>141</v>
      </c>
      <c r="B24" s="47" t="str">
        <f>A24&amp;"-"&amp;IF(DAY(Variables!$A$2)&lt;10,0,"")&amp;DAY(Variables!$A$2)</f>
        <v>141-12</v>
      </c>
      <c r="C24" s="179"/>
      <c r="D24" s="180"/>
      <c r="E24" s="31" t="s">
        <v>764</v>
      </c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22141-12%22)),sort:!(Time,asc))</v>
      </c>
      <c r="J24" s="31" t="e">
        <f>VLOOKUP(B24,'Train Runs'!$A$13:$A$99998,1,FALSE)</f>
        <v>#N/A</v>
      </c>
      <c r="K24" s="21" t="e">
        <f t="shared" si="1"/>
        <v>#N/A</v>
      </c>
    </row>
    <row r="25" spans="1:11" x14ac:dyDescent="0.25">
      <c r="A25" s="164">
        <v>145</v>
      </c>
      <c r="B25" s="47" t="str">
        <f>A25&amp;"-"&amp;IF(DAY(Variables!$A$2)&lt;10,0,"")&amp;DAY(Variables!$A$2)</f>
        <v>145-12</v>
      </c>
      <c r="C25" s="179"/>
      <c r="D25" s="180"/>
      <c r="E25" s="31" t="s">
        <v>764</v>
      </c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22145-12%22)),sort:!(Time,asc))</v>
      </c>
      <c r="J25" s="31" t="e">
        <f>VLOOKUP(B25,'Train Runs'!$A$13:$A$99998,1,FALSE)</f>
        <v>#N/A</v>
      </c>
      <c r="K25" s="21" t="e">
        <f t="shared" si="1"/>
        <v>#N/A</v>
      </c>
    </row>
    <row r="26" spans="1:11" x14ac:dyDescent="0.25">
      <c r="A26" s="164">
        <v>146</v>
      </c>
      <c r="B26" s="47" t="str">
        <f>A26&amp;"-"&amp;IF(DAY(Variables!$A$2)&lt;10,0,"")&amp;DAY(Variables!$A$2)</f>
        <v>146-12</v>
      </c>
      <c r="C26" s="179"/>
      <c r="D26" s="180"/>
      <c r="E26" s="31" t="s">
        <v>764</v>
      </c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22146-12%22)),sort:!(Time,asc))</v>
      </c>
      <c r="J26" s="31" t="e">
        <f>VLOOKUP(B26,'Train Runs'!$A$13:$A$99998,1,FALSE)</f>
        <v>#N/A</v>
      </c>
      <c r="K26" s="21" t="e">
        <f t="shared" si="1"/>
        <v>#N/A</v>
      </c>
    </row>
    <row r="27" spans="1:11" x14ac:dyDescent="0.25">
      <c r="A27" s="164">
        <v>236</v>
      </c>
      <c r="B27" s="47" t="str">
        <f>A27&amp;"-"&amp;IF(DAY(Variables!$A$2)&lt;10,0,"")&amp;DAY(Variables!$A$2)</f>
        <v>236-12</v>
      </c>
      <c r="C27" s="179"/>
      <c r="D27" s="180"/>
      <c r="E27" s="31" t="s">
        <v>765</v>
      </c>
      <c r="F27" s="22" t="str">
        <f>VLOOKUP(B27,'Trips&amp;Operators'!$C$2:$E$10000,3,FALSE)</f>
        <v>YOUNG</v>
      </c>
      <c r="G27" s="22" t="str">
        <f>VLOOKUP(B27,'Trips&amp;Operators'!$C$1:$F$10000,4,FALSE)</f>
        <v>rtdc.l.rtdc.4054:itc</v>
      </c>
      <c r="H27" s="30">
        <f>VLOOKUP(B27,'Trips&amp;Operators'!$C$1:$H$10000,5,FALSE)</f>
        <v>42655.970324074071</v>
      </c>
      <c r="I2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22236-12%22)),sort:!(Time,asc))</v>
      </c>
      <c r="J27" s="31" t="e">
        <f>VLOOKUP(B27,'Train Runs'!$A$13:$A$99998,1,FALSE)</f>
        <v>#N/A</v>
      </c>
      <c r="K27" s="21" t="e">
        <f t="shared" si="1"/>
        <v>#N/A</v>
      </c>
    </row>
    <row r="28" spans="1:11" x14ac:dyDescent="0.25">
      <c r="C28" s="110"/>
      <c r="D28" s="110"/>
      <c r="E28" s="31"/>
      <c r="F28" s="22"/>
      <c r="G28" s="22"/>
      <c r="H28" s="30"/>
      <c r="I28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42655.033368055556</v>
      </c>
      <c r="B2" s="21" t="s">
        <v>233</v>
      </c>
      <c r="C2" s="21" t="s">
        <v>253</v>
      </c>
      <c r="D2" s="21">
        <v>1180000</v>
      </c>
      <c r="E2" s="21" t="s">
        <v>190</v>
      </c>
      <c r="F2" s="21" t="str">
        <f t="shared" ref="F2:F65" si="0">B2</f>
        <v>rtdc.l.rtdc.4029:itc</v>
      </c>
      <c r="G2" s="8">
        <f t="shared" ref="G2:G65" si="1">A2</f>
        <v>42655.033368055556</v>
      </c>
    </row>
    <row r="3" spans="1:7" x14ac:dyDescent="0.25">
      <c r="A3" s="8">
        <v>42655.037199074075</v>
      </c>
      <c r="B3" s="21" t="s">
        <v>197</v>
      </c>
      <c r="C3" s="21" t="s">
        <v>242</v>
      </c>
      <c r="D3" s="21">
        <v>1230000</v>
      </c>
      <c r="E3" s="21" t="s">
        <v>237</v>
      </c>
      <c r="F3" s="21" t="str">
        <f t="shared" si="0"/>
        <v>rtdc.l.rtdc.4004:itc</v>
      </c>
      <c r="G3" s="8">
        <f t="shared" si="1"/>
        <v>42655.037199074075</v>
      </c>
    </row>
    <row r="4" spans="1:7" x14ac:dyDescent="0.25">
      <c r="A4" s="8">
        <v>42655.046990740739</v>
      </c>
      <c r="B4" s="21" t="s">
        <v>244</v>
      </c>
      <c r="C4" s="21" t="s">
        <v>254</v>
      </c>
      <c r="D4" s="21">
        <v>1290000</v>
      </c>
      <c r="E4" s="21" t="s">
        <v>232</v>
      </c>
      <c r="F4" s="21" t="str">
        <f t="shared" si="0"/>
        <v>rtdc.l.rtdc.4031:itc</v>
      </c>
      <c r="G4" s="8">
        <f t="shared" si="1"/>
        <v>42655.046990740739</v>
      </c>
    </row>
    <row r="5" spans="1:7" x14ac:dyDescent="0.25">
      <c r="A5" s="8">
        <v>42655.05572916667</v>
      </c>
      <c r="B5" s="21" t="s">
        <v>219</v>
      </c>
      <c r="C5" s="21" t="s">
        <v>255</v>
      </c>
      <c r="D5" s="21">
        <v>1800000</v>
      </c>
      <c r="E5" s="21" t="s">
        <v>222</v>
      </c>
      <c r="F5" s="21" t="str">
        <f t="shared" si="0"/>
        <v>rtdc.l.rtdc.4013:itc</v>
      </c>
      <c r="G5" s="8">
        <f t="shared" si="1"/>
        <v>42655.05572916667</v>
      </c>
    </row>
    <row r="6" spans="1:7" x14ac:dyDescent="0.25">
      <c r="A6" s="8">
        <v>42655.068553240744</v>
      </c>
      <c r="B6" s="21" t="s">
        <v>196</v>
      </c>
      <c r="C6" s="21" t="s">
        <v>256</v>
      </c>
      <c r="D6" s="21">
        <v>1230000</v>
      </c>
      <c r="E6" s="21" t="s">
        <v>237</v>
      </c>
      <c r="F6" s="21" t="str">
        <f t="shared" si="0"/>
        <v>rtdc.l.rtdc.4003:itc</v>
      </c>
      <c r="G6" s="8">
        <f t="shared" si="1"/>
        <v>42655.068553240744</v>
      </c>
    </row>
    <row r="7" spans="1:7" x14ac:dyDescent="0.25">
      <c r="A7" s="8">
        <v>42655.107569444444</v>
      </c>
      <c r="B7" s="21" t="s">
        <v>221</v>
      </c>
      <c r="C7" s="21" t="s">
        <v>257</v>
      </c>
      <c r="D7" s="21">
        <v>1800000</v>
      </c>
      <c r="E7" s="21" t="s">
        <v>222</v>
      </c>
      <c r="F7" s="21" t="str">
        <f t="shared" si="0"/>
        <v>rtdc.l.rtdc.4014:itc</v>
      </c>
      <c r="G7" s="8">
        <f t="shared" si="1"/>
        <v>42655.107569444444</v>
      </c>
    </row>
    <row r="8" spans="1:7" x14ac:dyDescent="0.25">
      <c r="A8" s="8">
        <v>42655.131122685183</v>
      </c>
      <c r="B8" s="21" t="s">
        <v>188</v>
      </c>
      <c r="C8" s="21" t="s">
        <v>275</v>
      </c>
      <c r="D8" s="21">
        <v>2010000</v>
      </c>
      <c r="E8" s="21" t="s">
        <v>276</v>
      </c>
      <c r="F8" s="21" t="str">
        <f t="shared" si="0"/>
        <v>rtdc.l.rtdc.4018:itc</v>
      </c>
      <c r="G8" s="8">
        <f t="shared" si="1"/>
        <v>42655.131122685183</v>
      </c>
    </row>
    <row r="9" spans="1:7" ht="15.75" thickBot="1" x14ac:dyDescent="0.3">
      <c r="A9" s="25">
        <v>42655.132662037038</v>
      </c>
      <c r="B9" s="21" t="s">
        <v>188</v>
      </c>
      <c r="C9" s="21" t="s">
        <v>275</v>
      </c>
      <c r="D9" s="21">
        <v>2010000</v>
      </c>
      <c r="E9" s="21" t="s">
        <v>276</v>
      </c>
      <c r="F9" s="21" t="str">
        <f t="shared" si="0"/>
        <v>rtdc.l.rtdc.4018:itc</v>
      </c>
      <c r="G9" s="8">
        <f t="shared" si="1"/>
        <v>42655.132662037038</v>
      </c>
    </row>
    <row r="10" spans="1:7" x14ac:dyDescent="0.25">
      <c r="A10" s="8">
        <v>42655.134074074071</v>
      </c>
      <c r="B10" s="21" t="s">
        <v>188</v>
      </c>
      <c r="C10" s="21" t="s">
        <v>275</v>
      </c>
      <c r="D10" s="21">
        <v>2010000</v>
      </c>
      <c r="E10" s="21" t="s">
        <v>276</v>
      </c>
      <c r="F10" s="21" t="str">
        <f t="shared" si="0"/>
        <v>rtdc.l.rtdc.4018:itc</v>
      </c>
      <c r="G10" s="8">
        <f t="shared" si="1"/>
        <v>42655.134074074071</v>
      </c>
    </row>
    <row r="11" spans="1:7" x14ac:dyDescent="0.25">
      <c r="A11" s="8">
        <v>42655.151712962965</v>
      </c>
      <c r="B11" s="21" t="s">
        <v>201</v>
      </c>
      <c r="C11" s="21" t="s">
        <v>277</v>
      </c>
      <c r="D11" s="21">
        <v>1260000</v>
      </c>
      <c r="E11" s="21" t="s">
        <v>278</v>
      </c>
      <c r="F11" s="21" t="str">
        <f t="shared" si="0"/>
        <v>rtdc.l.rtdc.4007:itc</v>
      </c>
      <c r="G11" s="8">
        <f t="shared" si="1"/>
        <v>42655.151712962965</v>
      </c>
    </row>
    <row r="12" spans="1:7" x14ac:dyDescent="0.25">
      <c r="A12" s="8">
        <v>42655.16946759259</v>
      </c>
      <c r="B12" s="21" t="s">
        <v>245</v>
      </c>
      <c r="C12" s="21" t="s">
        <v>279</v>
      </c>
      <c r="D12" s="21">
        <v>1760000</v>
      </c>
      <c r="E12" s="21" t="s">
        <v>280</v>
      </c>
      <c r="F12" s="21" t="str">
        <f t="shared" si="0"/>
        <v>rtdc.l.rtdc.4053:itc</v>
      </c>
      <c r="G12" s="8">
        <f t="shared" si="1"/>
        <v>42655.16946759259</v>
      </c>
    </row>
    <row r="13" spans="1:7" x14ac:dyDescent="0.25">
      <c r="A13" s="8">
        <v>42655.172164351854</v>
      </c>
      <c r="B13" s="21" t="s">
        <v>240</v>
      </c>
      <c r="C13" s="21" t="s">
        <v>281</v>
      </c>
      <c r="D13" s="21">
        <v>2010000</v>
      </c>
      <c r="E13" s="21" t="s">
        <v>276</v>
      </c>
      <c r="F13" s="21" t="str">
        <f t="shared" si="0"/>
        <v>rtdc.l.rtdc.4015:itc</v>
      </c>
      <c r="G13" s="8">
        <f t="shared" si="1"/>
        <v>42655.172164351854</v>
      </c>
    </row>
    <row r="14" spans="1:7" x14ac:dyDescent="0.25">
      <c r="A14" s="8">
        <v>42655.17386574074</v>
      </c>
      <c r="B14" s="21" t="s">
        <v>224</v>
      </c>
      <c r="C14" s="21" t="s">
        <v>263</v>
      </c>
      <c r="D14" s="21">
        <v>1090000</v>
      </c>
      <c r="E14" s="21" t="s">
        <v>235</v>
      </c>
      <c r="F14" s="21" t="str">
        <f t="shared" si="0"/>
        <v>rtdc.l.rtdc.4043:itc</v>
      </c>
      <c r="G14" s="8">
        <f t="shared" si="1"/>
        <v>42655.17386574074</v>
      </c>
    </row>
    <row r="15" spans="1:7" x14ac:dyDescent="0.25">
      <c r="A15" s="8">
        <v>42655.181631944448</v>
      </c>
      <c r="B15" s="21" t="s">
        <v>241</v>
      </c>
      <c r="C15" s="21" t="s">
        <v>282</v>
      </c>
      <c r="D15" s="21">
        <v>2030000</v>
      </c>
      <c r="E15" s="21" t="s">
        <v>225</v>
      </c>
      <c r="F15" s="21" t="str">
        <f t="shared" si="0"/>
        <v>rtdc.l.rtdc.4032:itc</v>
      </c>
      <c r="G15" s="8">
        <f t="shared" si="1"/>
        <v>42655.181631944448</v>
      </c>
    </row>
    <row r="16" spans="1:7" x14ac:dyDescent="0.25">
      <c r="A16" s="8">
        <v>42655.183923611112</v>
      </c>
      <c r="B16" s="21" t="s">
        <v>200</v>
      </c>
      <c r="C16" s="21" t="s">
        <v>283</v>
      </c>
      <c r="D16" s="21">
        <v>1090000</v>
      </c>
      <c r="E16" s="21" t="s">
        <v>235</v>
      </c>
      <c r="F16" s="21" t="str">
        <f t="shared" si="0"/>
        <v>rtdc.l.rtdc.4044:itc</v>
      </c>
      <c r="G16" s="8">
        <f t="shared" si="1"/>
        <v>42655.183923611112</v>
      </c>
    </row>
    <row r="17" spans="1:7" x14ac:dyDescent="0.25">
      <c r="A17" s="8">
        <v>42655.190729166665</v>
      </c>
      <c r="B17" s="21" t="s">
        <v>230</v>
      </c>
      <c r="C17" s="21" t="s">
        <v>267</v>
      </c>
      <c r="D17" s="21">
        <v>1260000</v>
      </c>
      <c r="E17" s="21" t="s">
        <v>278</v>
      </c>
      <c r="F17" s="21" t="str">
        <f t="shared" si="0"/>
        <v>rtdc.l.rtdc.4039:itc</v>
      </c>
      <c r="G17" s="8">
        <f t="shared" si="1"/>
        <v>42655.190729166665</v>
      </c>
    </row>
    <row r="18" spans="1:7" x14ac:dyDescent="0.25">
      <c r="A18" s="8">
        <v>42655.193981481483</v>
      </c>
      <c r="B18" s="21" t="s">
        <v>244</v>
      </c>
      <c r="C18" s="21" t="s">
        <v>266</v>
      </c>
      <c r="D18" s="21">
        <v>2030000</v>
      </c>
      <c r="E18" s="21" t="s">
        <v>225</v>
      </c>
      <c r="F18" s="21" t="str">
        <f t="shared" si="0"/>
        <v>rtdc.l.rtdc.4031:itc</v>
      </c>
      <c r="G18" s="8">
        <f t="shared" si="1"/>
        <v>42655.193981481483</v>
      </c>
    </row>
    <row r="19" spans="1:7" x14ac:dyDescent="0.25">
      <c r="A19" s="8">
        <v>42655.203645833331</v>
      </c>
      <c r="B19" s="21" t="s">
        <v>220</v>
      </c>
      <c r="C19" s="21" t="s">
        <v>284</v>
      </c>
      <c r="D19" s="21">
        <v>1110000</v>
      </c>
      <c r="E19" s="21" t="s">
        <v>285</v>
      </c>
      <c r="F19" s="21" t="str">
        <f t="shared" si="0"/>
        <v>rtdc.l.rtdc.4038:itc</v>
      </c>
      <c r="G19" s="8">
        <f t="shared" si="1"/>
        <v>42655.203645833331</v>
      </c>
    </row>
    <row r="20" spans="1:7" x14ac:dyDescent="0.25">
      <c r="A20" s="8">
        <v>42655.205208333333</v>
      </c>
      <c r="B20" s="21" t="s">
        <v>220</v>
      </c>
      <c r="C20" s="21" t="s">
        <v>284</v>
      </c>
      <c r="D20" s="21">
        <v>1110000</v>
      </c>
      <c r="E20" s="21" t="s">
        <v>285</v>
      </c>
      <c r="F20" s="21" t="str">
        <f t="shared" si="0"/>
        <v>rtdc.l.rtdc.4038:itc</v>
      </c>
      <c r="G20" s="8">
        <f t="shared" si="1"/>
        <v>42655.205208333333</v>
      </c>
    </row>
    <row r="21" spans="1:7" x14ac:dyDescent="0.25">
      <c r="A21" s="8">
        <v>42655.213877314818</v>
      </c>
      <c r="B21" s="21" t="s">
        <v>264</v>
      </c>
      <c r="C21" s="21" t="s">
        <v>265</v>
      </c>
      <c r="D21" s="21">
        <v>1760000</v>
      </c>
      <c r="E21" s="21" t="s">
        <v>280</v>
      </c>
      <c r="F21" s="21" t="str">
        <f t="shared" si="0"/>
        <v>rtdc.l.rtdc.4026:itc</v>
      </c>
      <c r="G21" s="8">
        <f t="shared" si="1"/>
        <v>42655.213877314818</v>
      </c>
    </row>
    <row r="22" spans="1:7" x14ac:dyDescent="0.25">
      <c r="A22" s="27">
        <v>42655.216666666667</v>
      </c>
      <c r="B22" s="21" t="s">
        <v>236</v>
      </c>
      <c r="C22" s="21" t="s">
        <v>286</v>
      </c>
      <c r="D22" s="21">
        <v>1110000</v>
      </c>
      <c r="E22" s="21" t="s">
        <v>285</v>
      </c>
      <c r="F22" s="21" t="str">
        <f t="shared" si="0"/>
        <v>rtdc.l.rtdc.4037:itc</v>
      </c>
      <c r="G22" s="8">
        <f t="shared" si="1"/>
        <v>42655.216666666667</v>
      </c>
    </row>
    <row r="23" spans="1:7" x14ac:dyDescent="0.25">
      <c r="A23" s="8">
        <v>42655.219398148147</v>
      </c>
      <c r="B23" s="21" t="s">
        <v>188</v>
      </c>
      <c r="C23" s="21" t="s">
        <v>287</v>
      </c>
      <c r="D23" s="21">
        <v>2010000</v>
      </c>
      <c r="E23" s="21" t="s">
        <v>276</v>
      </c>
      <c r="F23" s="21" t="str">
        <f t="shared" si="0"/>
        <v>rtdc.l.rtdc.4018:itc</v>
      </c>
      <c r="G23" s="8">
        <f t="shared" si="1"/>
        <v>42655.219398148147</v>
      </c>
    </row>
    <row r="24" spans="1:7" x14ac:dyDescent="0.25">
      <c r="A24" s="8">
        <v>42655.223263888889</v>
      </c>
      <c r="B24" s="21" t="s">
        <v>224</v>
      </c>
      <c r="C24" s="21" t="s">
        <v>288</v>
      </c>
      <c r="D24" s="21">
        <v>1090000</v>
      </c>
      <c r="E24" s="21" t="s">
        <v>235</v>
      </c>
      <c r="F24" s="21" t="str">
        <f t="shared" si="0"/>
        <v>rtdc.l.rtdc.4043:itc</v>
      </c>
      <c r="G24" s="8">
        <f t="shared" si="1"/>
        <v>42655.223263888889</v>
      </c>
    </row>
    <row r="25" spans="1:7" x14ac:dyDescent="0.25">
      <c r="A25" s="8">
        <v>42655.223321759258</v>
      </c>
      <c r="B25" s="21" t="s">
        <v>188</v>
      </c>
      <c r="C25" s="21" t="s">
        <v>289</v>
      </c>
      <c r="D25" s="21">
        <v>2010000</v>
      </c>
      <c r="E25" s="21" t="s">
        <v>276</v>
      </c>
      <c r="F25" s="21" t="str">
        <f t="shared" si="0"/>
        <v>rtdc.l.rtdc.4018:itc</v>
      </c>
      <c r="G25" s="8">
        <f t="shared" si="1"/>
        <v>42655.223321759258</v>
      </c>
    </row>
    <row r="26" spans="1:7" x14ac:dyDescent="0.25">
      <c r="A26" s="8">
        <v>42655.228449074071</v>
      </c>
      <c r="B26" s="21" t="s">
        <v>220</v>
      </c>
      <c r="C26" s="21" t="s">
        <v>290</v>
      </c>
      <c r="D26" s="21">
        <v>1110000</v>
      </c>
      <c r="E26" s="21" t="s">
        <v>285</v>
      </c>
      <c r="F26" s="21" t="str">
        <f t="shared" si="0"/>
        <v>rtdc.l.rtdc.4038:itc</v>
      </c>
      <c r="G26" s="8">
        <f t="shared" si="1"/>
        <v>42655.228449074071</v>
      </c>
    </row>
    <row r="27" spans="1:7" x14ac:dyDescent="0.25">
      <c r="A27" s="8">
        <v>42655.229062500002</v>
      </c>
      <c r="B27" s="21" t="s">
        <v>224</v>
      </c>
      <c r="C27" s="21" t="s">
        <v>268</v>
      </c>
      <c r="D27" s="21">
        <v>1090000</v>
      </c>
      <c r="E27" s="21" t="s">
        <v>235</v>
      </c>
      <c r="F27" s="21" t="str">
        <f t="shared" si="0"/>
        <v>rtdc.l.rtdc.4043:itc</v>
      </c>
      <c r="G27" s="8">
        <f t="shared" si="1"/>
        <v>42655.229062500002</v>
      </c>
    </row>
    <row r="28" spans="1:7" x14ac:dyDescent="0.25">
      <c r="A28" s="8">
        <v>42655.254178240742</v>
      </c>
      <c r="B28" s="21" t="s">
        <v>241</v>
      </c>
      <c r="C28" s="21" t="s">
        <v>268</v>
      </c>
      <c r="D28" s="21">
        <v>1090000</v>
      </c>
      <c r="E28" s="21" t="s">
        <v>235</v>
      </c>
      <c r="F28" s="21" t="str">
        <f t="shared" si="0"/>
        <v>rtdc.l.rtdc.4032:itc</v>
      </c>
      <c r="G28" s="8">
        <f t="shared" si="1"/>
        <v>42655.254178240742</v>
      </c>
    </row>
    <row r="29" spans="1:7" x14ac:dyDescent="0.25">
      <c r="A29" s="8">
        <v>42655.255914351852</v>
      </c>
      <c r="B29" s="21" t="s">
        <v>236</v>
      </c>
      <c r="C29" s="21" t="s">
        <v>291</v>
      </c>
      <c r="D29" s="21">
        <v>1110000</v>
      </c>
      <c r="E29" s="21" t="s">
        <v>285</v>
      </c>
      <c r="F29" s="21" t="str">
        <f t="shared" si="0"/>
        <v>rtdc.l.rtdc.4037:itc</v>
      </c>
      <c r="G29" s="8">
        <f t="shared" si="1"/>
        <v>42655.255914351852</v>
      </c>
    </row>
    <row r="30" spans="1:7" x14ac:dyDescent="0.25">
      <c r="A30" s="8">
        <v>42655.257384259261</v>
      </c>
      <c r="B30" s="21" t="s">
        <v>196</v>
      </c>
      <c r="C30" s="21" t="s">
        <v>292</v>
      </c>
      <c r="D30" s="21">
        <v>1100000</v>
      </c>
      <c r="E30" s="21" t="s">
        <v>293</v>
      </c>
      <c r="F30" s="21" t="str">
        <f t="shared" si="0"/>
        <v>rtdc.l.rtdc.4003:itc</v>
      </c>
      <c r="G30" s="8">
        <f t="shared" si="1"/>
        <v>42655.257384259261</v>
      </c>
    </row>
    <row r="31" spans="1:7" x14ac:dyDescent="0.25">
      <c r="A31" s="8">
        <v>42655.264988425923</v>
      </c>
      <c r="B31" s="21" t="s">
        <v>201</v>
      </c>
      <c r="C31" s="21" t="s">
        <v>270</v>
      </c>
      <c r="D31" s="21">
        <v>1260000</v>
      </c>
      <c r="E31" s="21" t="s">
        <v>278</v>
      </c>
      <c r="F31" s="21" t="str">
        <f t="shared" si="0"/>
        <v>rtdc.l.rtdc.4007:itc</v>
      </c>
      <c r="G31" s="8">
        <f t="shared" si="1"/>
        <v>42655.264988425923</v>
      </c>
    </row>
    <row r="32" spans="1:7" x14ac:dyDescent="0.25">
      <c r="A32" s="8">
        <v>42655.271377314813</v>
      </c>
      <c r="B32" s="21" t="s">
        <v>220</v>
      </c>
      <c r="C32" s="21" t="s">
        <v>294</v>
      </c>
      <c r="D32" s="21">
        <v>1110000</v>
      </c>
      <c r="E32" s="21" t="s">
        <v>285</v>
      </c>
      <c r="F32" s="21" t="str">
        <f t="shared" si="0"/>
        <v>rtdc.l.rtdc.4038:itc</v>
      </c>
      <c r="G32" s="8">
        <f t="shared" si="1"/>
        <v>42655.271377314813</v>
      </c>
    </row>
    <row r="33" spans="1:7" x14ac:dyDescent="0.25">
      <c r="A33" s="8">
        <v>42655.276875000003</v>
      </c>
      <c r="B33" s="21" t="s">
        <v>197</v>
      </c>
      <c r="C33" s="21" t="s">
        <v>269</v>
      </c>
      <c r="D33" s="21">
        <v>1100000</v>
      </c>
      <c r="E33" s="21" t="s">
        <v>293</v>
      </c>
      <c r="F33" s="21" t="str">
        <f t="shared" si="0"/>
        <v>rtdc.l.rtdc.4004:itc</v>
      </c>
      <c r="G33" s="8">
        <f t="shared" si="1"/>
        <v>42655.276875000003</v>
      </c>
    </row>
    <row r="34" spans="1:7" x14ac:dyDescent="0.25">
      <c r="B34" s="21"/>
      <c r="C34" s="21"/>
      <c r="D34" s="21">
        <v>2010000</v>
      </c>
      <c r="E34" s="21" t="s">
        <v>276</v>
      </c>
      <c r="F34" s="21">
        <f t="shared" si="0"/>
        <v>0</v>
      </c>
      <c r="G34" s="8">
        <f t="shared" si="1"/>
        <v>0</v>
      </c>
    </row>
    <row r="35" spans="1:7" x14ac:dyDescent="0.25">
      <c r="B35" s="21"/>
      <c r="C35" s="21"/>
      <c r="D35" s="21">
        <v>1760000</v>
      </c>
      <c r="E35" s="21" t="s">
        <v>280</v>
      </c>
      <c r="F35" s="21">
        <f t="shared" si="0"/>
        <v>0</v>
      </c>
      <c r="G35" s="8">
        <f t="shared" si="1"/>
        <v>0</v>
      </c>
    </row>
    <row r="36" spans="1:7" x14ac:dyDescent="0.25">
      <c r="B36" s="21"/>
      <c r="C36" s="21"/>
      <c r="D36" s="21">
        <v>1760000</v>
      </c>
      <c r="E36" s="21" t="s">
        <v>280</v>
      </c>
      <c r="F36" s="21">
        <f t="shared" si="0"/>
        <v>0</v>
      </c>
      <c r="G36" s="8">
        <f t="shared" si="1"/>
        <v>0</v>
      </c>
    </row>
    <row r="37" spans="1:7" x14ac:dyDescent="0.25">
      <c r="B37" s="21"/>
      <c r="C37" s="21"/>
      <c r="D37" s="21">
        <v>1760000</v>
      </c>
      <c r="E37" s="21" t="s">
        <v>280</v>
      </c>
      <c r="F37" s="21">
        <f t="shared" si="0"/>
        <v>0</v>
      </c>
      <c r="G37" s="8">
        <f t="shared" si="1"/>
        <v>0</v>
      </c>
    </row>
    <row r="38" spans="1:7" x14ac:dyDescent="0.25">
      <c r="B38" s="21"/>
      <c r="C38" s="21"/>
      <c r="D38" s="21">
        <v>2030000</v>
      </c>
      <c r="E38" s="21" t="s">
        <v>225</v>
      </c>
      <c r="F38" s="21">
        <f t="shared" si="0"/>
        <v>0</v>
      </c>
      <c r="G38" s="8">
        <f t="shared" si="1"/>
        <v>0</v>
      </c>
    </row>
    <row r="39" spans="1:7" x14ac:dyDescent="0.25">
      <c r="B39" s="21"/>
      <c r="C39" s="21"/>
      <c r="D39" s="21">
        <v>2030000</v>
      </c>
      <c r="E39" s="21" t="s">
        <v>225</v>
      </c>
      <c r="F39" s="21">
        <f t="shared" si="0"/>
        <v>0</v>
      </c>
      <c r="G39" s="8">
        <f t="shared" si="1"/>
        <v>0</v>
      </c>
    </row>
    <row r="40" spans="1:7" x14ac:dyDescent="0.25">
      <c r="B40" s="26"/>
      <c r="C40" s="21"/>
      <c r="D40" s="21">
        <v>1110000</v>
      </c>
      <c r="E40" s="21" t="s">
        <v>285</v>
      </c>
      <c r="F40" s="21">
        <f t="shared" si="0"/>
        <v>0</v>
      </c>
      <c r="G40" s="8">
        <f t="shared" si="1"/>
        <v>0</v>
      </c>
    </row>
    <row r="41" spans="1:7" x14ac:dyDescent="0.25">
      <c r="B41" s="21"/>
      <c r="C41" s="21"/>
      <c r="D41" s="21">
        <v>1100000</v>
      </c>
      <c r="E41" s="21" t="s">
        <v>293</v>
      </c>
      <c r="F41" s="21">
        <f t="shared" si="0"/>
        <v>0</v>
      </c>
      <c r="G41" s="8">
        <f t="shared" si="1"/>
        <v>0</v>
      </c>
    </row>
    <row r="42" spans="1:7" x14ac:dyDescent="0.25">
      <c r="B42" s="21"/>
      <c r="C42" s="21"/>
      <c r="D42" s="21">
        <v>1110000</v>
      </c>
      <c r="E42" s="21" t="s">
        <v>285</v>
      </c>
      <c r="F42" s="21">
        <f t="shared" si="0"/>
        <v>0</v>
      </c>
      <c r="G42" s="8">
        <f t="shared" si="1"/>
        <v>0</v>
      </c>
    </row>
    <row r="43" spans="1:7" x14ac:dyDescent="0.25">
      <c r="B43" s="21"/>
      <c r="C43" s="21"/>
      <c r="D43" s="21">
        <v>1100000</v>
      </c>
      <c r="E43" s="21" t="s">
        <v>293</v>
      </c>
      <c r="F43" s="21">
        <f t="shared" si="0"/>
        <v>0</v>
      </c>
      <c r="G43" s="8">
        <f t="shared" si="1"/>
        <v>0</v>
      </c>
    </row>
    <row r="44" spans="1:7" x14ac:dyDescent="0.25">
      <c r="B44" s="21"/>
      <c r="C44" s="21"/>
      <c r="D44" s="21">
        <v>1260000</v>
      </c>
      <c r="E44" s="21" t="s">
        <v>278</v>
      </c>
      <c r="F44" s="21">
        <f t="shared" si="0"/>
        <v>0</v>
      </c>
      <c r="G44" s="8">
        <f t="shared" si="1"/>
        <v>0</v>
      </c>
    </row>
    <row r="45" spans="1:7" x14ac:dyDescent="0.25">
      <c r="B45" s="21"/>
      <c r="C45" s="21"/>
      <c r="D45" s="21">
        <v>1760000</v>
      </c>
      <c r="E45" s="21" t="s">
        <v>280</v>
      </c>
      <c r="F45" s="21">
        <f t="shared" si="0"/>
        <v>0</v>
      </c>
      <c r="G45" s="8">
        <f t="shared" si="1"/>
        <v>0</v>
      </c>
    </row>
    <row r="46" spans="1:7" x14ac:dyDescent="0.25">
      <c r="B46" s="21"/>
      <c r="C46" s="21"/>
      <c r="D46" s="21">
        <v>2010000</v>
      </c>
      <c r="E46" s="21" t="s">
        <v>276</v>
      </c>
      <c r="F46" s="21">
        <f t="shared" si="0"/>
        <v>0</v>
      </c>
      <c r="G46" s="8">
        <f t="shared" si="1"/>
        <v>0</v>
      </c>
    </row>
    <row r="47" spans="1:7" x14ac:dyDescent="0.25">
      <c r="B47" s="21"/>
      <c r="C47" s="21"/>
      <c r="D47" s="21">
        <v>1100000</v>
      </c>
      <c r="E47" s="21" t="s">
        <v>293</v>
      </c>
      <c r="F47" s="21">
        <f t="shared" si="0"/>
        <v>0</v>
      </c>
      <c r="G47" s="8">
        <f t="shared" si="1"/>
        <v>0</v>
      </c>
    </row>
    <row r="48" spans="1:7" x14ac:dyDescent="0.25">
      <c r="B48" s="21"/>
      <c r="C48" s="21"/>
      <c r="D48" s="21">
        <v>1110000</v>
      </c>
      <c r="E48" s="21" t="s">
        <v>285</v>
      </c>
      <c r="F48" s="21">
        <f t="shared" si="0"/>
        <v>0</v>
      </c>
      <c r="G48" s="8">
        <f t="shared" si="1"/>
        <v>0</v>
      </c>
    </row>
    <row r="49" spans="1:7" x14ac:dyDescent="0.25">
      <c r="B49" s="21"/>
      <c r="C49" s="21"/>
      <c r="D49" s="21">
        <v>1090000</v>
      </c>
      <c r="E49" s="21" t="s">
        <v>235</v>
      </c>
      <c r="F49" s="21">
        <f t="shared" si="0"/>
        <v>0</v>
      </c>
      <c r="G49" s="8">
        <f t="shared" si="1"/>
        <v>0</v>
      </c>
    </row>
    <row r="50" spans="1:7" x14ac:dyDescent="0.25">
      <c r="B50" s="21"/>
      <c r="C50" s="21"/>
      <c r="D50" s="21">
        <v>1780000</v>
      </c>
      <c r="E50" s="21" t="s">
        <v>246</v>
      </c>
      <c r="F50" s="21">
        <f t="shared" si="0"/>
        <v>0</v>
      </c>
      <c r="G50" s="8">
        <f t="shared" si="1"/>
        <v>0</v>
      </c>
    </row>
    <row r="51" spans="1:7" x14ac:dyDescent="0.25">
      <c r="B51" s="21"/>
      <c r="C51" s="21"/>
      <c r="D51" s="21">
        <v>1110000</v>
      </c>
      <c r="E51" s="21" t="s">
        <v>285</v>
      </c>
      <c r="F51" s="21">
        <f t="shared" si="0"/>
        <v>0</v>
      </c>
      <c r="G51" s="8">
        <f t="shared" si="1"/>
        <v>0</v>
      </c>
    </row>
    <row r="52" spans="1:7" x14ac:dyDescent="0.25">
      <c r="B52" s="21"/>
      <c r="C52" s="21"/>
      <c r="D52" s="21">
        <v>1100000</v>
      </c>
      <c r="E52" s="21" t="s">
        <v>293</v>
      </c>
      <c r="F52" s="21">
        <f t="shared" si="0"/>
        <v>0</v>
      </c>
      <c r="G52" s="8">
        <f t="shared" si="1"/>
        <v>0</v>
      </c>
    </row>
    <row r="53" spans="1:7" x14ac:dyDescent="0.25">
      <c r="B53" s="21"/>
      <c r="C53" s="21"/>
      <c r="D53" s="21">
        <v>2010000</v>
      </c>
      <c r="E53" s="21" t="s">
        <v>276</v>
      </c>
      <c r="F53" s="21">
        <f t="shared" si="0"/>
        <v>0</v>
      </c>
      <c r="G53" s="8">
        <f t="shared" si="1"/>
        <v>0</v>
      </c>
    </row>
    <row r="54" spans="1:7" x14ac:dyDescent="0.25">
      <c r="B54" s="21"/>
      <c r="C54" s="21"/>
      <c r="D54" s="21">
        <v>1780000</v>
      </c>
      <c r="E54" s="21" t="s">
        <v>246</v>
      </c>
      <c r="F54" s="21">
        <f t="shared" si="0"/>
        <v>0</v>
      </c>
      <c r="G54" s="8">
        <f t="shared" si="1"/>
        <v>0</v>
      </c>
    </row>
    <row r="55" spans="1:7" x14ac:dyDescent="0.25">
      <c r="B55" s="21"/>
      <c r="C55" s="21"/>
      <c r="D55" s="21">
        <v>2010000</v>
      </c>
      <c r="E55" s="21" t="s">
        <v>276</v>
      </c>
      <c r="F55" s="21">
        <f t="shared" si="0"/>
        <v>0</v>
      </c>
      <c r="G55" s="8">
        <f t="shared" si="1"/>
        <v>0</v>
      </c>
    </row>
    <row r="56" spans="1:7" x14ac:dyDescent="0.25">
      <c r="B56" s="21"/>
      <c r="C56" s="21"/>
      <c r="D56" s="21">
        <v>2010000</v>
      </c>
      <c r="E56" s="21" t="s">
        <v>276</v>
      </c>
      <c r="F56" s="21">
        <f t="shared" si="0"/>
        <v>0</v>
      </c>
      <c r="G56" s="8">
        <f t="shared" si="1"/>
        <v>0</v>
      </c>
    </row>
    <row r="57" spans="1:7" x14ac:dyDescent="0.25">
      <c r="B57" s="21"/>
      <c r="C57" s="21"/>
      <c r="D57" s="21">
        <v>1100000</v>
      </c>
      <c r="E57" s="21" t="s">
        <v>293</v>
      </c>
      <c r="F57" s="21">
        <f t="shared" si="0"/>
        <v>0</v>
      </c>
      <c r="G57" s="8">
        <f t="shared" si="1"/>
        <v>0</v>
      </c>
    </row>
    <row r="58" spans="1:7" x14ac:dyDescent="0.25">
      <c r="B58" s="21"/>
      <c r="C58" s="21"/>
      <c r="D58" s="21">
        <v>1260000</v>
      </c>
      <c r="E58" s="21" t="s">
        <v>278</v>
      </c>
      <c r="F58" s="21">
        <f t="shared" si="0"/>
        <v>0</v>
      </c>
      <c r="G58" s="8">
        <f t="shared" si="1"/>
        <v>0</v>
      </c>
    </row>
    <row r="59" spans="1:7" x14ac:dyDescent="0.25">
      <c r="B59" s="21"/>
      <c r="C59" s="21"/>
      <c r="D59" s="21">
        <v>1760000</v>
      </c>
      <c r="E59" s="21" t="s">
        <v>280</v>
      </c>
      <c r="F59" s="21">
        <f t="shared" si="0"/>
        <v>0</v>
      </c>
      <c r="G59" s="8">
        <f t="shared" si="1"/>
        <v>0</v>
      </c>
    </row>
    <row r="60" spans="1:7" x14ac:dyDescent="0.25">
      <c r="B60" s="21"/>
      <c r="C60" s="21"/>
      <c r="D60" s="21">
        <v>1100000</v>
      </c>
      <c r="E60" s="21" t="s">
        <v>293</v>
      </c>
      <c r="F60" s="21">
        <f t="shared" si="0"/>
        <v>0</v>
      </c>
      <c r="G60" s="8">
        <f t="shared" si="1"/>
        <v>0</v>
      </c>
    </row>
    <row r="61" spans="1:7" x14ac:dyDescent="0.25">
      <c r="B61" s="21"/>
      <c r="C61" s="21"/>
      <c r="D61" s="21">
        <v>1760000</v>
      </c>
      <c r="E61" s="21" t="s">
        <v>280</v>
      </c>
      <c r="F61" s="21">
        <f t="shared" si="0"/>
        <v>0</v>
      </c>
      <c r="G61" s="8">
        <f t="shared" si="1"/>
        <v>0</v>
      </c>
    </row>
    <row r="62" spans="1:7" x14ac:dyDescent="0.25">
      <c r="B62" s="21"/>
      <c r="C62" s="21"/>
      <c r="D62" s="21">
        <v>1780000</v>
      </c>
      <c r="E62" s="21" t="s">
        <v>246</v>
      </c>
      <c r="F62" s="21">
        <f t="shared" si="0"/>
        <v>0</v>
      </c>
      <c r="G62" s="8">
        <f t="shared" si="1"/>
        <v>0</v>
      </c>
    </row>
    <row r="63" spans="1:7" x14ac:dyDescent="0.25">
      <c r="B63" s="21"/>
      <c r="C63" s="21"/>
      <c r="D63" s="21">
        <v>1100000</v>
      </c>
      <c r="E63" s="21" t="s">
        <v>293</v>
      </c>
      <c r="F63" s="21">
        <f t="shared" si="0"/>
        <v>0</v>
      </c>
      <c r="G63" s="8">
        <f t="shared" si="1"/>
        <v>0</v>
      </c>
    </row>
    <row r="64" spans="1:7" x14ac:dyDescent="0.25">
      <c r="A64" s="27"/>
      <c r="B64" s="21"/>
      <c r="C64" s="21"/>
      <c r="D64" s="21">
        <v>2030000</v>
      </c>
      <c r="E64" s="21" t="s">
        <v>225</v>
      </c>
      <c r="F64" s="21">
        <f t="shared" si="0"/>
        <v>0</v>
      </c>
      <c r="G64" s="8">
        <f t="shared" si="1"/>
        <v>0</v>
      </c>
    </row>
    <row r="65" spans="2:7" x14ac:dyDescent="0.25">
      <c r="B65" s="21"/>
      <c r="C65" s="21"/>
      <c r="D65" s="21">
        <v>2030000</v>
      </c>
      <c r="E65" s="21" t="s">
        <v>225</v>
      </c>
      <c r="F65" s="21">
        <f t="shared" si="0"/>
        <v>0</v>
      </c>
      <c r="G65" s="8">
        <f t="shared" si="1"/>
        <v>0</v>
      </c>
    </row>
    <row r="66" spans="2:7" x14ac:dyDescent="0.25">
      <c r="B66" s="21"/>
      <c r="C66" s="21"/>
      <c r="D66" s="21">
        <v>1090000</v>
      </c>
      <c r="E66" s="21" t="s">
        <v>235</v>
      </c>
      <c r="F66" s="21">
        <f t="shared" ref="F66:F129" si="2">B66</f>
        <v>0</v>
      </c>
      <c r="G66" s="8">
        <f t="shared" ref="G66:G129" si="3">A66</f>
        <v>0</v>
      </c>
    </row>
    <row r="67" spans="2:7" x14ac:dyDescent="0.25">
      <c r="B67" s="21"/>
      <c r="C67" s="21"/>
      <c r="D67" s="21">
        <v>900000</v>
      </c>
      <c r="E67" s="21" t="s">
        <v>295</v>
      </c>
      <c r="F67" s="21">
        <f t="shared" si="2"/>
        <v>0</v>
      </c>
      <c r="G67" s="8">
        <f t="shared" si="3"/>
        <v>0</v>
      </c>
    </row>
    <row r="68" spans="2:7" x14ac:dyDescent="0.25">
      <c r="B68" s="21"/>
      <c r="C68" s="21"/>
      <c r="D68" s="21">
        <v>1260000</v>
      </c>
      <c r="E68" s="21" t="s">
        <v>278</v>
      </c>
      <c r="F68" s="21">
        <f t="shared" si="2"/>
        <v>0</v>
      </c>
      <c r="G68" s="8">
        <f t="shared" si="3"/>
        <v>0</v>
      </c>
    </row>
    <row r="69" spans="2:7" x14ac:dyDescent="0.25">
      <c r="B69" s="21"/>
      <c r="C69" s="21"/>
      <c r="D69" s="21">
        <v>1260000</v>
      </c>
      <c r="E69" s="21" t="s">
        <v>278</v>
      </c>
      <c r="F69" s="21">
        <f t="shared" si="2"/>
        <v>0</v>
      </c>
      <c r="G69" s="8">
        <f t="shared" si="3"/>
        <v>0</v>
      </c>
    </row>
    <row r="70" spans="2:7" x14ac:dyDescent="0.25">
      <c r="B70" s="21"/>
      <c r="C70" s="21"/>
      <c r="D70" s="21">
        <v>1280000</v>
      </c>
      <c r="E70" s="21" t="s">
        <v>226</v>
      </c>
      <c r="F70" s="21">
        <f t="shared" si="2"/>
        <v>0</v>
      </c>
      <c r="G70" s="8">
        <f t="shared" si="3"/>
        <v>0</v>
      </c>
    </row>
    <row r="71" spans="2:7" x14ac:dyDescent="0.25">
      <c r="B71" s="21"/>
      <c r="C71" s="21"/>
      <c r="D71" s="21">
        <v>1260000</v>
      </c>
      <c r="E71" s="21" t="s">
        <v>278</v>
      </c>
      <c r="F71" s="21">
        <f t="shared" si="2"/>
        <v>0</v>
      </c>
      <c r="G71" s="8">
        <f t="shared" si="3"/>
        <v>0</v>
      </c>
    </row>
    <row r="72" spans="2:7" x14ac:dyDescent="0.25">
      <c r="B72" s="21"/>
      <c r="C72" s="21"/>
      <c r="D72" s="21">
        <v>1110000</v>
      </c>
      <c r="E72" s="21" t="s">
        <v>285</v>
      </c>
      <c r="F72" s="21">
        <f t="shared" si="2"/>
        <v>0</v>
      </c>
      <c r="G72" s="8">
        <f t="shared" si="3"/>
        <v>0</v>
      </c>
    </row>
    <row r="73" spans="2:7" x14ac:dyDescent="0.25">
      <c r="B73" s="21"/>
      <c r="C73" s="21"/>
      <c r="D73" s="21">
        <v>1760000</v>
      </c>
      <c r="E73" s="21" t="s">
        <v>280</v>
      </c>
      <c r="F73" s="21">
        <f t="shared" si="2"/>
        <v>0</v>
      </c>
      <c r="G73" s="8">
        <f t="shared" si="3"/>
        <v>0</v>
      </c>
    </row>
    <row r="74" spans="2:7" x14ac:dyDescent="0.25">
      <c r="B74" s="21"/>
      <c r="C74" s="21"/>
      <c r="D74" s="21">
        <v>1100000</v>
      </c>
      <c r="E74" s="21" t="s">
        <v>293</v>
      </c>
      <c r="F74" s="21">
        <f t="shared" si="2"/>
        <v>0</v>
      </c>
      <c r="G74" s="8">
        <f t="shared" si="3"/>
        <v>0</v>
      </c>
    </row>
    <row r="75" spans="2:7" x14ac:dyDescent="0.25">
      <c r="B75" s="21"/>
      <c r="C75" s="21"/>
      <c r="D75" s="21">
        <v>1240000</v>
      </c>
      <c r="E75" s="21" t="s">
        <v>247</v>
      </c>
      <c r="F75" s="21">
        <f t="shared" si="2"/>
        <v>0</v>
      </c>
      <c r="G75" s="8">
        <f t="shared" si="3"/>
        <v>0</v>
      </c>
    </row>
    <row r="76" spans="2:7" x14ac:dyDescent="0.25">
      <c r="B76" s="21"/>
      <c r="C76" s="21"/>
      <c r="D76" s="21">
        <v>940000</v>
      </c>
      <c r="E76" s="21" t="s">
        <v>249</v>
      </c>
      <c r="F76" s="21">
        <f t="shared" si="2"/>
        <v>0</v>
      </c>
      <c r="G76" s="8">
        <f t="shared" si="3"/>
        <v>0</v>
      </c>
    </row>
    <row r="77" spans="2:7" x14ac:dyDescent="0.25">
      <c r="B77" s="21"/>
      <c r="C77" s="21"/>
      <c r="D77" s="21">
        <v>2030000</v>
      </c>
      <c r="E77" s="21" t="s">
        <v>225</v>
      </c>
      <c r="F77" s="21">
        <f t="shared" si="2"/>
        <v>0</v>
      </c>
      <c r="G77" s="8">
        <f t="shared" si="3"/>
        <v>0</v>
      </c>
    </row>
    <row r="78" spans="2:7" x14ac:dyDescent="0.25">
      <c r="B78" s="21"/>
      <c r="C78" s="21"/>
      <c r="D78" s="21">
        <v>1540000</v>
      </c>
      <c r="E78" s="21" t="s">
        <v>248</v>
      </c>
      <c r="F78" s="21">
        <f t="shared" si="2"/>
        <v>0</v>
      </c>
      <c r="G78" s="8">
        <f t="shared" si="3"/>
        <v>0</v>
      </c>
    </row>
    <row r="79" spans="2:7" x14ac:dyDescent="0.25">
      <c r="B79" s="21"/>
      <c r="C79" s="21"/>
      <c r="D79" s="21">
        <v>1100000</v>
      </c>
      <c r="E79" s="21" t="s">
        <v>293</v>
      </c>
      <c r="F79" s="21">
        <f t="shared" si="2"/>
        <v>0</v>
      </c>
      <c r="G79" s="8">
        <f t="shared" si="3"/>
        <v>0</v>
      </c>
    </row>
    <row r="80" spans="2:7" x14ac:dyDescent="0.25">
      <c r="B80" s="21"/>
      <c r="C80" s="21"/>
      <c r="D80" s="21">
        <v>1540000</v>
      </c>
      <c r="E80" s="21" t="s">
        <v>248</v>
      </c>
      <c r="F80" s="21">
        <f t="shared" si="2"/>
        <v>0</v>
      </c>
      <c r="G80" s="8">
        <f t="shared" si="3"/>
        <v>0</v>
      </c>
    </row>
    <row r="81" spans="2:7" x14ac:dyDescent="0.25">
      <c r="B81" s="21"/>
      <c r="C81" s="21"/>
      <c r="D81" s="21">
        <v>1540000</v>
      </c>
      <c r="E81" s="21" t="s">
        <v>248</v>
      </c>
      <c r="F81" s="21">
        <f t="shared" si="2"/>
        <v>0</v>
      </c>
      <c r="G81" s="8">
        <f t="shared" si="3"/>
        <v>0</v>
      </c>
    </row>
    <row r="82" spans="2:7" x14ac:dyDescent="0.25">
      <c r="B82" s="21"/>
      <c r="C82" s="21"/>
      <c r="D82" s="21">
        <v>900000</v>
      </c>
      <c r="E82" s="21" t="s">
        <v>295</v>
      </c>
      <c r="F82" s="21">
        <f t="shared" si="2"/>
        <v>0</v>
      </c>
      <c r="G82" s="8">
        <f t="shared" si="3"/>
        <v>0</v>
      </c>
    </row>
    <row r="83" spans="2:7" x14ac:dyDescent="0.25">
      <c r="B83" s="21"/>
      <c r="C83" s="21"/>
      <c r="D83" s="21">
        <v>1280000</v>
      </c>
      <c r="E83" s="21" t="s">
        <v>226</v>
      </c>
      <c r="F83" s="21">
        <f t="shared" si="2"/>
        <v>0</v>
      </c>
      <c r="G83" s="8">
        <f t="shared" si="3"/>
        <v>0</v>
      </c>
    </row>
    <row r="84" spans="2:7" x14ac:dyDescent="0.25">
      <c r="B84" s="21"/>
      <c r="C84" s="21"/>
      <c r="D84" s="21">
        <v>1540000</v>
      </c>
      <c r="E84" s="21" t="s">
        <v>248</v>
      </c>
      <c r="F84" s="21">
        <f t="shared" si="2"/>
        <v>0</v>
      </c>
      <c r="G84" s="8">
        <f t="shared" si="3"/>
        <v>0</v>
      </c>
    </row>
    <row r="85" spans="2:7" x14ac:dyDescent="0.25">
      <c r="B85" s="21"/>
      <c r="C85" s="21"/>
      <c r="D85" s="21">
        <v>1110000</v>
      </c>
      <c r="E85" s="21" t="s">
        <v>285</v>
      </c>
      <c r="F85" s="21">
        <f t="shared" si="2"/>
        <v>0</v>
      </c>
      <c r="G85" s="8">
        <f t="shared" si="3"/>
        <v>0</v>
      </c>
    </row>
    <row r="86" spans="2:7" x14ac:dyDescent="0.25">
      <c r="B86" s="21"/>
      <c r="C86" s="21"/>
      <c r="D86" s="21">
        <v>1260000</v>
      </c>
      <c r="E86" s="21" t="s">
        <v>278</v>
      </c>
      <c r="F86" s="21">
        <f t="shared" si="2"/>
        <v>0</v>
      </c>
      <c r="G86" s="8">
        <f t="shared" si="3"/>
        <v>0</v>
      </c>
    </row>
    <row r="87" spans="2:7" x14ac:dyDescent="0.25">
      <c r="B87" s="21"/>
      <c r="C87" s="21"/>
      <c r="D87" s="21">
        <v>1100000</v>
      </c>
      <c r="E87" s="21" t="s">
        <v>293</v>
      </c>
      <c r="F87" s="21">
        <f t="shared" si="2"/>
        <v>0</v>
      </c>
      <c r="G87" s="8">
        <f t="shared" si="3"/>
        <v>0</v>
      </c>
    </row>
    <row r="88" spans="2:7" x14ac:dyDescent="0.25">
      <c r="B88" s="21"/>
      <c r="C88" s="21"/>
      <c r="D88" s="21">
        <v>1240000</v>
      </c>
      <c r="E88" s="21" t="s">
        <v>247</v>
      </c>
      <c r="F88" s="21">
        <f t="shared" si="2"/>
        <v>0</v>
      </c>
      <c r="G88" s="8">
        <f t="shared" si="3"/>
        <v>0</v>
      </c>
    </row>
    <row r="89" spans="2:7" x14ac:dyDescent="0.25">
      <c r="B89" s="21"/>
      <c r="C89" s="21"/>
      <c r="D89" s="21">
        <v>2250000</v>
      </c>
      <c r="E89" s="21" t="s">
        <v>250</v>
      </c>
      <c r="F89" s="21">
        <f t="shared" si="2"/>
        <v>0</v>
      </c>
      <c r="G89" s="8">
        <f t="shared" si="3"/>
        <v>0</v>
      </c>
    </row>
    <row r="90" spans="2:7" x14ac:dyDescent="0.25">
      <c r="B90" s="21"/>
      <c r="C90" s="21"/>
      <c r="D90" s="21">
        <v>940000</v>
      </c>
      <c r="E90" s="21" t="s">
        <v>249</v>
      </c>
      <c r="F90" s="21">
        <f t="shared" si="2"/>
        <v>0</v>
      </c>
      <c r="G90" s="8">
        <f t="shared" si="3"/>
        <v>0</v>
      </c>
    </row>
    <row r="91" spans="2:7" x14ac:dyDescent="0.25">
      <c r="B91" s="21"/>
      <c r="C91" s="21"/>
      <c r="D91" s="21">
        <v>2030000</v>
      </c>
      <c r="E91" s="21" t="s">
        <v>225</v>
      </c>
      <c r="F91" s="21">
        <f t="shared" si="2"/>
        <v>0</v>
      </c>
      <c r="G91" s="8">
        <f t="shared" si="3"/>
        <v>0</v>
      </c>
    </row>
    <row r="92" spans="2:7" x14ac:dyDescent="0.25">
      <c r="B92" s="21"/>
      <c r="C92" s="21"/>
      <c r="D92" s="21">
        <v>1100000</v>
      </c>
      <c r="E92" s="21" t="s">
        <v>293</v>
      </c>
      <c r="F92" s="21">
        <f t="shared" si="2"/>
        <v>0</v>
      </c>
      <c r="G92" s="8">
        <f t="shared" si="3"/>
        <v>0</v>
      </c>
    </row>
    <row r="93" spans="2:7" x14ac:dyDescent="0.25">
      <c r="B93" s="21"/>
      <c r="C93" s="21"/>
      <c r="D93" s="21">
        <v>2220000</v>
      </c>
      <c r="E93" s="21" t="s">
        <v>243</v>
      </c>
      <c r="F93" s="21">
        <f t="shared" si="2"/>
        <v>0</v>
      </c>
      <c r="G93" s="8">
        <f t="shared" si="3"/>
        <v>0</v>
      </c>
    </row>
    <row r="94" spans="2:7" x14ac:dyDescent="0.25">
      <c r="B94" s="21"/>
      <c r="C94" s="21"/>
      <c r="D94" s="21">
        <v>1280000</v>
      </c>
      <c r="E94" s="21" t="s">
        <v>226</v>
      </c>
      <c r="F94" s="21">
        <f t="shared" si="2"/>
        <v>0</v>
      </c>
      <c r="G94" s="8">
        <f t="shared" si="3"/>
        <v>0</v>
      </c>
    </row>
    <row r="95" spans="2:7" x14ac:dyDescent="0.25">
      <c r="B95" s="21"/>
      <c r="C95" s="21"/>
      <c r="D95" s="21">
        <v>1770000</v>
      </c>
      <c r="E95" s="21" t="s">
        <v>231</v>
      </c>
      <c r="F95" s="21">
        <f t="shared" si="2"/>
        <v>0</v>
      </c>
      <c r="G95" s="8">
        <f t="shared" si="3"/>
        <v>0</v>
      </c>
    </row>
    <row r="96" spans="2:7" x14ac:dyDescent="0.25">
      <c r="B96" s="21"/>
      <c r="C96" s="21"/>
      <c r="D96" s="21">
        <v>1540000</v>
      </c>
      <c r="E96" s="21" t="s">
        <v>248</v>
      </c>
      <c r="F96" s="21">
        <f t="shared" si="2"/>
        <v>0</v>
      </c>
      <c r="G96" s="8">
        <f t="shared" si="3"/>
        <v>0</v>
      </c>
    </row>
    <row r="97" spans="2:7" x14ac:dyDescent="0.25">
      <c r="B97" s="21"/>
      <c r="C97" s="21"/>
      <c r="D97" s="21">
        <v>1740000</v>
      </c>
      <c r="E97" s="21" t="s">
        <v>251</v>
      </c>
      <c r="F97" s="21">
        <f t="shared" si="2"/>
        <v>0</v>
      </c>
      <c r="G97" s="8">
        <f t="shared" si="3"/>
        <v>0</v>
      </c>
    </row>
    <row r="98" spans="2:7" x14ac:dyDescent="0.25">
      <c r="B98" s="21"/>
      <c r="C98" s="21"/>
      <c r="D98" s="21">
        <v>2250000</v>
      </c>
      <c r="E98" s="21" t="s">
        <v>250</v>
      </c>
      <c r="F98" s="21">
        <f t="shared" si="2"/>
        <v>0</v>
      </c>
      <c r="G98" s="8">
        <f t="shared" si="3"/>
        <v>0</v>
      </c>
    </row>
    <row r="99" spans="2:7" x14ac:dyDescent="0.25">
      <c r="B99" s="21"/>
      <c r="C99" s="21"/>
      <c r="D99" s="21">
        <v>1100000</v>
      </c>
      <c r="E99" s="21" t="s">
        <v>293</v>
      </c>
      <c r="F99" s="21">
        <f t="shared" si="2"/>
        <v>0</v>
      </c>
      <c r="G99" s="8">
        <f t="shared" si="3"/>
        <v>0</v>
      </c>
    </row>
    <row r="100" spans="2:7" x14ac:dyDescent="0.25">
      <c r="B100" s="21"/>
      <c r="C100" s="21"/>
      <c r="D100" s="21">
        <v>940000</v>
      </c>
      <c r="E100" s="21" t="s">
        <v>249</v>
      </c>
      <c r="F100" s="21">
        <f t="shared" si="2"/>
        <v>0</v>
      </c>
      <c r="G100" s="8">
        <f t="shared" si="3"/>
        <v>0</v>
      </c>
    </row>
    <row r="101" spans="2:7" x14ac:dyDescent="0.25">
      <c r="B101" s="21"/>
      <c r="C101" s="21"/>
      <c r="D101" s="21">
        <v>1540000</v>
      </c>
      <c r="E101" s="21" t="s">
        <v>248</v>
      </c>
      <c r="F101" s="21">
        <f t="shared" si="2"/>
        <v>0</v>
      </c>
      <c r="G101" s="8">
        <f t="shared" si="3"/>
        <v>0</v>
      </c>
    </row>
    <row r="102" spans="2:7" x14ac:dyDescent="0.25">
      <c r="B102" s="21"/>
      <c r="C102" s="21"/>
      <c r="D102" s="21">
        <v>2220000</v>
      </c>
      <c r="E102" s="21" t="s">
        <v>243</v>
      </c>
      <c r="F102" s="21">
        <f t="shared" si="2"/>
        <v>0</v>
      </c>
      <c r="G102" s="8">
        <f t="shared" si="3"/>
        <v>0</v>
      </c>
    </row>
    <row r="103" spans="2:7" x14ac:dyDescent="0.25">
      <c r="B103" s="21"/>
      <c r="C103" s="21"/>
      <c r="D103" s="21">
        <v>1280000</v>
      </c>
      <c r="E103" s="21" t="s">
        <v>226</v>
      </c>
      <c r="F103" s="21">
        <f t="shared" si="2"/>
        <v>0</v>
      </c>
      <c r="G103" s="8">
        <f t="shared" si="3"/>
        <v>0</v>
      </c>
    </row>
    <row r="104" spans="2:7" x14ac:dyDescent="0.25">
      <c r="B104" s="21"/>
      <c r="C104" s="21"/>
      <c r="D104" s="21">
        <v>1770000</v>
      </c>
      <c r="E104" s="21" t="s">
        <v>231</v>
      </c>
      <c r="F104" s="21">
        <f t="shared" si="2"/>
        <v>0</v>
      </c>
      <c r="G104" s="8">
        <f t="shared" si="3"/>
        <v>0</v>
      </c>
    </row>
    <row r="105" spans="2:7" x14ac:dyDescent="0.25">
      <c r="B105" s="21"/>
      <c r="C105" s="21"/>
      <c r="D105" s="21">
        <v>1190000</v>
      </c>
      <c r="E105" s="21" t="s">
        <v>296</v>
      </c>
      <c r="F105" s="21">
        <f t="shared" si="2"/>
        <v>0</v>
      </c>
      <c r="G105" s="8">
        <f t="shared" si="3"/>
        <v>0</v>
      </c>
    </row>
    <row r="106" spans="2:7" x14ac:dyDescent="0.25">
      <c r="B106" s="21"/>
      <c r="C106" s="21"/>
      <c r="D106" s="21">
        <v>2000000</v>
      </c>
      <c r="E106" s="21" t="s">
        <v>297</v>
      </c>
      <c r="F106" s="21">
        <f t="shared" si="2"/>
        <v>0</v>
      </c>
      <c r="G106" s="8">
        <f t="shared" si="3"/>
        <v>0</v>
      </c>
    </row>
    <row r="107" spans="2:7" x14ac:dyDescent="0.25">
      <c r="B107" s="21"/>
      <c r="C107" s="21"/>
      <c r="D107" s="21">
        <v>0</v>
      </c>
      <c r="E107" s="21" t="s">
        <v>298</v>
      </c>
      <c r="F107" s="21">
        <f t="shared" si="2"/>
        <v>0</v>
      </c>
      <c r="G107" s="8">
        <f t="shared" si="3"/>
        <v>0</v>
      </c>
    </row>
    <row r="108" spans="2:7" x14ac:dyDescent="0.25">
      <c r="B108" s="21"/>
      <c r="C108" s="21"/>
      <c r="D108" s="21">
        <v>1540000</v>
      </c>
      <c r="E108" s="21" t="s">
        <v>248</v>
      </c>
      <c r="F108" s="21">
        <f t="shared" si="2"/>
        <v>0</v>
      </c>
      <c r="G108" s="8">
        <f t="shared" si="3"/>
        <v>0</v>
      </c>
    </row>
    <row r="109" spans="2:7" x14ac:dyDescent="0.25">
      <c r="B109" s="21"/>
      <c r="C109" s="21"/>
      <c r="D109" s="21">
        <v>1740000</v>
      </c>
      <c r="E109" s="21" t="s">
        <v>251</v>
      </c>
      <c r="F109" s="21">
        <f t="shared" si="2"/>
        <v>0</v>
      </c>
      <c r="G109" s="8">
        <f t="shared" si="3"/>
        <v>0</v>
      </c>
    </row>
    <row r="110" spans="2:7" x14ac:dyDescent="0.25">
      <c r="B110" s="21"/>
      <c r="C110" s="21"/>
      <c r="D110" s="21">
        <v>1540000</v>
      </c>
      <c r="E110" s="21" t="s">
        <v>248</v>
      </c>
      <c r="F110" s="21">
        <f t="shared" si="2"/>
        <v>0</v>
      </c>
      <c r="G110" s="8">
        <f t="shared" si="3"/>
        <v>0</v>
      </c>
    </row>
    <row r="111" spans="2:7" x14ac:dyDescent="0.25">
      <c r="B111" s="21"/>
      <c r="C111" s="21"/>
      <c r="D111" s="21">
        <v>940000</v>
      </c>
      <c r="E111" s="21" t="s">
        <v>249</v>
      </c>
      <c r="F111" s="21">
        <f t="shared" si="2"/>
        <v>0</v>
      </c>
      <c r="G111" s="8">
        <f t="shared" si="3"/>
        <v>0</v>
      </c>
    </row>
    <row r="112" spans="2:7" x14ac:dyDescent="0.25">
      <c r="B112" s="21"/>
      <c r="C112" s="21"/>
      <c r="D112" s="21">
        <v>2250000</v>
      </c>
      <c r="E112" s="21" t="s">
        <v>250</v>
      </c>
      <c r="F112" s="21">
        <f t="shared" si="2"/>
        <v>0</v>
      </c>
      <c r="G112" s="8">
        <f t="shared" si="3"/>
        <v>0</v>
      </c>
    </row>
    <row r="113" spans="2:7" x14ac:dyDescent="0.25">
      <c r="B113" s="21"/>
      <c r="C113" s="21"/>
      <c r="D113" s="21">
        <v>2000000</v>
      </c>
      <c r="E113" s="21" t="s">
        <v>297</v>
      </c>
      <c r="F113" s="21">
        <f t="shared" si="2"/>
        <v>0</v>
      </c>
      <c r="G113" s="8">
        <f t="shared" si="3"/>
        <v>0</v>
      </c>
    </row>
    <row r="114" spans="2:7" x14ac:dyDescent="0.25">
      <c r="B114" s="21"/>
      <c r="C114" s="21"/>
      <c r="D114" s="21">
        <v>2220000</v>
      </c>
      <c r="E114" s="21" t="s">
        <v>243</v>
      </c>
      <c r="F114" s="21">
        <f t="shared" si="2"/>
        <v>0</v>
      </c>
      <c r="G114" s="8">
        <f t="shared" si="3"/>
        <v>0</v>
      </c>
    </row>
    <row r="115" spans="2:7" x14ac:dyDescent="0.25">
      <c r="B115" s="21"/>
      <c r="C115" s="21"/>
      <c r="D115" s="21">
        <v>1280000</v>
      </c>
      <c r="E115" s="21" t="s">
        <v>226</v>
      </c>
      <c r="F115" s="21">
        <f t="shared" si="2"/>
        <v>0</v>
      </c>
      <c r="G115" s="8">
        <f t="shared" si="3"/>
        <v>0</v>
      </c>
    </row>
    <row r="116" spans="2:7" x14ac:dyDescent="0.25">
      <c r="B116" s="21"/>
      <c r="C116" s="21"/>
      <c r="D116" s="21">
        <v>2220000</v>
      </c>
      <c r="E116" s="21" t="s">
        <v>243</v>
      </c>
      <c r="F116" s="21">
        <f t="shared" si="2"/>
        <v>0</v>
      </c>
      <c r="G116" s="8">
        <f t="shared" si="3"/>
        <v>0</v>
      </c>
    </row>
    <row r="117" spans="2:7" x14ac:dyDescent="0.25">
      <c r="B117" s="21"/>
      <c r="C117" s="21"/>
      <c r="D117" s="21">
        <v>1190000</v>
      </c>
      <c r="E117" s="21" t="s">
        <v>296</v>
      </c>
      <c r="F117" s="21">
        <f t="shared" si="2"/>
        <v>0</v>
      </c>
      <c r="G117" s="8">
        <f t="shared" si="3"/>
        <v>0</v>
      </c>
    </row>
    <row r="118" spans="2:7" x14ac:dyDescent="0.25">
      <c r="B118" s="21"/>
      <c r="C118" s="21"/>
      <c r="D118" s="21">
        <v>2000000</v>
      </c>
      <c r="E118" s="21" t="s">
        <v>297</v>
      </c>
      <c r="F118" s="21">
        <f t="shared" si="2"/>
        <v>0</v>
      </c>
      <c r="G118" s="8">
        <f t="shared" si="3"/>
        <v>0</v>
      </c>
    </row>
    <row r="119" spans="2:7" x14ac:dyDescent="0.25">
      <c r="B119" s="21"/>
      <c r="C119" s="21"/>
      <c r="D119" s="21">
        <v>1740000</v>
      </c>
      <c r="E119" s="21" t="s">
        <v>251</v>
      </c>
      <c r="F119" s="21">
        <f t="shared" si="2"/>
        <v>0</v>
      </c>
      <c r="G119" s="8">
        <f t="shared" si="3"/>
        <v>0</v>
      </c>
    </row>
    <row r="120" spans="2:7" x14ac:dyDescent="0.25">
      <c r="B120" s="21"/>
      <c r="C120" s="21"/>
      <c r="D120" s="21">
        <v>1540000</v>
      </c>
      <c r="E120" s="21" t="s">
        <v>248</v>
      </c>
      <c r="F120" s="21">
        <f t="shared" si="2"/>
        <v>0</v>
      </c>
      <c r="G120" s="8">
        <f t="shared" si="3"/>
        <v>0</v>
      </c>
    </row>
    <row r="121" spans="2:7" x14ac:dyDescent="0.25">
      <c r="B121" s="21"/>
      <c r="C121" s="21"/>
      <c r="D121" s="21">
        <v>940000</v>
      </c>
      <c r="E121" s="21" t="s">
        <v>249</v>
      </c>
      <c r="F121" s="21">
        <f t="shared" si="2"/>
        <v>0</v>
      </c>
      <c r="G121" s="8">
        <f t="shared" si="3"/>
        <v>0</v>
      </c>
    </row>
    <row r="122" spans="2:7" x14ac:dyDescent="0.25">
      <c r="B122" s="26"/>
      <c r="C122" s="21"/>
      <c r="D122" s="21">
        <v>2250000</v>
      </c>
      <c r="E122" s="21" t="s">
        <v>250</v>
      </c>
      <c r="F122" s="21">
        <f t="shared" si="2"/>
        <v>0</v>
      </c>
      <c r="G122" s="8">
        <f t="shared" si="3"/>
        <v>0</v>
      </c>
    </row>
    <row r="123" spans="2:7" x14ac:dyDescent="0.25">
      <c r="B123" s="21"/>
      <c r="C123" s="21"/>
      <c r="D123" s="21">
        <v>1280000</v>
      </c>
      <c r="E123" s="21" t="s">
        <v>226</v>
      </c>
      <c r="F123" s="21">
        <f t="shared" si="2"/>
        <v>0</v>
      </c>
      <c r="G123" s="8">
        <f t="shared" si="3"/>
        <v>0</v>
      </c>
    </row>
    <row r="124" spans="2:7" x14ac:dyDescent="0.25">
      <c r="B124" s="21"/>
      <c r="C124" s="21"/>
      <c r="D124" s="21">
        <v>2000000</v>
      </c>
      <c r="E124" s="21" t="s">
        <v>297</v>
      </c>
      <c r="F124" s="21">
        <f t="shared" si="2"/>
        <v>0</v>
      </c>
      <c r="G124" s="8">
        <f t="shared" si="3"/>
        <v>0</v>
      </c>
    </row>
    <row r="125" spans="2:7" x14ac:dyDescent="0.25">
      <c r="B125" s="21"/>
      <c r="C125" s="21"/>
      <c r="D125" s="21">
        <v>2220000</v>
      </c>
      <c r="E125" s="21" t="s">
        <v>243</v>
      </c>
      <c r="F125" s="21">
        <f t="shared" si="2"/>
        <v>0</v>
      </c>
      <c r="G125" s="8">
        <f t="shared" si="3"/>
        <v>0</v>
      </c>
    </row>
    <row r="126" spans="2:7" x14ac:dyDescent="0.25">
      <c r="B126" s="21"/>
      <c r="C126" s="21"/>
      <c r="D126" s="21">
        <v>2220000</v>
      </c>
      <c r="E126" s="21" t="s">
        <v>243</v>
      </c>
      <c r="F126" s="21">
        <f t="shared" si="2"/>
        <v>0</v>
      </c>
      <c r="G126" s="8">
        <f t="shared" si="3"/>
        <v>0</v>
      </c>
    </row>
    <row r="127" spans="2:7" x14ac:dyDescent="0.25">
      <c r="B127" s="21"/>
      <c r="C127" s="21"/>
      <c r="D127" s="21">
        <v>2220000</v>
      </c>
      <c r="E127" s="21" t="s">
        <v>243</v>
      </c>
      <c r="F127" s="21">
        <f t="shared" si="2"/>
        <v>0</v>
      </c>
      <c r="G127" s="8">
        <f t="shared" si="3"/>
        <v>0</v>
      </c>
    </row>
    <row r="128" spans="2:7" x14ac:dyDescent="0.25">
      <c r="B128" s="21"/>
      <c r="C128" s="21"/>
      <c r="D128" s="21">
        <v>1770000</v>
      </c>
      <c r="E128" s="21" t="s">
        <v>231</v>
      </c>
      <c r="F128" s="21">
        <f t="shared" si="2"/>
        <v>0</v>
      </c>
      <c r="G128" s="8">
        <f t="shared" si="3"/>
        <v>0</v>
      </c>
    </row>
    <row r="129" spans="2:7" x14ac:dyDescent="0.25">
      <c r="B129" s="21"/>
      <c r="C129" s="21"/>
      <c r="D129" s="21">
        <v>2220000</v>
      </c>
      <c r="E129" s="21" t="s">
        <v>243</v>
      </c>
      <c r="F129" s="21">
        <f t="shared" si="2"/>
        <v>0</v>
      </c>
      <c r="G129" s="8">
        <f t="shared" si="3"/>
        <v>0</v>
      </c>
    </row>
    <row r="130" spans="2:7" x14ac:dyDescent="0.25">
      <c r="B130" s="21"/>
      <c r="C130" s="21"/>
      <c r="D130" s="21">
        <v>1740000</v>
      </c>
      <c r="E130" s="21" t="s">
        <v>251</v>
      </c>
      <c r="F130" s="21">
        <f t="shared" ref="F130:F193" si="4">B130</f>
        <v>0</v>
      </c>
      <c r="G130" s="8">
        <f t="shared" ref="G130:G193" si="5">A130</f>
        <v>0</v>
      </c>
    </row>
    <row r="131" spans="2:7" x14ac:dyDescent="0.25">
      <c r="B131" s="21"/>
      <c r="C131" s="21"/>
      <c r="D131" s="21">
        <v>1540000</v>
      </c>
      <c r="E131" s="21" t="s">
        <v>248</v>
      </c>
      <c r="F131" s="21">
        <f t="shared" si="4"/>
        <v>0</v>
      </c>
      <c r="G131" s="8">
        <f t="shared" si="5"/>
        <v>0</v>
      </c>
    </row>
    <row r="132" spans="2:7" x14ac:dyDescent="0.25">
      <c r="B132" s="21"/>
      <c r="C132" s="21"/>
      <c r="D132" s="21">
        <v>940000</v>
      </c>
      <c r="E132" s="21" t="s">
        <v>249</v>
      </c>
      <c r="F132" s="21">
        <f t="shared" si="4"/>
        <v>0</v>
      </c>
      <c r="G132" s="8">
        <f t="shared" si="5"/>
        <v>0</v>
      </c>
    </row>
    <row r="133" spans="2:7" x14ac:dyDescent="0.25">
      <c r="B133" s="21"/>
      <c r="C133" s="21"/>
      <c r="D133" s="21">
        <v>2000000</v>
      </c>
      <c r="E133" s="21" t="s">
        <v>297</v>
      </c>
      <c r="F133" s="21">
        <f t="shared" si="4"/>
        <v>0</v>
      </c>
      <c r="G133" s="8">
        <f t="shared" si="5"/>
        <v>0</v>
      </c>
    </row>
    <row r="134" spans="2:7" x14ac:dyDescent="0.25">
      <c r="B134" s="21"/>
      <c r="C134" s="21"/>
      <c r="D134" s="21">
        <v>2250000</v>
      </c>
      <c r="E134" s="21" t="s">
        <v>250</v>
      </c>
      <c r="F134" s="21">
        <f t="shared" si="4"/>
        <v>0</v>
      </c>
      <c r="G134" s="8">
        <f t="shared" si="5"/>
        <v>0</v>
      </c>
    </row>
    <row r="135" spans="2:7" x14ac:dyDescent="0.25">
      <c r="B135" s="21"/>
      <c r="C135" s="21"/>
      <c r="D135" s="21">
        <v>1280000</v>
      </c>
      <c r="E135" s="21" t="s">
        <v>226</v>
      </c>
      <c r="F135" s="21">
        <f t="shared" si="4"/>
        <v>0</v>
      </c>
      <c r="G135" s="8">
        <f t="shared" si="5"/>
        <v>0</v>
      </c>
    </row>
    <row r="136" spans="2:7" x14ac:dyDescent="0.25">
      <c r="B136" s="21"/>
      <c r="C136" s="21"/>
      <c r="D136" s="21">
        <v>2000000</v>
      </c>
      <c r="E136" s="21" t="s">
        <v>297</v>
      </c>
      <c r="F136" s="21">
        <f t="shared" si="4"/>
        <v>0</v>
      </c>
      <c r="G136" s="8">
        <f t="shared" si="5"/>
        <v>0</v>
      </c>
    </row>
    <row r="137" spans="2:7" x14ac:dyDescent="0.25">
      <c r="B137" s="21"/>
      <c r="C137" s="21"/>
      <c r="D137" s="21">
        <v>2220000</v>
      </c>
      <c r="E137" s="21" t="s">
        <v>243</v>
      </c>
      <c r="F137" s="21">
        <f t="shared" si="4"/>
        <v>0</v>
      </c>
      <c r="G137" s="8">
        <f t="shared" si="5"/>
        <v>0</v>
      </c>
    </row>
    <row r="138" spans="2:7" x14ac:dyDescent="0.25">
      <c r="B138" s="21"/>
      <c r="C138" s="21"/>
      <c r="D138" s="21">
        <v>1770000</v>
      </c>
      <c r="E138" s="21" t="s">
        <v>231</v>
      </c>
      <c r="F138" s="21">
        <f t="shared" si="4"/>
        <v>0</v>
      </c>
      <c r="G138" s="8">
        <f t="shared" si="5"/>
        <v>0</v>
      </c>
    </row>
    <row r="139" spans="2:7" x14ac:dyDescent="0.25">
      <c r="B139" s="21"/>
      <c r="C139" s="21"/>
      <c r="D139" s="21">
        <v>2260000</v>
      </c>
      <c r="E139" s="21" t="s">
        <v>299</v>
      </c>
      <c r="F139" s="21">
        <f t="shared" si="4"/>
        <v>0</v>
      </c>
      <c r="G139" s="8">
        <f t="shared" si="5"/>
        <v>0</v>
      </c>
    </row>
    <row r="140" spans="2:7" x14ac:dyDescent="0.25">
      <c r="B140" s="21"/>
      <c r="C140" s="21"/>
      <c r="D140" s="21">
        <v>1740000</v>
      </c>
      <c r="E140" s="21" t="s">
        <v>251</v>
      </c>
      <c r="F140" s="21">
        <f t="shared" si="4"/>
        <v>0</v>
      </c>
      <c r="G140" s="8">
        <f t="shared" si="5"/>
        <v>0</v>
      </c>
    </row>
    <row r="141" spans="2:7" x14ac:dyDescent="0.25">
      <c r="B141" s="21"/>
      <c r="C141" s="21"/>
      <c r="D141" s="21">
        <v>1540000</v>
      </c>
      <c r="E141" s="21" t="s">
        <v>248</v>
      </c>
      <c r="F141" s="21">
        <f t="shared" si="4"/>
        <v>0</v>
      </c>
      <c r="G141" s="8">
        <f t="shared" si="5"/>
        <v>0</v>
      </c>
    </row>
    <row r="142" spans="2:7" x14ac:dyDescent="0.25">
      <c r="B142" s="21"/>
      <c r="C142" s="21"/>
      <c r="D142" s="21">
        <v>2260000</v>
      </c>
      <c r="E142" s="21" t="s">
        <v>299</v>
      </c>
      <c r="F142" s="21">
        <f t="shared" si="4"/>
        <v>0</v>
      </c>
      <c r="G142" s="8">
        <f t="shared" si="5"/>
        <v>0</v>
      </c>
    </row>
    <row r="143" spans="2:7" x14ac:dyDescent="0.25">
      <c r="B143" s="21"/>
      <c r="C143" s="21"/>
      <c r="D143" s="21">
        <v>1740000</v>
      </c>
      <c r="E143" s="21" t="s">
        <v>251</v>
      </c>
      <c r="F143" s="21">
        <f t="shared" si="4"/>
        <v>0</v>
      </c>
      <c r="G143" s="8">
        <f t="shared" si="5"/>
        <v>0</v>
      </c>
    </row>
    <row r="144" spans="2:7" x14ac:dyDescent="0.25">
      <c r="B144" s="21"/>
      <c r="C144" s="21"/>
      <c r="D144" s="21">
        <v>940000</v>
      </c>
      <c r="E144" s="21" t="s">
        <v>249</v>
      </c>
      <c r="F144" s="21">
        <f t="shared" si="4"/>
        <v>0</v>
      </c>
      <c r="G144" s="8">
        <f t="shared" si="5"/>
        <v>0</v>
      </c>
    </row>
    <row r="145" spans="2:7" x14ac:dyDescent="0.25">
      <c r="B145" s="21"/>
      <c r="C145" s="21"/>
      <c r="D145" s="21">
        <v>2250000</v>
      </c>
      <c r="E145" s="21" t="s">
        <v>250</v>
      </c>
      <c r="F145" s="21">
        <f t="shared" si="4"/>
        <v>0</v>
      </c>
      <c r="G145" s="8">
        <f t="shared" si="5"/>
        <v>0</v>
      </c>
    </row>
    <row r="146" spans="2:7" x14ac:dyDescent="0.25">
      <c r="B146" s="21"/>
      <c r="C146" s="21"/>
      <c r="D146" s="21">
        <v>2000000</v>
      </c>
      <c r="E146" s="21" t="s">
        <v>297</v>
      </c>
      <c r="F146" s="21">
        <f t="shared" si="4"/>
        <v>0</v>
      </c>
      <c r="G146" s="8">
        <f t="shared" si="5"/>
        <v>0</v>
      </c>
    </row>
    <row r="147" spans="2:7" x14ac:dyDescent="0.25">
      <c r="B147" s="21"/>
      <c r="C147" s="21"/>
      <c r="D147" s="21">
        <v>2260000</v>
      </c>
      <c r="E147" s="21" t="s">
        <v>299</v>
      </c>
      <c r="F147" s="21">
        <f t="shared" si="4"/>
        <v>0</v>
      </c>
      <c r="G147" s="8">
        <f t="shared" si="5"/>
        <v>0</v>
      </c>
    </row>
    <row r="148" spans="2:7" x14ac:dyDescent="0.25">
      <c r="B148" s="21"/>
      <c r="C148" s="21"/>
      <c r="D148" s="21">
        <v>1280000</v>
      </c>
      <c r="E148" s="21" t="s">
        <v>226</v>
      </c>
      <c r="F148" s="21">
        <f t="shared" si="4"/>
        <v>0</v>
      </c>
      <c r="G148" s="8">
        <f t="shared" si="5"/>
        <v>0</v>
      </c>
    </row>
    <row r="149" spans="2:7" x14ac:dyDescent="0.25">
      <c r="B149" s="21"/>
      <c r="C149" s="21"/>
      <c r="D149" s="21">
        <v>2220000</v>
      </c>
      <c r="E149" s="21" t="s">
        <v>243</v>
      </c>
      <c r="F149" s="21">
        <f t="shared" si="4"/>
        <v>0</v>
      </c>
      <c r="G149" s="8">
        <f t="shared" si="5"/>
        <v>0</v>
      </c>
    </row>
    <row r="150" spans="2:7" x14ac:dyDescent="0.25">
      <c r="B150" s="21"/>
      <c r="C150" s="21"/>
      <c r="D150" s="21">
        <v>1770000</v>
      </c>
      <c r="E150" s="21" t="s">
        <v>231</v>
      </c>
      <c r="F150" s="21">
        <f t="shared" si="4"/>
        <v>0</v>
      </c>
      <c r="G150" s="8">
        <f t="shared" si="5"/>
        <v>0</v>
      </c>
    </row>
    <row r="151" spans="2:7" x14ac:dyDescent="0.25">
      <c r="B151" s="21"/>
      <c r="C151" s="21"/>
      <c r="D151" s="21">
        <v>2000000</v>
      </c>
      <c r="E151" s="21" t="s">
        <v>297</v>
      </c>
      <c r="F151" s="21">
        <f t="shared" si="4"/>
        <v>0</v>
      </c>
      <c r="G151" s="8">
        <f t="shared" si="5"/>
        <v>0</v>
      </c>
    </row>
    <row r="152" spans="2:7" x14ac:dyDescent="0.25">
      <c r="B152" s="21"/>
      <c r="C152" s="21"/>
      <c r="D152" s="21">
        <v>2260000</v>
      </c>
      <c r="E152" s="21" t="s">
        <v>299</v>
      </c>
      <c r="F152" s="21">
        <f t="shared" si="4"/>
        <v>0</v>
      </c>
      <c r="G152" s="8">
        <f t="shared" si="5"/>
        <v>0</v>
      </c>
    </row>
    <row r="153" spans="2:7" x14ac:dyDescent="0.25">
      <c r="B153" s="21"/>
      <c r="C153" s="21"/>
      <c r="D153" s="21">
        <v>1740000</v>
      </c>
      <c r="E153" s="21" t="s">
        <v>251</v>
      </c>
      <c r="F153" s="21">
        <f t="shared" si="4"/>
        <v>0</v>
      </c>
      <c r="G153" s="8">
        <f t="shared" si="5"/>
        <v>0</v>
      </c>
    </row>
    <row r="154" spans="2:7" x14ac:dyDescent="0.25">
      <c r="B154" s="21"/>
      <c r="C154" s="21"/>
      <c r="D154" s="21">
        <v>2250000</v>
      </c>
      <c r="E154" s="21" t="s">
        <v>250</v>
      </c>
      <c r="F154" s="21">
        <f t="shared" si="4"/>
        <v>0</v>
      </c>
      <c r="G154" s="8">
        <f t="shared" si="5"/>
        <v>0</v>
      </c>
    </row>
    <row r="155" spans="2:7" x14ac:dyDescent="0.25">
      <c r="B155" s="21"/>
      <c r="C155" s="21"/>
      <c r="D155" s="21">
        <v>2250000</v>
      </c>
      <c r="E155" s="21" t="s">
        <v>250</v>
      </c>
      <c r="F155" s="21">
        <f t="shared" si="4"/>
        <v>0</v>
      </c>
      <c r="G155" s="8">
        <f t="shared" si="5"/>
        <v>0</v>
      </c>
    </row>
    <row r="156" spans="2:7" x14ac:dyDescent="0.25">
      <c r="B156" s="21"/>
      <c r="C156" s="21"/>
      <c r="D156" s="21">
        <v>1540000</v>
      </c>
      <c r="E156" s="21" t="s">
        <v>248</v>
      </c>
      <c r="F156" s="21">
        <f t="shared" si="4"/>
        <v>0</v>
      </c>
      <c r="G156" s="8">
        <f t="shared" si="5"/>
        <v>0</v>
      </c>
    </row>
    <row r="157" spans="2:7" x14ac:dyDescent="0.25">
      <c r="B157" s="21"/>
      <c r="C157" s="21"/>
      <c r="D157" s="21">
        <v>940000</v>
      </c>
      <c r="E157" s="21" t="s">
        <v>249</v>
      </c>
      <c r="F157" s="21">
        <f t="shared" si="4"/>
        <v>0</v>
      </c>
      <c r="G157" s="8">
        <f t="shared" si="5"/>
        <v>0</v>
      </c>
    </row>
    <row r="158" spans="2:7" x14ac:dyDescent="0.25">
      <c r="B158" s="21"/>
      <c r="C158" s="21"/>
      <c r="D158" s="21">
        <v>1480000</v>
      </c>
      <c r="E158" s="21" t="s">
        <v>192</v>
      </c>
      <c r="F158" s="21">
        <f t="shared" si="4"/>
        <v>0</v>
      </c>
      <c r="G158" s="8">
        <f t="shared" si="5"/>
        <v>0</v>
      </c>
    </row>
    <row r="159" spans="2:7" x14ac:dyDescent="0.25">
      <c r="B159" s="21"/>
      <c r="C159" s="21"/>
      <c r="D159" s="21">
        <v>2260000</v>
      </c>
      <c r="E159" s="21" t="s">
        <v>299</v>
      </c>
      <c r="F159" s="21">
        <f t="shared" si="4"/>
        <v>0</v>
      </c>
      <c r="G159" s="8">
        <f t="shared" si="5"/>
        <v>0</v>
      </c>
    </row>
    <row r="160" spans="2:7" x14ac:dyDescent="0.25">
      <c r="B160" s="21"/>
      <c r="C160" s="21"/>
      <c r="D160" s="21">
        <v>2000000</v>
      </c>
      <c r="E160" s="21" t="s">
        <v>297</v>
      </c>
      <c r="F160" s="21">
        <f t="shared" si="4"/>
        <v>0</v>
      </c>
      <c r="G160" s="8">
        <f t="shared" si="5"/>
        <v>0</v>
      </c>
    </row>
    <row r="161" spans="2:7" x14ac:dyDescent="0.25">
      <c r="B161" s="21"/>
      <c r="C161" s="21"/>
      <c r="D161" s="21">
        <v>2360000</v>
      </c>
      <c r="E161" s="21" t="s">
        <v>252</v>
      </c>
      <c r="F161" s="21">
        <f t="shared" si="4"/>
        <v>0</v>
      </c>
      <c r="G161" s="8">
        <f t="shared" si="5"/>
        <v>0</v>
      </c>
    </row>
    <row r="162" spans="2:7" x14ac:dyDescent="0.25">
      <c r="B162" s="21"/>
      <c r="C162" s="21"/>
      <c r="D162" s="21">
        <v>2360000</v>
      </c>
      <c r="E162" s="21" t="s">
        <v>252</v>
      </c>
      <c r="F162" s="21">
        <f t="shared" si="4"/>
        <v>0</v>
      </c>
      <c r="G162" s="8">
        <f t="shared" si="5"/>
        <v>0</v>
      </c>
    </row>
    <row r="163" spans="2:7" x14ac:dyDescent="0.25">
      <c r="B163" s="21"/>
      <c r="C163" s="21"/>
      <c r="D163" s="21">
        <v>2360000</v>
      </c>
      <c r="E163" s="21" t="s">
        <v>252</v>
      </c>
      <c r="F163" s="21">
        <f t="shared" si="4"/>
        <v>0</v>
      </c>
      <c r="G163" s="8">
        <f t="shared" si="5"/>
        <v>0</v>
      </c>
    </row>
    <row r="164" spans="2:7" x14ac:dyDescent="0.25">
      <c r="B164" s="21"/>
      <c r="C164" s="21"/>
      <c r="D164" s="21">
        <v>1280000</v>
      </c>
      <c r="E164" s="21" t="s">
        <v>226</v>
      </c>
      <c r="F164" s="21">
        <f t="shared" si="4"/>
        <v>0</v>
      </c>
      <c r="G164" s="8">
        <f t="shared" si="5"/>
        <v>0</v>
      </c>
    </row>
    <row r="165" spans="2:7" x14ac:dyDescent="0.25">
      <c r="B165" s="21"/>
      <c r="C165" s="21"/>
      <c r="D165" s="21">
        <v>2220000</v>
      </c>
      <c r="E165" s="21" t="s">
        <v>243</v>
      </c>
      <c r="F165" s="21">
        <f t="shared" si="4"/>
        <v>0</v>
      </c>
      <c r="G165" s="8">
        <f t="shared" si="5"/>
        <v>0</v>
      </c>
    </row>
    <row r="166" spans="2:7" x14ac:dyDescent="0.25">
      <c r="B166" s="21"/>
      <c r="C166" s="21"/>
      <c r="D166" s="21">
        <v>1770000</v>
      </c>
      <c r="E166" s="21" t="s">
        <v>231</v>
      </c>
      <c r="F166" s="21">
        <f t="shared" si="4"/>
        <v>0</v>
      </c>
      <c r="G166" s="8">
        <f t="shared" si="5"/>
        <v>0</v>
      </c>
    </row>
    <row r="167" spans="2:7" x14ac:dyDescent="0.25">
      <c r="B167" s="21"/>
      <c r="C167" s="21"/>
      <c r="D167" s="21">
        <v>2000000</v>
      </c>
      <c r="E167" s="21" t="s">
        <v>297</v>
      </c>
      <c r="F167" s="21">
        <f t="shared" si="4"/>
        <v>0</v>
      </c>
      <c r="G167" s="8">
        <f t="shared" si="5"/>
        <v>0</v>
      </c>
    </row>
    <row r="168" spans="2:7" x14ac:dyDescent="0.25">
      <c r="B168" s="21"/>
      <c r="C168" s="21"/>
      <c r="D168" s="21">
        <v>1540000</v>
      </c>
      <c r="E168" s="21" t="s">
        <v>248</v>
      </c>
      <c r="F168" s="21">
        <f t="shared" si="4"/>
        <v>0</v>
      </c>
      <c r="G168" s="8">
        <f t="shared" si="5"/>
        <v>0</v>
      </c>
    </row>
    <row r="169" spans="2:7" x14ac:dyDescent="0.25">
      <c r="B169" s="21"/>
      <c r="C169" s="21"/>
      <c r="D169" s="21">
        <v>2360000</v>
      </c>
      <c r="E169" s="21" t="s">
        <v>252</v>
      </c>
      <c r="F169" s="21">
        <f t="shared" si="4"/>
        <v>0</v>
      </c>
      <c r="G169" s="8">
        <f t="shared" si="5"/>
        <v>0</v>
      </c>
    </row>
    <row r="170" spans="2:7" x14ac:dyDescent="0.25">
      <c r="B170" s="21"/>
      <c r="C170" s="21"/>
      <c r="D170" s="21">
        <v>2260000</v>
      </c>
      <c r="E170" s="21" t="s">
        <v>299</v>
      </c>
      <c r="F170" s="21">
        <f t="shared" si="4"/>
        <v>0</v>
      </c>
      <c r="G170" s="8">
        <f t="shared" si="5"/>
        <v>0</v>
      </c>
    </row>
    <row r="171" spans="2:7" x14ac:dyDescent="0.25">
      <c r="B171" s="21"/>
      <c r="C171" s="21"/>
      <c r="D171" s="21">
        <v>2370000</v>
      </c>
      <c r="E171" s="21" t="s">
        <v>300</v>
      </c>
      <c r="F171" s="21">
        <f t="shared" si="4"/>
        <v>0</v>
      </c>
      <c r="G171" s="8">
        <f t="shared" si="5"/>
        <v>0</v>
      </c>
    </row>
    <row r="172" spans="2:7" x14ac:dyDescent="0.25">
      <c r="B172" s="21"/>
      <c r="C172" s="21"/>
      <c r="D172" s="21">
        <v>1740000</v>
      </c>
      <c r="E172" s="21" t="s">
        <v>251</v>
      </c>
      <c r="F172" s="21">
        <f t="shared" si="4"/>
        <v>0</v>
      </c>
      <c r="G172" s="8">
        <f t="shared" si="5"/>
        <v>0</v>
      </c>
    </row>
    <row r="173" spans="2:7" x14ac:dyDescent="0.25">
      <c r="B173" s="21"/>
      <c r="C173" s="21"/>
      <c r="D173" s="21">
        <v>140000</v>
      </c>
      <c r="E173" s="21" t="s">
        <v>202</v>
      </c>
      <c r="F173" s="21">
        <f t="shared" si="4"/>
        <v>0</v>
      </c>
      <c r="G173" s="8">
        <f t="shared" si="5"/>
        <v>0</v>
      </c>
    </row>
    <row r="174" spans="2:7" x14ac:dyDescent="0.25">
      <c r="B174" s="21"/>
      <c r="C174" s="21"/>
      <c r="D174" s="21">
        <v>1480000</v>
      </c>
      <c r="E174" s="21" t="s">
        <v>192</v>
      </c>
      <c r="F174" s="21">
        <f t="shared" si="4"/>
        <v>0</v>
      </c>
      <c r="G174" s="8">
        <f t="shared" si="5"/>
        <v>0</v>
      </c>
    </row>
    <row r="175" spans="2:7" x14ac:dyDescent="0.25">
      <c r="B175" s="21"/>
      <c r="C175" s="21"/>
      <c r="D175" s="21">
        <v>140000</v>
      </c>
      <c r="E175" s="21" t="s">
        <v>202</v>
      </c>
      <c r="F175" s="21">
        <f t="shared" si="4"/>
        <v>0</v>
      </c>
      <c r="G175" s="8">
        <f t="shared" si="5"/>
        <v>0</v>
      </c>
    </row>
    <row r="176" spans="2:7" x14ac:dyDescent="0.25">
      <c r="B176" s="21"/>
      <c r="C176" s="21"/>
      <c r="D176" s="21">
        <v>2260000</v>
      </c>
      <c r="E176" s="21" t="s">
        <v>299</v>
      </c>
      <c r="F176" s="21">
        <f t="shared" si="4"/>
        <v>0</v>
      </c>
      <c r="G176" s="8">
        <f t="shared" si="5"/>
        <v>0</v>
      </c>
    </row>
    <row r="177" spans="2:7" x14ac:dyDescent="0.25">
      <c r="B177" s="21"/>
      <c r="C177" s="21"/>
      <c r="D177" s="21">
        <v>2350000</v>
      </c>
      <c r="E177" s="21" t="s">
        <v>234</v>
      </c>
      <c r="F177" s="21">
        <f t="shared" si="4"/>
        <v>0</v>
      </c>
      <c r="G177" s="8">
        <f t="shared" si="5"/>
        <v>0</v>
      </c>
    </row>
    <row r="178" spans="2:7" x14ac:dyDescent="0.25">
      <c r="B178" s="21"/>
      <c r="C178" s="21"/>
      <c r="D178" s="21">
        <v>2220000</v>
      </c>
      <c r="E178" s="21" t="s">
        <v>243</v>
      </c>
      <c r="F178" s="21">
        <f t="shared" si="4"/>
        <v>0</v>
      </c>
      <c r="G178" s="8">
        <f t="shared" si="5"/>
        <v>0</v>
      </c>
    </row>
    <row r="179" spans="2:7" x14ac:dyDescent="0.25">
      <c r="B179" s="21"/>
      <c r="C179" s="21"/>
      <c r="D179" s="21">
        <v>2000000</v>
      </c>
      <c r="E179" s="21" t="s">
        <v>297</v>
      </c>
      <c r="F179" s="21">
        <f t="shared" si="4"/>
        <v>0</v>
      </c>
      <c r="G179" s="8">
        <f t="shared" si="5"/>
        <v>0</v>
      </c>
    </row>
    <row r="180" spans="2:7" x14ac:dyDescent="0.25">
      <c r="B180" s="21"/>
      <c r="C180" s="21"/>
      <c r="D180" s="21">
        <v>940000</v>
      </c>
      <c r="E180" s="21" t="s">
        <v>249</v>
      </c>
      <c r="F180" s="21">
        <f t="shared" si="4"/>
        <v>0</v>
      </c>
      <c r="G180" s="8">
        <f t="shared" si="5"/>
        <v>0</v>
      </c>
    </row>
    <row r="181" spans="2:7" x14ac:dyDescent="0.25">
      <c r="B181" s="21"/>
      <c r="C181" s="21"/>
      <c r="D181" s="21">
        <v>140000</v>
      </c>
      <c r="E181" s="21" t="s">
        <v>202</v>
      </c>
      <c r="F181" s="21">
        <f t="shared" si="4"/>
        <v>0</v>
      </c>
      <c r="G181" s="8">
        <f t="shared" si="5"/>
        <v>0</v>
      </c>
    </row>
    <row r="182" spans="2:7" x14ac:dyDescent="0.25">
      <c r="B182" s="21"/>
      <c r="C182" s="21"/>
      <c r="D182" s="21">
        <v>2360000</v>
      </c>
      <c r="E182" s="21" t="s">
        <v>252</v>
      </c>
      <c r="F182" s="21">
        <f t="shared" si="4"/>
        <v>0</v>
      </c>
      <c r="G182" s="8">
        <f t="shared" si="5"/>
        <v>0</v>
      </c>
    </row>
    <row r="183" spans="2:7" x14ac:dyDescent="0.25">
      <c r="B183" s="21"/>
      <c r="C183" s="21"/>
      <c r="D183" s="21">
        <v>2360000</v>
      </c>
      <c r="E183" s="21" t="s">
        <v>252</v>
      </c>
      <c r="F183" s="21">
        <f t="shared" si="4"/>
        <v>0</v>
      </c>
      <c r="G183" s="8">
        <f t="shared" si="5"/>
        <v>0</v>
      </c>
    </row>
    <row r="184" spans="2:7" x14ac:dyDescent="0.25">
      <c r="B184" s="21"/>
      <c r="C184" s="21"/>
      <c r="D184" s="21">
        <v>2000000</v>
      </c>
      <c r="E184" s="21" t="s">
        <v>297</v>
      </c>
      <c r="F184" s="21">
        <f t="shared" si="4"/>
        <v>0</v>
      </c>
      <c r="G184" s="8">
        <f t="shared" si="5"/>
        <v>0</v>
      </c>
    </row>
    <row r="185" spans="2:7" x14ac:dyDescent="0.25">
      <c r="B185" s="21"/>
      <c r="C185" s="21"/>
      <c r="D185" s="21">
        <v>1770000</v>
      </c>
      <c r="E185" s="21" t="s">
        <v>231</v>
      </c>
      <c r="F185" s="21">
        <f t="shared" si="4"/>
        <v>0</v>
      </c>
      <c r="G185" s="8">
        <f t="shared" si="5"/>
        <v>0</v>
      </c>
    </row>
    <row r="186" spans="2:7" x14ac:dyDescent="0.25">
      <c r="B186" s="21"/>
      <c r="C186" s="21"/>
      <c r="D186" s="21">
        <v>1540000</v>
      </c>
      <c r="E186" s="21" t="s">
        <v>248</v>
      </c>
      <c r="F186" s="21">
        <f t="shared" si="4"/>
        <v>0</v>
      </c>
      <c r="G186" s="8">
        <f t="shared" si="5"/>
        <v>0</v>
      </c>
    </row>
    <row r="187" spans="2:7" x14ac:dyDescent="0.25">
      <c r="B187" s="21"/>
      <c r="C187" s="21"/>
      <c r="D187" s="21">
        <v>2260000</v>
      </c>
      <c r="E187" s="21" t="s">
        <v>299</v>
      </c>
      <c r="F187" s="21">
        <f t="shared" si="4"/>
        <v>0</v>
      </c>
      <c r="G187" s="8">
        <f t="shared" si="5"/>
        <v>0</v>
      </c>
    </row>
    <row r="188" spans="2:7" x14ac:dyDescent="0.25">
      <c r="B188" s="21"/>
      <c r="C188" s="21"/>
      <c r="D188" s="21">
        <v>1740000</v>
      </c>
      <c r="E188" s="21" t="s">
        <v>251</v>
      </c>
      <c r="F188" s="21">
        <f t="shared" si="4"/>
        <v>0</v>
      </c>
      <c r="G188" s="8">
        <f t="shared" si="5"/>
        <v>0</v>
      </c>
    </row>
    <row r="189" spans="2:7" x14ac:dyDescent="0.25">
      <c r="B189" s="21"/>
      <c r="C189" s="21"/>
      <c r="D189" s="21">
        <v>1480000</v>
      </c>
      <c r="E189" s="21" t="s">
        <v>192</v>
      </c>
      <c r="F189" s="21">
        <f t="shared" si="4"/>
        <v>0</v>
      </c>
      <c r="G189" s="8">
        <f t="shared" si="5"/>
        <v>0</v>
      </c>
    </row>
    <row r="190" spans="2:7" x14ac:dyDescent="0.25">
      <c r="B190" s="21"/>
      <c r="C190" s="21"/>
      <c r="D190" s="21">
        <v>2350000</v>
      </c>
      <c r="E190" s="21" t="s">
        <v>234</v>
      </c>
      <c r="F190" s="21">
        <f t="shared" si="4"/>
        <v>0</v>
      </c>
      <c r="G190" s="8">
        <f t="shared" si="5"/>
        <v>0</v>
      </c>
    </row>
    <row r="191" spans="2:7" x14ac:dyDescent="0.25">
      <c r="B191" s="21"/>
      <c r="C191" s="21"/>
      <c r="D191" s="21">
        <v>2260000</v>
      </c>
      <c r="E191" s="21" t="s">
        <v>299</v>
      </c>
      <c r="F191" s="21">
        <f t="shared" si="4"/>
        <v>0</v>
      </c>
      <c r="G191" s="8">
        <f t="shared" si="5"/>
        <v>0</v>
      </c>
    </row>
    <row r="192" spans="2:7" x14ac:dyDescent="0.25">
      <c r="B192" s="21"/>
      <c r="C192" s="21"/>
      <c r="D192" s="21">
        <v>2220000</v>
      </c>
      <c r="E192" s="21" t="s">
        <v>243</v>
      </c>
      <c r="F192" s="21">
        <f t="shared" si="4"/>
        <v>0</v>
      </c>
      <c r="G192" s="8">
        <f t="shared" si="5"/>
        <v>0</v>
      </c>
    </row>
    <row r="193" spans="1:7" x14ac:dyDescent="0.25">
      <c r="B193" s="21"/>
      <c r="C193" s="21"/>
      <c r="D193" s="21">
        <v>2220000</v>
      </c>
      <c r="E193" s="21" t="s">
        <v>243</v>
      </c>
      <c r="F193" s="21">
        <f t="shared" si="4"/>
        <v>0</v>
      </c>
      <c r="G193" s="8">
        <f t="shared" si="5"/>
        <v>0</v>
      </c>
    </row>
    <row r="194" spans="1:7" x14ac:dyDescent="0.25">
      <c r="B194" s="21"/>
      <c r="C194" s="21"/>
      <c r="D194" s="21">
        <v>2000000</v>
      </c>
      <c r="E194" s="21" t="s">
        <v>297</v>
      </c>
      <c r="F194" s="21">
        <f t="shared" ref="F194:F235" si="6">B194</f>
        <v>0</v>
      </c>
      <c r="G194" s="8">
        <f t="shared" ref="G194:G235" si="7">A194</f>
        <v>0</v>
      </c>
    </row>
    <row r="195" spans="1:7" x14ac:dyDescent="0.25">
      <c r="B195" s="21"/>
      <c r="C195" s="21"/>
      <c r="D195" s="21">
        <v>2220000</v>
      </c>
      <c r="E195" s="21" t="s">
        <v>243</v>
      </c>
      <c r="F195" s="21">
        <f t="shared" si="6"/>
        <v>0</v>
      </c>
      <c r="G195" s="8">
        <f t="shared" si="7"/>
        <v>0</v>
      </c>
    </row>
    <row r="196" spans="1:7" x14ac:dyDescent="0.25">
      <c r="B196" s="21"/>
      <c r="C196" s="21"/>
      <c r="D196" s="21">
        <v>140000</v>
      </c>
      <c r="E196" s="21" t="s">
        <v>202</v>
      </c>
      <c r="F196" s="21">
        <f t="shared" si="6"/>
        <v>0</v>
      </c>
      <c r="G196" s="8">
        <f t="shared" si="7"/>
        <v>0</v>
      </c>
    </row>
    <row r="197" spans="1:7" x14ac:dyDescent="0.25">
      <c r="B197" s="21"/>
      <c r="C197" s="21"/>
      <c r="D197" s="21">
        <v>2360000</v>
      </c>
      <c r="E197" s="21" t="s">
        <v>252</v>
      </c>
      <c r="F197" s="21">
        <f t="shared" si="6"/>
        <v>0</v>
      </c>
      <c r="G197" s="8">
        <f t="shared" si="7"/>
        <v>0</v>
      </c>
    </row>
    <row r="198" spans="1:7" x14ac:dyDescent="0.25">
      <c r="B198" s="21"/>
      <c r="C198" s="21"/>
      <c r="D198" s="21">
        <v>2000000</v>
      </c>
      <c r="E198" s="21" t="s">
        <v>297</v>
      </c>
      <c r="F198" s="21">
        <f t="shared" si="6"/>
        <v>0</v>
      </c>
      <c r="G198" s="8">
        <f t="shared" si="7"/>
        <v>0</v>
      </c>
    </row>
    <row r="199" spans="1:7" x14ac:dyDescent="0.25">
      <c r="B199" s="21"/>
      <c r="C199" s="21"/>
      <c r="D199" s="21">
        <v>1740000</v>
      </c>
      <c r="E199" s="21" t="s">
        <v>251</v>
      </c>
      <c r="F199" s="21">
        <f t="shared" si="6"/>
        <v>0</v>
      </c>
      <c r="G199" s="8">
        <f t="shared" si="7"/>
        <v>0</v>
      </c>
    </row>
    <row r="200" spans="1:7" x14ac:dyDescent="0.25">
      <c r="B200" s="21"/>
      <c r="C200" s="21"/>
      <c r="D200" s="21">
        <v>1480000</v>
      </c>
      <c r="E200" s="21" t="s">
        <v>192</v>
      </c>
      <c r="F200" s="21">
        <f t="shared" si="6"/>
        <v>0</v>
      </c>
      <c r="G200" s="8">
        <f t="shared" si="7"/>
        <v>0</v>
      </c>
    </row>
    <row r="201" spans="1:7" x14ac:dyDescent="0.25">
      <c r="B201" s="21"/>
      <c r="C201" s="21"/>
      <c r="D201" s="21">
        <v>2350000</v>
      </c>
      <c r="E201" s="21" t="s">
        <v>234</v>
      </c>
      <c r="F201" s="21">
        <f t="shared" si="6"/>
        <v>0</v>
      </c>
      <c r="G201" s="8">
        <f t="shared" si="7"/>
        <v>0</v>
      </c>
    </row>
    <row r="202" spans="1:7" x14ac:dyDescent="0.25">
      <c r="A202" s="27"/>
      <c r="B202" s="21"/>
      <c r="C202" s="21"/>
      <c r="D202" s="21">
        <v>2350000</v>
      </c>
      <c r="E202" s="21" t="s">
        <v>234</v>
      </c>
      <c r="F202" s="21">
        <f t="shared" si="6"/>
        <v>0</v>
      </c>
      <c r="G202" s="8">
        <f t="shared" si="7"/>
        <v>0</v>
      </c>
    </row>
    <row r="203" spans="1:7" x14ac:dyDescent="0.25">
      <c r="B203" s="21"/>
      <c r="C203" s="21"/>
      <c r="D203" s="21">
        <v>2000000</v>
      </c>
      <c r="E203" s="21" t="s">
        <v>297</v>
      </c>
      <c r="F203" s="21">
        <f t="shared" si="6"/>
        <v>0</v>
      </c>
      <c r="G203" s="8">
        <f t="shared" si="7"/>
        <v>0</v>
      </c>
    </row>
    <row r="204" spans="1:7" x14ac:dyDescent="0.25">
      <c r="B204" s="21"/>
      <c r="C204" s="21"/>
      <c r="D204" s="21">
        <v>2360000</v>
      </c>
      <c r="E204" s="21" t="s">
        <v>252</v>
      </c>
      <c r="F204" s="21">
        <f t="shared" si="6"/>
        <v>0</v>
      </c>
      <c r="G204" s="8">
        <f t="shared" si="7"/>
        <v>0</v>
      </c>
    </row>
    <row r="205" spans="1:7" x14ac:dyDescent="0.25">
      <c r="B205" s="21"/>
      <c r="C205" s="21"/>
      <c r="D205" s="21">
        <v>140000</v>
      </c>
      <c r="E205" s="21" t="s">
        <v>202</v>
      </c>
      <c r="F205" s="21">
        <f t="shared" si="6"/>
        <v>0</v>
      </c>
      <c r="G205" s="8">
        <f t="shared" si="7"/>
        <v>0</v>
      </c>
    </row>
    <row r="206" spans="1:7" x14ac:dyDescent="0.25">
      <c r="B206" s="21"/>
      <c r="C206" s="21"/>
      <c r="D206" s="21">
        <v>2000000</v>
      </c>
      <c r="E206" s="21" t="s">
        <v>297</v>
      </c>
      <c r="F206" s="21">
        <f t="shared" si="6"/>
        <v>0</v>
      </c>
      <c r="G206" s="8">
        <f t="shared" si="7"/>
        <v>0</v>
      </c>
    </row>
    <row r="207" spans="1:7" x14ac:dyDescent="0.25">
      <c r="B207" s="21"/>
      <c r="C207" s="21"/>
      <c r="D207" s="21">
        <v>2350000</v>
      </c>
      <c r="E207" s="21" t="s">
        <v>234</v>
      </c>
      <c r="F207" s="21">
        <f t="shared" si="6"/>
        <v>0</v>
      </c>
      <c r="G207" s="8">
        <f t="shared" si="7"/>
        <v>0</v>
      </c>
    </row>
    <row r="208" spans="1:7" x14ac:dyDescent="0.25">
      <c r="B208" s="21"/>
      <c r="C208" s="21"/>
      <c r="D208" s="21">
        <v>2380000</v>
      </c>
      <c r="E208" s="21" t="s">
        <v>301</v>
      </c>
      <c r="F208" s="21">
        <f t="shared" si="6"/>
        <v>0</v>
      </c>
      <c r="G208" s="8">
        <f t="shared" si="7"/>
        <v>0</v>
      </c>
    </row>
    <row r="209" spans="2:7" x14ac:dyDescent="0.25">
      <c r="B209" s="21"/>
      <c r="C209" s="21"/>
      <c r="D209" s="21">
        <v>2360000</v>
      </c>
      <c r="E209" s="21" t="s">
        <v>252</v>
      </c>
      <c r="F209" s="21">
        <f t="shared" si="6"/>
        <v>0</v>
      </c>
      <c r="G209" s="8">
        <f t="shared" si="7"/>
        <v>0</v>
      </c>
    </row>
    <row r="210" spans="2:7" x14ac:dyDescent="0.25">
      <c r="B210" s="21"/>
      <c r="C210" s="21"/>
      <c r="D210" s="21">
        <v>2260000</v>
      </c>
      <c r="E210" s="21" t="s">
        <v>299</v>
      </c>
      <c r="F210" s="21">
        <f t="shared" si="6"/>
        <v>0</v>
      </c>
      <c r="G210" s="8">
        <f t="shared" si="7"/>
        <v>0</v>
      </c>
    </row>
    <row r="211" spans="2:7" x14ac:dyDescent="0.25">
      <c r="B211" s="21"/>
      <c r="C211" s="21"/>
      <c r="D211" s="21">
        <v>140000</v>
      </c>
      <c r="E211" s="21" t="s">
        <v>202</v>
      </c>
      <c r="F211" s="21">
        <f t="shared" si="6"/>
        <v>0</v>
      </c>
      <c r="G211" s="8">
        <f t="shared" si="7"/>
        <v>0</v>
      </c>
    </row>
    <row r="212" spans="2:7" x14ac:dyDescent="0.25">
      <c r="B212" s="21"/>
      <c r="C212" s="21"/>
      <c r="D212" s="21">
        <v>2260000</v>
      </c>
      <c r="E212" s="21" t="s">
        <v>299</v>
      </c>
      <c r="F212" s="21">
        <f t="shared" si="6"/>
        <v>0</v>
      </c>
      <c r="G212" s="8">
        <f t="shared" si="7"/>
        <v>0</v>
      </c>
    </row>
    <row r="213" spans="2:7" x14ac:dyDescent="0.25">
      <c r="B213" s="21"/>
      <c r="C213" s="21"/>
      <c r="D213" s="21">
        <v>1480000</v>
      </c>
      <c r="E213" s="21" t="s">
        <v>192</v>
      </c>
      <c r="F213" s="21">
        <f t="shared" si="6"/>
        <v>0</v>
      </c>
      <c r="G213" s="8">
        <f t="shared" si="7"/>
        <v>0</v>
      </c>
    </row>
    <row r="214" spans="2:7" x14ac:dyDescent="0.25">
      <c r="B214" s="21"/>
      <c r="C214" s="21"/>
      <c r="D214" s="21">
        <v>2350000</v>
      </c>
      <c r="E214" s="21" t="s">
        <v>234</v>
      </c>
      <c r="F214" s="21">
        <f t="shared" si="6"/>
        <v>0</v>
      </c>
      <c r="G214" s="8">
        <f t="shared" si="7"/>
        <v>0</v>
      </c>
    </row>
    <row r="215" spans="2:7" x14ac:dyDescent="0.25">
      <c r="B215" s="21"/>
      <c r="C215" s="21"/>
      <c r="D215" s="21">
        <v>2260000</v>
      </c>
      <c r="E215" s="21" t="s">
        <v>299</v>
      </c>
      <c r="F215" s="21">
        <f t="shared" si="6"/>
        <v>0</v>
      </c>
      <c r="G215" s="8">
        <f t="shared" si="7"/>
        <v>0</v>
      </c>
    </row>
    <row r="216" spans="2:7" x14ac:dyDescent="0.25">
      <c r="B216" s="21"/>
      <c r="C216" s="21"/>
      <c r="D216" s="21">
        <v>2360000</v>
      </c>
      <c r="E216" s="21" t="s">
        <v>252</v>
      </c>
      <c r="F216" s="21">
        <f t="shared" si="6"/>
        <v>0</v>
      </c>
      <c r="G216" s="8">
        <f t="shared" si="7"/>
        <v>0</v>
      </c>
    </row>
    <row r="217" spans="2:7" x14ac:dyDescent="0.25">
      <c r="B217" s="21"/>
      <c r="C217" s="21"/>
      <c r="D217" s="21">
        <v>140000</v>
      </c>
      <c r="E217" s="21" t="s">
        <v>202</v>
      </c>
      <c r="F217" s="21">
        <f t="shared" si="6"/>
        <v>0</v>
      </c>
      <c r="G217" s="8">
        <f t="shared" si="7"/>
        <v>0</v>
      </c>
    </row>
    <row r="218" spans="2:7" x14ac:dyDescent="0.25">
      <c r="B218" s="21"/>
      <c r="C218" s="21"/>
      <c r="D218" s="21">
        <v>2260000</v>
      </c>
      <c r="E218" s="21" t="s">
        <v>299</v>
      </c>
      <c r="F218" s="21">
        <f t="shared" si="6"/>
        <v>0</v>
      </c>
      <c r="G218" s="8">
        <f t="shared" si="7"/>
        <v>0</v>
      </c>
    </row>
    <row r="219" spans="2:7" x14ac:dyDescent="0.25">
      <c r="B219" s="21"/>
      <c r="C219" s="21"/>
      <c r="D219" s="21">
        <v>1480000</v>
      </c>
      <c r="E219" s="21" t="s">
        <v>192</v>
      </c>
      <c r="F219" s="21">
        <f t="shared" si="6"/>
        <v>0</v>
      </c>
      <c r="G219" s="8">
        <f t="shared" si="7"/>
        <v>0</v>
      </c>
    </row>
    <row r="220" spans="2:7" x14ac:dyDescent="0.25">
      <c r="B220" s="21"/>
      <c r="C220" s="21"/>
      <c r="D220" s="21">
        <v>2350000</v>
      </c>
      <c r="E220" s="21" t="s">
        <v>234</v>
      </c>
      <c r="F220" s="21">
        <f t="shared" si="6"/>
        <v>0</v>
      </c>
      <c r="G220" s="8">
        <f t="shared" si="7"/>
        <v>0</v>
      </c>
    </row>
    <row r="221" spans="2:7" x14ac:dyDescent="0.25">
      <c r="B221" s="21"/>
      <c r="C221" s="21"/>
      <c r="D221" s="21">
        <v>1480000</v>
      </c>
      <c r="E221" s="21" t="s">
        <v>192</v>
      </c>
      <c r="F221" s="21">
        <f t="shared" si="6"/>
        <v>0</v>
      </c>
      <c r="G221" s="8">
        <f t="shared" si="7"/>
        <v>0</v>
      </c>
    </row>
    <row r="222" spans="2:7" x14ac:dyDescent="0.25">
      <c r="B222" s="21"/>
      <c r="C222" s="21"/>
      <c r="D222" s="21">
        <v>140000</v>
      </c>
      <c r="E222" s="21" t="s">
        <v>202</v>
      </c>
      <c r="F222" s="21">
        <f t="shared" si="6"/>
        <v>0</v>
      </c>
      <c r="G222" s="8">
        <f t="shared" si="7"/>
        <v>0</v>
      </c>
    </row>
    <row r="223" spans="2:7" x14ac:dyDescent="0.25">
      <c r="B223" s="21"/>
      <c r="C223" s="21"/>
      <c r="D223" s="21">
        <v>2360000</v>
      </c>
      <c r="E223" s="21" t="s">
        <v>252</v>
      </c>
      <c r="F223" s="21">
        <f t="shared" si="6"/>
        <v>0</v>
      </c>
      <c r="G223" s="8">
        <f t="shared" si="7"/>
        <v>0</v>
      </c>
    </row>
    <row r="224" spans="2:7" x14ac:dyDescent="0.25">
      <c r="D224">
        <v>1480000</v>
      </c>
      <c r="E224" t="s">
        <v>192</v>
      </c>
      <c r="F224" s="21">
        <f t="shared" si="6"/>
        <v>0</v>
      </c>
      <c r="G224" s="8">
        <f t="shared" si="7"/>
        <v>0</v>
      </c>
    </row>
    <row r="225" spans="4:7" x14ac:dyDescent="0.25">
      <c r="D225">
        <v>2350000</v>
      </c>
      <c r="E225" t="s">
        <v>234</v>
      </c>
      <c r="F225" s="21">
        <f t="shared" si="6"/>
        <v>0</v>
      </c>
      <c r="G225" s="8">
        <f t="shared" si="7"/>
        <v>0</v>
      </c>
    </row>
    <row r="226" spans="4:7" x14ac:dyDescent="0.25">
      <c r="D226">
        <v>2370000</v>
      </c>
      <c r="E226" t="s">
        <v>300</v>
      </c>
      <c r="F226" s="21">
        <f t="shared" si="6"/>
        <v>0</v>
      </c>
      <c r="G226" s="8">
        <f t="shared" si="7"/>
        <v>0</v>
      </c>
    </row>
    <row r="227" spans="4:7" x14ac:dyDescent="0.25">
      <c r="D227">
        <v>2360000</v>
      </c>
      <c r="E227" t="s">
        <v>252</v>
      </c>
      <c r="F227" s="21">
        <f t="shared" si="6"/>
        <v>0</v>
      </c>
      <c r="G227" s="8">
        <f t="shared" si="7"/>
        <v>0</v>
      </c>
    </row>
    <row r="228" spans="4:7" x14ac:dyDescent="0.25">
      <c r="D228">
        <v>1480000</v>
      </c>
      <c r="E228" t="s">
        <v>192</v>
      </c>
      <c r="F228" s="21">
        <f t="shared" si="6"/>
        <v>0</v>
      </c>
      <c r="G228" s="8">
        <f t="shared" si="7"/>
        <v>0</v>
      </c>
    </row>
    <row r="229" spans="4:7" x14ac:dyDescent="0.25">
      <c r="D229">
        <v>2350000</v>
      </c>
      <c r="E229" t="s">
        <v>234</v>
      </c>
      <c r="F229" s="21">
        <f t="shared" si="6"/>
        <v>0</v>
      </c>
      <c r="G229" s="8">
        <f t="shared" si="7"/>
        <v>0</v>
      </c>
    </row>
    <row r="230" spans="4:7" x14ac:dyDescent="0.25">
      <c r="D230">
        <v>2360000</v>
      </c>
      <c r="E230" t="s">
        <v>252</v>
      </c>
      <c r="F230" s="21">
        <f t="shared" si="6"/>
        <v>0</v>
      </c>
      <c r="G230" s="8">
        <f t="shared" si="7"/>
        <v>0</v>
      </c>
    </row>
    <row r="231" spans="4:7" x14ac:dyDescent="0.25">
      <c r="D231">
        <v>2370000</v>
      </c>
      <c r="E231" t="s">
        <v>300</v>
      </c>
      <c r="F231" s="21">
        <f t="shared" si="6"/>
        <v>0</v>
      </c>
      <c r="G231" s="8">
        <f t="shared" si="7"/>
        <v>0</v>
      </c>
    </row>
    <row r="232" spans="4:7" x14ac:dyDescent="0.25">
      <c r="D232">
        <v>2350000</v>
      </c>
      <c r="E232" t="s">
        <v>234</v>
      </c>
      <c r="F232" s="21">
        <f t="shared" si="6"/>
        <v>0</v>
      </c>
      <c r="G232" s="8">
        <f t="shared" si="7"/>
        <v>0</v>
      </c>
    </row>
    <row r="233" spans="4:7" x14ac:dyDescent="0.25">
      <c r="D233">
        <v>140000</v>
      </c>
      <c r="E233" t="s">
        <v>202</v>
      </c>
      <c r="F233" s="21">
        <f t="shared" si="6"/>
        <v>0</v>
      </c>
      <c r="G233" s="8">
        <f t="shared" si="7"/>
        <v>0</v>
      </c>
    </row>
    <row r="234" spans="4:7" x14ac:dyDescent="0.25">
      <c r="D234">
        <v>1800000</v>
      </c>
      <c r="E234" t="s">
        <v>222</v>
      </c>
      <c r="F234" s="21">
        <f t="shared" si="6"/>
        <v>0</v>
      </c>
      <c r="G234" s="8">
        <f t="shared" si="7"/>
        <v>0</v>
      </c>
    </row>
    <row r="235" spans="4:7" x14ac:dyDescent="0.25">
      <c r="D235">
        <v>1180000</v>
      </c>
      <c r="E235" t="s">
        <v>190</v>
      </c>
      <c r="F235" s="21">
        <f t="shared" si="6"/>
        <v>0</v>
      </c>
      <c r="G235" s="8">
        <f t="shared" si="7"/>
        <v>0</v>
      </c>
    </row>
    <row r="236" spans="4:7" x14ac:dyDescent="0.25">
      <c r="D236">
        <v>1230000</v>
      </c>
      <c r="E236" t="s">
        <v>237</v>
      </c>
      <c r="F236" s="21">
        <f t="shared" ref="F236:F265" si="8">B236</f>
        <v>0</v>
      </c>
      <c r="G236" s="8">
        <f t="shared" ref="G236:G265" si="9">A236</f>
        <v>0</v>
      </c>
    </row>
    <row r="237" spans="4:7" x14ac:dyDescent="0.25">
      <c r="D237">
        <v>1290000</v>
      </c>
      <c r="E237" t="s">
        <v>232</v>
      </c>
      <c r="F237" s="21">
        <f t="shared" si="8"/>
        <v>0</v>
      </c>
      <c r="G237" s="8">
        <f t="shared" si="9"/>
        <v>0</v>
      </c>
    </row>
    <row r="238" spans="4:7" x14ac:dyDescent="0.25">
      <c r="D238">
        <v>2350000</v>
      </c>
      <c r="E238" t="s">
        <v>234</v>
      </c>
      <c r="F238" s="21">
        <f t="shared" si="8"/>
        <v>0</v>
      </c>
      <c r="G238" s="8">
        <f t="shared" si="9"/>
        <v>0</v>
      </c>
    </row>
    <row r="239" spans="4:7" x14ac:dyDescent="0.25">
      <c r="D239">
        <v>1290000</v>
      </c>
      <c r="E239" t="s">
        <v>232</v>
      </c>
      <c r="F239" s="21">
        <f t="shared" si="8"/>
        <v>0</v>
      </c>
      <c r="G239" s="8">
        <f t="shared" si="9"/>
        <v>0</v>
      </c>
    </row>
    <row r="240" spans="4:7" x14ac:dyDescent="0.25">
      <c r="D240">
        <v>1800000</v>
      </c>
      <c r="E240" t="s">
        <v>222</v>
      </c>
      <c r="F240" s="21">
        <f t="shared" si="8"/>
        <v>0</v>
      </c>
      <c r="G240" s="8">
        <f t="shared" si="9"/>
        <v>0</v>
      </c>
    </row>
    <row r="241" spans="1:7" x14ac:dyDescent="0.25">
      <c r="D241">
        <v>1180000</v>
      </c>
      <c r="E241" t="s">
        <v>190</v>
      </c>
      <c r="F241" s="21">
        <f t="shared" si="8"/>
        <v>0</v>
      </c>
      <c r="G241" s="8">
        <f t="shared" si="9"/>
        <v>0</v>
      </c>
    </row>
    <row r="242" spans="1:7" x14ac:dyDescent="0.25">
      <c r="D242">
        <v>2350000</v>
      </c>
      <c r="E242" t="s">
        <v>234</v>
      </c>
      <c r="F242" s="21">
        <f t="shared" si="8"/>
        <v>0</v>
      </c>
      <c r="G242" s="8">
        <f t="shared" si="9"/>
        <v>0</v>
      </c>
    </row>
    <row r="243" spans="1:7" x14ac:dyDescent="0.25">
      <c r="D243">
        <v>1230000</v>
      </c>
      <c r="E243" t="s">
        <v>237</v>
      </c>
      <c r="F243" s="21">
        <f t="shared" si="8"/>
        <v>0</v>
      </c>
      <c r="G243" s="8">
        <f t="shared" si="9"/>
        <v>0</v>
      </c>
    </row>
    <row r="244" spans="1:7" x14ac:dyDescent="0.25">
      <c r="D244">
        <v>1180000</v>
      </c>
      <c r="E244" t="s">
        <v>190</v>
      </c>
      <c r="F244" s="21">
        <f t="shared" si="8"/>
        <v>0</v>
      </c>
      <c r="G244" s="8">
        <f t="shared" si="9"/>
        <v>0</v>
      </c>
    </row>
    <row r="245" spans="1:7" x14ac:dyDescent="0.25">
      <c r="D245">
        <v>1800000</v>
      </c>
      <c r="E245" t="s">
        <v>222</v>
      </c>
      <c r="F245" s="21">
        <f t="shared" si="8"/>
        <v>0</v>
      </c>
      <c r="G245" s="8">
        <f t="shared" si="9"/>
        <v>0</v>
      </c>
    </row>
    <row r="246" spans="1:7" x14ac:dyDescent="0.25">
      <c r="D246">
        <v>1230000</v>
      </c>
      <c r="E246" t="s">
        <v>237</v>
      </c>
      <c r="F246" s="21">
        <f t="shared" si="8"/>
        <v>0</v>
      </c>
      <c r="G246" s="8">
        <f t="shared" si="9"/>
        <v>0</v>
      </c>
    </row>
    <row r="247" spans="1:7" x14ac:dyDescent="0.25">
      <c r="D247">
        <v>2350000</v>
      </c>
      <c r="E247" t="s">
        <v>234</v>
      </c>
      <c r="F247" s="21">
        <f t="shared" si="8"/>
        <v>0</v>
      </c>
      <c r="G247" s="8">
        <f t="shared" si="9"/>
        <v>0</v>
      </c>
    </row>
    <row r="248" spans="1:7" x14ac:dyDescent="0.25">
      <c r="D248">
        <v>1180000</v>
      </c>
      <c r="E248" t="s">
        <v>190</v>
      </c>
      <c r="F248" s="21">
        <f t="shared" si="8"/>
        <v>0</v>
      </c>
      <c r="G248" s="8">
        <f t="shared" si="9"/>
        <v>0</v>
      </c>
    </row>
    <row r="249" spans="1:7" x14ac:dyDescent="0.25">
      <c r="D249">
        <v>1180000</v>
      </c>
      <c r="E249" t="s">
        <v>190</v>
      </c>
      <c r="F249" s="21">
        <f t="shared" si="8"/>
        <v>0</v>
      </c>
      <c r="G249" s="8">
        <f t="shared" si="9"/>
        <v>0</v>
      </c>
    </row>
    <row r="250" spans="1:7" x14ac:dyDescent="0.25">
      <c r="D250">
        <v>1800000</v>
      </c>
      <c r="E250" t="s">
        <v>222</v>
      </c>
      <c r="F250" s="21">
        <f t="shared" si="8"/>
        <v>0</v>
      </c>
      <c r="G250" s="8">
        <f t="shared" si="9"/>
        <v>0</v>
      </c>
    </row>
    <row r="251" spans="1:7" x14ac:dyDescent="0.25">
      <c r="D251">
        <v>2350000</v>
      </c>
      <c r="E251" t="s">
        <v>234</v>
      </c>
      <c r="F251" s="21">
        <f t="shared" si="8"/>
        <v>0</v>
      </c>
      <c r="G251" s="8">
        <f t="shared" si="9"/>
        <v>0</v>
      </c>
    </row>
    <row r="252" spans="1:7" x14ac:dyDescent="0.25">
      <c r="F252" s="21">
        <f t="shared" si="8"/>
        <v>0</v>
      </c>
      <c r="G252" s="8">
        <f t="shared" si="9"/>
        <v>0</v>
      </c>
    </row>
    <row r="253" spans="1:7" x14ac:dyDescent="0.25">
      <c r="A253" s="8">
        <v>42651.069953703707</v>
      </c>
      <c r="B253" t="s">
        <v>203</v>
      </c>
      <c r="C253" t="s">
        <v>213</v>
      </c>
      <c r="D253">
        <v>1800000</v>
      </c>
      <c r="E253" t="s">
        <v>222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199</v>
      </c>
      <c r="C254" t="s">
        <v>212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218</v>
      </c>
      <c r="C258" t="s">
        <v>214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201</v>
      </c>
      <c r="C259" t="s">
        <v>215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201</v>
      </c>
      <c r="C261" t="s">
        <v>206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205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207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200</v>
      </c>
      <c r="C264" t="s">
        <v>208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205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205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205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205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205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209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205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205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205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7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37" t="s">
        <v>168</v>
      </c>
      <c r="B1" s="137" t="s">
        <v>171</v>
      </c>
      <c r="C1" s="137" t="s">
        <v>164</v>
      </c>
      <c r="D1" s="137" t="s">
        <v>178</v>
      </c>
      <c r="E1" s="137" t="s">
        <v>165</v>
      </c>
      <c r="F1" s="137" t="s">
        <v>163</v>
      </c>
      <c r="G1" s="137" t="s">
        <v>161</v>
      </c>
      <c r="H1" s="137" t="s">
        <v>174</v>
      </c>
      <c r="I1" s="137" t="s">
        <v>175</v>
      </c>
      <c r="J1" s="137" t="s">
        <v>238</v>
      </c>
      <c r="K1" s="137" t="s">
        <v>169</v>
      </c>
      <c r="L1" s="137" t="s">
        <v>167</v>
      </c>
      <c r="M1" s="137" t="s">
        <v>162</v>
      </c>
      <c r="N1" s="137" t="s">
        <v>172</v>
      </c>
      <c r="O1" s="137" t="s">
        <v>166</v>
      </c>
      <c r="P1" s="137" t="s">
        <v>173</v>
      </c>
      <c r="Q1" s="137" t="s">
        <v>170</v>
      </c>
    </row>
    <row r="2" spans="1:17" x14ac:dyDescent="0.25">
      <c r="A2" s="136">
        <v>48.09</v>
      </c>
      <c r="B2" s="136">
        <v>0.44</v>
      </c>
      <c r="C2" s="136">
        <v>43.32</v>
      </c>
      <c r="D2" s="181">
        <v>42655</v>
      </c>
      <c r="E2" s="136">
        <v>0.8</v>
      </c>
      <c r="F2" s="136" t="s">
        <v>229</v>
      </c>
      <c r="G2" s="136">
        <v>288.35000000000002</v>
      </c>
      <c r="H2" s="136">
        <v>0</v>
      </c>
      <c r="I2" s="136">
        <v>0</v>
      </c>
      <c r="K2" s="136">
        <v>1019.05</v>
      </c>
      <c r="L2" s="136" t="s">
        <v>227</v>
      </c>
      <c r="M2" s="136">
        <v>49.14</v>
      </c>
      <c r="N2" s="136">
        <v>1476252000</v>
      </c>
      <c r="O2" s="136">
        <v>5.95</v>
      </c>
      <c r="P2" s="136">
        <v>53</v>
      </c>
      <c r="Q2" s="136">
        <v>3.71</v>
      </c>
    </row>
    <row r="3" spans="1:17" x14ac:dyDescent="0.25">
      <c r="A3" s="136">
        <v>45.39</v>
      </c>
      <c r="B3" s="136">
        <v>0.51</v>
      </c>
      <c r="C3" s="136">
        <v>42.49</v>
      </c>
      <c r="D3" s="181">
        <v>42655.041666666664</v>
      </c>
      <c r="E3" s="136">
        <v>0.85</v>
      </c>
      <c r="F3" s="136" t="s">
        <v>229</v>
      </c>
      <c r="G3" s="136">
        <v>289.16000000000003</v>
      </c>
      <c r="H3" s="136">
        <v>0</v>
      </c>
      <c r="I3" s="136">
        <v>0</v>
      </c>
      <c r="K3" s="136">
        <v>1019.73</v>
      </c>
      <c r="L3" s="136" t="s">
        <v>227</v>
      </c>
      <c r="M3" s="136">
        <v>46.86</v>
      </c>
      <c r="N3" s="136">
        <v>1476255600</v>
      </c>
      <c r="O3" s="136">
        <v>6.16</v>
      </c>
      <c r="P3" s="136">
        <v>39</v>
      </c>
      <c r="Q3" s="136">
        <v>3.81</v>
      </c>
    </row>
    <row r="4" spans="1:17" x14ac:dyDescent="0.25">
      <c r="A4" s="136">
        <v>40.89</v>
      </c>
      <c r="B4" s="136">
        <v>0.57999999999999996</v>
      </c>
      <c r="C4" s="136">
        <v>39.72</v>
      </c>
      <c r="D4" s="181">
        <v>42655.083333333336</v>
      </c>
      <c r="E4" s="136">
        <v>0.88</v>
      </c>
      <c r="F4" s="136" t="s">
        <v>229</v>
      </c>
      <c r="G4" s="136">
        <v>289.95999999999998</v>
      </c>
      <c r="H4" s="136">
        <v>8.0000000000000004E-4</v>
      </c>
      <c r="I4" s="136">
        <v>0.01</v>
      </c>
      <c r="J4" s="136" t="s">
        <v>239</v>
      </c>
      <c r="K4" s="136">
        <v>1020.39</v>
      </c>
      <c r="L4" s="136" t="s">
        <v>227</v>
      </c>
      <c r="M4" s="136">
        <v>43.05</v>
      </c>
      <c r="N4" s="136">
        <v>1476259200</v>
      </c>
      <c r="O4" s="136">
        <v>6.1</v>
      </c>
      <c r="P4" s="136">
        <v>46</v>
      </c>
      <c r="Q4" s="136">
        <v>3.95</v>
      </c>
    </row>
    <row r="5" spans="1:17" x14ac:dyDescent="0.25">
      <c r="A5" s="136">
        <v>38.53</v>
      </c>
      <c r="B5" s="136">
        <v>0.65</v>
      </c>
      <c r="C5" s="136">
        <v>38.01</v>
      </c>
      <c r="D5" s="181">
        <v>42655.125</v>
      </c>
      <c r="E5" s="136">
        <v>0.89</v>
      </c>
      <c r="F5" s="136" t="s">
        <v>229</v>
      </c>
      <c r="G5" s="136">
        <v>290.77</v>
      </c>
      <c r="H5" s="136">
        <v>8.9999999999999998E-4</v>
      </c>
      <c r="I5" s="136">
        <v>0.01</v>
      </c>
      <c r="J5" s="136" t="s">
        <v>239</v>
      </c>
      <c r="K5" s="136">
        <v>1021.07</v>
      </c>
      <c r="L5" s="136" t="s">
        <v>228</v>
      </c>
      <c r="M5" s="136">
        <v>41.09</v>
      </c>
      <c r="N5" s="136">
        <v>1476262800</v>
      </c>
      <c r="O5" s="136">
        <v>5.39</v>
      </c>
      <c r="P5" s="136">
        <v>43</v>
      </c>
      <c r="Q5" s="136">
        <v>4.0599999999999996</v>
      </c>
    </row>
    <row r="6" spans="1:17" x14ac:dyDescent="0.25">
      <c r="A6" s="136">
        <v>38</v>
      </c>
      <c r="B6" s="136">
        <v>0.71</v>
      </c>
      <c r="C6" s="136">
        <v>36.69</v>
      </c>
      <c r="D6" s="181">
        <v>42655.166666666664</v>
      </c>
      <c r="E6" s="136">
        <v>0.89</v>
      </c>
      <c r="F6" s="136" t="s">
        <v>229</v>
      </c>
      <c r="G6" s="136">
        <v>291.26</v>
      </c>
      <c r="H6" s="136">
        <v>1.1000000000000001E-3</v>
      </c>
      <c r="I6" s="136">
        <v>0.02</v>
      </c>
      <c r="J6" s="136" t="s">
        <v>239</v>
      </c>
      <c r="K6" s="136">
        <v>1022.36</v>
      </c>
      <c r="L6" s="136" t="s">
        <v>228</v>
      </c>
      <c r="M6" s="136">
        <v>39.72</v>
      </c>
      <c r="N6" s="136">
        <v>1476266400</v>
      </c>
      <c r="O6" s="136">
        <v>5.12</v>
      </c>
      <c r="P6" s="136">
        <v>50</v>
      </c>
      <c r="Q6" s="136">
        <v>3.04</v>
      </c>
    </row>
    <row r="7" spans="1:17" x14ac:dyDescent="0.25">
      <c r="A7" s="136">
        <v>36.979999999999997</v>
      </c>
      <c r="B7" s="136">
        <v>0.79</v>
      </c>
      <c r="C7" s="136">
        <v>35.96</v>
      </c>
      <c r="D7" s="181">
        <v>42655.208333333336</v>
      </c>
      <c r="E7" s="136">
        <v>0.89</v>
      </c>
      <c r="F7" s="136" t="s">
        <v>229</v>
      </c>
      <c r="G7" s="136">
        <v>291.64</v>
      </c>
      <c r="H7" s="136">
        <v>1.1999999999999999E-3</v>
      </c>
      <c r="I7" s="136">
        <v>0.02</v>
      </c>
      <c r="J7" s="136" t="s">
        <v>239</v>
      </c>
      <c r="K7" s="136">
        <v>1023.84</v>
      </c>
      <c r="L7" s="136" t="s">
        <v>228</v>
      </c>
      <c r="M7" s="136">
        <v>38.94</v>
      </c>
      <c r="N7" s="136">
        <v>1476270000</v>
      </c>
      <c r="O7" s="136">
        <v>6.14</v>
      </c>
      <c r="P7" s="136">
        <v>65</v>
      </c>
      <c r="Q7" s="136">
        <v>3.15</v>
      </c>
    </row>
    <row r="8" spans="1:17" x14ac:dyDescent="0.25">
      <c r="A8" s="136">
        <v>36.08</v>
      </c>
      <c r="B8" s="136">
        <v>0.76</v>
      </c>
      <c r="C8" s="136">
        <v>35.119999999999997</v>
      </c>
      <c r="D8" s="181">
        <v>42655.25</v>
      </c>
      <c r="E8" s="136">
        <v>0.89</v>
      </c>
      <c r="F8" s="136" t="s">
        <v>229</v>
      </c>
      <c r="G8" s="136">
        <v>292.19</v>
      </c>
      <c r="H8" s="136">
        <v>1.2999999999999999E-3</v>
      </c>
      <c r="I8" s="136">
        <v>0.02</v>
      </c>
      <c r="J8" s="136" t="s">
        <v>239</v>
      </c>
      <c r="K8" s="136">
        <v>1024.8599999999999</v>
      </c>
      <c r="L8" s="136" t="s">
        <v>228</v>
      </c>
      <c r="M8" s="136">
        <v>38.14</v>
      </c>
      <c r="N8" s="136">
        <v>1476273600</v>
      </c>
      <c r="O8" s="136">
        <v>4.6500000000000004</v>
      </c>
      <c r="P8" s="136">
        <v>56</v>
      </c>
      <c r="Q8" s="136">
        <v>3.15</v>
      </c>
    </row>
    <row r="9" spans="1:17" x14ac:dyDescent="0.25">
      <c r="A9" s="136">
        <v>36.39</v>
      </c>
      <c r="B9" s="136">
        <v>0.73</v>
      </c>
      <c r="C9" s="136">
        <v>34.880000000000003</v>
      </c>
      <c r="D9" s="181">
        <v>42655.291666666664</v>
      </c>
      <c r="E9" s="136">
        <v>0.87</v>
      </c>
      <c r="F9" s="136" t="s">
        <v>229</v>
      </c>
      <c r="G9" s="136">
        <v>293.33999999999997</v>
      </c>
      <c r="H9" s="136">
        <v>1E-3</v>
      </c>
      <c r="I9" s="136">
        <v>0.01</v>
      </c>
      <c r="J9" s="136" t="s">
        <v>239</v>
      </c>
      <c r="K9" s="136">
        <v>1025.0999999999999</v>
      </c>
      <c r="L9" s="136" t="s">
        <v>228</v>
      </c>
      <c r="M9" s="136">
        <v>38.33</v>
      </c>
      <c r="N9" s="136">
        <v>1476277200</v>
      </c>
      <c r="O9" s="136">
        <v>3.97</v>
      </c>
      <c r="P9" s="136">
        <v>61</v>
      </c>
      <c r="Q9" s="136">
        <v>3.07</v>
      </c>
    </row>
    <row r="10" spans="1:17" x14ac:dyDescent="0.25">
      <c r="A10" s="136">
        <v>38.78</v>
      </c>
      <c r="B10" s="136">
        <v>0.59</v>
      </c>
      <c r="C10" s="136">
        <v>34.89</v>
      </c>
      <c r="D10" s="181">
        <v>42655.333333333336</v>
      </c>
      <c r="E10" s="136">
        <v>0.86</v>
      </c>
      <c r="F10" s="136" t="s">
        <v>766</v>
      </c>
      <c r="G10" s="136">
        <v>294.67</v>
      </c>
      <c r="H10" s="136">
        <v>0</v>
      </c>
      <c r="I10" s="136">
        <v>0</v>
      </c>
      <c r="K10" s="136">
        <v>1024.8800000000001</v>
      </c>
      <c r="L10" s="136" t="s">
        <v>227</v>
      </c>
      <c r="M10" s="136">
        <v>38.78</v>
      </c>
      <c r="N10" s="136">
        <v>1476280800</v>
      </c>
      <c r="O10" s="136">
        <v>3.53</v>
      </c>
      <c r="P10" s="136">
        <v>59</v>
      </c>
      <c r="Q10" s="136">
        <v>2.93</v>
      </c>
    </row>
    <row r="11" spans="1:17" x14ac:dyDescent="0.25">
      <c r="A11" s="136">
        <v>39.65</v>
      </c>
      <c r="B11" s="136">
        <v>0.51</v>
      </c>
      <c r="C11" s="136">
        <v>35.409999999999997</v>
      </c>
      <c r="D11" s="181">
        <v>42655.375</v>
      </c>
      <c r="E11" s="136">
        <v>0.85</v>
      </c>
      <c r="F11" s="136" t="s">
        <v>766</v>
      </c>
      <c r="G11" s="136">
        <v>295.2</v>
      </c>
      <c r="H11" s="136">
        <v>0</v>
      </c>
      <c r="I11" s="136">
        <v>0</v>
      </c>
      <c r="K11" s="136">
        <v>1024.57</v>
      </c>
      <c r="L11" s="136" t="s">
        <v>227</v>
      </c>
      <c r="M11" s="136">
        <v>39.65</v>
      </c>
      <c r="N11" s="136">
        <v>1476284400</v>
      </c>
      <c r="O11" s="136">
        <v>2.97</v>
      </c>
      <c r="P11" s="136">
        <v>70</v>
      </c>
      <c r="Q11" s="136">
        <v>2.77</v>
      </c>
    </row>
    <row r="12" spans="1:17" x14ac:dyDescent="0.25">
      <c r="A12" s="136">
        <v>40.369999999999997</v>
      </c>
      <c r="B12" s="136">
        <v>0.51</v>
      </c>
      <c r="C12" s="136">
        <v>35.69</v>
      </c>
      <c r="D12" s="181">
        <v>42655.416666666664</v>
      </c>
      <c r="E12" s="136">
        <v>0.79</v>
      </c>
      <c r="F12" s="136" t="s">
        <v>766</v>
      </c>
      <c r="G12" s="136">
        <v>294.14</v>
      </c>
      <c r="H12" s="136">
        <v>0</v>
      </c>
      <c r="I12" s="136">
        <v>0</v>
      </c>
      <c r="K12" s="136">
        <v>1024.33</v>
      </c>
      <c r="L12" s="136" t="s">
        <v>227</v>
      </c>
      <c r="M12" s="136">
        <v>41.8</v>
      </c>
      <c r="N12" s="136">
        <v>1476288000</v>
      </c>
      <c r="O12" s="136">
        <v>3.65</v>
      </c>
      <c r="P12" s="136">
        <v>70</v>
      </c>
      <c r="Q12" s="136">
        <v>3.02</v>
      </c>
    </row>
    <row r="13" spans="1:17" x14ac:dyDescent="0.25">
      <c r="A13" s="136">
        <v>43.65</v>
      </c>
      <c r="B13" s="136">
        <v>0.45</v>
      </c>
      <c r="C13" s="136">
        <v>36.11</v>
      </c>
      <c r="D13" s="181">
        <v>42655.458333333336</v>
      </c>
      <c r="E13" s="136">
        <v>0.75</v>
      </c>
      <c r="F13" s="136" t="s">
        <v>766</v>
      </c>
      <c r="G13" s="136">
        <v>292.29000000000002</v>
      </c>
      <c r="H13" s="136">
        <v>0</v>
      </c>
      <c r="I13" s="136">
        <v>0</v>
      </c>
      <c r="K13" s="136">
        <v>1023.95</v>
      </c>
      <c r="L13" s="136" t="s">
        <v>227</v>
      </c>
      <c r="M13" s="136">
        <v>43.65</v>
      </c>
      <c r="N13" s="136">
        <v>1476291600</v>
      </c>
      <c r="O13" s="136">
        <v>4.07</v>
      </c>
      <c r="P13" s="136">
        <v>68</v>
      </c>
      <c r="Q13" s="136">
        <v>2.7</v>
      </c>
    </row>
    <row r="14" spans="1:17" x14ac:dyDescent="0.25">
      <c r="A14" s="136">
        <v>43.9</v>
      </c>
      <c r="B14" s="136">
        <v>0.42</v>
      </c>
      <c r="C14" s="136">
        <v>36.58</v>
      </c>
      <c r="D14" s="181">
        <v>42655.5</v>
      </c>
      <c r="E14" s="136">
        <v>0.7</v>
      </c>
      <c r="F14" s="136" t="s">
        <v>766</v>
      </c>
      <c r="G14" s="136">
        <v>291.10000000000002</v>
      </c>
      <c r="H14" s="136">
        <v>0</v>
      </c>
      <c r="I14" s="136">
        <v>0</v>
      </c>
      <c r="K14" s="136">
        <v>1023.23</v>
      </c>
      <c r="L14" s="136" t="s">
        <v>227</v>
      </c>
      <c r="M14" s="136">
        <v>45.62</v>
      </c>
      <c r="N14" s="136">
        <v>1476295200</v>
      </c>
      <c r="O14" s="136">
        <v>4.34</v>
      </c>
      <c r="P14" s="136">
        <v>66</v>
      </c>
      <c r="Q14" s="136">
        <v>3.89</v>
      </c>
    </row>
    <row r="15" spans="1:17" x14ac:dyDescent="0.25">
      <c r="A15" s="136">
        <v>46.16</v>
      </c>
      <c r="B15" s="136">
        <v>0.39</v>
      </c>
      <c r="C15" s="136">
        <v>37.15</v>
      </c>
      <c r="D15" s="181">
        <v>42655.541666666664</v>
      </c>
      <c r="E15" s="136">
        <v>0.67</v>
      </c>
      <c r="F15" s="136" t="s">
        <v>766</v>
      </c>
      <c r="G15" s="136">
        <v>291.29000000000002</v>
      </c>
      <c r="H15" s="136">
        <v>0</v>
      </c>
      <c r="I15" s="136">
        <v>0</v>
      </c>
      <c r="K15" s="136">
        <v>1021.84</v>
      </c>
      <c r="L15" s="136" t="s">
        <v>227</v>
      </c>
      <c r="M15" s="136">
        <v>47.73</v>
      </c>
      <c r="N15" s="136">
        <v>1476298800</v>
      </c>
      <c r="O15" s="136">
        <v>4.51</v>
      </c>
      <c r="P15" s="136">
        <v>69</v>
      </c>
      <c r="Q15" s="136">
        <v>4.1100000000000003</v>
      </c>
    </row>
    <row r="16" spans="1:17" x14ac:dyDescent="0.25">
      <c r="A16" s="136">
        <v>50.98</v>
      </c>
      <c r="B16" s="136">
        <v>0.34</v>
      </c>
      <c r="C16" s="136">
        <v>38.380000000000003</v>
      </c>
      <c r="D16" s="181">
        <v>42655.583333333336</v>
      </c>
      <c r="E16" s="136">
        <v>0.62</v>
      </c>
      <c r="F16" s="136" t="s">
        <v>766</v>
      </c>
      <c r="G16" s="136">
        <v>292.13</v>
      </c>
      <c r="H16" s="136">
        <v>0</v>
      </c>
      <c r="I16" s="136">
        <v>0</v>
      </c>
      <c r="K16" s="136">
        <v>1019.97</v>
      </c>
      <c r="L16" s="136" t="s">
        <v>227</v>
      </c>
      <c r="M16" s="136">
        <v>50.98</v>
      </c>
      <c r="N16" s="136">
        <v>1476302400</v>
      </c>
      <c r="O16" s="136">
        <v>4.72</v>
      </c>
      <c r="P16" s="136">
        <v>83</v>
      </c>
      <c r="Q16" s="136">
        <v>4.18</v>
      </c>
    </row>
    <row r="17" spans="1:17" x14ac:dyDescent="0.25">
      <c r="A17" s="136">
        <v>52.66</v>
      </c>
      <c r="B17" s="136">
        <v>0.31</v>
      </c>
      <c r="C17" s="136">
        <v>38.81</v>
      </c>
      <c r="D17" s="181">
        <v>42655.625</v>
      </c>
      <c r="E17" s="136">
        <v>0.59</v>
      </c>
      <c r="F17" s="136" t="s">
        <v>766</v>
      </c>
      <c r="G17" s="136">
        <v>292.95999999999998</v>
      </c>
      <c r="H17" s="136">
        <v>0</v>
      </c>
      <c r="I17" s="136">
        <v>0</v>
      </c>
      <c r="K17" s="136">
        <v>1018.78</v>
      </c>
      <c r="L17" s="136" t="s">
        <v>227</v>
      </c>
      <c r="M17" s="136">
        <v>52.66</v>
      </c>
      <c r="N17" s="136">
        <v>1476306000</v>
      </c>
      <c r="O17" s="136">
        <v>4.8499999999999996</v>
      </c>
      <c r="P17" s="136">
        <v>78</v>
      </c>
      <c r="Q17" s="136">
        <v>3.56</v>
      </c>
    </row>
    <row r="18" spans="1:17" x14ac:dyDescent="0.25">
      <c r="A18" s="136">
        <v>52.41</v>
      </c>
      <c r="B18" s="136">
        <v>0.34</v>
      </c>
      <c r="C18" s="136">
        <v>38.65</v>
      </c>
      <c r="D18" s="181">
        <v>42655.666666666664</v>
      </c>
      <c r="E18" s="136">
        <v>0.59</v>
      </c>
      <c r="F18" s="136" t="s">
        <v>766</v>
      </c>
      <c r="G18" s="136">
        <v>293.44</v>
      </c>
      <c r="H18" s="136">
        <v>0</v>
      </c>
      <c r="I18" s="136">
        <v>0</v>
      </c>
      <c r="K18" s="136">
        <v>1018.65</v>
      </c>
      <c r="L18" s="136" t="s">
        <v>227</v>
      </c>
      <c r="M18" s="136">
        <v>52.41</v>
      </c>
      <c r="N18" s="136">
        <v>1476309600</v>
      </c>
      <c r="O18" s="136">
        <v>5.04</v>
      </c>
      <c r="P18" s="136">
        <v>81</v>
      </c>
      <c r="Q18" s="136">
        <v>3</v>
      </c>
    </row>
    <row r="19" spans="1:17" x14ac:dyDescent="0.25">
      <c r="A19" s="136">
        <v>51.02</v>
      </c>
      <c r="B19" s="136">
        <v>0.38</v>
      </c>
      <c r="C19" s="136">
        <v>39.44</v>
      </c>
      <c r="D19" s="181">
        <v>42655.708333333336</v>
      </c>
      <c r="E19" s="136">
        <v>0.64</v>
      </c>
      <c r="F19" s="136" t="s">
        <v>766</v>
      </c>
      <c r="G19" s="136">
        <v>293.89999999999998</v>
      </c>
      <c r="H19" s="136">
        <v>0</v>
      </c>
      <c r="I19" s="136">
        <v>0</v>
      </c>
      <c r="K19" s="136">
        <v>1019.23</v>
      </c>
      <c r="L19" s="136" t="s">
        <v>227</v>
      </c>
      <c r="M19" s="136">
        <v>51.02</v>
      </c>
      <c r="N19" s="136">
        <v>1476313200</v>
      </c>
      <c r="O19" s="136">
        <v>6.55</v>
      </c>
      <c r="P19" s="136">
        <v>75</v>
      </c>
      <c r="Q19" s="136">
        <v>2.52</v>
      </c>
    </row>
    <row r="20" spans="1:17" x14ac:dyDescent="0.25">
      <c r="A20" s="136">
        <v>48.97</v>
      </c>
      <c r="B20" s="136">
        <v>0.45</v>
      </c>
      <c r="C20" s="136">
        <v>39.44</v>
      </c>
      <c r="D20" s="181">
        <v>42655.75</v>
      </c>
      <c r="E20" s="136">
        <v>0.7</v>
      </c>
      <c r="F20" s="136" t="s">
        <v>766</v>
      </c>
      <c r="G20" s="136">
        <v>294.7</v>
      </c>
      <c r="H20" s="136">
        <v>0</v>
      </c>
      <c r="I20" s="136">
        <v>0</v>
      </c>
      <c r="K20" s="136">
        <v>1019.73</v>
      </c>
      <c r="L20" s="136" t="s">
        <v>227</v>
      </c>
      <c r="M20" s="136">
        <v>48.97</v>
      </c>
      <c r="N20" s="136">
        <v>1476316800</v>
      </c>
      <c r="O20" s="136">
        <v>7.03</v>
      </c>
      <c r="P20" s="136">
        <v>47</v>
      </c>
      <c r="Q20" s="136">
        <v>1.2</v>
      </c>
    </row>
    <row r="21" spans="1:17" x14ac:dyDescent="0.25">
      <c r="A21" s="136">
        <v>44.64</v>
      </c>
      <c r="B21" s="136">
        <v>0.56999999999999995</v>
      </c>
      <c r="C21" s="136">
        <v>38.46</v>
      </c>
      <c r="D21" s="181">
        <v>42655.791666666664</v>
      </c>
      <c r="E21" s="136">
        <v>0.79</v>
      </c>
      <c r="F21" s="136" t="s">
        <v>229</v>
      </c>
      <c r="G21" s="136">
        <v>296.14999999999998</v>
      </c>
      <c r="H21" s="136">
        <v>0</v>
      </c>
      <c r="I21" s="136">
        <v>0</v>
      </c>
      <c r="K21" s="136">
        <v>1020.21</v>
      </c>
      <c r="L21" s="136" t="s">
        <v>227</v>
      </c>
      <c r="M21" s="136">
        <v>44.64</v>
      </c>
      <c r="N21" s="136">
        <v>1476320400</v>
      </c>
      <c r="O21" s="136">
        <v>7.33</v>
      </c>
      <c r="P21" s="136">
        <v>65</v>
      </c>
      <c r="Q21" s="136">
        <v>1.1299999999999999</v>
      </c>
    </row>
    <row r="22" spans="1:17" x14ac:dyDescent="0.25">
      <c r="A22" s="136">
        <v>43.67</v>
      </c>
      <c r="B22" s="136">
        <v>0.37</v>
      </c>
      <c r="C22" s="136">
        <v>37.78</v>
      </c>
      <c r="D22" s="181">
        <v>42655.833333333336</v>
      </c>
      <c r="E22" s="136">
        <v>0.8</v>
      </c>
      <c r="F22" s="136" t="s">
        <v>229</v>
      </c>
      <c r="G22" s="136">
        <v>297.92</v>
      </c>
      <c r="H22" s="136">
        <v>0</v>
      </c>
      <c r="I22" s="136">
        <v>0</v>
      </c>
      <c r="K22" s="136">
        <v>1020.8</v>
      </c>
      <c r="L22" s="136" t="s">
        <v>227</v>
      </c>
      <c r="M22" s="136">
        <v>43.67</v>
      </c>
      <c r="N22" s="136">
        <v>1476324000</v>
      </c>
      <c r="O22" s="136">
        <v>7.97</v>
      </c>
      <c r="P22" s="136">
        <v>68</v>
      </c>
      <c r="Q22" s="136">
        <v>0.61</v>
      </c>
    </row>
    <row r="23" spans="1:17" x14ac:dyDescent="0.25">
      <c r="A23" s="136">
        <v>42.16</v>
      </c>
      <c r="B23" s="136">
        <v>0.19</v>
      </c>
      <c r="C23" s="136">
        <v>36.549999999999997</v>
      </c>
      <c r="D23" s="181">
        <v>42655.875</v>
      </c>
      <c r="E23" s="136">
        <v>0.8</v>
      </c>
      <c r="F23" s="136" t="s">
        <v>767</v>
      </c>
      <c r="G23" s="136">
        <v>299.39999999999998</v>
      </c>
      <c r="H23" s="136">
        <v>0</v>
      </c>
      <c r="I23" s="136">
        <v>0</v>
      </c>
      <c r="K23" s="136">
        <v>1021.2</v>
      </c>
      <c r="L23" s="136" t="s">
        <v>768</v>
      </c>
      <c r="M23" s="136">
        <v>42.16</v>
      </c>
      <c r="N23" s="136">
        <v>1476327600</v>
      </c>
      <c r="O23" s="136">
        <v>8.5</v>
      </c>
      <c r="P23" s="136">
        <v>155</v>
      </c>
      <c r="Q23" s="136">
        <v>0.68</v>
      </c>
    </row>
    <row r="24" spans="1:17" x14ac:dyDescent="0.25">
      <c r="A24" s="136">
        <v>40.89</v>
      </c>
      <c r="B24" s="136">
        <v>0.32</v>
      </c>
      <c r="C24" s="136">
        <v>35.65</v>
      </c>
      <c r="D24" s="181">
        <v>42655.916666666664</v>
      </c>
      <c r="E24" s="136">
        <v>0.81</v>
      </c>
      <c r="F24" s="136" t="s">
        <v>229</v>
      </c>
      <c r="G24" s="136">
        <v>300.37</v>
      </c>
      <c r="H24" s="136">
        <v>0</v>
      </c>
      <c r="I24" s="136">
        <v>0</v>
      </c>
      <c r="K24" s="136">
        <v>1021.21</v>
      </c>
      <c r="L24" s="136" t="s">
        <v>227</v>
      </c>
      <c r="M24" s="136">
        <v>40.89</v>
      </c>
      <c r="N24" s="136">
        <v>1476331200</v>
      </c>
      <c r="O24" s="136">
        <v>7.74</v>
      </c>
      <c r="P24" s="136">
        <v>163</v>
      </c>
      <c r="Q24" s="136">
        <v>0.81</v>
      </c>
    </row>
    <row r="25" spans="1:17" x14ac:dyDescent="0.25">
      <c r="A25" s="136">
        <v>39.61</v>
      </c>
      <c r="B25" s="136">
        <v>0.56000000000000005</v>
      </c>
      <c r="C25" s="136">
        <v>34.83</v>
      </c>
      <c r="D25" s="181">
        <v>42655.958333333336</v>
      </c>
      <c r="E25" s="136">
        <v>0.83</v>
      </c>
      <c r="F25" s="136" t="s">
        <v>229</v>
      </c>
      <c r="G25" s="136">
        <v>301.05</v>
      </c>
      <c r="H25" s="136">
        <v>0</v>
      </c>
      <c r="I25" s="136">
        <v>0</v>
      </c>
      <c r="K25" s="136">
        <v>1020.97</v>
      </c>
      <c r="L25" s="136" t="s">
        <v>227</v>
      </c>
      <c r="M25" s="136">
        <v>39.61</v>
      </c>
      <c r="N25" s="136">
        <v>1476334800</v>
      </c>
      <c r="O25" s="136">
        <v>7.3</v>
      </c>
      <c r="P25" s="136">
        <v>180</v>
      </c>
      <c r="Q25" s="136">
        <v>0.88</v>
      </c>
    </row>
    <row r="26" spans="1:17" x14ac:dyDescent="0.25">
      <c r="A26" s="136">
        <v>39.119999999999997</v>
      </c>
      <c r="B26" s="136">
        <v>0.75</v>
      </c>
      <c r="C26" s="136">
        <v>34.33</v>
      </c>
      <c r="D26" s="181">
        <v>42656</v>
      </c>
      <c r="E26" s="136">
        <v>0.83</v>
      </c>
      <c r="F26" s="136" t="s">
        <v>229</v>
      </c>
      <c r="G26" s="136">
        <v>301.44</v>
      </c>
      <c r="H26" s="136">
        <v>0</v>
      </c>
      <c r="I26" s="136">
        <v>0</v>
      </c>
      <c r="K26" s="136">
        <v>1020.69</v>
      </c>
      <c r="L26" s="136" t="s">
        <v>228</v>
      </c>
      <c r="M26" s="136">
        <v>39.119999999999997</v>
      </c>
      <c r="N26" s="136">
        <v>1476338400</v>
      </c>
      <c r="O26" s="136">
        <v>7.34</v>
      </c>
      <c r="P26" s="136">
        <v>180</v>
      </c>
      <c r="Q26" s="136">
        <v>1.1100000000000001</v>
      </c>
    </row>
    <row r="27" spans="1:17" x14ac:dyDescent="0.25">
      <c r="A27" s="136">
        <v>39.18</v>
      </c>
      <c r="B27" s="136">
        <v>0.6</v>
      </c>
      <c r="C27" s="136">
        <v>34.44</v>
      </c>
      <c r="D27" s="181">
        <v>42656.041666666664</v>
      </c>
      <c r="E27" s="136">
        <v>0.83</v>
      </c>
      <c r="F27" s="136" t="s">
        <v>229</v>
      </c>
      <c r="G27" s="136">
        <v>301.27</v>
      </c>
      <c r="H27" s="136">
        <v>0</v>
      </c>
      <c r="I27" s="136">
        <v>0</v>
      </c>
      <c r="K27" s="136">
        <v>1020.44</v>
      </c>
      <c r="L27" s="136" t="s">
        <v>228</v>
      </c>
      <c r="M27" s="136">
        <v>39.18</v>
      </c>
      <c r="N27" s="136">
        <v>1476342000</v>
      </c>
      <c r="O27" s="136">
        <v>7.45</v>
      </c>
      <c r="P27" s="136">
        <v>204</v>
      </c>
      <c r="Q27" s="136">
        <v>1.5</v>
      </c>
    </row>
    <row r="28" spans="1:17" x14ac:dyDescent="0.25">
      <c r="A28" s="136">
        <v>39.340000000000003</v>
      </c>
      <c r="B28" s="136">
        <v>0.86</v>
      </c>
      <c r="C28" s="136">
        <v>34.35</v>
      </c>
      <c r="D28" s="181">
        <v>42656.083333333336</v>
      </c>
      <c r="E28" s="136">
        <v>0.82</v>
      </c>
      <c r="F28" s="136" t="s">
        <v>229</v>
      </c>
      <c r="G28" s="136">
        <v>301.10000000000002</v>
      </c>
      <c r="H28" s="136">
        <v>0</v>
      </c>
      <c r="I28" s="136">
        <v>0</v>
      </c>
      <c r="K28" s="136">
        <v>1020.18</v>
      </c>
      <c r="L28" s="136" t="s">
        <v>228</v>
      </c>
      <c r="M28" s="136">
        <v>39.340000000000003</v>
      </c>
      <c r="N28" s="136">
        <v>1476345600</v>
      </c>
      <c r="O28" s="136">
        <v>7.47</v>
      </c>
      <c r="P28" s="136">
        <v>238</v>
      </c>
      <c r="Q28" s="136">
        <v>2.04</v>
      </c>
    </row>
    <row r="29" spans="1:17" x14ac:dyDescent="0.25">
      <c r="A29" s="136">
        <v>40.200000000000003</v>
      </c>
      <c r="B29" s="136">
        <v>0.89</v>
      </c>
      <c r="C29" s="136">
        <v>34.99</v>
      </c>
      <c r="D29" s="181">
        <v>42656.125</v>
      </c>
      <c r="E29" s="136">
        <v>0.81</v>
      </c>
      <c r="F29" s="136" t="s">
        <v>229</v>
      </c>
      <c r="G29" s="136">
        <v>300.93</v>
      </c>
      <c r="H29" s="136">
        <v>0</v>
      </c>
      <c r="I29" s="136">
        <v>0</v>
      </c>
      <c r="K29" s="136">
        <v>1019.91</v>
      </c>
      <c r="L29" s="136" t="s">
        <v>228</v>
      </c>
      <c r="M29" s="136">
        <v>40.200000000000003</v>
      </c>
      <c r="N29" s="136">
        <v>1476349200</v>
      </c>
      <c r="O29" s="136">
        <v>8</v>
      </c>
      <c r="P29" s="136">
        <v>252</v>
      </c>
      <c r="Q29" s="136">
        <v>2.09</v>
      </c>
    </row>
    <row r="30" spans="1:17" x14ac:dyDescent="0.25">
      <c r="D30" s="136"/>
    </row>
    <row r="31" spans="1:17" x14ac:dyDescent="0.25">
      <c r="A31" s="136" t="s">
        <v>769</v>
      </c>
      <c r="D31" s="136"/>
    </row>
    <row r="32" spans="1:17" x14ac:dyDescent="0.25">
      <c r="D32" s="136"/>
    </row>
    <row r="33" spans="1:4" x14ac:dyDescent="0.25">
      <c r="A33" s="136" t="s">
        <v>223</v>
      </c>
      <c r="D33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tabSelected="1" workbookViewId="0">
      <selection activeCell="Q9" sqref="Q9"/>
    </sheetView>
  </sheetViews>
  <sheetFormatPr defaultRowHeight="15" x14ac:dyDescent="0.25"/>
  <cols>
    <col min="1" max="1" width="32.140625" customWidth="1"/>
    <col min="3" max="3" width="24" style="69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59" t="s">
        <v>100</v>
      </c>
      <c r="D1" s="16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42655</v>
      </c>
      <c r="B2" s="4"/>
      <c r="C2" s="161">
        <v>50</v>
      </c>
      <c r="D2" s="16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59" t="s">
        <v>100</v>
      </c>
      <c r="D4" s="16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J15" s="33"/>
      <c r="K15" s="34"/>
      <c r="L15" s="34"/>
    </row>
    <row r="16" spans="1:16" x14ac:dyDescent="0.25">
      <c r="J16" s="33"/>
      <c r="K16" s="34"/>
      <c r="L16" s="34"/>
    </row>
    <row r="17" spans="10:13" x14ac:dyDescent="0.25">
      <c r="J17" s="33"/>
      <c r="K17" s="34"/>
      <c r="L17" s="34"/>
    </row>
    <row r="18" spans="10:13" x14ac:dyDescent="0.25"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10:13" x14ac:dyDescent="0.25">
      <c r="J19" s="33" t="s">
        <v>86</v>
      </c>
      <c r="K19" s="34"/>
      <c r="L19" s="34"/>
      <c r="M19" s="68" t="s">
        <v>113</v>
      </c>
    </row>
    <row r="20" spans="10:13" x14ac:dyDescent="0.25">
      <c r="J20" t="s">
        <v>87</v>
      </c>
      <c r="M20" s="68" t="s">
        <v>191</v>
      </c>
    </row>
    <row r="21" spans="10:13" x14ac:dyDescent="0.25">
      <c r="J21" s="21" t="s">
        <v>90</v>
      </c>
      <c r="K21" s="21" t="s">
        <v>91</v>
      </c>
      <c r="M21" s="68" t="s">
        <v>193</v>
      </c>
    </row>
    <row r="22" spans="10:13" x14ac:dyDescent="0.25">
      <c r="J22" s="21" t="s">
        <v>92</v>
      </c>
      <c r="K22" s="21" t="s">
        <v>93</v>
      </c>
      <c r="M22" s="68" t="s">
        <v>112</v>
      </c>
    </row>
    <row r="23" spans="10:13" x14ac:dyDescent="0.25">
      <c r="J23" s="29" t="s">
        <v>95</v>
      </c>
      <c r="K23" s="21"/>
      <c r="M23" s="69">
        <v>-6</v>
      </c>
    </row>
    <row r="24" spans="10:13" x14ac:dyDescent="0.25">
      <c r="J24" s="21" t="s">
        <v>109</v>
      </c>
      <c r="K24" s="21"/>
      <c r="M24" s="68" t="s">
        <v>111</v>
      </c>
    </row>
    <row r="25" spans="10:13" x14ac:dyDescent="0.25">
      <c r="J25" t="s">
        <v>152</v>
      </c>
      <c r="M25" s="68" t="b">
        <v>1</v>
      </c>
    </row>
    <row r="26" spans="10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C:\Users\stu\Documents\GitHub\eaglep3-reporting\EC\2016-10-12-refined-times.txt</v>
      </c>
    </row>
    <row r="27" spans="10:13" x14ac:dyDescent="0.25">
      <c r="J27" t="s">
        <v>259</v>
      </c>
      <c r="M27" s="68" t="str">
        <f>"C:\Users\stu\Documents\GitHub\eaglep3-reporting\EC\"&amp;TEXT(A2,"YYYY-MM-DD")&amp;"-Enforcements.txt"</f>
        <v>C:\Users\stu\Documents\GitHub\eaglep3-reporting\EC\2016-10-12-Enforcements.txt</v>
      </c>
    </row>
    <row r="28" spans="10:13" x14ac:dyDescent="0.25">
      <c r="J28" t="s">
        <v>260</v>
      </c>
      <c r="M28" s="106" t="str">
        <f>"C:\Users\stu\Documents\GitHub\eaglep3-reporting\EC\"&amp;TEXT(A2,"YYYY-MM-DD")&amp;"-Runs-Refined.txt"</f>
        <v>C:\Users\stu\Documents\GitHub\eaglep3-reporting\EC\2016-10-12-Runs-Refined.txt</v>
      </c>
    </row>
    <row r="29" spans="10:13" x14ac:dyDescent="0.25">
      <c r="J29" t="s">
        <v>261</v>
      </c>
      <c r="M29" s="106" t="str">
        <f>"C:\Users\stu\Documents\GitHub\eaglep3-reporting\EC\"&amp;TEXT(A2,"YYYY-MM-DD")&amp;"-Trips.txt"</f>
        <v>C:\Users\stu\Documents\GitHub\eaglep3-reporting\EC\2016-10-12-Trips.txt</v>
      </c>
    </row>
    <row r="30" spans="10:13" x14ac:dyDescent="0.25">
      <c r="J30" t="s">
        <v>262</v>
      </c>
      <c r="M30" s="106" t="str">
        <f>"C:\Users\stu\Documents\GitHub\eaglep3-reporting\EC\"&amp;TEXT(A2,"YYYY-MM-DD")&amp;"-Weather.txt"</f>
        <v>C:\Users\stu\Documents\GitHub\eaglep3-reporting\EC\2016-10-12-Weather.txt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2016-10-13T20:43:17Z</dcterms:modified>
</cp:coreProperties>
</file>