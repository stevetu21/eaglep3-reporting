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Enforcements!$A$6:$AB$67</definedName>
    <definedName name="_xlnm._FilterDatabase" localSheetId="2" hidden="1">'Missing Trips'!$B$2:$I$2</definedName>
    <definedName name="_xlnm._FilterDatabase" localSheetId="0" hidden="1">'Train Runs'!$A$12:$AG$234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Runs'!$A$12:$J$66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83" i="1" l="1"/>
  <c r="P182" i="1"/>
  <c r="P171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S39" i="3" s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S24" i="3" s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S41" i="3" s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S18" i="3" s="1"/>
  <c r="V140" i="1"/>
  <c r="V141" i="1"/>
  <c r="V142" i="1"/>
  <c r="V143" i="1"/>
  <c r="S38" i="3" s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S50" i="3" s="1"/>
  <c r="V168" i="1"/>
  <c r="V169" i="1"/>
  <c r="V170" i="1"/>
  <c r="V171" i="1"/>
  <c r="S45" i="3" s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S48" i="3" s="1"/>
  <c r="V192" i="1"/>
  <c r="V193" i="1"/>
  <c r="V194" i="1"/>
  <c r="V195" i="1"/>
  <c r="V196" i="1"/>
  <c r="V197" i="1"/>
  <c r="V198" i="1"/>
  <c r="V199" i="1"/>
  <c r="V200" i="1"/>
  <c r="V201" i="1"/>
  <c r="V202" i="1"/>
  <c r="V203" i="1"/>
  <c r="S49" i="3" s="1"/>
  <c r="V204" i="1"/>
  <c r="V205" i="1"/>
  <c r="V206" i="1"/>
  <c r="V207" i="1"/>
  <c r="V208" i="1"/>
  <c r="V209" i="1"/>
  <c r="V210" i="1"/>
  <c r="V211" i="1"/>
  <c r="S54" i="3" s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13" i="1"/>
  <c r="X147" i="1"/>
  <c r="X148" i="1"/>
  <c r="X149" i="1"/>
  <c r="X150" i="1"/>
  <c r="N30" i="3"/>
  <c r="U30" i="3"/>
  <c r="T30" i="3" s="1"/>
  <c r="V30" i="3"/>
  <c r="W30" i="3"/>
  <c r="X30" i="3"/>
  <c r="N31" i="3"/>
  <c r="U31" i="3"/>
  <c r="T31" i="3" s="1"/>
  <c r="V31" i="3"/>
  <c r="W31" i="3"/>
  <c r="X31" i="3"/>
  <c r="N9" i="3"/>
  <c r="U9" i="3"/>
  <c r="T9" i="3" s="1"/>
  <c r="V9" i="3"/>
  <c r="W9" i="3"/>
  <c r="X9" i="3"/>
  <c r="N39" i="3"/>
  <c r="U39" i="3"/>
  <c r="T39" i="3" s="1"/>
  <c r="V39" i="3"/>
  <c r="W39" i="3"/>
  <c r="X39" i="3"/>
  <c r="N11" i="3"/>
  <c r="U11" i="3"/>
  <c r="T11" i="3" s="1"/>
  <c r="V11" i="3"/>
  <c r="W11" i="3"/>
  <c r="X11" i="3"/>
  <c r="N44" i="3"/>
  <c r="U44" i="3"/>
  <c r="T44" i="3" s="1"/>
  <c r="V44" i="3"/>
  <c r="W44" i="3"/>
  <c r="X44" i="3"/>
  <c r="N19" i="3"/>
  <c r="U19" i="3"/>
  <c r="T19" i="3" s="1"/>
  <c r="V19" i="3"/>
  <c r="W19" i="3"/>
  <c r="X19" i="3"/>
  <c r="N50" i="3"/>
  <c r="U50" i="3"/>
  <c r="T50" i="3" s="1"/>
  <c r="V50" i="3"/>
  <c r="W50" i="3"/>
  <c r="X50" i="3"/>
  <c r="N43" i="3"/>
  <c r="U43" i="3"/>
  <c r="T43" i="3" s="1"/>
  <c r="V43" i="3"/>
  <c r="W43" i="3"/>
  <c r="X43" i="3"/>
  <c r="N15" i="3"/>
  <c r="U15" i="3"/>
  <c r="T15" i="3" s="1"/>
  <c r="V15" i="3"/>
  <c r="W15" i="3"/>
  <c r="X15" i="3"/>
  <c r="N40" i="3"/>
  <c r="U40" i="3"/>
  <c r="T40" i="3" s="1"/>
  <c r="V40" i="3"/>
  <c r="W40" i="3"/>
  <c r="X40" i="3"/>
  <c r="N45" i="3"/>
  <c r="U45" i="3"/>
  <c r="T45" i="3" s="1"/>
  <c r="V45" i="3"/>
  <c r="W45" i="3"/>
  <c r="X45" i="3"/>
  <c r="N14" i="3"/>
  <c r="U14" i="3"/>
  <c r="T14" i="3" s="1"/>
  <c r="V14" i="3"/>
  <c r="W14" i="3"/>
  <c r="X14" i="3"/>
  <c r="N23" i="3"/>
  <c r="U23" i="3"/>
  <c r="T23" i="3" s="1"/>
  <c r="V23" i="3"/>
  <c r="W23" i="3"/>
  <c r="X23" i="3"/>
  <c r="N13" i="3"/>
  <c r="U13" i="3"/>
  <c r="T13" i="3" s="1"/>
  <c r="V13" i="3"/>
  <c r="W13" i="3"/>
  <c r="Y13" i="3" s="1"/>
  <c r="X13" i="3"/>
  <c r="N32" i="3"/>
  <c r="U32" i="3"/>
  <c r="T32" i="3" s="1"/>
  <c r="V32" i="3"/>
  <c r="W32" i="3"/>
  <c r="X32" i="3"/>
  <c r="N16" i="3"/>
  <c r="U16" i="3"/>
  <c r="T16" i="3" s="1"/>
  <c r="V16" i="3"/>
  <c r="W16" i="3"/>
  <c r="X16" i="3"/>
  <c r="N17" i="3"/>
  <c r="U17" i="3"/>
  <c r="T17" i="3" s="1"/>
  <c r="V17" i="3"/>
  <c r="W17" i="3"/>
  <c r="X17" i="3"/>
  <c r="N12" i="3"/>
  <c r="U12" i="3"/>
  <c r="T12" i="3" s="1"/>
  <c r="V12" i="3"/>
  <c r="W12" i="3"/>
  <c r="X12" i="3"/>
  <c r="N10" i="3"/>
  <c r="U10" i="3"/>
  <c r="T10" i="3" s="1"/>
  <c r="V10" i="3"/>
  <c r="W10" i="3"/>
  <c r="X10" i="3"/>
  <c r="N24" i="3"/>
  <c r="U24" i="3"/>
  <c r="T24" i="3" s="1"/>
  <c r="V24" i="3"/>
  <c r="W24" i="3"/>
  <c r="X24" i="3"/>
  <c r="N56" i="3"/>
  <c r="U56" i="3"/>
  <c r="T56" i="3" s="1"/>
  <c r="V56" i="3"/>
  <c r="W56" i="3"/>
  <c r="X56" i="3"/>
  <c r="N57" i="3"/>
  <c r="U57" i="3"/>
  <c r="T57" i="3" s="1"/>
  <c r="V57" i="3"/>
  <c r="W57" i="3"/>
  <c r="X57" i="3"/>
  <c r="N26" i="3"/>
  <c r="U26" i="3"/>
  <c r="T26" i="3" s="1"/>
  <c r="V26" i="3"/>
  <c r="W26" i="3"/>
  <c r="X26" i="3"/>
  <c r="N60" i="3"/>
  <c r="U60" i="3"/>
  <c r="T60" i="3" s="1"/>
  <c r="V60" i="3"/>
  <c r="W60" i="3"/>
  <c r="X60" i="3"/>
  <c r="N33" i="3"/>
  <c r="U33" i="3"/>
  <c r="T33" i="3" s="1"/>
  <c r="V33" i="3"/>
  <c r="W33" i="3"/>
  <c r="X33" i="3"/>
  <c r="N58" i="3"/>
  <c r="U58" i="3"/>
  <c r="T58" i="3" s="1"/>
  <c r="V58" i="3"/>
  <c r="W58" i="3"/>
  <c r="Y58" i="3" s="1"/>
  <c r="X58" i="3"/>
  <c r="N59" i="3"/>
  <c r="U59" i="3"/>
  <c r="T59" i="3" s="1"/>
  <c r="V59" i="3"/>
  <c r="W59" i="3"/>
  <c r="X59" i="3"/>
  <c r="N47" i="3"/>
  <c r="U47" i="3"/>
  <c r="T47" i="3" s="1"/>
  <c r="V47" i="3"/>
  <c r="W47" i="3"/>
  <c r="X47" i="3"/>
  <c r="N41" i="3"/>
  <c r="U41" i="3"/>
  <c r="T41" i="3" s="1"/>
  <c r="V41" i="3"/>
  <c r="W41" i="3"/>
  <c r="X41" i="3"/>
  <c r="N42" i="3"/>
  <c r="U42" i="3"/>
  <c r="T42" i="3" s="1"/>
  <c r="V42" i="3"/>
  <c r="W42" i="3"/>
  <c r="X42" i="3"/>
  <c r="N34" i="3"/>
  <c r="U34" i="3"/>
  <c r="T34" i="3" s="1"/>
  <c r="V34" i="3"/>
  <c r="W34" i="3"/>
  <c r="X34" i="3"/>
  <c r="N22" i="3"/>
  <c r="U22" i="3"/>
  <c r="T22" i="3" s="1"/>
  <c r="V22" i="3"/>
  <c r="W22" i="3"/>
  <c r="X22" i="3"/>
  <c r="N46" i="3"/>
  <c r="U46" i="3"/>
  <c r="T46" i="3" s="1"/>
  <c r="V46" i="3"/>
  <c r="W46" i="3"/>
  <c r="X46" i="3"/>
  <c r="N7" i="3"/>
  <c r="U7" i="3"/>
  <c r="T7" i="3" s="1"/>
  <c r="V7" i="3"/>
  <c r="W7" i="3"/>
  <c r="X7" i="3"/>
  <c r="N25" i="3"/>
  <c r="U25" i="3"/>
  <c r="T25" i="3" s="1"/>
  <c r="V25" i="3"/>
  <c r="W25" i="3"/>
  <c r="X25" i="3"/>
  <c r="N48" i="3"/>
  <c r="U48" i="3"/>
  <c r="T48" i="3" s="1"/>
  <c r="V48" i="3"/>
  <c r="W48" i="3"/>
  <c r="X48" i="3"/>
  <c r="N35" i="3"/>
  <c r="U35" i="3"/>
  <c r="T35" i="3" s="1"/>
  <c r="V35" i="3"/>
  <c r="W35" i="3"/>
  <c r="X35" i="3"/>
  <c r="N61" i="3"/>
  <c r="U61" i="3"/>
  <c r="T61" i="3" s="1"/>
  <c r="V61" i="3"/>
  <c r="W61" i="3"/>
  <c r="X61" i="3"/>
  <c r="N51" i="3"/>
  <c r="U51" i="3"/>
  <c r="T51" i="3" s="1"/>
  <c r="V51" i="3"/>
  <c r="W51" i="3"/>
  <c r="X51" i="3"/>
  <c r="N27" i="3"/>
  <c r="U27" i="3"/>
  <c r="T27" i="3" s="1"/>
  <c r="V27" i="3"/>
  <c r="W27" i="3"/>
  <c r="X27" i="3"/>
  <c r="N28" i="3"/>
  <c r="U28" i="3"/>
  <c r="T28" i="3" s="1"/>
  <c r="V28" i="3"/>
  <c r="W28" i="3"/>
  <c r="X28" i="3"/>
  <c r="N36" i="3"/>
  <c r="U36" i="3"/>
  <c r="T36" i="3" s="1"/>
  <c r="V36" i="3"/>
  <c r="W36" i="3"/>
  <c r="X36" i="3"/>
  <c r="N29" i="3"/>
  <c r="U29" i="3"/>
  <c r="T29" i="3" s="1"/>
  <c r="V29" i="3"/>
  <c r="W29" i="3"/>
  <c r="X29" i="3"/>
  <c r="N52" i="3"/>
  <c r="U52" i="3"/>
  <c r="T52" i="3" s="1"/>
  <c r="V52" i="3"/>
  <c r="W52" i="3"/>
  <c r="X52" i="3"/>
  <c r="N49" i="3"/>
  <c r="U49" i="3"/>
  <c r="T49" i="3" s="1"/>
  <c r="V49" i="3"/>
  <c r="W49" i="3"/>
  <c r="X49" i="3"/>
  <c r="N8" i="3"/>
  <c r="U8" i="3"/>
  <c r="T8" i="3" s="1"/>
  <c r="V8" i="3"/>
  <c r="W8" i="3"/>
  <c r="X8" i="3"/>
  <c r="N20" i="3"/>
  <c r="U20" i="3"/>
  <c r="T20" i="3" s="1"/>
  <c r="V20" i="3"/>
  <c r="W20" i="3"/>
  <c r="X20" i="3"/>
  <c r="N18" i="3"/>
  <c r="U18" i="3"/>
  <c r="T18" i="3" s="1"/>
  <c r="V18" i="3"/>
  <c r="W18" i="3"/>
  <c r="X18" i="3"/>
  <c r="N53" i="3"/>
  <c r="U53" i="3"/>
  <c r="T53" i="3" s="1"/>
  <c r="V53" i="3"/>
  <c r="W53" i="3"/>
  <c r="X53" i="3"/>
  <c r="N38" i="3"/>
  <c r="U38" i="3"/>
  <c r="T38" i="3" s="1"/>
  <c r="V38" i="3"/>
  <c r="W38" i="3"/>
  <c r="X38" i="3"/>
  <c r="N37" i="3"/>
  <c r="U37" i="3"/>
  <c r="T37" i="3" s="1"/>
  <c r="V37" i="3"/>
  <c r="W37" i="3"/>
  <c r="X37" i="3"/>
  <c r="N55" i="3"/>
  <c r="U55" i="3"/>
  <c r="T55" i="3" s="1"/>
  <c r="V55" i="3"/>
  <c r="W55" i="3"/>
  <c r="X55" i="3"/>
  <c r="N54" i="3"/>
  <c r="U54" i="3"/>
  <c r="T54" i="3" s="1"/>
  <c r="V54" i="3"/>
  <c r="W54" i="3"/>
  <c r="X54" i="3"/>
  <c r="K14" i="1"/>
  <c r="L14" i="1"/>
  <c r="M14" i="1"/>
  <c r="N14" i="1" s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Y15" i="1"/>
  <c r="Z15" i="1"/>
  <c r="AB15" i="1"/>
  <c r="AC15" i="1"/>
  <c r="AD15" i="1"/>
  <c r="T15" i="1" s="1"/>
  <c r="AE15" i="1"/>
  <c r="AF15" i="1"/>
  <c r="K16" i="1"/>
  <c r="L16" i="1"/>
  <c r="M16" i="1"/>
  <c r="N16" i="1" s="1"/>
  <c r="S30" i="3"/>
  <c r="Y16" i="1"/>
  <c r="Z16" i="1"/>
  <c r="AB16" i="1"/>
  <c r="AC16" i="1"/>
  <c r="AD16" i="1"/>
  <c r="T16" i="1" s="1"/>
  <c r="AE16" i="1"/>
  <c r="R31" i="3" s="1"/>
  <c r="AF16" i="1"/>
  <c r="AG16" i="1"/>
  <c r="K17" i="1"/>
  <c r="L17" i="1"/>
  <c r="M17" i="1"/>
  <c r="N17" i="1" s="1"/>
  <c r="Y17" i="1"/>
  <c r="Z17" i="1"/>
  <c r="AB17" i="1"/>
  <c r="AC17" i="1"/>
  <c r="AD17" i="1"/>
  <c r="AE17" i="1"/>
  <c r="AF17" i="1"/>
  <c r="K18" i="1"/>
  <c r="L18" i="1"/>
  <c r="M18" i="1"/>
  <c r="N18" i="1" s="1"/>
  <c r="S9" i="3"/>
  <c r="Y18" i="1"/>
  <c r="Z18" i="1"/>
  <c r="AB18" i="1"/>
  <c r="AC18" i="1"/>
  <c r="AD18" i="1"/>
  <c r="T18" i="1" s="1"/>
  <c r="AE18" i="1"/>
  <c r="R9" i="3" s="1"/>
  <c r="AF18" i="1"/>
  <c r="K19" i="1"/>
  <c r="L19" i="1"/>
  <c r="M19" i="1"/>
  <c r="N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Y20" i="1"/>
  <c r="Z20" i="1"/>
  <c r="AB20" i="1"/>
  <c r="AC20" i="1"/>
  <c r="AD20" i="1"/>
  <c r="T20" i="1" s="1"/>
  <c r="AE20" i="1"/>
  <c r="AF20" i="1"/>
  <c r="K21" i="1"/>
  <c r="L21" i="1"/>
  <c r="M21" i="1"/>
  <c r="N21" i="1" s="1"/>
  <c r="X21" i="1"/>
  <c r="Y21" i="1"/>
  <c r="Z21" i="1"/>
  <c r="AB21" i="1"/>
  <c r="AC21" i="1"/>
  <c r="AD21" i="1"/>
  <c r="T21" i="1" s="1"/>
  <c r="AE21" i="1"/>
  <c r="AF21" i="1"/>
  <c r="AG21" i="1"/>
  <c r="K22" i="1"/>
  <c r="L22" i="1"/>
  <c r="M22" i="1"/>
  <c r="N22" i="1" s="1"/>
  <c r="Y22" i="1"/>
  <c r="Z22" i="1"/>
  <c r="AB22" i="1"/>
  <c r="AC22" i="1"/>
  <c r="AD22" i="1"/>
  <c r="T22" i="1" s="1"/>
  <c r="AE22" i="1"/>
  <c r="AF22" i="1"/>
  <c r="K23" i="1"/>
  <c r="L23" i="1"/>
  <c r="M23" i="1"/>
  <c r="N23" i="1" s="1"/>
  <c r="Y23" i="1"/>
  <c r="Z23" i="1"/>
  <c r="AB23" i="1"/>
  <c r="AC23" i="1"/>
  <c r="AD23" i="1"/>
  <c r="T23" i="1" s="1"/>
  <c r="AE23" i="1"/>
  <c r="AF23" i="1"/>
  <c r="K24" i="1"/>
  <c r="L24" i="1"/>
  <c r="M24" i="1"/>
  <c r="N24" i="1" s="1"/>
  <c r="Y24" i="1"/>
  <c r="Z24" i="1"/>
  <c r="AB24" i="1"/>
  <c r="AC24" i="1"/>
  <c r="AD24" i="1"/>
  <c r="T24" i="1" s="1"/>
  <c r="AE24" i="1"/>
  <c r="AF24" i="1"/>
  <c r="K25" i="1"/>
  <c r="L25" i="1"/>
  <c r="M25" i="1"/>
  <c r="N25" i="1" s="1"/>
  <c r="Y25" i="1"/>
  <c r="Z25" i="1"/>
  <c r="AB25" i="1"/>
  <c r="AC25" i="1"/>
  <c r="AD25" i="1"/>
  <c r="X25" i="1" s="1"/>
  <c r="AE25" i="1"/>
  <c r="AF25" i="1"/>
  <c r="K26" i="1"/>
  <c r="L26" i="1"/>
  <c r="M26" i="1"/>
  <c r="N26" i="1" s="1"/>
  <c r="Y26" i="1"/>
  <c r="Z26" i="1"/>
  <c r="AB26" i="1"/>
  <c r="AC26" i="1"/>
  <c r="AD26" i="1"/>
  <c r="T26" i="1" s="1"/>
  <c r="AE26" i="1"/>
  <c r="AF26" i="1"/>
  <c r="K27" i="1"/>
  <c r="L27" i="1"/>
  <c r="M27" i="1"/>
  <c r="N27" i="1" s="1"/>
  <c r="Y27" i="1"/>
  <c r="Z27" i="1"/>
  <c r="AB27" i="1"/>
  <c r="AC27" i="1"/>
  <c r="AD27" i="1"/>
  <c r="T27" i="1" s="1"/>
  <c r="AE27" i="1"/>
  <c r="R39" i="3" s="1"/>
  <c r="AF27" i="1"/>
  <c r="K28" i="1"/>
  <c r="L28" i="1"/>
  <c r="M28" i="1"/>
  <c r="N28" i="1" s="1"/>
  <c r="Y28" i="1"/>
  <c r="Z28" i="1"/>
  <c r="AB28" i="1"/>
  <c r="AC28" i="1"/>
  <c r="AD28" i="1"/>
  <c r="AE28" i="1"/>
  <c r="AF28" i="1"/>
  <c r="K29" i="1"/>
  <c r="L29" i="1"/>
  <c r="M29" i="1"/>
  <c r="N29" i="1" s="1"/>
  <c r="Y29" i="1"/>
  <c r="Z29" i="1"/>
  <c r="AB29" i="1"/>
  <c r="AC29" i="1"/>
  <c r="AD29" i="1"/>
  <c r="T29" i="1" s="1"/>
  <c r="AE29" i="1"/>
  <c r="AF29" i="1"/>
  <c r="K30" i="1"/>
  <c r="L30" i="1"/>
  <c r="M30" i="1"/>
  <c r="N30" i="1" s="1"/>
  <c r="S11" i="3"/>
  <c r="Y30" i="1"/>
  <c r="Z30" i="1"/>
  <c r="AB30" i="1"/>
  <c r="AC30" i="1"/>
  <c r="AD30" i="1"/>
  <c r="T30" i="1" s="1"/>
  <c r="AE30" i="1"/>
  <c r="R11" i="3" s="1"/>
  <c r="AF30" i="1"/>
  <c r="K31" i="1"/>
  <c r="L31" i="1"/>
  <c r="M31" i="1"/>
  <c r="N31" i="1" s="1"/>
  <c r="Y31" i="1"/>
  <c r="Z31" i="1"/>
  <c r="AB31" i="1"/>
  <c r="AC31" i="1"/>
  <c r="AD31" i="1"/>
  <c r="T31" i="1" s="1"/>
  <c r="AE31" i="1"/>
  <c r="AF31" i="1"/>
  <c r="K32" i="1"/>
  <c r="L32" i="1"/>
  <c r="M32" i="1"/>
  <c r="N32" i="1" s="1"/>
  <c r="S19" i="3"/>
  <c r="Y32" i="1"/>
  <c r="Z32" i="1"/>
  <c r="AB32" i="1"/>
  <c r="AC32" i="1"/>
  <c r="AD32" i="1"/>
  <c r="AE32" i="1"/>
  <c r="R19" i="3" s="1"/>
  <c r="AF32" i="1"/>
  <c r="K33" i="1"/>
  <c r="L33" i="1"/>
  <c r="M33" i="1"/>
  <c r="N33" i="1" s="1"/>
  <c r="Y33" i="1"/>
  <c r="Z33" i="1"/>
  <c r="AB33" i="1"/>
  <c r="AC33" i="1"/>
  <c r="AD33" i="1"/>
  <c r="AG33" i="1" s="1"/>
  <c r="AE33" i="1"/>
  <c r="AF33" i="1"/>
  <c r="K34" i="1"/>
  <c r="L34" i="1"/>
  <c r="M34" i="1"/>
  <c r="N34" i="1" s="1"/>
  <c r="Y34" i="1"/>
  <c r="Z34" i="1"/>
  <c r="AB34" i="1"/>
  <c r="AC34" i="1"/>
  <c r="AD34" i="1"/>
  <c r="T34" i="1" s="1"/>
  <c r="AE34" i="1"/>
  <c r="AF34" i="1"/>
  <c r="K35" i="1"/>
  <c r="L35" i="1"/>
  <c r="M35" i="1"/>
  <c r="N35" i="1" s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Y36" i="1"/>
  <c r="Z36" i="1"/>
  <c r="AB36" i="1"/>
  <c r="AC36" i="1"/>
  <c r="AD36" i="1"/>
  <c r="T36" i="1" s="1"/>
  <c r="AE36" i="1"/>
  <c r="AF36" i="1"/>
  <c r="K37" i="1"/>
  <c r="L37" i="1"/>
  <c r="M37" i="1"/>
  <c r="N37" i="1" s="1"/>
  <c r="Y37" i="1"/>
  <c r="Z37" i="1"/>
  <c r="AB37" i="1"/>
  <c r="AC37" i="1"/>
  <c r="AD37" i="1"/>
  <c r="AE37" i="1"/>
  <c r="AF37" i="1"/>
  <c r="K38" i="1"/>
  <c r="L38" i="1"/>
  <c r="M38" i="1"/>
  <c r="N38" i="1" s="1"/>
  <c r="Y38" i="1"/>
  <c r="Z38" i="1"/>
  <c r="AB38" i="1"/>
  <c r="AC38" i="1"/>
  <c r="AD38" i="1"/>
  <c r="T38" i="1" s="1"/>
  <c r="AE38" i="1"/>
  <c r="AF38" i="1"/>
  <c r="K39" i="1"/>
  <c r="L39" i="1"/>
  <c r="M39" i="1"/>
  <c r="N39" i="1" s="1"/>
  <c r="Y39" i="1"/>
  <c r="Z39" i="1"/>
  <c r="AB39" i="1"/>
  <c r="AC39" i="1"/>
  <c r="AD39" i="1"/>
  <c r="T39" i="1" s="1"/>
  <c r="AE39" i="1"/>
  <c r="AF39" i="1"/>
  <c r="K40" i="1"/>
  <c r="L40" i="1"/>
  <c r="M40" i="1"/>
  <c r="N40" i="1" s="1"/>
  <c r="Y40" i="1"/>
  <c r="Z40" i="1"/>
  <c r="AB40" i="1"/>
  <c r="AC40" i="1"/>
  <c r="AD40" i="1"/>
  <c r="T40" i="1" s="1"/>
  <c r="AE40" i="1"/>
  <c r="AF40" i="1"/>
  <c r="K41" i="1"/>
  <c r="L41" i="1"/>
  <c r="M41" i="1"/>
  <c r="N41" i="1" s="1"/>
  <c r="Y41" i="1"/>
  <c r="Z41" i="1"/>
  <c r="AB41" i="1"/>
  <c r="AC41" i="1"/>
  <c r="AD41" i="1"/>
  <c r="T41" i="1" s="1"/>
  <c r="AE41" i="1"/>
  <c r="AF41" i="1"/>
  <c r="K42" i="1"/>
  <c r="L42" i="1"/>
  <c r="M42" i="1"/>
  <c r="N42" i="1" s="1"/>
  <c r="Y42" i="1"/>
  <c r="AA42" i="1" s="1"/>
  <c r="AB42" i="1"/>
  <c r="AC42" i="1"/>
  <c r="AD42" i="1"/>
  <c r="T42" i="1" s="1"/>
  <c r="AE42" i="1"/>
  <c r="AF42" i="1"/>
  <c r="K43" i="1"/>
  <c r="L43" i="1"/>
  <c r="M43" i="1"/>
  <c r="N43" i="1" s="1"/>
  <c r="Y43" i="1"/>
  <c r="Z43" i="1"/>
  <c r="AB43" i="1"/>
  <c r="AC43" i="1"/>
  <c r="AD43" i="1"/>
  <c r="T43" i="1" s="1"/>
  <c r="AE43" i="1"/>
  <c r="AF43" i="1"/>
  <c r="K44" i="1"/>
  <c r="L44" i="1"/>
  <c r="M44" i="1"/>
  <c r="N44" i="1" s="1"/>
  <c r="S14" i="3"/>
  <c r="Y44" i="1"/>
  <c r="Z44" i="1"/>
  <c r="AB44" i="1"/>
  <c r="AC44" i="1"/>
  <c r="AD44" i="1"/>
  <c r="T44" i="1" s="1"/>
  <c r="AE44" i="1"/>
  <c r="R32" i="3" s="1"/>
  <c r="AF44" i="1"/>
  <c r="K45" i="1"/>
  <c r="L45" i="1"/>
  <c r="M45" i="1"/>
  <c r="N45" i="1" s="1"/>
  <c r="S40" i="3"/>
  <c r="Y45" i="1"/>
  <c r="Z45" i="1"/>
  <c r="AB45" i="1"/>
  <c r="AC45" i="1"/>
  <c r="AD45" i="1"/>
  <c r="AG45" i="1" s="1"/>
  <c r="AE45" i="1"/>
  <c r="R40" i="3" s="1"/>
  <c r="AF45" i="1"/>
  <c r="K46" i="1"/>
  <c r="L46" i="1"/>
  <c r="M46" i="1"/>
  <c r="N46" i="1" s="1"/>
  <c r="S16" i="3"/>
  <c r="Y46" i="1"/>
  <c r="Z46" i="1"/>
  <c r="AB46" i="1"/>
  <c r="AC46" i="1"/>
  <c r="AD46" i="1"/>
  <c r="AE46" i="1"/>
  <c r="R13" i="3" s="1"/>
  <c r="AF46" i="1"/>
  <c r="K47" i="1"/>
  <c r="L47" i="1"/>
  <c r="M47" i="1"/>
  <c r="N47" i="1" s="1"/>
  <c r="Y47" i="1"/>
  <c r="Z47" i="1"/>
  <c r="AB47" i="1"/>
  <c r="AC47" i="1"/>
  <c r="AD47" i="1"/>
  <c r="AE47" i="1"/>
  <c r="AF47" i="1"/>
  <c r="K48" i="1"/>
  <c r="L48" i="1"/>
  <c r="M48" i="1"/>
  <c r="N48" i="1" s="1"/>
  <c r="Y48" i="1"/>
  <c r="Z48" i="1"/>
  <c r="AB48" i="1"/>
  <c r="AC48" i="1"/>
  <c r="AD48" i="1"/>
  <c r="AE48" i="1"/>
  <c r="AF48" i="1"/>
  <c r="K49" i="1"/>
  <c r="L49" i="1"/>
  <c r="M49" i="1"/>
  <c r="N49" i="1" s="1"/>
  <c r="Y49" i="1"/>
  <c r="Z49" i="1"/>
  <c r="AB49" i="1"/>
  <c r="AC49" i="1"/>
  <c r="AD49" i="1"/>
  <c r="AG49" i="1" s="1"/>
  <c r="AE49" i="1"/>
  <c r="AF49" i="1"/>
  <c r="K50" i="1"/>
  <c r="L50" i="1"/>
  <c r="M50" i="1"/>
  <c r="N50" i="1" s="1"/>
  <c r="S12" i="3"/>
  <c r="Y50" i="1"/>
  <c r="Z50" i="1"/>
  <c r="AB50" i="1"/>
  <c r="AC50" i="1"/>
  <c r="AD50" i="1"/>
  <c r="AE50" i="1"/>
  <c r="R12" i="3" s="1"/>
  <c r="AF50" i="1"/>
  <c r="K51" i="1"/>
  <c r="L51" i="1"/>
  <c r="M51" i="1"/>
  <c r="N51" i="1" s="1"/>
  <c r="S23" i="3"/>
  <c r="Y51" i="1"/>
  <c r="Z51" i="1"/>
  <c r="AB51" i="1"/>
  <c r="AC51" i="1"/>
  <c r="AD51" i="1"/>
  <c r="AE51" i="1"/>
  <c r="R23" i="3" s="1"/>
  <c r="AF51" i="1"/>
  <c r="K52" i="1"/>
  <c r="L52" i="1"/>
  <c r="M52" i="1"/>
  <c r="N52" i="1" s="1"/>
  <c r="Y52" i="1"/>
  <c r="Z52" i="1"/>
  <c r="AB52" i="1"/>
  <c r="AC52" i="1"/>
  <c r="AD52" i="1"/>
  <c r="AE52" i="1"/>
  <c r="AF52" i="1"/>
  <c r="K53" i="1"/>
  <c r="L53" i="1"/>
  <c r="M53" i="1"/>
  <c r="N53" i="1" s="1"/>
  <c r="Y53" i="1"/>
  <c r="Z53" i="1"/>
  <c r="AB53" i="1"/>
  <c r="AC53" i="1"/>
  <c r="AD53" i="1"/>
  <c r="AG53" i="1" s="1"/>
  <c r="AE53" i="1"/>
  <c r="AF53" i="1"/>
  <c r="K54" i="1"/>
  <c r="L54" i="1"/>
  <c r="M54" i="1"/>
  <c r="N54" i="1" s="1"/>
  <c r="Y54" i="1"/>
  <c r="Z54" i="1"/>
  <c r="AB54" i="1"/>
  <c r="AC54" i="1"/>
  <c r="AD54" i="1"/>
  <c r="T54" i="1" s="1"/>
  <c r="AE54" i="1"/>
  <c r="AF54" i="1"/>
  <c r="K55" i="1"/>
  <c r="L55" i="1"/>
  <c r="M55" i="1"/>
  <c r="N55" i="1" s="1"/>
  <c r="Y55" i="1"/>
  <c r="Z55" i="1"/>
  <c r="AB55" i="1"/>
  <c r="AC55" i="1"/>
  <c r="AD55" i="1"/>
  <c r="AE55" i="1"/>
  <c r="AF55" i="1"/>
  <c r="K56" i="1"/>
  <c r="L56" i="1"/>
  <c r="M56" i="1"/>
  <c r="N56" i="1" s="1"/>
  <c r="Y56" i="1"/>
  <c r="Z56" i="1"/>
  <c r="AB56" i="1"/>
  <c r="AC56" i="1"/>
  <c r="AD56" i="1"/>
  <c r="AG56" i="1" s="1"/>
  <c r="AE56" i="1"/>
  <c r="AF56" i="1"/>
  <c r="K57" i="1"/>
  <c r="L57" i="1"/>
  <c r="M57" i="1"/>
  <c r="N57" i="1" s="1"/>
  <c r="Y57" i="1"/>
  <c r="Z57" i="1"/>
  <c r="AB57" i="1"/>
  <c r="AC57" i="1"/>
  <c r="AD57" i="1"/>
  <c r="AG57" i="1" s="1"/>
  <c r="AE57" i="1"/>
  <c r="AF57" i="1"/>
  <c r="K58" i="1"/>
  <c r="L58" i="1"/>
  <c r="M58" i="1"/>
  <c r="N58" i="1" s="1"/>
  <c r="Y58" i="1"/>
  <c r="Z58" i="1"/>
  <c r="AB58" i="1"/>
  <c r="AC58" i="1"/>
  <c r="AD58" i="1"/>
  <c r="T58" i="1" s="1"/>
  <c r="AE58" i="1"/>
  <c r="AF58" i="1"/>
  <c r="K59" i="1"/>
  <c r="L59" i="1"/>
  <c r="M59" i="1"/>
  <c r="N59" i="1" s="1"/>
  <c r="Y59" i="1"/>
  <c r="Z59" i="1"/>
  <c r="AB59" i="1"/>
  <c r="AC59" i="1"/>
  <c r="AD59" i="1"/>
  <c r="AE59" i="1"/>
  <c r="R24" i="3" s="1"/>
  <c r="AF59" i="1"/>
  <c r="K60" i="1"/>
  <c r="L60" i="1"/>
  <c r="M60" i="1"/>
  <c r="N60" i="1" s="1"/>
  <c r="Y60" i="1"/>
  <c r="Z60" i="1"/>
  <c r="AB60" i="1"/>
  <c r="AC60" i="1"/>
  <c r="AD60" i="1"/>
  <c r="T60" i="1" s="1"/>
  <c r="AE60" i="1"/>
  <c r="AF60" i="1"/>
  <c r="K61" i="1"/>
  <c r="L61" i="1"/>
  <c r="M61" i="1"/>
  <c r="N61" i="1" s="1"/>
  <c r="S10" i="3"/>
  <c r="Y61" i="1"/>
  <c r="Z61" i="1"/>
  <c r="AB61" i="1"/>
  <c r="AC61" i="1"/>
  <c r="AD61" i="1"/>
  <c r="AG61" i="1" s="1"/>
  <c r="AE61" i="1"/>
  <c r="R10" i="3" s="1"/>
  <c r="AF61" i="1"/>
  <c r="K62" i="1"/>
  <c r="L62" i="1"/>
  <c r="M62" i="1"/>
  <c r="N62" i="1" s="1"/>
  <c r="S33" i="3"/>
  <c r="Y62" i="1"/>
  <c r="Z62" i="1"/>
  <c r="AB62" i="1"/>
  <c r="AC62" i="1"/>
  <c r="AD62" i="1"/>
  <c r="T62" i="1" s="1"/>
  <c r="AE62" i="1"/>
  <c r="R26" i="3" s="1"/>
  <c r="AF62" i="1"/>
  <c r="K63" i="1"/>
  <c r="L63" i="1"/>
  <c r="M63" i="1"/>
  <c r="N63" i="1" s="1"/>
  <c r="Y63" i="1"/>
  <c r="Z63" i="1"/>
  <c r="AB63" i="1"/>
  <c r="AC63" i="1"/>
  <c r="AD63" i="1"/>
  <c r="AE63" i="1"/>
  <c r="AF63" i="1"/>
  <c r="K64" i="1"/>
  <c r="L64" i="1"/>
  <c r="M64" i="1"/>
  <c r="N64" i="1" s="1"/>
  <c r="Y64" i="1"/>
  <c r="Z64" i="1"/>
  <c r="AB64" i="1"/>
  <c r="AC64" i="1"/>
  <c r="AD64" i="1"/>
  <c r="T64" i="1" s="1"/>
  <c r="AE64" i="1"/>
  <c r="AF64" i="1"/>
  <c r="K65" i="1"/>
  <c r="L65" i="1"/>
  <c r="M65" i="1"/>
  <c r="N65" i="1" s="1"/>
  <c r="Y65" i="1"/>
  <c r="Z65" i="1"/>
  <c r="AB65" i="1"/>
  <c r="AC65" i="1"/>
  <c r="AD65" i="1"/>
  <c r="AG65" i="1" s="1"/>
  <c r="AE65" i="1"/>
  <c r="AF65" i="1"/>
  <c r="K66" i="1"/>
  <c r="L66" i="1"/>
  <c r="M66" i="1"/>
  <c r="N66" i="1" s="1"/>
  <c r="Y66" i="1"/>
  <c r="Z66" i="1"/>
  <c r="AB66" i="1"/>
  <c r="AC66" i="1"/>
  <c r="AD66" i="1"/>
  <c r="T66" i="1" s="1"/>
  <c r="AE66" i="1"/>
  <c r="AF66" i="1"/>
  <c r="K67" i="1"/>
  <c r="L67" i="1"/>
  <c r="M67" i="1"/>
  <c r="N67" i="1" s="1"/>
  <c r="Y67" i="1"/>
  <c r="Z67" i="1"/>
  <c r="AB67" i="1"/>
  <c r="AC67" i="1"/>
  <c r="AD67" i="1"/>
  <c r="AE67" i="1"/>
  <c r="AF67" i="1"/>
  <c r="K68" i="1"/>
  <c r="L68" i="1"/>
  <c r="M68" i="1"/>
  <c r="N68" i="1" s="1"/>
  <c r="Y68" i="1"/>
  <c r="Z68" i="1"/>
  <c r="AB68" i="1"/>
  <c r="AC68" i="1"/>
  <c r="AD68" i="1"/>
  <c r="T68" i="1" s="1"/>
  <c r="AE68" i="1"/>
  <c r="AF68" i="1"/>
  <c r="K69" i="1"/>
  <c r="L69" i="1"/>
  <c r="M69" i="1"/>
  <c r="N69" i="1" s="1"/>
  <c r="Y69" i="1"/>
  <c r="Z69" i="1"/>
  <c r="AB69" i="1"/>
  <c r="AC69" i="1"/>
  <c r="AD69" i="1"/>
  <c r="T69" i="1" s="1"/>
  <c r="AE69" i="1"/>
  <c r="AF69" i="1"/>
  <c r="K70" i="1"/>
  <c r="L70" i="1"/>
  <c r="M70" i="1"/>
  <c r="N70" i="1" s="1"/>
  <c r="Y70" i="1"/>
  <c r="Z70" i="1"/>
  <c r="AB70" i="1"/>
  <c r="AC70" i="1"/>
  <c r="AD70" i="1"/>
  <c r="X70" i="1" s="1"/>
  <c r="AE70" i="1"/>
  <c r="AF70" i="1"/>
  <c r="K71" i="1"/>
  <c r="L71" i="1"/>
  <c r="M71" i="1"/>
  <c r="N71" i="1" s="1"/>
  <c r="Y71" i="1"/>
  <c r="Z71" i="1"/>
  <c r="AB71" i="1"/>
  <c r="AC71" i="1"/>
  <c r="AD71" i="1"/>
  <c r="AG71" i="1" s="1"/>
  <c r="AE71" i="1"/>
  <c r="AF71" i="1"/>
  <c r="K72" i="1"/>
  <c r="L72" i="1"/>
  <c r="M72" i="1"/>
  <c r="N72" i="1" s="1"/>
  <c r="Y72" i="1"/>
  <c r="Z72" i="1"/>
  <c r="AB72" i="1"/>
  <c r="AC72" i="1"/>
  <c r="AD72" i="1"/>
  <c r="AG72" i="1" s="1"/>
  <c r="AE72" i="1"/>
  <c r="AF72" i="1"/>
  <c r="K73" i="1"/>
  <c r="L73" i="1"/>
  <c r="M73" i="1"/>
  <c r="N73" i="1" s="1"/>
  <c r="Y73" i="1"/>
  <c r="Z73" i="1"/>
  <c r="AB73" i="1"/>
  <c r="AC73" i="1"/>
  <c r="AD73" i="1"/>
  <c r="T73" i="1" s="1"/>
  <c r="AE73" i="1"/>
  <c r="AF73" i="1"/>
  <c r="K74" i="1"/>
  <c r="L74" i="1"/>
  <c r="M74" i="1"/>
  <c r="N74" i="1" s="1"/>
  <c r="Y74" i="1"/>
  <c r="Z74" i="1"/>
  <c r="AB74" i="1"/>
  <c r="AC74" i="1"/>
  <c r="AD74" i="1"/>
  <c r="AE74" i="1"/>
  <c r="AF74" i="1"/>
  <c r="K75" i="1"/>
  <c r="L75" i="1"/>
  <c r="M75" i="1"/>
  <c r="N75" i="1" s="1"/>
  <c r="Y75" i="1"/>
  <c r="Z75" i="1"/>
  <c r="AB75" i="1"/>
  <c r="AC75" i="1"/>
  <c r="AD75" i="1"/>
  <c r="T75" i="1" s="1"/>
  <c r="AE75" i="1"/>
  <c r="AF75" i="1"/>
  <c r="K76" i="1"/>
  <c r="L76" i="1"/>
  <c r="M76" i="1"/>
  <c r="N76" i="1" s="1"/>
  <c r="Y76" i="1"/>
  <c r="Z76" i="1"/>
  <c r="AB76" i="1"/>
  <c r="AC76" i="1"/>
  <c r="AD76" i="1"/>
  <c r="AG76" i="1" s="1"/>
  <c r="AE76" i="1"/>
  <c r="AF76" i="1"/>
  <c r="K77" i="1"/>
  <c r="L77" i="1"/>
  <c r="M77" i="1"/>
  <c r="N77" i="1" s="1"/>
  <c r="Y77" i="1"/>
  <c r="Z77" i="1"/>
  <c r="AB77" i="1"/>
  <c r="AC77" i="1"/>
  <c r="AD77" i="1"/>
  <c r="T77" i="1" s="1"/>
  <c r="AE77" i="1"/>
  <c r="AF77" i="1"/>
  <c r="K78" i="1"/>
  <c r="L78" i="1"/>
  <c r="M78" i="1"/>
  <c r="N78" i="1" s="1"/>
  <c r="T78" i="1"/>
  <c r="Y78" i="1"/>
  <c r="Z78" i="1"/>
  <c r="AA78" i="1" s="1"/>
  <c r="AB78" i="1"/>
  <c r="AC78" i="1"/>
  <c r="AD78" i="1"/>
  <c r="AE78" i="1"/>
  <c r="AF78" i="1"/>
  <c r="K79" i="1"/>
  <c r="L79" i="1"/>
  <c r="M79" i="1"/>
  <c r="N79" i="1" s="1"/>
  <c r="Y79" i="1"/>
  <c r="Z79" i="1"/>
  <c r="AB79" i="1"/>
  <c r="AC79" i="1"/>
  <c r="AD79" i="1"/>
  <c r="T79" i="1" s="1"/>
  <c r="AE79" i="1"/>
  <c r="AF79" i="1"/>
  <c r="K80" i="1"/>
  <c r="L80" i="1"/>
  <c r="M80" i="1"/>
  <c r="N80" i="1" s="1"/>
  <c r="Y80" i="1"/>
  <c r="Z80" i="1"/>
  <c r="AB80" i="1"/>
  <c r="AC80" i="1"/>
  <c r="AD80" i="1"/>
  <c r="AG80" i="1" s="1"/>
  <c r="AE80" i="1"/>
  <c r="AF80" i="1"/>
  <c r="K81" i="1"/>
  <c r="L81" i="1"/>
  <c r="M81" i="1"/>
  <c r="N81" i="1" s="1"/>
  <c r="Y81" i="1"/>
  <c r="Z81" i="1"/>
  <c r="AB81" i="1"/>
  <c r="AC81" i="1"/>
  <c r="AD81" i="1"/>
  <c r="AE81" i="1"/>
  <c r="AF81" i="1"/>
  <c r="K82" i="1"/>
  <c r="L82" i="1"/>
  <c r="M82" i="1"/>
  <c r="N82" i="1" s="1"/>
  <c r="Y82" i="1"/>
  <c r="Z82" i="1"/>
  <c r="AB82" i="1"/>
  <c r="AC82" i="1"/>
  <c r="AD82" i="1"/>
  <c r="T82" i="1" s="1"/>
  <c r="AE82" i="1"/>
  <c r="AF82" i="1"/>
  <c r="K83" i="1"/>
  <c r="L83" i="1"/>
  <c r="M83" i="1"/>
  <c r="N83" i="1" s="1"/>
  <c r="Y83" i="1"/>
  <c r="Z83" i="1"/>
  <c r="AB83" i="1"/>
  <c r="AC83" i="1"/>
  <c r="AD83" i="1"/>
  <c r="T83" i="1" s="1"/>
  <c r="AE83" i="1"/>
  <c r="AF83" i="1"/>
  <c r="K84" i="1"/>
  <c r="L84" i="1"/>
  <c r="M84" i="1"/>
  <c r="N84" i="1" s="1"/>
  <c r="Y84" i="1"/>
  <c r="Z84" i="1"/>
  <c r="AB84" i="1"/>
  <c r="AC84" i="1"/>
  <c r="AD84" i="1"/>
  <c r="T84" i="1" s="1"/>
  <c r="AE84" i="1"/>
  <c r="AF84" i="1"/>
  <c r="K85" i="1"/>
  <c r="L85" i="1"/>
  <c r="M85" i="1"/>
  <c r="N85" i="1" s="1"/>
  <c r="Y85" i="1"/>
  <c r="Z85" i="1"/>
  <c r="AB85" i="1"/>
  <c r="AC85" i="1"/>
  <c r="AD85" i="1"/>
  <c r="T85" i="1" s="1"/>
  <c r="AE85" i="1"/>
  <c r="AF85" i="1"/>
  <c r="K86" i="1"/>
  <c r="L86" i="1"/>
  <c r="M86" i="1"/>
  <c r="N86" i="1" s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T87" i="1"/>
  <c r="Y87" i="1"/>
  <c r="Z87" i="1"/>
  <c r="AB87" i="1"/>
  <c r="AC87" i="1"/>
  <c r="AD87" i="1"/>
  <c r="AG87" i="1" s="1"/>
  <c r="AE87" i="1"/>
  <c r="R41" i="3" s="1"/>
  <c r="AF87" i="1"/>
  <c r="K88" i="1"/>
  <c r="L88" i="1"/>
  <c r="M88" i="1"/>
  <c r="N88" i="1" s="1"/>
  <c r="Y88" i="1"/>
  <c r="Z88" i="1"/>
  <c r="AB88" i="1"/>
  <c r="AC88" i="1"/>
  <c r="AD88" i="1"/>
  <c r="T88" i="1" s="1"/>
  <c r="AE88" i="1"/>
  <c r="AF88" i="1"/>
  <c r="K89" i="1"/>
  <c r="L89" i="1"/>
  <c r="M89" i="1"/>
  <c r="N89" i="1" s="1"/>
  <c r="Y89" i="1"/>
  <c r="Z89" i="1"/>
  <c r="AB89" i="1"/>
  <c r="AC89" i="1"/>
  <c r="AD89" i="1"/>
  <c r="T89" i="1" s="1"/>
  <c r="AE89" i="1"/>
  <c r="AF89" i="1"/>
  <c r="K90" i="1"/>
  <c r="L90" i="1"/>
  <c r="M90" i="1"/>
  <c r="N90" i="1" s="1"/>
  <c r="Y90" i="1"/>
  <c r="Z90" i="1"/>
  <c r="AB90" i="1"/>
  <c r="AC90" i="1"/>
  <c r="AD90" i="1"/>
  <c r="AE90" i="1"/>
  <c r="AF90" i="1"/>
  <c r="K91" i="1"/>
  <c r="L91" i="1"/>
  <c r="M91" i="1"/>
  <c r="N91" i="1" s="1"/>
  <c r="Y91" i="1"/>
  <c r="Z91" i="1"/>
  <c r="AB91" i="1"/>
  <c r="AC91" i="1"/>
  <c r="AD91" i="1"/>
  <c r="AG91" i="1" s="1"/>
  <c r="AE91" i="1"/>
  <c r="AF91" i="1"/>
  <c r="K92" i="1"/>
  <c r="L92" i="1"/>
  <c r="M92" i="1"/>
  <c r="N92" i="1" s="1"/>
  <c r="Y92" i="1"/>
  <c r="Z92" i="1"/>
  <c r="AB92" i="1"/>
  <c r="AC92" i="1"/>
  <c r="AD92" i="1"/>
  <c r="T92" i="1" s="1"/>
  <c r="AE92" i="1"/>
  <c r="AF92" i="1"/>
  <c r="K93" i="1"/>
  <c r="L93" i="1"/>
  <c r="M93" i="1"/>
  <c r="N93" i="1" s="1"/>
  <c r="Y93" i="1"/>
  <c r="Z93" i="1"/>
  <c r="AB93" i="1"/>
  <c r="AC93" i="1"/>
  <c r="AD93" i="1"/>
  <c r="T93" i="1" s="1"/>
  <c r="AE93" i="1"/>
  <c r="AF93" i="1"/>
  <c r="K94" i="1"/>
  <c r="L94" i="1"/>
  <c r="M94" i="1"/>
  <c r="N94" i="1" s="1"/>
  <c r="Y94" i="1"/>
  <c r="Z94" i="1"/>
  <c r="AB94" i="1"/>
  <c r="AC94" i="1"/>
  <c r="AD94" i="1"/>
  <c r="T94" i="1" s="1"/>
  <c r="AE94" i="1"/>
  <c r="AF94" i="1"/>
  <c r="K95" i="1"/>
  <c r="L95" i="1"/>
  <c r="M95" i="1"/>
  <c r="N95" i="1" s="1"/>
  <c r="Y95" i="1"/>
  <c r="Z95" i="1"/>
  <c r="AB95" i="1"/>
  <c r="AC95" i="1"/>
  <c r="AD95" i="1"/>
  <c r="AE95" i="1"/>
  <c r="AF95" i="1"/>
  <c r="K96" i="1"/>
  <c r="L96" i="1"/>
  <c r="M96" i="1"/>
  <c r="N96" i="1" s="1"/>
  <c r="Y96" i="1"/>
  <c r="Z96" i="1"/>
  <c r="AB96" i="1"/>
  <c r="AC96" i="1"/>
  <c r="AD96" i="1"/>
  <c r="AE96" i="1"/>
  <c r="AF96" i="1"/>
  <c r="K97" i="1"/>
  <c r="L97" i="1"/>
  <c r="M97" i="1"/>
  <c r="N97" i="1" s="1"/>
  <c r="Y97" i="1"/>
  <c r="Z97" i="1"/>
  <c r="AB97" i="1"/>
  <c r="AC97" i="1"/>
  <c r="AD97" i="1"/>
  <c r="T97" i="1" s="1"/>
  <c r="AE97" i="1"/>
  <c r="AF97" i="1"/>
  <c r="K98" i="1"/>
  <c r="L98" i="1"/>
  <c r="M98" i="1"/>
  <c r="N98" i="1" s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Y99" i="1"/>
  <c r="Z99" i="1"/>
  <c r="AB99" i="1"/>
  <c r="AC99" i="1"/>
  <c r="AD99" i="1"/>
  <c r="AE99" i="1"/>
  <c r="AF99" i="1"/>
  <c r="K100" i="1"/>
  <c r="L100" i="1"/>
  <c r="M100" i="1"/>
  <c r="N100" i="1" s="1"/>
  <c r="Y100" i="1"/>
  <c r="Z100" i="1"/>
  <c r="AB100" i="1"/>
  <c r="AC100" i="1"/>
  <c r="AD100" i="1"/>
  <c r="T100" i="1" s="1"/>
  <c r="AE100" i="1"/>
  <c r="AF100" i="1"/>
  <c r="K101" i="1"/>
  <c r="L101" i="1"/>
  <c r="M101" i="1"/>
  <c r="N101" i="1" s="1"/>
  <c r="Y101" i="1"/>
  <c r="Z101" i="1"/>
  <c r="AB101" i="1"/>
  <c r="AC101" i="1"/>
  <c r="AD101" i="1"/>
  <c r="T101" i="1" s="1"/>
  <c r="AE101" i="1"/>
  <c r="AF101" i="1"/>
  <c r="K102" i="1"/>
  <c r="L102" i="1"/>
  <c r="M102" i="1"/>
  <c r="N102" i="1" s="1"/>
  <c r="S34" i="3"/>
  <c r="Y102" i="1"/>
  <c r="Z102" i="1"/>
  <c r="AB102" i="1"/>
  <c r="AC102" i="1"/>
  <c r="AD102" i="1"/>
  <c r="T102" i="1" s="1"/>
  <c r="AE102" i="1"/>
  <c r="R34" i="3" s="1"/>
  <c r="AF102" i="1"/>
  <c r="K103" i="1"/>
  <c r="L103" i="1"/>
  <c r="M103" i="1"/>
  <c r="N103" i="1" s="1"/>
  <c r="Y103" i="1"/>
  <c r="Z103" i="1"/>
  <c r="AB103" i="1"/>
  <c r="AC103" i="1"/>
  <c r="AD103" i="1"/>
  <c r="AE103" i="1"/>
  <c r="AF103" i="1"/>
  <c r="K104" i="1"/>
  <c r="L104" i="1"/>
  <c r="M104" i="1"/>
  <c r="N104" i="1" s="1"/>
  <c r="S7" i="3"/>
  <c r="Y104" i="1"/>
  <c r="Z104" i="1"/>
  <c r="AB104" i="1"/>
  <c r="AC104" i="1"/>
  <c r="AD104" i="1"/>
  <c r="T104" i="1" s="1"/>
  <c r="AE104" i="1"/>
  <c r="R7" i="3" s="1"/>
  <c r="AF104" i="1"/>
  <c r="K105" i="1"/>
  <c r="L105" i="1"/>
  <c r="M105" i="1"/>
  <c r="N105" i="1" s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S22" i="3"/>
  <c r="Y106" i="1"/>
  <c r="Z106" i="1"/>
  <c r="AB106" i="1"/>
  <c r="AC106" i="1"/>
  <c r="AD106" i="1"/>
  <c r="T106" i="1" s="1"/>
  <c r="AE106" i="1"/>
  <c r="R22" i="3" s="1"/>
  <c r="AF106" i="1"/>
  <c r="K107" i="1"/>
  <c r="L107" i="1"/>
  <c r="M107" i="1"/>
  <c r="N107" i="1" s="1"/>
  <c r="Y107" i="1"/>
  <c r="Z107" i="1"/>
  <c r="AB107" i="1"/>
  <c r="AC107" i="1"/>
  <c r="AD107" i="1"/>
  <c r="T107" i="1" s="1"/>
  <c r="AE107" i="1"/>
  <c r="AF107" i="1"/>
  <c r="K108" i="1"/>
  <c r="L108" i="1"/>
  <c r="M108" i="1"/>
  <c r="P108" i="1" s="1"/>
  <c r="S35" i="3"/>
  <c r="Y108" i="1"/>
  <c r="Z108" i="1"/>
  <c r="AB108" i="1"/>
  <c r="AC108" i="1"/>
  <c r="AD108" i="1"/>
  <c r="T108" i="1" s="1"/>
  <c r="AE108" i="1"/>
  <c r="R35" i="3" s="1"/>
  <c r="AF108" i="1"/>
  <c r="K109" i="1"/>
  <c r="L109" i="1"/>
  <c r="M109" i="1"/>
  <c r="Y109" i="1"/>
  <c r="Z109" i="1"/>
  <c r="AB109" i="1"/>
  <c r="AC109" i="1"/>
  <c r="AD109" i="1"/>
  <c r="T109" i="1" s="1"/>
  <c r="AE109" i="1"/>
  <c r="AF109" i="1"/>
  <c r="K110" i="1"/>
  <c r="L110" i="1"/>
  <c r="M110" i="1"/>
  <c r="N110" i="1" s="1"/>
  <c r="Y110" i="1"/>
  <c r="Z110" i="1"/>
  <c r="AB110" i="1"/>
  <c r="AC110" i="1"/>
  <c r="AD110" i="1"/>
  <c r="T110" i="1" s="1"/>
  <c r="AE110" i="1"/>
  <c r="AF110" i="1"/>
  <c r="K111" i="1"/>
  <c r="L111" i="1"/>
  <c r="M111" i="1"/>
  <c r="P111" i="1" s="1"/>
  <c r="Y111" i="1"/>
  <c r="Z111" i="1"/>
  <c r="AB111" i="1"/>
  <c r="AC111" i="1"/>
  <c r="AD111" i="1"/>
  <c r="AE111" i="1"/>
  <c r="AF111" i="1"/>
  <c r="K112" i="1"/>
  <c r="L112" i="1"/>
  <c r="M112" i="1"/>
  <c r="Y112" i="1"/>
  <c r="Z112" i="1"/>
  <c r="AB112" i="1"/>
  <c r="AC112" i="1"/>
  <c r="AD112" i="1"/>
  <c r="AE112" i="1"/>
  <c r="AF112" i="1"/>
  <c r="K113" i="1"/>
  <c r="L113" i="1"/>
  <c r="M113" i="1"/>
  <c r="N113" i="1" s="1"/>
  <c r="Y113" i="1"/>
  <c r="Z113" i="1"/>
  <c r="AB113" i="1"/>
  <c r="AC113" i="1"/>
  <c r="AD113" i="1"/>
  <c r="AE113" i="1"/>
  <c r="AF113" i="1"/>
  <c r="K114" i="1"/>
  <c r="L114" i="1"/>
  <c r="M114" i="1"/>
  <c r="N114" i="1" s="1"/>
  <c r="Y114" i="1"/>
  <c r="Z114" i="1"/>
  <c r="AB114" i="1"/>
  <c r="AC114" i="1"/>
  <c r="AD114" i="1"/>
  <c r="AE114" i="1"/>
  <c r="AF114" i="1"/>
  <c r="K115" i="1"/>
  <c r="L115" i="1"/>
  <c r="M115" i="1"/>
  <c r="N115" i="1" s="1"/>
  <c r="Y115" i="1"/>
  <c r="Z115" i="1"/>
  <c r="AB115" i="1"/>
  <c r="AC115" i="1"/>
  <c r="AD115" i="1"/>
  <c r="T115" i="1" s="1"/>
  <c r="AE115" i="1"/>
  <c r="AF115" i="1"/>
  <c r="AG115" i="1"/>
  <c r="K116" i="1"/>
  <c r="L116" i="1"/>
  <c r="M116" i="1"/>
  <c r="N116" i="1" s="1"/>
  <c r="Y116" i="1"/>
  <c r="Z116" i="1"/>
  <c r="AA116" i="1" s="1"/>
  <c r="AB116" i="1"/>
  <c r="AC116" i="1"/>
  <c r="AD116" i="1"/>
  <c r="T116" i="1" s="1"/>
  <c r="AE116" i="1"/>
  <c r="AF116" i="1"/>
  <c r="K117" i="1"/>
  <c r="L117" i="1"/>
  <c r="M117" i="1"/>
  <c r="P117" i="1" s="1"/>
  <c r="S25" i="3"/>
  <c r="Y117" i="1"/>
  <c r="Z117" i="1"/>
  <c r="AB117" i="1"/>
  <c r="AC117" i="1"/>
  <c r="AD117" i="1"/>
  <c r="AE117" i="1"/>
  <c r="R25" i="3" s="1"/>
  <c r="AF117" i="1"/>
  <c r="K118" i="1"/>
  <c r="L118" i="1"/>
  <c r="M118" i="1"/>
  <c r="N118" i="1"/>
  <c r="Y118" i="1"/>
  <c r="AA118" i="1" s="1"/>
  <c r="Z118" i="1"/>
  <c r="AB118" i="1"/>
  <c r="AC118" i="1"/>
  <c r="AD118" i="1"/>
  <c r="AG118" i="1" s="1"/>
  <c r="AE118" i="1"/>
  <c r="AF118" i="1"/>
  <c r="K119" i="1"/>
  <c r="L119" i="1"/>
  <c r="M119" i="1"/>
  <c r="P119" i="1" s="1"/>
  <c r="Y119" i="1"/>
  <c r="Z119" i="1"/>
  <c r="AB119" i="1"/>
  <c r="AC119" i="1"/>
  <c r="AD119" i="1"/>
  <c r="T119" i="1" s="1"/>
  <c r="AE119" i="1"/>
  <c r="AF119" i="1"/>
  <c r="K120" i="1"/>
  <c r="L120" i="1"/>
  <c r="M120" i="1"/>
  <c r="Y120" i="1"/>
  <c r="Z120" i="1"/>
  <c r="AB120" i="1"/>
  <c r="AC120" i="1"/>
  <c r="AD120" i="1"/>
  <c r="AE120" i="1"/>
  <c r="AF120" i="1"/>
  <c r="K121" i="1"/>
  <c r="L121" i="1"/>
  <c r="M121" i="1"/>
  <c r="N121" i="1" s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Y123" i="1"/>
  <c r="Z123" i="1"/>
  <c r="AB123" i="1"/>
  <c r="AC123" i="1"/>
  <c r="AD123" i="1"/>
  <c r="AE123" i="1"/>
  <c r="AF123" i="1"/>
  <c r="K124" i="1"/>
  <c r="L124" i="1"/>
  <c r="M124" i="1"/>
  <c r="N124" i="1" s="1"/>
  <c r="Y124" i="1"/>
  <c r="Z124" i="1"/>
  <c r="AB124" i="1"/>
  <c r="AC124" i="1"/>
  <c r="AD124" i="1"/>
  <c r="T124" i="1" s="1"/>
  <c r="AE124" i="1"/>
  <c r="AF124" i="1"/>
  <c r="K125" i="1"/>
  <c r="L125" i="1"/>
  <c r="M125" i="1"/>
  <c r="N125" i="1" s="1"/>
  <c r="Y125" i="1"/>
  <c r="Z125" i="1"/>
  <c r="AB125" i="1"/>
  <c r="AC125" i="1"/>
  <c r="AD125" i="1"/>
  <c r="AE125" i="1"/>
  <c r="AF125" i="1"/>
  <c r="K126" i="1"/>
  <c r="L126" i="1"/>
  <c r="M126" i="1"/>
  <c r="N126" i="1" s="1"/>
  <c r="Y126" i="1"/>
  <c r="Z126" i="1"/>
  <c r="AB126" i="1"/>
  <c r="AC126" i="1"/>
  <c r="AD126" i="1"/>
  <c r="T126" i="1" s="1"/>
  <c r="AE126" i="1"/>
  <c r="AF126" i="1"/>
  <c r="K127" i="1"/>
  <c r="L127" i="1"/>
  <c r="M127" i="1"/>
  <c r="N127" i="1" s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Y128" i="1"/>
  <c r="Z128" i="1"/>
  <c r="AB128" i="1"/>
  <c r="AC128" i="1"/>
  <c r="AD128" i="1"/>
  <c r="T128" i="1" s="1"/>
  <c r="AE128" i="1"/>
  <c r="AF128" i="1"/>
  <c r="K129" i="1"/>
  <c r="L129" i="1"/>
  <c r="M129" i="1"/>
  <c r="N129" i="1" s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Y130" i="1"/>
  <c r="Z130" i="1"/>
  <c r="AB130" i="1"/>
  <c r="AC130" i="1"/>
  <c r="AD130" i="1"/>
  <c r="X130" i="1" s="1"/>
  <c r="AE130" i="1"/>
  <c r="AF130" i="1"/>
  <c r="K131" i="1"/>
  <c r="L131" i="1"/>
  <c r="M131" i="1"/>
  <c r="N131" i="1" s="1"/>
  <c r="Y131" i="1"/>
  <c r="Z131" i="1"/>
  <c r="AB131" i="1"/>
  <c r="AC131" i="1"/>
  <c r="AD131" i="1"/>
  <c r="T131" i="1" s="1"/>
  <c r="AE131" i="1"/>
  <c r="AF131" i="1"/>
  <c r="AG131" i="1"/>
  <c r="K132" i="1"/>
  <c r="L132" i="1"/>
  <c r="M132" i="1"/>
  <c r="N132" i="1" s="1"/>
  <c r="Y132" i="1"/>
  <c r="Z132" i="1"/>
  <c r="AB132" i="1"/>
  <c r="AC132" i="1"/>
  <c r="AD132" i="1"/>
  <c r="T132" i="1" s="1"/>
  <c r="AE132" i="1"/>
  <c r="AF132" i="1"/>
  <c r="K133" i="1"/>
  <c r="L133" i="1"/>
  <c r="M133" i="1"/>
  <c r="N133" i="1" s="1"/>
  <c r="S28" i="3"/>
  <c r="Y133" i="1"/>
  <c r="Z133" i="1"/>
  <c r="AB133" i="1"/>
  <c r="AC133" i="1"/>
  <c r="AD133" i="1"/>
  <c r="AE133" i="1"/>
  <c r="R27" i="3" s="1"/>
  <c r="AF133" i="1"/>
  <c r="K134" i="1"/>
  <c r="L134" i="1"/>
  <c r="M134" i="1"/>
  <c r="N134" i="1" s="1"/>
  <c r="Y134" i="1"/>
  <c r="Z134" i="1"/>
  <c r="AB134" i="1"/>
  <c r="AC134" i="1"/>
  <c r="AD134" i="1"/>
  <c r="T134" i="1" s="1"/>
  <c r="AE134" i="1"/>
  <c r="AF134" i="1"/>
  <c r="K135" i="1"/>
  <c r="L135" i="1"/>
  <c r="M135" i="1"/>
  <c r="N135" i="1" s="1"/>
  <c r="S36" i="3"/>
  <c r="Y135" i="1"/>
  <c r="AA135" i="1" s="1"/>
  <c r="Z135" i="1"/>
  <c r="AB135" i="1"/>
  <c r="AC135" i="1"/>
  <c r="AD135" i="1"/>
  <c r="T135" i="1" s="1"/>
  <c r="AE135" i="1"/>
  <c r="R36" i="3" s="1"/>
  <c r="AF135" i="1"/>
  <c r="K136" i="1"/>
  <c r="L136" i="1"/>
  <c r="M136" i="1"/>
  <c r="N136" i="1"/>
  <c r="Y136" i="1"/>
  <c r="Z136" i="1"/>
  <c r="AB136" i="1"/>
  <c r="AC136" i="1"/>
  <c r="AD136" i="1"/>
  <c r="T136" i="1" s="1"/>
  <c r="AE136" i="1"/>
  <c r="AF136" i="1"/>
  <c r="K137" i="1"/>
  <c r="L137" i="1"/>
  <c r="M137" i="1"/>
  <c r="N137" i="1" s="1"/>
  <c r="Y137" i="1"/>
  <c r="Z137" i="1"/>
  <c r="AB137" i="1"/>
  <c r="AC137" i="1"/>
  <c r="AD137" i="1"/>
  <c r="T137" i="1" s="1"/>
  <c r="AE137" i="1"/>
  <c r="AF137" i="1"/>
  <c r="K138" i="1"/>
  <c r="L138" i="1"/>
  <c r="M138" i="1"/>
  <c r="N138" i="1" s="1"/>
  <c r="Y138" i="1"/>
  <c r="Z138" i="1"/>
  <c r="AB138" i="1"/>
  <c r="AC138" i="1"/>
  <c r="AD138" i="1"/>
  <c r="T138" i="1" s="1"/>
  <c r="AE138" i="1"/>
  <c r="AF138" i="1"/>
  <c r="K139" i="1"/>
  <c r="L139" i="1"/>
  <c r="M139" i="1"/>
  <c r="N139" i="1" s="1"/>
  <c r="Y139" i="1"/>
  <c r="Z139" i="1"/>
  <c r="AB139" i="1"/>
  <c r="AC139" i="1"/>
  <c r="AD139" i="1"/>
  <c r="AG139" i="1" s="1"/>
  <c r="AE139" i="1"/>
  <c r="R18" i="3" s="1"/>
  <c r="AF139" i="1"/>
  <c r="K140" i="1"/>
  <c r="L140" i="1"/>
  <c r="M140" i="1"/>
  <c r="N140" i="1" s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Y141" i="1"/>
  <c r="Z141" i="1"/>
  <c r="AB141" i="1"/>
  <c r="AC141" i="1"/>
  <c r="AD141" i="1"/>
  <c r="T141" i="1" s="1"/>
  <c r="AE141" i="1"/>
  <c r="AF141" i="1"/>
  <c r="K142" i="1"/>
  <c r="L142" i="1"/>
  <c r="M142" i="1"/>
  <c r="N142" i="1" s="1"/>
  <c r="Y142" i="1"/>
  <c r="Z142" i="1"/>
  <c r="AB142" i="1"/>
  <c r="AC142" i="1"/>
  <c r="AD142" i="1"/>
  <c r="T142" i="1" s="1"/>
  <c r="AE142" i="1"/>
  <c r="AF142" i="1"/>
  <c r="K143" i="1"/>
  <c r="L143" i="1"/>
  <c r="M143" i="1"/>
  <c r="N143" i="1" s="1"/>
  <c r="Y143" i="1"/>
  <c r="Z143" i="1"/>
  <c r="AB143" i="1"/>
  <c r="AC143" i="1"/>
  <c r="AD143" i="1"/>
  <c r="T143" i="1" s="1"/>
  <c r="AE143" i="1"/>
  <c r="R38" i="3" s="1"/>
  <c r="AF143" i="1"/>
  <c r="K144" i="1"/>
  <c r="L144" i="1"/>
  <c r="M144" i="1"/>
  <c r="N144" i="1" s="1"/>
  <c r="Y144" i="1"/>
  <c r="Z144" i="1"/>
  <c r="AB144" i="1"/>
  <c r="AC144" i="1"/>
  <c r="AD144" i="1"/>
  <c r="T144" i="1" s="1"/>
  <c r="AE144" i="1"/>
  <c r="AF144" i="1"/>
  <c r="K145" i="1"/>
  <c r="L145" i="1"/>
  <c r="M145" i="1"/>
  <c r="N145" i="1" s="1"/>
  <c r="Y145" i="1"/>
  <c r="Z145" i="1"/>
  <c r="AB145" i="1"/>
  <c r="AC145" i="1"/>
  <c r="AD145" i="1"/>
  <c r="AG145" i="1" s="1"/>
  <c r="AE145" i="1"/>
  <c r="AF145" i="1"/>
  <c r="K146" i="1"/>
  <c r="L146" i="1"/>
  <c r="M146" i="1"/>
  <c r="N146" i="1" s="1"/>
  <c r="Y146" i="1"/>
  <c r="Z146" i="1"/>
  <c r="AB146" i="1"/>
  <c r="AC146" i="1"/>
  <c r="AD146" i="1"/>
  <c r="T146" i="1" s="1"/>
  <c r="AE146" i="1"/>
  <c r="AF146" i="1"/>
  <c r="K147" i="1"/>
  <c r="L147" i="1"/>
  <c r="M147" i="1"/>
  <c r="N147" i="1" s="1"/>
  <c r="Y147" i="1"/>
  <c r="Z147" i="1"/>
  <c r="AB147" i="1"/>
  <c r="AC147" i="1"/>
  <c r="AD147" i="1"/>
  <c r="T147" i="1" s="1"/>
  <c r="AE147" i="1"/>
  <c r="AF147" i="1"/>
  <c r="K148" i="1"/>
  <c r="L148" i="1"/>
  <c r="M148" i="1"/>
  <c r="N148" i="1" s="1"/>
  <c r="Y148" i="1"/>
  <c r="Z148" i="1"/>
  <c r="AB148" i="1"/>
  <c r="AC148" i="1"/>
  <c r="AD148" i="1"/>
  <c r="AE148" i="1"/>
  <c r="AF148" i="1"/>
  <c r="K149" i="1"/>
  <c r="L149" i="1"/>
  <c r="M149" i="1"/>
  <c r="N149" i="1" s="1"/>
  <c r="Y149" i="1"/>
  <c r="Z149" i="1"/>
  <c r="AB149" i="1"/>
  <c r="AC149" i="1"/>
  <c r="AD149" i="1"/>
  <c r="T149" i="1" s="1"/>
  <c r="AE149" i="1"/>
  <c r="AF149" i="1"/>
  <c r="K150" i="1"/>
  <c r="L150" i="1"/>
  <c r="M150" i="1"/>
  <c r="N150" i="1" s="1"/>
  <c r="Y150" i="1"/>
  <c r="Z150" i="1"/>
  <c r="AB150" i="1"/>
  <c r="AC150" i="1"/>
  <c r="AD150" i="1"/>
  <c r="AG150" i="1" s="1"/>
  <c r="AE150" i="1"/>
  <c r="AF150" i="1"/>
  <c r="K151" i="1"/>
  <c r="L151" i="1"/>
  <c r="M151" i="1"/>
  <c r="N151" i="1" s="1"/>
  <c r="S37" i="3"/>
  <c r="Y151" i="1"/>
  <c r="Z151" i="1"/>
  <c r="AB151" i="1"/>
  <c r="AC151" i="1"/>
  <c r="AD151" i="1"/>
  <c r="T151" i="1" s="1"/>
  <c r="AE151" i="1"/>
  <c r="R37" i="3" s="1"/>
  <c r="AF151" i="1"/>
  <c r="K152" i="1"/>
  <c r="L152" i="1"/>
  <c r="M152" i="1"/>
  <c r="N152" i="1" s="1"/>
  <c r="Y152" i="1"/>
  <c r="Z152" i="1"/>
  <c r="AB152" i="1"/>
  <c r="AC152" i="1"/>
  <c r="AD152" i="1"/>
  <c r="AG152" i="1" s="1"/>
  <c r="AE152" i="1"/>
  <c r="AF152" i="1"/>
  <c r="K153" i="1"/>
  <c r="L153" i="1"/>
  <c r="M153" i="1"/>
  <c r="N153" i="1" s="1"/>
  <c r="Y153" i="1"/>
  <c r="Z153" i="1"/>
  <c r="AB153" i="1"/>
  <c r="AC153" i="1"/>
  <c r="AD153" i="1"/>
  <c r="T153" i="1" s="1"/>
  <c r="AE153" i="1"/>
  <c r="AF153" i="1"/>
  <c r="K154" i="1"/>
  <c r="L154" i="1"/>
  <c r="M154" i="1"/>
  <c r="N154" i="1" s="1"/>
  <c r="Y154" i="1"/>
  <c r="Z154" i="1"/>
  <c r="AB154" i="1"/>
  <c r="AC154" i="1"/>
  <c r="AD154" i="1"/>
  <c r="AG154" i="1" s="1"/>
  <c r="AE154" i="1"/>
  <c r="AF154" i="1"/>
  <c r="K155" i="1"/>
  <c r="L155" i="1"/>
  <c r="M155" i="1"/>
  <c r="N155" i="1" s="1"/>
  <c r="Y155" i="1"/>
  <c r="Z155" i="1"/>
  <c r="AB155" i="1"/>
  <c r="AC155" i="1"/>
  <c r="AD155" i="1"/>
  <c r="T155" i="1" s="1"/>
  <c r="AE155" i="1"/>
  <c r="AF155" i="1"/>
  <c r="K156" i="1"/>
  <c r="L156" i="1"/>
  <c r="M156" i="1"/>
  <c r="N156" i="1" s="1"/>
  <c r="Y156" i="1"/>
  <c r="Z156" i="1"/>
  <c r="AB156" i="1"/>
  <c r="AC156" i="1"/>
  <c r="AD156" i="1"/>
  <c r="AG156" i="1" s="1"/>
  <c r="AE156" i="1"/>
  <c r="AF156" i="1"/>
  <c r="K157" i="1"/>
  <c r="L157" i="1"/>
  <c r="M157" i="1"/>
  <c r="N157" i="1" s="1"/>
  <c r="Y157" i="1"/>
  <c r="Z157" i="1"/>
  <c r="AB157" i="1"/>
  <c r="AC157" i="1"/>
  <c r="AD157" i="1"/>
  <c r="T157" i="1" s="1"/>
  <c r="AE157" i="1"/>
  <c r="AF157" i="1"/>
  <c r="K158" i="1"/>
  <c r="L158" i="1"/>
  <c r="M158" i="1"/>
  <c r="N158" i="1" s="1"/>
  <c r="Y158" i="1"/>
  <c r="Z158" i="1"/>
  <c r="AB158" i="1"/>
  <c r="AC158" i="1"/>
  <c r="AD158" i="1"/>
  <c r="AG158" i="1" s="1"/>
  <c r="AE158" i="1"/>
  <c r="AF158" i="1"/>
  <c r="K159" i="1"/>
  <c r="L159" i="1"/>
  <c r="M159" i="1"/>
  <c r="N159" i="1" s="1"/>
  <c r="Y159" i="1"/>
  <c r="Z159" i="1"/>
  <c r="AB159" i="1"/>
  <c r="AC159" i="1"/>
  <c r="AD159" i="1"/>
  <c r="T159" i="1" s="1"/>
  <c r="AE159" i="1"/>
  <c r="AF159" i="1"/>
  <c r="K208" i="1"/>
  <c r="L208" i="1"/>
  <c r="M208" i="1"/>
  <c r="N208" i="1" s="1"/>
  <c r="Y208" i="1"/>
  <c r="Z208" i="1"/>
  <c r="AB208" i="1"/>
  <c r="AC208" i="1"/>
  <c r="AD208" i="1"/>
  <c r="AG208" i="1" s="1"/>
  <c r="AE208" i="1"/>
  <c r="AF208" i="1"/>
  <c r="K209" i="1"/>
  <c r="L209" i="1"/>
  <c r="M209" i="1"/>
  <c r="N209" i="1" s="1"/>
  <c r="Y209" i="1"/>
  <c r="Z209" i="1"/>
  <c r="AB209" i="1"/>
  <c r="AC209" i="1"/>
  <c r="AD209" i="1"/>
  <c r="AG209" i="1" s="1"/>
  <c r="AE209" i="1"/>
  <c r="AF209" i="1"/>
  <c r="K210" i="1"/>
  <c r="L210" i="1"/>
  <c r="M210" i="1"/>
  <c r="N210" i="1" s="1"/>
  <c r="Y210" i="1"/>
  <c r="Z210" i="1"/>
  <c r="AB210" i="1"/>
  <c r="AC210" i="1"/>
  <c r="AD210" i="1"/>
  <c r="AG210" i="1" s="1"/>
  <c r="AE210" i="1"/>
  <c r="AF210" i="1"/>
  <c r="K211" i="1"/>
  <c r="L211" i="1"/>
  <c r="M211" i="1"/>
  <c r="N211" i="1" s="1"/>
  <c r="Y211" i="1"/>
  <c r="Z211" i="1"/>
  <c r="AB211" i="1"/>
  <c r="AC211" i="1"/>
  <c r="AD211" i="1"/>
  <c r="T211" i="1" s="1"/>
  <c r="AE211" i="1"/>
  <c r="R55" i="3" s="1"/>
  <c r="AF211" i="1"/>
  <c r="AG211" i="1"/>
  <c r="K212" i="1"/>
  <c r="L212" i="1"/>
  <c r="M212" i="1"/>
  <c r="N212" i="1" s="1"/>
  <c r="Y212" i="1"/>
  <c r="Z212" i="1"/>
  <c r="AB212" i="1"/>
  <c r="AC212" i="1"/>
  <c r="AD212" i="1"/>
  <c r="AG212" i="1" s="1"/>
  <c r="AE212" i="1"/>
  <c r="AF212" i="1"/>
  <c r="K213" i="1"/>
  <c r="L213" i="1"/>
  <c r="M213" i="1"/>
  <c r="N213" i="1" s="1"/>
  <c r="Y213" i="1"/>
  <c r="Z213" i="1"/>
  <c r="AB213" i="1"/>
  <c r="AC213" i="1"/>
  <c r="AD213" i="1"/>
  <c r="T213" i="1" s="1"/>
  <c r="AE213" i="1"/>
  <c r="AF213" i="1"/>
  <c r="K214" i="1"/>
  <c r="L214" i="1"/>
  <c r="M214" i="1"/>
  <c r="N214" i="1" s="1"/>
  <c r="Y214" i="1"/>
  <c r="Z214" i="1"/>
  <c r="AB214" i="1"/>
  <c r="AC214" i="1"/>
  <c r="AD214" i="1"/>
  <c r="AG214" i="1" s="1"/>
  <c r="AE214" i="1"/>
  <c r="AF214" i="1"/>
  <c r="K215" i="1"/>
  <c r="L215" i="1"/>
  <c r="M215" i="1"/>
  <c r="N215" i="1" s="1"/>
  <c r="Y215" i="1"/>
  <c r="Z215" i="1"/>
  <c r="AB215" i="1"/>
  <c r="AC215" i="1"/>
  <c r="AD215" i="1"/>
  <c r="T215" i="1" s="1"/>
  <c r="AE215" i="1"/>
  <c r="AF215" i="1"/>
  <c r="K220" i="1"/>
  <c r="L220" i="1"/>
  <c r="M220" i="1"/>
  <c r="N220" i="1" s="1"/>
  <c r="S61" i="3"/>
  <c r="Y220" i="1"/>
  <c r="Z220" i="1"/>
  <c r="AB220" i="1"/>
  <c r="AC220" i="1"/>
  <c r="AD220" i="1"/>
  <c r="AG220" i="1" s="1"/>
  <c r="AE220" i="1"/>
  <c r="R61" i="3" s="1"/>
  <c r="AF220" i="1"/>
  <c r="K221" i="1"/>
  <c r="L221" i="1"/>
  <c r="M221" i="1"/>
  <c r="N221" i="1" s="1"/>
  <c r="S56" i="3"/>
  <c r="Y221" i="1"/>
  <c r="Z221" i="1"/>
  <c r="AB221" i="1"/>
  <c r="AC221" i="1"/>
  <c r="AD221" i="1"/>
  <c r="T221" i="1" s="1"/>
  <c r="AE221" i="1"/>
  <c r="R57" i="3" s="1"/>
  <c r="AF221" i="1"/>
  <c r="K222" i="1"/>
  <c r="L222" i="1"/>
  <c r="M222" i="1"/>
  <c r="N222" i="1" s="1"/>
  <c r="Y222" i="1"/>
  <c r="Z222" i="1"/>
  <c r="AB222" i="1"/>
  <c r="AC222" i="1"/>
  <c r="AD222" i="1"/>
  <c r="AG222" i="1" s="1"/>
  <c r="AE222" i="1"/>
  <c r="AF222" i="1"/>
  <c r="K223" i="1"/>
  <c r="L223" i="1"/>
  <c r="M223" i="1"/>
  <c r="N223" i="1" s="1"/>
  <c r="Y223" i="1"/>
  <c r="Z223" i="1"/>
  <c r="AB223" i="1"/>
  <c r="AC223" i="1"/>
  <c r="AD223" i="1"/>
  <c r="T223" i="1" s="1"/>
  <c r="AE223" i="1"/>
  <c r="AF223" i="1"/>
  <c r="K224" i="1"/>
  <c r="L224" i="1"/>
  <c r="M224" i="1"/>
  <c r="N224" i="1" s="1"/>
  <c r="Y224" i="1"/>
  <c r="Z224" i="1"/>
  <c r="AB224" i="1"/>
  <c r="AC224" i="1"/>
  <c r="AD224" i="1"/>
  <c r="AG224" i="1" s="1"/>
  <c r="AE224" i="1"/>
  <c r="AF224" i="1"/>
  <c r="K225" i="1"/>
  <c r="L225" i="1"/>
  <c r="M225" i="1"/>
  <c r="N225" i="1" s="1"/>
  <c r="Y225" i="1"/>
  <c r="Z225" i="1"/>
  <c r="AB225" i="1"/>
  <c r="AC225" i="1"/>
  <c r="AD225" i="1"/>
  <c r="T225" i="1" s="1"/>
  <c r="AE225" i="1"/>
  <c r="AF225" i="1"/>
  <c r="K226" i="1"/>
  <c r="L226" i="1"/>
  <c r="M226" i="1"/>
  <c r="N226" i="1" s="1"/>
  <c r="Y226" i="1"/>
  <c r="Z226" i="1"/>
  <c r="AB226" i="1"/>
  <c r="AC226" i="1"/>
  <c r="AD226" i="1"/>
  <c r="AG226" i="1" s="1"/>
  <c r="AE226" i="1"/>
  <c r="AF226" i="1"/>
  <c r="K227" i="1"/>
  <c r="L227" i="1"/>
  <c r="M227" i="1"/>
  <c r="N227" i="1" s="1"/>
  <c r="Y227" i="1"/>
  <c r="Z227" i="1"/>
  <c r="AB227" i="1"/>
  <c r="AC227" i="1"/>
  <c r="AD227" i="1"/>
  <c r="T227" i="1" s="1"/>
  <c r="AE227" i="1"/>
  <c r="AF227" i="1"/>
  <c r="K228" i="1"/>
  <c r="L228" i="1"/>
  <c r="M228" i="1"/>
  <c r="N228" i="1" s="1"/>
  <c r="S60" i="3"/>
  <c r="Y228" i="1"/>
  <c r="Z228" i="1"/>
  <c r="AB228" i="1"/>
  <c r="AC228" i="1"/>
  <c r="AD228" i="1"/>
  <c r="AG228" i="1" s="1"/>
  <c r="AE228" i="1"/>
  <c r="R60" i="3" s="1"/>
  <c r="AF228" i="1"/>
  <c r="K229" i="1"/>
  <c r="L229" i="1"/>
  <c r="M229" i="1"/>
  <c r="N229" i="1" s="1"/>
  <c r="Y229" i="1"/>
  <c r="Z229" i="1"/>
  <c r="AB229" i="1"/>
  <c r="AC229" i="1"/>
  <c r="AD229" i="1"/>
  <c r="AG229" i="1" s="1"/>
  <c r="AE229" i="1"/>
  <c r="AF229" i="1"/>
  <c r="K230" i="1"/>
  <c r="L230" i="1"/>
  <c r="M230" i="1"/>
  <c r="N230" i="1" s="1"/>
  <c r="Y230" i="1"/>
  <c r="Z230" i="1"/>
  <c r="AB230" i="1"/>
  <c r="AC230" i="1"/>
  <c r="AD230" i="1"/>
  <c r="AG230" i="1" s="1"/>
  <c r="AE230" i="1"/>
  <c r="AF230" i="1"/>
  <c r="K231" i="1"/>
  <c r="L231" i="1"/>
  <c r="M231" i="1"/>
  <c r="N231" i="1" s="1"/>
  <c r="Y231" i="1"/>
  <c r="Z231" i="1"/>
  <c r="AB231" i="1"/>
  <c r="AC231" i="1"/>
  <c r="AD231" i="1"/>
  <c r="T231" i="1" s="1"/>
  <c r="AE231" i="1"/>
  <c r="AF231" i="1"/>
  <c r="K232" i="1"/>
  <c r="L232" i="1"/>
  <c r="M232" i="1"/>
  <c r="N232" i="1" s="1"/>
  <c r="Y232" i="1"/>
  <c r="Z232" i="1"/>
  <c r="AB232" i="1"/>
  <c r="AC232" i="1"/>
  <c r="AD232" i="1"/>
  <c r="AG232" i="1" s="1"/>
  <c r="AE232" i="1"/>
  <c r="AF232" i="1"/>
  <c r="K233" i="1"/>
  <c r="L233" i="1"/>
  <c r="M233" i="1"/>
  <c r="N233" i="1" s="1"/>
  <c r="Y233" i="1"/>
  <c r="Z233" i="1"/>
  <c r="AB233" i="1"/>
  <c r="AC233" i="1"/>
  <c r="AD233" i="1"/>
  <c r="AG233" i="1" s="1"/>
  <c r="AE233" i="1"/>
  <c r="AF233" i="1"/>
  <c r="K234" i="1"/>
  <c r="L234" i="1"/>
  <c r="M234" i="1"/>
  <c r="N234" i="1" s="1"/>
  <c r="Y234" i="1"/>
  <c r="Z234" i="1"/>
  <c r="AB234" i="1"/>
  <c r="AC234" i="1"/>
  <c r="AD234" i="1"/>
  <c r="AG234" i="1" s="1"/>
  <c r="AE234" i="1"/>
  <c r="AF234" i="1"/>
  <c r="K160" i="1"/>
  <c r="L160" i="1"/>
  <c r="M160" i="1"/>
  <c r="N160" i="1" s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Y161" i="1"/>
  <c r="Z161" i="1"/>
  <c r="AB161" i="1"/>
  <c r="AC161" i="1"/>
  <c r="AD161" i="1"/>
  <c r="AG161" i="1" s="1"/>
  <c r="AE161" i="1"/>
  <c r="AF161" i="1"/>
  <c r="K162" i="1"/>
  <c r="L162" i="1"/>
  <c r="M162" i="1"/>
  <c r="N162" i="1" s="1"/>
  <c r="Y162" i="1"/>
  <c r="Z162" i="1"/>
  <c r="AB162" i="1"/>
  <c r="AC162" i="1"/>
  <c r="AD162" i="1"/>
  <c r="T162" i="1" s="1"/>
  <c r="AE162" i="1"/>
  <c r="AF162" i="1"/>
  <c r="K163" i="1"/>
  <c r="L163" i="1"/>
  <c r="M163" i="1"/>
  <c r="N163" i="1" s="1"/>
  <c r="Y163" i="1"/>
  <c r="Z163" i="1"/>
  <c r="AB163" i="1"/>
  <c r="AC163" i="1"/>
  <c r="AD163" i="1"/>
  <c r="AG163" i="1" s="1"/>
  <c r="AE163" i="1"/>
  <c r="AF163" i="1"/>
  <c r="K164" i="1"/>
  <c r="L164" i="1"/>
  <c r="M164" i="1"/>
  <c r="N164" i="1" s="1"/>
  <c r="Y164" i="1"/>
  <c r="Z164" i="1"/>
  <c r="AB164" i="1"/>
  <c r="AC164" i="1"/>
  <c r="AD164" i="1"/>
  <c r="T164" i="1" s="1"/>
  <c r="AE164" i="1"/>
  <c r="AF164" i="1"/>
  <c r="K165" i="1"/>
  <c r="L165" i="1"/>
  <c r="M165" i="1"/>
  <c r="N165" i="1" s="1"/>
  <c r="Y165" i="1"/>
  <c r="Z165" i="1"/>
  <c r="AB165" i="1"/>
  <c r="AC165" i="1"/>
  <c r="AD165" i="1"/>
  <c r="AG165" i="1" s="1"/>
  <c r="AE165" i="1"/>
  <c r="AF165" i="1"/>
  <c r="K166" i="1"/>
  <c r="L166" i="1"/>
  <c r="M166" i="1"/>
  <c r="N166" i="1" s="1"/>
  <c r="S44" i="3"/>
  <c r="Y166" i="1"/>
  <c r="Z166" i="1"/>
  <c r="AB166" i="1"/>
  <c r="AC166" i="1"/>
  <c r="AD166" i="1"/>
  <c r="T166" i="1" s="1"/>
  <c r="AE166" i="1"/>
  <c r="R44" i="3" s="1"/>
  <c r="AF166" i="1"/>
  <c r="K167" i="1"/>
  <c r="L167" i="1"/>
  <c r="M167" i="1"/>
  <c r="N167" i="1" s="1"/>
  <c r="Y167" i="1"/>
  <c r="Z167" i="1"/>
  <c r="AB167" i="1"/>
  <c r="AC167" i="1"/>
  <c r="AD167" i="1"/>
  <c r="AG167" i="1" s="1"/>
  <c r="AE167" i="1"/>
  <c r="R50" i="3" s="1"/>
  <c r="AF167" i="1"/>
  <c r="K168" i="1"/>
  <c r="L168" i="1"/>
  <c r="M168" i="1"/>
  <c r="N168" i="1" s="1"/>
  <c r="S43" i="3"/>
  <c r="Y168" i="1"/>
  <c r="Z168" i="1"/>
  <c r="AB168" i="1"/>
  <c r="AC168" i="1"/>
  <c r="AD168" i="1"/>
  <c r="T168" i="1" s="1"/>
  <c r="AE168" i="1"/>
  <c r="R43" i="3" s="1"/>
  <c r="AF168" i="1"/>
  <c r="K169" i="1"/>
  <c r="L169" i="1"/>
  <c r="M169" i="1"/>
  <c r="N169" i="1" s="1"/>
  <c r="Y169" i="1"/>
  <c r="Z169" i="1"/>
  <c r="AB169" i="1"/>
  <c r="AC169" i="1"/>
  <c r="AD169" i="1"/>
  <c r="AG169" i="1" s="1"/>
  <c r="AE169" i="1"/>
  <c r="AF169" i="1"/>
  <c r="K170" i="1"/>
  <c r="L170" i="1"/>
  <c r="M170" i="1"/>
  <c r="N170" i="1" s="1"/>
  <c r="Y170" i="1"/>
  <c r="Z170" i="1"/>
  <c r="AB170" i="1"/>
  <c r="AC170" i="1"/>
  <c r="AD170" i="1"/>
  <c r="T170" i="1" s="1"/>
  <c r="AE170" i="1"/>
  <c r="AF170" i="1"/>
  <c r="K171" i="1"/>
  <c r="L171" i="1"/>
  <c r="M171" i="1"/>
  <c r="Y171" i="1"/>
  <c r="Z171" i="1"/>
  <c r="AB171" i="1"/>
  <c r="AC171" i="1"/>
  <c r="AD171" i="1"/>
  <c r="AG171" i="1" s="1"/>
  <c r="AE171" i="1"/>
  <c r="R45" i="3" s="1"/>
  <c r="AF171" i="1"/>
  <c r="K172" i="1"/>
  <c r="L172" i="1"/>
  <c r="M172" i="1"/>
  <c r="Y172" i="1"/>
  <c r="Z172" i="1"/>
  <c r="AB172" i="1"/>
  <c r="AC172" i="1"/>
  <c r="AD172" i="1"/>
  <c r="T172" i="1" s="1"/>
  <c r="AE172" i="1"/>
  <c r="AF172" i="1"/>
  <c r="K173" i="1"/>
  <c r="L173" i="1"/>
  <c r="M173" i="1"/>
  <c r="N173" i="1" s="1"/>
  <c r="Y173" i="1"/>
  <c r="Z173" i="1"/>
  <c r="AB173" i="1"/>
  <c r="AC173" i="1"/>
  <c r="AD173" i="1"/>
  <c r="AG173" i="1" s="1"/>
  <c r="AE173" i="1"/>
  <c r="AF173" i="1"/>
  <c r="K174" i="1"/>
  <c r="L174" i="1"/>
  <c r="M174" i="1"/>
  <c r="N174" i="1" s="1"/>
  <c r="Y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Y175" i="1"/>
  <c r="Z175" i="1"/>
  <c r="AB175" i="1"/>
  <c r="AC175" i="1"/>
  <c r="AD175" i="1"/>
  <c r="AG175" i="1" s="1"/>
  <c r="AE175" i="1"/>
  <c r="AF175" i="1"/>
  <c r="K176" i="1"/>
  <c r="L176" i="1"/>
  <c r="M176" i="1"/>
  <c r="N176" i="1" s="1"/>
  <c r="Y176" i="1"/>
  <c r="Z176" i="1"/>
  <c r="AB176" i="1"/>
  <c r="AC176" i="1"/>
  <c r="AD176" i="1"/>
  <c r="T176" i="1" s="1"/>
  <c r="AE176" i="1"/>
  <c r="AF176" i="1"/>
  <c r="K177" i="1"/>
  <c r="L177" i="1"/>
  <c r="M177" i="1"/>
  <c r="N177" i="1" s="1"/>
  <c r="Y177" i="1"/>
  <c r="Z177" i="1"/>
  <c r="AB177" i="1"/>
  <c r="AC177" i="1"/>
  <c r="AD177" i="1"/>
  <c r="AG177" i="1" s="1"/>
  <c r="AE177" i="1"/>
  <c r="AF177" i="1"/>
  <c r="K178" i="1"/>
  <c r="L178" i="1"/>
  <c r="M178" i="1"/>
  <c r="N178" i="1" s="1"/>
  <c r="Y178" i="1"/>
  <c r="Z178" i="1"/>
  <c r="AB178" i="1"/>
  <c r="AC178" i="1"/>
  <c r="AD178" i="1"/>
  <c r="T178" i="1" s="1"/>
  <c r="AE178" i="1"/>
  <c r="AF178" i="1"/>
  <c r="K179" i="1"/>
  <c r="L179" i="1"/>
  <c r="M179" i="1"/>
  <c r="N179" i="1" s="1"/>
  <c r="Y179" i="1"/>
  <c r="Z179" i="1"/>
  <c r="AB179" i="1"/>
  <c r="AC179" i="1"/>
  <c r="AD179" i="1"/>
  <c r="AG179" i="1" s="1"/>
  <c r="AE179" i="1"/>
  <c r="AF179" i="1"/>
  <c r="K180" i="1"/>
  <c r="L180" i="1"/>
  <c r="M180" i="1"/>
  <c r="N180" i="1" s="1"/>
  <c r="Y180" i="1"/>
  <c r="Z180" i="1"/>
  <c r="AB180" i="1"/>
  <c r="AC180" i="1"/>
  <c r="AD180" i="1"/>
  <c r="T180" i="1" s="1"/>
  <c r="AE180" i="1"/>
  <c r="AF180" i="1"/>
  <c r="K181" i="1"/>
  <c r="L181" i="1"/>
  <c r="M181" i="1"/>
  <c r="N181" i="1" s="1"/>
  <c r="S47" i="3"/>
  <c r="Y181" i="1"/>
  <c r="Z181" i="1"/>
  <c r="AB181" i="1"/>
  <c r="AC181" i="1"/>
  <c r="AD181" i="1"/>
  <c r="AG181" i="1" s="1"/>
  <c r="AE181" i="1"/>
  <c r="R47" i="3" s="1"/>
  <c r="AF181" i="1"/>
  <c r="K182" i="1"/>
  <c r="L182" i="1"/>
  <c r="M182" i="1"/>
  <c r="Y182" i="1"/>
  <c r="Z182" i="1"/>
  <c r="AB182" i="1"/>
  <c r="AC182" i="1"/>
  <c r="AD182" i="1"/>
  <c r="T182" i="1" s="1"/>
  <c r="AE182" i="1"/>
  <c r="AF182" i="1"/>
  <c r="K183" i="1"/>
  <c r="L183" i="1"/>
  <c r="M183" i="1"/>
  <c r="Y183" i="1"/>
  <c r="Z183" i="1"/>
  <c r="AB183" i="1"/>
  <c r="AC183" i="1"/>
  <c r="AD183" i="1"/>
  <c r="AG183" i="1" s="1"/>
  <c r="AE183" i="1"/>
  <c r="AF183" i="1"/>
  <c r="K184" i="1"/>
  <c r="L184" i="1"/>
  <c r="M184" i="1"/>
  <c r="N184" i="1" s="1"/>
  <c r="Y184" i="1"/>
  <c r="Z184" i="1"/>
  <c r="AB184" i="1"/>
  <c r="AC184" i="1"/>
  <c r="AD184" i="1"/>
  <c r="T184" i="1" s="1"/>
  <c r="AE184" i="1"/>
  <c r="AF184" i="1"/>
  <c r="K185" i="1"/>
  <c r="L185" i="1"/>
  <c r="M185" i="1"/>
  <c r="N185" i="1" s="1"/>
  <c r="Y185" i="1"/>
  <c r="Z185" i="1"/>
  <c r="AB185" i="1"/>
  <c r="AC185" i="1"/>
  <c r="AD185" i="1"/>
  <c r="AG185" i="1" s="1"/>
  <c r="AE185" i="1"/>
  <c r="AF185" i="1"/>
  <c r="K186" i="1"/>
  <c r="L186" i="1"/>
  <c r="M186" i="1"/>
  <c r="N186" i="1" s="1"/>
  <c r="Y186" i="1"/>
  <c r="Z186" i="1"/>
  <c r="AB186" i="1"/>
  <c r="AC186" i="1"/>
  <c r="AD186" i="1"/>
  <c r="T186" i="1" s="1"/>
  <c r="AE186" i="1"/>
  <c r="AF186" i="1"/>
  <c r="K187" i="1"/>
  <c r="L187" i="1"/>
  <c r="M187" i="1"/>
  <c r="N187" i="1" s="1"/>
  <c r="Y187" i="1"/>
  <c r="Z187" i="1"/>
  <c r="AB187" i="1"/>
  <c r="AC187" i="1"/>
  <c r="AD187" i="1"/>
  <c r="AG187" i="1" s="1"/>
  <c r="AE187" i="1"/>
  <c r="AF187" i="1"/>
  <c r="K188" i="1"/>
  <c r="L188" i="1"/>
  <c r="M188" i="1"/>
  <c r="N188" i="1" s="1"/>
  <c r="S42" i="3"/>
  <c r="Y188" i="1"/>
  <c r="Z188" i="1"/>
  <c r="AB188" i="1"/>
  <c r="AC188" i="1"/>
  <c r="AD188" i="1"/>
  <c r="T188" i="1" s="1"/>
  <c r="AE188" i="1"/>
  <c r="R42" i="3" s="1"/>
  <c r="AF188" i="1"/>
  <c r="K189" i="1"/>
  <c r="L189" i="1"/>
  <c r="M189" i="1"/>
  <c r="N189" i="1" s="1"/>
  <c r="Y189" i="1"/>
  <c r="Z189" i="1"/>
  <c r="AB189" i="1"/>
  <c r="AC189" i="1"/>
  <c r="AD189" i="1"/>
  <c r="AG189" i="1" s="1"/>
  <c r="AE189" i="1"/>
  <c r="AF189" i="1"/>
  <c r="K190" i="1"/>
  <c r="L190" i="1"/>
  <c r="M190" i="1"/>
  <c r="N190" i="1" s="1"/>
  <c r="S46" i="3"/>
  <c r="Y190" i="1"/>
  <c r="Z190" i="1"/>
  <c r="AB190" i="1"/>
  <c r="AC190" i="1"/>
  <c r="AD190" i="1"/>
  <c r="T190" i="1" s="1"/>
  <c r="AE190" i="1"/>
  <c r="R46" i="3" s="1"/>
  <c r="AF190" i="1"/>
  <c r="K191" i="1"/>
  <c r="L191" i="1"/>
  <c r="M191" i="1"/>
  <c r="N191" i="1" s="1"/>
  <c r="Y191" i="1"/>
  <c r="Z191" i="1"/>
  <c r="AB191" i="1"/>
  <c r="AC191" i="1"/>
  <c r="AD191" i="1"/>
  <c r="AG191" i="1" s="1"/>
  <c r="AE191" i="1"/>
  <c r="R48" i="3" s="1"/>
  <c r="AF191" i="1"/>
  <c r="K192" i="1"/>
  <c r="L192" i="1"/>
  <c r="M192" i="1"/>
  <c r="N192" i="1" s="1"/>
  <c r="Y192" i="1"/>
  <c r="Z192" i="1"/>
  <c r="AB192" i="1"/>
  <c r="AC192" i="1"/>
  <c r="AD192" i="1"/>
  <c r="T192" i="1" s="1"/>
  <c r="AE192" i="1"/>
  <c r="AF192" i="1"/>
  <c r="K193" i="1"/>
  <c r="L193" i="1"/>
  <c r="M193" i="1"/>
  <c r="N193" i="1" s="1"/>
  <c r="Y193" i="1"/>
  <c r="Z193" i="1"/>
  <c r="AB193" i="1"/>
  <c r="AC193" i="1"/>
  <c r="AD193" i="1"/>
  <c r="AE193" i="1"/>
  <c r="AF193" i="1"/>
  <c r="K194" i="1"/>
  <c r="L194" i="1"/>
  <c r="M194" i="1"/>
  <c r="N194" i="1" s="1"/>
  <c r="Y194" i="1"/>
  <c r="Z194" i="1"/>
  <c r="AB194" i="1"/>
  <c r="AC194" i="1"/>
  <c r="AD194" i="1"/>
  <c r="AG194" i="1" s="1"/>
  <c r="AE194" i="1"/>
  <c r="AF194" i="1"/>
  <c r="K195" i="1"/>
  <c r="L195" i="1"/>
  <c r="M195" i="1"/>
  <c r="N195" i="1" s="1"/>
  <c r="Y195" i="1"/>
  <c r="Z195" i="1"/>
  <c r="AB195" i="1"/>
  <c r="AC195" i="1"/>
  <c r="AD195" i="1"/>
  <c r="AG195" i="1" s="1"/>
  <c r="AE195" i="1"/>
  <c r="AF195" i="1"/>
  <c r="K196" i="1"/>
  <c r="L196" i="1"/>
  <c r="M196" i="1"/>
  <c r="N196" i="1" s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Y197" i="1"/>
  <c r="Z197" i="1"/>
  <c r="AB197" i="1"/>
  <c r="AC197" i="1"/>
  <c r="AD197" i="1"/>
  <c r="AE197" i="1"/>
  <c r="AF197" i="1"/>
  <c r="K198" i="1"/>
  <c r="L198" i="1"/>
  <c r="M198" i="1"/>
  <c r="N198" i="1" s="1"/>
  <c r="S51" i="3"/>
  <c r="Y198" i="1"/>
  <c r="Z198" i="1"/>
  <c r="AB198" i="1"/>
  <c r="AC198" i="1"/>
  <c r="AD198" i="1"/>
  <c r="AG198" i="1" s="1"/>
  <c r="AE198" i="1"/>
  <c r="R51" i="3" s="1"/>
  <c r="AF198" i="1"/>
  <c r="K199" i="1"/>
  <c r="L199" i="1"/>
  <c r="M199" i="1"/>
  <c r="N199" i="1" s="1"/>
  <c r="Y199" i="1"/>
  <c r="Z199" i="1"/>
  <c r="AB199" i="1"/>
  <c r="AC199" i="1"/>
  <c r="AD199" i="1"/>
  <c r="AE199" i="1"/>
  <c r="AF199" i="1"/>
  <c r="K200" i="1"/>
  <c r="L200" i="1"/>
  <c r="M200" i="1"/>
  <c r="N200" i="1" s="1"/>
  <c r="Y200" i="1"/>
  <c r="Z200" i="1"/>
  <c r="AB200" i="1"/>
  <c r="AC200" i="1"/>
  <c r="AD200" i="1"/>
  <c r="T200" i="1" s="1"/>
  <c r="AE200" i="1"/>
  <c r="AF200" i="1"/>
  <c r="K201" i="1"/>
  <c r="L201" i="1"/>
  <c r="M201" i="1"/>
  <c r="N201" i="1" s="1"/>
  <c r="Y201" i="1"/>
  <c r="Z201" i="1"/>
  <c r="AB201" i="1"/>
  <c r="AC201" i="1"/>
  <c r="AD201" i="1"/>
  <c r="AG201" i="1" s="1"/>
  <c r="AE201" i="1"/>
  <c r="AF201" i="1"/>
  <c r="K202" i="1"/>
  <c r="L202" i="1"/>
  <c r="M202" i="1"/>
  <c r="N202" i="1" s="1"/>
  <c r="Y202" i="1"/>
  <c r="Z202" i="1"/>
  <c r="AB202" i="1"/>
  <c r="AC202" i="1"/>
  <c r="AD202" i="1"/>
  <c r="T202" i="1" s="1"/>
  <c r="AE202" i="1"/>
  <c r="AF202" i="1"/>
  <c r="K203" i="1"/>
  <c r="L203" i="1"/>
  <c r="M203" i="1"/>
  <c r="N203" i="1" s="1"/>
  <c r="Y203" i="1"/>
  <c r="Z203" i="1"/>
  <c r="AB203" i="1"/>
  <c r="AC203" i="1"/>
  <c r="AD203" i="1"/>
  <c r="T203" i="1" s="1"/>
  <c r="AE203" i="1"/>
  <c r="R49" i="3" s="1"/>
  <c r="AF203" i="1"/>
  <c r="K204" i="1"/>
  <c r="L204" i="1"/>
  <c r="M204" i="1"/>
  <c r="N204" i="1" s="1"/>
  <c r="S52" i="3"/>
  <c r="Y204" i="1"/>
  <c r="Z204" i="1"/>
  <c r="AB204" i="1"/>
  <c r="AC204" i="1"/>
  <c r="AD204" i="1"/>
  <c r="T204" i="1" s="1"/>
  <c r="AE204" i="1"/>
  <c r="R52" i="3" s="1"/>
  <c r="AF204" i="1"/>
  <c r="K205" i="1"/>
  <c r="L205" i="1"/>
  <c r="M205" i="1"/>
  <c r="N205" i="1" s="1"/>
  <c r="Y205" i="1"/>
  <c r="Z205" i="1"/>
  <c r="AB205" i="1"/>
  <c r="AC205" i="1"/>
  <c r="AD205" i="1"/>
  <c r="AG205" i="1" s="1"/>
  <c r="AE205" i="1"/>
  <c r="AF205" i="1"/>
  <c r="K206" i="1"/>
  <c r="L206" i="1"/>
  <c r="M206" i="1"/>
  <c r="N206" i="1" s="1"/>
  <c r="S53" i="3"/>
  <c r="Y206" i="1"/>
  <c r="Z206" i="1"/>
  <c r="AB206" i="1"/>
  <c r="AC206" i="1"/>
  <c r="AD206" i="1"/>
  <c r="T206" i="1" s="1"/>
  <c r="AE206" i="1"/>
  <c r="R53" i="3" s="1"/>
  <c r="AF206" i="1"/>
  <c r="K207" i="1"/>
  <c r="L207" i="1"/>
  <c r="M207" i="1"/>
  <c r="N207" i="1" s="1"/>
  <c r="Y207" i="1"/>
  <c r="Z207" i="1"/>
  <c r="AB207" i="1"/>
  <c r="AC207" i="1"/>
  <c r="AD207" i="1"/>
  <c r="AE207" i="1"/>
  <c r="AF207" i="1"/>
  <c r="K216" i="1"/>
  <c r="L216" i="1"/>
  <c r="M216" i="1"/>
  <c r="N216" i="1" s="1"/>
  <c r="Y216" i="1"/>
  <c r="Z216" i="1"/>
  <c r="AB216" i="1"/>
  <c r="AC216" i="1"/>
  <c r="AD216" i="1"/>
  <c r="T216" i="1" s="1"/>
  <c r="AE216" i="1"/>
  <c r="AF216" i="1"/>
  <c r="K217" i="1"/>
  <c r="L217" i="1"/>
  <c r="M217" i="1"/>
  <c r="N217" i="1" s="1"/>
  <c r="Y217" i="1"/>
  <c r="Z217" i="1"/>
  <c r="AB217" i="1"/>
  <c r="AC217" i="1"/>
  <c r="AD217" i="1"/>
  <c r="AG217" i="1" s="1"/>
  <c r="AE217" i="1"/>
  <c r="AF217" i="1"/>
  <c r="K218" i="1"/>
  <c r="L218" i="1"/>
  <c r="M218" i="1"/>
  <c r="N218" i="1" s="1"/>
  <c r="Y218" i="1"/>
  <c r="Z218" i="1"/>
  <c r="AB218" i="1"/>
  <c r="AC218" i="1"/>
  <c r="AD218" i="1"/>
  <c r="T218" i="1" s="1"/>
  <c r="AE218" i="1"/>
  <c r="AF218" i="1"/>
  <c r="K219" i="1"/>
  <c r="L219" i="1"/>
  <c r="M219" i="1"/>
  <c r="N219" i="1" s="1"/>
  <c r="Y219" i="1"/>
  <c r="Z219" i="1"/>
  <c r="AB219" i="1"/>
  <c r="AC219" i="1"/>
  <c r="AD219" i="1"/>
  <c r="T219" i="1" s="1"/>
  <c r="AE219" i="1"/>
  <c r="AF219" i="1"/>
  <c r="Y40" i="3" l="1"/>
  <c r="Y19" i="3"/>
  <c r="X72" i="1"/>
  <c r="X68" i="1"/>
  <c r="AA188" i="1"/>
  <c r="AA231" i="1"/>
  <c r="X71" i="1"/>
  <c r="X69" i="1"/>
  <c r="AA196" i="1"/>
  <c r="AA151" i="1"/>
  <c r="X99" i="1"/>
  <c r="T71" i="1"/>
  <c r="U71" i="1" s="1"/>
  <c r="S71" i="1" s="1"/>
  <c r="AG62" i="1"/>
  <c r="AA59" i="1"/>
  <c r="X57" i="1"/>
  <c r="AA50" i="1"/>
  <c r="AA46" i="1"/>
  <c r="AA25" i="1"/>
  <c r="Y26" i="3"/>
  <c r="Y10" i="3"/>
  <c r="AA206" i="1"/>
  <c r="AA119" i="1"/>
  <c r="AA66" i="1"/>
  <c r="Y39" i="3"/>
  <c r="AA219" i="1"/>
  <c r="AA215" i="1"/>
  <c r="AA106" i="1"/>
  <c r="AA26" i="1"/>
  <c r="T214" i="1"/>
  <c r="AA125" i="1"/>
  <c r="X120" i="1"/>
  <c r="U16" i="1"/>
  <c r="S31" i="3"/>
  <c r="AA186" i="1"/>
  <c r="AA178" i="1"/>
  <c r="AG170" i="1"/>
  <c r="AG168" i="1"/>
  <c r="AA104" i="1"/>
  <c r="AA99" i="1"/>
  <c r="T99" i="1"/>
  <c r="AA97" i="1"/>
  <c r="AA92" i="1"/>
  <c r="AA74" i="1"/>
  <c r="X52" i="1"/>
  <c r="AA45" i="1"/>
  <c r="W45" i="1" s="1"/>
  <c r="AA40" i="1"/>
  <c r="T25" i="1"/>
  <c r="AA15" i="1"/>
  <c r="AG196" i="1"/>
  <c r="X226" i="1"/>
  <c r="R30" i="3"/>
  <c r="X207" i="1"/>
  <c r="AG231" i="1"/>
  <c r="AA205" i="1"/>
  <c r="W205" i="1" s="1"/>
  <c r="AA200" i="1"/>
  <c r="AG174" i="1"/>
  <c r="U174" i="1" s="1"/>
  <c r="S174" i="1" s="1"/>
  <c r="AA168" i="1"/>
  <c r="AA160" i="1"/>
  <c r="AA155" i="1"/>
  <c r="AA143" i="1"/>
  <c r="AA139" i="1"/>
  <c r="W139" i="1" s="1"/>
  <c r="AG127" i="1"/>
  <c r="U127" i="1" s="1"/>
  <c r="S127" i="1" s="1"/>
  <c r="X127" i="1"/>
  <c r="AG99" i="1"/>
  <c r="AG64" i="1"/>
  <c r="AG40" i="1"/>
  <c r="U40" i="1" s="1"/>
  <c r="S40" i="1" s="1"/>
  <c r="X37" i="1"/>
  <c r="AG30" i="1"/>
  <c r="AG29" i="1"/>
  <c r="S32" i="3"/>
  <c r="Y50" i="3"/>
  <c r="Y9" i="3"/>
  <c r="Y38" i="3"/>
  <c r="Y8" i="3"/>
  <c r="Y36" i="3"/>
  <c r="Y61" i="3"/>
  <c r="Y7" i="3"/>
  <c r="Y32" i="3"/>
  <c r="Y15" i="3"/>
  <c r="Y12" i="3"/>
  <c r="Y45" i="3"/>
  <c r="Y43" i="3"/>
  <c r="T56" i="1"/>
  <c r="AA53" i="1"/>
  <c r="W53" i="1" s="1"/>
  <c r="AA38" i="1"/>
  <c r="AA29" i="1"/>
  <c r="AA21" i="1"/>
  <c r="R54" i="3"/>
  <c r="S8" i="3"/>
  <c r="R28" i="3"/>
  <c r="S59" i="3"/>
  <c r="S58" i="3"/>
  <c r="R33" i="3"/>
  <c r="S57" i="3"/>
  <c r="R56" i="3"/>
  <c r="S17" i="3"/>
  <c r="R16" i="3"/>
  <c r="R14" i="3"/>
  <c r="AA194" i="1"/>
  <c r="AG192" i="1"/>
  <c r="U192" i="1" s="1"/>
  <c r="S192" i="1" s="1"/>
  <c r="AA180" i="1"/>
  <c r="AA161" i="1"/>
  <c r="X234" i="1"/>
  <c r="AG227" i="1"/>
  <c r="U227" i="1" s="1"/>
  <c r="S227" i="1" s="1"/>
  <c r="AG225" i="1"/>
  <c r="U225" i="1" s="1"/>
  <c r="S225" i="1" s="1"/>
  <c r="AA214" i="1"/>
  <c r="AI214" i="1" s="1"/>
  <c r="AA211" i="1"/>
  <c r="AI211" i="1" s="1"/>
  <c r="AA157" i="1"/>
  <c r="AA152" i="1"/>
  <c r="AA138" i="1"/>
  <c r="AG129" i="1"/>
  <c r="AG126" i="1"/>
  <c r="X126" i="1"/>
  <c r="AG107" i="1"/>
  <c r="U107" i="1" s="1"/>
  <c r="S107" i="1" s="1"/>
  <c r="X107" i="1"/>
  <c r="X100" i="1"/>
  <c r="AA98" i="1"/>
  <c r="AA81" i="1"/>
  <c r="AG79" i="1"/>
  <c r="AG69" i="1"/>
  <c r="AA67" i="1"/>
  <c r="X65" i="1"/>
  <c r="AA58" i="1"/>
  <c r="AA54" i="1"/>
  <c r="AA39" i="1"/>
  <c r="AA14" i="1"/>
  <c r="S20" i="3"/>
  <c r="R8" i="3"/>
  <c r="S29" i="3"/>
  <c r="R59" i="3"/>
  <c r="R58" i="3"/>
  <c r="S26" i="3"/>
  <c r="R17" i="3"/>
  <c r="S13" i="3"/>
  <c r="S15" i="3"/>
  <c r="AA190" i="1"/>
  <c r="U211" i="1"/>
  <c r="S211" i="1" s="1"/>
  <c r="T209" i="1"/>
  <c r="U209" i="1" s="1"/>
  <c r="S209" i="1" s="1"/>
  <c r="AI118" i="1"/>
  <c r="U115" i="1"/>
  <c r="S115" i="1" s="1"/>
  <c r="U87" i="1"/>
  <c r="S87" i="1" s="1"/>
  <c r="S55" i="3"/>
  <c r="R20" i="3"/>
  <c r="R29" i="3"/>
  <c r="S27" i="3"/>
  <c r="R15" i="3"/>
  <c r="AG206" i="1"/>
  <c r="AG200" i="1"/>
  <c r="AA192" i="1"/>
  <c r="AG188" i="1"/>
  <c r="U188" i="1" s="1"/>
  <c r="S188" i="1" s="1"/>
  <c r="AA182" i="1"/>
  <c r="AG180" i="1"/>
  <c r="U180" i="1" s="1"/>
  <c r="S180" i="1" s="1"/>
  <c r="AA172" i="1"/>
  <c r="AG166" i="1"/>
  <c r="U166" i="1" s="1"/>
  <c r="S166" i="1" s="1"/>
  <c r="AA234" i="1"/>
  <c r="AI234" i="1" s="1"/>
  <c r="T234" i="1"/>
  <c r="U234" i="1" s="1"/>
  <c r="S234" i="1" s="1"/>
  <c r="T233" i="1"/>
  <c r="U233" i="1" s="1"/>
  <c r="S233" i="1" s="1"/>
  <c r="AA227" i="1"/>
  <c r="AA220" i="1"/>
  <c r="AA150" i="1"/>
  <c r="T150" i="1"/>
  <c r="U150" i="1" s="1"/>
  <c r="S150" i="1" s="1"/>
  <c r="AG138" i="1"/>
  <c r="W138" i="1" s="1"/>
  <c r="AA126" i="1"/>
  <c r="AA124" i="1"/>
  <c r="X123" i="1"/>
  <c r="AA120" i="1"/>
  <c r="AG110" i="1"/>
  <c r="U110" i="1" s="1"/>
  <c r="S110" i="1" s="1"/>
  <c r="AA108" i="1"/>
  <c r="AA107" i="1"/>
  <c r="AA105" i="1"/>
  <c r="AG102" i="1"/>
  <c r="AA100" i="1"/>
  <c r="AA96" i="1"/>
  <c r="AG92" i="1"/>
  <c r="T91" i="1"/>
  <c r="U91" i="1" s="1"/>
  <c r="S91" i="1" s="1"/>
  <c r="AA73" i="1"/>
  <c r="AA61" i="1"/>
  <c r="W61" i="1" s="1"/>
  <c r="AG54" i="1"/>
  <c r="AG41" i="1"/>
  <c r="U41" i="1" s="1"/>
  <c r="X41" i="1"/>
  <c r="AA37" i="1"/>
  <c r="T33" i="1"/>
  <c r="U33" i="1" s="1"/>
  <c r="S33" i="1" s="1"/>
  <c r="AA16" i="1"/>
  <c r="Y41" i="3"/>
  <c r="Y47" i="3"/>
  <c r="Y59" i="3"/>
  <c r="Y33" i="3"/>
  <c r="Y60" i="3"/>
  <c r="Y56" i="3"/>
  <c r="Y24" i="3"/>
  <c r="Y37" i="3"/>
  <c r="Y20" i="3"/>
  <c r="Y29" i="3"/>
  <c r="Y51" i="3"/>
  <c r="Y25" i="3"/>
  <c r="Y34" i="3"/>
  <c r="Y42" i="3"/>
  <c r="Y44" i="3"/>
  <c r="Y11" i="3"/>
  <c r="Y30" i="3"/>
  <c r="Y54" i="3"/>
  <c r="Y55" i="3"/>
  <c r="Y53" i="3"/>
  <c r="Y18" i="3"/>
  <c r="Y49" i="3"/>
  <c r="Y52" i="3"/>
  <c r="Y28" i="3"/>
  <c r="Y27" i="3"/>
  <c r="Y35" i="3"/>
  <c r="Y48" i="3"/>
  <c r="Y46" i="3"/>
  <c r="Y22" i="3"/>
  <c r="Y23" i="3"/>
  <c r="Y14" i="3"/>
  <c r="Y17" i="3"/>
  <c r="Y16" i="3"/>
  <c r="Y31" i="3"/>
  <c r="Y57" i="3"/>
  <c r="W211" i="1"/>
  <c r="X219" i="1"/>
  <c r="AA218" i="1"/>
  <c r="AA217" i="1"/>
  <c r="W217" i="1" s="1"/>
  <c r="AA216" i="1"/>
  <c r="AA202" i="1"/>
  <c r="AA193" i="1"/>
  <c r="AG184" i="1"/>
  <c r="U184" i="1" s="1"/>
  <c r="S184" i="1" s="1"/>
  <c r="X175" i="1"/>
  <c r="AA170" i="1"/>
  <c r="W170" i="1" s="1"/>
  <c r="AA166" i="1"/>
  <c r="W166" i="1" s="1"/>
  <c r="AA164" i="1"/>
  <c r="T229" i="1"/>
  <c r="U229" i="1" s="1"/>
  <c r="S229" i="1" s="1"/>
  <c r="AG223" i="1"/>
  <c r="AA221" i="1"/>
  <c r="AG213" i="1"/>
  <c r="U213" i="1" s="1"/>
  <c r="S213" i="1" s="1"/>
  <c r="AA209" i="1"/>
  <c r="W209" i="1" s="1"/>
  <c r="AA208" i="1"/>
  <c r="W208" i="1" s="1"/>
  <c r="AA159" i="1"/>
  <c r="AG157" i="1"/>
  <c r="AA147" i="1"/>
  <c r="AG142" i="1"/>
  <c r="U142" i="1" s="1"/>
  <c r="S142" i="1" s="1"/>
  <c r="X142" i="1"/>
  <c r="AA141" i="1"/>
  <c r="AA140" i="1"/>
  <c r="X139" i="1"/>
  <c r="AG134" i="1"/>
  <c r="U134" i="1" s="1"/>
  <c r="X134" i="1"/>
  <c r="AG121" i="1"/>
  <c r="U121" i="1" s="1"/>
  <c r="S121" i="1" s="1"/>
  <c r="AG116" i="1"/>
  <c r="AI116" i="1" s="1"/>
  <c r="AG108" i="1"/>
  <c r="AG94" i="1"/>
  <c r="X92" i="1"/>
  <c r="AA91" i="1"/>
  <c r="AG88" i="1"/>
  <c r="X88" i="1"/>
  <c r="AG84" i="1"/>
  <c r="U84" i="1" s="1"/>
  <c r="S84" i="1" s="1"/>
  <c r="X84" i="1"/>
  <c r="AG82" i="1"/>
  <c r="AG77" i="1"/>
  <c r="U77" i="1" s="1"/>
  <c r="S77" i="1" s="1"/>
  <c r="AA71" i="1"/>
  <c r="W71" i="1" s="1"/>
  <c r="AA64" i="1"/>
  <c r="W64" i="1" s="1"/>
  <c r="T61" i="1"/>
  <c r="AA56" i="1"/>
  <c r="W56" i="1" s="1"/>
  <c r="T53" i="1"/>
  <c r="U53" i="1" s="1"/>
  <c r="S53" i="1" s="1"/>
  <c r="AG44" i="1"/>
  <c r="AG38" i="1"/>
  <c r="T37" i="1"/>
  <c r="AA34" i="1"/>
  <c r="AA33" i="1"/>
  <c r="W33" i="1" s="1"/>
  <c r="AA30" i="1"/>
  <c r="U21" i="1"/>
  <c r="S21" i="1" s="1"/>
  <c r="W168" i="1"/>
  <c r="X214" i="1"/>
  <c r="X146" i="1"/>
  <c r="U129" i="1"/>
  <c r="S129" i="1" s="1"/>
  <c r="U126" i="1"/>
  <c r="S126" i="1" s="1"/>
  <c r="X116" i="1"/>
  <c r="X108" i="1"/>
  <c r="X78" i="1"/>
  <c r="AG25" i="1"/>
  <c r="AA18" i="1"/>
  <c r="AA204" i="1"/>
  <c r="AA203" i="1"/>
  <c r="W203" i="1" s="1"/>
  <c r="AG202" i="1"/>
  <c r="AI202" i="1" s="1"/>
  <c r="X199" i="1"/>
  <c r="AG186" i="1"/>
  <c r="AA184" i="1"/>
  <c r="AG182" i="1"/>
  <c r="U182" i="1" s="1"/>
  <c r="S182" i="1" s="1"/>
  <c r="AA177" i="1"/>
  <c r="AI177" i="1" s="1"/>
  <c r="AA176" i="1"/>
  <c r="AA175" i="1"/>
  <c r="W175" i="1" s="1"/>
  <c r="T175" i="1"/>
  <c r="U175" i="1" s="1"/>
  <c r="S175" i="1" s="1"/>
  <c r="AG172" i="1"/>
  <c r="U172" i="1" s="1"/>
  <c r="AG164" i="1"/>
  <c r="U164" i="1" s="1"/>
  <c r="S164" i="1" s="1"/>
  <c r="AA162" i="1"/>
  <c r="AA229" i="1"/>
  <c r="W229" i="1" s="1"/>
  <c r="AA225" i="1"/>
  <c r="AI225" i="1" s="1"/>
  <c r="AA223" i="1"/>
  <c r="X158" i="1"/>
  <c r="AG155" i="1"/>
  <c r="U155" i="1" s="1"/>
  <c r="S155" i="1" s="1"/>
  <c r="AA153" i="1"/>
  <c r="AG149" i="1"/>
  <c r="AG143" i="1"/>
  <c r="U143" i="1" s="1"/>
  <c r="S143" i="1" s="1"/>
  <c r="X143" i="1"/>
  <c r="AA142" i="1"/>
  <c r="AI142" i="1" s="1"/>
  <c r="AG135" i="1"/>
  <c r="U135" i="1" s="1"/>
  <c r="S135" i="1" s="1"/>
  <c r="X135" i="1"/>
  <c r="AA134" i="1"/>
  <c r="W134" i="1" s="1"/>
  <c r="AA131" i="1"/>
  <c r="W131" i="1" s="1"/>
  <c r="AA127" i="1"/>
  <c r="AA113" i="1"/>
  <c r="AA112" i="1"/>
  <c r="AG100" i="1"/>
  <c r="AI100" i="1" s="1"/>
  <c r="AG83" i="1"/>
  <c r="X83" i="1"/>
  <c r="AA82" i="1"/>
  <c r="W82" i="1" s="1"/>
  <c r="AA76" i="1"/>
  <c r="AI76" i="1" s="1"/>
  <c r="X45" i="1"/>
  <c r="AA44" i="1"/>
  <c r="AA43" i="1"/>
  <c r="AG37" i="1"/>
  <c r="AI37" i="1" s="1"/>
  <c r="X203" i="1"/>
  <c r="AI175" i="1"/>
  <c r="U131" i="1"/>
  <c r="S131" i="1" s="1"/>
  <c r="W223" i="1"/>
  <c r="W206" i="1"/>
  <c r="AG219" i="1"/>
  <c r="AI219" i="1" s="1"/>
  <c r="AA207" i="1"/>
  <c r="T207" i="1"/>
  <c r="AG203" i="1"/>
  <c r="T194" i="1"/>
  <c r="U194" i="1" s="1"/>
  <c r="S194" i="1" s="1"/>
  <c r="X191" i="1"/>
  <c r="AG190" i="1"/>
  <c r="U190" i="1" s="1"/>
  <c r="AA189" i="1"/>
  <c r="W189" i="1" s="1"/>
  <c r="AA187" i="1"/>
  <c r="AI187" i="1" s="1"/>
  <c r="T187" i="1"/>
  <c r="U187" i="1" s="1"/>
  <c r="S187" i="1" s="1"/>
  <c r="X179" i="1"/>
  <c r="AG178" i="1"/>
  <c r="U178" i="1" s="1"/>
  <c r="AG176" i="1"/>
  <c r="W176" i="1" s="1"/>
  <c r="AA174" i="1"/>
  <c r="W174" i="1" s="1"/>
  <c r="AA173" i="1"/>
  <c r="AA171" i="1"/>
  <c r="AI171" i="1" s="1"/>
  <c r="T171" i="1"/>
  <c r="U171" i="1" s="1"/>
  <c r="S171" i="1" s="1"/>
  <c r="X163" i="1"/>
  <c r="AG162" i="1"/>
  <c r="U162" i="1" s="1"/>
  <c r="AG160" i="1"/>
  <c r="U160" i="1" s="1"/>
  <c r="S160" i="1" s="1"/>
  <c r="AA233" i="1"/>
  <c r="W233" i="1" s="1"/>
  <c r="AA232" i="1"/>
  <c r="W232" i="1" s="1"/>
  <c r="AA230" i="1"/>
  <c r="T230" i="1"/>
  <c r="X222" i="1"/>
  <c r="AG221" i="1"/>
  <c r="AG215" i="1"/>
  <c r="AA213" i="1"/>
  <c r="AA212" i="1"/>
  <c r="W212" i="1" s="1"/>
  <c r="AA210" i="1"/>
  <c r="W210" i="1" s="1"/>
  <c r="T210" i="1"/>
  <c r="X154" i="1"/>
  <c r="AG153" i="1"/>
  <c r="U153" i="1" s="1"/>
  <c r="AG151" i="1"/>
  <c r="W151" i="1" s="1"/>
  <c r="AG147" i="1"/>
  <c r="T139" i="1"/>
  <c r="U139" i="1" s="1"/>
  <c r="S139" i="1" s="1"/>
  <c r="AG137" i="1"/>
  <c r="AA130" i="1"/>
  <c r="T130" i="1"/>
  <c r="T125" i="1"/>
  <c r="AG125" i="1"/>
  <c r="AG123" i="1"/>
  <c r="X112" i="1"/>
  <c r="AG112" i="1"/>
  <c r="X96" i="1"/>
  <c r="AG96" i="1"/>
  <c r="U79" i="1"/>
  <c r="S79" i="1" s="1"/>
  <c r="U62" i="1"/>
  <c r="S62" i="1" s="1"/>
  <c r="AA201" i="1"/>
  <c r="W201" i="1" s="1"/>
  <c r="AA198" i="1"/>
  <c r="W198" i="1" s="1"/>
  <c r="AA197" i="1"/>
  <c r="AA195" i="1"/>
  <c r="AI195" i="1" s="1"/>
  <c r="T195" i="1"/>
  <c r="U195" i="1" s="1"/>
  <c r="S195" i="1" s="1"/>
  <c r="W186" i="1"/>
  <c r="AA185" i="1"/>
  <c r="W185" i="1" s="1"/>
  <c r="AA183" i="1"/>
  <c r="W183" i="1" s="1"/>
  <c r="T183" i="1"/>
  <c r="AA169" i="1"/>
  <c r="W169" i="1" s="1"/>
  <c r="AA167" i="1"/>
  <c r="W167" i="1" s="1"/>
  <c r="T167" i="1"/>
  <c r="AA228" i="1"/>
  <c r="W228" i="1" s="1"/>
  <c r="AA226" i="1"/>
  <c r="T226" i="1"/>
  <c r="U226" i="1" s="1"/>
  <c r="S226" i="1" s="1"/>
  <c r="AA158" i="1"/>
  <c r="W158" i="1" s="1"/>
  <c r="T158" i="1"/>
  <c r="U158" i="1" s="1"/>
  <c r="S158" i="1" s="1"/>
  <c r="AG146" i="1"/>
  <c r="U146" i="1" s="1"/>
  <c r="U138" i="1"/>
  <c r="S138" i="1" s="1"/>
  <c r="X138" i="1"/>
  <c r="AI135" i="1"/>
  <c r="T123" i="1"/>
  <c r="T111" i="1"/>
  <c r="X111" i="1"/>
  <c r="AG111" i="1"/>
  <c r="T95" i="1"/>
  <c r="X95" i="1"/>
  <c r="AG95" i="1"/>
  <c r="T90" i="1"/>
  <c r="X91" i="1"/>
  <c r="AA88" i="1"/>
  <c r="AI88" i="1" s="1"/>
  <c r="AA84" i="1"/>
  <c r="U83" i="1"/>
  <c r="S83" i="1" s="1"/>
  <c r="AA69" i="1"/>
  <c r="AA49" i="1"/>
  <c r="AG207" i="1"/>
  <c r="W194" i="1"/>
  <c r="AA191" i="1"/>
  <c r="T191" i="1"/>
  <c r="U191" i="1" s="1"/>
  <c r="S191" i="1" s="1"/>
  <c r="X187" i="1"/>
  <c r="U186" i="1"/>
  <c r="S186" i="1" s="1"/>
  <c r="AA181" i="1"/>
  <c r="W181" i="1" s="1"/>
  <c r="AA179" i="1"/>
  <c r="AI179" i="1" s="1"/>
  <c r="T179" i="1"/>
  <c r="X171" i="1"/>
  <c r="U170" i="1"/>
  <c r="S170" i="1" s="1"/>
  <c r="AA165" i="1"/>
  <c r="W165" i="1" s="1"/>
  <c r="AA163" i="1"/>
  <c r="T163" i="1"/>
  <c r="U163" i="1" s="1"/>
  <c r="S163" i="1" s="1"/>
  <c r="X230" i="1"/>
  <c r="AA224" i="1"/>
  <c r="W224" i="1" s="1"/>
  <c r="AA222" i="1"/>
  <c r="T222" i="1"/>
  <c r="U222" i="1" s="1"/>
  <c r="S222" i="1" s="1"/>
  <c r="X210" i="1"/>
  <c r="AG159" i="1"/>
  <c r="U159" i="1" s="1"/>
  <c r="S159" i="1" s="1"/>
  <c r="AA156" i="1"/>
  <c r="W156" i="1" s="1"/>
  <c r="AA154" i="1"/>
  <c r="W154" i="1" s="1"/>
  <c r="T154" i="1"/>
  <c r="AA144" i="1"/>
  <c r="AG141" i="1"/>
  <c r="AA133" i="1"/>
  <c r="AA132" i="1"/>
  <c r="X131" i="1"/>
  <c r="AG130" i="1"/>
  <c r="U130" i="1" s="1"/>
  <c r="S130" i="1" s="1"/>
  <c r="AI127" i="1"/>
  <c r="AA123" i="1"/>
  <c r="AG122" i="1"/>
  <c r="U122" i="1" s="1"/>
  <c r="X122" i="1"/>
  <c r="W118" i="1"/>
  <c r="T112" i="1"/>
  <c r="X104" i="1"/>
  <c r="AG104" i="1"/>
  <c r="T96" i="1"/>
  <c r="T81" i="1"/>
  <c r="X82" i="1"/>
  <c r="AG81" i="1"/>
  <c r="AA79" i="1"/>
  <c r="W79" i="1" s="1"/>
  <c r="AA62" i="1"/>
  <c r="W62" i="1" s="1"/>
  <c r="T32" i="1"/>
  <c r="X33" i="1"/>
  <c r="AG32" i="1"/>
  <c r="T28" i="1"/>
  <c r="X29" i="1"/>
  <c r="AG28" i="1"/>
  <c r="T17" i="1"/>
  <c r="X17" i="1"/>
  <c r="AG17" i="1"/>
  <c r="AG218" i="1"/>
  <c r="X195" i="1"/>
  <c r="X183" i="1"/>
  <c r="X167" i="1"/>
  <c r="W162" i="1"/>
  <c r="U157" i="1"/>
  <c r="S157" i="1" s="1"/>
  <c r="T133" i="1"/>
  <c r="AG133" i="1"/>
  <c r="W125" i="1"/>
  <c r="T103" i="1"/>
  <c r="X103" i="1"/>
  <c r="AG103" i="1"/>
  <c r="U88" i="1"/>
  <c r="S88" i="1" s="1"/>
  <c r="U69" i="1"/>
  <c r="S69" i="1" s="1"/>
  <c r="AI69" i="1"/>
  <c r="T48" i="1"/>
  <c r="AG48" i="1"/>
  <c r="X49" i="1"/>
  <c r="T120" i="1"/>
  <c r="AA75" i="1"/>
  <c r="AA68" i="1"/>
  <c r="AA60" i="1"/>
  <c r="AA36" i="1"/>
  <c r="AA35" i="1"/>
  <c r="AA24" i="1"/>
  <c r="AA23" i="1"/>
  <c r="AA22" i="1"/>
  <c r="AA20" i="1"/>
  <c r="AA19" i="1"/>
  <c r="AA137" i="1"/>
  <c r="AA136" i="1"/>
  <c r="AA129" i="1"/>
  <c r="AA128" i="1"/>
  <c r="AA121" i="1"/>
  <c r="AG120" i="1"/>
  <c r="AG119" i="1"/>
  <c r="U119" i="1" s="1"/>
  <c r="X119" i="1"/>
  <c r="AA117" i="1"/>
  <c r="AA110" i="1"/>
  <c r="W110" i="1" s="1"/>
  <c r="AA109" i="1"/>
  <c r="AG106" i="1"/>
  <c r="AA102" i="1"/>
  <c r="W102" i="1" s="1"/>
  <c r="AA101" i="1"/>
  <c r="AG98" i="1"/>
  <c r="AA94" i="1"/>
  <c r="AA93" i="1"/>
  <c r="AA87" i="1"/>
  <c r="W87" i="1" s="1"/>
  <c r="AA83" i="1"/>
  <c r="W83" i="1" s="1"/>
  <c r="U82" i="1"/>
  <c r="S82" i="1" s="1"/>
  <c r="AA77" i="1"/>
  <c r="AG75" i="1"/>
  <c r="U75" i="1" s="1"/>
  <c r="S75" i="1" s="1"/>
  <c r="AG73" i="1"/>
  <c r="AA72" i="1"/>
  <c r="W72" i="1" s="1"/>
  <c r="T72" i="1"/>
  <c r="U72" i="1" s="1"/>
  <c r="S72" i="1" s="1"/>
  <c r="AG68" i="1"/>
  <c r="U68" i="1" s="1"/>
  <c r="S68" i="1" s="1"/>
  <c r="AG66" i="1"/>
  <c r="AA65" i="1"/>
  <c r="W65" i="1" s="1"/>
  <c r="T65" i="1"/>
  <c r="X61" i="1"/>
  <c r="AG60" i="1"/>
  <c r="U60" i="1" s="1"/>
  <c r="S60" i="1" s="1"/>
  <c r="AG58" i="1"/>
  <c r="AA57" i="1"/>
  <c r="W57" i="1" s="1"/>
  <c r="T57" i="1"/>
  <c r="U57" i="1" s="1"/>
  <c r="S57" i="1" s="1"/>
  <c r="X53" i="1"/>
  <c r="T45" i="1"/>
  <c r="AG42" i="1"/>
  <c r="AI42" i="1" s="1"/>
  <c r="AA41" i="1"/>
  <c r="W41" i="1" s="1"/>
  <c r="W16" i="1"/>
  <c r="AA122" i="1"/>
  <c r="W122" i="1" s="1"/>
  <c r="AA111" i="1"/>
  <c r="U108" i="1"/>
  <c r="AA103" i="1"/>
  <c r="AA95" i="1"/>
  <c r="W95" i="1" s="1"/>
  <c r="AA90" i="1"/>
  <c r="AA89" i="1"/>
  <c r="AA86" i="1"/>
  <c r="AA85" i="1"/>
  <c r="AA80" i="1"/>
  <c r="W80" i="1" s="1"/>
  <c r="X76" i="1"/>
  <c r="AA70" i="1"/>
  <c r="AA63" i="1"/>
  <c r="AA55" i="1"/>
  <c r="T49" i="1"/>
  <c r="U49" i="1" s="1"/>
  <c r="S49" i="1" s="1"/>
  <c r="AG36" i="1"/>
  <c r="U36" i="1" s="1"/>
  <c r="S36" i="1" s="1"/>
  <c r="AA32" i="1"/>
  <c r="AA31" i="1"/>
  <c r="AA28" i="1"/>
  <c r="AA27" i="1"/>
  <c r="AG26" i="1"/>
  <c r="AG24" i="1"/>
  <c r="U24" i="1" s="1"/>
  <c r="S24" i="1" s="1"/>
  <c r="AG20" i="1"/>
  <c r="U20" i="1" s="1"/>
  <c r="S20" i="1" s="1"/>
  <c r="AA17" i="1"/>
  <c r="AI230" i="1"/>
  <c r="U206" i="1"/>
  <c r="S206" i="1" s="1"/>
  <c r="U202" i="1"/>
  <c r="S202" i="1" s="1"/>
  <c r="X217" i="1"/>
  <c r="T217" i="1"/>
  <c r="U217" i="1" s="1"/>
  <c r="S217" i="1" s="1"/>
  <c r="AG216" i="1"/>
  <c r="X205" i="1"/>
  <c r="T205" i="1"/>
  <c r="U205" i="1" s="1"/>
  <c r="S205" i="1" s="1"/>
  <c r="AG204" i="1"/>
  <c r="X201" i="1"/>
  <c r="T201" i="1"/>
  <c r="U201" i="1" s="1"/>
  <c r="S201" i="1" s="1"/>
  <c r="T198" i="1"/>
  <c r="U198" i="1" s="1"/>
  <c r="S198" i="1" s="1"/>
  <c r="X198" i="1"/>
  <c r="S190" i="1"/>
  <c r="AI213" i="1"/>
  <c r="AI198" i="1"/>
  <c r="W173" i="1"/>
  <c r="W171" i="1"/>
  <c r="AI184" i="1"/>
  <c r="W230" i="1"/>
  <c r="AI168" i="1"/>
  <c r="U214" i="1"/>
  <c r="S214" i="1" s="1"/>
  <c r="X216" i="1"/>
  <c r="U207" i="1"/>
  <c r="S207" i="1" s="1"/>
  <c r="X204" i="1"/>
  <c r="U203" i="1"/>
  <c r="S203" i="1" s="1"/>
  <c r="X200" i="1"/>
  <c r="AA199" i="1"/>
  <c r="AG197" i="1"/>
  <c r="T197" i="1"/>
  <c r="X197" i="1"/>
  <c r="AG193" i="1"/>
  <c r="X194" i="1"/>
  <c r="T193" i="1"/>
  <c r="X193" i="1"/>
  <c r="AI194" i="1"/>
  <c r="AI180" i="1"/>
  <c r="U230" i="1"/>
  <c r="S230" i="1" s="1"/>
  <c r="AI162" i="1"/>
  <c r="U210" i="1"/>
  <c r="S210" i="1" s="1"/>
  <c r="T199" i="1"/>
  <c r="W195" i="1"/>
  <c r="AI206" i="1"/>
  <c r="U183" i="1"/>
  <c r="S183" i="1" s="1"/>
  <c r="U168" i="1"/>
  <c r="S168" i="1" s="1"/>
  <c r="U167" i="1"/>
  <c r="S167" i="1" s="1"/>
  <c r="W222" i="1"/>
  <c r="AI160" i="1"/>
  <c r="X218" i="1"/>
  <c r="X206" i="1"/>
  <c r="X202" i="1"/>
  <c r="AG199" i="1"/>
  <c r="AI204" i="1"/>
  <c r="U179" i="1"/>
  <c r="S179" i="1" s="1"/>
  <c r="AI188" i="1"/>
  <c r="AI186" i="1"/>
  <c r="W234" i="1"/>
  <c r="U223" i="1"/>
  <c r="S223" i="1" s="1"/>
  <c r="W220" i="1"/>
  <c r="U154" i="1"/>
  <c r="S154" i="1" s="1"/>
  <c r="X189" i="1"/>
  <c r="T189" i="1"/>
  <c r="U189" i="1" s="1"/>
  <c r="S189" i="1" s="1"/>
  <c r="X185" i="1"/>
  <c r="T185" i="1"/>
  <c r="U185" i="1" s="1"/>
  <c r="S185" i="1" s="1"/>
  <c r="AI205" i="1"/>
  <c r="X181" i="1"/>
  <c r="T181" i="1"/>
  <c r="U181" i="1" s="1"/>
  <c r="S181" i="1" s="1"/>
  <c r="AI201" i="1"/>
  <c r="S178" i="1"/>
  <c r="X177" i="1"/>
  <c r="T177" i="1"/>
  <c r="U177" i="1" s="1"/>
  <c r="S177" i="1" s="1"/>
  <c r="X173" i="1"/>
  <c r="T173" i="1"/>
  <c r="U173" i="1" s="1"/>
  <c r="S173" i="1" s="1"/>
  <c r="X169" i="1"/>
  <c r="T169" i="1"/>
  <c r="U169" i="1" s="1"/>
  <c r="S169" i="1" s="1"/>
  <c r="X165" i="1"/>
  <c r="T165" i="1"/>
  <c r="U165" i="1" s="1"/>
  <c r="S165" i="1" s="1"/>
  <c r="S162" i="1"/>
  <c r="X161" i="1"/>
  <c r="T161" i="1"/>
  <c r="U161" i="1" s="1"/>
  <c r="S161" i="1" s="1"/>
  <c r="X232" i="1"/>
  <c r="T232" i="1"/>
  <c r="U232" i="1" s="1"/>
  <c r="S232" i="1" s="1"/>
  <c r="X228" i="1"/>
  <c r="T228" i="1"/>
  <c r="U228" i="1" s="1"/>
  <c r="S228" i="1" s="1"/>
  <c r="AI173" i="1"/>
  <c r="X224" i="1"/>
  <c r="T224" i="1"/>
  <c r="U224" i="1" s="1"/>
  <c r="S224" i="1" s="1"/>
  <c r="AI169" i="1"/>
  <c r="X220" i="1"/>
  <c r="T220" i="1"/>
  <c r="U220" i="1" s="1"/>
  <c r="S220" i="1" s="1"/>
  <c r="AI165" i="1"/>
  <c r="X212" i="1"/>
  <c r="T212" i="1"/>
  <c r="U212" i="1" s="1"/>
  <c r="S212" i="1" s="1"/>
  <c r="X208" i="1"/>
  <c r="T208" i="1"/>
  <c r="U208" i="1" s="1"/>
  <c r="S208" i="1" s="1"/>
  <c r="AI157" i="1"/>
  <c r="X156" i="1"/>
  <c r="T156" i="1"/>
  <c r="U156" i="1" s="1"/>
  <c r="S156" i="1" s="1"/>
  <c r="S153" i="1"/>
  <c r="X152" i="1"/>
  <c r="T152" i="1"/>
  <c r="U152" i="1" s="1"/>
  <c r="S152" i="1" s="1"/>
  <c r="AA146" i="1"/>
  <c r="W146" i="1" s="1"/>
  <c r="AA145" i="1"/>
  <c r="W145" i="1" s="1"/>
  <c r="X196" i="1"/>
  <c r="X192" i="1"/>
  <c r="X188" i="1"/>
  <c r="X184" i="1"/>
  <c r="X180" i="1"/>
  <c r="X176" i="1"/>
  <c r="X172" i="1"/>
  <c r="X168" i="1"/>
  <c r="X164" i="1"/>
  <c r="X160" i="1"/>
  <c r="X231" i="1"/>
  <c r="X227" i="1"/>
  <c r="X223" i="1"/>
  <c r="X215" i="1"/>
  <c r="X211" i="1"/>
  <c r="X159" i="1"/>
  <c r="X155" i="1"/>
  <c r="X151" i="1"/>
  <c r="AA148" i="1"/>
  <c r="T145" i="1"/>
  <c r="U145" i="1" s="1"/>
  <c r="S145" i="1" s="1"/>
  <c r="X145" i="1"/>
  <c r="T148" i="1"/>
  <c r="S146" i="1"/>
  <c r="X190" i="1"/>
  <c r="X186" i="1"/>
  <c r="X182" i="1"/>
  <c r="X178" i="1"/>
  <c r="X174" i="1"/>
  <c r="X170" i="1"/>
  <c r="X166" i="1"/>
  <c r="X162" i="1"/>
  <c r="X233" i="1"/>
  <c r="X229" i="1"/>
  <c r="X225" i="1"/>
  <c r="X221" i="1"/>
  <c r="X213" i="1"/>
  <c r="X209" i="1"/>
  <c r="X157" i="1"/>
  <c r="X153" i="1"/>
  <c r="AA149" i="1"/>
  <c r="W149" i="1" s="1"/>
  <c r="U149" i="1"/>
  <c r="S149" i="1" s="1"/>
  <c r="AG148" i="1"/>
  <c r="AG144" i="1"/>
  <c r="X141" i="1"/>
  <c r="AG140" i="1"/>
  <c r="W140" i="1" s="1"/>
  <c r="X137" i="1"/>
  <c r="AG136" i="1"/>
  <c r="S134" i="1"/>
  <c r="X133" i="1"/>
  <c r="AG132" i="1"/>
  <c r="X129" i="1"/>
  <c r="AG128" i="1"/>
  <c r="AI126" i="1"/>
  <c r="X125" i="1"/>
  <c r="AG124" i="1"/>
  <c r="S122" i="1"/>
  <c r="X121" i="1"/>
  <c r="T118" i="1"/>
  <c r="U118" i="1" s="1"/>
  <c r="S118" i="1" s="1"/>
  <c r="X118" i="1"/>
  <c r="AA115" i="1"/>
  <c r="W115" i="1" s="1"/>
  <c r="AA114" i="1"/>
  <c r="T113" i="1"/>
  <c r="X113" i="1"/>
  <c r="AG113" i="1"/>
  <c r="X144" i="1"/>
  <c r="X140" i="1"/>
  <c r="X136" i="1"/>
  <c r="X132" i="1"/>
  <c r="X128" i="1"/>
  <c r="AI125" i="1"/>
  <c r="X124" i="1"/>
  <c r="T117" i="1"/>
  <c r="X117" i="1"/>
  <c r="AG117" i="1"/>
  <c r="T114" i="1"/>
  <c r="X114" i="1"/>
  <c r="X115" i="1"/>
  <c r="AG114" i="1"/>
  <c r="AI119" i="1"/>
  <c r="U102" i="1"/>
  <c r="S102" i="1" s="1"/>
  <c r="U94" i="1"/>
  <c r="S94" i="1" s="1"/>
  <c r="AG90" i="1"/>
  <c r="X87" i="1"/>
  <c r="AG86" i="1"/>
  <c r="X80" i="1"/>
  <c r="AG74" i="1"/>
  <c r="X75" i="1"/>
  <c r="AI72" i="1"/>
  <c r="U65" i="1"/>
  <c r="S65" i="1" s="1"/>
  <c r="U61" i="1"/>
  <c r="S61" i="1" s="1"/>
  <c r="AI57" i="1"/>
  <c r="W29" i="1"/>
  <c r="X110" i="1"/>
  <c r="AG109" i="1"/>
  <c r="W109" i="1" s="1"/>
  <c r="X106" i="1"/>
  <c r="AG105" i="1"/>
  <c r="X102" i="1"/>
  <c r="AG101" i="1"/>
  <c r="X98" i="1"/>
  <c r="AG97" i="1"/>
  <c r="W97" i="1" s="1"/>
  <c r="X94" i="1"/>
  <c r="AG93" i="1"/>
  <c r="W93" i="1" s="1"/>
  <c r="X90" i="1"/>
  <c r="AG89" i="1"/>
  <c r="X86" i="1"/>
  <c r="AG85" i="1"/>
  <c r="AI83" i="1"/>
  <c r="AG78" i="1"/>
  <c r="X79" i="1"/>
  <c r="W76" i="1"/>
  <c r="T76" i="1"/>
  <c r="U76" i="1" s="1"/>
  <c r="S76" i="1" s="1"/>
  <c r="X74" i="1"/>
  <c r="AI60" i="1"/>
  <c r="T47" i="1"/>
  <c r="X47" i="1"/>
  <c r="AG47" i="1"/>
  <c r="X48" i="1"/>
  <c r="X109" i="1"/>
  <c r="X105" i="1"/>
  <c r="AI102" i="1"/>
  <c r="X101" i="1"/>
  <c r="X97" i="1"/>
  <c r="X93" i="1"/>
  <c r="X89" i="1"/>
  <c r="X85" i="1"/>
  <c r="T80" i="1"/>
  <c r="U80" i="1" s="1"/>
  <c r="S80" i="1" s="1"/>
  <c r="AI75" i="1"/>
  <c r="T70" i="1"/>
  <c r="AG70" i="1"/>
  <c r="W70" i="1" s="1"/>
  <c r="T67" i="1"/>
  <c r="X67" i="1"/>
  <c r="AG67" i="1"/>
  <c r="U64" i="1"/>
  <c r="S64" i="1" s="1"/>
  <c r="T63" i="1"/>
  <c r="X63" i="1"/>
  <c r="AG63" i="1"/>
  <c r="X64" i="1"/>
  <c r="T59" i="1"/>
  <c r="X59" i="1"/>
  <c r="AG59" i="1"/>
  <c r="X60" i="1"/>
  <c r="U56" i="1"/>
  <c r="S56" i="1" s="1"/>
  <c r="T55" i="1"/>
  <c r="X55" i="1"/>
  <c r="AG55" i="1"/>
  <c r="W55" i="1" s="1"/>
  <c r="X56" i="1"/>
  <c r="T74" i="1"/>
  <c r="AA52" i="1"/>
  <c r="AA51" i="1"/>
  <c r="T50" i="1"/>
  <c r="X50" i="1"/>
  <c r="AG50" i="1"/>
  <c r="T46" i="1"/>
  <c r="X46" i="1"/>
  <c r="AG46" i="1"/>
  <c r="W46" i="1" s="1"/>
  <c r="T52" i="1"/>
  <c r="T51" i="1"/>
  <c r="X51" i="1"/>
  <c r="U45" i="1"/>
  <c r="S45" i="1" s="1"/>
  <c r="U42" i="1"/>
  <c r="S42" i="1" s="1"/>
  <c r="U38" i="1"/>
  <c r="S38" i="1" s="1"/>
  <c r="W21" i="1"/>
  <c r="AI21" i="1"/>
  <c r="X81" i="1"/>
  <c r="X77" i="1"/>
  <c r="X73" i="1"/>
  <c r="X66" i="1"/>
  <c r="X62" i="1"/>
  <c r="X58" i="1"/>
  <c r="X54" i="1"/>
  <c r="AG52" i="1"/>
  <c r="AG51" i="1"/>
  <c r="AA48" i="1"/>
  <c r="W48" i="1" s="1"/>
  <c r="AA47" i="1"/>
  <c r="U44" i="1"/>
  <c r="S44" i="1" s="1"/>
  <c r="W17" i="1"/>
  <c r="AI17" i="1"/>
  <c r="X44" i="1"/>
  <c r="AG43" i="1"/>
  <c r="S41" i="1"/>
  <c r="X40" i="1"/>
  <c r="AG39" i="1"/>
  <c r="X36" i="1"/>
  <c r="AG35" i="1"/>
  <c r="X32" i="1"/>
  <c r="AG31" i="1"/>
  <c r="X28" i="1"/>
  <c r="AG27" i="1"/>
  <c r="X24" i="1"/>
  <c r="AG23" i="1"/>
  <c r="X20" i="1"/>
  <c r="AG19" i="1"/>
  <c r="X16" i="1"/>
  <c r="AG15" i="1"/>
  <c r="W15" i="1" s="1"/>
  <c r="X43" i="1"/>
  <c r="AI40" i="1"/>
  <c r="X39" i="1"/>
  <c r="X35" i="1"/>
  <c r="AG34" i="1"/>
  <c r="X31" i="1"/>
  <c r="X27" i="1"/>
  <c r="U26" i="1"/>
  <c r="S26" i="1" s="1"/>
  <c r="AI24" i="1"/>
  <c r="X23" i="1"/>
  <c r="AG22" i="1"/>
  <c r="AI20" i="1"/>
  <c r="X19" i="1"/>
  <c r="AG18" i="1"/>
  <c r="AI16" i="1"/>
  <c r="S16" i="1"/>
  <c r="X15" i="1"/>
  <c r="AG14" i="1"/>
  <c r="X42" i="1"/>
  <c r="X38" i="1"/>
  <c r="X34" i="1"/>
  <c r="X30" i="1"/>
  <c r="X26" i="1"/>
  <c r="X22" i="1"/>
  <c r="X18" i="1"/>
  <c r="N21" i="3"/>
  <c r="R21" i="3"/>
  <c r="S21" i="3"/>
  <c r="U21" i="3"/>
  <c r="T21" i="3" s="1"/>
  <c r="V21" i="3"/>
  <c r="W21" i="3"/>
  <c r="X21" i="3"/>
  <c r="M12" i="3"/>
  <c r="M45" i="3"/>
  <c r="M20" i="3"/>
  <c r="M10" i="3"/>
  <c r="M35" i="3"/>
  <c r="M52" i="3"/>
  <c r="M49" i="3"/>
  <c r="M36" i="3"/>
  <c r="M42" i="3"/>
  <c r="M39" i="3"/>
  <c r="M14" i="3"/>
  <c r="M48" i="3"/>
  <c r="M28" i="3"/>
  <c r="M24" i="3"/>
  <c r="M56" i="3"/>
  <c r="M31" i="3"/>
  <c r="M57" i="3"/>
  <c r="M30" i="3"/>
  <c r="M29" i="3"/>
  <c r="M43" i="3"/>
  <c r="M34" i="3"/>
  <c r="M50" i="3"/>
  <c r="M26" i="3"/>
  <c r="M21" i="3"/>
  <c r="M11" i="3"/>
  <c r="M8" i="3"/>
  <c r="M61" i="3"/>
  <c r="M23" i="3"/>
  <c r="M25" i="3"/>
  <c r="M7" i="3"/>
  <c r="M15" i="3"/>
  <c r="M9" i="3"/>
  <c r="M22" i="3"/>
  <c r="M13" i="3"/>
  <c r="M32" i="3"/>
  <c r="M46" i="3"/>
  <c r="M60" i="3"/>
  <c r="M44" i="3"/>
  <c r="M19" i="3"/>
  <c r="M38" i="3"/>
  <c r="M33" i="3"/>
  <c r="M17" i="3"/>
  <c r="M18" i="3"/>
  <c r="M53" i="3"/>
  <c r="M40" i="3"/>
  <c r="M58" i="3"/>
  <c r="M37" i="3"/>
  <c r="M27" i="3"/>
  <c r="M55" i="3"/>
  <c r="M51" i="3"/>
  <c r="M54" i="3"/>
  <c r="M59" i="3"/>
  <c r="M47" i="3"/>
  <c r="M41" i="3"/>
  <c r="M16" i="3"/>
  <c r="U32" i="1" l="1"/>
  <c r="S32" i="1" s="1"/>
  <c r="W182" i="1"/>
  <c r="AI203" i="1"/>
  <c r="U28" i="1"/>
  <c r="S28" i="1" s="1"/>
  <c r="AI44" i="1"/>
  <c r="AI223" i="1"/>
  <c r="W190" i="1"/>
  <c r="W207" i="1"/>
  <c r="AI30" i="1"/>
  <c r="AI170" i="1"/>
  <c r="AI36" i="1"/>
  <c r="U125" i="1"/>
  <c r="S125" i="1" s="1"/>
  <c r="W99" i="1"/>
  <c r="AI178" i="1"/>
  <c r="AI133" i="1"/>
  <c r="U133" i="1"/>
  <c r="S133" i="1" s="1"/>
  <c r="W91" i="1"/>
  <c r="AI91" i="1"/>
  <c r="AI64" i="1"/>
  <c r="AI33" i="1"/>
  <c r="AI181" i="1"/>
  <c r="AI191" i="1"/>
  <c r="W191" i="1"/>
  <c r="AI137" i="1"/>
  <c r="U137" i="1"/>
  <c r="S137" i="1" s="1"/>
  <c r="U25" i="1"/>
  <c r="S25" i="1" s="1"/>
  <c r="AI25" i="1"/>
  <c r="W202" i="1"/>
  <c r="AI161" i="1"/>
  <c r="W161" i="1"/>
  <c r="AI87" i="1"/>
  <c r="AI210" i="1"/>
  <c r="AI193" i="1"/>
  <c r="U116" i="1"/>
  <c r="S116" i="1" s="1"/>
  <c r="W178" i="1"/>
  <c r="W218" i="1"/>
  <c r="AI163" i="1"/>
  <c r="W163" i="1"/>
  <c r="W226" i="1"/>
  <c r="AI226" i="1"/>
  <c r="AI150" i="1"/>
  <c r="W150" i="1"/>
  <c r="W200" i="1"/>
  <c r="U200" i="1"/>
  <c r="S200" i="1" s="1"/>
  <c r="AI200" i="1"/>
  <c r="AI152" i="1"/>
  <c r="W152" i="1"/>
  <c r="U29" i="1"/>
  <c r="S29" i="1" s="1"/>
  <c r="AI29" i="1"/>
  <c r="U231" i="1"/>
  <c r="S231" i="1" s="1"/>
  <c r="W231" i="1"/>
  <c r="U196" i="1"/>
  <c r="S196" i="1" s="1"/>
  <c r="W196" i="1"/>
  <c r="AI196" i="1"/>
  <c r="AI32" i="1"/>
  <c r="W23" i="1"/>
  <c r="W25" i="1"/>
  <c r="AI82" i="1"/>
  <c r="AI95" i="1"/>
  <c r="AI61" i="1"/>
  <c r="W124" i="1"/>
  <c r="W214" i="1"/>
  <c r="AI190" i="1"/>
  <c r="AI182" i="1"/>
  <c r="AI232" i="1"/>
  <c r="AI139" i="1"/>
  <c r="W126" i="1"/>
  <c r="W86" i="1"/>
  <c r="W106" i="1"/>
  <c r="W69" i="1"/>
  <c r="AI99" i="1"/>
  <c r="W31" i="1"/>
  <c r="W39" i="1"/>
  <c r="AI45" i="1"/>
  <c r="W50" i="1"/>
  <c r="W59" i="1"/>
  <c r="AI110" i="1"/>
  <c r="AI65" i="1"/>
  <c r="W144" i="1"/>
  <c r="AI189" i="1"/>
  <c r="AI199" i="1"/>
  <c r="W197" i="1"/>
  <c r="W26" i="1"/>
  <c r="W32" i="1"/>
  <c r="W98" i="1"/>
  <c r="U48" i="1"/>
  <c r="S48" i="1" s="1"/>
  <c r="AI111" i="1"/>
  <c r="W127" i="1"/>
  <c r="W30" i="1"/>
  <c r="AI38" i="1"/>
  <c r="AI108" i="1"/>
  <c r="W54" i="1"/>
  <c r="W92" i="1"/>
  <c r="AI107" i="1"/>
  <c r="W74" i="1"/>
  <c r="AI185" i="1"/>
  <c r="AI154" i="1"/>
  <c r="AI158" i="1"/>
  <c r="AI174" i="1"/>
  <c r="U100" i="1"/>
  <c r="S100" i="1" s="1"/>
  <c r="W94" i="1"/>
  <c r="AI68" i="1"/>
  <c r="W225" i="1"/>
  <c r="U30" i="1"/>
  <c r="S30" i="1" s="1"/>
  <c r="U99" i="1"/>
  <c r="S99" i="1" s="1"/>
  <c r="AI129" i="1"/>
  <c r="W157" i="1"/>
  <c r="W188" i="1"/>
  <c r="W40" i="1"/>
  <c r="AI26" i="1"/>
  <c r="AI41" i="1"/>
  <c r="AI98" i="1"/>
  <c r="AI77" i="1"/>
  <c r="U98" i="1"/>
  <c r="S98" i="1" s="1"/>
  <c r="W119" i="1"/>
  <c r="AI122" i="1"/>
  <c r="AI138" i="1"/>
  <c r="W148" i="1"/>
  <c r="AI209" i="1"/>
  <c r="U92" i="1"/>
  <c r="S92" i="1" s="1"/>
  <c r="AI81" i="1"/>
  <c r="W141" i="1"/>
  <c r="AI207" i="1"/>
  <c r="AI54" i="1"/>
  <c r="AI131" i="1"/>
  <c r="W112" i="1"/>
  <c r="AI164" i="1"/>
  <c r="AI92" i="1"/>
  <c r="W37" i="1"/>
  <c r="W192" i="1"/>
  <c r="W63" i="1"/>
  <c r="AI53" i="1"/>
  <c r="AI197" i="1"/>
  <c r="W77" i="1"/>
  <c r="W137" i="1"/>
  <c r="W107" i="1"/>
  <c r="U54" i="1"/>
  <c r="S54" i="1" s="1"/>
  <c r="AI143" i="1"/>
  <c r="W89" i="1"/>
  <c r="AI141" i="1"/>
  <c r="W128" i="1"/>
  <c r="U219" i="1"/>
  <c r="S219" i="1" s="1"/>
  <c r="W90" i="1"/>
  <c r="W129" i="1"/>
  <c r="W153" i="1"/>
  <c r="W142" i="1"/>
  <c r="W96" i="1"/>
  <c r="W213" i="1"/>
  <c r="W44" i="1"/>
  <c r="AI84" i="1"/>
  <c r="W221" i="1"/>
  <c r="AI166" i="1"/>
  <c r="W14" i="1"/>
  <c r="AI28" i="1"/>
  <c r="W34" i="1"/>
  <c r="W47" i="1"/>
  <c r="AI115" i="1"/>
  <c r="W177" i="1"/>
  <c r="W187" i="1"/>
  <c r="AI217" i="1"/>
  <c r="U103" i="1"/>
  <c r="S103" i="1" s="1"/>
  <c r="AI159" i="1"/>
  <c r="W88" i="1"/>
  <c r="W184" i="1"/>
  <c r="AI192" i="1"/>
  <c r="U218" i="1"/>
  <c r="S218" i="1" s="1"/>
  <c r="W28" i="1"/>
  <c r="W227" i="1"/>
  <c r="W180" i="1"/>
  <c r="Y21" i="3"/>
  <c r="AI80" i="1"/>
  <c r="AI106" i="1"/>
  <c r="AI56" i="1"/>
  <c r="AI71" i="1"/>
  <c r="AI103" i="1"/>
  <c r="U106" i="1"/>
  <c r="S106" i="1" s="1"/>
  <c r="AI130" i="1"/>
  <c r="AI134" i="1"/>
  <c r="U141" i="1"/>
  <c r="S141" i="1" s="1"/>
  <c r="AI156" i="1"/>
  <c r="AI218" i="1"/>
  <c r="AI176" i="1"/>
  <c r="AI208" i="1"/>
  <c r="AI229" i="1"/>
  <c r="AI233" i="1"/>
  <c r="AI224" i="1"/>
  <c r="W121" i="1"/>
  <c r="W60" i="1"/>
  <c r="U37" i="1"/>
  <c r="S37" i="1" s="1"/>
  <c r="W143" i="1"/>
  <c r="W164" i="1"/>
  <c r="W38" i="1"/>
  <c r="W108" i="1"/>
  <c r="AI94" i="1"/>
  <c r="AI153" i="1"/>
  <c r="AI172" i="1"/>
  <c r="AI212" i="1"/>
  <c r="W84" i="1"/>
  <c r="AI155" i="1"/>
  <c r="W147" i="1"/>
  <c r="W135" i="1"/>
  <c r="W155" i="1"/>
  <c r="W116" i="1"/>
  <c r="AI121" i="1"/>
  <c r="W179" i="1"/>
  <c r="U176" i="1"/>
  <c r="S176" i="1" s="1"/>
  <c r="AI228" i="1"/>
  <c r="W219" i="1"/>
  <c r="W111" i="1"/>
  <c r="W123" i="1"/>
  <c r="W100" i="1"/>
  <c r="W172" i="1"/>
  <c r="U58" i="1"/>
  <c r="S58" i="1" s="1"/>
  <c r="AI58" i="1"/>
  <c r="U81" i="1"/>
  <c r="S81" i="1" s="1"/>
  <c r="U95" i="1"/>
  <c r="S95" i="1" s="1"/>
  <c r="AI62" i="1"/>
  <c r="U215" i="1"/>
  <c r="S215" i="1" s="1"/>
  <c r="AI215" i="1"/>
  <c r="W215" i="1"/>
  <c r="W52" i="1"/>
  <c r="AI145" i="1"/>
  <c r="W103" i="1"/>
  <c r="U66" i="1"/>
  <c r="S66" i="1" s="1"/>
  <c r="AI66" i="1"/>
  <c r="W24" i="1"/>
  <c r="W68" i="1"/>
  <c r="U17" i="1"/>
  <c r="S17" i="1" s="1"/>
  <c r="W81" i="1"/>
  <c r="W133" i="1"/>
  <c r="W66" i="1"/>
  <c r="U111" i="1"/>
  <c r="U96" i="1"/>
  <c r="S96" i="1" s="1"/>
  <c r="AI96" i="1"/>
  <c r="U123" i="1"/>
  <c r="S123" i="1" s="1"/>
  <c r="AI123" i="1"/>
  <c r="U151" i="1"/>
  <c r="S151" i="1" s="1"/>
  <c r="AI151" i="1"/>
  <c r="U221" i="1"/>
  <c r="S221" i="1" s="1"/>
  <c r="AI221" i="1"/>
  <c r="AI183" i="1"/>
  <c r="W160" i="1"/>
  <c r="W159" i="1"/>
  <c r="U73" i="1"/>
  <c r="S73" i="1" s="1"/>
  <c r="AI73" i="1"/>
  <c r="W20" i="1"/>
  <c r="W75" i="1"/>
  <c r="W58" i="1"/>
  <c r="U104" i="1"/>
  <c r="S104" i="1" s="1"/>
  <c r="AI104" i="1"/>
  <c r="W49" i="1"/>
  <c r="AI49" i="1"/>
  <c r="W73" i="1"/>
  <c r="W130" i="1"/>
  <c r="AI167" i="1"/>
  <c r="U120" i="1"/>
  <c r="S119" i="1" s="1"/>
  <c r="AI120" i="1"/>
  <c r="W36" i="1"/>
  <c r="W42" i="1"/>
  <c r="W120" i="1"/>
  <c r="W104" i="1"/>
  <c r="AI79" i="1"/>
  <c r="U112" i="1"/>
  <c r="AI112" i="1"/>
  <c r="U147" i="1"/>
  <c r="S147" i="1" s="1"/>
  <c r="AI147" i="1"/>
  <c r="AI14" i="1"/>
  <c r="U14" i="1"/>
  <c r="S14" i="1" s="1"/>
  <c r="AI18" i="1"/>
  <c r="U18" i="1"/>
  <c r="S18" i="1" s="1"/>
  <c r="AI22" i="1"/>
  <c r="U22" i="1"/>
  <c r="S22" i="1" s="1"/>
  <c r="AI19" i="1"/>
  <c r="U19" i="1"/>
  <c r="S19" i="1" s="1"/>
  <c r="AI35" i="1"/>
  <c r="U35" i="1"/>
  <c r="S35" i="1" s="1"/>
  <c r="AI52" i="1"/>
  <c r="U52" i="1"/>
  <c r="S52" i="1" s="1"/>
  <c r="W22" i="1"/>
  <c r="W35" i="1"/>
  <c r="AI46" i="1"/>
  <c r="U46" i="1"/>
  <c r="S46" i="1" s="1"/>
  <c r="W51" i="1"/>
  <c r="AI67" i="1"/>
  <c r="U67" i="1"/>
  <c r="S67" i="1" s="1"/>
  <c r="AI90" i="1"/>
  <c r="U90" i="1"/>
  <c r="S90" i="1" s="1"/>
  <c r="U117" i="1"/>
  <c r="S117" i="1" s="1"/>
  <c r="AI117" i="1"/>
  <c r="U113" i="1"/>
  <c r="S113" i="1" s="1"/>
  <c r="AI113" i="1"/>
  <c r="W117" i="1"/>
  <c r="AI222" i="1"/>
  <c r="U199" i="1"/>
  <c r="S199" i="1" s="1"/>
  <c r="W199" i="1"/>
  <c r="AI227" i="1"/>
  <c r="U204" i="1"/>
  <c r="S204" i="1" s="1"/>
  <c r="AI15" i="1"/>
  <c r="U15" i="1"/>
  <c r="S15" i="1" s="1"/>
  <c r="AI31" i="1"/>
  <c r="U31" i="1"/>
  <c r="S31" i="1" s="1"/>
  <c r="U50" i="1"/>
  <c r="S50" i="1" s="1"/>
  <c r="AI50" i="1"/>
  <c r="AI55" i="1"/>
  <c r="U55" i="1"/>
  <c r="S55" i="1" s="1"/>
  <c r="AI70" i="1"/>
  <c r="U70" i="1"/>
  <c r="S70" i="1" s="1"/>
  <c r="AI148" i="1"/>
  <c r="U148" i="1"/>
  <c r="S148" i="1" s="1"/>
  <c r="AI149" i="1"/>
  <c r="U216" i="1"/>
  <c r="S216" i="1" s="1"/>
  <c r="AI231" i="1"/>
  <c r="W216" i="1"/>
  <c r="AI27" i="1"/>
  <c r="U27" i="1"/>
  <c r="S27" i="1" s="1"/>
  <c r="AI43" i="1"/>
  <c r="U43" i="1"/>
  <c r="S43" i="1" s="1"/>
  <c r="W43" i="1"/>
  <c r="AI59" i="1"/>
  <c r="U59" i="1"/>
  <c r="S59" i="1" s="1"/>
  <c r="AI85" i="1"/>
  <c r="U85" i="1"/>
  <c r="S85" i="1" s="1"/>
  <c r="AI89" i="1"/>
  <c r="U89" i="1"/>
  <c r="S89" i="1" s="1"/>
  <c r="AI93" i="1"/>
  <c r="U93" i="1"/>
  <c r="S93" i="1" s="1"/>
  <c r="AI97" i="1"/>
  <c r="U97" i="1"/>
  <c r="S97" i="1" s="1"/>
  <c r="AI101" i="1"/>
  <c r="U101" i="1"/>
  <c r="S101" i="1" s="1"/>
  <c r="AI105" i="1"/>
  <c r="U105" i="1"/>
  <c r="S105" i="1" s="1"/>
  <c r="AI109" i="1"/>
  <c r="U109" i="1"/>
  <c r="S108" i="1" s="1"/>
  <c r="AI74" i="1"/>
  <c r="U74" i="1"/>
  <c r="S74" i="1" s="1"/>
  <c r="AI86" i="1"/>
  <c r="U86" i="1"/>
  <c r="S86" i="1" s="1"/>
  <c r="AI114" i="1"/>
  <c r="U114" i="1"/>
  <c r="S114" i="1" s="1"/>
  <c r="W105" i="1"/>
  <c r="AI124" i="1"/>
  <c r="U124" i="1"/>
  <c r="S124" i="1" s="1"/>
  <c r="AI128" i="1"/>
  <c r="U128" i="1"/>
  <c r="S128" i="1" s="1"/>
  <c r="AI132" i="1"/>
  <c r="U132" i="1"/>
  <c r="S132" i="1" s="1"/>
  <c r="AI136" i="1"/>
  <c r="U136" i="1"/>
  <c r="S136" i="1" s="1"/>
  <c r="AI140" i="1"/>
  <c r="U140" i="1"/>
  <c r="S140" i="1" s="1"/>
  <c r="AI144" i="1"/>
  <c r="U144" i="1"/>
  <c r="S144" i="1" s="1"/>
  <c r="W136" i="1"/>
  <c r="W132" i="1"/>
  <c r="U193" i="1"/>
  <c r="S193" i="1" s="1"/>
  <c r="AI216" i="1"/>
  <c r="U197" i="1"/>
  <c r="S197" i="1" s="1"/>
  <c r="AI220" i="1"/>
  <c r="W193" i="1"/>
  <c r="W204" i="1"/>
  <c r="AI34" i="1"/>
  <c r="U34" i="1"/>
  <c r="S34" i="1" s="1"/>
  <c r="AI23" i="1"/>
  <c r="U23" i="1"/>
  <c r="S23" i="1" s="1"/>
  <c r="AI39" i="1"/>
  <c r="U39" i="1"/>
  <c r="S39" i="1" s="1"/>
  <c r="W27" i="1"/>
  <c r="AI51" i="1"/>
  <c r="U51" i="1"/>
  <c r="S51" i="1" s="1"/>
  <c r="W18" i="1"/>
  <c r="W19" i="1"/>
  <c r="AI48" i="1"/>
  <c r="AI63" i="1"/>
  <c r="U63" i="1"/>
  <c r="S63" i="1" s="1"/>
  <c r="AI47" i="1"/>
  <c r="U47" i="1"/>
  <c r="S47" i="1" s="1"/>
  <c r="W67" i="1"/>
  <c r="AI78" i="1"/>
  <c r="U78" i="1"/>
  <c r="S78" i="1" s="1"/>
  <c r="W78" i="1"/>
  <c r="W85" i="1"/>
  <c r="W101" i="1"/>
  <c r="W114" i="1"/>
  <c r="W113" i="1"/>
  <c r="AI146" i="1"/>
  <c r="S111" i="1" l="1"/>
  <c r="B3" i="6"/>
  <c r="F3" i="6" s="1"/>
  <c r="B4" i="6"/>
  <c r="H4" i="6" s="1"/>
  <c r="B5" i="6"/>
  <c r="G5" i="6" s="1"/>
  <c r="B6" i="6"/>
  <c r="F6" i="6" s="1"/>
  <c r="B7" i="6"/>
  <c r="F7" i="6" s="1"/>
  <c r="F4" i="6" l="1"/>
  <c r="G4" i="6"/>
  <c r="I7" i="6"/>
  <c r="F5" i="6"/>
  <c r="G6" i="6"/>
  <c r="I6" i="6"/>
  <c r="H5" i="6"/>
  <c r="I5" i="6"/>
  <c r="I4" i="6"/>
  <c r="I3" i="6"/>
  <c r="H7" i="6"/>
  <c r="G7" i="6"/>
  <c r="H6" i="6"/>
  <c r="K13" i="1" l="1"/>
  <c r="L13" i="1"/>
  <c r="M13" i="1"/>
  <c r="N13" i="1" s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J7" i="1" s="1"/>
  <c r="M26" i="5"/>
  <c r="AH16" i="1" l="1"/>
  <c r="AH17" i="1"/>
  <c r="AH18" i="1"/>
  <c r="AH21" i="1"/>
  <c r="AH22" i="1"/>
  <c r="AH23" i="1"/>
  <c r="AH24" i="1"/>
  <c r="AH29" i="1"/>
  <c r="AH35" i="1"/>
  <c r="AH36" i="1"/>
  <c r="AH37" i="1"/>
  <c r="AH38" i="1"/>
  <c r="AH39" i="1"/>
  <c r="AH42" i="1"/>
  <c r="AH54" i="1"/>
  <c r="AH55" i="1"/>
  <c r="AH61" i="1"/>
  <c r="AH65" i="1"/>
  <c r="AH66" i="1"/>
  <c r="AH67" i="1"/>
  <c r="AH68" i="1"/>
  <c r="AH71" i="1"/>
  <c r="AH79" i="1"/>
  <c r="AH80" i="1"/>
  <c r="AH81" i="1"/>
  <c r="AH82" i="1"/>
  <c r="AH83" i="1"/>
  <c r="AH84" i="1"/>
  <c r="AH85" i="1"/>
  <c r="AH86" i="1"/>
  <c r="AH93" i="1"/>
  <c r="AH94" i="1"/>
  <c r="AH95" i="1"/>
  <c r="AH96" i="1"/>
  <c r="AH97" i="1"/>
  <c r="AH98" i="1"/>
  <c r="AH100" i="1"/>
  <c r="AH101" i="1"/>
  <c r="AH107" i="1"/>
  <c r="AH108" i="1"/>
  <c r="AH109" i="1"/>
  <c r="AH118" i="1"/>
  <c r="AH119" i="1"/>
  <c r="AH120" i="1"/>
  <c r="AH121" i="1"/>
  <c r="AH124" i="1"/>
  <c r="AH137" i="1"/>
  <c r="AH154" i="1"/>
  <c r="AH164" i="1"/>
  <c r="AH179" i="1"/>
  <c r="AH187" i="1"/>
  <c r="AH194" i="1"/>
  <c r="AH207" i="1"/>
  <c r="AH212" i="1"/>
  <c r="AH226" i="1"/>
  <c r="AH216" i="1"/>
  <c r="AH230" i="1"/>
  <c r="AH19" i="1"/>
  <c r="AH20" i="1"/>
  <c r="AH25" i="1"/>
  <c r="AH26" i="1"/>
  <c r="AH30" i="1"/>
  <c r="AH40" i="1"/>
  <c r="AH43" i="1"/>
  <c r="AH44" i="1"/>
  <c r="AH62" i="1"/>
  <c r="AH63" i="1"/>
  <c r="AH72" i="1"/>
  <c r="AH73" i="1"/>
  <c r="AH74" i="1"/>
  <c r="AH75" i="1"/>
  <c r="AH87" i="1"/>
  <c r="AH88" i="1"/>
  <c r="AH89" i="1"/>
  <c r="AH90" i="1"/>
  <c r="AH102" i="1"/>
  <c r="AH103" i="1"/>
  <c r="AH104" i="1"/>
  <c r="AH105" i="1"/>
  <c r="AH106" i="1"/>
  <c r="AH110" i="1"/>
  <c r="AH111" i="1"/>
  <c r="AH112" i="1"/>
  <c r="AH113" i="1"/>
  <c r="AH114" i="1"/>
  <c r="AH127" i="1"/>
  <c r="AH128" i="1"/>
  <c r="AH138" i="1"/>
  <c r="AH146" i="1"/>
  <c r="AH147" i="1"/>
  <c r="AH148" i="1"/>
  <c r="AH149" i="1"/>
  <c r="AH156" i="1"/>
  <c r="AH157" i="1"/>
  <c r="AH158" i="1"/>
  <c r="AH159" i="1"/>
  <c r="AH160" i="1"/>
  <c r="AH166" i="1"/>
  <c r="AH167" i="1"/>
  <c r="AH168" i="1"/>
  <c r="AH169" i="1"/>
  <c r="AH175" i="1"/>
  <c r="AH176" i="1"/>
  <c r="AH177" i="1"/>
  <c r="AH181" i="1"/>
  <c r="AH189" i="1"/>
  <c r="AH190" i="1"/>
  <c r="AH196" i="1"/>
  <c r="AH210" i="1"/>
  <c r="AH215" i="1"/>
  <c r="AH218" i="1"/>
  <c r="AH232" i="1"/>
  <c r="AH27" i="1"/>
  <c r="AH28" i="1"/>
  <c r="AH31" i="1"/>
  <c r="AH32" i="1"/>
  <c r="AH45" i="1"/>
  <c r="AH46" i="1"/>
  <c r="AH47" i="1"/>
  <c r="AH48" i="1"/>
  <c r="AH49" i="1"/>
  <c r="AH50" i="1"/>
  <c r="AH51" i="1"/>
  <c r="AH52" i="1"/>
  <c r="AH56" i="1"/>
  <c r="AH69" i="1"/>
  <c r="AH70" i="1"/>
  <c r="AH76" i="1"/>
  <c r="AH77" i="1"/>
  <c r="AH91" i="1"/>
  <c r="AH129" i="1"/>
  <c r="AH130" i="1"/>
  <c r="AH139" i="1"/>
  <c r="AH161" i="1"/>
  <c r="AH170" i="1"/>
  <c r="AH171" i="1"/>
  <c r="AH172" i="1"/>
  <c r="AH178" i="1"/>
  <c r="AH191" i="1"/>
  <c r="AH192" i="1"/>
  <c r="AH197" i="1"/>
  <c r="AH198" i="1"/>
  <c r="AH199" i="1"/>
  <c r="AH200" i="1"/>
  <c r="AH201" i="1"/>
  <c r="AH202" i="1"/>
  <c r="AH219" i="1"/>
  <c r="AH220" i="1"/>
  <c r="AH221" i="1"/>
  <c r="AH222" i="1"/>
  <c r="AH234" i="1"/>
  <c r="AH182" i="1"/>
  <c r="AH184" i="1"/>
  <c r="AH203" i="1"/>
  <c r="AH205" i="1"/>
  <c r="AH223" i="1"/>
  <c r="AH225" i="1"/>
  <c r="AH123" i="1"/>
  <c r="AH136" i="1"/>
  <c r="AH145" i="1"/>
  <c r="AH163" i="1"/>
  <c r="AH174" i="1"/>
  <c r="AH186" i="1"/>
  <c r="AH193" i="1"/>
  <c r="AH206" i="1"/>
  <c r="AH209" i="1"/>
  <c r="AH214" i="1"/>
  <c r="AH228" i="1"/>
  <c r="AH229" i="1"/>
  <c r="AH233" i="1"/>
  <c r="AH14" i="1"/>
  <c r="AH15" i="1"/>
  <c r="AH33" i="1"/>
  <c r="AH34" i="1"/>
  <c r="AH41" i="1"/>
  <c r="AH53" i="1"/>
  <c r="AH57" i="1"/>
  <c r="AH58" i="1"/>
  <c r="AH59" i="1"/>
  <c r="AH60" i="1"/>
  <c r="AH64" i="1"/>
  <c r="AH78" i="1"/>
  <c r="AH92" i="1"/>
  <c r="AH99" i="1"/>
  <c r="AH115" i="1"/>
  <c r="AH116" i="1"/>
  <c r="AH117" i="1"/>
  <c r="AH126" i="1"/>
  <c r="AH131" i="1"/>
  <c r="AH132" i="1"/>
  <c r="AH133" i="1"/>
  <c r="AH134" i="1"/>
  <c r="AH135" i="1"/>
  <c r="AH140" i="1"/>
  <c r="AH141" i="1"/>
  <c r="AH142" i="1"/>
  <c r="AH143" i="1"/>
  <c r="AH150" i="1"/>
  <c r="AH151" i="1"/>
  <c r="AH152" i="1"/>
  <c r="AH153" i="1"/>
  <c r="AH162" i="1"/>
  <c r="AH173" i="1"/>
  <c r="AH183" i="1"/>
  <c r="AH185" i="1"/>
  <c r="AH204" i="1"/>
  <c r="AH211" i="1"/>
  <c r="AH224" i="1"/>
  <c r="AH122" i="1"/>
  <c r="AH125" i="1"/>
  <c r="AH144" i="1"/>
  <c r="AH155" i="1"/>
  <c r="AH165" i="1"/>
  <c r="AH180" i="1"/>
  <c r="AH188" i="1"/>
  <c r="AH195" i="1"/>
  <c r="AH208" i="1"/>
  <c r="AH213" i="1"/>
  <c r="AH227" i="1"/>
  <c r="AH217" i="1"/>
  <c r="AH231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3" i="6" s="1"/>
  <c r="G156" i="4"/>
  <c r="H3" i="6" s="1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<sst xmlns="http://schemas.openxmlformats.org/spreadsheetml/2006/main" count="2325" uniqueCount="769">
  <si>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</si>
  <si>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</si>
  <si>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</si>
  <si>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</si>
  <si>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</si>
  <si>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</si>
  <si>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</si>
  <si>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</si>
  <si>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</si>
  <si>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</si>
  <si>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</si>
  <si>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</si>
  <si>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</si>
  <si>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</si>
  <si>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</si>
  <si>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</si>
  <si>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</si>
  <si>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</si>
  <si>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</si>
  <si>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</si>
  <si>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</si>
  <si>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</si>
  <si>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</si>
  <si>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</si>
  <si>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</si>
  <si>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</si>
  <si>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</si>
  <si>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</si>
  <si>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</si>
  <si>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</si>
  <si>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</si>
  <si>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</si>
  <si>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</si>
  <si>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</si>
  <si>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</si>
  <si>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</si>
  <si>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</si>
  <si>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</si>
  <si>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</si>
  <si>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</si>
  <si>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</si>
  <si>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</si>
  <si>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</si>
  <si>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</si>
  <si>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</si>
  <si>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</si>
  <si>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</si>
  <si>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</si>
  <si>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</si>
  <si>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</si>
  <si>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</si>
  <si>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</si>
  <si>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</si>
  <si>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</si>
  <si>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</si>
  <si>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</si>
  <si>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</si>
  <si>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</si>
  <si>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</si>
  <si>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</si>
  <si>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</si>
  <si>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</si>
  <si>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</si>
  <si>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</si>
  <si>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</si>
  <si>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</si>
  <si>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</si>
  <si>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</si>
  <si>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</si>
  <si>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</si>
  <si>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</si>
  <si>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</si>
  <si>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</si>
  <si>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</si>
  <si>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</si>
  <si>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</si>
  <si>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</si>
  <si>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</si>
  <si>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</si>
  <si>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</si>
  <si>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</si>
  <si>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</si>
  <si>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</si>
  <si>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</si>
  <si>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</si>
  <si>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</si>
  <si>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</si>
  <si>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</si>
  <si>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</si>
  <si>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</si>
  <si>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</si>
  <si>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</si>
  <si>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</si>
  <si>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</si>
  <si>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</si>
  <si>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</si>
  <si>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</si>
  <si>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</si>
  <si>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</si>
  <si>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</si>
  <si>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</si>
  <si>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</si>
  <si>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</si>
  <si>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</si>
  <si>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</si>
  <si>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</si>
  <si>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</si>
  <si>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</si>
  <si>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</si>
  <si>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</si>
  <si>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</si>
  <si>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</si>
  <si>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</si>
  <si>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</si>
  <si>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</si>
  <si>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</si>
  <si>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</si>
  <si>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</si>
  <si>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</si>
  <si>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</si>
  <si>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</si>
  <si>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</si>
  <si>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</si>
  <si>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</si>
  <si>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</si>
  <si>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</si>
  <si>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</si>
  <si>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</si>
  <si>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</si>
  <si>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</si>
  <si>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</si>
  <si>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</si>
  <si>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204:232994</t>
  </si>
  <si>
    <t>204:449</t>
  </si>
  <si>
    <t>204:149</t>
  </si>
  <si>
    <t>ISHMAEL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</si>
  <si>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</si>
  <si>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</si>
  <si>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</si>
  <si>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</si>
  <si>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</si>
  <si>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</si>
  <si>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rtdc.l.rtdc.4038:itc</t>
  </si>
  <si>
    <t>204:156</t>
  </si>
  <si>
    <t>204:451</t>
  </si>
  <si>
    <t>204:154</t>
  </si>
  <si>
    <t>204:152</t>
  </si>
  <si>
    <t>rtdc.l.rtdc.4009:itc</t>
  </si>
  <si>
    <t>CHANDLER</t>
  </si>
  <si>
    <t>204:471</t>
  </si>
  <si>
    <t>rtdc.l.rtdc.4002:itc</t>
  </si>
  <si>
    <t>:.+((SYSTEM_STATE.+slice.+state.+changed )|(ment ac)|(system.+state.+changed )|(\|lc)|(penalty)|(\[timeout)|(PRM\|1\|D)|(kpr)|(kdp))</t>
  </si>
  <si>
    <t>204:145</t>
  </si>
  <si>
    <t>204:447</t>
  </si>
  <si>
    <t>204:160</t>
  </si>
  <si>
    <t>204:233293</t>
  </si>
  <si>
    <t>204:460</t>
  </si>
  <si>
    <t>rtdc.l.rtdc.4004:itc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</si>
  <si>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</si>
  <si>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</si>
  <si>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</si>
  <si>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</si>
  <si>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</si>
  <si>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</si>
  <si>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</si>
  <si>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</si>
  <si>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</si>
  <si>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</si>
  <si>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</si>
  <si>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</si>
  <si>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</si>
  <si>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</si>
  <si>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</si>
  <si>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</si>
  <si>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</si>
  <si>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</si>
  <si>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</si>
  <si>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</si>
  <si>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</si>
  <si>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</si>
  <si>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</si>
  <si>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</si>
  <si>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</si>
  <si>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</si>
  <si>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</si>
  <si>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</si>
  <si>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</si>
  <si>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</si>
  <si>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</si>
  <si>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</si>
  <si>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</si>
  <si>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</si>
  <si>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</si>
  <si>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204:232980</t>
  </si>
  <si>
    <t>204:232977</t>
  </si>
  <si>
    <t>204:438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</si>
  <si>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</si>
  <si>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</si>
  <si>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</si>
  <si>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</si>
  <si>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</si>
  <si>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</si>
  <si>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204:232971</t>
  </si>
  <si>
    <t>204:458</t>
  </si>
  <si>
    <t>204:466</t>
  </si>
  <si>
    <t>204:233297</t>
  </si>
  <si>
    <t>204:442</t>
  </si>
  <si>
    <t>Trip Number</t>
  </si>
  <si>
    <t>rtdc.l.rtdc.4011:itc</t>
  </si>
  <si>
    <t>204:233314</t>
  </si>
  <si>
    <t>204:163</t>
  </si>
  <si>
    <t>204:232996</t>
  </si>
  <si>
    <t>204:233307</t>
  </si>
  <si>
    <t>HILLS</t>
  </si>
  <si>
    <t>204:233302</t>
  </si>
  <si>
    <t>204:138</t>
  </si>
  <si>
    <t>204:141</t>
  </si>
  <si>
    <t>204:150</t>
  </si>
  <si>
    <t>204:233304</t>
  </si>
  <si>
    <t>204:233317</t>
  </si>
  <si>
    <t>rtdc.l.rtdc.4043:itc</t>
  </si>
  <si>
    <t>rtdc.l.rtdc.4001:itc</t>
  </si>
  <si>
    <t>rtdc.l.rtdc.4044:itc</t>
  </si>
  <si>
    <t>Reactive Warning (1)</t>
  </si>
  <si>
    <t>204:233280</t>
  </si>
  <si>
    <t>204:233315</t>
  </si>
  <si>
    <t>204:233312</t>
  </si>
  <si>
    <t>204:232998</t>
  </si>
  <si>
    <t>204:136</t>
  </si>
  <si>
    <t>204:464</t>
  </si>
  <si>
    <t>204:233000</t>
  </si>
  <si>
    <t>204:232986</t>
  </si>
  <si>
    <t>204:233316</t>
  </si>
  <si>
    <t>Y</t>
  </si>
  <si>
    <t>KILLION</t>
  </si>
  <si>
    <t>BRUDER</t>
  </si>
  <si>
    <t>204:233301</t>
  </si>
  <si>
    <t>204:233295</t>
  </si>
  <si>
    <t>204:233310</t>
  </si>
  <si>
    <t>204:233299</t>
  </si>
  <si>
    <t>rtdc.l.rtdc.4025:itc</t>
  </si>
  <si>
    <t>STARKS</t>
  </si>
  <si>
    <t>rtdc.l.rtdc.4026:itc</t>
  </si>
  <si>
    <t>BARTLETT</t>
  </si>
  <si>
    <t>YOUNG</t>
  </si>
  <si>
    <t>COOLAHAN</t>
  </si>
  <si>
    <t>204:232979</t>
  </si>
  <si>
    <t>204:462</t>
  </si>
  <si>
    <t>204:232991</t>
  </si>
  <si>
    <t>204:232984</t>
  </si>
  <si>
    <t>300:58613</t>
  </si>
  <si>
    <t>204:972</t>
  </si>
  <si>
    <t>204:232978</t>
  </si>
  <si>
    <t>204:233306</t>
  </si>
  <si>
    <t>204:446</t>
  </si>
  <si>
    <t>204:233289</t>
  </si>
  <si>
    <t>204:233305</t>
  </si>
  <si>
    <t>204:233001</t>
  </si>
  <si>
    <t>204:232975</t>
  </si>
  <si>
    <t>204:232983</t>
  </si>
  <si>
    <t>204:484</t>
  </si>
  <si>
    <t>204:178</t>
  </si>
  <si>
    <t>204:165</t>
  </si>
  <si>
    <t>204:435</t>
  </si>
  <si>
    <t>DE.1.0.8.0.ENG1</t>
  </si>
  <si>
    <t>300:58931</t>
  </si>
  <si>
    <t>300:58611</t>
  </si>
  <si>
    <t>204:689</t>
  </si>
  <si>
    <t>rtdc.l.rtdc.4012:itc</t>
  </si>
  <si>
    <t>rtdc.l.rtdc.4051:itc</t>
  </si>
  <si>
    <t>BRANNON</t>
  </si>
  <si>
    <t>ROCHA</t>
  </si>
  <si>
    <t>rtdc.l.rtdc.4052:itc</t>
  </si>
  <si>
    <t>Time (US/Mountain)</t>
  </si>
  <si>
    <t>Source</t>
  </si>
  <si>
    <t>Employee Identifier</t>
  </si>
  <si>
    <t>Employee Last Name</t>
  </si>
  <si>
    <t>HELVIE</t>
  </si>
  <si>
    <t>SWITCH UNKNOWN</t>
  </si>
  <si>
    <t>Track device (7)</t>
  </si>
  <si>
    <t>Wi-MAX outage</t>
  </si>
  <si>
    <t>GEBRETEKLE</t>
  </si>
  <si>
    <t>rtdc.l.rtdc.4041:itc</t>
  </si>
  <si>
    <t>rtdc.l.rtdc.4010:itc</t>
  </si>
  <si>
    <t>SANTIZO</t>
  </si>
  <si>
    <t>rtdc.l.rtdc.4042:itc</t>
  </si>
  <si>
    <t>CRAYTON</t>
  </si>
  <si>
    <t>STURGEON</t>
  </si>
  <si>
    <t>rtdc.l.rtdc.4022:itc</t>
  </si>
  <si>
    <t>STORY</t>
  </si>
  <si>
    <t>SMITH</t>
  </si>
  <si>
    <t>309-06</t>
  </si>
  <si>
    <t>242-06</t>
  </si>
  <si>
    <t>67-06</t>
  </si>
  <si>
    <t>311-06</t>
  </si>
  <si>
    <t>69-06</t>
  </si>
  <si>
    <t>244-06</t>
  </si>
  <si>
    <t>313-06</t>
  </si>
  <si>
    <t>315-06</t>
  </si>
  <si>
    <t>204:750</t>
  </si>
  <si>
    <t>204:233276</t>
  </si>
  <si>
    <t>204:433</t>
  </si>
  <si>
    <t>204:134</t>
  </si>
  <si>
    <t>204:232982</t>
  </si>
  <si>
    <t>204:232992</t>
  </si>
  <si>
    <t>204:473</t>
  </si>
  <si>
    <t>204:233013</t>
  </si>
  <si>
    <t>204:233318</t>
  </si>
  <si>
    <t>204:174</t>
  </si>
  <si>
    <t>204:233010</t>
  </si>
  <si>
    <t>204:233330</t>
  </si>
  <si>
    <t>204:181</t>
  </si>
  <si>
    <t>204:475</t>
  </si>
  <si>
    <t>204:232993</t>
  </si>
  <si>
    <t>204:139</t>
  </si>
  <si>
    <t>204:233309</t>
  </si>
  <si>
    <t>204:232981</t>
  </si>
  <si>
    <t>204:482</t>
  </si>
  <si>
    <t>204:233331</t>
  </si>
  <si>
    <t>204:233008</t>
  </si>
  <si>
    <t>204:232964</t>
  </si>
  <si>
    <t>204:127</t>
  </si>
  <si>
    <t>204:233319</t>
  </si>
  <si>
    <t>204:233002</t>
  </si>
  <si>
    <t>204:161</t>
  </si>
  <si>
    <t>204:233303</t>
  </si>
  <si>
    <t>204:232955</t>
  </si>
  <si>
    <t>300:23312</t>
  </si>
  <si>
    <t>300:22829</t>
  </si>
  <si>
    <t>204:10561</t>
  </si>
  <si>
    <t>204:128118</t>
  </si>
  <si>
    <t>204:127845</t>
  </si>
  <si>
    <t>204:10325</t>
  </si>
  <si>
    <t>300:58617</t>
  </si>
  <si>
    <t>204:696</t>
  </si>
  <si>
    <t>204:1013</t>
  </si>
  <si>
    <t>204:694</t>
  </si>
  <si>
    <t>300:58922</t>
  </si>
  <si>
    <t>204:976</t>
  </si>
  <si>
    <t>300:58608</t>
  </si>
  <si>
    <t>204:743</t>
  </si>
  <si>
    <t>204:964</t>
  </si>
  <si>
    <t>300:58933</t>
  </si>
  <si>
    <t>300:58638</t>
  </si>
  <si>
    <t>Data.Current Information Milepost</t>
  </si>
  <si>
    <t>Stopped Distance Short of Target (ft)</t>
  </si>
  <si>
    <t>101-07</t>
  </si>
  <si>
    <t>MAELZER</t>
  </si>
  <si>
    <t>103-07</t>
  </si>
  <si>
    <t>102-07</t>
  </si>
  <si>
    <t>105-07</t>
  </si>
  <si>
    <t>BEAM</t>
  </si>
  <si>
    <t>rtdc.l.rtdc.4046:itc</t>
  </si>
  <si>
    <t>107-07</t>
  </si>
  <si>
    <t>104-07</t>
  </si>
  <si>
    <t>109-07</t>
  </si>
  <si>
    <t>111-07</t>
  </si>
  <si>
    <t>106-07</t>
  </si>
  <si>
    <t>113-07</t>
  </si>
  <si>
    <t>801-07</t>
  </si>
  <si>
    <t>800-07</t>
  </si>
  <si>
    <t>rtdc.l.rtdc.4045:itc</t>
  </si>
  <si>
    <t>108-07</t>
  </si>
  <si>
    <t>115-07</t>
  </si>
  <si>
    <t>110-07</t>
  </si>
  <si>
    <t>117-07</t>
  </si>
  <si>
    <t>112-07</t>
  </si>
  <si>
    <t>119-07</t>
  </si>
  <si>
    <t>STRICKLAND</t>
  </si>
  <si>
    <t>114-07</t>
  </si>
  <si>
    <t>121-07</t>
  </si>
  <si>
    <t>802-07</t>
  </si>
  <si>
    <t>803-07</t>
  </si>
  <si>
    <t>116-07</t>
  </si>
  <si>
    <t>123-07</t>
  </si>
  <si>
    <t>118-07</t>
  </si>
  <si>
    <t>804-07</t>
  </si>
  <si>
    <t>125-07</t>
  </si>
  <si>
    <t>805-07</t>
  </si>
  <si>
    <t>120-07</t>
  </si>
  <si>
    <t>122-07</t>
  </si>
  <si>
    <t>127-07</t>
  </si>
  <si>
    <t>806-07</t>
  </si>
  <si>
    <t>129-07</t>
  </si>
  <si>
    <t>124-07</t>
  </si>
  <si>
    <t>807-07</t>
  </si>
  <si>
    <t>131-07</t>
  </si>
  <si>
    <t>809-07</t>
  </si>
  <si>
    <t>808-07</t>
  </si>
  <si>
    <t>133-07</t>
  </si>
  <si>
    <t>126-07</t>
  </si>
  <si>
    <t>128-07</t>
  </si>
  <si>
    <t>135-07</t>
  </si>
  <si>
    <t>130-07</t>
  </si>
  <si>
    <t>810-07</t>
  </si>
  <si>
    <t>137-07</t>
  </si>
  <si>
    <t>811-07</t>
  </si>
  <si>
    <t>132-07</t>
  </si>
  <si>
    <t>139-07</t>
  </si>
  <si>
    <t>903-07</t>
  </si>
  <si>
    <t>134-07</t>
  </si>
  <si>
    <t>136-07</t>
  </si>
  <si>
    <t>141-07</t>
  </si>
  <si>
    <t>812-07</t>
  </si>
  <si>
    <t>143-07</t>
  </si>
  <si>
    <t>138-07</t>
  </si>
  <si>
    <t>50-07</t>
  </si>
  <si>
    <t>ARNOLD</t>
  </si>
  <si>
    <t>145-07</t>
  </si>
  <si>
    <t>140-07</t>
  </si>
  <si>
    <t>813-07</t>
  </si>
  <si>
    <t>147-07</t>
  </si>
  <si>
    <t>142-07</t>
  </si>
  <si>
    <t>51-07</t>
  </si>
  <si>
    <t>814-07</t>
  </si>
  <si>
    <t>149-07</t>
  </si>
  <si>
    <t>144-07</t>
  </si>
  <si>
    <t>151-07</t>
  </si>
  <si>
    <t>146-07</t>
  </si>
  <si>
    <t>153-07</t>
  </si>
  <si>
    <t>815-07</t>
  </si>
  <si>
    <t>148-07</t>
  </si>
  <si>
    <t>54-07</t>
  </si>
  <si>
    <t>155-07</t>
  </si>
  <si>
    <t>150-07</t>
  </si>
  <si>
    <t>816-07</t>
  </si>
  <si>
    <t>157-07</t>
  </si>
  <si>
    <t>152-07</t>
  </si>
  <si>
    <t>55-07</t>
  </si>
  <si>
    <t>159-07</t>
  </si>
  <si>
    <t>161-07</t>
  </si>
  <si>
    <t>154-07</t>
  </si>
  <si>
    <t>817-07</t>
  </si>
  <si>
    <t>156-07</t>
  </si>
  <si>
    <t>163-07</t>
  </si>
  <si>
    <t>158-07</t>
  </si>
  <si>
    <t>818-07</t>
  </si>
  <si>
    <t>165-07</t>
  </si>
  <si>
    <t>160-07</t>
  </si>
  <si>
    <t>167-07</t>
  </si>
  <si>
    <t>162-07</t>
  </si>
  <si>
    <t>169-07</t>
  </si>
  <si>
    <t>MAHAN</t>
  </si>
  <si>
    <t>819-07</t>
  </si>
  <si>
    <t>171-07</t>
  </si>
  <si>
    <t>DE LA ROSA</t>
  </si>
  <si>
    <t>164-07</t>
  </si>
  <si>
    <t>166-07</t>
  </si>
  <si>
    <t>173-07</t>
  </si>
  <si>
    <t>820-07</t>
  </si>
  <si>
    <t>168-07</t>
  </si>
  <si>
    <t>60-07</t>
  </si>
  <si>
    <t>175-07</t>
  </si>
  <si>
    <t>170-07</t>
  </si>
  <si>
    <t>177-07</t>
  </si>
  <si>
    <t>821-07</t>
  </si>
  <si>
    <t>MOSES</t>
  </si>
  <si>
    <t>172-07</t>
  </si>
  <si>
    <t>179-07</t>
  </si>
  <si>
    <t>174-07</t>
  </si>
  <si>
    <t>181-07</t>
  </si>
  <si>
    <t>176-07</t>
  </si>
  <si>
    <t>822-07</t>
  </si>
  <si>
    <t>183-07</t>
  </si>
  <si>
    <t>178-07</t>
  </si>
  <si>
    <t>185-07</t>
  </si>
  <si>
    <t>180-07</t>
  </si>
  <si>
    <t>823-07</t>
  </si>
  <si>
    <t>187-07</t>
  </si>
  <si>
    <t>182-07</t>
  </si>
  <si>
    <t>189-07</t>
  </si>
  <si>
    <t>824-07</t>
  </si>
  <si>
    <t>184-07</t>
  </si>
  <si>
    <t>191-07</t>
  </si>
  <si>
    <t>186-07</t>
  </si>
  <si>
    <t>193-07</t>
  </si>
  <si>
    <t>825-07</t>
  </si>
  <si>
    <t>188-07</t>
  </si>
  <si>
    <t>904-07</t>
  </si>
  <si>
    <t>LEVERE</t>
  </si>
  <si>
    <t>190-07</t>
  </si>
  <si>
    <t>195-07</t>
  </si>
  <si>
    <t>826-07</t>
  </si>
  <si>
    <t>197-07</t>
  </si>
  <si>
    <t>827-07</t>
  </si>
  <si>
    <t>192-07</t>
  </si>
  <si>
    <t>199-07</t>
  </si>
  <si>
    <t>194-07</t>
  </si>
  <si>
    <t>828-07</t>
  </si>
  <si>
    <t>201-07</t>
  </si>
  <si>
    <t>196-07</t>
  </si>
  <si>
    <t>829-07</t>
  </si>
  <si>
    <t>203-07</t>
  </si>
  <si>
    <t>198-07</t>
  </si>
  <si>
    <t>830-07</t>
  </si>
  <si>
    <t>205-07</t>
  </si>
  <si>
    <t>831-07</t>
  </si>
  <si>
    <t>200-07</t>
  </si>
  <si>
    <t>207-07</t>
  </si>
  <si>
    <t>202-07</t>
  </si>
  <si>
    <t>832-07</t>
  </si>
  <si>
    <t>204-07</t>
  </si>
  <si>
    <t>833-07</t>
  </si>
  <si>
    <t>209-07</t>
  </si>
  <si>
    <t>52-07</t>
  </si>
  <si>
    <t>CUSHING</t>
  </si>
  <si>
    <t>211-07</t>
  </si>
  <si>
    <t>206-07</t>
  </si>
  <si>
    <t>834-07</t>
  </si>
  <si>
    <t>213-07</t>
  </si>
  <si>
    <t>835-07</t>
  </si>
  <si>
    <t>208-07</t>
  </si>
  <si>
    <t>215-07</t>
  </si>
  <si>
    <t>58-07</t>
  </si>
  <si>
    <t>210-07</t>
  </si>
  <si>
    <t>836-07</t>
  </si>
  <si>
    <t>217-07</t>
  </si>
  <si>
    <t>837-07</t>
  </si>
  <si>
    <t>212-07</t>
  </si>
  <si>
    <t>219-07</t>
  </si>
  <si>
    <t>rtdc.l.rtdc.4003:itc</t>
  </si>
  <si>
    <t>64-07</t>
  </si>
  <si>
    <t>214-07</t>
  </si>
  <si>
    <t>838-07</t>
  </si>
  <si>
    <t>303-07</t>
  </si>
  <si>
    <t>839-07</t>
  </si>
  <si>
    <t>216-07</t>
  </si>
  <si>
    <t>221-07</t>
  </si>
  <si>
    <t>218-07</t>
  </si>
  <si>
    <t>906-07</t>
  </si>
  <si>
    <t>841-07</t>
  </si>
  <si>
    <t>305-07</t>
  </si>
  <si>
    <t>223-07</t>
  </si>
  <si>
    <t>220-07</t>
  </si>
  <si>
    <t>840-07</t>
  </si>
  <si>
    <t>307-07</t>
  </si>
  <si>
    <t>222-07</t>
  </si>
  <si>
    <t>225-07</t>
  </si>
  <si>
    <t>66-07</t>
  </si>
  <si>
    <t>843-07</t>
  </si>
  <si>
    <t>224-07</t>
  </si>
  <si>
    <t>227-07</t>
  </si>
  <si>
    <t>842-07</t>
  </si>
  <si>
    <t>226-07</t>
  </si>
  <si>
    <t>229-07</t>
  </si>
  <si>
    <t>845-07</t>
  </si>
  <si>
    <t>231-07</t>
  </si>
  <si>
    <t>228-07</t>
  </si>
  <si>
    <t>844-07</t>
  </si>
  <si>
    <t>230-07</t>
  </si>
  <si>
    <t>233-07</t>
  </si>
  <si>
    <t>847-07</t>
  </si>
  <si>
    <t>232-07</t>
  </si>
  <si>
    <t>235-07</t>
  </si>
  <si>
    <t>908-07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</si>
  <si>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</si>
  <si>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</si>
  <si>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</si>
  <si>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</si>
  <si>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</si>
  <si>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</si>
  <si>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</si>
  <si>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</si>
  <si>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</si>
  <si>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</si>
  <si>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</si>
  <si>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</si>
  <si>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</si>
  <si>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</si>
  <si>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Mostly Cloudy</t>
  </si>
  <si>
    <t>Partly Cloudy</t>
  </si>
  <si>
    <t>204:754</t>
  </si>
  <si>
    <t>204:232675</t>
  </si>
  <si>
    <t>204:668</t>
  </si>
  <si>
    <t>204:233362</t>
  </si>
  <si>
    <t>204:232696</t>
  </si>
  <si>
    <t>204:125</t>
  </si>
  <si>
    <t>204:1156</t>
  </si>
  <si>
    <t>204:351</t>
  </si>
  <si>
    <t>204:233308</t>
  </si>
  <si>
    <t>204:746</t>
  </si>
  <si>
    <t>204:233376</t>
  </si>
  <si>
    <t>204:233076</t>
  </si>
  <si>
    <t>204:172</t>
  </si>
  <si>
    <t>204:233332</t>
  </si>
  <si>
    <t>204:233015</t>
  </si>
  <si>
    <t>204:233321</t>
  </si>
  <si>
    <t>204:233021</t>
  </si>
  <si>
    <t>204:232985</t>
  </si>
  <si>
    <t>204:238</t>
  </si>
  <si>
    <t>204:469</t>
  </si>
  <si>
    <t>204:232967</t>
  </si>
  <si>
    <t>204:537</t>
  </si>
  <si>
    <t>204:129</t>
  </si>
  <si>
    <t>204:233298</t>
  </si>
  <si>
    <t>204:233327</t>
  </si>
  <si>
    <t>204:232989</t>
  </si>
  <si>
    <t>204:198</t>
  </si>
  <si>
    <t>204:233266</t>
  </si>
  <si>
    <t>204:232940</t>
  </si>
  <si>
    <t>204:232948</t>
  </si>
  <si>
    <t>204:233320</t>
  </si>
  <si>
    <t>204:183</t>
  </si>
  <si>
    <t>204:232987</t>
  </si>
  <si>
    <t>204:185</t>
  </si>
  <si>
    <t>204:64049</t>
  </si>
  <si>
    <t>204:36791</t>
  </si>
  <si>
    <t>204:192</t>
  </si>
  <si>
    <t>204:64155</t>
  </si>
  <si>
    <t>204:36779</t>
  </si>
  <si>
    <t>204:232965</t>
  </si>
  <si>
    <t>204:504</t>
  </si>
  <si>
    <t>204:55959</t>
  </si>
  <si>
    <t>204:233115</t>
  </si>
  <si>
    <t>204:55280</t>
  </si>
  <si>
    <t>204:64698</t>
  </si>
  <si>
    <t>204:233282</t>
  </si>
  <si>
    <t>204:509</t>
  </si>
  <si>
    <t>204:232963</t>
  </si>
  <si>
    <t>204:477</t>
  </si>
  <si>
    <t>204:233360</t>
  </si>
  <si>
    <t>204:233044</t>
  </si>
  <si>
    <t>204:123</t>
  </si>
  <si>
    <t>204:233366</t>
  </si>
  <si>
    <t>204:233049</t>
  </si>
  <si>
    <t>204:233259</t>
  </si>
  <si>
    <t>204:232974</t>
  </si>
  <si>
    <t>204:941</t>
  </si>
  <si>
    <t>204:233323</t>
  </si>
  <si>
    <t>204:232968</t>
  </si>
  <si>
    <t>204:233329</t>
  </si>
  <si>
    <t>204:105</t>
  </si>
  <si>
    <t>204:233004</t>
  </si>
  <si>
    <t>204:409</t>
  </si>
  <si>
    <t>204:233351</t>
  </si>
  <si>
    <t>204:233032</t>
  </si>
  <si>
    <t>204:93</t>
  </si>
  <si>
    <t>204:232970</t>
  </si>
  <si>
    <t>204:233325</t>
  </si>
  <si>
    <t>204:1484</t>
  </si>
  <si>
    <t>204:772</t>
  </si>
  <si>
    <t>300:23302</t>
  </si>
  <si>
    <t>204:974</t>
  </si>
  <si>
    <t>300:23304</t>
  </si>
  <si>
    <t>204:10564</t>
  </si>
  <si>
    <t>204:128098</t>
  </si>
  <si>
    <t>204:10635</t>
  </si>
  <si>
    <t>204:128064</t>
  </si>
  <si>
    <t>204:127797</t>
  </si>
  <si>
    <t>204:127834</t>
  </si>
  <si>
    <t>204:10290</t>
  </si>
  <si>
    <t>300:23089</t>
  </si>
  <si>
    <t>204:900</t>
  </si>
  <si>
    <t>300:30813</t>
  </si>
  <si>
    <t>300:21795</t>
  </si>
  <si>
    <t>300:31076</t>
  </si>
  <si>
    <t>300:24684</t>
  </si>
  <si>
    <t>300:31361</t>
  </si>
  <si>
    <t>204:341</t>
  </si>
  <si>
    <t>300:31687</t>
  </si>
  <si>
    <t>300:31399</t>
  </si>
  <si>
    <t>300:31369</t>
  </si>
  <si>
    <t>300:31142</t>
  </si>
  <si>
    <t>300:31034</t>
  </si>
  <si>
    <t>204:137</t>
  </si>
  <si>
    <t>300:22068</t>
  </si>
  <si>
    <t>204:388</t>
  </si>
  <si>
    <t>204:669</t>
  </si>
  <si>
    <t>300:24241</t>
  </si>
  <si>
    <t>204:128143</t>
  </si>
  <si>
    <t>204:127875</t>
  </si>
  <si>
    <t>204:9462</t>
  </si>
  <si>
    <t>204:717</t>
  </si>
  <si>
    <t>204:1018</t>
  </si>
  <si>
    <t>204:736</t>
  </si>
  <si>
    <t>300:58994</t>
  </si>
  <si>
    <t>300:58679</t>
  </si>
  <si>
    <t>204:692</t>
  </si>
  <si>
    <t>300:58626</t>
  </si>
  <si>
    <t>204:986</t>
  </si>
  <si>
    <t>300:58713</t>
  </si>
  <si>
    <t>300:58700</t>
  </si>
  <si>
    <t>204:675</t>
  </si>
  <si>
    <t>204:1014</t>
  </si>
  <si>
    <t>204:710</t>
  </si>
  <si>
    <t>300:23476</t>
  </si>
  <si>
    <t>300:21449</t>
  </si>
  <si>
    <t>300:22486</t>
  </si>
  <si>
    <t>300:58672</t>
  </si>
  <si>
    <t>204:698</t>
  </si>
  <si>
    <t>300:59009</t>
  </si>
  <si>
    <t>300:58687</t>
  </si>
  <si>
    <t>300:58986</t>
  </si>
  <si>
    <t>300:58678</t>
  </si>
  <si>
    <t>204:988</t>
  </si>
  <si>
    <t>300:59005</t>
  </si>
  <si>
    <t>300:58980</t>
  </si>
  <si>
    <t>300:58664</t>
  </si>
  <si>
    <t>204:745</t>
  </si>
  <si>
    <t>204:1055</t>
  </si>
  <si>
    <t>300:21223</t>
  </si>
  <si>
    <t>300:58666</t>
  </si>
  <si>
    <t>300:24848</t>
  </si>
  <si>
    <t>204:927</t>
  </si>
  <si>
    <t>300:58683</t>
  </si>
  <si>
    <t>204:635</t>
  </si>
  <si>
    <t>204:937</t>
  </si>
  <si>
    <t>300:59001</t>
  </si>
  <si>
    <t>300:58659</t>
  </si>
  <si>
    <t>204:678</t>
  </si>
  <si>
    <t>204:939</t>
  </si>
  <si>
    <t>300:59003</t>
  </si>
  <si>
    <t>204:969</t>
  </si>
  <si>
    <t>300:58971</t>
  </si>
  <si>
    <t>300:58653</t>
  </si>
  <si>
    <t>204:1002</t>
  </si>
  <si>
    <t>300:58692</t>
  </si>
  <si>
    <t>204:666</t>
  </si>
  <si>
    <t>204:960</t>
  </si>
  <si>
    <t>300:58967</t>
  </si>
  <si>
    <t>300:58651</t>
  </si>
  <si>
    <t>204:670</t>
  </si>
  <si>
    <t>204:944</t>
  </si>
  <si>
    <t>300:58918</t>
  </si>
  <si>
    <t>204:685</t>
  </si>
  <si>
    <t>204:624</t>
  </si>
  <si>
    <t>300:58992</t>
  </si>
  <si>
    <t>300:58643</t>
  </si>
  <si>
    <t>204:922</t>
  </si>
  <si>
    <t>300:58956</t>
  </si>
  <si>
    <t>204:993</t>
  </si>
  <si>
    <t>300:58960</t>
  </si>
  <si>
    <t>204:955</t>
  </si>
  <si>
    <t>300:24233</t>
  </si>
  <si>
    <t>300:24271</t>
  </si>
  <si>
    <t>300:28778</t>
  </si>
  <si>
    <t>300:21858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</si>
  <si>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</si>
  <si>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</si>
  <si>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</si>
  <si>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</si>
  <si>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</si>
  <si>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</si>
  <si>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</si>
  <si>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</si>
  <si>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</si>
  <si>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</si>
  <si>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</si>
  <si>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</si>
  <si>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</si>
  <si>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</si>
  <si>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</si>
  <si>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partly-cloudy-night</t>
  </si>
  <si>
    <t>partly-cloudy-day</t>
  </si>
  <si>
    <t>clear-night</t>
  </si>
  <si>
    <t>Clear</t>
  </si>
  <si>
    <t>Powered by Forecast [forecast.io]</t>
  </si>
  <si>
    <t>40th 4S STOP, cleared shortly</t>
  </si>
  <si>
    <t>Pena 4S STOP, cleared shortly</t>
  </si>
  <si>
    <t>Early arrival</t>
  </si>
  <si>
    <t>Premature downgrade at Quebec 2N</t>
  </si>
  <si>
    <t>At approx 16:42:49, Quebec 2N downgraded from PROCEED CAB to STOP. Was this on purpose, or did something bad happen?</t>
  </si>
  <si>
    <t>Went into CRMF, then went active too close to signal after re-initializing</t>
  </si>
  <si>
    <t>Went active too close to signal</t>
  </si>
  <si>
    <t>From 16:42:49 thru 17:13:41, Quebec 4S was STOP, despite a handful of attempts to clear it. Was this due to the Monaco gates not having fully descended, or was something else the cause?</t>
  </si>
  <si>
    <t>Quebec 100Hz power failure</t>
  </si>
  <si>
    <t>human_readable_time</t>
  </si>
  <si>
    <t>CRMF 4N was STOP, no clear control sent until 13:34</t>
  </si>
  <si>
    <t>CRMF 4S was STOP, no clear controls were sent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</si>
</sst>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2" borderId="13" xfId="0" applyNumberFormat="1" applyFill="1" applyBorder="1" applyAlignment="1"/>
    <xf numFmtId="169" fontId="0" fillId="0" borderId="0" xfId="0" applyAlignment="1"/>
    <xf numFmtId="169" fontId="0" fillId="0" borderId="15" xfId="0" applyBorder="1" applyAlignment="1">
      <alignment horizontal="left" vertical="center"/>
    </xf>
    <xf numFmtId="169" fontId="0" fillId="0" borderId="16" xfId="0" applyNumberFormat="1" applyBorder="1" applyAlignment="1"/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69" fontId="0" fillId="0" borderId="0" xfId="0" applyNumberFormat="1" applyBorder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167" fontId="0" fillId="0" borderId="0" xfId="0" applyNumberFormat="1" applyAlignment="1"/>
    <xf numFmtId="0" fontId="0" fillId="0" borderId="0" xfId="0" applyNumberFormat="1" applyAlignment="1"/>
    <xf numFmtId="167" fontId="1" fillId="0" borderId="0" xfId="0" applyNumberFormat="1" applyFon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4"/>
  <sheetViews>
    <sheetView tabSelected="1" zoomScaleNormal="100" workbookViewId="0">
      <selection activeCell="R183" sqref="R183"/>
    </sheetView>
  </sheetViews>
  <sheetFormatPr defaultRowHeight="15" x14ac:dyDescent="0.25"/>
  <cols>
    <col min="1" max="1" width="8" style="40" customWidth="1"/>
    <col min="2" max="2" width="6.140625" style="42" customWidth="1"/>
    <col min="3" max="3" width="13.5703125" style="29" hidden="1" customWidth="1"/>
    <col min="4" max="4" width="16.140625" style="29" hidden="1" customWidth="1"/>
    <col min="5" max="5" width="19.5703125" style="39" hidden="1" customWidth="1"/>
    <col min="6" max="6" width="18.28515625" style="39" customWidth="1"/>
    <col min="7" max="7" width="4.85546875" style="42" hidden="1" customWidth="1"/>
    <col min="8" max="8" width="22.140625" style="39" hidden="1" customWidth="1"/>
    <col min="9" max="9" width="18.5703125" style="39" customWidth="1"/>
    <col min="10" max="10" width="7.28515625" style="42" customWidth="1"/>
    <col min="11" max="11" width="10.42578125" style="29" customWidth="1"/>
    <col min="12" max="12" width="13.28515625" style="29" customWidth="1"/>
    <col min="13" max="13" width="9.5703125" style="41" customWidth="1"/>
    <col min="14" max="14" width="3.7109375" style="42" customWidth="1"/>
    <col min="15" max="15" width="3.5703125" style="2" customWidth="1"/>
    <col min="16" max="16" width="4" style="2" customWidth="1"/>
    <col min="17" max="17" width="5.85546875" hidden="1" customWidth="1"/>
    <col min="18" max="18" width="34.28515625" customWidth="1"/>
    <col min="19" max="19" width="7.7109375" style="22" customWidth="1"/>
    <col min="20" max="20" width="3.85546875" customWidth="1"/>
    <col min="21" max="21" width="5" style="159" customWidth="1"/>
    <col min="22" max="22" width="5.7109375" style="178" customWidth="1"/>
    <col min="23" max="23" width="3.85546875" style="160" customWidth="1"/>
    <col min="24" max="24" width="5.28515625" style="160" customWidth="1"/>
    <col min="25" max="25" width="9.140625" style="160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95" customWidth="1"/>
    <col min="32" max="32" width="6.28515625" style="92" customWidth="1"/>
    <col min="33" max="33" width="5.42578125" customWidth="1"/>
    <col min="34" max="34" width="5" style="98" customWidth="1"/>
    <col min="35" max="35" width="5.7109375" style="122" customWidth="1"/>
    <col min="36" max="36" width="9.85546875" customWidth="1"/>
    <col min="37" max="37" width="7.7109375" customWidth="1"/>
    <col min="38" max="38" width="7.85546875" customWidth="1"/>
  </cols>
  <sheetData>
    <row r="1" spans="1:91" s="22" customFormat="1" ht="15.75" thickBot="1" x14ac:dyDescent="0.3">
      <c r="A1" s="40"/>
      <c r="B1" s="42"/>
      <c r="C1" s="29"/>
      <c r="D1" s="29"/>
      <c r="E1" s="39"/>
      <c r="F1" s="39"/>
      <c r="G1" s="42"/>
      <c r="H1" s="39"/>
      <c r="I1" s="39" t="s">
        <v>120</v>
      </c>
      <c r="J1" s="42"/>
      <c r="K1" s="29"/>
      <c r="L1" s="29"/>
      <c r="M1" s="41"/>
      <c r="N1" s="42"/>
      <c r="O1" s="2"/>
      <c r="P1" s="2"/>
      <c r="R1" s="39" t="s">
        <v>121</v>
      </c>
      <c r="S1" s="42"/>
      <c r="T1" s="29"/>
      <c r="U1" s="157"/>
      <c r="V1" s="158"/>
      <c r="W1" s="157"/>
      <c r="X1" s="159"/>
      <c r="Y1" s="160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2" customFormat="1" ht="15.75" thickBot="1" x14ac:dyDescent="0.3">
      <c r="A2" s="40"/>
      <c r="B2" s="42"/>
      <c r="C2" s="29"/>
      <c r="D2" s="29"/>
      <c r="E2" s="39"/>
      <c r="F2" s="39"/>
      <c r="G2" s="42"/>
      <c r="H2" s="39"/>
      <c r="I2" s="76">
        <f>Variables!$A$2</f>
        <v>42620</v>
      </c>
      <c r="J2" s="77"/>
      <c r="K2" s="78"/>
      <c r="L2" s="78"/>
      <c r="M2" s="79" t="s">
        <v>8</v>
      </c>
      <c r="N2" s="80"/>
      <c r="O2" s="81"/>
      <c r="P2" s="2"/>
      <c r="R2" s="76">
        <f>Variables!$A$2</f>
        <v>42620</v>
      </c>
      <c r="S2" s="77"/>
      <c r="T2" s="78"/>
      <c r="U2" s="161"/>
      <c r="V2" s="162" t="s">
        <v>8</v>
      </c>
      <c r="W2" s="163"/>
      <c r="X2" s="164"/>
      <c r="Y2" s="160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2" customFormat="1" ht="15.75" thickBot="1" x14ac:dyDescent="0.3">
      <c r="A3" s="40"/>
      <c r="B3" s="42"/>
      <c r="C3" s="29"/>
      <c r="D3" s="29"/>
      <c r="E3" s="39"/>
      <c r="F3" s="39"/>
      <c r="G3" s="42"/>
      <c r="H3" s="39"/>
      <c r="I3" s="82" t="s">
        <v>10</v>
      </c>
      <c r="J3" s="83"/>
      <c r="K3" s="84"/>
      <c r="L3" s="84"/>
      <c r="M3" s="43" t="s">
        <v>11</v>
      </c>
      <c r="N3" s="44" t="s">
        <v>12</v>
      </c>
      <c r="O3" s="3" t="s">
        <v>13</v>
      </c>
      <c r="P3" s="2"/>
      <c r="R3" s="82" t="s">
        <v>10</v>
      </c>
      <c r="S3" s="83"/>
      <c r="T3" s="84"/>
      <c r="U3" s="165"/>
      <c r="V3" s="166" t="s">
        <v>11</v>
      </c>
      <c r="W3" s="167" t="s">
        <v>12</v>
      </c>
      <c r="X3" s="168" t="s">
        <v>13</v>
      </c>
      <c r="Y3" s="160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2" customFormat="1" ht="15.75" thickBot="1" x14ac:dyDescent="0.3">
      <c r="A4" s="40"/>
      <c r="B4" s="42"/>
      <c r="C4" s="29"/>
      <c r="D4" s="29"/>
      <c r="E4" s="39"/>
      <c r="F4" s="39"/>
      <c r="G4" s="42"/>
      <c r="H4" s="39"/>
      <c r="I4" s="85" t="s">
        <v>14</v>
      </c>
      <c r="J4" s="55">
        <f>SUM(J5:J7)</f>
        <v>144</v>
      </c>
      <c r="K4" s="45"/>
      <c r="L4" s="45"/>
      <c r="M4" s="46" t="s">
        <v>15</v>
      </c>
      <c r="N4" s="44" t="s">
        <v>15</v>
      </c>
      <c r="O4" s="3" t="s">
        <v>15</v>
      </c>
      <c r="P4" s="2"/>
      <c r="R4" s="85" t="s">
        <v>14</v>
      </c>
      <c r="S4" s="55">
        <f>SUM(S5:S7)</f>
        <v>47</v>
      </c>
      <c r="T4" s="45"/>
      <c r="U4" s="169"/>
      <c r="V4" s="166" t="s">
        <v>15</v>
      </c>
      <c r="W4" s="167" t="s">
        <v>15</v>
      </c>
      <c r="X4" s="168" t="s">
        <v>15</v>
      </c>
      <c r="Y4" s="160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2" customFormat="1" ht="15.75" thickBot="1" x14ac:dyDescent="0.3">
      <c r="A5" s="40"/>
      <c r="B5" s="42"/>
      <c r="C5" s="29"/>
      <c r="D5" s="29"/>
      <c r="E5" s="39"/>
      <c r="F5" s="39"/>
      <c r="G5" s="42"/>
      <c r="H5" s="39"/>
      <c r="I5" s="85" t="s">
        <v>17</v>
      </c>
      <c r="J5" s="55">
        <f>COUNTIFS($N$13:$N$9377,"&gt;0",$AG$13:$AG$9377,I1)</f>
        <v>140</v>
      </c>
      <c r="K5" s="45"/>
      <c r="L5" s="45"/>
      <c r="M5" s="46">
        <f>AVERAGEIFS($N$13:$N$9377,$AG$13:$AG$9377,I1)</f>
        <v>37.994166666508782</v>
      </c>
      <c r="N5" s="44">
        <f t="array" ref="N5">MIN(IF($AG$13:$AG$9377=I1,IF(ISNUMBER($N$13:$N$9377),IF($N$13:$N$9377&gt;0,$N$13:$N$9377))))</f>
        <v>34.466666666558012</v>
      </c>
      <c r="O5" s="3">
        <f t="array" ref="O5">MAX(IF($AG$13:$AG$9377=I1,IF(ISNUMBER($N$13:$N$9377),IF($N$13:$N$9377&gt;0,$N$13:$N$9377))))</f>
        <v>43.899999994318932</v>
      </c>
      <c r="P5" s="2"/>
      <c r="R5" s="85" t="s">
        <v>17</v>
      </c>
      <c r="S5" s="55">
        <f>COUNTIFS($N$13:$N$9377,"&gt;0",$AG$13:$AG$9377,R1)</f>
        <v>44</v>
      </c>
      <c r="T5" s="45"/>
      <c r="U5" s="169"/>
      <c r="V5" s="166">
        <f>AVERAGEIFS($N$13:$N$9377,$AG$13:$AG$9377,R1)</f>
        <v>15.117424242092635</v>
      </c>
      <c r="W5" s="167">
        <f t="array" ref="W5">MIN(IF($AG$13:$AG$9377=R1,IF(ISNUMBER($N$13:$N$9377),IF($N$13:$N$9377&gt;0,$N$13:$N$9377))))</f>
        <v>12.883333327481523</v>
      </c>
      <c r="X5" s="168">
        <f t="array" ref="X5">MAX(IF($AG$13:$AG$9377=R1,IF(ISNUMBER($N$13:$N$9377),IF($N$13:$N$9377&gt;0,$N$13:$N$9377))))</f>
        <v>17.950000005075708</v>
      </c>
      <c r="Y5" s="160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2" customFormat="1" ht="15.75" thickBot="1" x14ac:dyDescent="0.3">
      <c r="A6" s="40"/>
      <c r="B6" s="42"/>
      <c r="C6" s="29"/>
      <c r="D6" s="29"/>
      <c r="E6" s="39"/>
      <c r="F6" s="39"/>
      <c r="G6" s="42"/>
      <c r="H6" s="39"/>
      <c r="I6" s="86" t="s">
        <v>43</v>
      </c>
      <c r="J6" s="55">
        <f>COUNT($O$13:$O$147)</f>
        <v>0</v>
      </c>
      <c r="K6" s="45"/>
      <c r="L6" s="45"/>
      <c r="M6" s="46">
        <f>IFERROR(AVERAGE($O$13:$O$147),0)</f>
        <v>0</v>
      </c>
      <c r="N6" s="44">
        <f>MIN($O$13:$O$147)</f>
        <v>0</v>
      </c>
      <c r="O6" s="3">
        <f>MAX($O$13:$O$147)</f>
        <v>0</v>
      </c>
      <c r="P6" s="2"/>
      <c r="R6" s="86" t="s">
        <v>43</v>
      </c>
      <c r="S6" s="55">
        <f>COUNT($O$13:$O$147)</f>
        <v>0</v>
      </c>
      <c r="T6" s="45"/>
      <c r="U6" s="169"/>
      <c r="V6" s="166">
        <f>IFERROR(AVERAGE($O$13:$O$147),0)</f>
        <v>0</v>
      </c>
      <c r="W6" s="167">
        <f>MIN($O$13:$O$147)</f>
        <v>0</v>
      </c>
      <c r="X6" s="168">
        <f>MAX($O$13:$O$147)</f>
        <v>0</v>
      </c>
      <c r="Y6" s="160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2" customFormat="1" ht="15.75" thickBot="1" x14ac:dyDescent="0.3">
      <c r="A7" s="40"/>
      <c r="B7" s="42"/>
      <c r="C7" s="29"/>
      <c r="D7" s="29"/>
      <c r="E7" s="39"/>
      <c r="F7" s="39"/>
      <c r="G7" s="42"/>
      <c r="H7" s="39"/>
      <c r="I7" s="87" t="s">
        <v>9</v>
      </c>
      <c r="J7" s="55">
        <f>COUNTIFS($P$13:$P$9377,"&gt;0",$AG$13:$AG$9377,I1)</f>
        <v>4</v>
      </c>
      <c r="K7" s="45"/>
      <c r="L7" s="45"/>
      <c r="M7" s="44" t="s">
        <v>15</v>
      </c>
      <c r="N7" s="44" t="s">
        <v>15</v>
      </c>
      <c r="O7" s="3" t="s">
        <v>15</v>
      </c>
      <c r="P7" s="2"/>
      <c r="R7" s="87" t="s">
        <v>9</v>
      </c>
      <c r="S7" s="55">
        <f>COUNTIFS($P$13:$P$9377,"&gt;0",$AG$13:$AG$9377,R1)</f>
        <v>3</v>
      </c>
      <c r="T7" s="45"/>
      <c r="U7" s="169"/>
      <c r="V7" s="166" t="s">
        <v>15</v>
      </c>
      <c r="W7" s="167" t="s">
        <v>15</v>
      </c>
      <c r="X7" s="168" t="s">
        <v>15</v>
      </c>
      <c r="Y7" s="160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2" customFormat="1" ht="15.75" thickBot="1" x14ac:dyDescent="0.3">
      <c r="A8" s="40"/>
      <c r="B8" s="42"/>
      <c r="C8" s="29"/>
      <c r="D8" s="29"/>
      <c r="E8" s="39"/>
      <c r="F8" s="39"/>
      <c r="G8" s="42"/>
      <c r="H8" s="39"/>
      <c r="I8" s="85" t="s">
        <v>16</v>
      </c>
      <c r="J8" s="55">
        <f>J5</f>
        <v>140</v>
      </c>
      <c r="K8" s="45"/>
      <c r="L8" s="45"/>
      <c r="M8" s="46">
        <f>M5</f>
        <v>37.994166666508782</v>
      </c>
      <c r="N8" s="44">
        <f>N5</f>
        <v>34.466666666558012</v>
      </c>
      <c r="O8" s="3">
        <f>O5</f>
        <v>43.899999994318932</v>
      </c>
      <c r="P8" s="2"/>
      <c r="R8" s="85" t="s">
        <v>16</v>
      </c>
      <c r="S8" s="55">
        <f>S5</f>
        <v>44</v>
      </c>
      <c r="T8" s="45"/>
      <c r="U8" s="169"/>
      <c r="V8" s="166">
        <f>V5</f>
        <v>15.117424242092635</v>
      </c>
      <c r="W8" s="167">
        <f>W5</f>
        <v>12.883333327481523</v>
      </c>
      <c r="X8" s="168">
        <f>X5</f>
        <v>17.950000005075708</v>
      </c>
      <c r="Y8" s="160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2" customFormat="1" ht="15.75" thickBot="1" x14ac:dyDescent="0.3">
      <c r="A9" s="40"/>
      <c r="B9" s="42"/>
      <c r="C9" s="29"/>
      <c r="D9" s="29"/>
      <c r="E9" s="39"/>
      <c r="F9" s="39"/>
      <c r="G9" s="42"/>
      <c r="H9" s="39"/>
      <c r="I9" s="85" t="s">
        <v>19</v>
      </c>
      <c r="J9" s="69">
        <f>J8/J4</f>
        <v>0.97222222222222221</v>
      </c>
      <c r="K9" s="47"/>
      <c r="L9" s="47"/>
      <c r="M9" s="88"/>
      <c r="N9" s="42"/>
      <c r="O9" s="89"/>
      <c r="P9" s="2"/>
      <c r="R9" s="85" t="s">
        <v>19</v>
      </c>
      <c r="S9" s="69">
        <f>S8/S4</f>
        <v>0.93617021276595747</v>
      </c>
      <c r="T9" s="47"/>
      <c r="U9" s="157"/>
      <c r="V9" s="170"/>
      <c r="W9" s="157"/>
      <c r="X9" s="153"/>
      <c r="Y9" s="160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2" customFormat="1" x14ac:dyDescent="0.25">
      <c r="A10" s="40"/>
      <c r="B10" s="42"/>
      <c r="C10" s="29"/>
      <c r="D10" s="29"/>
      <c r="E10" s="39"/>
      <c r="F10" s="39"/>
      <c r="G10" s="42"/>
      <c r="H10" s="39"/>
      <c r="I10" s="39"/>
      <c r="J10" s="42"/>
      <c r="K10" s="29"/>
      <c r="L10" s="29"/>
      <c r="M10" s="41"/>
      <c r="N10" s="42"/>
      <c r="O10" s="2"/>
      <c r="P10" s="2"/>
      <c r="U10" s="159"/>
      <c r="V10" s="171"/>
      <c r="W10" s="160"/>
      <c r="X10" s="160"/>
      <c r="Y10" s="160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79" t="str">
        <f>"Eagle P3 System Performance - "&amp;TEXT(Variables!A2,"yyyy-mm-dd")</f>
        <v>Eagle P3 System Performance - 2016-09-07</v>
      </c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S11" s="70">
        <f>AVERAGE(S13:S98)</f>
        <v>1</v>
      </c>
      <c r="V11" s="171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1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4" t="s">
        <v>70</v>
      </c>
      <c r="U12" s="172" t="s">
        <v>71</v>
      </c>
      <c r="V12" s="173" t="s">
        <v>45</v>
      </c>
      <c r="W12" s="174" t="s">
        <v>23</v>
      </c>
      <c r="X12" s="174" t="s">
        <v>48</v>
      </c>
      <c r="Y12" s="174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93</v>
      </c>
      <c r="AE12" s="96" t="s">
        <v>100</v>
      </c>
      <c r="AF12" s="93" t="s">
        <v>105</v>
      </c>
      <c r="AG12" s="4" t="s">
        <v>122</v>
      </c>
      <c r="AH12" s="99" t="s">
        <v>125</v>
      </c>
      <c r="AI12" s="129" t="s">
        <v>190</v>
      </c>
      <c r="AJ12" s="52" t="s">
        <v>191</v>
      </c>
      <c r="AK12" s="52" t="s">
        <v>163</v>
      </c>
      <c r="AL12" s="52" t="s">
        <v>192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8" t="s">
        <v>346</v>
      </c>
      <c r="B13" s="7">
        <v>4009</v>
      </c>
      <c r="C13" s="23" t="s">
        <v>111</v>
      </c>
      <c r="D13" s="23" t="s">
        <v>571</v>
      </c>
      <c r="E13" s="15">
        <v>42620.13076388889</v>
      </c>
      <c r="F13" s="15">
        <v>42620.135682870372</v>
      </c>
      <c r="G13" s="7">
        <v>1</v>
      </c>
      <c r="H13" s="15" t="s">
        <v>307</v>
      </c>
      <c r="I13" s="15">
        <v>42620.161226851851</v>
      </c>
      <c r="J13" s="7">
        <v>0</v>
      </c>
      <c r="K13" s="115" t="str">
        <f t="shared" ref="K13:K76" si="0">IF(ISEVEN(B13),(B13-1)&amp;"/"&amp;B13,B13&amp;"/"&amp;(B13+1))</f>
        <v>4009/4010</v>
      </c>
      <c r="L13" s="23" t="str">
        <f>VLOOKUP(A13,'Trips&amp;Operators'!$C$1:$E$10000,3,FALSE)</f>
        <v>MAELZER</v>
      </c>
      <c r="M13" s="6">
        <f t="shared" ref="M13:M76" si="1">I13-F13</f>
        <v>2.5543981479131617E-2</v>
      </c>
      <c r="N13" s="7">
        <f t="shared" ref="N13:N44" si="2">24*60*SUM($M13:$M13)</f>
        <v>36.783333329949528</v>
      </c>
      <c r="O13" s="7"/>
      <c r="P13" s="7"/>
      <c r="Q13" s="24"/>
      <c r="R13" s="24"/>
      <c r="S13" s="36">
        <f t="shared" ref="S13:S44" si="3">SUM(U13:U13)/IF(AG13="EC",12,1)</f>
        <v>1</v>
      </c>
      <c r="T13" s="51" t="str">
        <f t="shared" ref="T13:T76" si="4">IF(ISEVEN(LEFT(AD13,4)),"Southbound","NorthBound")</f>
        <v>NorthBound</v>
      </c>
      <c r="U13" s="17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76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https://search-rtdc-monitor-bjffxe2xuh6vdkpspy63sjmuny.us-east-1.es.amazonaws.com/_plugin/kibana/#/discover/Steve-Slow-Train-Analysis-(2080s-and-2083s)?_g=(refreshInterval:(display:Off,section:0,value:0),time:(from:'2016-09-07 02:08:18-0600',mode:absolute,to:'2016-09-07 04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3" s="177" t="str">
        <f t="shared" ref="W13:W76" si="5">IF(AA13&lt;IF(AG13="EC",23,5.65),"Y","N")</f>
        <v>N</v>
      </c>
      <c r="X13" s="177" t="e">
        <f t="shared" ref="X13:X44" si="6">VALUE(LEFT(AD13,4))-VALUE(LEFT(AD12,4))</f>
        <v>#VALUE!</v>
      </c>
      <c r="Y13" s="177">
        <f t="shared" ref="Y13:Y76" si="7">RIGHT(D13,LEN(D13)-4)/10000</f>
        <v>7.5399999999999995E-2</v>
      </c>
      <c r="Z13" s="67">
        <f t="shared" ref="Z13:Z41" si="8">RIGHT(H13,LEN(H13)-4)/10000</f>
        <v>23.331800000000001</v>
      </c>
      <c r="AA13" s="67">
        <f t="shared" ref="AA13:AA76" si="9">ABS(Z13-Y13)</f>
        <v>23.256400000000003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76" si="10">IF(LEN(A13)=6,"0"&amp;A13,A13)</f>
        <v>0101-07</v>
      </c>
      <c r="AE13" s="97" t="str">
        <f t="shared" ref="AE13:AE76" si="11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13" s="94" t="str">
        <f t="shared" ref="AF13:AF76" si="12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/stypes="*4009*20160907*" /stext=" 09:.+((SYSTEM_STATE.+slice.+state.+changed )|(ment ac)|(system.+state.+changed )|(\|lc)|(penalty)|(\[timeout)|(PRM\|1\|D)|(kpr)|(kdp))" /e /r /s</v>
      </c>
      <c r="AG13" s="1" t="str">
        <f t="shared" ref="AG13:AG76" si="13">IFERROR(IF(VALUE(LEFT(AD13,2))&lt;=2,"EC",IF(OR(VALUE(LEFT(AD13,2))=8,VALUE(LEFT(AD13,2))=18),"NW","Other")),"Other")</f>
        <v>EC</v>
      </c>
      <c r="AH13" s="9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101-07 --locoid 4009 --swversion DE.1.0.7.0 --startMP 204:754 --initTime 2016-09-07T03:08:18 --startdatetime 2016-09-07T03:15:23 --delay 1 --endMP 204:233318 --enddatetime 2016-09-07T03:52:10 --enforcementcount 0 &gt;&gt;C:\Users\stu\Documents\GitHub\eaglep3-reporting\EC\2016-09-07-refined-times.txt</v>
      </c>
      <c r="AI13" s="130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{"issue":{"subject":"","project_id":79,"tracker_id":40,"status_id":1,"priority_id":2,"assigned_to_id":23,"start_date":"2016-09-07","description":"","custom_fields":[{"id":1,"name":"Subdivision","value":"EC"},{"id":4,"name":"Milepost","value":"23.2564"},{"id":17,"name":"Train ID","value":"101-07"},{"id":16,"name":"Locomotive ID","value":"4009"},{"id":130,"name":"Impact","value":""},{"id":150,"name":"Time of Event (Mountain Time)","value":"03:52:10"},{"id":151,"name":"Denver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8" t="s">
        <v>349</v>
      </c>
      <c r="B14" s="7">
        <v>4013</v>
      </c>
      <c r="C14" s="23" t="s">
        <v>111</v>
      </c>
      <c r="D14" s="23" t="s">
        <v>572</v>
      </c>
      <c r="E14" s="15">
        <v>42620.169374999998</v>
      </c>
      <c r="F14" s="15">
        <v>42620.174502314818</v>
      </c>
      <c r="G14" s="7">
        <v>1</v>
      </c>
      <c r="H14" s="15" t="s">
        <v>145</v>
      </c>
      <c r="I14" s="15">
        <v>42620.2028125</v>
      </c>
      <c r="J14" s="7">
        <v>0</v>
      </c>
      <c r="K14" s="115" t="str">
        <f t="shared" si="0"/>
        <v>4013/4014</v>
      </c>
      <c r="L14" s="23" t="str">
        <f>VLOOKUP(A14,'Trips&amp;Operators'!$C$1:$E$10000,3,FALSE)</f>
        <v>MAELZER</v>
      </c>
      <c r="M14" s="6">
        <f t="shared" si="1"/>
        <v>2.8310185181908309E-2</v>
      </c>
      <c r="N14" s="7">
        <f t="shared" si="2"/>
        <v>40.766666661947966</v>
      </c>
      <c r="O14" s="7"/>
      <c r="P14" s="7"/>
      <c r="Q14" s="24"/>
      <c r="R14" s="24"/>
      <c r="S14" s="36">
        <f t="shared" si="3"/>
        <v>1</v>
      </c>
      <c r="T14" s="51" t="str">
        <f t="shared" si="4"/>
        <v>Southbound</v>
      </c>
      <c r="U14" s="17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76" t="str">
        <f t="shared" ref="V14:V77" si="16"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https://search-rtdc-monitor-bjffxe2xuh6vdkpspy63sjmuny.us-east-1.es.amazonaws.com/_plugin/kibana/#/discover/Steve-Slow-Train-Analysis-(2080s-and-2083s)?_g=(refreshInterval:(display:Off,section:0,value:0),time:(from:'2016-09-07 03:03:54-0600',mode:absolute,to:'2016-09-07 05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4" s="177" t="str">
        <f t="shared" si="5"/>
        <v>N</v>
      </c>
      <c r="X14" s="177">
        <f t="shared" si="6"/>
        <v>1</v>
      </c>
      <c r="Y14" s="177">
        <f t="shared" si="7"/>
        <v>23.267499999999998</v>
      </c>
      <c r="Z14" s="67">
        <f t="shared" si="8"/>
        <v>1.54E-2</v>
      </c>
      <c r="AA14" s="67">
        <f t="shared" si="9"/>
        <v>23.252099999999999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10"/>
        <v>0102-07</v>
      </c>
      <c r="AE14" s="97" t="str">
        <f t="shared" si="11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14" s="94" t="str">
        <f t="shared" si="12"/>
        <v>"C:\Program Files (x86)\AstroGrep\AstroGrep.exe" /spath="%USERPROFILE%\AppData\Local\Temp\OnboardLogs" /stypes="*4013*20160907*" /stext=" 10:.+((SYSTEM_STATE.+slice.+state.+changed )|(ment ac)|(system.+state.+changed )|(\|lc)|(penalty)|(\[timeout)|(PRM\|1\|D)|(kpr)|(kdp))" /e /r /s</v>
      </c>
      <c r="AG14" s="1" t="str">
        <f t="shared" si="13"/>
        <v>EC</v>
      </c>
      <c r="AH14" s="98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102-07 --locoid 4013 --swversion DE.1.0.7.0 --startMP 204:232675 --initTime 2016-09-07T04:03:54 --startdatetime 2016-09-07T04:11:17 --delay 1 --endMP 204:154 --enddatetime 2016-09-07T04:52:03 --enforcementcount 0 &gt;&gt;C:\Users\stu\Documents\GitHub\eaglep3-reporting\EC\2016-09-07-refined-times.txt</v>
      </c>
      <c r="AI14" s="130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{"issue":{"subject":"","project_id":79,"tracker_id":40,"status_id":1,"priority_id":2,"assigned_to_id":23,"start_date":"2016-09-07","description":"","custom_fields":[{"id":1,"name":"Subdivision","value":"EC"},{"id":4,"name":"Milepost","value":"23.2521"},{"id":17,"name":"Train ID","value":"102-07"},{"id":16,"name":"Locomotive ID","value":"4013"},{"id":130,"name":"Impact","value":""},{"id":150,"name":"Time of Event (Mountain Time)","value":"04:52:03"},{"id":151,"name":"Denver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</row>
    <row r="15" spans="1:91" s="1" customFormat="1" x14ac:dyDescent="0.25">
      <c r="A15" s="38" t="s">
        <v>348</v>
      </c>
      <c r="B15" s="7">
        <v>4025</v>
      </c>
      <c r="C15" s="23" t="s">
        <v>111</v>
      </c>
      <c r="D15" s="23" t="s">
        <v>573</v>
      </c>
      <c r="E15" s="15">
        <v>42620.149050925924</v>
      </c>
      <c r="F15" s="15">
        <v>42620.156504629631</v>
      </c>
      <c r="G15" s="7">
        <v>2</v>
      </c>
      <c r="H15" s="15" t="s">
        <v>574</v>
      </c>
      <c r="I15" s="15">
        <v>42620.183113425926</v>
      </c>
      <c r="J15" s="7">
        <v>0</v>
      </c>
      <c r="K15" s="115" t="str">
        <f t="shared" si="0"/>
        <v>4025/4026</v>
      </c>
      <c r="L15" s="23" t="str">
        <f>VLOOKUP(A15,'Trips&amp;Operators'!$C$1:$E$10000,3,FALSE)</f>
        <v>HILLS</v>
      </c>
      <c r="M15" s="6">
        <f t="shared" si="1"/>
        <v>2.6608796295477077E-2</v>
      </c>
      <c r="N15" s="7">
        <f t="shared" si="2"/>
        <v>38.316666665486991</v>
      </c>
      <c r="O15" s="7"/>
      <c r="P15" s="7"/>
      <c r="Q15" s="24"/>
      <c r="R15" s="24"/>
      <c r="S15" s="36">
        <f t="shared" si="3"/>
        <v>1</v>
      </c>
      <c r="T15" s="51" t="str">
        <f t="shared" si="4"/>
        <v>NorthBound</v>
      </c>
      <c r="U15" s="17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02:34:38-0600',mode:absolute,to:'2016-09-07 05:23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5" s="177" t="str">
        <f t="shared" si="5"/>
        <v>N</v>
      </c>
      <c r="X15" s="177">
        <f t="shared" si="6"/>
        <v>1</v>
      </c>
      <c r="Y15" s="177">
        <f t="shared" si="7"/>
        <v>6.6799999999999998E-2</v>
      </c>
      <c r="Z15" s="67">
        <f t="shared" si="8"/>
        <v>23.336200000000002</v>
      </c>
      <c r="AA15" s="67">
        <f t="shared" si="9"/>
        <v>23.269400000000001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0"/>
        <v>0103-07</v>
      </c>
      <c r="AE15" s="97" t="str">
        <f t="shared" si="11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15" s="94" t="str">
        <f t="shared" si="12"/>
        <v>"C:\Program Files (x86)\AstroGrep\AstroGrep.exe" /spath="%USERPROFILE%\AppData\Local\Temp\OnboardLogs" /stypes="*4025*20160907*" /stext=" 10:.+((SYSTEM_STATE.+slice.+state.+changed )|(ment ac)|(system.+state.+changed )|(\|lc)|(penalty)|(\[timeout)|(PRM\|1\|D)|(kpr)|(kdp))" /e /r /s</v>
      </c>
      <c r="AG15" s="1" t="str">
        <f t="shared" si="13"/>
        <v>EC</v>
      </c>
      <c r="AH15" s="98" t="str">
        <f t="shared" si="17"/>
        <v>"%USERPROFILE%\Documents\GitHub\eaglep3\Utilities\RefineRTDCRunTimes.py" --tripid 103-07 --locoid 4025 --swversion DE.1.0.7.0 --startMP 204:668 --initTime 2016-09-07T03:34:38 --startdatetime 2016-09-07T03:45:22 --delay 2 --endMP 204:233362 --enddatetime 2016-09-07T04:23:41 --enforcementcount 0 &gt;&gt;C:\Users\stu\Documents\GitHub\eaglep3-reporting\EC\2016-09-07-refined-times.txt</v>
      </c>
      <c r="AI15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{"issue":{"subject":"","project_id":79,"tracker_id":40,"status_id":1,"priority_id":2,"assigned_to_id":23,"start_date":"2016-09-07","description":"","custom_fields":[{"id":1,"name":"Subdivision","value":"EC"},{"id":4,"name":"Milepost","value":"23.2694"},{"id":17,"name":"Train ID","value":"103-07"},{"id":16,"name":"Locomotive ID","value":"4025"},{"id":130,"name":"Impact","value":""},{"id":150,"name":"Time of Event (Mountain Time)","value":"04:23:41"},{"id":151,"name":"Denver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</row>
    <row r="16" spans="1:91" s="1" customFormat="1" x14ac:dyDescent="0.25">
      <c r="A16" s="38" t="s">
        <v>354</v>
      </c>
      <c r="B16" s="7">
        <v>4032</v>
      </c>
      <c r="C16" s="23" t="s">
        <v>111</v>
      </c>
      <c r="D16" s="23" t="s">
        <v>575</v>
      </c>
      <c r="E16" s="15">
        <v>42620.186840277776</v>
      </c>
      <c r="F16" s="15">
        <v>42620.195497685185</v>
      </c>
      <c r="G16" s="7">
        <v>2</v>
      </c>
      <c r="H16" s="15" t="s">
        <v>576</v>
      </c>
      <c r="I16" s="15">
        <v>42620.223807870374</v>
      </c>
      <c r="J16" s="7">
        <v>0</v>
      </c>
      <c r="K16" s="115" t="str">
        <f t="shared" si="0"/>
        <v>4031/4032</v>
      </c>
      <c r="L16" s="23" t="str">
        <f>VLOOKUP(A16,'Trips&amp;Operators'!$C$1:$E$10000,3,FALSE)</f>
        <v>HILLS</v>
      </c>
      <c r="M16" s="6">
        <f t="shared" si="1"/>
        <v>2.8310185189184267E-2</v>
      </c>
      <c r="N16" s="7">
        <f t="shared" si="2"/>
        <v>40.766666672425345</v>
      </c>
      <c r="O16" s="7"/>
      <c r="P16" s="7"/>
      <c r="Q16" s="24"/>
      <c r="R16" s="24"/>
      <c r="S16" s="36">
        <f t="shared" si="3"/>
        <v>1</v>
      </c>
      <c r="T16" s="51" t="str">
        <f t="shared" si="4"/>
        <v>Southbound</v>
      </c>
      <c r="U16" s="17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03:29:03-0600',mode:absolute,to:'2016-09-07 06:22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" s="177" t="str">
        <f t="shared" si="5"/>
        <v>N</v>
      </c>
      <c r="X16" s="177">
        <f t="shared" si="6"/>
        <v>1</v>
      </c>
      <c r="Y16" s="177">
        <f t="shared" si="7"/>
        <v>23.269600000000001</v>
      </c>
      <c r="Z16" s="67">
        <f t="shared" si="8"/>
        <v>1.2500000000000001E-2</v>
      </c>
      <c r="AA16" s="67">
        <f t="shared" si="9"/>
        <v>23.257100000000001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 t="shared" si="10"/>
        <v>0104-07</v>
      </c>
      <c r="AE16" s="97" t="str">
        <f t="shared" si="11"/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AF16" s="94" t="str">
        <f t="shared" si="12"/>
        <v>"C:\Program Files (x86)\AstroGrep\AstroGrep.exe" /spath="%USERPROFILE%\AppData\Local\Temp\OnboardLogs" /stypes="*4032*20160907*" /stext=" 11:.+((SYSTEM_STATE.+slice.+state.+changed )|(ment ac)|(system.+state.+changed )|(\|lc)|(penalty)|(\[timeout)|(PRM\|1\|D)|(kpr)|(kdp))" /e /r /s</v>
      </c>
      <c r="AG16" s="1" t="str">
        <f t="shared" si="13"/>
        <v>EC</v>
      </c>
      <c r="AH16" s="98" t="str">
        <f t="shared" si="17"/>
        <v>"%USERPROFILE%\Documents\GitHub\eaglep3\Utilities\RefineRTDCRunTimes.py" --tripid 104-07 --locoid 4032 --swversion DE.1.0.7.0 --startMP 204:232696 --initTime 2016-09-07T04:29:03 --startdatetime 2016-09-07T04:41:31 --delay 2 --endMP 204:125 --enddatetime 2016-09-07T05:22:17 --enforcementcount 0 &gt;&gt;C:\Users\stu\Documents\GitHub\eaglep3-reporting\EC\2016-09-07-refined-times.txt</v>
      </c>
      <c r="AI16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{"issue":{"subject":"","project_id":79,"tracker_id":40,"status_id":1,"priority_id":2,"assigned_to_id":23,"start_date":"2016-09-07","description":"","custom_fields":[{"id":1,"name":"Subdivision","value":"EC"},{"id":4,"name":"Milepost","value":"23.2571"},{"id":17,"name":"Train ID","value":"104-07"},{"id":16,"name":"Locomotive ID","value":"4032"},{"id":130,"name":"Impact","value":""},{"id":150,"name":"Time of Event (Mountain Time)","value":"05:22:17"},{"id":151,"name":"Denver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</row>
    <row r="17" spans="1:38" s="1" customFormat="1" x14ac:dyDescent="0.25">
      <c r="A17" s="38" t="s">
        <v>350</v>
      </c>
      <c r="B17" s="7">
        <v>4020</v>
      </c>
      <c r="C17" s="23" t="s">
        <v>111</v>
      </c>
      <c r="D17" s="23" t="s">
        <v>577</v>
      </c>
      <c r="E17" s="15">
        <v>42620.173020833332</v>
      </c>
      <c r="F17" s="15">
        <v>42620.177442129629</v>
      </c>
      <c r="G17" s="7">
        <v>1</v>
      </c>
      <c r="H17" s="15" t="s">
        <v>236</v>
      </c>
      <c r="I17" s="15">
        <v>42620.202523148146</v>
      </c>
      <c r="J17" s="7">
        <v>0</v>
      </c>
      <c r="K17" s="115" t="str">
        <f t="shared" si="0"/>
        <v>4019/4020</v>
      </c>
      <c r="L17" s="23" t="str">
        <f>VLOOKUP(A17,'Trips&amp;Operators'!$C$1:$E$10000,3,FALSE)</f>
        <v>BEAM</v>
      </c>
      <c r="M17" s="6">
        <f t="shared" si="1"/>
        <v>2.5081018517084885E-2</v>
      </c>
      <c r="N17" s="7">
        <f t="shared" si="2"/>
        <v>36.116666664602235</v>
      </c>
      <c r="O17" s="7"/>
      <c r="P17" s="7"/>
      <c r="Q17" s="24"/>
      <c r="R17" s="24"/>
      <c r="S17" s="36">
        <f t="shared" si="3"/>
        <v>1</v>
      </c>
      <c r="T17" s="51" t="str">
        <f t="shared" si="4"/>
        <v>NorthBound</v>
      </c>
      <c r="U17" s="17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03:09:09-0600',mode:absolute,to:'2016-09-07 05:51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7" s="177" t="str">
        <f t="shared" si="5"/>
        <v>N</v>
      </c>
      <c r="X17" s="177">
        <f t="shared" si="6"/>
        <v>1</v>
      </c>
      <c r="Y17" s="177">
        <f t="shared" si="7"/>
        <v>0.11559999999999999</v>
      </c>
      <c r="Z17" s="67">
        <f t="shared" si="8"/>
        <v>23.330100000000002</v>
      </c>
      <c r="AA17" s="67">
        <f t="shared" si="9"/>
        <v>23.214500000000001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0"/>
        <v>0105-07</v>
      </c>
      <c r="AE17" s="97" t="str">
        <f t="shared" si="11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17" s="94" t="str">
        <f t="shared" si="12"/>
        <v>"C:\Program Files (x86)\AstroGrep\AstroGrep.exe" /spath="%USERPROFILE%\AppData\Local\Temp\OnboardLogs" /stypes="*4020*20160907*" /stext=" 10:.+((SYSTEM_STATE.+slice.+state.+changed )|(ment ac)|(system.+state.+changed )|(\|lc)|(penalty)|(\[timeout)|(PRM\|1\|D)|(kpr)|(kdp))" /e /r /s</v>
      </c>
      <c r="AG17" s="1" t="str">
        <f t="shared" si="13"/>
        <v>EC</v>
      </c>
      <c r="AH17" s="98" t="str">
        <f t="shared" si="17"/>
        <v>"%USERPROFILE%\Documents\GitHub\eaglep3\Utilities\RefineRTDCRunTimes.py" --tripid 105-07 --locoid 4020 --swversion DE.1.0.7.0 --startMP 204:1156 --initTime 2016-09-07T04:09:09 --startdatetime 2016-09-07T04:15:31 --delay 1 --endMP 204:233301 --enddatetime 2016-09-07T04:51:38 --enforcementcount 0 &gt;&gt;C:\Users\stu\Documents\GitHub\eaglep3-reporting\EC\2016-09-07-refined-times.txt</v>
      </c>
      <c r="AI17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{"issue":{"subject":"","project_id":79,"tracker_id":40,"status_id":1,"priority_id":2,"assigned_to_id":23,"start_date":"2016-09-07","description":"","custom_fields":[{"id":1,"name":"Subdivision","value":"EC"},{"id":4,"name":"Milepost","value":"23.2145"},{"id":17,"name":"Train ID","value":"105-07"},{"id":16,"name":"Locomotive ID","value":"4020"},{"id":130,"name":"Impact","value":""},{"id":150,"name":"Time of Event (Mountain Time)","value":"04:51:38"},{"id":151,"name":"Denver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</row>
    <row r="18" spans="1:38" s="1" customFormat="1" x14ac:dyDescent="0.25">
      <c r="A18" s="38" t="s">
        <v>357</v>
      </c>
      <c r="B18" s="7">
        <v>4019</v>
      </c>
      <c r="C18" s="23" t="s">
        <v>111</v>
      </c>
      <c r="D18" s="23" t="s">
        <v>193</v>
      </c>
      <c r="E18" s="15">
        <v>42620.2106712963</v>
      </c>
      <c r="F18" s="15">
        <v>42620.216145833336</v>
      </c>
      <c r="G18" s="7">
        <v>1</v>
      </c>
      <c r="H18" s="15" t="s">
        <v>130</v>
      </c>
      <c r="I18" s="15">
        <v>42620.243946759256</v>
      </c>
      <c r="J18" s="7">
        <v>0</v>
      </c>
      <c r="K18" s="115" t="str">
        <f t="shared" si="0"/>
        <v>4019/4020</v>
      </c>
      <c r="L18" s="23" t="str">
        <f>VLOOKUP(A18,'Trips&amp;Operators'!$C$1:$E$10000,3,FALSE)</f>
        <v>BEAM</v>
      </c>
      <c r="M18" s="6">
        <f t="shared" si="1"/>
        <v>2.7800925920018926E-2</v>
      </c>
      <c r="N18" s="7">
        <f t="shared" si="2"/>
        <v>40.033333324827254</v>
      </c>
      <c r="O18" s="7"/>
      <c r="P18" s="7"/>
      <c r="Q18" s="24"/>
      <c r="R18" s="24"/>
      <c r="S18" s="36">
        <f t="shared" si="3"/>
        <v>1</v>
      </c>
      <c r="T18" s="51" t="str">
        <f t="shared" si="4"/>
        <v>Southbound</v>
      </c>
      <c r="U18" s="17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04:03:22-0600',mode:absolute,to:'2016-09-07 06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8" s="177" t="str">
        <f t="shared" si="5"/>
        <v>N</v>
      </c>
      <c r="X18" s="177">
        <f t="shared" si="6"/>
        <v>1</v>
      </c>
      <c r="Y18" s="177">
        <f t="shared" si="7"/>
        <v>23.297999999999998</v>
      </c>
      <c r="Z18" s="67">
        <f t="shared" si="8"/>
        <v>1.47E-2</v>
      </c>
      <c r="AA18" s="67">
        <f t="shared" si="9"/>
        <v>23.283299999999997</v>
      </c>
      <c r="AB18" s="64" t="str">
        <f>VLOOKUP(A18,Enforcements!$C$7:$K$21,8,0)</f>
        <v>Bulletin (2)</v>
      </c>
      <c r="AC18" s="60" t="str">
        <f>VLOOKUP(A18,Enforcements!$C$7:$E$21,3,0)</f>
        <v>GRADE CROSSING</v>
      </c>
      <c r="AD18" s="61" t="str">
        <f t="shared" si="10"/>
        <v>0106-07</v>
      </c>
      <c r="AE18" s="97" t="str">
        <f t="shared" si="11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18" s="94" t="str">
        <f t="shared" si="12"/>
        <v>"C:\Program Files (x86)\AstroGrep\AstroGrep.exe" /spath="%USERPROFILE%\AppData\Local\Temp\OnboardLogs" /stypes="*4019*20160907*" /stext=" 11:.+((SYSTEM_STATE.+slice.+state.+changed )|(ment ac)|(system.+state.+changed )|(\|lc)|(penalty)|(\[timeout)|(PRM\|1\|D)|(kpr)|(kdp))" /e /r /s</v>
      </c>
      <c r="AG18" s="1" t="str">
        <f t="shared" si="13"/>
        <v>EC</v>
      </c>
      <c r="AH18" s="98" t="str">
        <f t="shared" si="17"/>
        <v>"%USERPROFILE%\Documents\GitHub\eaglep3\Utilities\RefineRTDCRunTimes.py" --tripid 106-07 --locoid 4019 --swversion DE.1.0.7.0 --startMP 204:232980 --initTime 2016-09-07T05:03:22 --startdatetime 2016-09-07T05:11:15 --delay 1 --endMP 204:147 --enddatetime 2016-09-07T05:51:17 --enforcementcount 0 &gt;&gt;C:\Users\stu\Documents\GitHub\eaglep3-reporting\EC\2016-09-07-refined-times.txt</v>
      </c>
      <c r="AI18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{"issue":{"subject":"","project_id":79,"tracker_id":40,"status_id":1,"priority_id":2,"assigned_to_id":23,"start_date":"2016-09-07","description":"","custom_fields":[{"id":1,"name":"Subdivision","value":"EC"},{"id":4,"name":"Milepost","value":"23.2833"},{"id":17,"name":"Train ID","value":"106-07"},{"id":16,"name":"Locomotive ID","value":"4019"},{"id":130,"name":"Impact","value":""},{"id":150,"name":"Time of Event (Mountain Time)","value":"05:51:17"},{"id":151,"name":"Denver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</row>
    <row r="19" spans="1:38" s="1" customFormat="1" x14ac:dyDescent="0.25">
      <c r="A19" s="38" t="s">
        <v>353</v>
      </c>
      <c r="B19" s="7">
        <v>4046</v>
      </c>
      <c r="C19" s="23" t="s">
        <v>111</v>
      </c>
      <c r="D19" s="23" t="s">
        <v>578</v>
      </c>
      <c r="E19" s="15">
        <v>42620.184699074074</v>
      </c>
      <c r="F19" s="15">
        <v>42620.187696759262</v>
      </c>
      <c r="G19" s="7">
        <v>1</v>
      </c>
      <c r="H19" s="15" t="s">
        <v>579</v>
      </c>
      <c r="I19" s="15">
        <v>42620.213831018518</v>
      </c>
      <c r="J19" s="7">
        <v>0</v>
      </c>
      <c r="K19" s="115" t="str">
        <f t="shared" si="0"/>
        <v>4045/4046</v>
      </c>
      <c r="L19" s="23" t="str">
        <f>VLOOKUP(A19,'Trips&amp;Operators'!$C$1:$E$10000,3,FALSE)</f>
        <v>SANTIZO</v>
      </c>
      <c r="M19" s="6">
        <f t="shared" si="1"/>
        <v>2.6134259256650694E-2</v>
      </c>
      <c r="N19" s="7">
        <f t="shared" si="2"/>
        <v>37.633333329576999</v>
      </c>
      <c r="O19" s="7"/>
      <c r="P19" s="7"/>
      <c r="Q19" s="24"/>
      <c r="R19" s="24"/>
      <c r="S19" s="36">
        <f t="shared" si="3"/>
        <v>1</v>
      </c>
      <c r="T19" s="51" t="str">
        <f t="shared" si="4"/>
        <v>NorthBound</v>
      </c>
      <c r="U19" s="17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03:25:58-0600',mode:absolute,to:'2016-09-07 06:07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9" s="177" t="str">
        <f t="shared" si="5"/>
        <v>N</v>
      </c>
      <c r="X19" s="177">
        <f t="shared" si="6"/>
        <v>1</v>
      </c>
      <c r="Y19" s="177">
        <f t="shared" si="7"/>
        <v>3.5099999999999999E-2</v>
      </c>
      <c r="Z19" s="67">
        <f t="shared" si="8"/>
        <v>23.3308</v>
      </c>
      <c r="AA19" s="67">
        <f t="shared" si="9"/>
        <v>23.2957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0"/>
        <v>0107-07</v>
      </c>
      <c r="AE19" s="97" t="str">
        <f t="shared" si="11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19" s="94" t="str">
        <f t="shared" si="12"/>
        <v>"C:\Program Files (x86)\AstroGrep\AstroGrep.exe" /spath="%USERPROFILE%\AppData\Local\Temp\OnboardLogs" /stypes="*4046*20160907*" /stext=" 11:.+((SYSTEM_STATE.+slice.+state.+changed )|(ment ac)|(system.+state.+changed )|(\|lc)|(penalty)|(\[timeout)|(PRM\|1\|D)|(kpr)|(kdp))" /e /r /s</v>
      </c>
      <c r="AG19" s="1" t="str">
        <f t="shared" si="13"/>
        <v>EC</v>
      </c>
      <c r="AH19" s="98" t="str">
        <f t="shared" si="17"/>
        <v>"%USERPROFILE%\Documents\GitHub\eaglep3\Utilities\RefineRTDCRunTimes.py" --tripid 107-07 --locoid 4046 --swversion DE.1.0.7.0 --startMP 204:351 --initTime 2016-09-07T04:25:58 --startdatetime 2016-09-07T04:30:17 --delay 1 --endMP 204:233308 --enddatetime 2016-09-07T05:07:55 --enforcementcount 0 &gt;&gt;C:\Users\stu\Documents\GitHub\eaglep3-reporting\EC\2016-09-07-refined-times.txt</v>
      </c>
      <c r="AI19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{"issue":{"subject":"","project_id":79,"tracker_id":40,"status_id":1,"priority_id":2,"assigned_to_id":23,"start_date":"2016-09-07","description":"","custom_fields":[{"id":1,"name":"Subdivision","value":"EC"},{"id":4,"name":"Milepost","value":"23.2957"},{"id":17,"name":"Train ID","value":"107-07"},{"id":16,"name":"Locomotive ID","value":"4046"},{"id":130,"name":"Impact","value":""},{"id":150,"name":"Time of Event (Mountain Time)","value":"05:07:55"},{"id":151,"name":"Denver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</row>
    <row r="20" spans="1:38" s="1" customFormat="1" x14ac:dyDescent="0.25">
      <c r="A20" s="38" t="s">
        <v>362</v>
      </c>
      <c r="B20" s="7">
        <v>4045</v>
      </c>
      <c r="C20" s="23" t="s">
        <v>111</v>
      </c>
      <c r="D20" s="23" t="s">
        <v>248</v>
      </c>
      <c r="E20" s="15">
        <v>42620.216180555559</v>
      </c>
      <c r="F20" s="15">
        <v>42620.226701388892</v>
      </c>
      <c r="G20" s="7">
        <v>1</v>
      </c>
      <c r="H20" s="15" t="s">
        <v>210</v>
      </c>
      <c r="I20" s="15">
        <v>42620.252384259256</v>
      </c>
      <c r="J20" s="7">
        <v>0</v>
      </c>
      <c r="K20" s="115" t="str">
        <f t="shared" si="0"/>
        <v>4045/4046</v>
      </c>
      <c r="L20" s="23" t="str">
        <f>VLOOKUP(A20,'Trips&amp;Operators'!$C$1:$E$10000,3,FALSE)</f>
        <v>SANTIZO</v>
      </c>
      <c r="M20" s="6">
        <f t="shared" si="1"/>
        <v>2.5682870364107657E-2</v>
      </c>
      <c r="N20" s="7">
        <f t="shared" si="2"/>
        <v>36.983333324315026</v>
      </c>
      <c r="O20" s="7"/>
      <c r="P20" s="7"/>
      <c r="Q20" s="24"/>
      <c r="R20" s="24"/>
      <c r="S20" s="36">
        <f t="shared" si="3"/>
        <v>1</v>
      </c>
      <c r="T20" s="51" t="str">
        <f t="shared" si="4"/>
        <v>Southbound</v>
      </c>
      <c r="U20" s="17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04:11:18-0600',mode:absolute,to:'2016-09-07 07:03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20" s="177" t="str">
        <f t="shared" si="5"/>
        <v>N</v>
      </c>
      <c r="X20" s="177">
        <f t="shared" si="6"/>
        <v>1</v>
      </c>
      <c r="Y20" s="177">
        <f t="shared" si="7"/>
        <v>23.299099999999999</v>
      </c>
      <c r="Z20" s="67">
        <f t="shared" si="8"/>
        <v>1.6299999999999999E-2</v>
      </c>
      <c r="AA20" s="67">
        <f t="shared" si="9"/>
        <v>23.282799999999998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10"/>
        <v>0108-07</v>
      </c>
      <c r="AE20" s="97" t="str">
        <f t="shared" si="11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20" s="94" t="str">
        <f t="shared" si="12"/>
        <v>"C:\Program Files (x86)\AstroGrep\AstroGrep.exe" /spath="%USERPROFILE%\AppData\Local\Temp\OnboardLogs" /stypes="*4045*20160907*" /stext=" 12:.+((SYSTEM_STATE.+slice.+state.+changed )|(ment ac)|(system.+state.+changed )|(\|lc)|(penalty)|(\[timeout)|(PRM\|1\|D)|(kpr)|(kdp))" /e /r /s</v>
      </c>
      <c r="AG20" s="1" t="str">
        <f t="shared" si="13"/>
        <v>EC</v>
      </c>
      <c r="AH20" s="98" t="str">
        <f t="shared" si="17"/>
        <v>"%USERPROFILE%\Documents\GitHub\eaglep3\Utilities\RefineRTDCRunTimes.py" --tripid 108-07 --locoid 4045 --swversion DE.1.0.7.0 --startMP 204:232991 --initTime 2016-09-07T05:11:18 --startdatetime 2016-09-07T05:26:27 --delay 1 --endMP 204:163 --enddatetime 2016-09-07T06:03:26 --enforcementcount 0 &gt;&gt;C:\Users\stu\Documents\GitHub\eaglep3-reporting\EC\2016-09-07-refined-times.txt</v>
      </c>
      <c r="AI20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{"issue":{"subject":"","project_id":79,"tracker_id":40,"status_id":1,"priority_id":2,"assigned_to_id":23,"start_date":"2016-09-07","description":"","custom_fields":[{"id":1,"name":"Subdivision","value":"EC"},{"id":4,"name":"Milepost","value":"23.2828"},{"id":17,"name":"Train ID","value":"108-07"},{"id":16,"name":"Locomotive ID","value":"4045"},{"id":130,"name":"Impact","value":""},{"id":150,"name":"Time of Event (Mountain Time)","value":"06:03:26"},{"id":151,"name":"Denver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</row>
    <row r="21" spans="1:38" s="1" customFormat="1" x14ac:dyDescent="0.25">
      <c r="A21" s="38" t="s">
        <v>355</v>
      </c>
      <c r="B21" s="7">
        <v>4011</v>
      </c>
      <c r="C21" s="23" t="s">
        <v>111</v>
      </c>
      <c r="D21" s="23" t="s">
        <v>203</v>
      </c>
      <c r="E21" s="15">
        <v>42620.194861111115</v>
      </c>
      <c r="F21" s="15">
        <v>42620.198101851849</v>
      </c>
      <c r="G21" s="7">
        <v>1</v>
      </c>
      <c r="H21" s="15" t="s">
        <v>218</v>
      </c>
      <c r="I21" s="15">
        <v>42620.223321759258</v>
      </c>
      <c r="J21" s="7">
        <v>0</v>
      </c>
      <c r="K21" s="115" t="str">
        <f t="shared" si="0"/>
        <v>4011/4012</v>
      </c>
      <c r="L21" s="23" t="str">
        <f>VLOOKUP(A21,'Trips&amp;Operators'!$C$1:$E$10000,3,FALSE)</f>
        <v>KILLION</v>
      </c>
      <c r="M21" s="6">
        <f t="shared" si="1"/>
        <v>2.5219907409336884E-2</v>
      </c>
      <c r="N21" s="7">
        <f t="shared" si="2"/>
        <v>36.316666669445112</v>
      </c>
      <c r="O21" s="7"/>
      <c r="P21" s="7"/>
      <c r="Q21" s="24"/>
      <c r="R21" s="24"/>
      <c r="S21" s="36">
        <f t="shared" si="3"/>
        <v>1</v>
      </c>
      <c r="T21" s="51" t="str">
        <f t="shared" si="4"/>
        <v>NorthBound</v>
      </c>
      <c r="U21" s="17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03:40:36-0600',mode:absolute,to:'2016-09-07 06:21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1" s="177" t="str">
        <f t="shared" si="5"/>
        <v>N</v>
      </c>
      <c r="X21" s="177">
        <f t="shared" si="6"/>
        <v>1</v>
      </c>
      <c r="Y21" s="177">
        <f t="shared" si="7"/>
        <v>4.58E-2</v>
      </c>
      <c r="Z21" s="67">
        <f t="shared" si="8"/>
        <v>23.330400000000001</v>
      </c>
      <c r="AA21" s="67">
        <f t="shared" si="9"/>
        <v>23.284600000000001</v>
      </c>
      <c r="AB21" s="64" t="str">
        <f>VLOOKUP(A21,Enforcements!$C$7:$K$21,8,0)</f>
        <v>Speed (6)</v>
      </c>
      <c r="AC21" s="60" t="str">
        <f>VLOOKUP(A21,Enforcements!$C$7:$E$21,3,0)</f>
        <v>PERMANENT SPEED RESTRICTION</v>
      </c>
      <c r="AD21" s="61" t="str">
        <f t="shared" si="10"/>
        <v>0109-07</v>
      </c>
      <c r="AE21" s="97" t="str">
        <f t="shared" si="11"/>
        <v>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 &amp; 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</v>
      </c>
      <c r="AF21" s="94" t="str">
        <f t="shared" si="12"/>
        <v>"C:\Program Files (x86)\AstroGrep\AstroGrep.exe" /spath="%USERPROFILE%\AppData\Local\Temp\OnboardLogs" /stypes="*4011*20160907*" /stext=" 11:.+((SYSTEM_STATE.+slice.+state.+changed )|(ment ac)|(system.+state.+changed )|(\|lc)|(penalty)|(\[timeout)|(PRM\|1\|D)|(kpr)|(kdp))" /e /r /s</v>
      </c>
      <c r="AG21" s="1" t="str">
        <f t="shared" si="13"/>
        <v>EC</v>
      </c>
      <c r="AH21" s="98" t="str">
        <f t="shared" si="17"/>
        <v>"%USERPROFILE%\Documents\GitHub\eaglep3\Utilities\RefineRTDCRunTimes.py" --tripid 109-07 --locoid 4011 --swversion DE.1.0.7.0 --startMP 204:458 --initTime 2016-09-07T04:40:36 --startdatetime 2016-09-07T04:45:16 --delay 1 --endMP 204:233304 --enddatetime 2016-09-07T05:21:35 --enforcementcount 0 &gt;&gt;C:\Users\stu\Documents\GitHub\eaglep3-reporting\EC\2016-09-07-refined-times.txt</v>
      </c>
      <c r="AI21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{"issue":{"subject":"","project_id":79,"tracker_id":40,"status_id":1,"priority_id":2,"assigned_to_id":23,"start_date":"2016-09-07","description":"","custom_fields":[{"id":1,"name":"Subdivision","value":"EC"},{"id":4,"name":"Milepost","value":"23.2846"},{"id":17,"name":"Train ID","value":"109-07"},{"id":16,"name":"Locomotive ID","value":"4011"},{"id":130,"name":"Impact","value":""},{"id":150,"name":"Time of Event (Mountain Time)","value":"05:21:35"},{"id":151,"name":"Denver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</row>
    <row r="22" spans="1:38" s="1" customFormat="1" x14ac:dyDescent="0.25">
      <c r="A22" s="38" t="s">
        <v>364</v>
      </c>
      <c r="B22" s="7">
        <v>4012</v>
      </c>
      <c r="C22" s="23" t="s">
        <v>111</v>
      </c>
      <c r="D22" s="23" t="s">
        <v>202</v>
      </c>
      <c r="E22" s="15">
        <v>42620.22865740741</v>
      </c>
      <c r="F22" s="15">
        <v>42620.237002314818</v>
      </c>
      <c r="G22" s="7">
        <v>1</v>
      </c>
      <c r="H22" s="15" t="s">
        <v>216</v>
      </c>
      <c r="I22" s="15">
        <v>42620.264201388891</v>
      </c>
      <c r="J22" s="7">
        <v>0</v>
      </c>
      <c r="K22" s="115" t="str">
        <f t="shared" si="0"/>
        <v>4011/4012</v>
      </c>
      <c r="L22" s="23" t="str">
        <f>VLOOKUP(A22,'Trips&amp;Operators'!$C$1:$E$10000,3,FALSE)</f>
        <v>KILLION</v>
      </c>
      <c r="M22" s="6">
        <f t="shared" si="1"/>
        <v>2.7199074072996154E-2</v>
      </c>
      <c r="N22" s="7">
        <f t="shared" si="2"/>
        <v>39.166666665114462</v>
      </c>
      <c r="O22" s="7"/>
      <c r="P22" s="7"/>
      <c r="Q22" s="24"/>
      <c r="R22" s="24"/>
      <c r="S22" s="36">
        <f t="shared" si="3"/>
        <v>1</v>
      </c>
      <c r="T22" s="51" t="str">
        <f t="shared" si="4"/>
        <v>Southbound</v>
      </c>
      <c r="U22" s="17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04:29:16-0600',mode:absolute,to:'2016-09-07 07:20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22" s="177" t="str">
        <f t="shared" si="5"/>
        <v>N</v>
      </c>
      <c r="X22" s="177">
        <f t="shared" si="6"/>
        <v>1</v>
      </c>
      <c r="Y22" s="177">
        <f t="shared" si="7"/>
        <v>23.2971</v>
      </c>
      <c r="Z22" s="67">
        <f t="shared" si="8"/>
        <v>1.41E-2</v>
      </c>
      <c r="AA22" s="67">
        <f t="shared" si="9"/>
        <v>23.283000000000001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10"/>
        <v>0110-07</v>
      </c>
      <c r="AE22" s="97" t="str">
        <f t="shared" si="11"/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AF22" s="94" t="str">
        <f t="shared" si="12"/>
        <v>"C:\Program Files (x86)\AstroGrep\AstroGrep.exe" /spath="%USERPROFILE%\AppData\Local\Temp\OnboardLogs" /stypes="*4012*20160907*" /stext=" 12:.+((SYSTEM_STATE.+slice.+state.+changed )|(ment ac)|(system.+state.+changed )|(\|lc)|(penalty)|(\[timeout)|(PRM\|1\|D)|(kpr)|(kdp))" /e /r /s</v>
      </c>
      <c r="AG22" s="1" t="str">
        <f t="shared" si="13"/>
        <v>EC</v>
      </c>
      <c r="AH22" s="98" t="str">
        <f t="shared" si="17"/>
        <v>"%USERPROFILE%\Documents\GitHub\eaglep3\Utilities\RefineRTDCRunTimes.py" --tripid 110-07 --locoid 4012 --swversion DE.1.0.7.0 --startMP 204:232971 --initTime 2016-09-07T05:29:16 --startdatetime 2016-09-07T05:41:17 --delay 1 --endMP 204:141 --enddatetime 2016-09-07T06:20:27 --enforcementcount 0 &gt;&gt;C:\Users\stu\Documents\GitHub\eaglep3-reporting\EC\2016-09-07-refined-times.txt</v>
      </c>
      <c r="AI22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{"issue":{"subject":"","project_id":79,"tracker_id":40,"status_id":1,"priority_id":2,"assigned_to_id":23,"start_date":"2016-09-07","description":"","custom_fields":[{"id":1,"name":"Subdivision","value":"EC"},{"id":4,"name":"Milepost","value":"23.283"},{"id":17,"name":"Train ID","value":"110-07"},{"id":16,"name":"Locomotive ID","value":"4012"},{"id":130,"name":"Impact","value":""},{"id":150,"name":"Time of Event (Mountain Time)","value":"06:20:27"},{"id":151,"name":"Denver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</row>
    <row r="23" spans="1:38" s="1" customFormat="1" x14ac:dyDescent="0.25">
      <c r="A23" s="38" t="s">
        <v>356</v>
      </c>
      <c r="B23" s="7">
        <v>4009</v>
      </c>
      <c r="C23" s="23" t="s">
        <v>111</v>
      </c>
      <c r="D23" s="23" t="s">
        <v>580</v>
      </c>
      <c r="E23" s="15">
        <v>42620.207349537035</v>
      </c>
      <c r="F23" s="15">
        <v>42620.209062499998</v>
      </c>
      <c r="G23" s="7">
        <v>1</v>
      </c>
      <c r="H23" s="15" t="s">
        <v>237</v>
      </c>
      <c r="I23" s="15">
        <v>42620.233483796299</v>
      </c>
      <c r="J23" s="7">
        <v>0</v>
      </c>
      <c r="K23" s="115" t="str">
        <f t="shared" si="0"/>
        <v>4009/4010</v>
      </c>
      <c r="L23" s="23" t="str">
        <f>VLOOKUP(A23,'Trips&amp;Operators'!$C$1:$E$10000,3,FALSE)</f>
        <v>ROCHA</v>
      </c>
      <c r="M23" s="6">
        <f t="shared" si="1"/>
        <v>2.4421296300715767E-2</v>
      </c>
      <c r="N23" s="7">
        <f t="shared" si="2"/>
        <v>35.166666673030704</v>
      </c>
      <c r="O23" s="7"/>
      <c r="P23" s="7"/>
      <c r="Q23" s="24"/>
      <c r="R23" s="24"/>
      <c r="S23" s="36">
        <f t="shared" si="3"/>
        <v>1</v>
      </c>
      <c r="T23" s="51" t="str">
        <f t="shared" si="4"/>
        <v>NorthBound</v>
      </c>
      <c r="U23" s="17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03:58:35-0600',mode:absolute,to:'2016-09-07 06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3" s="177" t="str">
        <f t="shared" si="5"/>
        <v>N</v>
      </c>
      <c r="X23" s="177">
        <f t="shared" si="6"/>
        <v>1</v>
      </c>
      <c r="Y23" s="177">
        <f t="shared" si="7"/>
        <v>7.46E-2</v>
      </c>
      <c r="Z23" s="67">
        <f t="shared" si="8"/>
        <v>23.329499999999999</v>
      </c>
      <c r="AA23" s="67">
        <f t="shared" si="9"/>
        <v>23.254899999999999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0"/>
        <v>0111-07</v>
      </c>
      <c r="AE23" s="97" t="str">
        <f t="shared" si="11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23" s="94" t="str">
        <f t="shared" si="12"/>
        <v>"C:\Program Files (x86)\AstroGrep\AstroGrep.exe" /spath="%USERPROFILE%\AppData\Local\Temp\OnboardLogs" /stypes="*4009*20160907*" /stext=" 11:.+((SYSTEM_STATE.+slice.+state.+changed )|(ment ac)|(system.+state.+changed )|(\|lc)|(penalty)|(\[timeout)|(PRM\|1\|D)|(kpr)|(kdp))" /e /r /s</v>
      </c>
      <c r="AG23" s="1" t="str">
        <f t="shared" si="13"/>
        <v>EC</v>
      </c>
      <c r="AH23" s="98" t="str">
        <f t="shared" si="17"/>
        <v>"%USERPROFILE%\Documents\GitHub\eaglep3\Utilities\RefineRTDCRunTimes.py" --tripid 111-07 --locoid 4009 --swversion DE.1.0.7.0 --startMP 204:746 --initTime 2016-09-07T04:58:35 --startdatetime 2016-09-07T05:01:03 --delay 1 --endMP 204:233295 --enddatetime 2016-09-07T05:36:13 --enforcementcount 0 &gt;&gt;C:\Users\stu\Documents\GitHub\eaglep3-reporting\EC\2016-09-07-refined-times.txt</v>
      </c>
      <c r="AI23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{"issue":{"subject":"","project_id":79,"tracker_id":40,"status_id":1,"priority_id":2,"assigned_to_id":23,"start_date":"2016-09-07","description":"","custom_fields":[{"id":1,"name":"Subdivision","value":"EC"},{"id":4,"name":"Milepost","value":"23.2549"},{"id":17,"name":"Train ID","value":"111-07"},{"id":16,"name":"Locomotive ID","value":"4009"},{"id":130,"name":"Impact","value":""},{"id":150,"name":"Time of Event (Mountain Time)","value":"05:36:13"},{"id":151,"name":"Denver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</row>
    <row r="24" spans="1:38" s="1" customFormat="1" x14ac:dyDescent="0.25">
      <c r="A24" s="38" t="s">
        <v>366</v>
      </c>
      <c r="B24" s="7">
        <v>4010</v>
      </c>
      <c r="C24" s="23" t="s">
        <v>111</v>
      </c>
      <c r="D24" s="23" t="s">
        <v>309</v>
      </c>
      <c r="E24" s="15">
        <v>42620.237916666665</v>
      </c>
      <c r="F24" s="15">
        <v>42620.247534722221</v>
      </c>
      <c r="G24" s="7">
        <v>1</v>
      </c>
      <c r="H24" s="15" t="s">
        <v>210</v>
      </c>
      <c r="I24" s="15">
        <v>42620.273888888885</v>
      </c>
      <c r="J24" s="7">
        <v>0</v>
      </c>
      <c r="K24" s="115" t="str">
        <f t="shared" si="0"/>
        <v>4009/4010</v>
      </c>
      <c r="L24" s="23" t="str">
        <f>VLOOKUP(A24,'Trips&amp;Operators'!$C$1:$E$10000,3,FALSE)</f>
        <v>ROCHA</v>
      </c>
      <c r="M24" s="6">
        <f t="shared" si="1"/>
        <v>2.6354166664532386E-2</v>
      </c>
      <c r="N24" s="7">
        <f t="shared" si="2"/>
        <v>37.949999996926636</v>
      </c>
      <c r="O24" s="7"/>
      <c r="P24" s="7"/>
      <c r="Q24" s="24"/>
      <c r="R24" s="24"/>
      <c r="S24" s="36">
        <f t="shared" si="3"/>
        <v>1</v>
      </c>
      <c r="T24" s="51" t="str">
        <f t="shared" si="4"/>
        <v>Southbound</v>
      </c>
      <c r="U24" s="17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04:42:36-0600',mode:absolute,to:'2016-09-07 07:34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24" s="177" t="str">
        <f t="shared" si="5"/>
        <v>N</v>
      </c>
      <c r="X24" s="177">
        <f t="shared" si="6"/>
        <v>1</v>
      </c>
      <c r="Y24" s="177">
        <f t="shared" si="7"/>
        <v>23.300999999999998</v>
      </c>
      <c r="Z24" s="67">
        <f t="shared" si="8"/>
        <v>1.6299999999999999E-2</v>
      </c>
      <c r="AA24" s="67">
        <f t="shared" si="9"/>
        <v>23.284699999999997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 t="shared" si="10"/>
        <v>0112-07</v>
      </c>
      <c r="AE24" s="97" t="str">
        <f t="shared" si="11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24" s="94" t="str">
        <f t="shared" si="12"/>
        <v>"C:\Program Files (x86)\AstroGrep\AstroGrep.exe" /spath="%USERPROFILE%\AppData\Local\Temp\OnboardLogs" /stypes="*4010*20160907*" /stext=" 12:.+((SYSTEM_STATE.+slice.+state.+changed )|(ment ac)|(system.+state.+changed )|(\|lc)|(penalty)|(\[timeout)|(PRM\|1\|D)|(kpr)|(kdp))" /e /r /s</v>
      </c>
      <c r="AG24" s="1" t="str">
        <f t="shared" si="13"/>
        <v>EC</v>
      </c>
      <c r="AH24" s="98" t="str">
        <f t="shared" si="17"/>
        <v>"%USERPROFILE%\Documents\GitHub\eaglep3\Utilities\RefineRTDCRunTimes.py" --tripid 112-07 --locoid 4010 --swversion DE.1.0.7.0 --startMP 204:233010 --initTime 2016-09-07T05:42:36 --startdatetime 2016-09-07T05:56:27 --delay 1 --endMP 204:163 --enddatetime 2016-09-07T06:34:24 --enforcementcount 0 &gt;&gt;C:\Users\stu\Documents\GitHub\eaglep3-reporting\EC\2016-09-07-refined-times.txt</v>
      </c>
      <c r="AI24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{"issue":{"subject":"","project_id":79,"tracker_id":40,"status_id":1,"priority_id":2,"assigned_to_id":23,"start_date":"2016-09-07","description":"","custom_fields":[{"id":1,"name":"Subdivision","value":"EC"},{"id":4,"name":"Milepost","value":"23.2847"},{"id":17,"name":"Train ID","value":"112-07"},{"id":16,"name":"Locomotive ID","value":"4010"},{"id":130,"name":"Impact","value":""},{"id":150,"name":"Time of Event (Mountain Time)","value":"06:34:24"},{"id":151,"name":"Denver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</row>
    <row r="25" spans="1:38" s="1" customFormat="1" x14ac:dyDescent="0.25">
      <c r="A25" s="38" t="s">
        <v>358</v>
      </c>
      <c r="B25" s="7">
        <v>4014</v>
      </c>
      <c r="C25" s="23" t="s">
        <v>111</v>
      </c>
      <c r="D25" s="23" t="s">
        <v>254</v>
      </c>
      <c r="E25" s="15">
        <v>42620.212407407409</v>
      </c>
      <c r="F25" s="15">
        <v>42620.219224537039</v>
      </c>
      <c r="G25" s="7">
        <v>2</v>
      </c>
      <c r="H25" s="15" t="s">
        <v>232</v>
      </c>
      <c r="I25" s="15">
        <v>42620.244583333333</v>
      </c>
      <c r="J25" s="7">
        <v>0</v>
      </c>
      <c r="K25" s="115" t="str">
        <f t="shared" si="0"/>
        <v>4013/4014</v>
      </c>
      <c r="L25" s="23" t="str">
        <f>VLOOKUP(A25,'Trips&amp;Operators'!$C$1:$E$10000,3,FALSE)</f>
        <v>MAELZER</v>
      </c>
      <c r="M25" s="6">
        <f t="shared" si="1"/>
        <v>2.5358796294312924E-2</v>
      </c>
      <c r="N25" s="7">
        <f t="shared" si="2"/>
        <v>36.516666663810611</v>
      </c>
      <c r="O25" s="7"/>
      <c r="P25" s="7"/>
      <c r="Q25" s="24"/>
      <c r="R25" s="24"/>
      <c r="S25" s="36">
        <f t="shared" si="3"/>
        <v>1</v>
      </c>
      <c r="T25" s="51" t="str">
        <f t="shared" si="4"/>
        <v>NorthBound</v>
      </c>
      <c r="U25" s="17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04:05:52-0600',mode:absolute,to:'2016-09-07 06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5" s="177" t="str">
        <f t="shared" si="5"/>
        <v>N</v>
      </c>
      <c r="X25" s="177">
        <f t="shared" si="6"/>
        <v>1</v>
      </c>
      <c r="Y25" s="177">
        <f t="shared" si="7"/>
        <v>4.4600000000000001E-2</v>
      </c>
      <c r="Z25" s="67">
        <f t="shared" si="8"/>
        <v>23.331600000000002</v>
      </c>
      <c r="AA25" s="67">
        <f t="shared" si="9"/>
        <v>23.287000000000003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10"/>
        <v>0113-07</v>
      </c>
      <c r="AE25" s="97" t="str">
        <f t="shared" si="11"/>
        <v>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 &amp; 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</v>
      </c>
      <c r="AF25" s="94" t="str">
        <f t="shared" si="12"/>
        <v>"C:\Program Files (x86)\AstroGrep\AstroGrep.exe" /spath="%USERPROFILE%\AppData\Local\Temp\OnboardLogs" /stypes="*4014*20160907*" /stext=" 11:.+((SYSTEM_STATE.+slice.+state.+changed )|(ment ac)|(system.+state.+changed )|(\|lc)|(penalty)|(\[timeout)|(PRM\|1\|D)|(kpr)|(kdp))" /e /r /s</v>
      </c>
      <c r="AG25" s="1" t="str">
        <f t="shared" si="13"/>
        <v>EC</v>
      </c>
      <c r="AH25" s="98" t="str">
        <f t="shared" si="17"/>
        <v>"%USERPROFILE%\Documents\GitHub\eaglep3\Utilities\RefineRTDCRunTimes.py" --tripid 113-07 --locoid 4014 --swversion DE.1.0.7.0 --startMP 204:446 --initTime 2016-09-07T05:05:52 --startdatetime 2016-09-07T05:15:41 --delay 2 --endMP 204:233316 --enddatetime 2016-09-07T05:52:12 --enforcementcount 0 &gt;&gt;C:\Users\stu\Documents\GitHub\eaglep3-reporting\EC\2016-09-07-refined-times.txt</v>
      </c>
      <c r="AI25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{"issue":{"subject":"","project_id":79,"tracker_id":40,"status_id":1,"priority_id":2,"assigned_to_id":23,"start_date":"2016-09-07","description":"","custom_fields":[{"id":1,"name":"Subdivision","value":"EC"},{"id":4,"name":"Milepost","value":"23.287"},{"id":17,"name":"Train ID","value":"113-07"},{"id":16,"name":"Locomotive ID","value":"4014"},{"id":130,"name":"Impact","value":""},{"id":150,"name":"Time of Event (Mountain Time)","value":"05:52:12"},{"id":151,"name":"Denver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</row>
    <row r="26" spans="1:38" s="1" customFormat="1" x14ac:dyDescent="0.25">
      <c r="A26" s="38" t="s">
        <v>369</v>
      </c>
      <c r="B26" s="7">
        <v>4013</v>
      </c>
      <c r="C26" s="23" t="s">
        <v>111</v>
      </c>
      <c r="D26" s="23" t="s">
        <v>257</v>
      </c>
      <c r="E26" s="15">
        <v>42620.250763888886</v>
      </c>
      <c r="F26" s="15">
        <v>42620.257916666669</v>
      </c>
      <c r="G26" s="7">
        <v>1</v>
      </c>
      <c r="H26" s="15" t="s">
        <v>145</v>
      </c>
      <c r="I26" s="15">
        <v>42620.285393518519</v>
      </c>
      <c r="J26" s="7">
        <v>0</v>
      </c>
      <c r="K26" s="115" t="str">
        <f t="shared" si="0"/>
        <v>4013/4014</v>
      </c>
      <c r="L26" s="23" t="str">
        <f>VLOOKUP(A26,'Trips&amp;Operators'!$C$1:$E$10000,3,FALSE)</f>
        <v>MAELZER</v>
      </c>
      <c r="M26" s="6">
        <f t="shared" si="1"/>
        <v>2.7476851850224193E-2</v>
      </c>
      <c r="N26" s="7">
        <f t="shared" si="2"/>
        <v>39.566666664322838</v>
      </c>
      <c r="O26" s="7"/>
      <c r="P26" s="7"/>
      <c r="Q26" s="24"/>
      <c r="R26" s="24"/>
      <c r="S26" s="36">
        <f t="shared" si="3"/>
        <v>1</v>
      </c>
      <c r="T26" s="51" t="str">
        <f t="shared" si="4"/>
        <v>Southbound</v>
      </c>
      <c r="U26" s="17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05:01:06-0600',mode:absolute,to:'2016-09-07 07:50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6" s="177" t="str">
        <f t="shared" si="5"/>
        <v>N</v>
      </c>
      <c r="X26" s="177">
        <f t="shared" si="6"/>
        <v>1</v>
      </c>
      <c r="Y26" s="177">
        <f t="shared" si="7"/>
        <v>23.3001</v>
      </c>
      <c r="Z26" s="67">
        <f t="shared" si="8"/>
        <v>1.54E-2</v>
      </c>
      <c r="AA26" s="67">
        <f t="shared" si="9"/>
        <v>23.284700000000001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10"/>
        <v>0114-07</v>
      </c>
      <c r="AE26" s="97" t="str">
        <f t="shared" si="11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26" s="94" t="str">
        <f t="shared" si="12"/>
        <v>"C:\Program Files (x86)\AstroGrep\AstroGrep.exe" /spath="%USERPROFILE%\AppData\Local\Temp\OnboardLogs" /stypes="*4013*20160907*" /stext=" 12:.+((SYSTEM_STATE.+slice.+state.+changed )|(ment ac)|(system.+state.+changed )|(\|lc)|(penalty)|(\[timeout)|(PRM\|1\|D)|(kpr)|(kdp))" /e /r /s</v>
      </c>
      <c r="AG26" s="1" t="str">
        <f t="shared" si="13"/>
        <v>EC</v>
      </c>
      <c r="AH26" s="98" t="str">
        <f t="shared" si="17"/>
        <v>"%USERPROFILE%\Documents\GitHub\eaglep3\Utilities\RefineRTDCRunTimes.py" --tripid 114-07 --locoid 4013 --swversion DE.1.0.7.0 --startMP 204:233001 --initTime 2016-09-07T06:01:06 --startdatetime 2016-09-07T06:11:24 --delay 1 --endMP 204:154 --enddatetime 2016-09-07T06:50:58 --enforcementcount 0 &gt;&gt;C:\Users\stu\Documents\GitHub\eaglep3-reporting\EC\2016-09-07-refined-times.txt</v>
      </c>
      <c r="AI26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{"issue":{"subject":"","project_id":79,"tracker_id":40,"status_id":1,"priority_id":2,"assigned_to_id":23,"start_date":"2016-09-07","description":"","custom_fields":[{"id":1,"name":"Subdivision","value":"EC"},{"id":4,"name":"Milepost","value":"23.2847"},{"id":17,"name":"Train ID","value":"114-07"},{"id":16,"name":"Locomotive ID","value":"4013"},{"id":130,"name":"Impact","value":""},{"id":150,"name":"Time of Event (Mountain Time)","value":"06:50:58"},{"id":151,"name":"Denver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</row>
    <row r="27" spans="1:38" s="1" customFormat="1" x14ac:dyDescent="0.25">
      <c r="A27" s="38" t="s">
        <v>363</v>
      </c>
      <c r="B27" s="7">
        <v>4025</v>
      </c>
      <c r="C27" s="23" t="s">
        <v>111</v>
      </c>
      <c r="D27" s="23" t="s">
        <v>299</v>
      </c>
      <c r="E27" s="15">
        <v>42620.225925925923</v>
      </c>
      <c r="F27" s="15">
        <v>42620.22934027778</v>
      </c>
      <c r="G27" s="7">
        <v>1</v>
      </c>
      <c r="H27" s="15" t="s">
        <v>581</v>
      </c>
      <c r="I27" s="15">
        <v>42620.255324074074</v>
      </c>
      <c r="J27" s="7">
        <v>0</v>
      </c>
      <c r="K27" s="115" t="str">
        <f t="shared" si="0"/>
        <v>4025/4026</v>
      </c>
      <c r="L27" s="23" t="str">
        <f>VLOOKUP(A27,'Trips&amp;Operators'!$C$1:$E$10000,3,FALSE)</f>
        <v>BRANNON</v>
      </c>
      <c r="M27" s="6">
        <f t="shared" si="1"/>
        <v>2.5983796294895001E-2</v>
      </c>
      <c r="N27" s="7">
        <f t="shared" si="2"/>
        <v>37.416666664648801</v>
      </c>
      <c r="O27" s="7"/>
      <c r="P27" s="7"/>
      <c r="Q27" s="24"/>
      <c r="R27" s="24"/>
      <c r="S27" s="36">
        <f t="shared" si="3"/>
        <v>1</v>
      </c>
      <c r="T27" s="51" t="str">
        <f t="shared" si="4"/>
        <v>NorthBound</v>
      </c>
      <c r="U27" s="17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04:25:20-0600',mode:absolute,to:'2016-09-07 07:07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7" s="177" t="str">
        <f t="shared" si="5"/>
        <v>N</v>
      </c>
      <c r="X27" s="177">
        <f t="shared" si="6"/>
        <v>1</v>
      </c>
      <c r="Y27" s="177">
        <f t="shared" si="7"/>
        <v>7.4999999999999997E-2</v>
      </c>
      <c r="Z27" s="67">
        <f t="shared" si="8"/>
        <v>23.337599999999998</v>
      </c>
      <c r="AA27" s="67">
        <f t="shared" si="9"/>
        <v>23.262599999999999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10"/>
        <v>0115-07</v>
      </c>
      <c r="AE27" s="97" t="str">
        <f t="shared" si="11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27" s="94" t="str">
        <f t="shared" si="12"/>
        <v>"C:\Program Files (x86)\AstroGrep\AstroGrep.exe" /spath="%USERPROFILE%\AppData\Local\Temp\OnboardLogs" /stypes="*4025*20160907*" /stext=" 12:.+((SYSTEM_STATE.+slice.+state.+changed )|(ment ac)|(system.+state.+changed )|(\|lc)|(penalty)|(\[timeout)|(PRM\|1\|D)|(kpr)|(kdp))" /e /r /s</v>
      </c>
      <c r="AG27" s="1" t="str">
        <f t="shared" si="13"/>
        <v>EC</v>
      </c>
      <c r="AH27" s="98" t="str">
        <f t="shared" si="17"/>
        <v>"%USERPROFILE%\Documents\GitHub\eaglep3\Utilities\RefineRTDCRunTimes.py" --tripid 115-07 --locoid 4025 --swversion DE.1.0.7.0 --startMP 204:750 --initTime 2016-09-07T05:25:20 --startdatetime 2016-09-07T05:30:15 --delay 1 --endMP 204:233376 --enddatetime 2016-09-07T06:07:40 --enforcementcount 0 &gt;&gt;C:\Users\stu\Documents\GitHub\eaglep3-reporting\EC\2016-09-07-refined-times.txt</v>
      </c>
      <c r="AI27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{"issue":{"subject":"","project_id":79,"tracker_id":40,"status_id":1,"priority_id":2,"assigned_to_id":23,"start_date":"2016-09-07","description":"","custom_fields":[{"id":1,"name":"Subdivision","value":"EC"},{"id":4,"name":"Milepost","value":"23.2626"},{"id":17,"name":"Train ID","value":"115-07"},{"id":16,"name":"Locomotive ID","value":"4025"},{"id":130,"name":"Impact","value":""},{"id":150,"name":"Time of Event (Mountain Time)","value":"06:07:40"},{"id":151,"name":"Denver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</row>
    <row r="28" spans="1:38" s="1" customFormat="1" x14ac:dyDescent="0.25">
      <c r="A28" s="38" t="s">
        <v>373</v>
      </c>
      <c r="B28" s="7">
        <v>4026</v>
      </c>
      <c r="C28" s="23" t="s">
        <v>111</v>
      </c>
      <c r="D28" s="23" t="s">
        <v>582</v>
      </c>
      <c r="E28" s="15">
        <v>42620.263414351852</v>
      </c>
      <c r="F28" s="15">
        <v>42620.268252314818</v>
      </c>
      <c r="G28" s="7">
        <v>1</v>
      </c>
      <c r="H28" s="15" t="s">
        <v>583</v>
      </c>
      <c r="I28" s="15">
        <v>42620.296087962961</v>
      </c>
      <c r="J28" s="7">
        <v>0</v>
      </c>
      <c r="K28" s="115" t="str">
        <f t="shared" si="0"/>
        <v>4025/4026</v>
      </c>
      <c r="L28" s="23" t="str">
        <f>VLOOKUP(A28,'Trips&amp;Operators'!$C$1:$E$10000,3,FALSE)</f>
        <v>BRANNON</v>
      </c>
      <c r="M28" s="6">
        <f t="shared" si="1"/>
        <v>2.7835648143081926E-2</v>
      </c>
      <c r="N28" s="7">
        <f t="shared" si="2"/>
        <v>40.083333326037973</v>
      </c>
      <c r="O28" s="7"/>
      <c r="P28" s="7"/>
      <c r="Q28" s="24"/>
      <c r="R28" s="24"/>
      <c r="S28" s="36">
        <f t="shared" si="3"/>
        <v>1</v>
      </c>
      <c r="T28" s="51" t="str">
        <f t="shared" si="4"/>
        <v>Southbound</v>
      </c>
      <c r="U28" s="17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05:19:19-0600',mode:absolute,to:'2016-09-07 08:06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8" s="177" t="str">
        <f t="shared" si="5"/>
        <v>N</v>
      </c>
      <c r="X28" s="177">
        <f t="shared" si="6"/>
        <v>1</v>
      </c>
      <c r="Y28" s="177">
        <f t="shared" si="7"/>
        <v>23.307600000000001</v>
      </c>
      <c r="Z28" s="67">
        <f t="shared" si="8"/>
        <v>1.72E-2</v>
      </c>
      <c r="AA28" s="67">
        <f t="shared" si="9"/>
        <v>23.290400000000002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10"/>
        <v>0116-07</v>
      </c>
      <c r="AE28" s="97" t="str">
        <f t="shared" si="11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28" s="94" t="str">
        <f t="shared" si="12"/>
        <v>"C:\Program Files (x86)\AstroGrep\AstroGrep.exe" /spath="%USERPROFILE%\AppData\Local\Temp\OnboardLogs" /stypes="*4026*20160907*" /stext=" 13:.+((SYSTEM_STATE.+slice.+state.+changed )|(ment ac)|(system.+state.+changed )|(\|lc)|(penalty)|(\[timeout)|(PRM\|1\|D)|(kpr)|(kdp))" /e /r /s</v>
      </c>
      <c r="AG28" s="1" t="str">
        <f t="shared" si="13"/>
        <v>EC</v>
      </c>
      <c r="AH28" s="98" t="str">
        <f t="shared" si="17"/>
        <v>"%USERPROFILE%\Documents\GitHub\eaglep3\Utilities\RefineRTDCRunTimes.py" --tripid 116-07 --locoid 4026 --swversion DE.1.0.7.0 --startMP 204:233076 --initTime 2016-09-07T06:19:19 --startdatetime 2016-09-07T06:26:17 --delay 1 --endMP 204:172 --enddatetime 2016-09-07T07:06:22 --enforcementcount 0 &gt;&gt;C:\Users\stu\Documents\GitHub\eaglep3-reporting\EC\2016-09-07-refined-times.txt</v>
      </c>
      <c r="AI28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{"issue":{"subject":"","project_id":79,"tracker_id":40,"status_id":1,"priority_id":2,"assigned_to_id":23,"start_date":"2016-09-07","description":"","custom_fields":[{"id":1,"name":"Subdivision","value":"EC"},{"id":4,"name":"Milepost","value":"23.2904"},{"id":17,"name":"Train ID","value":"116-07"},{"id":16,"name":"Locomotive ID","value":"4026"},{"id":130,"name":"Impact","value":""},{"id":150,"name":"Time of Event (Mountain Time)","value":"07:06:22"},{"id":151,"name":"Denver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</row>
    <row r="29" spans="1:38" s="1" customFormat="1" x14ac:dyDescent="0.25">
      <c r="A29" s="38" t="s">
        <v>365</v>
      </c>
      <c r="B29" s="7">
        <v>4031</v>
      </c>
      <c r="C29" s="23" t="s">
        <v>111</v>
      </c>
      <c r="D29" s="23" t="s">
        <v>123</v>
      </c>
      <c r="E29" s="15">
        <v>42620.233055555553</v>
      </c>
      <c r="F29" s="15">
        <v>42620.239768518521</v>
      </c>
      <c r="G29" s="7">
        <v>1</v>
      </c>
      <c r="H29" s="15" t="s">
        <v>584</v>
      </c>
      <c r="I29" s="15">
        <v>42620.265567129631</v>
      </c>
      <c r="J29" s="7">
        <v>0</v>
      </c>
      <c r="K29" s="115" t="str">
        <f t="shared" si="0"/>
        <v>4031/4032</v>
      </c>
      <c r="L29" s="23" t="str">
        <f>VLOOKUP(A29,'Trips&amp;Operators'!$C$1:$E$10000,3,FALSE)</f>
        <v>HILLS</v>
      </c>
      <c r="M29" s="6">
        <f t="shared" si="1"/>
        <v>2.5798611110076308E-2</v>
      </c>
      <c r="N29" s="7">
        <f t="shared" si="2"/>
        <v>37.149999998509884</v>
      </c>
      <c r="O29" s="7"/>
      <c r="P29" s="7"/>
      <c r="Q29" s="24"/>
      <c r="R29" s="24"/>
      <c r="S29" s="36">
        <f t="shared" si="3"/>
        <v>1</v>
      </c>
      <c r="T29" s="51" t="str">
        <f t="shared" si="4"/>
        <v>NorthBound</v>
      </c>
      <c r="U29" s="17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04:35:36-0600',mode:absolute,to:'2016-09-07 07:22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9" s="177" t="str">
        <f t="shared" si="5"/>
        <v>N</v>
      </c>
      <c r="X29" s="177">
        <f t="shared" si="6"/>
        <v>1</v>
      </c>
      <c r="Y29" s="177">
        <f t="shared" si="7"/>
        <v>4.5499999999999999E-2</v>
      </c>
      <c r="Z29" s="67">
        <f t="shared" si="8"/>
        <v>23.333200000000001</v>
      </c>
      <c r="AA29" s="67">
        <f t="shared" si="9"/>
        <v>23.287700000000001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0"/>
        <v>0117-07</v>
      </c>
      <c r="AE29" s="97" t="str">
        <f t="shared" si="11"/>
        <v>aws s3 cp s3://rtdc.mdm.uploadarchive/RTDC4031/2016-09-07/ "%USERPROFILE%\AppData\Local\Temp\OnboardLogs"\RTDC4031\2016-09-07 --recursive &amp; "%USERPROFILE%\Documents\GitHub\mrs-test-scripts\Headless Mode &amp; Sideloading\WalkAndUnGZ.bat" "%USERPROFILE%\AppData\Local\Temp\OnboardLogs"\RTDC4031\2016-09-07 &amp; 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</v>
      </c>
      <c r="AF29" s="94" t="str">
        <f t="shared" si="12"/>
        <v>"C:\Program Files (x86)\AstroGrep\AstroGrep.exe" /spath="%USERPROFILE%\AppData\Local\Temp\OnboardLogs" /stypes="*4031*20160907*" /stext=" 12:.+((SYSTEM_STATE.+slice.+state.+changed )|(ment ac)|(system.+state.+changed )|(\|lc)|(penalty)|(\[timeout)|(PRM\|1\|D)|(kpr)|(kdp))" /e /r /s</v>
      </c>
      <c r="AG29" s="1" t="str">
        <f t="shared" si="13"/>
        <v>EC</v>
      </c>
      <c r="AH29" s="98" t="str">
        <f t="shared" si="17"/>
        <v>"%USERPROFILE%\Documents\GitHub\eaglep3\Utilities\RefineRTDCRunTimes.py" --tripid 117-07 --locoid 4031 --swversion DE.1.0.7.0 --startMP 204:455 --initTime 2016-09-07T05:35:36 --startdatetime 2016-09-07T05:45:16 --delay 1 --endMP 204:233332 --enddatetime 2016-09-07T06:22:25 --enforcementcount 0 &gt;&gt;C:\Users\stu\Documents\GitHub\eaglep3-reporting\EC\2016-09-07-refined-times.txt</v>
      </c>
      <c r="AI29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{"issue":{"subject":"","project_id":79,"tracker_id":40,"status_id":1,"priority_id":2,"assigned_to_id":23,"start_date":"2016-09-07","description":"","custom_fields":[{"id":1,"name":"Subdivision","value":"EC"},{"id":4,"name":"Milepost","value":"23.2877"},{"id":17,"name":"Train ID","value":"117-07"},{"id":16,"name":"Locomotive ID","value":"4031"},{"id":130,"name":"Impact","value":""},{"id":150,"name":"Time of Event (Mountain Time)","value":"06:22:25"},{"id":151,"name":"Denver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</row>
    <row r="30" spans="1:38" s="1" customFormat="1" x14ac:dyDescent="0.25">
      <c r="A30" s="38" t="s">
        <v>375</v>
      </c>
      <c r="B30" s="7">
        <v>4032</v>
      </c>
      <c r="C30" s="23" t="s">
        <v>111</v>
      </c>
      <c r="D30" s="23" t="s">
        <v>585</v>
      </c>
      <c r="E30" s="15">
        <v>42620.27306712963</v>
      </c>
      <c r="F30" s="15">
        <v>42620.278692129628</v>
      </c>
      <c r="G30" s="7">
        <v>1</v>
      </c>
      <c r="H30" s="15" t="s">
        <v>134</v>
      </c>
      <c r="I30" s="15">
        <v>42620.306458333333</v>
      </c>
      <c r="J30" s="7">
        <v>0</v>
      </c>
      <c r="K30" s="115" t="str">
        <f t="shared" si="0"/>
        <v>4031/4032</v>
      </c>
      <c r="L30" s="23" t="str">
        <f>VLOOKUP(A30,'Trips&amp;Operators'!$C$1:$E$10000,3,FALSE)</f>
        <v>HILLS</v>
      </c>
      <c r="M30" s="6">
        <f t="shared" si="1"/>
        <v>2.7766203704231884E-2</v>
      </c>
      <c r="N30" s="7">
        <f t="shared" si="2"/>
        <v>39.983333334093913</v>
      </c>
      <c r="O30" s="7"/>
      <c r="P30" s="7"/>
      <c r="Q30" s="24"/>
      <c r="R30" s="24"/>
      <c r="S30" s="36">
        <f t="shared" si="3"/>
        <v>1</v>
      </c>
      <c r="T30" s="51" t="str">
        <f t="shared" si="4"/>
        <v>Southbound</v>
      </c>
      <c r="U30" s="17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05:33:13-0600',mode:absolute,to:'2016-09-07 08:21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30" s="177" t="str">
        <f t="shared" si="5"/>
        <v>N</v>
      </c>
      <c r="X30" s="177">
        <f t="shared" si="6"/>
        <v>1</v>
      </c>
      <c r="Y30" s="177">
        <f t="shared" si="7"/>
        <v>23.301500000000001</v>
      </c>
      <c r="Z30" s="67">
        <f t="shared" si="8"/>
        <v>1.49E-2</v>
      </c>
      <c r="AA30" s="67">
        <f t="shared" si="9"/>
        <v>23.2866</v>
      </c>
      <c r="AB30" s="64" t="str">
        <f>VLOOKUP(A30,Enforcements!$C$7:$K$21,8,0)</f>
        <v>Bulletin (2)</v>
      </c>
      <c r="AC30" s="60" t="str">
        <f>VLOOKUP(A30,Enforcements!$C$7:$E$21,3,0)</f>
        <v>GRADE CROSSING</v>
      </c>
      <c r="AD30" s="61" t="str">
        <f t="shared" si="10"/>
        <v>0118-07</v>
      </c>
      <c r="AE30" s="97" t="str">
        <f t="shared" si="11"/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AF30" s="94" t="str">
        <f t="shared" si="12"/>
        <v>"C:\Program Files (x86)\AstroGrep\AstroGrep.exe" /spath="%USERPROFILE%\AppData\Local\Temp\OnboardLogs" /stypes="*4032*20160907*" /stext=" 13:.+((SYSTEM_STATE.+slice.+state.+changed )|(ment ac)|(system.+state.+changed )|(\|lc)|(penalty)|(\[timeout)|(PRM\|1\|D)|(kpr)|(kdp))" /e /r /s</v>
      </c>
      <c r="AG30" s="1" t="str">
        <f t="shared" si="13"/>
        <v>EC</v>
      </c>
      <c r="AH30" s="98" t="str">
        <f t="shared" si="17"/>
        <v>"%USERPROFILE%\Documents\GitHub\eaglep3\Utilities\RefineRTDCRunTimes.py" --tripid 118-07 --locoid 4032 --swversion DE.1.0.7.0 --startMP 204:233015 --initTime 2016-09-07T06:33:13 --startdatetime 2016-09-07T06:41:19 --delay 1 --endMP 204:149 --enddatetime 2016-09-07T07:21:18 --enforcementcount 0 &gt;&gt;C:\Users\stu\Documents\GitHub\eaglep3-reporting\EC\2016-09-07-refined-times.txt</v>
      </c>
      <c r="AI30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{"issue":{"subject":"","project_id":79,"tracker_id":40,"status_id":1,"priority_id":2,"assigned_to_id":23,"start_date":"2016-09-07","description":"","custom_fields":[{"id":1,"name":"Subdivision","value":"EC"},{"id":4,"name":"Milepost","value":"23.2866"},{"id":17,"name":"Train ID","value":"118-07"},{"id":16,"name":"Locomotive ID","value":"4032"},{"id":130,"name":"Impact","value":""},{"id":150,"name":"Time of Event (Mountain Time)","value":"07:21:18"},{"id":151,"name":"Denver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</row>
    <row r="31" spans="1:38" s="1" customFormat="1" x14ac:dyDescent="0.25">
      <c r="A31" s="38" t="s">
        <v>367</v>
      </c>
      <c r="B31" s="7">
        <v>4020</v>
      </c>
      <c r="C31" s="23" t="s">
        <v>111</v>
      </c>
      <c r="D31" s="23" t="s">
        <v>301</v>
      </c>
      <c r="E31" s="15">
        <v>42620.245671296296</v>
      </c>
      <c r="F31" s="15">
        <v>42620.250775462962</v>
      </c>
      <c r="G31" s="7">
        <v>3</v>
      </c>
      <c r="H31" s="15" t="s">
        <v>586</v>
      </c>
      <c r="I31" s="15">
        <v>42620.277291666665</v>
      </c>
      <c r="J31" s="7">
        <v>0</v>
      </c>
      <c r="K31" s="115" t="str">
        <f t="shared" si="0"/>
        <v>4019/4020</v>
      </c>
      <c r="L31" s="23" t="str">
        <f>VLOOKUP(A31,'Trips&amp;Operators'!$C$1:$E$10000,3,FALSE)</f>
        <v>STRICKLAND</v>
      </c>
      <c r="M31" s="6">
        <f t="shared" si="1"/>
        <v>2.6516203703067731E-2</v>
      </c>
      <c r="N31" s="7">
        <f t="shared" si="2"/>
        <v>38.183333332417533</v>
      </c>
      <c r="O31" s="7"/>
      <c r="P31" s="7"/>
      <c r="Q31" s="24"/>
      <c r="R31" s="24"/>
      <c r="S31" s="36">
        <f t="shared" si="3"/>
        <v>1</v>
      </c>
      <c r="T31" s="51" t="str">
        <f t="shared" si="4"/>
        <v>NorthBound</v>
      </c>
      <c r="U31" s="17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04:53:46-0600',mode:absolute,to:'2016-09-07 07:39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31" s="177" t="str">
        <f t="shared" si="5"/>
        <v>N</v>
      </c>
      <c r="X31" s="177">
        <f t="shared" si="6"/>
        <v>1</v>
      </c>
      <c r="Y31" s="177">
        <f t="shared" si="7"/>
        <v>4.3299999999999998E-2</v>
      </c>
      <c r="Z31" s="67">
        <f t="shared" si="8"/>
        <v>23.332100000000001</v>
      </c>
      <c r="AA31" s="67">
        <f t="shared" si="9"/>
        <v>23.288800000000002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0"/>
        <v>0119-07</v>
      </c>
      <c r="AE31" s="97" t="str">
        <f t="shared" si="11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31" s="94" t="str">
        <f t="shared" si="12"/>
        <v>"C:\Program Files (x86)\AstroGrep\AstroGrep.exe" /spath="%USERPROFILE%\AppData\Local\Temp\OnboardLogs" /stypes="*4020*20160907*" /stext=" 12:.+((SYSTEM_STATE.+slice.+state.+changed )|(ment ac)|(system.+state.+changed )|(\|lc)|(penalty)|(\[timeout)|(PRM\|1\|D)|(kpr)|(kdp))" /e /r /s</v>
      </c>
      <c r="AG31" s="1" t="str">
        <f t="shared" si="13"/>
        <v>EC</v>
      </c>
      <c r="AH31" s="98" t="str">
        <f t="shared" si="17"/>
        <v>"%USERPROFILE%\Documents\GitHub\eaglep3\Utilities\RefineRTDCRunTimes.py" --tripid 119-07 --locoid 4020 --swversion DE.1.0.7.0 --startMP 204:433 --initTime 2016-09-07T05:53:46 --startdatetime 2016-09-07T06:01:07 --delay 3 --endMP 204:233321 --enddatetime 2016-09-07T06:39:18 --enforcementcount 0 &gt;&gt;C:\Users\stu\Documents\GitHub\eaglep3-reporting\EC\2016-09-07-refined-times.txt</v>
      </c>
      <c r="AI31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{"issue":{"subject":"","project_id":79,"tracker_id":40,"status_id":1,"priority_id":2,"assigned_to_id":23,"start_date":"2016-09-07","description":"","custom_fields":[{"id":1,"name":"Subdivision","value":"EC"},{"id":4,"name":"Milepost","value":"23.2888"},{"id":17,"name":"Train ID","value":"119-07"},{"id":16,"name":"Locomotive ID","value":"4020"},{"id":130,"name":"Impact","value":""},{"id":150,"name":"Time of Event (Mountain Time)","value":"06:39:18"},{"id":151,"name":"Denver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</row>
    <row r="32" spans="1:38" s="1" customFormat="1" x14ac:dyDescent="0.25">
      <c r="A32" s="38" t="s">
        <v>379</v>
      </c>
      <c r="B32" s="7">
        <v>4019</v>
      </c>
      <c r="C32" s="23" t="s">
        <v>111</v>
      </c>
      <c r="D32" s="23" t="s">
        <v>587</v>
      </c>
      <c r="E32" s="15">
        <v>42620.285682870373</v>
      </c>
      <c r="F32" s="15">
        <v>42620.289143518516</v>
      </c>
      <c r="G32" s="7">
        <v>1</v>
      </c>
      <c r="H32" s="15" t="s">
        <v>145</v>
      </c>
      <c r="I32" s="15">
        <v>42620.316840277781</v>
      </c>
      <c r="J32" s="7">
        <v>0</v>
      </c>
      <c r="K32" s="115" t="str">
        <f t="shared" si="0"/>
        <v>4019/4020</v>
      </c>
      <c r="L32" s="23" t="str">
        <f>VLOOKUP(A32,'Trips&amp;Operators'!$C$1:$E$10000,3,FALSE)</f>
        <v>STRICKLAND</v>
      </c>
      <c r="M32" s="6">
        <f t="shared" si="1"/>
        <v>2.7696759265381843E-2</v>
      </c>
      <c r="N32" s="7">
        <f t="shared" si="2"/>
        <v>39.883333342149854</v>
      </c>
      <c r="O32" s="7"/>
      <c r="P32" s="7"/>
      <c r="Q32" s="24"/>
      <c r="R32" s="24"/>
      <c r="S32" s="36">
        <f t="shared" si="3"/>
        <v>1</v>
      </c>
      <c r="T32" s="51" t="str">
        <f t="shared" si="4"/>
        <v>Southbound</v>
      </c>
      <c r="U32" s="17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05:51:23-0600',mode:absolute,to:'2016-09-07 08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32" s="177" t="str">
        <f t="shared" si="5"/>
        <v>N</v>
      </c>
      <c r="X32" s="177">
        <f t="shared" si="6"/>
        <v>1</v>
      </c>
      <c r="Y32" s="177">
        <f t="shared" si="7"/>
        <v>23.302099999999999</v>
      </c>
      <c r="Z32" s="67">
        <f t="shared" si="8"/>
        <v>1.54E-2</v>
      </c>
      <c r="AA32" s="67">
        <f t="shared" si="9"/>
        <v>23.2867</v>
      </c>
      <c r="AB32" s="64" t="str">
        <f>VLOOKUP(A32,Enforcements!$C$7:$K$21,8,0)</f>
        <v>Speed (6)</v>
      </c>
      <c r="AC32" s="60" t="str">
        <f>VLOOKUP(A32,Enforcements!$C$7:$E$21,3,0)</f>
        <v>PERMANENT SPEED RESTRICTION</v>
      </c>
      <c r="AD32" s="61" t="str">
        <f t="shared" si="10"/>
        <v>0120-07</v>
      </c>
      <c r="AE32" s="97" t="str">
        <f t="shared" si="11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32" s="94" t="str">
        <f t="shared" si="12"/>
        <v>"C:\Program Files (x86)\AstroGrep\AstroGrep.exe" /spath="%USERPROFILE%\AppData\Local\Temp\OnboardLogs" /stypes="*4019*20160907*" /stext=" 13:.+((SYSTEM_STATE.+slice.+state.+changed )|(ment ac)|(system.+state.+changed )|(\|lc)|(penalty)|(\[timeout)|(PRM\|1\|D)|(kpr)|(kdp))" /e /r /s</v>
      </c>
      <c r="AG32" s="1" t="str">
        <f t="shared" si="13"/>
        <v>EC</v>
      </c>
      <c r="AH32" s="98" t="str">
        <f t="shared" si="17"/>
        <v>"%USERPROFILE%\Documents\GitHub\eaglep3\Utilities\RefineRTDCRunTimes.py" --tripid 120-07 --locoid 4019 --swversion DE.1.0.7.0 --startMP 204:233021 --initTime 2016-09-07T06:51:23 --startdatetime 2016-09-07T06:56:22 --delay 1 --endMP 204:154 --enddatetime 2016-09-07T07:36:15 --enforcementcount 0 &gt;&gt;C:\Users\stu\Documents\GitHub\eaglep3-reporting\EC\2016-09-07-refined-times.txt</v>
      </c>
      <c r="AI32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{"issue":{"subject":"","project_id":79,"tracker_id":40,"status_id":1,"priority_id":2,"assigned_to_id":23,"start_date":"2016-09-07","description":"","custom_fields":[{"id":1,"name":"Subdivision","value":"EC"},{"id":4,"name":"Milepost","value":"23.2867"},{"id":17,"name":"Train ID","value":"120-07"},{"id":16,"name":"Locomotive ID","value":"4019"},{"id":130,"name":"Impact","value":""},{"id":150,"name":"Time of Event (Mountain Time)","value":"07:36:15"},{"id":151,"name":"Denver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</row>
    <row r="33" spans="1:38" s="1" customFormat="1" x14ac:dyDescent="0.25">
      <c r="A33" s="38" t="s">
        <v>370</v>
      </c>
      <c r="B33" s="7">
        <v>4046</v>
      </c>
      <c r="C33" s="23" t="s">
        <v>111</v>
      </c>
      <c r="D33" s="23" t="s">
        <v>254</v>
      </c>
      <c r="E33" s="15">
        <v>42620.253472222219</v>
      </c>
      <c r="F33" s="15">
        <v>42620.260659722226</v>
      </c>
      <c r="G33" s="7">
        <v>1</v>
      </c>
      <c r="H33" s="15" t="s">
        <v>212</v>
      </c>
      <c r="I33" s="15">
        <v>42620.285613425927</v>
      </c>
      <c r="J33" s="7">
        <v>0</v>
      </c>
      <c r="K33" s="115" t="str">
        <f t="shared" si="0"/>
        <v>4045/4046</v>
      </c>
      <c r="L33" s="23" t="str">
        <f>VLOOKUP(A33,'Trips&amp;Operators'!$C$1:$E$10000,3,FALSE)</f>
        <v>SANTIZO</v>
      </c>
      <c r="M33" s="6">
        <f t="shared" si="1"/>
        <v>2.495370370161254E-2</v>
      </c>
      <c r="N33" s="7">
        <f t="shared" si="2"/>
        <v>35.933333330322057</v>
      </c>
      <c r="O33" s="7"/>
      <c r="P33" s="7"/>
      <c r="Q33" s="24"/>
      <c r="R33" s="24"/>
      <c r="S33" s="36">
        <f t="shared" si="3"/>
        <v>1</v>
      </c>
      <c r="T33" s="51" t="str">
        <f t="shared" si="4"/>
        <v>NorthBound</v>
      </c>
      <c r="U33" s="17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05:05:00-0600',mode:absolute,to:'2016-09-07 07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33" s="177" t="str">
        <f t="shared" si="5"/>
        <v>N</v>
      </c>
      <c r="X33" s="177">
        <f t="shared" si="6"/>
        <v>1</v>
      </c>
      <c r="Y33" s="177">
        <f t="shared" si="7"/>
        <v>4.4600000000000001E-2</v>
      </c>
      <c r="Z33" s="67">
        <f t="shared" si="8"/>
        <v>23.3307</v>
      </c>
      <c r="AA33" s="67">
        <f t="shared" si="9"/>
        <v>23.286100000000001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10"/>
        <v>0121-07</v>
      </c>
      <c r="AE33" s="97" t="str">
        <f t="shared" si="11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33" s="94" t="str">
        <f t="shared" si="12"/>
        <v>"C:\Program Files (x86)\AstroGrep\AstroGrep.exe" /spath="%USERPROFILE%\AppData\Local\Temp\OnboardLogs" /stypes="*4046*20160907*" /stext=" 12:.+((SYSTEM_STATE.+slice.+state.+changed )|(ment ac)|(system.+state.+changed )|(\|lc)|(penalty)|(\[timeout)|(PRM\|1\|D)|(kpr)|(kdp))" /e /r /s</v>
      </c>
      <c r="AG33" s="1" t="str">
        <f t="shared" si="13"/>
        <v>EC</v>
      </c>
      <c r="AH33" s="98" t="str">
        <f t="shared" si="17"/>
        <v>"%USERPROFILE%\Documents\GitHub\eaglep3\Utilities\RefineRTDCRunTimes.py" --tripid 121-07 --locoid 4046 --swversion DE.1.0.7.0 --startMP 204:446 --initTime 2016-09-07T06:05:00 --startdatetime 2016-09-07T06:15:21 --delay 1 --endMP 204:233307 --enddatetime 2016-09-07T06:51:17 --enforcementcount 0 &gt;&gt;C:\Users\stu\Documents\GitHub\eaglep3-reporting\EC\2016-09-07-refined-times.txt</v>
      </c>
      <c r="AI33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{"issue":{"subject":"","project_id":79,"tracker_id":40,"status_id":1,"priority_id":2,"assigned_to_id":23,"start_date":"2016-09-07","description":"","custom_fields":[{"id":1,"name":"Subdivision","value":"EC"},{"id":4,"name":"Milepost","value":"23.2861"},{"id":17,"name":"Train ID","value":"121-07"},{"id":16,"name":"Locomotive ID","value":"4046"},{"id":130,"name":"Impact","value":""},{"id":150,"name":"Time of Event (Mountain Time)","value":"06:51:17"},{"id":151,"name":"Denver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</row>
    <row r="34" spans="1:38" s="1" customFormat="1" x14ac:dyDescent="0.25">
      <c r="A34" s="38" t="s">
        <v>380</v>
      </c>
      <c r="B34" s="7">
        <v>4045</v>
      </c>
      <c r="C34" s="23" t="s">
        <v>111</v>
      </c>
      <c r="D34" s="23" t="s">
        <v>249</v>
      </c>
      <c r="E34" s="15">
        <v>42620.286944444444</v>
      </c>
      <c r="F34" s="15">
        <v>42620.299571759257</v>
      </c>
      <c r="G34" s="7">
        <v>1</v>
      </c>
      <c r="H34" s="15" t="s">
        <v>146</v>
      </c>
      <c r="I34" s="15">
        <v>42620.325543981482</v>
      </c>
      <c r="J34" s="7">
        <v>0</v>
      </c>
      <c r="K34" s="115" t="str">
        <f t="shared" si="0"/>
        <v>4045/4046</v>
      </c>
      <c r="L34" s="23" t="str">
        <f>VLOOKUP(A34,'Trips&amp;Operators'!$C$1:$E$10000,3,FALSE)</f>
        <v>SANTIZO</v>
      </c>
      <c r="M34" s="6">
        <f t="shared" si="1"/>
        <v>2.5972222225391306E-2</v>
      </c>
      <c r="N34" s="7">
        <f t="shared" si="2"/>
        <v>37.400000004563481</v>
      </c>
      <c r="O34" s="7"/>
      <c r="P34" s="7"/>
      <c r="Q34" s="24"/>
      <c r="R34" s="24"/>
      <c r="S34" s="36">
        <f t="shared" si="3"/>
        <v>1</v>
      </c>
      <c r="T34" s="51" t="str">
        <f t="shared" si="4"/>
        <v>Southbound</v>
      </c>
      <c r="U34" s="17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05:53:12-0600',mode:absolute,to:'2016-09-07 08:48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34" s="177" t="str">
        <f t="shared" si="5"/>
        <v>N</v>
      </c>
      <c r="X34" s="177">
        <f t="shared" si="6"/>
        <v>1</v>
      </c>
      <c r="Y34" s="177">
        <f t="shared" si="7"/>
        <v>23.298400000000001</v>
      </c>
      <c r="Z34" s="67">
        <f t="shared" si="8"/>
        <v>1.52E-2</v>
      </c>
      <c r="AA34" s="67">
        <f t="shared" si="9"/>
        <v>23.283200000000001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10"/>
        <v>0122-07</v>
      </c>
      <c r="AE34" s="97" t="str">
        <f t="shared" si="11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34" s="94" t="str">
        <f t="shared" si="12"/>
        <v>"C:\Program Files (x86)\AstroGrep\AstroGrep.exe" /spath="%USERPROFILE%\AppData\Local\Temp\OnboardLogs" /stypes="*4045*20160907*" /stext=" 13:.+((SYSTEM_STATE.+slice.+state.+changed )|(ment ac)|(system.+state.+changed )|(\|lc)|(penalty)|(\[timeout)|(PRM\|1\|D)|(kpr)|(kdp))" /e /r /s</v>
      </c>
      <c r="AG34" s="1" t="str">
        <f t="shared" si="13"/>
        <v>EC</v>
      </c>
      <c r="AH34" s="98" t="str">
        <f t="shared" si="17"/>
        <v>"%USERPROFILE%\Documents\GitHub\eaglep3\Utilities\RefineRTDCRunTimes.py" --tripid 122-07 --locoid 4045 --swversion DE.1.0.7.0 --startMP 204:232984 --initTime 2016-09-07T06:53:12 --startdatetime 2016-09-07T07:11:23 --delay 1 --endMP 204:152 --enddatetime 2016-09-07T07:48:47 --enforcementcount 0 &gt;&gt;C:\Users\stu\Documents\GitHub\eaglep3-reporting\EC\2016-09-07-refined-times.txt</v>
      </c>
      <c r="AI34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{"issue":{"subject":"","project_id":79,"tracker_id":40,"status_id":1,"priority_id":2,"assigned_to_id":23,"start_date":"2016-09-07","description":"","custom_fields":[{"id":1,"name":"Subdivision","value":"EC"},{"id":4,"name":"Milepost","value":"23.2832"},{"id":17,"name":"Train ID","value":"122-07"},{"id":16,"name":"Locomotive ID","value":"4045"},{"id":130,"name":"Impact","value":""},{"id":150,"name":"Time of Event (Mountain Time)","value":"07:48:47"},{"id":151,"name":"Denver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</row>
    <row r="35" spans="1:38" s="1" customFormat="1" x14ac:dyDescent="0.25">
      <c r="A35" s="38" t="s">
        <v>374</v>
      </c>
      <c r="B35" s="7">
        <v>4011</v>
      </c>
      <c r="C35" s="23" t="s">
        <v>111</v>
      </c>
      <c r="D35" s="23" t="s">
        <v>144</v>
      </c>
      <c r="E35" s="15">
        <v>42620.266122685185</v>
      </c>
      <c r="F35" s="15">
        <v>42620.271249999998</v>
      </c>
      <c r="G35" s="7">
        <v>1</v>
      </c>
      <c r="H35" s="15" t="s">
        <v>218</v>
      </c>
      <c r="I35" s="15">
        <v>42620.29614583333</v>
      </c>
      <c r="J35" s="7">
        <v>0</v>
      </c>
      <c r="K35" s="115" t="str">
        <f t="shared" si="0"/>
        <v>4011/4012</v>
      </c>
      <c r="L35" s="23" t="str">
        <f>VLOOKUP(A35,'Trips&amp;Operators'!$C$1:$E$10000,3,FALSE)</f>
        <v>KILLION</v>
      </c>
      <c r="M35" s="6">
        <f t="shared" si="1"/>
        <v>2.4895833332266193E-2</v>
      </c>
      <c r="N35" s="7">
        <f t="shared" si="2"/>
        <v>35.849999998463318</v>
      </c>
      <c r="O35" s="7"/>
      <c r="P35" s="7"/>
      <c r="Q35" s="24"/>
      <c r="R35" s="24"/>
      <c r="S35" s="36">
        <f t="shared" si="3"/>
        <v>1</v>
      </c>
      <c r="T35" s="51" t="str">
        <f t="shared" si="4"/>
        <v>NorthBound</v>
      </c>
      <c r="U35" s="17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05:23:13-0600',mode:absolute,to:'2016-09-07 08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35" s="177" t="str">
        <f t="shared" si="5"/>
        <v>N</v>
      </c>
      <c r="X35" s="177">
        <f t="shared" si="6"/>
        <v>1</v>
      </c>
      <c r="Y35" s="177">
        <f t="shared" si="7"/>
        <v>4.5100000000000001E-2</v>
      </c>
      <c r="Z35" s="67">
        <f t="shared" si="8"/>
        <v>23.330400000000001</v>
      </c>
      <c r="AA35" s="67">
        <f t="shared" si="9"/>
        <v>23.285299999999999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0"/>
        <v>0123-07</v>
      </c>
      <c r="AE35" s="97" t="str">
        <f t="shared" si="11"/>
        <v>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 &amp; 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</v>
      </c>
      <c r="AF35" s="94" t="str">
        <f t="shared" si="12"/>
        <v>"C:\Program Files (x86)\AstroGrep\AstroGrep.exe" /spath="%USERPROFILE%\AppData\Local\Temp\OnboardLogs" /stypes="*4011*20160907*" /stext=" 13:.+((SYSTEM_STATE.+slice.+state.+changed )|(ment ac)|(system.+state.+changed )|(\|lc)|(penalty)|(\[timeout)|(PRM\|1\|D)|(kpr)|(kdp))" /e /r /s</v>
      </c>
      <c r="AG35" s="1" t="str">
        <f t="shared" si="13"/>
        <v>EC</v>
      </c>
      <c r="AH35" s="98" t="str">
        <f t="shared" si="17"/>
        <v>"%USERPROFILE%\Documents\GitHub\eaglep3\Utilities\RefineRTDCRunTimes.py" --tripid 123-07 --locoid 4011 --swversion DE.1.0.7.0 --startMP 204:451 --initTime 2016-09-07T06:23:13 --startdatetime 2016-09-07T06:30:36 --delay 1 --endMP 204:233304 --enddatetime 2016-09-07T07:06:27 --enforcementcount 0 &gt;&gt;C:\Users\stu\Documents\GitHub\eaglep3-reporting\EC\2016-09-07-refined-times.txt</v>
      </c>
      <c r="AI35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{"issue":{"subject":"","project_id":79,"tracker_id":40,"status_id":1,"priority_id":2,"assigned_to_id":23,"start_date":"2016-09-07","description":"","custom_fields":[{"id":1,"name":"Subdivision","value":"EC"},{"id":4,"name":"Milepost","value":"23.2853"},{"id":17,"name":"Train ID","value":"123-07"},{"id":16,"name":"Locomotive ID","value":"4011"},{"id":130,"name":"Impact","value":""},{"id":150,"name":"Time of Event (Mountain Time)","value":"07:06:27"},{"id":151,"name":"Denver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</row>
    <row r="36" spans="1:38" s="1" customFormat="1" ht="16.5" customHeight="1" x14ac:dyDescent="0.25">
      <c r="A36" s="38" t="s">
        <v>384</v>
      </c>
      <c r="B36" s="7">
        <v>4012</v>
      </c>
      <c r="C36" s="23" t="s">
        <v>111</v>
      </c>
      <c r="D36" s="23" t="s">
        <v>588</v>
      </c>
      <c r="E36" s="15">
        <v>42620.302743055552</v>
      </c>
      <c r="F36" s="15">
        <v>42620.309895833336</v>
      </c>
      <c r="G36" s="7">
        <v>1</v>
      </c>
      <c r="H36" s="15" t="s">
        <v>228</v>
      </c>
      <c r="I36" s="15">
        <v>42620.336712962962</v>
      </c>
      <c r="J36" s="7">
        <v>0</v>
      </c>
      <c r="K36" s="115" t="str">
        <f t="shared" si="0"/>
        <v>4011/4012</v>
      </c>
      <c r="L36" s="23" t="str">
        <f>VLOOKUP(A36,'Trips&amp;Operators'!$C$1:$E$10000,3,FALSE)</f>
        <v>KILLION</v>
      </c>
      <c r="M36" s="6">
        <f t="shared" si="1"/>
        <v>2.6817129626579117E-2</v>
      </c>
      <c r="N36" s="7">
        <f t="shared" si="2"/>
        <v>38.616666662273929</v>
      </c>
      <c r="O36" s="7"/>
      <c r="P36" s="7"/>
      <c r="Q36" s="24"/>
      <c r="R36" s="24"/>
      <c r="S36" s="36">
        <f t="shared" si="3"/>
        <v>1</v>
      </c>
      <c r="T36" s="51" t="str">
        <f t="shared" si="4"/>
        <v>Southbound</v>
      </c>
      <c r="U36" s="17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06:15:57-0600',mode:absolute,to:'2016-09-07 09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36" s="177" t="str">
        <f t="shared" si="5"/>
        <v>N</v>
      </c>
      <c r="X36" s="177">
        <f t="shared" si="6"/>
        <v>1</v>
      </c>
      <c r="Y36" s="177">
        <f t="shared" si="7"/>
        <v>23.298500000000001</v>
      </c>
      <c r="Z36" s="67">
        <f t="shared" si="8"/>
        <v>1.3599999999999999E-2</v>
      </c>
      <c r="AA36" s="67">
        <f t="shared" si="9"/>
        <v>23.2849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0"/>
        <v>0124-07</v>
      </c>
      <c r="AE36" s="97" t="str">
        <f t="shared" si="11"/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AF36" s="94" t="str">
        <f t="shared" si="12"/>
        <v>"C:\Program Files (x86)\AstroGrep\AstroGrep.exe" /spath="%USERPROFILE%\AppData\Local\Temp\OnboardLogs" /stypes="*4012*20160907*" /stext=" 14:.+((SYSTEM_STATE.+slice.+state.+changed )|(ment ac)|(system.+state.+changed )|(\|lc)|(penalty)|(\[timeout)|(PRM\|1\|D)|(kpr)|(kdp))" /e /r /s</v>
      </c>
      <c r="AG36" s="1" t="str">
        <f t="shared" si="13"/>
        <v>EC</v>
      </c>
      <c r="AH36" s="98" t="str">
        <f t="shared" si="17"/>
        <v>"%USERPROFILE%\Documents\GitHub\eaglep3\Utilities\RefineRTDCRunTimes.py" --tripid 124-07 --locoid 4012 --swversion DE.1.0.7.0 --startMP 204:232985 --initTime 2016-09-07T07:15:57 --startdatetime 2016-09-07T07:26:15 --delay 1 --endMP 204:136 --enddatetime 2016-09-07T08:04:52 --enforcementcount 0 &gt;&gt;C:\Users\stu\Documents\GitHub\eaglep3-reporting\EC\2016-09-07-refined-times.txt</v>
      </c>
      <c r="AI36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{"issue":{"subject":"","project_id":79,"tracker_id":40,"status_id":1,"priority_id":2,"assigned_to_id":23,"start_date":"2016-09-07","description":"","custom_fields":[{"id":1,"name":"Subdivision","value":"EC"},{"id":4,"name":"Milepost","value":"23.2849"},{"id":17,"name":"Train ID","value":"124-07"},{"id":16,"name":"Locomotive ID","value":"4012"},{"id":130,"name":"Impact","value":""},{"id":150,"name":"Time of Event (Mountain Time)","value":"08:04:52"},{"id":151,"name":"Denver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</row>
    <row r="37" spans="1:38" s="1" customFormat="1" x14ac:dyDescent="0.25">
      <c r="A37" s="38" t="s">
        <v>377</v>
      </c>
      <c r="B37" s="7">
        <v>4009</v>
      </c>
      <c r="C37" s="23" t="s">
        <v>111</v>
      </c>
      <c r="D37" s="23" t="s">
        <v>156</v>
      </c>
      <c r="E37" s="15">
        <v>42620.278993055559</v>
      </c>
      <c r="F37" s="15">
        <v>42620.28162037037</v>
      </c>
      <c r="G37" s="7">
        <v>1</v>
      </c>
      <c r="H37" s="15" t="s">
        <v>209</v>
      </c>
      <c r="I37" s="15">
        <v>42620.305555555555</v>
      </c>
      <c r="J37" s="7">
        <v>0</v>
      </c>
      <c r="K37" s="115" t="str">
        <f t="shared" si="0"/>
        <v>4009/4010</v>
      </c>
      <c r="L37" s="23" t="str">
        <f>VLOOKUP(A37,'Trips&amp;Operators'!$C$1:$E$10000,3,FALSE)</f>
        <v>ROCHA</v>
      </c>
      <c r="M37" s="6">
        <f t="shared" si="1"/>
        <v>2.3935185185109731E-2</v>
      </c>
      <c r="N37" s="7">
        <f t="shared" si="2"/>
        <v>34.466666666558012</v>
      </c>
      <c r="O37" s="7"/>
      <c r="P37" s="7"/>
      <c r="Q37" s="24"/>
      <c r="R37" s="24"/>
      <c r="S37" s="36">
        <f t="shared" si="3"/>
        <v>1</v>
      </c>
      <c r="T37" s="51" t="str">
        <f t="shared" si="4"/>
        <v>NorthBound</v>
      </c>
      <c r="U37" s="17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05:41:45-0600',mode:absolute,to:'2016-09-07 08:20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37" s="177" t="str">
        <f t="shared" si="5"/>
        <v>N</v>
      </c>
      <c r="X37" s="177">
        <f t="shared" si="6"/>
        <v>1</v>
      </c>
      <c r="Y37" s="177">
        <f t="shared" si="7"/>
        <v>4.5999999999999999E-2</v>
      </c>
      <c r="Z37" s="67">
        <f t="shared" si="8"/>
        <v>23.331399999999999</v>
      </c>
      <c r="AA37" s="67">
        <f t="shared" si="9"/>
        <v>23.285399999999999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0"/>
        <v>0125-07</v>
      </c>
      <c r="AE37" s="97" t="str">
        <f t="shared" si="11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37" s="94" t="str">
        <f t="shared" si="12"/>
        <v>"C:\Program Files (x86)\AstroGrep\AstroGrep.exe" /spath="%USERPROFILE%\AppData\Local\Temp\OnboardLogs" /stypes="*4009*20160907*" /stext=" 13:.+((SYSTEM_STATE.+slice.+state.+changed )|(ment ac)|(system.+state.+changed )|(\|lc)|(penalty)|(\[timeout)|(PRM\|1\|D)|(kpr)|(kdp))" /e /r /s</v>
      </c>
      <c r="AG37" s="1" t="str">
        <f t="shared" si="13"/>
        <v>EC</v>
      </c>
      <c r="AH37" s="98" t="str">
        <f t="shared" si="17"/>
        <v>"%USERPROFILE%\Documents\GitHub\eaglep3\Utilities\RefineRTDCRunTimes.py" --tripid 125-07 --locoid 4009 --swversion DE.1.0.7.0 --startMP 204:460 --initTime 2016-09-07T06:41:45 --startdatetime 2016-09-07T06:45:32 --delay 1 --endMP 204:233314 --enddatetime 2016-09-07T07:20:00 --enforcementcount 0 &gt;&gt;C:\Users\stu\Documents\GitHub\eaglep3-reporting\EC\2016-09-07-refined-times.txt</v>
      </c>
      <c r="AI37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{"issue":{"subject":"","project_id":79,"tracker_id":40,"status_id":1,"priority_id":2,"assigned_to_id":23,"start_date":"2016-09-07","description":"","custom_fields":[{"id":1,"name":"Subdivision","value":"EC"},{"id":4,"name":"Milepost","value":"23.2854"},{"id":17,"name":"Train ID","value":"125-07"},{"id":16,"name":"Locomotive ID","value":"4009"},{"id":130,"name":"Impact","value":""},{"id":150,"name":"Time of Event (Mountain Time)","value":"07:20:00"},{"id":151,"name":"Denver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</row>
    <row r="38" spans="1:38" s="30" customFormat="1" x14ac:dyDescent="0.25">
      <c r="A38" s="38" t="s">
        <v>390</v>
      </c>
      <c r="B38" s="7">
        <v>4010</v>
      </c>
      <c r="C38" s="23" t="s">
        <v>111</v>
      </c>
      <c r="D38" s="23" t="s">
        <v>194</v>
      </c>
      <c r="E38" s="15">
        <v>42620.319490740738</v>
      </c>
      <c r="F38" s="15">
        <v>42620.320659722223</v>
      </c>
      <c r="G38" s="7">
        <v>0</v>
      </c>
      <c r="H38" s="15" t="s">
        <v>129</v>
      </c>
      <c r="I38" s="15">
        <v>42620.346689814818</v>
      </c>
      <c r="J38" s="7">
        <v>0</v>
      </c>
      <c r="K38" s="115" t="str">
        <f t="shared" si="0"/>
        <v>4009/4010</v>
      </c>
      <c r="L38" s="23" t="str">
        <f>VLOOKUP(A38,'Trips&amp;Operators'!$C$1:$E$10000,3,FALSE)</f>
        <v>ROCHA</v>
      </c>
      <c r="M38" s="6">
        <f t="shared" si="1"/>
        <v>2.6030092594737653E-2</v>
      </c>
      <c r="N38" s="7">
        <f t="shared" si="2"/>
        <v>37.48333333642222</v>
      </c>
      <c r="O38" s="7"/>
      <c r="P38" s="7"/>
      <c r="Q38" s="24"/>
      <c r="R38" s="24"/>
      <c r="S38" s="36">
        <f t="shared" si="3"/>
        <v>1</v>
      </c>
      <c r="T38" s="51" t="str">
        <f t="shared" si="4"/>
        <v>Southbound</v>
      </c>
      <c r="U38" s="17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06:40:04-0600',mode:absolute,to:'2016-09-07 09:19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38" s="177" t="str">
        <f t="shared" si="5"/>
        <v>N</v>
      </c>
      <c r="X38" s="177">
        <f t="shared" si="6"/>
        <v>1</v>
      </c>
      <c r="Y38" s="177">
        <f t="shared" si="7"/>
        <v>23.297699999999999</v>
      </c>
      <c r="Z38" s="67">
        <f t="shared" si="8"/>
        <v>1.5800000000000002E-2</v>
      </c>
      <c r="AA38" s="67">
        <f t="shared" si="9"/>
        <v>23.2819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10"/>
        <v>0126-07</v>
      </c>
      <c r="AE38" s="97" t="str">
        <f t="shared" si="11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38" s="94" t="str">
        <f t="shared" si="12"/>
        <v>"C:\Program Files (x86)\AstroGrep\AstroGrep.exe" /spath="%USERPROFILE%\AppData\Local\Temp\OnboardLogs" /stypes="*4010*20160907*" /stext=" 14:.+((SYSTEM_STATE.+slice.+state.+changed )|(ment ac)|(system.+state.+changed )|(\|lc)|(penalty)|(\[timeout)|(PRM\|1\|D)|(kpr)|(kdp))" /e /r /s</v>
      </c>
      <c r="AG38" s="1" t="str">
        <f t="shared" si="13"/>
        <v>EC</v>
      </c>
      <c r="AH38" s="98" t="str">
        <f t="shared" si="17"/>
        <v>"%USERPROFILE%\Documents\GitHub\eaglep3\Utilities\RefineRTDCRunTimes.py" --tripid 126-07 --locoid 4010 --swversion DE.1.0.7.0 --startMP 204:232977 --initTime 2016-09-07T07:40:04 --startdatetime 2016-09-07T07:41:45 --delay 0 --endMP 204:158 --enddatetime 2016-09-07T08:19:14 --enforcementcount 0 &gt;&gt;C:\Users\stu\Documents\GitHub\eaglep3-reporting\EC\2016-09-07-refined-times.txt</v>
      </c>
      <c r="AI38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{"issue":{"subject":"","project_id":79,"tracker_id":40,"status_id":1,"priority_id":2,"assigned_to_id":23,"start_date":"2016-09-07","description":"","custom_fields":[{"id":1,"name":"Subdivision","value":"EC"},{"id":4,"name":"Milepost","value":"23.2819"},{"id":17,"name":"Train ID","value":"126-07"},{"id":16,"name":"Locomotive ID","value":"4010"},{"id":130,"name":"Impact","value":""},{"id":150,"name":"Time of Event (Mountain Time)","value":"08:19:14"},{"id":151,"name":"Denver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</row>
    <row r="39" spans="1:38" s="1" customFormat="1" x14ac:dyDescent="0.25">
      <c r="A39" s="38" t="s">
        <v>381</v>
      </c>
      <c r="B39" s="7">
        <v>4014</v>
      </c>
      <c r="C39" s="23" t="s">
        <v>111</v>
      </c>
      <c r="D39" s="23" t="s">
        <v>133</v>
      </c>
      <c r="E39" s="15">
        <v>42620.288090277776</v>
      </c>
      <c r="F39" s="15">
        <v>42620.291956018518</v>
      </c>
      <c r="G39" s="7">
        <v>1</v>
      </c>
      <c r="H39" s="15" t="s">
        <v>226</v>
      </c>
      <c r="I39" s="15">
        <v>42620.318136574075</v>
      </c>
      <c r="J39" s="7">
        <v>0</v>
      </c>
      <c r="K39" s="115" t="str">
        <f t="shared" si="0"/>
        <v>4013/4014</v>
      </c>
      <c r="L39" s="23" t="str">
        <f>VLOOKUP(A39,'Trips&amp;Operators'!$C$1:$E$10000,3,FALSE)</f>
        <v>MAELZER</v>
      </c>
      <c r="M39" s="6">
        <f t="shared" si="1"/>
        <v>2.6180555556493346E-2</v>
      </c>
      <c r="N39" s="7">
        <f t="shared" si="2"/>
        <v>37.700000001350418</v>
      </c>
      <c r="O39" s="7"/>
      <c r="P39" s="7"/>
      <c r="Q39" s="24"/>
      <c r="R39" s="24"/>
      <c r="S39" s="36">
        <f t="shared" si="3"/>
        <v>1</v>
      </c>
      <c r="T39" s="51" t="str">
        <f t="shared" si="4"/>
        <v>NorthBound</v>
      </c>
      <c r="U39" s="17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05:54:51-0600',mode:absolute,to:'2016-09-07 08:38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39" s="177" t="str">
        <f t="shared" si="5"/>
        <v>N</v>
      </c>
      <c r="X39" s="177">
        <f t="shared" si="6"/>
        <v>1</v>
      </c>
      <c r="Y39" s="177">
        <f t="shared" si="7"/>
        <v>4.4900000000000002E-2</v>
      </c>
      <c r="Z39" s="67">
        <f t="shared" si="8"/>
        <v>23.331199999999999</v>
      </c>
      <c r="AA39" s="67">
        <f t="shared" si="9"/>
        <v>23.286300000000001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0"/>
        <v>0127-07</v>
      </c>
      <c r="AE39" s="97" t="str">
        <f t="shared" si="11"/>
        <v>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 &amp; 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</v>
      </c>
      <c r="AF39" s="94" t="str">
        <f t="shared" si="12"/>
        <v>"C:\Program Files (x86)\AstroGrep\AstroGrep.exe" /spath="%USERPROFILE%\AppData\Local\Temp\OnboardLogs" /stypes="*4014*20160907*" /stext=" 13:.+((SYSTEM_STATE.+slice.+state.+changed )|(ment ac)|(system.+state.+changed )|(\|lc)|(penalty)|(\[timeout)|(PRM\|1\|D)|(kpr)|(kdp))" /e /r /s</v>
      </c>
      <c r="AG39" s="1" t="str">
        <f t="shared" si="13"/>
        <v>EC</v>
      </c>
      <c r="AH39" s="98" t="str">
        <f t="shared" si="17"/>
        <v>"%USERPROFILE%\Documents\GitHub\eaglep3\Utilities\RefineRTDCRunTimes.py" --tripid 127-07 --locoid 4014 --swversion DE.1.0.7.0 --startMP 204:449 --initTime 2016-09-07T06:54:51 --startdatetime 2016-09-07T07:00:25 --delay 1 --endMP 204:233312 --enddatetime 2016-09-07T07:38:07 --enforcementcount 0 &gt;&gt;C:\Users\stu\Documents\GitHub\eaglep3-reporting\EC\2016-09-07-refined-times.txt</v>
      </c>
      <c r="AI39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{"issue":{"subject":"","project_id":79,"tracker_id":40,"status_id":1,"priority_id":2,"assigned_to_id":23,"start_date":"2016-09-07","description":"","custom_fields":[{"id":1,"name":"Subdivision","value":"EC"},{"id":4,"name":"Milepost","value":"23.2863"},{"id":17,"name":"Train ID","value":"127-07"},{"id":16,"name":"Locomotive ID","value":"4014"},{"id":130,"name":"Impact","value":""},{"id":150,"name":"Time of Event (Mountain Time)","value":"07:38:07"},{"id":151,"name":"Denver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</row>
    <row r="40" spans="1:38" s="1" customFormat="1" x14ac:dyDescent="0.25">
      <c r="A40" s="38" t="s">
        <v>391</v>
      </c>
      <c r="B40" s="7">
        <v>4013</v>
      </c>
      <c r="C40" s="23" t="s">
        <v>111</v>
      </c>
      <c r="D40" s="23" t="s">
        <v>132</v>
      </c>
      <c r="E40" s="15">
        <v>42620.323101851849</v>
      </c>
      <c r="F40" s="15">
        <v>42620.331053240741</v>
      </c>
      <c r="G40" s="7">
        <v>0</v>
      </c>
      <c r="H40" s="15" t="s">
        <v>134</v>
      </c>
      <c r="I40" s="15">
        <v>42620.35833333333</v>
      </c>
      <c r="J40" s="7">
        <v>0</v>
      </c>
      <c r="K40" s="115" t="str">
        <f t="shared" si="0"/>
        <v>4013/4014</v>
      </c>
      <c r="L40" s="23" t="str">
        <f>VLOOKUP(A40,'Trips&amp;Operators'!$C$1:$E$10000,3,FALSE)</f>
        <v>MAELZER</v>
      </c>
      <c r="M40" s="6">
        <f t="shared" si="1"/>
        <v>2.7280092588625848E-2</v>
      </c>
      <c r="N40" s="7">
        <f t="shared" si="2"/>
        <v>39.283333327621222</v>
      </c>
      <c r="O40" s="7"/>
      <c r="P40" s="7"/>
      <c r="Q40" s="24"/>
      <c r="R40" s="24"/>
      <c r="S40" s="36">
        <f t="shared" si="3"/>
        <v>1</v>
      </c>
      <c r="T40" s="51" t="str">
        <f t="shared" si="4"/>
        <v>Southbound</v>
      </c>
      <c r="U40" s="17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06:45:16-0600',mode:absolute,to:'2016-09-07 09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40" s="177" t="str">
        <f t="shared" si="5"/>
        <v>N</v>
      </c>
      <c r="X40" s="177">
        <f t="shared" si="6"/>
        <v>1</v>
      </c>
      <c r="Y40" s="177">
        <f t="shared" si="7"/>
        <v>23.299399999999999</v>
      </c>
      <c r="Z40" s="67">
        <f t="shared" si="8"/>
        <v>1.49E-2</v>
      </c>
      <c r="AA40" s="67">
        <f t="shared" si="9"/>
        <v>23.284499999999998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10"/>
        <v>0128-07</v>
      </c>
      <c r="AE40" s="97" t="str">
        <f t="shared" si="11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40" s="94" t="str">
        <f t="shared" si="12"/>
        <v>"C:\Program Files (x86)\AstroGrep\AstroGrep.exe" /spath="%USERPROFILE%\AppData\Local\Temp\OnboardLogs" /stypes="*4013*20160907*" /stext=" 14:.+((SYSTEM_STATE.+slice.+state.+changed )|(ment ac)|(system.+state.+changed )|(\|lc)|(penalty)|(\[timeout)|(PRM\|1\|D)|(kpr)|(kdp))" /e /r /s</v>
      </c>
      <c r="AG40" s="1" t="str">
        <f t="shared" si="13"/>
        <v>EC</v>
      </c>
      <c r="AH40" s="98" t="str">
        <f t="shared" si="17"/>
        <v>"%USERPROFILE%\Documents\GitHub\eaglep3\Utilities\RefineRTDCRunTimes.py" --tripid 128-07 --locoid 4013 --swversion DE.1.0.7.0 --startMP 204:232994 --initTime 2016-09-07T07:45:16 --startdatetime 2016-09-07T07:56:43 --delay 0 --endMP 204:149 --enddatetime 2016-09-07T08:36:00 --enforcementcount 0 &gt;&gt;C:\Users\stu\Documents\GitHub\eaglep3-reporting\EC\2016-09-07-refined-times.txt</v>
      </c>
      <c r="AI40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{"issue":{"subject":"","project_id":79,"tracker_id":40,"status_id":1,"priority_id":2,"assigned_to_id":23,"start_date":"2016-09-07","description":"","custom_fields":[{"id":1,"name":"Subdivision","value":"EC"},{"id":4,"name":"Milepost","value":"23.2845"},{"id":17,"name":"Train ID","value":"128-07"},{"id":16,"name":"Locomotive ID","value":"4013"},{"id":130,"name":"Impact","value":""},{"id":150,"name":"Time of Event (Mountain Time)","value":"08:36:00"},{"id":151,"name":"Denver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</row>
    <row r="41" spans="1:38" s="1" customFormat="1" x14ac:dyDescent="0.25">
      <c r="A41" s="38" t="s">
        <v>383</v>
      </c>
      <c r="B41" s="7">
        <v>4025</v>
      </c>
      <c r="C41" s="23" t="s">
        <v>111</v>
      </c>
      <c r="D41" s="23" t="s">
        <v>260</v>
      </c>
      <c r="E41" s="15">
        <v>42620.297615740739</v>
      </c>
      <c r="F41" s="15">
        <v>42620.302314814813</v>
      </c>
      <c r="G41" s="7">
        <v>1</v>
      </c>
      <c r="H41" s="15" t="s">
        <v>325</v>
      </c>
      <c r="I41" s="15">
        <v>42620.326805555553</v>
      </c>
      <c r="J41" s="7">
        <v>0</v>
      </c>
      <c r="K41" s="115" t="str">
        <f t="shared" si="0"/>
        <v>4025/4026</v>
      </c>
      <c r="L41" s="23" t="str">
        <f>VLOOKUP(A41,'Trips&amp;Operators'!$C$1:$E$10000,3,FALSE)</f>
        <v>BRANNON</v>
      </c>
      <c r="M41" s="6">
        <f t="shared" si="1"/>
        <v>2.4490740739565808E-2</v>
      </c>
      <c r="N41" s="7">
        <f t="shared" si="2"/>
        <v>35.266666664974764</v>
      </c>
      <c r="O41" s="7"/>
      <c r="P41" s="7"/>
      <c r="Q41" s="24"/>
      <c r="R41" s="24"/>
      <c r="S41" s="36">
        <f t="shared" si="3"/>
        <v>1</v>
      </c>
      <c r="T41" s="51" t="str">
        <f t="shared" si="4"/>
        <v>NorthBound</v>
      </c>
      <c r="U41" s="17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06:08:34-0600',mode:absolute,to:'2016-09-07 08:50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41" s="177" t="str">
        <f t="shared" si="5"/>
        <v>N</v>
      </c>
      <c r="X41" s="177">
        <f t="shared" si="6"/>
        <v>1</v>
      </c>
      <c r="Y41" s="177">
        <f t="shared" si="7"/>
        <v>4.8399999999999999E-2</v>
      </c>
      <c r="Z41" s="67">
        <f t="shared" si="8"/>
        <v>23.330300000000001</v>
      </c>
      <c r="AA41" s="67">
        <f t="shared" si="9"/>
        <v>23.2819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10"/>
        <v>0129-07</v>
      </c>
      <c r="AE41" s="97" t="str">
        <f t="shared" si="11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41" s="94" t="str">
        <f t="shared" si="12"/>
        <v>"C:\Program Files (x86)\AstroGrep\AstroGrep.exe" /spath="%USERPROFILE%\AppData\Local\Temp\OnboardLogs" /stypes="*4025*20160907*" /stext=" 13:.+((SYSTEM_STATE.+slice.+state.+changed )|(ment ac)|(system.+state.+changed )|(\|lc)|(penalty)|(\[timeout)|(PRM\|1\|D)|(kpr)|(kdp))" /e /r /s</v>
      </c>
      <c r="AG41" s="1" t="str">
        <f t="shared" si="13"/>
        <v>EC</v>
      </c>
      <c r="AH41" s="98" t="str">
        <f t="shared" si="17"/>
        <v>"%USERPROFILE%\Documents\GitHub\eaglep3\Utilities\RefineRTDCRunTimes.py" --tripid 129-07 --locoid 4025 --swversion DE.1.0.7.0 --startMP 204:484 --initTime 2016-09-07T07:08:34 --startdatetime 2016-09-07T07:15:20 --delay 1 --endMP 204:233303 --enddatetime 2016-09-07T07:50:36 --enforcementcount 0 &gt;&gt;C:\Users\stu\Documents\GitHub\eaglep3-reporting\EC\2016-09-07-refined-times.txt</v>
      </c>
      <c r="AI41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{"issue":{"subject":"","project_id":79,"tracker_id":40,"status_id":1,"priority_id":2,"assigned_to_id":23,"start_date":"2016-09-07","description":"","custom_fields":[{"id":1,"name":"Subdivision","value":"EC"},{"id":4,"name":"Milepost","value":"23.2819"},{"id":17,"name":"Train ID","value":"129-07"},{"id":16,"name":"Locomotive ID","value":"4025"},{"id":130,"name":"Impact","value":""},{"id":150,"name":"Time of Event (Mountain Time)","value":"07:50:36"},{"id":151,"name":"Denver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</row>
    <row r="42" spans="1:38" s="1" customFormat="1" x14ac:dyDescent="0.25">
      <c r="A42" s="38" t="s">
        <v>393</v>
      </c>
      <c r="B42" s="7">
        <v>4026</v>
      </c>
      <c r="C42" s="23" t="s">
        <v>111</v>
      </c>
      <c r="D42" s="23" t="s">
        <v>252</v>
      </c>
      <c r="E42" s="15">
        <v>42620.33666666667</v>
      </c>
      <c r="F42" s="15">
        <v>42620.341145833336</v>
      </c>
      <c r="G42" s="7">
        <v>3</v>
      </c>
      <c r="H42" s="15" t="s">
        <v>252</v>
      </c>
      <c r="I42" s="15">
        <v>42620.368854166663</v>
      </c>
      <c r="J42" s="7">
        <v>0</v>
      </c>
      <c r="K42" s="115" t="str">
        <f t="shared" si="0"/>
        <v>4025/4026</v>
      </c>
      <c r="L42" s="23" t="str">
        <f>VLOOKUP(A42,'Trips&amp;Operators'!$C$1:$E$10000,3,FALSE)</f>
        <v>BRANNON</v>
      </c>
      <c r="M42" s="6">
        <f t="shared" si="1"/>
        <v>2.770833332760958E-2</v>
      </c>
      <c r="N42" s="7">
        <f t="shared" si="2"/>
        <v>39.899999991757795</v>
      </c>
      <c r="O42" s="7"/>
      <c r="P42" s="7"/>
      <c r="Q42" s="24"/>
      <c r="R42" s="24"/>
      <c r="S42" s="36">
        <f t="shared" si="3"/>
        <v>1</v>
      </c>
      <c r="T42" s="51" t="str">
        <f t="shared" si="4"/>
        <v>Southbound</v>
      </c>
      <c r="U42" s="17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07:04:48-0600',mode:absolute,to:'2016-09-07 09:51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42" s="177" t="str">
        <f t="shared" si="5"/>
        <v>N</v>
      </c>
      <c r="X42" s="177">
        <f t="shared" si="6"/>
        <v>1</v>
      </c>
      <c r="Y42" s="177">
        <f t="shared" si="7"/>
        <v>23.297799999999999</v>
      </c>
      <c r="Z42" s="67">
        <v>0.01</v>
      </c>
      <c r="AA42" s="67">
        <f t="shared" si="9"/>
        <v>23.287799999999997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10"/>
        <v>0130-07</v>
      </c>
      <c r="AE42" s="97" t="str">
        <f t="shared" si="11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42" s="94" t="str">
        <f t="shared" si="12"/>
        <v>"C:\Program Files (x86)\AstroGrep\AstroGrep.exe" /spath="%USERPROFILE%\AppData\Local\Temp\OnboardLogs" /stypes="*4026*20160907*" /stext=" 14:.+((SYSTEM_STATE.+slice.+state.+changed )|(ment ac)|(system.+state.+changed )|(\|lc)|(penalty)|(\[timeout)|(PRM\|1\|D)|(kpr)|(kdp))" /e /r /s</v>
      </c>
      <c r="AG42" s="1" t="str">
        <f t="shared" si="13"/>
        <v>EC</v>
      </c>
      <c r="AH42" s="98" t="str">
        <f t="shared" si="17"/>
        <v>"%USERPROFILE%\Documents\GitHub\eaglep3\Utilities\RefineRTDCRunTimes.py" --tripid 130-07 --locoid 4026 --swversion DE.1.0.7.0 --startMP 204:232978 --initTime 2016-09-07T08:04:48 --startdatetime 2016-09-07T08:11:15 --delay 3 --endMP 204:232978 --enddatetime 2016-09-07T08:51:09 --enforcementcount 0 &gt;&gt;C:\Users\stu\Documents\GitHub\eaglep3-reporting\EC\2016-09-07-refined-times.txt</v>
      </c>
      <c r="AI42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{"issue":{"subject":"","project_id":79,"tracker_id":40,"status_id":1,"priority_id":2,"assigned_to_id":23,"start_date":"2016-09-07","description":"","custom_fields":[{"id":1,"name":"Subdivision","value":"EC"},{"id":4,"name":"Milepost","value":"23.2878"},{"id":17,"name":"Train ID","value":"130-07"},{"id":16,"name":"Locomotive ID","value":"4026"},{"id":130,"name":"Impact","value":""},{"id":150,"name":"Time of Event (Mountain Time)","value":"08:51:09"},{"id":151,"name":"Denver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</row>
    <row r="43" spans="1:38" s="1" customFormat="1" x14ac:dyDescent="0.25">
      <c r="A43" s="38" t="s">
        <v>386</v>
      </c>
      <c r="B43" s="7">
        <v>4031</v>
      </c>
      <c r="C43" s="23" t="s">
        <v>111</v>
      </c>
      <c r="D43" s="23" t="s">
        <v>305</v>
      </c>
      <c r="E43" s="15">
        <v>42620.307951388888</v>
      </c>
      <c r="F43" s="15">
        <v>42620.312893518516</v>
      </c>
      <c r="G43" s="7">
        <v>1</v>
      </c>
      <c r="H43" s="15" t="s">
        <v>238</v>
      </c>
      <c r="I43" s="15">
        <v>42620.338680555556</v>
      </c>
      <c r="J43" s="7">
        <v>0</v>
      </c>
      <c r="K43" s="115" t="str">
        <f t="shared" si="0"/>
        <v>4031/4032</v>
      </c>
      <c r="L43" s="23" t="str">
        <f>VLOOKUP(A43,'Trips&amp;Operators'!$C$1:$E$10000,3,FALSE)</f>
        <v>HILLS</v>
      </c>
      <c r="M43" s="6">
        <f t="shared" si="1"/>
        <v>2.5787037040572613E-2</v>
      </c>
      <c r="N43" s="7">
        <f t="shared" si="2"/>
        <v>37.133333338424563</v>
      </c>
      <c r="O43" s="7"/>
      <c r="P43" s="7"/>
      <c r="Q43" s="24"/>
      <c r="R43" s="24"/>
      <c r="S43" s="36">
        <f t="shared" si="3"/>
        <v>1</v>
      </c>
      <c r="T43" s="51" t="str">
        <f t="shared" si="4"/>
        <v>NorthBound</v>
      </c>
      <c r="U43" s="17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06:23:27-0600',mode:absolute,to:'2016-09-07 09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43" s="177" t="str">
        <f t="shared" si="5"/>
        <v>N</v>
      </c>
      <c r="X43" s="177">
        <f t="shared" si="6"/>
        <v>1</v>
      </c>
      <c r="Y43" s="177">
        <f t="shared" si="7"/>
        <v>4.7300000000000002E-2</v>
      </c>
      <c r="Z43" s="67">
        <f t="shared" ref="Z43:Z74" si="19">RIGHT(H43,LEN(H43)-4)/10000</f>
        <v>23.331</v>
      </c>
      <c r="AA43" s="67">
        <f t="shared" si="9"/>
        <v>23.2837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0"/>
        <v>0131-07</v>
      </c>
      <c r="AE43" s="97" t="str">
        <f t="shared" si="11"/>
        <v>aws s3 cp s3://rtdc.mdm.uploadarchive/RTDC4031/2016-09-07/ "%USERPROFILE%\AppData\Local\Temp\OnboardLogs"\RTDC4031\2016-09-07 --recursive &amp; "%USERPROFILE%\Documents\GitHub\mrs-test-scripts\Headless Mode &amp; Sideloading\WalkAndUnGZ.bat" "%USERPROFILE%\AppData\Local\Temp\OnboardLogs"\RTDC4031\2016-09-07 &amp; 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</v>
      </c>
      <c r="AF43" s="94" t="str">
        <f t="shared" si="12"/>
        <v>"C:\Program Files (x86)\AstroGrep\AstroGrep.exe" /spath="%USERPROFILE%\AppData\Local\Temp\OnboardLogs" /stypes="*4031*20160907*" /stext=" 14:.+((SYSTEM_STATE.+slice.+state.+changed )|(ment ac)|(system.+state.+changed )|(\|lc)|(penalty)|(\[timeout)|(PRM\|1\|D)|(kpr)|(kdp))" /e /r /s</v>
      </c>
      <c r="AG43" s="1" t="str">
        <f t="shared" si="13"/>
        <v>EC</v>
      </c>
      <c r="AH43" s="98" t="str">
        <f t="shared" si="17"/>
        <v>"%USERPROFILE%\Documents\GitHub\eaglep3\Utilities\RefineRTDCRunTimes.py" --tripid 131-07 --locoid 4031 --swversion DE.1.0.7.0 --startMP 204:473 --initTime 2016-09-07T07:23:27 --startdatetime 2016-09-07T07:30:34 --delay 1 --endMP 204:233310 --enddatetime 2016-09-07T08:07:42 --enforcementcount 0 &gt;&gt;C:\Users\stu\Documents\GitHub\eaglep3-reporting\EC\2016-09-07-refined-times.txt</v>
      </c>
      <c r="AI43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{"issue":{"subject":"","project_id":79,"tracker_id":40,"status_id":1,"priority_id":2,"assigned_to_id":23,"start_date":"2016-09-07","description":"","custom_fields":[{"id":1,"name":"Subdivision","value":"EC"},{"id":4,"name":"Milepost","value":"23.2837"},{"id":17,"name":"Train ID","value":"131-07"},{"id":16,"name":"Locomotive ID","value":"4031"},{"id":130,"name":"Impact","value":""},{"id":150,"name":"Time of Event (Mountain Time)","value":"08:07:42"},{"id":151,"name":"Denver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</row>
    <row r="44" spans="1:38" s="1" customFormat="1" x14ac:dyDescent="0.25">
      <c r="A44" s="38" t="s">
        <v>397</v>
      </c>
      <c r="B44" s="7">
        <v>4032</v>
      </c>
      <c r="C44" s="23" t="s">
        <v>111</v>
      </c>
      <c r="D44" s="23" t="s">
        <v>313</v>
      </c>
      <c r="E44" s="15">
        <v>42620.344965277778</v>
      </c>
      <c r="F44" s="15">
        <v>42620.351585648146</v>
      </c>
      <c r="G44" s="7">
        <v>1</v>
      </c>
      <c r="H44" s="15" t="s">
        <v>589</v>
      </c>
      <c r="I44" s="15">
        <v>42620.378819444442</v>
      </c>
      <c r="J44" s="7">
        <v>0</v>
      </c>
      <c r="K44" s="115" t="str">
        <f t="shared" si="0"/>
        <v>4031/4032</v>
      </c>
      <c r="L44" s="23" t="str">
        <f>VLOOKUP(A44,'Trips&amp;Operators'!$C$1:$E$10000,3,FALSE)</f>
        <v>HILLS</v>
      </c>
      <c r="M44" s="6">
        <f t="shared" si="1"/>
        <v>2.7233796296059154E-2</v>
      </c>
      <c r="N44" s="7">
        <f t="shared" si="2"/>
        <v>39.216666666325182</v>
      </c>
      <c r="O44" s="7"/>
      <c r="P44" s="7"/>
      <c r="Q44" s="24"/>
      <c r="R44" s="24"/>
      <c r="S44" s="36">
        <f t="shared" si="3"/>
        <v>1</v>
      </c>
      <c r="T44" s="51" t="str">
        <f t="shared" si="4"/>
        <v>Southbound</v>
      </c>
      <c r="U44" s="17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07:16:45-0600',mode:absolute,to:'2016-09-07 10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44" s="177" t="str">
        <f t="shared" si="5"/>
        <v>N</v>
      </c>
      <c r="X44" s="177">
        <f t="shared" si="6"/>
        <v>1</v>
      </c>
      <c r="Y44" s="177">
        <f t="shared" si="7"/>
        <v>23.299299999999999</v>
      </c>
      <c r="Z44" s="67">
        <f t="shared" si="19"/>
        <v>2.3800000000000002E-2</v>
      </c>
      <c r="AA44" s="67">
        <f t="shared" si="9"/>
        <v>23.275499999999997</v>
      </c>
      <c r="AB44" s="64" t="str">
        <f>VLOOKUP(A44,Enforcements!$C$7:$K$21,8,0)</f>
        <v>Bulletin (2)</v>
      </c>
      <c r="AC44" s="60" t="str">
        <f>VLOOKUP(A44,Enforcements!$C$7:$E$21,3,0)</f>
        <v>GRADE CROSSING</v>
      </c>
      <c r="AD44" s="61" t="str">
        <f t="shared" si="10"/>
        <v>0132-07</v>
      </c>
      <c r="AE44" s="97" t="str">
        <f t="shared" si="11"/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AF44" s="94" t="str">
        <f t="shared" si="12"/>
        <v>"C:\Program Files (x86)\AstroGrep\AstroGrep.exe" /spath="%USERPROFILE%\AppData\Local\Temp\OnboardLogs" /stypes="*4032*20160907*" /stext=" 15:.+((SYSTEM_STATE.+slice.+state.+changed )|(ment ac)|(system.+state.+changed )|(\|lc)|(penalty)|(\[timeout)|(PRM\|1\|D)|(kpr)|(kdp))" /e /r /s</v>
      </c>
      <c r="AG44" s="1" t="str">
        <f t="shared" si="13"/>
        <v>EC</v>
      </c>
      <c r="AH44" s="98" t="str">
        <f t="shared" si="17"/>
        <v>"%USERPROFILE%\Documents\GitHub\eaglep3\Utilities\RefineRTDCRunTimes.py" --tripid 132-07 --locoid 4032 --swversion DE.1.0.7.0 --startMP 204:232993 --initTime 2016-09-07T08:16:45 --startdatetime 2016-09-07T08:26:17 --delay 1 --endMP 204:238 --enddatetime 2016-09-07T09:05:30 --enforcementcount 0 &gt;&gt;C:\Users\stu\Documents\GitHub\eaglep3-reporting\EC\2016-09-07-refined-times.txt</v>
      </c>
      <c r="AI44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{"issue":{"subject":"","project_id":79,"tracker_id":40,"status_id":1,"priority_id":2,"assigned_to_id":23,"start_date":"2016-09-07","description":"","custom_fields":[{"id":1,"name":"Subdivision","value":"EC"},{"id":4,"name":"Milepost","value":"23.2755"},{"id":17,"name":"Train ID","value":"132-07"},{"id":16,"name":"Locomotive ID","value":"4032"},{"id":130,"name":"Impact","value":""},{"id":150,"name":"Time of Event (Mountain Time)","value":"09:05:30"},{"id":151,"name":"Denver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</row>
    <row r="45" spans="1:38" s="1" customFormat="1" x14ac:dyDescent="0.25">
      <c r="A45" s="38" t="s">
        <v>389</v>
      </c>
      <c r="B45" s="7">
        <v>4020</v>
      </c>
      <c r="C45" s="23" t="s">
        <v>111</v>
      </c>
      <c r="D45" s="23" t="s">
        <v>590</v>
      </c>
      <c r="E45" s="15">
        <v>42620.318622685183</v>
      </c>
      <c r="F45" s="15">
        <v>42620.323206018518</v>
      </c>
      <c r="G45" s="7">
        <v>1</v>
      </c>
      <c r="H45" s="15" t="s">
        <v>300</v>
      </c>
      <c r="I45" s="15">
        <v>42620.350034722222</v>
      </c>
      <c r="J45" s="7">
        <v>0</v>
      </c>
      <c r="K45" s="115" t="str">
        <f t="shared" si="0"/>
        <v>4019/4020</v>
      </c>
      <c r="L45" s="23" t="str">
        <f>VLOOKUP(A45,'Trips&amp;Operators'!$C$1:$E$10000,3,FALSE)</f>
        <v>STRICKLAND</v>
      </c>
      <c r="M45" s="6">
        <f t="shared" si="1"/>
        <v>2.6828703703358769E-2</v>
      </c>
      <c r="N45" s="7">
        <f t="shared" ref="N45:N76" si="20">24*60*SUM($M45:$M45)</f>
        <v>38.633333332836628</v>
      </c>
      <c r="O45" s="7"/>
      <c r="P45" s="7"/>
      <c r="Q45" s="24"/>
      <c r="R45" s="24"/>
      <c r="S45" s="36">
        <f t="shared" ref="S45:S76" si="21">SUM(U45:U45)/IF(AG45="EC",12,1)</f>
        <v>1</v>
      </c>
      <c r="T45" s="51" t="str">
        <f t="shared" si="4"/>
        <v>NorthBound</v>
      </c>
      <c r="U45" s="17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06:38:49-0600',mode:absolute,to:'2016-09-07 09:24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45" s="177" t="str">
        <f t="shared" si="5"/>
        <v>N</v>
      </c>
      <c r="X45" s="177">
        <f t="shared" ref="X45:X67" si="22">VALUE(LEFT(AD45,4))-VALUE(LEFT(AD44,4))</f>
        <v>1</v>
      </c>
      <c r="Y45" s="177">
        <f t="shared" si="7"/>
        <v>4.6899999999999997E-2</v>
      </c>
      <c r="Z45" s="67">
        <f t="shared" si="19"/>
        <v>23.3276</v>
      </c>
      <c r="AA45" s="67">
        <f t="shared" si="9"/>
        <v>23.2807</v>
      </c>
      <c r="AB45" s="64" t="str">
        <f>VLOOKUP(A45,Enforcements!$C$7:$K$21,8,0)</f>
        <v>Speed (6)</v>
      </c>
      <c r="AC45" s="60" t="str">
        <f>VLOOKUP(A45,Enforcements!$C$7:$E$21,3,0)</f>
        <v>PERMANENT SPEED RESTRICTION</v>
      </c>
      <c r="AD45" s="61" t="str">
        <f t="shared" si="10"/>
        <v>0133-07</v>
      </c>
      <c r="AE45" s="97" t="str">
        <f t="shared" si="11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45" s="94" t="str">
        <f t="shared" si="12"/>
        <v>"C:\Program Files (x86)\AstroGrep\AstroGrep.exe" /spath="%USERPROFILE%\AppData\Local\Temp\OnboardLogs" /stypes="*4020*20160907*" /stext=" 14:.+((SYSTEM_STATE.+slice.+state.+changed )|(ment ac)|(system.+state.+changed )|(\|lc)|(penalty)|(\[timeout)|(PRM\|1\|D)|(kpr)|(kdp))" /e /r /s</v>
      </c>
      <c r="AG45" s="1" t="str">
        <f t="shared" si="13"/>
        <v>EC</v>
      </c>
      <c r="AH45" s="98" t="str">
        <f t="shared" si="17"/>
        <v>"%USERPROFILE%\Documents\GitHub\eaglep3\Utilities\RefineRTDCRunTimes.py" --tripid 133-07 --locoid 4020 --swversion DE.1.0.7.0 --startMP 204:469 --initTime 2016-09-07T07:38:49 --startdatetime 2016-09-07T07:45:25 --delay 1 --endMP 204:233276 --enddatetime 2016-09-07T08:24:03 --enforcementcount 0 &gt;&gt;C:\Users\stu\Documents\GitHub\eaglep3-reporting\EC\2016-09-07-refined-times.txt</v>
      </c>
      <c r="AI45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{"issue":{"subject":"","project_id":79,"tracker_id":40,"status_id":1,"priority_id":2,"assigned_to_id":23,"start_date":"2016-09-07","description":"","custom_fields":[{"id":1,"name":"Subdivision","value":"EC"},{"id":4,"name":"Milepost","value":"23.2807"},{"id":17,"name":"Train ID","value":"133-07"},{"id":16,"name":"Locomotive ID","value":"4020"},{"id":130,"name":"Impact","value":""},{"id":150,"name":"Time of Event (Mountain Time)","value":"08:24:03"},{"id":151,"name":"Denver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</row>
    <row r="46" spans="1:38" s="1" customFormat="1" x14ac:dyDescent="0.25">
      <c r="A46" s="38" t="s">
        <v>400</v>
      </c>
      <c r="B46" s="7">
        <v>4019</v>
      </c>
      <c r="C46" s="23" t="s">
        <v>111</v>
      </c>
      <c r="D46" s="23" t="s">
        <v>303</v>
      </c>
      <c r="E46" s="15">
        <v>42620.357743055552</v>
      </c>
      <c r="F46" s="15">
        <v>42620.362002314818</v>
      </c>
      <c r="G46" s="7">
        <v>1</v>
      </c>
      <c r="H46" s="15" t="s">
        <v>152</v>
      </c>
      <c r="I46" s="15">
        <v>42620.390300925923</v>
      </c>
      <c r="J46" s="7">
        <v>0</v>
      </c>
      <c r="K46" s="115" t="str">
        <f t="shared" si="0"/>
        <v>4019/4020</v>
      </c>
      <c r="L46" s="23" t="str">
        <f>VLOOKUP(A46,'Trips&amp;Operators'!$C$1:$E$10000,3,FALSE)</f>
        <v>STRICKLAND</v>
      </c>
      <c r="M46" s="6">
        <f t="shared" si="1"/>
        <v>2.8298611105128657E-2</v>
      </c>
      <c r="N46" s="7">
        <f t="shared" si="20"/>
        <v>40.749999991385266</v>
      </c>
      <c r="O46" s="7"/>
      <c r="P46" s="7"/>
      <c r="Q46" s="24"/>
      <c r="R46" s="24"/>
      <c r="S46" s="36">
        <f t="shared" si="21"/>
        <v>1</v>
      </c>
      <c r="T46" s="51" t="str">
        <f t="shared" si="4"/>
        <v>Southbound</v>
      </c>
      <c r="U46" s="17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07:35:09-0600',mode:absolute,to:'2016-09-07 10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46" s="177" t="str">
        <f t="shared" si="5"/>
        <v>N</v>
      </c>
      <c r="X46" s="177">
        <f t="shared" si="22"/>
        <v>1</v>
      </c>
      <c r="Y46" s="177">
        <f t="shared" si="7"/>
        <v>23.298200000000001</v>
      </c>
      <c r="Z46" s="67">
        <f t="shared" si="19"/>
        <v>1.4500000000000001E-2</v>
      </c>
      <c r="AA46" s="67">
        <f t="shared" si="9"/>
        <v>23.2837</v>
      </c>
      <c r="AB46" s="64" t="str">
        <f>VLOOKUP(A46,Enforcements!$C$7:$K$21,8,0)</f>
        <v>Bulletin (2)</v>
      </c>
      <c r="AC46" s="60" t="str">
        <f>VLOOKUP(A46,Enforcements!$C$7:$E$21,3,0)</f>
        <v>GRADE CROSSING</v>
      </c>
      <c r="AD46" s="61" t="str">
        <f t="shared" si="10"/>
        <v>0134-07</v>
      </c>
      <c r="AE46" s="97" t="str">
        <f t="shared" si="11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46" s="94" t="str">
        <f t="shared" si="12"/>
        <v>"C:\Program Files (x86)\AstroGrep\AstroGrep.exe" /spath="%USERPROFILE%\AppData\Local\Temp\OnboardLogs" /stypes="*4019*20160907*" /stext=" 15:.+((SYSTEM_STATE.+slice.+state.+changed )|(ment ac)|(system.+state.+changed )|(\|lc)|(penalty)|(\[timeout)|(PRM\|1\|D)|(kpr)|(kdp))" /e /r /s</v>
      </c>
      <c r="AG46" s="1" t="str">
        <f t="shared" si="13"/>
        <v>EC</v>
      </c>
      <c r="AH46" s="98" t="str">
        <f t="shared" si="17"/>
        <v>"%USERPROFILE%\Documents\GitHub\eaglep3\Utilities\RefineRTDCRunTimes.py" --tripid 134-07 --locoid 4019 --swversion DE.1.0.7.0 --startMP 204:232982 --initTime 2016-09-07T08:35:09 --startdatetime 2016-09-07T08:41:17 --delay 1 --endMP 204:145 --enddatetime 2016-09-07T09:22:02 --enforcementcount 0 &gt;&gt;C:\Users\stu\Documents\GitHub\eaglep3-reporting\EC\2016-09-07-refined-times.txt</v>
      </c>
      <c r="AI46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{"issue":{"subject":"","project_id":79,"tracker_id":40,"status_id":1,"priority_id":2,"assigned_to_id":23,"start_date":"2016-09-07","description":"","custom_fields":[{"id":1,"name":"Subdivision","value":"EC"},{"id":4,"name":"Milepost","value":"23.2837"},{"id":17,"name":"Train ID","value":"134-07"},{"id":16,"name":"Locomotive ID","value":"4019"},{"id":130,"name":"Impact","value":""},{"id":150,"name":"Time of Event (Mountain Time)","value":"09:22:02"},{"id":151,"name":"Denver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</row>
    <row r="47" spans="1:38" s="1" customFormat="1" x14ac:dyDescent="0.25">
      <c r="A47" s="38" t="s">
        <v>392</v>
      </c>
      <c r="B47" s="7">
        <v>4046</v>
      </c>
      <c r="C47" s="23" t="s">
        <v>111</v>
      </c>
      <c r="D47" s="23" t="s">
        <v>153</v>
      </c>
      <c r="E47" s="15">
        <v>42620.326932870368</v>
      </c>
      <c r="F47" s="15">
        <v>42620.333738425928</v>
      </c>
      <c r="G47" s="7">
        <v>1</v>
      </c>
      <c r="H47" s="15" t="s">
        <v>253</v>
      </c>
      <c r="I47" s="15">
        <v>42620.358240740738</v>
      </c>
      <c r="J47" s="7">
        <v>0</v>
      </c>
      <c r="K47" s="115" t="str">
        <f t="shared" si="0"/>
        <v>4045/4046</v>
      </c>
      <c r="L47" s="23" t="str">
        <f>VLOOKUP(A47,'Trips&amp;Operators'!$C$1:$E$10000,3,FALSE)</f>
        <v>SANTIZO</v>
      </c>
      <c r="M47" s="6">
        <f t="shared" si="1"/>
        <v>2.4502314809069503E-2</v>
      </c>
      <c r="N47" s="7">
        <f t="shared" si="20"/>
        <v>35.283333325060084</v>
      </c>
      <c r="O47" s="7"/>
      <c r="P47" s="7"/>
      <c r="Q47" s="24"/>
      <c r="R47" s="24"/>
      <c r="S47" s="36">
        <f t="shared" si="21"/>
        <v>1</v>
      </c>
      <c r="T47" s="51" t="str">
        <f t="shared" si="4"/>
        <v>NorthBound</v>
      </c>
      <c r="U47" s="17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06:50:47-0600',mode:absolute,to:'2016-09-07 09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47" s="177" t="str">
        <f t="shared" si="5"/>
        <v>N</v>
      </c>
      <c r="X47" s="177">
        <f t="shared" si="22"/>
        <v>1</v>
      </c>
      <c r="Y47" s="177">
        <f t="shared" si="7"/>
        <v>4.4699999999999997E-2</v>
      </c>
      <c r="Z47" s="67">
        <f t="shared" si="19"/>
        <v>23.3306</v>
      </c>
      <c r="AA47" s="67">
        <f t="shared" si="9"/>
        <v>23.285900000000002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10"/>
        <v>0135-07</v>
      </c>
      <c r="AE47" s="97" t="str">
        <f t="shared" si="11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47" s="94" t="str">
        <f t="shared" si="12"/>
        <v>"C:\Program Files (x86)\AstroGrep\AstroGrep.exe" /spath="%USERPROFILE%\AppData\Local\Temp\OnboardLogs" /stypes="*4046*20160907*" /stext=" 14:.+((SYSTEM_STATE.+slice.+state.+changed )|(ment ac)|(system.+state.+changed )|(\|lc)|(penalty)|(\[timeout)|(PRM\|1\|D)|(kpr)|(kdp))" /e /r /s</v>
      </c>
      <c r="AG47" s="1" t="str">
        <f t="shared" si="13"/>
        <v>EC</v>
      </c>
      <c r="AH47" s="98" t="str">
        <f t="shared" si="17"/>
        <v>"%USERPROFILE%\Documents\GitHub\eaglep3\Utilities\RefineRTDCRunTimes.py" --tripid 135-07 --locoid 4046 --swversion DE.1.0.7.0 --startMP 204:447 --initTime 2016-09-07T07:50:47 --startdatetime 2016-09-07T08:00:35 --delay 1 --endMP 204:233306 --enddatetime 2016-09-07T08:35:52 --enforcementcount 0 &gt;&gt;C:\Users\stu\Documents\GitHub\eaglep3-reporting\EC\2016-09-07-refined-times.txt</v>
      </c>
      <c r="AI47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{"issue":{"subject":"","project_id":79,"tracker_id":40,"status_id":1,"priority_id":2,"assigned_to_id":23,"start_date":"2016-09-07","description":"","custom_fields":[{"id":1,"name":"Subdivision","value":"EC"},{"id":4,"name":"Milepost","value":"23.2859"},{"id":17,"name":"Train ID","value":"135-07"},{"id":16,"name":"Locomotive ID","value":"4046"},{"id":130,"name":"Impact","value":""},{"id":150,"name":"Time of Event (Mountain Time)","value":"08:35:52"},{"id":151,"name":"Denver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</row>
    <row r="48" spans="1:38" s="1" customFormat="1" x14ac:dyDescent="0.25">
      <c r="A48" s="38" t="s">
        <v>401</v>
      </c>
      <c r="B48" s="7">
        <v>4045</v>
      </c>
      <c r="C48" s="23" t="s">
        <v>111</v>
      </c>
      <c r="D48" s="23" t="s">
        <v>132</v>
      </c>
      <c r="E48" s="15">
        <v>42620.359571759262</v>
      </c>
      <c r="F48" s="15">
        <v>42620.372430555559</v>
      </c>
      <c r="G48" s="7">
        <v>1</v>
      </c>
      <c r="H48" s="15" t="s">
        <v>143</v>
      </c>
      <c r="I48" s="15">
        <v>42620.402916666666</v>
      </c>
      <c r="J48" s="7">
        <v>0</v>
      </c>
      <c r="K48" s="115" t="str">
        <f t="shared" si="0"/>
        <v>4045/4046</v>
      </c>
      <c r="L48" s="23" t="str">
        <f>VLOOKUP(A48,'Trips&amp;Operators'!$C$1:$E$10000,3,FALSE)</f>
        <v>SANTIZO</v>
      </c>
      <c r="M48" s="6">
        <f t="shared" si="1"/>
        <v>3.0486111107165925E-2</v>
      </c>
      <c r="N48" s="7">
        <f t="shared" si="20"/>
        <v>43.899999994318932</v>
      </c>
      <c r="O48" s="7"/>
      <c r="P48" s="7"/>
      <c r="Q48" s="24"/>
      <c r="R48" s="24"/>
      <c r="S48" s="36">
        <f t="shared" si="21"/>
        <v>1</v>
      </c>
      <c r="T48" s="51" t="str">
        <f t="shared" si="4"/>
        <v>Southbound</v>
      </c>
      <c r="U48" s="17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07:37:47-0600',mode:absolute,to:'2016-09-07 10:40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48" s="177" t="str">
        <f t="shared" si="5"/>
        <v>N</v>
      </c>
      <c r="X48" s="177">
        <f t="shared" si="22"/>
        <v>1</v>
      </c>
      <c r="Y48" s="177">
        <f t="shared" si="7"/>
        <v>23.299399999999999</v>
      </c>
      <c r="Z48" s="67">
        <f t="shared" si="19"/>
        <v>1.5599999999999999E-2</v>
      </c>
      <c r="AA48" s="67">
        <f t="shared" si="9"/>
        <v>23.283799999999999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10"/>
        <v>0136-07</v>
      </c>
      <c r="AE48" s="97" t="str">
        <f t="shared" si="11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48" s="94" t="str">
        <f t="shared" si="12"/>
        <v>"C:\Program Files (x86)\AstroGrep\AstroGrep.exe" /spath="%USERPROFILE%\AppData\Local\Temp\OnboardLogs" /stypes="*4045*20160907*" /stext=" 15:.+((SYSTEM_STATE.+slice.+state.+changed )|(ment ac)|(system.+state.+changed )|(\|lc)|(penalty)|(\[timeout)|(PRM\|1\|D)|(kpr)|(kdp))" /e /r /s</v>
      </c>
      <c r="AG48" s="1" t="str">
        <f t="shared" si="13"/>
        <v>EC</v>
      </c>
      <c r="AH48" s="98" t="str">
        <f t="shared" si="17"/>
        <v>"%USERPROFILE%\Documents\GitHub\eaglep3\Utilities\RefineRTDCRunTimes.py" --tripid 136-07 --locoid 4045 --swversion DE.1.0.7.0 --startMP 204:232994 --initTime 2016-09-07T08:37:47 --startdatetime 2016-09-07T08:56:18 --delay 1 --endMP 204:156 --enddatetime 2016-09-07T09:40:12 --enforcementcount 0 &gt;&gt;C:\Users\stu\Documents\GitHub\eaglep3-reporting\EC\2016-09-07-refined-times.txt</v>
      </c>
      <c r="AI48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{"issue":{"subject":"","project_id":79,"tracker_id":40,"status_id":1,"priority_id":2,"assigned_to_id":23,"start_date":"2016-09-07","description":"","custom_fields":[{"id":1,"name":"Subdivision","value":"EC"},{"id":4,"name":"Milepost","value":"23.2838"},{"id":17,"name":"Train ID","value":"136-07"},{"id":16,"name":"Locomotive ID","value":"4045"},{"id":130,"name":"Impact","value":""},{"id":150,"name":"Time of Event (Mountain Time)","value":"09:40:12"},{"id":151,"name":"Denver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</row>
    <row r="49" spans="1:38" s="1" customFormat="1" x14ac:dyDescent="0.25">
      <c r="A49" s="38" t="s">
        <v>395</v>
      </c>
      <c r="B49" s="7">
        <v>4011</v>
      </c>
      <c r="C49" s="23" t="s">
        <v>111</v>
      </c>
      <c r="D49" s="23" t="s">
        <v>133</v>
      </c>
      <c r="E49" s="15">
        <v>42620.340219907404</v>
      </c>
      <c r="F49" s="15">
        <v>42620.343958333331</v>
      </c>
      <c r="G49" s="7">
        <v>1</v>
      </c>
      <c r="H49" s="15" t="s">
        <v>300</v>
      </c>
      <c r="I49" s="15">
        <v>42620.368252314816</v>
      </c>
      <c r="J49" s="7">
        <v>0</v>
      </c>
      <c r="K49" s="115" t="str">
        <f t="shared" si="0"/>
        <v>4011/4012</v>
      </c>
      <c r="L49" s="23" t="str">
        <f>VLOOKUP(A49,'Trips&amp;Operators'!$C$1:$E$10000,3,FALSE)</f>
        <v>KILLION</v>
      </c>
      <c r="M49" s="6">
        <f t="shared" si="1"/>
        <v>2.4293981485243421E-2</v>
      </c>
      <c r="N49" s="7">
        <f t="shared" si="20"/>
        <v>34.983333338750526</v>
      </c>
      <c r="O49" s="7"/>
      <c r="P49" s="7"/>
      <c r="Q49" s="24"/>
      <c r="R49" s="24"/>
      <c r="S49" s="36">
        <f t="shared" si="21"/>
        <v>1</v>
      </c>
      <c r="T49" s="51" t="str">
        <f t="shared" si="4"/>
        <v>NorthBound</v>
      </c>
      <c r="U49" s="17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07:09:55-0600',mode:absolute,to:'2016-09-07 09:50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49" s="177" t="str">
        <f t="shared" si="5"/>
        <v>N</v>
      </c>
      <c r="X49" s="177">
        <f t="shared" si="22"/>
        <v>1</v>
      </c>
      <c r="Y49" s="177">
        <f t="shared" si="7"/>
        <v>4.4900000000000002E-2</v>
      </c>
      <c r="Z49" s="67">
        <f t="shared" si="19"/>
        <v>23.3276</v>
      </c>
      <c r="AA49" s="67">
        <f t="shared" si="9"/>
        <v>23.282700000000002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10"/>
        <v>0137-07</v>
      </c>
      <c r="AE49" s="97" t="str">
        <f t="shared" si="11"/>
        <v>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 &amp; 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</v>
      </c>
      <c r="AF49" s="94" t="str">
        <f t="shared" si="12"/>
        <v>"C:\Program Files (x86)\AstroGrep\AstroGrep.exe" /spath="%USERPROFILE%\AppData\Local\Temp\OnboardLogs" /stypes="*4011*20160907*" /stext=" 14:.+((SYSTEM_STATE.+slice.+state.+changed )|(ment ac)|(system.+state.+changed )|(\|lc)|(penalty)|(\[timeout)|(PRM\|1\|D)|(kpr)|(kdp))" /e /r /s</v>
      </c>
      <c r="AG49" s="1" t="str">
        <f t="shared" si="13"/>
        <v>EC</v>
      </c>
      <c r="AH49" s="98" t="str">
        <f t="shared" si="17"/>
        <v>"%USERPROFILE%\Documents\GitHub\eaglep3\Utilities\RefineRTDCRunTimes.py" --tripid 137-07 --locoid 4011 --swversion DE.1.0.7.0 --startMP 204:449 --initTime 2016-09-07T08:09:55 --startdatetime 2016-09-07T08:15:18 --delay 1 --endMP 204:233276 --enddatetime 2016-09-07T08:50:17 --enforcementcount 0 &gt;&gt;C:\Users\stu\Documents\GitHub\eaglep3-reporting\EC\2016-09-07-refined-times.txt</v>
      </c>
      <c r="AI49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{"issue":{"subject":"","project_id":79,"tracker_id":40,"status_id":1,"priority_id":2,"assigned_to_id":23,"start_date":"2016-09-07","description":"","custom_fields":[{"id":1,"name":"Subdivision","value":"EC"},{"id":4,"name":"Milepost","value":"23.2827"},{"id":17,"name":"Train ID","value":"137-07"},{"id":16,"name":"Locomotive ID","value":"4011"},{"id":130,"name":"Impact","value":""},{"id":150,"name":"Time of Event (Mountain Time)","value":"08:50:17"},{"id":151,"name":"Denver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</row>
    <row r="50" spans="1:38" s="1" customFormat="1" x14ac:dyDescent="0.25">
      <c r="A50" s="38" t="s">
        <v>405</v>
      </c>
      <c r="B50" s="7">
        <v>4012</v>
      </c>
      <c r="C50" s="23" t="s">
        <v>111</v>
      </c>
      <c r="D50" s="23" t="s">
        <v>591</v>
      </c>
      <c r="E50" s="15">
        <v>42620.375439814816</v>
      </c>
      <c r="F50" s="15">
        <v>42620.382847222223</v>
      </c>
      <c r="G50" s="7">
        <v>1</v>
      </c>
      <c r="H50" s="15" t="s">
        <v>324</v>
      </c>
      <c r="I50" s="15">
        <v>42620.410162037035</v>
      </c>
      <c r="J50" s="7">
        <v>0</v>
      </c>
      <c r="K50" s="115" t="str">
        <f t="shared" si="0"/>
        <v>4011/4012</v>
      </c>
      <c r="L50" s="23" t="str">
        <f>VLOOKUP(A50,'Trips&amp;Operators'!$C$1:$E$10000,3,FALSE)</f>
        <v>KILLION</v>
      </c>
      <c r="M50" s="6">
        <f t="shared" si="1"/>
        <v>2.7314814811688848E-2</v>
      </c>
      <c r="N50" s="7">
        <f t="shared" si="20"/>
        <v>39.333333328831941</v>
      </c>
      <c r="O50" s="7"/>
      <c r="P50" s="7"/>
      <c r="Q50" s="24"/>
      <c r="R50" s="24"/>
      <c r="S50" s="36">
        <f t="shared" si="21"/>
        <v>1</v>
      </c>
      <c r="T50" s="51" t="str">
        <f t="shared" si="4"/>
        <v>Southbound</v>
      </c>
      <c r="U50" s="17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08:00:38-0600',mode:absolute,to:'2016-09-07 10:50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50" s="177" t="str">
        <f t="shared" si="5"/>
        <v>N</v>
      </c>
      <c r="X50" s="177">
        <f t="shared" si="22"/>
        <v>1</v>
      </c>
      <c r="Y50" s="177">
        <f t="shared" si="7"/>
        <v>23.296700000000001</v>
      </c>
      <c r="Z50" s="67">
        <f t="shared" si="19"/>
        <v>1.61E-2</v>
      </c>
      <c r="AA50" s="67">
        <f t="shared" si="9"/>
        <v>23.2806</v>
      </c>
      <c r="AB50" s="64" t="str">
        <f>VLOOKUP(A50,Enforcements!$C$7:$K$21,8,0)</f>
        <v>Bulletin (2)</v>
      </c>
      <c r="AC50" s="60" t="str">
        <f>VLOOKUP(A50,Enforcements!$C$7:$E$21,3,0)</f>
        <v>GRADE CROSSING</v>
      </c>
      <c r="AD50" s="61" t="str">
        <f t="shared" si="10"/>
        <v>0138-07</v>
      </c>
      <c r="AE50" s="97" t="str">
        <f t="shared" si="11"/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AF50" s="94" t="str">
        <f t="shared" si="12"/>
        <v>"C:\Program Files (x86)\AstroGrep\AstroGrep.exe" /spath="%USERPROFILE%\AppData\Local\Temp\OnboardLogs" /stypes="*4012*20160907*" /stext=" 15:.+((SYSTEM_STATE.+slice.+state.+changed )|(ment ac)|(system.+state.+changed )|(\|lc)|(penalty)|(\[timeout)|(PRM\|1\|D)|(kpr)|(kdp))" /e /r /s</v>
      </c>
      <c r="AG50" s="1" t="str">
        <f t="shared" si="13"/>
        <v>EC</v>
      </c>
      <c r="AH50" s="98" t="str">
        <f t="shared" si="17"/>
        <v>"%USERPROFILE%\Documents\GitHub\eaglep3\Utilities\RefineRTDCRunTimes.py" --tripid 138-07 --locoid 4012 --swversion DE.1.0.7.0 --startMP 204:232967 --initTime 2016-09-07T09:00:38 --startdatetime 2016-09-07T09:11:18 --delay 1 --endMP 204:161 --enddatetime 2016-09-07T09:50:38 --enforcementcount 0 &gt;&gt;C:\Users\stu\Documents\GitHub\eaglep3-reporting\EC\2016-09-07-refined-times.txt</v>
      </c>
      <c r="AI50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{"issue":{"subject":"","project_id":79,"tracker_id":40,"status_id":1,"priority_id":2,"assigned_to_id":23,"start_date":"2016-09-07","description":"","custom_fields":[{"id":1,"name":"Subdivision","value":"EC"},{"id":4,"name":"Milepost","value":"23.2806"},{"id":17,"name":"Train ID","value":"138-07"},{"id":16,"name":"Locomotive ID","value":"4012"},{"id":130,"name":"Impact","value":""},{"id":150,"name":"Time of Event (Mountain Time)","value":"09:50:38"},{"id":151,"name":"Denver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</row>
    <row r="51" spans="1:38" s="1" customFormat="1" x14ac:dyDescent="0.25">
      <c r="A51" s="38" t="s">
        <v>398</v>
      </c>
      <c r="B51" s="7">
        <v>4009</v>
      </c>
      <c r="C51" s="23" t="s">
        <v>111</v>
      </c>
      <c r="D51" s="23" t="s">
        <v>247</v>
      </c>
      <c r="E51" s="15">
        <v>42620.352754629632</v>
      </c>
      <c r="F51" s="15">
        <v>42620.354548611111</v>
      </c>
      <c r="G51" s="7">
        <v>1</v>
      </c>
      <c r="H51" s="15" t="s">
        <v>205</v>
      </c>
      <c r="I51" s="15">
        <v>42620.379386574074</v>
      </c>
      <c r="J51" s="7">
        <v>0</v>
      </c>
      <c r="K51" s="115" t="str">
        <f t="shared" si="0"/>
        <v>4009/4010</v>
      </c>
      <c r="L51" s="23" t="str">
        <f>VLOOKUP(A51,'Trips&amp;Operators'!$C$1:$E$10000,3,FALSE)</f>
        <v>ROCHA</v>
      </c>
      <c r="M51" s="6">
        <f t="shared" si="1"/>
        <v>2.4837962962919846E-2</v>
      </c>
      <c r="N51" s="7">
        <f t="shared" si="20"/>
        <v>35.766666666604578</v>
      </c>
      <c r="O51" s="7"/>
      <c r="P51" s="7"/>
      <c r="Q51" s="24"/>
      <c r="R51" s="24"/>
      <c r="S51" s="36">
        <f t="shared" si="21"/>
        <v>1</v>
      </c>
      <c r="T51" s="51" t="str">
        <f t="shared" si="4"/>
        <v>NorthBound</v>
      </c>
      <c r="U51" s="17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07:27:58-0600',mode:absolute,to:'2016-09-07 10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51" s="177" t="str">
        <f t="shared" si="5"/>
        <v>N</v>
      </c>
      <c r="X51" s="177">
        <f t="shared" si="22"/>
        <v>1</v>
      </c>
      <c r="Y51" s="177">
        <f t="shared" si="7"/>
        <v>4.6199999999999998E-2</v>
      </c>
      <c r="Z51" s="67">
        <f t="shared" si="19"/>
        <v>23.329699999999999</v>
      </c>
      <c r="AA51" s="67">
        <f t="shared" si="9"/>
        <v>23.2835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10"/>
        <v>0139-07</v>
      </c>
      <c r="AE51" s="97" t="str">
        <f t="shared" si="11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51" s="94" t="str">
        <f t="shared" si="12"/>
        <v>"C:\Program Files (x86)\AstroGrep\AstroGrep.exe" /spath="%USERPROFILE%\AppData\Local\Temp\OnboardLogs" /stypes="*4009*20160907*" /stext=" 15:.+((SYSTEM_STATE.+slice.+state.+changed )|(ment ac)|(system.+state.+changed )|(\|lc)|(penalty)|(\[timeout)|(PRM\|1\|D)|(kpr)|(kdp))" /e /r /s</v>
      </c>
      <c r="AG51" s="1" t="str">
        <f t="shared" si="13"/>
        <v>EC</v>
      </c>
      <c r="AH51" s="98" t="str">
        <f t="shared" si="17"/>
        <v>"%USERPROFILE%\Documents\GitHub\eaglep3\Utilities\RefineRTDCRunTimes.py" --tripid 139-07 --locoid 4009 --swversion DE.1.0.7.0 --startMP 204:462 --initTime 2016-09-07T08:27:58 --startdatetime 2016-09-07T08:30:33 --delay 1 --endMP 204:233297 --enddatetime 2016-09-07T09:06:19 --enforcementcount 0 &gt;&gt;C:\Users\stu\Documents\GitHub\eaglep3-reporting\EC\2016-09-07-refined-times.txt</v>
      </c>
      <c r="AI51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{"issue":{"subject":"","project_id":79,"tracker_id":40,"status_id":1,"priority_id":2,"assigned_to_id":23,"start_date":"2016-09-07","description":"","custom_fields":[{"id":1,"name":"Subdivision","value":"EC"},{"id":4,"name":"Milepost","value":"23.2835"},{"id":17,"name":"Train ID","value":"139-07"},{"id":16,"name":"Locomotive ID","value":"4009"},{"id":130,"name":"Impact","value":""},{"id":150,"name":"Time of Event (Mountain Time)","value":"09:06:19"},{"id":151,"name":"Denver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</row>
    <row r="52" spans="1:38" s="1" customFormat="1" x14ac:dyDescent="0.25">
      <c r="A52" s="38" t="s">
        <v>409</v>
      </c>
      <c r="B52" s="7">
        <v>4010</v>
      </c>
      <c r="C52" s="23" t="s">
        <v>111</v>
      </c>
      <c r="D52" s="23" t="s">
        <v>230</v>
      </c>
      <c r="E52" s="15">
        <v>42620.38422453704</v>
      </c>
      <c r="F52" s="15">
        <v>42620.393518518518</v>
      </c>
      <c r="G52" s="7">
        <v>1</v>
      </c>
      <c r="H52" s="15" t="s">
        <v>145</v>
      </c>
      <c r="I52" s="15">
        <v>42620.419421296298</v>
      </c>
      <c r="J52" s="7">
        <v>0</v>
      </c>
      <c r="K52" s="115" t="str">
        <f t="shared" si="0"/>
        <v>4009/4010</v>
      </c>
      <c r="L52" s="23" t="str">
        <f>VLOOKUP(A52,'Trips&amp;Operators'!$C$1:$E$10000,3,FALSE)</f>
        <v>ROCHA</v>
      </c>
      <c r="M52" s="6">
        <f t="shared" si="1"/>
        <v>2.5902777779265307E-2</v>
      </c>
      <c r="N52" s="7">
        <f t="shared" si="20"/>
        <v>37.300000002142042</v>
      </c>
      <c r="O52" s="7"/>
      <c r="P52" s="7"/>
      <c r="Q52" s="24"/>
      <c r="R52" s="24"/>
      <c r="S52" s="36">
        <f t="shared" si="21"/>
        <v>1</v>
      </c>
      <c r="T52" s="51" t="str">
        <f t="shared" si="4"/>
        <v>Southbound</v>
      </c>
      <c r="U52" s="17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08:13:17-0600',mode:absolute,to:'2016-09-07 11:03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52" s="177" t="str">
        <f t="shared" si="5"/>
        <v>N</v>
      </c>
      <c r="X52" s="177">
        <f t="shared" si="22"/>
        <v>1</v>
      </c>
      <c r="Y52" s="177">
        <f t="shared" si="7"/>
        <v>23.3</v>
      </c>
      <c r="Z52" s="67">
        <f t="shared" si="19"/>
        <v>1.54E-2</v>
      </c>
      <c r="AA52" s="67">
        <f t="shared" si="9"/>
        <v>23.284600000000001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10"/>
        <v>0140-07</v>
      </c>
      <c r="AE52" s="97" t="str">
        <f t="shared" si="11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52" s="94" t="str">
        <f t="shared" si="12"/>
        <v>"C:\Program Files (x86)\AstroGrep\AstroGrep.exe" /spath="%USERPROFILE%\AppData\Local\Temp\OnboardLogs" /stypes="*4010*20160907*" /stext=" 16:.+((SYSTEM_STATE.+slice.+state.+changed )|(ment ac)|(system.+state.+changed )|(\|lc)|(penalty)|(\[timeout)|(PRM\|1\|D)|(kpr)|(kdp))" /e /r /s</v>
      </c>
      <c r="AG52" s="1" t="str">
        <f t="shared" si="13"/>
        <v>EC</v>
      </c>
      <c r="AH52" s="98" t="str">
        <f t="shared" si="17"/>
        <v>"%USERPROFILE%\Documents\GitHub\eaglep3\Utilities\RefineRTDCRunTimes.py" --tripid 140-07 --locoid 4010 --swversion DE.1.0.7.0 --startMP 204:233000 --initTime 2016-09-07T09:13:17 --startdatetime 2016-09-07T09:26:40 --delay 1 --endMP 204:154 --enddatetime 2016-09-07T10:03:58 --enforcementcount 0 &gt;&gt;C:\Users\stu\Documents\GitHub\eaglep3-reporting\EC\2016-09-07-refined-times.txt</v>
      </c>
      <c r="AI52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{"issue":{"subject":"","project_id":79,"tracker_id":40,"status_id":1,"priority_id":2,"assigned_to_id":23,"start_date":"2016-09-07","description":"","custom_fields":[{"id":1,"name":"Subdivision","value":"EC"},{"id":4,"name":"Milepost","value":"23.2846"},{"id":17,"name":"Train ID","value":"140-07"},{"id":16,"name":"Locomotive ID","value":"4010"},{"id":130,"name":"Impact","value":""},{"id":150,"name":"Time of Event (Mountain Time)","value":"10:03:58"},{"id":151,"name":"Denver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</row>
    <row r="53" spans="1:38" s="1" customFormat="1" x14ac:dyDescent="0.25">
      <c r="A53" s="38" t="s">
        <v>402</v>
      </c>
      <c r="B53" s="7">
        <v>4014</v>
      </c>
      <c r="C53" s="23" t="s">
        <v>111</v>
      </c>
      <c r="D53" s="23" t="s">
        <v>144</v>
      </c>
      <c r="E53" s="15">
        <v>42620.360023148147</v>
      </c>
      <c r="F53" s="15">
        <v>42620.364872685182</v>
      </c>
      <c r="G53" s="7">
        <v>1</v>
      </c>
      <c r="H53" s="15" t="s">
        <v>315</v>
      </c>
      <c r="I53" s="15">
        <v>42620.389826388891</v>
      </c>
      <c r="J53" s="7">
        <v>0</v>
      </c>
      <c r="K53" s="115" t="str">
        <f t="shared" si="0"/>
        <v>4013/4014</v>
      </c>
      <c r="L53" s="23" t="str">
        <f>VLOOKUP(A53,'Trips&amp;Operators'!$C$1:$E$10000,3,FALSE)</f>
        <v>MAELZER</v>
      </c>
      <c r="M53" s="6">
        <f t="shared" si="1"/>
        <v>2.4953703708888497E-2</v>
      </c>
      <c r="N53" s="7">
        <f t="shared" si="20"/>
        <v>35.933333340799436</v>
      </c>
      <c r="O53" s="7"/>
      <c r="P53" s="7"/>
      <c r="Q53" s="24"/>
      <c r="R53" s="24"/>
      <c r="S53" s="36">
        <f t="shared" si="21"/>
        <v>1</v>
      </c>
      <c r="T53" s="51" t="str">
        <f t="shared" si="4"/>
        <v>NorthBound</v>
      </c>
      <c r="U53" s="17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07:38:26-0600',mode:absolute,to:'2016-09-07 10:21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53" s="177" t="str">
        <f t="shared" si="5"/>
        <v>N</v>
      </c>
      <c r="X53" s="177">
        <f t="shared" si="22"/>
        <v>1</v>
      </c>
      <c r="Y53" s="177">
        <f t="shared" si="7"/>
        <v>4.5100000000000001E-2</v>
      </c>
      <c r="Z53" s="67">
        <f t="shared" si="19"/>
        <v>23.3309</v>
      </c>
      <c r="AA53" s="67">
        <f t="shared" si="9"/>
        <v>23.285799999999998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10"/>
        <v>0141-07</v>
      </c>
      <c r="AE53" s="97" t="str">
        <f t="shared" si="11"/>
        <v>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 &amp; 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</v>
      </c>
      <c r="AF53" s="94" t="str">
        <f t="shared" si="12"/>
        <v>"C:\Program Files (x86)\AstroGrep\AstroGrep.exe" /spath="%USERPROFILE%\AppData\Local\Temp\OnboardLogs" /stypes="*4014*20160907*" /stext=" 15:.+((SYSTEM_STATE.+slice.+state.+changed )|(ment ac)|(system.+state.+changed )|(\|lc)|(penalty)|(\[timeout)|(PRM\|1\|D)|(kpr)|(kdp))" /e /r /s</v>
      </c>
      <c r="AG53" s="1" t="str">
        <f t="shared" si="13"/>
        <v>EC</v>
      </c>
      <c r="AH53" s="98" t="str">
        <f t="shared" si="17"/>
        <v>"%USERPROFILE%\Documents\GitHub\eaglep3\Utilities\RefineRTDCRunTimes.py" --tripid 141-07 --locoid 4014 --swversion DE.1.0.7.0 --startMP 204:451 --initTime 2016-09-07T08:38:26 --startdatetime 2016-09-07T08:45:25 --delay 1 --endMP 204:233309 --enddatetime 2016-09-07T09:21:21 --enforcementcount 0 &gt;&gt;C:\Users\stu\Documents\GitHub\eaglep3-reporting\EC\2016-09-07-refined-times.txt</v>
      </c>
      <c r="AI53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{"issue":{"subject":"","project_id":79,"tracker_id":40,"status_id":1,"priority_id":2,"assigned_to_id":23,"start_date":"2016-09-07","description":"","custom_fields":[{"id":1,"name":"Subdivision","value":"EC"},{"id":4,"name":"Milepost","value":"23.2858"},{"id":17,"name":"Train ID","value":"141-07"},{"id":16,"name":"Locomotive ID","value":"4014"},{"id":130,"name":"Impact","value":""},{"id":150,"name":"Time of Event (Mountain Time)","value":"09:21:21"},{"id":151,"name":"Denver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</row>
    <row r="54" spans="1:38" s="1" customFormat="1" x14ac:dyDescent="0.25">
      <c r="A54" s="38" t="s">
        <v>412</v>
      </c>
      <c r="B54" s="7">
        <v>4013</v>
      </c>
      <c r="C54" s="23" t="s">
        <v>111</v>
      </c>
      <c r="D54" s="23" t="s">
        <v>227</v>
      </c>
      <c r="E54" s="15">
        <v>42620.395289351851</v>
      </c>
      <c r="F54" s="15">
        <v>42620.40388888889</v>
      </c>
      <c r="G54" s="7">
        <v>1</v>
      </c>
      <c r="H54" s="15" t="s">
        <v>134</v>
      </c>
      <c r="I54" s="15">
        <v>42620.430532407408</v>
      </c>
      <c r="J54" s="7">
        <v>0</v>
      </c>
      <c r="K54" s="115" t="str">
        <f t="shared" si="0"/>
        <v>4013/4014</v>
      </c>
      <c r="L54" s="23" t="str">
        <f>VLOOKUP(A54,'Trips&amp;Operators'!$C$1:$E$10000,3,FALSE)</f>
        <v>MAELZER</v>
      </c>
      <c r="M54" s="6">
        <f t="shared" si="1"/>
        <v>2.6643518518540077E-2</v>
      </c>
      <c r="N54" s="7">
        <f t="shared" si="20"/>
        <v>38.366666666697711</v>
      </c>
      <c r="O54" s="7"/>
      <c r="P54" s="7"/>
      <c r="Q54" s="24"/>
      <c r="R54" s="24"/>
      <c r="S54" s="36">
        <f t="shared" si="21"/>
        <v>1</v>
      </c>
      <c r="T54" s="51" t="str">
        <f t="shared" si="4"/>
        <v>Southbound</v>
      </c>
      <c r="U54" s="17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08:29:13-0600',mode:absolute,to:'2016-09-07 11:19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54" s="177" t="str">
        <f t="shared" si="5"/>
        <v>N</v>
      </c>
      <c r="X54" s="177">
        <f t="shared" si="22"/>
        <v>1</v>
      </c>
      <c r="Y54" s="177">
        <f t="shared" si="7"/>
        <v>23.299800000000001</v>
      </c>
      <c r="Z54" s="67">
        <f t="shared" si="19"/>
        <v>1.49E-2</v>
      </c>
      <c r="AA54" s="67">
        <f t="shared" si="9"/>
        <v>23.2849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10"/>
        <v>0142-07</v>
      </c>
      <c r="AE54" s="97" t="str">
        <f t="shared" si="11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54" s="94" t="str">
        <f t="shared" si="12"/>
        <v>"C:\Program Files (x86)\AstroGrep\AstroGrep.exe" /spath="%USERPROFILE%\AppData\Local\Temp\OnboardLogs" /stypes="*4013*20160907*" /stext=" 16:.+((SYSTEM_STATE.+slice.+state.+changed )|(ment ac)|(system.+state.+changed )|(\|lc)|(penalty)|(\[timeout)|(PRM\|1\|D)|(kpr)|(kdp))" /e /r /s</v>
      </c>
      <c r="AG54" s="1" t="str">
        <f t="shared" si="13"/>
        <v>EC</v>
      </c>
      <c r="AH54" s="98" t="str">
        <f t="shared" si="17"/>
        <v>"%USERPROFILE%\Documents\GitHub\eaglep3\Utilities\RefineRTDCRunTimes.py" --tripid 142-07 --locoid 4013 --swversion DE.1.0.7.0 --startMP 204:232998 --initTime 2016-09-07T09:29:13 --startdatetime 2016-09-07T09:41:36 --delay 1 --endMP 204:149 --enddatetime 2016-09-07T10:19:58 --enforcementcount 0 &gt;&gt;C:\Users\stu\Documents\GitHub\eaglep3-reporting\EC\2016-09-07-refined-times.txt</v>
      </c>
      <c r="AI54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{"issue":{"subject":"","project_id":79,"tracker_id":40,"status_id":1,"priority_id":2,"assigned_to_id":23,"start_date":"2016-09-07","description":"","custom_fields":[{"id":1,"name":"Subdivision","value":"EC"},{"id":4,"name":"Milepost","value":"23.2849"},{"id":17,"name":"Train ID","value":"142-07"},{"id":16,"name":"Locomotive ID","value":"4013"},{"id":130,"name":"Impact","value":""},{"id":150,"name":"Time of Event (Mountain Time)","value":"10:19:58"},{"id":151,"name":"Denver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</row>
    <row r="55" spans="1:38" s="1" customFormat="1" x14ac:dyDescent="0.25">
      <c r="A55" s="38" t="s">
        <v>404</v>
      </c>
      <c r="B55" s="7">
        <v>4025</v>
      </c>
      <c r="C55" s="23" t="s">
        <v>111</v>
      </c>
      <c r="D55" s="23" t="s">
        <v>229</v>
      </c>
      <c r="E55" s="15">
        <v>42620.371759259258</v>
      </c>
      <c r="F55" s="15">
        <v>42620.375300925924</v>
      </c>
      <c r="G55" s="7">
        <v>2</v>
      </c>
      <c r="H55" s="15" t="s">
        <v>225</v>
      </c>
      <c r="I55" s="15">
        <v>42620.400694444441</v>
      </c>
      <c r="J55" s="7">
        <v>0</v>
      </c>
      <c r="K55" s="115" t="str">
        <f t="shared" si="0"/>
        <v>4025/4026</v>
      </c>
      <c r="L55" s="23" t="str">
        <f>VLOOKUP(A55,'Trips&amp;Operators'!$C$1:$E$10000,3,FALSE)</f>
        <v>BRANNON</v>
      </c>
      <c r="M55" s="6">
        <f t="shared" si="1"/>
        <v>2.5393518517375924E-2</v>
      </c>
      <c r="N55" s="7">
        <f t="shared" si="20"/>
        <v>36.56666666502133</v>
      </c>
      <c r="O55" s="7"/>
      <c r="P55" s="7"/>
      <c r="Q55" s="24"/>
      <c r="R55" s="24"/>
      <c r="S55" s="36">
        <f t="shared" si="21"/>
        <v>1</v>
      </c>
      <c r="T55" s="51" t="str">
        <f t="shared" si="4"/>
        <v>NorthBound</v>
      </c>
      <c r="U55" s="17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07:55:20-0600',mode:absolute,to:'2016-09-07 10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55" s="177" t="str">
        <f t="shared" si="5"/>
        <v>N</v>
      </c>
      <c r="X55" s="177">
        <f t="shared" si="22"/>
        <v>1</v>
      </c>
      <c r="Y55" s="177">
        <f t="shared" si="7"/>
        <v>4.6399999999999997E-2</v>
      </c>
      <c r="Z55" s="67">
        <f t="shared" si="19"/>
        <v>23.331499999999998</v>
      </c>
      <c r="AA55" s="67">
        <f t="shared" si="9"/>
        <v>23.2851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10"/>
        <v>0143-07</v>
      </c>
      <c r="AE55" s="97" t="str">
        <f t="shared" si="11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55" s="94" t="str">
        <f t="shared" si="12"/>
        <v>"C:\Program Files (x86)\AstroGrep\AstroGrep.exe" /spath="%USERPROFILE%\AppData\Local\Temp\OnboardLogs" /stypes="*4025*20160907*" /stext=" 15:.+((SYSTEM_STATE.+slice.+state.+changed )|(ment ac)|(system.+state.+changed )|(\|lc)|(penalty)|(\[timeout)|(PRM\|1\|D)|(kpr)|(kdp))" /e /r /s</v>
      </c>
      <c r="AG55" s="1" t="str">
        <f t="shared" si="13"/>
        <v>EC</v>
      </c>
      <c r="AH55" s="98" t="str">
        <f t="shared" si="17"/>
        <v>"%USERPROFILE%\Documents\GitHub\eaglep3\Utilities\RefineRTDCRunTimes.py" --tripid 143-07 --locoid 4025 --swversion DE.1.0.7.0 --startMP 204:464 --initTime 2016-09-07T08:55:20 --startdatetime 2016-09-07T09:00:26 --delay 2 --endMP 204:233315 --enddatetime 2016-09-07T09:37:00 --enforcementcount 0 &gt;&gt;C:\Users\stu\Documents\GitHub\eaglep3-reporting\EC\2016-09-07-refined-times.txt</v>
      </c>
      <c r="AI55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{"issue":{"subject":"","project_id":79,"tracker_id":40,"status_id":1,"priority_id":2,"assigned_to_id":23,"start_date":"2016-09-07","description":"","custom_fields":[{"id":1,"name":"Subdivision","value":"EC"},{"id":4,"name":"Milepost","value":"23.2851"},{"id":17,"name":"Train ID","value":"143-07"},{"id":16,"name":"Locomotive ID","value":"4025"},{"id":130,"name":"Impact","value":""},{"id":150,"name":"Time of Event (Mountain Time)","value":"09:37:00"},{"id":151,"name":"Denver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</row>
    <row r="56" spans="1:38" s="1" customFormat="1" x14ac:dyDescent="0.25">
      <c r="A56" s="38" t="s">
        <v>416</v>
      </c>
      <c r="B56" s="7">
        <v>4026</v>
      </c>
      <c r="C56" s="23" t="s">
        <v>111</v>
      </c>
      <c r="D56" s="23" t="s">
        <v>246</v>
      </c>
      <c r="E56" s="15">
        <v>42620.406284722223</v>
      </c>
      <c r="F56" s="15">
        <v>42620.414386574077</v>
      </c>
      <c r="G56" s="7">
        <v>1</v>
      </c>
      <c r="H56" s="15" t="s">
        <v>262</v>
      </c>
      <c r="I56" s="15">
        <v>42620.442916666667</v>
      </c>
      <c r="J56" s="7">
        <v>0</v>
      </c>
      <c r="K56" s="115" t="str">
        <f t="shared" si="0"/>
        <v>4025/4026</v>
      </c>
      <c r="L56" s="23" t="str">
        <f>VLOOKUP(A56,'Trips&amp;Operators'!$C$1:$E$10000,3,FALSE)</f>
        <v>BRANNON</v>
      </c>
      <c r="M56" s="6">
        <f t="shared" si="1"/>
        <v>2.8530092589790002E-2</v>
      </c>
      <c r="N56" s="7">
        <f t="shared" si="20"/>
        <v>41.083333329297602</v>
      </c>
      <c r="O56" s="7"/>
      <c r="P56" s="7"/>
      <c r="Q56" s="24"/>
      <c r="R56" s="24"/>
      <c r="S56" s="36">
        <f t="shared" si="21"/>
        <v>1</v>
      </c>
      <c r="T56" s="51" t="str">
        <f t="shared" si="4"/>
        <v>Southbound</v>
      </c>
      <c r="U56" s="17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08:45:03-0600',mode:absolute,to:'2016-09-07 11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56" s="177" t="str">
        <f t="shared" si="5"/>
        <v>N</v>
      </c>
      <c r="X56" s="177">
        <f t="shared" si="22"/>
        <v>1</v>
      </c>
      <c r="Y56" s="177">
        <f t="shared" si="7"/>
        <v>23.297899999999998</v>
      </c>
      <c r="Z56" s="67">
        <f t="shared" si="19"/>
        <v>1.6500000000000001E-2</v>
      </c>
      <c r="AA56" s="67">
        <f t="shared" si="9"/>
        <v>23.281399999999998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10"/>
        <v>0144-07</v>
      </c>
      <c r="AE56" s="97" t="str">
        <f t="shared" si="11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56" s="94" t="str">
        <f t="shared" si="12"/>
        <v>"C:\Program Files (x86)\AstroGrep\AstroGrep.exe" /spath="%USERPROFILE%\AppData\Local\Temp\OnboardLogs" /stypes="*4026*20160907*" /stext=" 16:.+((SYSTEM_STATE.+slice.+state.+changed )|(ment ac)|(system.+state.+changed )|(\|lc)|(penalty)|(\[timeout)|(PRM\|1\|D)|(kpr)|(kdp))" /e /r /s</v>
      </c>
      <c r="AG56" s="1" t="str">
        <f t="shared" si="13"/>
        <v>EC</v>
      </c>
      <c r="AH56" s="98" t="str">
        <f t="shared" si="17"/>
        <v>"%USERPROFILE%\Documents\GitHub\eaglep3\Utilities\RefineRTDCRunTimes.py" --tripid 144-07 --locoid 4026 --swversion DE.1.0.7.0 --startMP 204:232979 --initTime 2016-09-07T09:45:03 --startdatetime 2016-09-07T09:56:43 --delay 1 --endMP 204:165 --enddatetime 2016-09-07T10:37:48 --enforcementcount 0 &gt;&gt;C:\Users\stu\Documents\GitHub\eaglep3-reporting\EC\2016-09-07-refined-times.txt</v>
      </c>
      <c r="AI56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{"issue":{"subject":"","project_id":79,"tracker_id":40,"status_id":1,"priority_id":2,"assigned_to_id":23,"start_date":"2016-09-07","description":"","custom_fields":[{"id":1,"name":"Subdivision","value":"EC"},{"id":4,"name":"Milepost","value":"23.2814"},{"id":17,"name":"Train ID","value":"144-07"},{"id":16,"name":"Locomotive ID","value":"4026"},{"id":130,"name":"Impact","value":""},{"id":150,"name":"Time of Event (Mountain Time)","value":"10:37:48"},{"id":151,"name":"Denver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</row>
    <row r="57" spans="1:38" s="1" customFormat="1" x14ac:dyDescent="0.25">
      <c r="A57" s="38" t="s">
        <v>408</v>
      </c>
      <c r="B57" s="7">
        <v>4031</v>
      </c>
      <c r="C57" s="23" t="s">
        <v>111</v>
      </c>
      <c r="D57" s="23" t="s">
        <v>592</v>
      </c>
      <c r="E57" s="15">
        <v>42620.382199074076</v>
      </c>
      <c r="F57" s="15">
        <v>42620.385636574072</v>
      </c>
      <c r="G57" s="7">
        <v>1</v>
      </c>
      <c r="H57" s="15" t="s">
        <v>310</v>
      </c>
      <c r="I57" s="15">
        <v>42620.40965277778</v>
      </c>
      <c r="J57" s="7">
        <v>0</v>
      </c>
      <c r="K57" s="115" t="str">
        <f t="shared" si="0"/>
        <v>4031/4032</v>
      </c>
      <c r="L57" s="23" t="str">
        <f>VLOOKUP(A57,'Trips&amp;Operators'!$C$1:$E$10000,3,FALSE)</f>
        <v>HILLS</v>
      </c>
      <c r="M57" s="6">
        <f t="shared" si="1"/>
        <v>2.4016203708015382E-2</v>
      </c>
      <c r="N57" s="7">
        <f t="shared" si="20"/>
        <v>34.58333333954215</v>
      </c>
      <c r="O57" s="7"/>
      <c r="P57" s="7"/>
      <c r="Q57" s="24"/>
      <c r="R57" s="24"/>
      <c r="S57" s="36">
        <f t="shared" si="21"/>
        <v>1</v>
      </c>
      <c r="T57" s="51" t="str">
        <f t="shared" si="4"/>
        <v>NorthBound</v>
      </c>
      <c r="U57" s="17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08:10:22-0600',mode:absolute,to:'2016-09-07 10:49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57" s="177" t="str">
        <f t="shared" si="5"/>
        <v>N</v>
      </c>
      <c r="X57" s="177">
        <f t="shared" si="22"/>
        <v>1</v>
      </c>
      <c r="Y57" s="177">
        <f t="shared" si="7"/>
        <v>5.3699999999999998E-2</v>
      </c>
      <c r="Z57" s="67">
        <f t="shared" si="19"/>
        <v>23.332999999999998</v>
      </c>
      <c r="AA57" s="67">
        <f t="shared" si="9"/>
        <v>23.279299999999999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10"/>
        <v>0145-07</v>
      </c>
      <c r="AE57" s="97" t="str">
        <f t="shared" si="11"/>
        <v>aws s3 cp s3://rtdc.mdm.uploadarchive/RTDC4031/2016-09-07/ "%USERPROFILE%\AppData\Local\Temp\OnboardLogs"\RTDC4031\2016-09-07 --recursive &amp; "%USERPROFILE%\Documents\GitHub\mrs-test-scripts\Headless Mode &amp; Sideloading\WalkAndUnGZ.bat" "%USERPROFILE%\AppData\Local\Temp\OnboardLogs"\RTDC4031\2016-09-07 &amp; 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</v>
      </c>
      <c r="AF57" s="94" t="str">
        <f t="shared" si="12"/>
        <v>"C:\Program Files (x86)\AstroGrep\AstroGrep.exe" /spath="%USERPROFILE%\AppData\Local\Temp\OnboardLogs" /stypes="*4031*20160907*" /stext=" 15:.+((SYSTEM_STATE.+slice.+state.+changed )|(ment ac)|(system.+state.+changed )|(\|lc)|(penalty)|(\[timeout)|(PRM\|1\|D)|(kpr)|(kdp))" /e /r /s</v>
      </c>
      <c r="AG57" s="1" t="str">
        <f t="shared" si="13"/>
        <v>EC</v>
      </c>
      <c r="AH57" s="98" t="str">
        <f t="shared" si="17"/>
        <v>"%USERPROFILE%\Documents\GitHub\eaglep3\Utilities\RefineRTDCRunTimes.py" --tripid 145-07 --locoid 4031 --swversion DE.1.0.7.0 --startMP 204:537 --initTime 2016-09-07T09:10:22 --startdatetime 2016-09-07T09:15:19 --delay 1 --endMP 204:233330 --enddatetime 2016-09-07T09:49:54 --enforcementcount 0 &gt;&gt;C:\Users\stu\Documents\GitHub\eaglep3-reporting\EC\2016-09-07-refined-times.txt</v>
      </c>
      <c r="AI57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{"issue":{"subject":"","project_id":79,"tracker_id":40,"status_id":1,"priority_id":2,"assigned_to_id":23,"start_date":"2016-09-07","description":"","custom_fields":[{"id":1,"name":"Subdivision","value":"EC"},{"id":4,"name":"Milepost","value":"23.2793"},{"id":17,"name":"Train ID","value":"145-07"},{"id":16,"name":"Locomotive ID","value":"4031"},{"id":130,"name":"Impact","value":""},{"id":150,"name":"Time of Event (Mountain Time)","value":"09:49:54"},{"id":151,"name":"Denver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</row>
    <row r="58" spans="1:38" s="1" customFormat="1" x14ac:dyDescent="0.25">
      <c r="A58" s="38" t="s">
        <v>418</v>
      </c>
      <c r="B58" s="7">
        <v>4032</v>
      </c>
      <c r="C58" s="23" t="s">
        <v>111</v>
      </c>
      <c r="D58" s="23" t="s">
        <v>132</v>
      </c>
      <c r="E58" s="15">
        <v>42620.416030092594</v>
      </c>
      <c r="F58" s="15">
        <v>42620.424479166664</v>
      </c>
      <c r="G58" s="7">
        <v>1</v>
      </c>
      <c r="H58" s="15" t="s">
        <v>217</v>
      </c>
      <c r="I58" s="15">
        <v>42620.451747685183</v>
      </c>
      <c r="J58" s="7">
        <v>0</v>
      </c>
      <c r="K58" s="115" t="str">
        <f t="shared" si="0"/>
        <v>4031/4032</v>
      </c>
      <c r="L58" s="23" t="str">
        <f>VLOOKUP(A58,'Trips&amp;Operators'!$C$1:$E$10000,3,FALSE)</f>
        <v>HILLS</v>
      </c>
      <c r="M58" s="6">
        <f t="shared" si="1"/>
        <v>2.7268518519122154E-2</v>
      </c>
      <c r="N58" s="7">
        <f t="shared" si="20"/>
        <v>39.266666667535901</v>
      </c>
      <c r="O58" s="7"/>
      <c r="P58" s="7"/>
      <c r="Q58" s="24"/>
      <c r="R58" s="24"/>
      <c r="S58" s="36">
        <f t="shared" si="21"/>
        <v>1</v>
      </c>
      <c r="T58" s="51" t="str">
        <f t="shared" si="4"/>
        <v>Southbound</v>
      </c>
      <c r="U58" s="17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08:59:05-0600',mode:absolute,to:'2016-09-07 11:50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58" s="177" t="str">
        <f t="shared" si="5"/>
        <v>N</v>
      </c>
      <c r="X58" s="177">
        <f t="shared" si="22"/>
        <v>1</v>
      </c>
      <c r="Y58" s="177">
        <f t="shared" si="7"/>
        <v>23.299399999999999</v>
      </c>
      <c r="Z58" s="67">
        <f t="shared" si="19"/>
        <v>1.4999999999999999E-2</v>
      </c>
      <c r="AA58" s="67">
        <f t="shared" si="9"/>
        <v>23.284399999999998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10"/>
        <v>0146-07</v>
      </c>
      <c r="AE58" s="97" t="str">
        <f t="shared" si="11"/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AF58" s="94" t="str">
        <f t="shared" si="12"/>
        <v>"C:\Program Files (x86)\AstroGrep\AstroGrep.exe" /spath="%USERPROFILE%\AppData\Local\Temp\OnboardLogs" /stypes="*4032*20160907*" /stext=" 16:.+((SYSTEM_STATE.+slice.+state.+changed )|(ment ac)|(system.+state.+changed )|(\|lc)|(penalty)|(\[timeout)|(PRM\|1\|D)|(kpr)|(kdp))" /e /r /s</v>
      </c>
      <c r="AG58" s="1" t="str">
        <f t="shared" si="13"/>
        <v>EC</v>
      </c>
      <c r="AH58" s="98" t="str">
        <f t="shared" si="17"/>
        <v>"%USERPROFILE%\Documents\GitHub\eaglep3\Utilities\RefineRTDCRunTimes.py" --tripid 146-07 --locoid 4032 --swversion DE.1.0.7.0 --startMP 204:232994 --initTime 2016-09-07T09:59:05 --startdatetime 2016-09-07T10:11:15 --delay 1 --endMP 204:150 --enddatetime 2016-09-07T10:50:31 --enforcementcount 0 &gt;&gt;C:\Users\stu\Documents\GitHub\eaglep3-reporting\EC\2016-09-07-refined-times.txt</v>
      </c>
      <c r="AI58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{"issue":{"subject":"","project_id":79,"tracker_id":40,"status_id":1,"priority_id":2,"assigned_to_id":23,"start_date":"2016-09-07","description":"","custom_fields":[{"id":1,"name":"Subdivision","value":"EC"},{"id":4,"name":"Milepost","value":"23.2844"},{"id":17,"name":"Train ID","value":"146-07"},{"id":16,"name":"Locomotive ID","value":"4032"},{"id":130,"name":"Impact","value":""},{"id":150,"name":"Time of Event (Mountain Time)","value":"10:50:31"},{"id":151,"name":"Denver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</row>
    <row r="59" spans="1:38" s="1" customFormat="1" x14ac:dyDescent="0.25">
      <c r="A59" s="38" t="s">
        <v>411</v>
      </c>
      <c r="B59" s="7">
        <v>4020</v>
      </c>
      <c r="C59" s="23" t="s">
        <v>111</v>
      </c>
      <c r="D59" s="23" t="s">
        <v>131</v>
      </c>
      <c r="E59" s="15">
        <v>42620.39340277778</v>
      </c>
      <c r="F59" s="15">
        <v>42620.396134259259</v>
      </c>
      <c r="G59" s="7">
        <v>1</v>
      </c>
      <c r="H59" s="15" t="s">
        <v>322</v>
      </c>
      <c r="I59" s="15">
        <v>42620.422905092593</v>
      </c>
      <c r="J59" s="7">
        <v>0</v>
      </c>
      <c r="K59" s="115" t="str">
        <f t="shared" si="0"/>
        <v>4019/4020</v>
      </c>
      <c r="L59" s="23" t="str">
        <f>VLOOKUP(A59,'Trips&amp;Operators'!$C$1:$E$10000,3,FALSE)</f>
        <v>STRICKLAND</v>
      </c>
      <c r="M59" s="6">
        <f t="shared" si="1"/>
        <v>2.6770833334012423E-2</v>
      </c>
      <c r="N59" s="7">
        <f t="shared" si="20"/>
        <v>38.550000000977889</v>
      </c>
      <c r="O59" s="7"/>
      <c r="P59" s="7"/>
      <c r="Q59" s="24"/>
      <c r="R59" s="24"/>
      <c r="S59" s="36">
        <f t="shared" si="21"/>
        <v>1</v>
      </c>
      <c r="T59" s="51" t="str">
        <f t="shared" si="4"/>
        <v>NorthBound</v>
      </c>
      <c r="U59" s="17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08:26:30-0600',mode:absolute,to:'2016-09-07 11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59" s="177" t="str">
        <f t="shared" si="5"/>
        <v>N</v>
      </c>
      <c r="X59" s="177">
        <f t="shared" si="22"/>
        <v>1</v>
      </c>
      <c r="Y59" s="177">
        <f t="shared" si="7"/>
        <v>4.53E-2</v>
      </c>
      <c r="Z59" s="67">
        <f t="shared" si="19"/>
        <v>23.331900000000001</v>
      </c>
      <c r="AA59" s="67">
        <f t="shared" si="9"/>
        <v>23.2866</v>
      </c>
      <c r="AB59" s="64" t="str">
        <f>VLOOKUP(A59,Enforcements!$C$7:$K$21,8,0)</f>
        <v>Speed (6)</v>
      </c>
      <c r="AC59" s="60" t="str">
        <f>VLOOKUP(A59,Enforcements!$C$7:$E$21,3,0)</f>
        <v>PERMANENT SPEED RESTRICTION</v>
      </c>
      <c r="AD59" s="61" t="str">
        <f t="shared" si="10"/>
        <v>0147-07</v>
      </c>
      <c r="AE59" s="97" t="str">
        <f t="shared" si="11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59" s="94" t="str">
        <f t="shared" si="12"/>
        <v>"C:\Program Files (x86)\AstroGrep\AstroGrep.exe" /spath="%USERPROFILE%\AppData\Local\Temp\OnboardLogs" /stypes="*4020*20160907*" /stext=" 16:.+((SYSTEM_STATE.+slice.+state.+changed )|(ment ac)|(system.+state.+changed )|(\|lc)|(penalty)|(\[timeout)|(PRM\|1\|D)|(kpr)|(kdp))" /e /r /s</v>
      </c>
      <c r="AG59" s="1" t="str">
        <f t="shared" si="13"/>
        <v>EC</v>
      </c>
      <c r="AH59" s="98" t="str">
        <f t="shared" si="17"/>
        <v>"%USERPROFILE%\Documents\GitHub\eaglep3\Utilities\RefineRTDCRunTimes.py" --tripid 147-07 --locoid 4020 --swversion DE.1.0.7.0 --startMP 204:453 --initTime 2016-09-07T09:26:30 --startdatetime 2016-09-07T09:30:26 --delay 1 --endMP 204:233319 --enddatetime 2016-09-07T10:08:59 --enforcementcount 0 &gt;&gt;C:\Users\stu\Documents\GitHub\eaglep3-reporting\EC\2016-09-07-refined-times.txt</v>
      </c>
      <c r="AI59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{"issue":{"subject":"","project_id":79,"tracker_id":40,"status_id":1,"priority_id":2,"assigned_to_id":23,"start_date":"2016-09-07","description":"","custom_fields":[{"id":1,"name":"Subdivision","value":"EC"},{"id":4,"name":"Milepost","value":"23.2866"},{"id":17,"name":"Train ID","value":"147-07"},{"id":16,"name":"Locomotive ID","value":"4020"},{"id":130,"name":"Impact","value":""},{"id":150,"name":"Time of Event (Mountain Time)","value":"10:08:59"},{"id":151,"name":"Denver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</row>
    <row r="60" spans="1:38" s="1" customFormat="1" x14ac:dyDescent="0.25">
      <c r="A60" s="38" t="s">
        <v>421</v>
      </c>
      <c r="B60" s="7">
        <v>4019</v>
      </c>
      <c r="C60" s="23" t="s">
        <v>111</v>
      </c>
      <c r="D60" s="23" t="s">
        <v>319</v>
      </c>
      <c r="E60" s="15">
        <v>42620.430763888886</v>
      </c>
      <c r="F60" s="15">
        <v>42620.435185185182</v>
      </c>
      <c r="G60" s="7">
        <v>1</v>
      </c>
      <c r="H60" s="15" t="s">
        <v>593</v>
      </c>
      <c r="I60" s="15">
        <v>42620.462523148148</v>
      </c>
      <c r="J60" s="7">
        <v>0</v>
      </c>
      <c r="K60" s="115" t="str">
        <f t="shared" si="0"/>
        <v>4019/4020</v>
      </c>
      <c r="L60" s="23" t="str">
        <f>VLOOKUP(A60,'Trips&amp;Operators'!$C$1:$E$10000,3,FALSE)</f>
        <v>STRICKLAND</v>
      </c>
      <c r="M60" s="6">
        <f t="shared" si="1"/>
        <v>2.7337962965248153E-2</v>
      </c>
      <c r="N60" s="7">
        <f t="shared" si="20"/>
        <v>39.36666666995734</v>
      </c>
      <c r="O60" s="7"/>
      <c r="P60" s="7"/>
      <c r="Q60" s="24"/>
      <c r="R60" s="24"/>
      <c r="S60" s="36">
        <f t="shared" si="21"/>
        <v>1</v>
      </c>
      <c r="T60" s="51" t="str">
        <f t="shared" si="4"/>
        <v>Southbound</v>
      </c>
      <c r="U60" s="17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09:20:18-0600',mode:absolute,to:'2016-09-07 12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60" s="177" t="str">
        <f t="shared" si="5"/>
        <v>N</v>
      </c>
      <c r="X60" s="177">
        <f t="shared" si="22"/>
        <v>1</v>
      </c>
      <c r="Y60" s="177">
        <f t="shared" si="7"/>
        <v>23.300799999999999</v>
      </c>
      <c r="Z60" s="67">
        <f t="shared" si="19"/>
        <v>1.29E-2</v>
      </c>
      <c r="AA60" s="67">
        <f t="shared" si="9"/>
        <v>23.2879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10"/>
        <v>0148-07</v>
      </c>
      <c r="AE60" s="97" t="str">
        <f t="shared" si="11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60" s="94" t="str">
        <f t="shared" si="12"/>
        <v>"C:\Program Files (x86)\AstroGrep\AstroGrep.exe" /spath="%USERPROFILE%\AppData\Local\Temp\OnboardLogs" /stypes="*4019*20160907*" /stext=" 17:.+((SYSTEM_STATE.+slice.+state.+changed )|(ment ac)|(system.+state.+changed )|(\|lc)|(penalty)|(\[timeout)|(PRM\|1\|D)|(kpr)|(kdp))" /e /r /s</v>
      </c>
      <c r="AG60" s="1" t="str">
        <f t="shared" si="13"/>
        <v>EC</v>
      </c>
      <c r="AH60" s="98" t="str">
        <f t="shared" si="17"/>
        <v>"%USERPROFILE%\Documents\GitHub\eaglep3\Utilities\RefineRTDCRunTimes.py" --tripid 148-07 --locoid 4019 --swversion DE.1.0.7.0 --startMP 204:233008 --initTime 2016-09-07T10:20:18 --startdatetime 2016-09-07T10:26:40 --delay 1 --endMP 204:129 --enddatetime 2016-09-07T11:06:02 --enforcementcount 0 &gt;&gt;C:\Users\stu\Documents\GitHub\eaglep3-reporting\EC\2016-09-07-refined-times.txt</v>
      </c>
      <c r="AI60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{"issue":{"subject":"","project_id":79,"tracker_id":40,"status_id":1,"priority_id":2,"assigned_to_id":23,"start_date":"2016-09-07","description":"","custom_fields":[{"id":1,"name":"Subdivision","value":"EC"},{"id":4,"name":"Milepost","value":"23.2879"},{"id":17,"name":"Train ID","value":"148-07"},{"id":16,"name":"Locomotive ID","value":"4019"},{"id":130,"name":"Impact","value":""},{"id":150,"name":"Time of Event (Mountain Time)","value":"11:06:02"},{"id":151,"name":"Denver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</row>
    <row r="61" spans="1:38" s="1" customFormat="1" x14ac:dyDescent="0.25">
      <c r="A61" s="38" t="s">
        <v>415</v>
      </c>
      <c r="B61" s="7">
        <v>4046</v>
      </c>
      <c r="C61" s="23" t="s">
        <v>111</v>
      </c>
      <c r="D61" s="23" t="s">
        <v>131</v>
      </c>
      <c r="E61" s="15">
        <v>42620.403958333336</v>
      </c>
      <c r="F61" s="15">
        <v>42620.406493055554</v>
      </c>
      <c r="G61" s="7">
        <v>1</v>
      </c>
      <c r="H61" s="15" t="s">
        <v>325</v>
      </c>
      <c r="I61" s="15">
        <v>42620.432199074072</v>
      </c>
      <c r="J61" s="7">
        <v>0</v>
      </c>
      <c r="K61" s="115" t="str">
        <f t="shared" si="0"/>
        <v>4045/4046</v>
      </c>
      <c r="L61" s="23" t="str">
        <f>VLOOKUP(A61,'Trips&amp;Operators'!$C$1:$E$10000,3,FALSE)</f>
        <v>SANTIZO</v>
      </c>
      <c r="M61" s="6">
        <f t="shared" si="1"/>
        <v>2.5706018517666962E-2</v>
      </c>
      <c r="N61" s="7">
        <f t="shared" si="20"/>
        <v>37.016666665440425</v>
      </c>
      <c r="O61" s="7"/>
      <c r="P61" s="7"/>
      <c r="Q61" s="24"/>
      <c r="R61" s="24"/>
      <c r="S61" s="36">
        <f t="shared" si="21"/>
        <v>1</v>
      </c>
      <c r="T61" s="51" t="str">
        <f t="shared" si="4"/>
        <v>NorthBound</v>
      </c>
      <c r="U61" s="17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08:41:42-0600',mode:absolute,to:'2016-09-07 11:22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61" s="177" t="str">
        <f t="shared" si="5"/>
        <v>N</v>
      </c>
      <c r="X61" s="177">
        <f t="shared" si="22"/>
        <v>1</v>
      </c>
      <c r="Y61" s="177">
        <f t="shared" si="7"/>
        <v>4.53E-2</v>
      </c>
      <c r="Z61" s="67">
        <f t="shared" si="19"/>
        <v>23.330300000000001</v>
      </c>
      <c r="AA61" s="67">
        <f t="shared" si="9"/>
        <v>23.285</v>
      </c>
      <c r="AB61" s="64" t="str">
        <f>VLOOKUP(A61,Enforcements!$C$7:$K$21,8,0)</f>
        <v>Bulletin (2)</v>
      </c>
      <c r="AC61" s="60" t="str">
        <f>VLOOKUP(A61,Enforcements!$C$7:$E$21,3,0)</f>
        <v>GRADE CROSSING</v>
      </c>
      <c r="AD61" s="61" t="str">
        <f t="shared" si="10"/>
        <v>0149-07</v>
      </c>
      <c r="AE61" s="97" t="str">
        <f t="shared" si="11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61" s="94" t="str">
        <f t="shared" si="12"/>
        <v>"C:\Program Files (x86)\AstroGrep\AstroGrep.exe" /spath="%USERPROFILE%\AppData\Local\Temp\OnboardLogs" /stypes="*4046*20160907*" /stext=" 16:.+((SYSTEM_STATE.+slice.+state.+changed )|(ment ac)|(system.+state.+changed )|(\|lc)|(penalty)|(\[timeout)|(PRM\|1\|D)|(kpr)|(kdp))" /e /r /s</v>
      </c>
      <c r="AG61" s="1" t="str">
        <f t="shared" si="13"/>
        <v>EC</v>
      </c>
      <c r="AH61" s="98" t="str">
        <f t="shared" si="17"/>
        <v>"%USERPROFILE%\Documents\GitHub\eaglep3\Utilities\RefineRTDCRunTimes.py" --tripid 149-07 --locoid 4046 --swversion DE.1.0.7.0 --startMP 204:453 --initTime 2016-09-07T09:41:42 --startdatetime 2016-09-07T09:45:21 --delay 1 --endMP 204:233303 --enddatetime 2016-09-07T10:22:22 --enforcementcount 0 &gt;&gt;C:\Users\stu\Documents\GitHub\eaglep3-reporting\EC\2016-09-07-refined-times.txt</v>
      </c>
      <c r="AI61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{"issue":{"subject":"","project_id":79,"tracker_id":40,"status_id":1,"priority_id":2,"assigned_to_id":23,"start_date":"2016-09-07","description":"","custom_fields":[{"id":1,"name":"Subdivision","value":"EC"},{"id":4,"name":"Milepost","value":"23.285"},{"id":17,"name":"Train ID","value":"149-07"},{"id":16,"name":"Locomotive ID","value":"4046"},{"id":130,"name":"Impact","value":""},{"id":150,"name":"Time of Event (Mountain Time)","value":"10:22:22"},{"id":151,"name":"Denver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</row>
    <row r="62" spans="1:38" s="1" customFormat="1" x14ac:dyDescent="0.25">
      <c r="A62" s="38" t="s">
        <v>424</v>
      </c>
      <c r="B62" s="7">
        <v>4045</v>
      </c>
      <c r="C62" s="23" t="s">
        <v>111</v>
      </c>
      <c r="D62" s="23" t="s">
        <v>194</v>
      </c>
      <c r="E62" s="15">
        <v>42620.43341435185</v>
      </c>
      <c r="F62" s="15">
        <v>42620.445347222223</v>
      </c>
      <c r="G62" s="7">
        <v>1</v>
      </c>
      <c r="H62" s="15" t="s">
        <v>321</v>
      </c>
      <c r="I62" s="15">
        <v>42620.470960648148</v>
      </c>
      <c r="J62" s="7">
        <v>0</v>
      </c>
      <c r="K62" s="115" t="str">
        <f t="shared" si="0"/>
        <v>4045/4046</v>
      </c>
      <c r="L62" s="23" t="str">
        <f>VLOOKUP(A62,'Trips&amp;Operators'!$C$1:$E$10000,3,FALSE)</f>
        <v>SANTIZO</v>
      </c>
      <c r="M62" s="6">
        <f t="shared" si="1"/>
        <v>2.5613425925257616E-2</v>
      </c>
      <c r="N62" s="7">
        <f t="shared" si="20"/>
        <v>36.883333332370967</v>
      </c>
      <c r="O62" s="7"/>
      <c r="P62" s="7"/>
      <c r="Q62" s="24"/>
      <c r="R62" s="24"/>
      <c r="S62" s="36">
        <f t="shared" si="21"/>
        <v>1</v>
      </c>
      <c r="T62" s="51" t="str">
        <f t="shared" si="4"/>
        <v>Southbound</v>
      </c>
      <c r="U62" s="17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09:24:07-0600',mode:absolute,to:'2016-09-07 12:18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62" s="177" t="str">
        <f t="shared" si="5"/>
        <v>N</v>
      </c>
      <c r="X62" s="177">
        <f t="shared" si="22"/>
        <v>1</v>
      </c>
      <c r="Y62" s="177">
        <f t="shared" si="7"/>
        <v>23.297699999999999</v>
      </c>
      <c r="Z62" s="67">
        <f t="shared" si="19"/>
        <v>1.2699999999999999E-2</v>
      </c>
      <c r="AA62" s="67">
        <f t="shared" si="9"/>
        <v>23.285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10"/>
        <v>0150-07</v>
      </c>
      <c r="AE62" s="97" t="str">
        <f t="shared" si="11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62" s="94" t="str">
        <f t="shared" si="12"/>
        <v>"C:\Program Files (x86)\AstroGrep\AstroGrep.exe" /spath="%USERPROFILE%\AppData\Local\Temp\OnboardLogs" /stypes="*4045*20160907*" /stext=" 17:.+((SYSTEM_STATE.+slice.+state.+changed )|(ment ac)|(system.+state.+changed )|(\|lc)|(penalty)|(\[timeout)|(PRM\|1\|D)|(kpr)|(kdp))" /e /r /s</v>
      </c>
      <c r="AG62" s="1" t="str">
        <f t="shared" si="13"/>
        <v>EC</v>
      </c>
      <c r="AH62" s="98" t="str">
        <f t="shared" si="17"/>
        <v>"%USERPROFILE%\Documents\GitHub\eaglep3\Utilities\RefineRTDCRunTimes.py" --tripid 150-07 --locoid 4045 --swversion DE.1.0.7.0 --startMP 204:232977 --initTime 2016-09-07T10:24:07 --startdatetime 2016-09-07T10:41:18 --delay 1 --endMP 204:127 --enddatetime 2016-09-07T11:18:11 --enforcementcount 0 &gt;&gt;C:\Users\stu\Documents\GitHub\eaglep3-reporting\EC\2016-09-07-refined-times.txt</v>
      </c>
      <c r="AI62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{"issue":{"subject":"","project_id":79,"tracker_id":40,"status_id":1,"priority_id":2,"assigned_to_id":23,"start_date":"2016-09-07","description":"","custom_fields":[{"id":1,"name":"Subdivision","value":"EC"},{"id":4,"name":"Milepost","value":"23.285"},{"id":17,"name":"Train ID","value":"150-07"},{"id":16,"name":"Locomotive ID","value":"4045"},{"id":130,"name":"Impact","value":""},{"id":150,"name":"Time of Event (Mountain Time)","value":"11:18:11"},{"id":151,"name":"Denver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</row>
    <row r="63" spans="1:38" s="1" customFormat="1" x14ac:dyDescent="0.25">
      <c r="A63" s="38" t="s">
        <v>417</v>
      </c>
      <c r="B63" s="7">
        <v>4011</v>
      </c>
      <c r="C63" s="23" t="s">
        <v>111</v>
      </c>
      <c r="D63" s="23" t="s">
        <v>156</v>
      </c>
      <c r="E63" s="15">
        <v>42620.412037037036</v>
      </c>
      <c r="F63" s="15">
        <v>42620.416875000003</v>
      </c>
      <c r="G63" s="7">
        <v>1</v>
      </c>
      <c r="H63" s="15" t="s">
        <v>214</v>
      </c>
      <c r="I63" s="15">
        <v>42620.441458333335</v>
      </c>
      <c r="J63" s="7">
        <v>0</v>
      </c>
      <c r="K63" s="115" t="str">
        <f t="shared" si="0"/>
        <v>4011/4012</v>
      </c>
      <c r="L63" s="23" t="str">
        <f>VLOOKUP(A63,'Trips&amp;Operators'!$C$1:$E$10000,3,FALSE)</f>
        <v>KILLION</v>
      </c>
      <c r="M63" s="6">
        <f t="shared" si="1"/>
        <v>2.4583333331975155E-2</v>
      </c>
      <c r="N63" s="7">
        <f t="shared" si="20"/>
        <v>35.399999998044223</v>
      </c>
      <c r="O63" s="7"/>
      <c r="P63" s="7"/>
      <c r="Q63" s="24"/>
      <c r="R63" s="24"/>
      <c r="S63" s="36">
        <f t="shared" si="21"/>
        <v>1</v>
      </c>
      <c r="T63" s="51" t="str">
        <f t="shared" si="4"/>
        <v>NorthBound</v>
      </c>
      <c r="U63" s="17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08:53:20-0600',mode:absolute,to:'2016-09-07 11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63" s="177" t="str">
        <f t="shared" si="5"/>
        <v>N</v>
      </c>
      <c r="X63" s="177">
        <f t="shared" si="22"/>
        <v>1</v>
      </c>
      <c r="Y63" s="177">
        <f t="shared" si="7"/>
        <v>4.5999999999999999E-2</v>
      </c>
      <c r="Z63" s="67">
        <f t="shared" si="19"/>
        <v>23.330200000000001</v>
      </c>
      <c r="AA63" s="67">
        <f t="shared" si="9"/>
        <v>23.284200000000002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10"/>
        <v>0151-07</v>
      </c>
      <c r="AE63" s="97" t="str">
        <f t="shared" si="11"/>
        <v>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 &amp; 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</v>
      </c>
      <c r="AF63" s="94" t="str">
        <f t="shared" si="12"/>
        <v>"C:\Program Files (x86)\AstroGrep\AstroGrep.exe" /spath="%USERPROFILE%\AppData\Local\Temp\OnboardLogs" /stypes="*4011*20160907*" /stext=" 16:.+((SYSTEM_STATE.+slice.+state.+changed )|(ment ac)|(system.+state.+changed )|(\|lc)|(penalty)|(\[timeout)|(PRM\|1\|D)|(kpr)|(kdp))" /e /r /s</v>
      </c>
      <c r="AG63" s="1" t="str">
        <f t="shared" si="13"/>
        <v>EC</v>
      </c>
      <c r="AH63" s="98" t="str">
        <f t="shared" si="17"/>
        <v>"%USERPROFILE%\Documents\GitHub\eaglep3\Utilities\RefineRTDCRunTimes.py" --tripid 151-07 --locoid 4011 --swversion DE.1.0.7.0 --startMP 204:460 --initTime 2016-09-07T09:53:20 --startdatetime 2016-09-07T10:00:18 --delay 1 --endMP 204:233302 --enddatetime 2016-09-07T10:35:42 --enforcementcount 0 &gt;&gt;C:\Users\stu\Documents\GitHub\eaglep3-reporting\EC\2016-09-07-refined-times.txt</v>
      </c>
      <c r="AI63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{"issue":{"subject":"","project_id":79,"tracker_id":40,"status_id":1,"priority_id":2,"assigned_to_id":23,"start_date":"2016-09-07","description":"","custom_fields":[{"id":1,"name":"Subdivision","value":"EC"},{"id":4,"name":"Milepost","value":"23.2842"},{"id":17,"name":"Train ID","value":"151-07"},{"id":16,"name":"Locomotive ID","value":"4011"},{"id":130,"name":"Impact","value":""},{"id":150,"name":"Time of Event (Mountain Time)","value":"10:35:42"},{"id":151,"name":"Denver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</row>
    <row r="64" spans="1:38" s="1" customFormat="1" x14ac:dyDescent="0.25">
      <c r="A64" s="38" t="s">
        <v>427</v>
      </c>
      <c r="B64" s="7">
        <v>4012</v>
      </c>
      <c r="C64" s="23" t="s">
        <v>111</v>
      </c>
      <c r="D64" s="23" t="s">
        <v>194</v>
      </c>
      <c r="E64" s="15">
        <v>42620.447962962964</v>
      </c>
      <c r="F64" s="15">
        <v>42620.45621527778</v>
      </c>
      <c r="G64" s="7">
        <v>1</v>
      </c>
      <c r="H64" s="15" t="s">
        <v>215</v>
      </c>
      <c r="I64" s="15">
        <v>42620.484837962962</v>
      </c>
      <c r="J64" s="7">
        <v>0</v>
      </c>
      <c r="K64" s="115" t="str">
        <f t="shared" si="0"/>
        <v>4011/4012</v>
      </c>
      <c r="L64" s="23" t="str">
        <f>VLOOKUP(A64,'Trips&amp;Operators'!$C$1:$E$10000,3,FALSE)</f>
        <v>KILLION</v>
      </c>
      <c r="M64" s="6">
        <f t="shared" si="1"/>
        <v>2.8622685182199348E-2</v>
      </c>
      <c r="N64" s="7">
        <f t="shared" si="20"/>
        <v>41.216666662367061</v>
      </c>
      <c r="O64" s="7"/>
      <c r="P64" s="7"/>
      <c r="Q64" s="24"/>
      <c r="R64" s="24"/>
      <c r="S64" s="36">
        <f t="shared" si="21"/>
        <v>1</v>
      </c>
      <c r="T64" s="51" t="str">
        <f t="shared" si="4"/>
        <v>Southbound</v>
      </c>
      <c r="U64" s="17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09:45:04-0600',mode:absolute,to:'2016-09-07 12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64" s="177" t="str">
        <f t="shared" si="5"/>
        <v>N</v>
      </c>
      <c r="X64" s="177">
        <f t="shared" si="22"/>
        <v>1</v>
      </c>
      <c r="Y64" s="177">
        <f t="shared" si="7"/>
        <v>23.297699999999999</v>
      </c>
      <c r="Z64" s="67">
        <f t="shared" si="19"/>
        <v>1.38E-2</v>
      </c>
      <c r="AA64" s="67">
        <f t="shared" si="9"/>
        <v>23.283899999999999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10"/>
        <v>0152-07</v>
      </c>
      <c r="AE64" s="97" t="str">
        <f t="shared" si="11"/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AF64" s="94" t="str">
        <f t="shared" si="12"/>
        <v>"C:\Program Files (x86)\AstroGrep\AstroGrep.exe" /spath="%USERPROFILE%\AppData\Local\Temp\OnboardLogs" /stypes="*4012*20160907*" /stext=" 17:.+((SYSTEM_STATE.+slice.+state.+changed )|(ment ac)|(system.+state.+changed )|(\|lc)|(penalty)|(\[timeout)|(PRM\|1\|D)|(kpr)|(kdp))" /e /r /s</v>
      </c>
      <c r="AG64" s="1" t="str">
        <f t="shared" si="13"/>
        <v>EC</v>
      </c>
      <c r="AH64" s="98" t="str">
        <f t="shared" si="17"/>
        <v>"%USERPROFILE%\Documents\GitHub\eaglep3\Utilities\RefineRTDCRunTimes.py" --tripid 152-07 --locoid 4012 --swversion DE.1.0.7.0 --startMP 204:232977 --initTime 2016-09-07T10:45:04 --startdatetime 2016-09-07T10:56:57 --delay 1 --endMP 204:138 --enddatetime 2016-09-07T11:38:10 --enforcementcount 0 &gt;&gt;C:\Users\stu\Documents\GitHub\eaglep3-reporting\EC\2016-09-07-refined-times.txt</v>
      </c>
      <c r="AI64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{"issue":{"subject":"","project_id":79,"tracker_id":40,"status_id":1,"priority_id":2,"assigned_to_id":23,"start_date":"2016-09-07","description":"","custom_fields":[{"id":1,"name":"Subdivision","value":"EC"},{"id":4,"name":"Milepost","value":"23.2839"},{"id":17,"name":"Train ID","value":"152-07"},{"id":16,"name":"Locomotive ID","value":"4012"},{"id":130,"name":"Impact","value":""},{"id":150,"name":"Time of Event (Mountain Time)","value":"11:38:10"},{"id":151,"name":"Denver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</row>
    <row r="65" spans="1:38" s="1" customFormat="1" x14ac:dyDescent="0.25">
      <c r="A65" s="38" t="s">
        <v>419</v>
      </c>
      <c r="B65" s="7">
        <v>4009</v>
      </c>
      <c r="C65" s="23" t="s">
        <v>111</v>
      </c>
      <c r="D65" s="23" t="s">
        <v>144</v>
      </c>
      <c r="E65" s="15">
        <v>42620.42560185185</v>
      </c>
      <c r="F65" s="15">
        <v>42620.427430555559</v>
      </c>
      <c r="G65" s="7">
        <v>1</v>
      </c>
      <c r="H65" s="15" t="s">
        <v>239</v>
      </c>
      <c r="I65" s="15">
        <v>42620.451388888891</v>
      </c>
      <c r="J65" s="7">
        <v>0</v>
      </c>
      <c r="K65" s="115" t="str">
        <f t="shared" si="0"/>
        <v>4009/4010</v>
      </c>
      <c r="L65" s="23" t="str">
        <f>VLOOKUP(A65,'Trips&amp;Operators'!$C$1:$E$10000,3,FALSE)</f>
        <v>ROCHA</v>
      </c>
      <c r="M65" s="6">
        <f t="shared" si="1"/>
        <v>2.3958333331393078E-2</v>
      </c>
      <c r="N65" s="7">
        <f t="shared" si="20"/>
        <v>34.499999997206032</v>
      </c>
      <c r="O65" s="7"/>
      <c r="P65" s="7"/>
      <c r="Q65" s="24"/>
      <c r="R65" s="24"/>
      <c r="S65" s="36">
        <f t="shared" si="21"/>
        <v>1</v>
      </c>
      <c r="T65" s="51" t="str">
        <f t="shared" si="4"/>
        <v>NorthBound</v>
      </c>
      <c r="U65" s="17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09:12:52-0600',mode:absolute,to:'2016-09-07 11:50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65" s="177" t="str">
        <f t="shared" si="5"/>
        <v>N</v>
      </c>
      <c r="X65" s="177">
        <f t="shared" si="22"/>
        <v>1</v>
      </c>
      <c r="Y65" s="177">
        <f t="shared" si="7"/>
        <v>4.5100000000000001E-2</v>
      </c>
      <c r="Z65" s="67">
        <f t="shared" si="19"/>
        <v>23.329899999999999</v>
      </c>
      <c r="AA65" s="67">
        <f t="shared" si="9"/>
        <v>23.284799999999997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10"/>
        <v>0153-07</v>
      </c>
      <c r="AE65" s="97" t="str">
        <f t="shared" si="11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65" s="94" t="str">
        <f t="shared" si="12"/>
        <v>"C:\Program Files (x86)\AstroGrep\AstroGrep.exe" /spath="%USERPROFILE%\AppData\Local\Temp\OnboardLogs" /stypes="*4009*20160907*" /stext=" 16:.+((SYSTEM_STATE.+slice.+state.+changed )|(ment ac)|(system.+state.+changed )|(\|lc)|(penalty)|(\[timeout)|(PRM\|1\|D)|(kpr)|(kdp))" /e /r /s</v>
      </c>
      <c r="AG65" s="1" t="str">
        <f t="shared" si="13"/>
        <v>EC</v>
      </c>
      <c r="AH65" s="98" t="str">
        <f t="shared" si="17"/>
        <v>"%USERPROFILE%\Documents\GitHub\eaglep3\Utilities\RefineRTDCRunTimes.py" --tripid 153-07 --locoid 4009 --swversion DE.1.0.7.0 --startMP 204:451 --initTime 2016-09-07T10:12:52 --startdatetime 2016-09-07T10:15:30 --delay 1 --endMP 204:233299 --enddatetime 2016-09-07T10:50:00 --enforcementcount 0 &gt;&gt;C:\Users\stu\Documents\GitHub\eaglep3-reporting\EC\2016-09-07-refined-times.txt</v>
      </c>
      <c r="AI65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{"issue":{"subject":"","project_id":79,"tracker_id":40,"status_id":1,"priority_id":2,"assigned_to_id":23,"start_date":"2016-09-07","description":"","custom_fields":[{"id":1,"name":"Subdivision","value":"EC"},{"id":4,"name":"Milepost","value":"23.2848"},{"id":17,"name":"Train ID","value":"153-07"},{"id":16,"name":"Locomotive ID","value":"4009"},{"id":130,"name":"Impact","value":""},{"id":150,"name":"Time of Event (Mountain Time)","value":"10:50:00"},{"id":151,"name":"Denver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</row>
    <row r="66" spans="1:38" s="1" customFormat="1" x14ac:dyDescent="0.25">
      <c r="A66" s="38" t="s">
        <v>431</v>
      </c>
      <c r="B66" s="7">
        <v>4010</v>
      </c>
      <c r="C66" s="23" t="s">
        <v>111</v>
      </c>
      <c r="D66" s="23" t="s">
        <v>303</v>
      </c>
      <c r="E66" s="15">
        <v>42620.465300925927</v>
      </c>
      <c r="F66" s="15">
        <v>42620.466493055559</v>
      </c>
      <c r="G66" s="7">
        <v>1</v>
      </c>
      <c r="H66" s="15" t="s">
        <v>217</v>
      </c>
      <c r="I66" s="15">
        <v>42620.492442129631</v>
      </c>
      <c r="J66" s="7">
        <v>0</v>
      </c>
      <c r="K66" s="115" t="str">
        <f t="shared" si="0"/>
        <v>4009/4010</v>
      </c>
      <c r="L66" s="23" t="str">
        <f>VLOOKUP(A66,'Trips&amp;Operators'!$C$1:$E$10000,3,FALSE)</f>
        <v>ROCHA</v>
      </c>
      <c r="M66" s="6">
        <f t="shared" si="1"/>
        <v>2.5949074071832001E-2</v>
      </c>
      <c r="N66" s="7">
        <f t="shared" si="20"/>
        <v>37.366666663438082</v>
      </c>
      <c r="O66" s="7"/>
      <c r="P66" s="7"/>
      <c r="Q66" s="24"/>
      <c r="R66" s="24"/>
      <c r="S66" s="36">
        <f t="shared" si="21"/>
        <v>1</v>
      </c>
      <c r="T66" s="51" t="str">
        <f t="shared" si="4"/>
        <v>Southbound</v>
      </c>
      <c r="U66" s="17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10:10:02-0600',mode:absolute,to:'2016-09-07 12:49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66" s="177" t="str">
        <f t="shared" si="5"/>
        <v>N</v>
      </c>
      <c r="X66" s="177">
        <f t="shared" si="22"/>
        <v>1</v>
      </c>
      <c r="Y66" s="177">
        <f t="shared" si="7"/>
        <v>23.298200000000001</v>
      </c>
      <c r="Z66" s="67">
        <f t="shared" si="19"/>
        <v>1.4999999999999999E-2</v>
      </c>
      <c r="AA66" s="67">
        <f t="shared" si="9"/>
        <v>23.283200000000001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10"/>
        <v>0154-07</v>
      </c>
      <c r="AE66" s="97" t="str">
        <f t="shared" si="11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66" s="94" t="str">
        <f t="shared" si="12"/>
        <v>"C:\Program Files (x86)\AstroGrep\AstroGrep.exe" /spath="%USERPROFILE%\AppData\Local\Temp\OnboardLogs" /stypes="*4010*20160907*" /stext=" 17:.+((SYSTEM_STATE.+slice.+state.+changed )|(ment ac)|(system.+state.+changed )|(\|lc)|(penalty)|(\[timeout)|(PRM\|1\|D)|(kpr)|(kdp))" /e /r /s</v>
      </c>
      <c r="AG66" s="1" t="str">
        <f t="shared" si="13"/>
        <v>EC</v>
      </c>
      <c r="AH66" s="98" t="str">
        <f t="shared" si="17"/>
        <v>"%USERPROFILE%\Documents\GitHub\eaglep3\Utilities\RefineRTDCRunTimes.py" --tripid 154-07 --locoid 4010 --swversion DE.1.0.7.0 --startMP 204:232982 --initTime 2016-09-07T11:10:02 --startdatetime 2016-09-07T11:11:45 --delay 1 --endMP 204:150 --enddatetime 2016-09-07T11:49:07 --enforcementcount 0 &gt;&gt;C:\Users\stu\Documents\GitHub\eaglep3-reporting\EC\2016-09-07-refined-times.txt</v>
      </c>
      <c r="AI66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{"issue":{"subject":"","project_id":79,"tracker_id":40,"status_id":1,"priority_id":2,"assigned_to_id":23,"start_date":"2016-09-07","description":"","custom_fields":[{"id":1,"name":"Subdivision","value":"EC"},{"id":4,"name":"Milepost","value":"23.2832"},{"id":17,"name":"Train ID","value":"154-07"},{"id":16,"name":"Locomotive ID","value":"4010"},{"id":130,"name":"Impact","value":""},{"id":150,"name":"Time of Event (Mountain Time)","value":"11:49:07"},{"id":151,"name":"Denver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</row>
    <row r="67" spans="1:38" s="1" customFormat="1" x14ac:dyDescent="0.25">
      <c r="A67" s="38" t="s">
        <v>423</v>
      </c>
      <c r="B67" s="7">
        <v>4014</v>
      </c>
      <c r="C67" s="23" t="s">
        <v>111</v>
      </c>
      <c r="D67" s="23" t="s">
        <v>195</v>
      </c>
      <c r="E67" s="15">
        <v>42620.431979166664</v>
      </c>
      <c r="F67" s="15">
        <v>42620.438437500001</v>
      </c>
      <c r="G67" s="7">
        <v>1</v>
      </c>
      <c r="H67" s="15" t="s">
        <v>594</v>
      </c>
      <c r="I67" s="15">
        <v>42620.464097222219</v>
      </c>
      <c r="J67" s="7">
        <v>0</v>
      </c>
      <c r="K67" s="115" t="str">
        <f t="shared" si="0"/>
        <v>4013/4014</v>
      </c>
      <c r="L67" s="23" t="str">
        <f>VLOOKUP(A67,'Trips&amp;Operators'!$C$1:$E$10000,3,FALSE)</f>
        <v>STARKS</v>
      </c>
      <c r="M67" s="6">
        <f t="shared" si="1"/>
        <v>2.565972221782431E-2</v>
      </c>
      <c r="N67" s="7">
        <f t="shared" si="20"/>
        <v>36.949999993667006</v>
      </c>
      <c r="O67" s="7"/>
      <c r="P67" s="7"/>
      <c r="Q67" s="24"/>
      <c r="R67" s="24"/>
      <c r="S67" s="36">
        <f t="shared" si="21"/>
        <v>1</v>
      </c>
      <c r="T67" s="51" t="str">
        <f t="shared" si="4"/>
        <v>NorthBound</v>
      </c>
      <c r="U67" s="17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09:22:03-0600',mode:absolute,to:'2016-09-07 12:08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67" s="177" t="str">
        <f t="shared" si="5"/>
        <v>N</v>
      </c>
      <c r="X67" s="177">
        <f t="shared" si="22"/>
        <v>1</v>
      </c>
      <c r="Y67" s="177">
        <f t="shared" si="7"/>
        <v>4.3799999999999999E-2</v>
      </c>
      <c r="Z67" s="67">
        <f t="shared" si="19"/>
        <v>23.329799999999999</v>
      </c>
      <c r="AA67" s="67">
        <f t="shared" si="9"/>
        <v>23.285999999999998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10"/>
        <v>0155-07</v>
      </c>
      <c r="AE67" s="97" t="str">
        <f t="shared" si="11"/>
        <v>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 &amp; 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</v>
      </c>
      <c r="AF67" s="94" t="str">
        <f t="shared" si="12"/>
        <v>"C:\Program Files (x86)\AstroGrep\AstroGrep.exe" /spath="%USERPROFILE%\AppData\Local\Temp\OnboardLogs" /stypes="*4014*20160907*" /stext=" 17:.+((SYSTEM_STATE.+slice.+state.+changed )|(ment ac)|(system.+state.+changed )|(\|lc)|(penalty)|(\[timeout)|(PRM\|1\|D)|(kpr)|(kdp))" /e /r /s</v>
      </c>
      <c r="AG67" s="1" t="str">
        <f t="shared" si="13"/>
        <v>EC</v>
      </c>
      <c r="AH67" s="98" t="str">
        <f t="shared" si="17"/>
        <v>"%USERPROFILE%\Documents\GitHub\eaglep3\Utilities\RefineRTDCRunTimes.py" --tripid 155-07 --locoid 4014 --swversion DE.1.0.7.0 --startMP 204:438 --initTime 2016-09-07T10:22:03 --startdatetime 2016-09-07T10:31:21 --delay 1 --endMP 204:233298 --enddatetime 2016-09-07T11:08:18 --enforcementcount 0 &gt;&gt;C:\Users\stu\Documents\GitHub\eaglep3-reporting\EC\2016-09-07-refined-times.txt</v>
      </c>
      <c r="AI67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{"issue":{"subject":"","project_id":79,"tracker_id":40,"status_id":1,"priority_id":2,"assigned_to_id":23,"start_date":"2016-09-07","description":"","custom_fields":[{"id":1,"name":"Subdivision","value":"EC"},{"id":4,"name":"Milepost","value":"23.286"},{"id":17,"name":"Train ID","value":"155-07"},{"id":16,"name":"Locomotive ID","value":"4014"},{"id":130,"name":"Impact","value":""},{"id":150,"name":"Time of Event (Mountain Time)","value":"11:08:18"},{"id":151,"name":"Denver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</row>
    <row r="68" spans="1:38" s="1" customFormat="1" x14ac:dyDescent="0.25">
      <c r="A68" s="38" t="s">
        <v>433</v>
      </c>
      <c r="B68" s="7">
        <v>4013</v>
      </c>
      <c r="C68" s="23" t="s">
        <v>111</v>
      </c>
      <c r="D68" s="23" t="s">
        <v>194</v>
      </c>
      <c r="E68" s="15">
        <v>42620.472430555557</v>
      </c>
      <c r="F68" s="15">
        <v>42620.4768287037</v>
      </c>
      <c r="G68" s="7">
        <v>3</v>
      </c>
      <c r="H68" s="15" t="s">
        <v>217</v>
      </c>
      <c r="I68" s="15">
        <v>42620.503969907404</v>
      </c>
      <c r="J68" s="7">
        <v>0</v>
      </c>
      <c r="K68" s="115" t="str">
        <f t="shared" si="0"/>
        <v>4013/4014</v>
      </c>
      <c r="L68" s="23" t="str">
        <f>VLOOKUP(A68,'Trips&amp;Operators'!$C$1:$E$10000,3,FALSE)</f>
        <v>STARKS</v>
      </c>
      <c r="M68" s="6">
        <f t="shared" si="1"/>
        <v>2.7141203703649808E-2</v>
      </c>
      <c r="N68" s="7">
        <f t="shared" si="20"/>
        <v>39.083333333255723</v>
      </c>
      <c r="O68" s="7"/>
      <c r="P68" s="7"/>
      <c r="Q68" s="24"/>
      <c r="R68" s="24"/>
      <c r="S68" s="36">
        <f t="shared" si="21"/>
        <v>1</v>
      </c>
      <c r="T68" s="51" t="str">
        <f t="shared" si="4"/>
        <v>Southbound</v>
      </c>
      <c r="U68" s="17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10:20:18-0600',mode:absolute,to:'2016-09-07 13:05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68" s="177" t="str">
        <f t="shared" si="5"/>
        <v>N</v>
      </c>
      <c r="X68" s="177">
        <f t="shared" ref="X68:X72" si="23">VALUE(LEFT(AD68,4))-VALUE(LEFT(AD67,4))</f>
        <v>1</v>
      </c>
      <c r="Y68" s="177">
        <f t="shared" si="7"/>
        <v>23.297699999999999</v>
      </c>
      <c r="Z68" s="67">
        <f t="shared" si="19"/>
        <v>1.4999999999999999E-2</v>
      </c>
      <c r="AA68" s="67">
        <f t="shared" si="9"/>
        <v>23.282699999999998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10"/>
        <v>0156-07</v>
      </c>
      <c r="AE68" s="97" t="str">
        <f t="shared" si="11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68" s="94" t="str">
        <f t="shared" si="12"/>
        <v>"C:\Program Files (x86)\AstroGrep\AstroGrep.exe" /spath="%USERPROFILE%\AppData\Local\Temp\OnboardLogs" /stypes="*4013*20160907*" /stext=" 18:.+((SYSTEM_STATE.+slice.+state.+changed )|(ment ac)|(system.+state.+changed )|(\|lc)|(penalty)|(\[timeout)|(PRM\|1\|D)|(kpr)|(kdp))" /e /r /s</v>
      </c>
      <c r="AG68" s="1" t="str">
        <f t="shared" si="13"/>
        <v>EC</v>
      </c>
      <c r="AH68" s="98" t="str">
        <f t="shared" si="17"/>
        <v>"%USERPROFILE%\Documents\GitHub\eaglep3\Utilities\RefineRTDCRunTimes.py" --tripid 156-07 --locoid 4013 --swversion DE.1.0.7.0 --startMP 204:232977 --initTime 2016-09-07T11:20:18 --startdatetime 2016-09-07T11:26:38 --delay 3 --endMP 204:150 --enddatetime 2016-09-07T12:05:43 --enforcementcount 0 &gt;&gt;C:\Users\stu\Documents\GitHub\eaglep3-reporting\EC\2016-09-07-refined-times.txt</v>
      </c>
      <c r="AI68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{"issue":{"subject":"","project_id":79,"tracker_id":40,"status_id":1,"priority_id":2,"assigned_to_id":23,"start_date":"2016-09-07","description":"","custom_fields":[{"id":1,"name":"Subdivision","value":"EC"},{"id":4,"name":"Milepost","value":"23.2827"},{"id":17,"name":"Train ID","value":"156-07"},{"id":16,"name":"Locomotive ID","value":"4013"},{"id":130,"name":"Impact","value":""},{"id":150,"name":"Time of Event (Mountain Time)","value":"12:05:43"},{"id":151,"name":"Denver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</row>
    <row r="69" spans="1:38" s="1" customFormat="1" x14ac:dyDescent="0.25">
      <c r="A69" s="38" t="s">
        <v>426</v>
      </c>
      <c r="B69" s="7">
        <v>4025</v>
      </c>
      <c r="C69" s="23" t="s">
        <v>111</v>
      </c>
      <c r="D69" s="23" t="s">
        <v>590</v>
      </c>
      <c r="E69" s="15">
        <v>42620.44431712963</v>
      </c>
      <c r="F69" s="15">
        <v>42620.44809027778</v>
      </c>
      <c r="G69" s="7">
        <v>5</v>
      </c>
      <c r="H69" s="15" t="s">
        <v>255</v>
      </c>
      <c r="I69" s="15">
        <v>42620.472511574073</v>
      </c>
      <c r="J69" s="7">
        <v>0</v>
      </c>
      <c r="K69" s="115" t="str">
        <f t="shared" si="0"/>
        <v>4025/4026</v>
      </c>
      <c r="L69" s="23" t="str">
        <f>VLOOKUP(A69,'Trips&amp;Operators'!$C$1:$E$10000,3,FALSE)</f>
        <v>BRANNON</v>
      </c>
      <c r="M69" s="6">
        <f t="shared" si="1"/>
        <v>2.4421296293439809E-2</v>
      </c>
      <c r="N69" s="7">
        <f t="shared" si="20"/>
        <v>35.166666662553325</v>
      </c>
      <c r="O69" s="7"/>
      <c r="P69" s="7"/>
      <c r="Q69" s="24"/>
      <c r="R69" s="24"/>
      <c r="S69" s="36">
        <f t="shared" si="21"/>
        <v>1</v>
      </c>
      <c r="T69" s="51" t="str">
        <f t="shared" si="4"/>
        <v>NorthBound</v>
      </c>
      <c r="U69" s="17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09:39:49-0600',mode:absolute,to:'2016-09-07 12:20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69" s="177" t="str">
        <f t="shared" si="5"/>
        <v>N</v>
      </c>
      <c r="X69" s="177">
        <f t="shared" si="23"/>
        <v>1</v>
      </c>
      <c r="Y69" s="177">
        <f t="shared" si="7"/>
        <v>4.6899999999999997E-2</v>
      </c>
      <c r="Z69" s="67">
        <f t="shared" si="19"/>
        <v>23.328900000000001</v>
      </c>
      <c r="AA69" s="67">
        <f t="shared" si="9"/>
        <v>23.282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10"/>
        <v>0157-07</v>
      </c>
      <c r="AE69" s="97" t="str">
        <f t="shared" si="11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69" s="94" t="str">
        <f t="shared" si="12"/>
        <v>"C:\Program Files (x86)\AstroGrep\AstroGrep.exe" /spath="%USERPROFILE%\AppData\Local\Temp\OnboardLogs" /stypes="*4025*20160907*" /stext=" 17:.+((SYSTEM_STATE.+slice.+state.+changed )|(ment ac)|(system.+state.+changed )|(\|lc)|(penalty)|(\[timeout)|(PRM\|1\|D)|(kpr)|(kdp))" /e /r /s</v>
      </c>
      <c r="AG69" s="1" t="str">
        <f t="shared" si="13"/>
        <v>EC</v>
      </c>
      <c r="AH69" s="98" t="str">
        <f t="shared" si="17"/>
        <v>"%USERPROFILE%\Documents\GitHub\eaglep3\Utilities\RefineRTDCRunTimes.py" --tripid 157-07 --locoid 4025 --swversion DE.1.0.7.0 --startMP 204:469 --initTime 2016-09-07T10:39:49 --startdatetime 2016-09-07T10:45:15 --delay 5 --endMP 204:233289 --enddatetime 2016-09-07T11:20:25 --enforcementcount 0 &gt;&gt;C:\Users\stu\Documents\GitHub\eaglep3-reporting\EC\2016-09-07-refined-times.txt</v>
      </c>
      <c r="AI69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{"issue":{"subject":"","project_id":79,"tracker_id":40,"status_id":1,"priority_id":2,"assigned_to_id":23,"start_date":"2016-09-07","description":"","custom_fields":[{"id":1,"name":"Subdivision","value":"EC"},{"id":4,"name":"Milepost","value":"23.282"},{"id":17,"name":"Train ID","value":"157-07"},{"id":16,"name":"Locomotive ID","value":"4025"},{"id":130,"name":"Impact","value":""},{"id":150,"name":"Time of Event (Mountain Time)","value":"11:20:25"},{"id":151,"name":"Denver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</row>
    <row r="70" spans="1:38" s="1" customFormat="1" x14ac:dyDescent="0.25">
      <c r="A70" s="38" t="s">
        <v>435</v>
      </c>
      <c r="B70" s="7">
        <v>4026</v>
      </c>
      <c r="C70" s="23" t="s">
        <v>111</v>
      </c>
      <c r="D70" s="23" t="s">
        <v>202</v>
      </c>
      <c r="E70" s="15">
        <v>42620.479409722226</v>
      </c>
      <c r="F70" s="15">
        <v>42620.48709490741</v>
      </c>
      <c r="G70" s="7">
        <v>1</v>
      </c>
      <c r="H70" s="15" t="s">
        <v>143</v>
      </c>
      <c r="I70" s="15">
        <v>42620.51289351852</v>
      </c>
      <c r="J70" s="7">
        <v>0</v>
      </c>
      <c r="K70" s="115" t="str">
        <f t="shared" si="0"/>
        <v>4025/4026</v>
      </c>
      <c r="L70" s="23" t="str">
        <f>VLOOKUP(A70,'Trips&amp;Operators'!$C$1:$E$10000,3,FALSE)</f>
        <v>BRANNON</v>
      </c>
      <c r="M70" s="6">
        <f t="shared" si="1"/>
        <v>2.5798611110076308E-2</v>
      </c>
      <c r="N70" s="7">
        <f t="shared" si="20"/>
        <v>37.149999998509884</v>
      </c>
      <c r="O70" s="7"/>
      <c r="P70" s="7"/>
      <c r="Q70" s="24"/>
      <c r="R70" s="24"/>
      <c r="S70" s="36">
        <f t="shared" si="21"/>
        <v>1</v>
      </c>
      <c r="T70" s="51" t="str">
        <f t="shared" si="4"/>
        <v>Southbound</v>
      </c>
      <c r="U70" s="17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10:30:21-0600',mode:absolute,to:'2016-09-07 13:18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70" s="177" t="str">
        <f t="shared" si="5"/>
        <v>N</v>
      </c>
      <c r="X70" s="177">
        <f t="shared" si="23"/>
        <v>1</v>
      </c>
      <c r="Y70" s="177">
        <f t="shared" si="7"/>
        <v>23.2971</v>
      </c>
      <c r="Z70" s="67">
        <f t="shared" si="19"/>
        <v>1.5599999999999999E-2</v>
      </c>
      <c r="AA70" s="67">
        <f t="shared" si="9"/>
        <v>23.281500000000001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10"/>
        <v>0158-07</v>
      </c>
      <c r="AE70" s="97" t="str">
        <f t="shared" si="11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70" s="94" t="str">
        <f t="shared" si="12"/>
        <v>"C:\Program Files (x86)\AstroGrep\AstroGrep.exe" /spath="%USERPROFILE%\AppData\Local\Temp\OnboardLogs" /stypes="*4026*20160907*" /stext=" 18:.+((SYSTEM_STATE.+slice.+state.+changed )|(ment ac)|(system.+state.+changed )|(\|lc)|(penalty)|(\[timeout)|(PRM\|1\|D)|(kpr)|(kdp))" /e /r /s</v>
      </c>
      <c r="AG70" s="1" t="str">
        <f t="shared" si="13"/>
        <v>EC</v>
      </c>
      <c r="AH70" s="98" t="str">
        <f t="shared" si="17"/>
        <v>"%USERPROFILE%\Documents\GitHub\eaglep3\Utilities\RefineRTDCRunTimes.py" --tripid 158-07 --locoid 4026 --swversion DE.1.0.7.0 --startMP 204:232971 --initTime 2016-09-07T11:30:21 --startdatetime 2016-09-07T11:41:25 --delay 1 --endMP 204:156 --enddatetime 2016-09-07T12:18:34 --enforcementcount 0 &gt;&gt;C:\Users\stu\Documents\GitHub\eaglep3-reporting\EC\2016-09-07-refined-times.txt</v>
      </c>
      <c r="AI70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{"issue":{"subject":"","project_id":79,"tracker_id":40,"status_id":1,"priority_id":2,"assigned_to_id":23,"start_date":"2016-09-07","description":"","custom_fields":[{"id":1,"name":"Subdivision","value":"EC"},{"id":4,"name":"Milepost","value":"23.2815"},{"id":17,"name":"Train ID","value":"158-07"},{"id":16,"name":"Locomotive ID","value":"4026"},{"id":130,"name":"Impact","value":""},{"id":150,"name":"Time of Event (Mountain Time)","value":"12:18:34"},{"id":151,"name":"Denver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</row>
    <row r="71" spans="1:38" s="1" customFormat="1" x14ac:dyDescent="0.25">
      <c r="A71" s="38" t="s">
        <v>429</v>
      </c>
      <c r="B71" s="7">
        <v>4031</v>
      </c>
      <c r="C71" s="23" t="s">
        <v>111</v>
      </c>
      <c r="D71" s="23" t="s">
        <v>204</v>
      </c>
      <c r="E71" s="15">
        <v>42620.453877314816</v>
      </c>
      <c r="F71" s="15">
        <v>42620.458611111113</v>
      </c>
      <c r="G71" s="7">
        <v>1</v>
      </c>
      <c r="H71" s="15" t="s">
        <v>595</v>
      </c>
      <c r="I71" s="15">
        <v>42620.484583333331</v>
      </c>
      <c r="J71" s="7">
        <v>0</v>
      </c>
      <c r="K71" s="115" t="str">
        <f t="shared" si="0"/>
        <v>4031/4032</v>
      </c>
      <c r="L71" s="23" t="str">
        <f>VLOOKUP(A71,'Trips&amp;Operators'!$C$1:$E$10000,3,FALSE)</f>
        <v>CRAYTON</v>
      </c>
      <c r="M71" s="6">
        <f t="shared" si="1"/>
        <v>2.5972222218115348E-2</v>
      </c>
      <c r="N71" s="7">
        <f t="shared" si="20"/>
        <v>37.399999994086102</v>
      </c>
      <c r="O71" s="7"/>
      <c r="P71" s="7"/>
      <c r="Q71" s="24"/>
      <c r="R71" s="24"/>
      <c r="S71" s="36">
        <f t="shared" si="21"/>
        <v>1</v>
      </c>
      <c r="T71" s="51" t="str">
        <f t="shared" si="4"/>
        <v>NorthBound</v>
      </c>
      <c r="U71" s="17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09:53:35-0600',mode:absolute,to:'2016-09-07 12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71" s="177" t="str">
        <f t="shared" si="5"/>
        <v>N</v>
      </c>
      <c r="X71" s="177">
        <f t="shared" si="23"/>
        <v>1</v>
      </c>
      <c r="Y71" s="177">
        <f t="shared" si="7"/>
        <v>4.6600000000000003E-2</v>
      </c>
      <c r="Z71" s="67">
        <f t="shared" si="19"/>
        <v>23.332699999999999</v>
      </c>
      <c r="AA71" s="67">
        <f t="shared" si="9"/>
        <v>23.286099999999998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10"/>
        <v>0159-07</v>
      </c>
      <c r="AE71" s="97" t="str">
        <f t="shared" si="11"/>
        <v>aws s3 cp s3://rtdc.mdm.uploadarchive/RTDC4031/2016-09-07/ "%USERPROFILE%\AppData\Local\Temp\OnboardLogs"\RTDC4031\2016-09-07 --recursive &amp; "%USERPROFILE%\Documents\GitHub\mrs-test-scripts\Headless Mode &amp; Sideloading\WalkAndUnGZ.bat" "%USERPROFILE%\AppData\Local\Temp\OnboardLogs"\RTDC4031\2016-09-07 &amp; 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</v>
      </c>
      <c r="AF71" s="94" t="str">
        <f t="shared" si="12"/>
        <v>"C:\Program Files (x86)\AstroGrep\AstroGrep.exe" /spath="%USERPROFILE%\AppData\Local\Temp\OnboardLogs" /stypes="*4031*20160907*" /stext=" 17:.+((SYSTEM_STATE.+slice.+state.+changed )|(ment ac)|(system.+state.+changed )|(\|lc)|(penalty)|(\[timeout)|(PRM\|1\|D)|(kpr)|(kdp))" /e /r /s</v>
      </c>
      <c r="AG71" s="1" t="str">
        <f t="shared" si="13"/>
        <v>EC</v>
      </c>
      <c r="AH71" s="98" t="str">
        <f t="shared" si="17"/>
        <v>"%USERPROFILE%\Documents\GitHub\eaglep3\Utilities\RefineRTDCRunTimes.py" --tripid 159-07 --locoid 4031 --swversion DE.1.0.7.0 --startMP 204:466 --initTime 2016-09-07T10:53:35 --startdatetime 2016-09-07T11:00:24 --delay 1 --endMP 204:233327 --enddatetime 2016-09-07T11:37:48 --enforcementcount 0 &gt;&gt;C:\Users\stu\Documents\GitHub\eaglep3-reporting\EC\2016-09-07-refined-times.txt</v>
      </c>
      <c r="AI71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{"issue":{"subject":"","project_id":79,"tracker_id":40,"status_id":1,"priority_id":2,"assigned_to_id":23,"start_date":"2016-09-07","description":"","custom_fields":[{"id":1,"name":"Subdivision","value":"EC"},{"id":4,"name":"Milepost","value":"23.2861"},{"id":17,"name":"Train ID","value":"159-07"},{"id":16,"name":"Locomotive ID","value":"4031"},{"id":130,"name":"Impact","value":""},{"id":150,"name":"Time of Event (Mountain Time)","value":"11:37:48"},{"id":151,"name":"Denver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</row>
    <row r="72" spans="1:38" s="1" customFormat="1" x14ac:dyDescent="0.25">
      <c r="A72" s="38" t="s">
        <v>438</v>
      </c>
      <c r="B72" s="7">
        <v>4032</v>
      </c>
      <c r="C72" s="23" t="s">
        <v>111</v>
      </c>
      <c r="D72" s="23" t="s">
        <v>319</v>
      </c>
      <c r="E72" s="15">
        <v>42620.49050925926</v>
      </c>
      <c r="F72" s="15">
        <v>42620.497384259259</v>
      </c>
      <c r="G72" s="7">
        <v>1</v>
      </c>
      <c r="H72" s="15" t="s">
        <v>216</v>
      </c>
      <c r="I72" s="15">
        <v>42620.523773148147</v>
      </c>
      <c r="J72" s="7">
        <v>0</v>
      </c>
      <c r="K72" s="115" t="str">
        <f t="shared" si="0"/>
        <v>4031/4032</v>
      </c>
      <c r="L72" s="23" t="str">
        <f>VLOOKUP(A72,'Trips&amp;Operators'!$C$1:$E$10000,3,FALSE)</f>
        <v>CRAYTON</v>
      </c>
      <c r="M72" s="6">
        <f t="shared" si="1"/>
        <v>2.6388888887595385E-2</v>
      </c>
      <c r="N72" s="7">
        <f t="shared" si="20"/>
        <v>37.999999998137355</v>
      </c>
      <c r="O72" s="7"/>
      <c r="P72" s="7"/>
      <c r="Q72" s="24"/>
      <c r="R72" s="24"/>
      <c r="S72" s="36">
        <f t="shared" si="21"/>
        <v>1</v>
      </c>
      <c r="T72" s="51" t="str">
        <f t="shared" si="4"/>
        <v>Southbound</v>
      </c>
      <c r="U72" s="17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10:46:20-0600',mode:absolute,to:'2016-09-07 13:34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72" s="177" t="str">
        <f t="shared" si="5"/>
        <v>N</v>
      </c>
      <c r="X72" s="177">
        <f t="shared" si="23"/>
        <v>1</v>
      </c>
      <c r="Y72" s="177">
        <f t="shared" si="7"/>
        <v>23.300799999999999</v>
      </c>
      <c r="Z72" s="67">
        <f t="shared" si="19"/>
        <v>1.41E-2</v>
      </c>
      <c r="AA72" s="67">
        <f t="shared" si="9"/>
        <v>23.2867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10"/>
        <v>0160-07</v>
      </c>
      <c r="AE72" s="97" t="str">
        <f t="shared" si="11"/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AF72" s="94" t="str">
        <f t="shared" si="12"/>
        <v>"C:\Program Files (x86)\AstroGrep\AstroGrep.exe" /spath="%USERPROFILE%\AppData\Local\Temp\OnboardLogs" /stypes="*4032*20160907*" /stext=" 18:.+((SYSTEM_STATE.+slice.+state.+changed )|(ment ac)|(system.+state.+changed )|(\|lc)|(penalty)|(\[timeout)|(PRM\|1\|D)|(kpr)|(kdp))" /e /r /s</v>
      </c>
      <c r="AG72" s="1" t="str">
        <f t="shared" si="13"/>
        <v>EC</v>
      </c>
      <c r="AH72" s="98" t="str">
        <f t="shared" si="17"/>
        <v>"%USERPROFILE%\Documents\GitHub\eaglep3\Utilities\RefineRTDCRunTimes.py" --tripid 160-07 --locoid 4032 --swversion DE.1.0.7.0 --startMP 204:233008 --initTime 2016-09-07T11:46:20 --startdatetime 2016-09-07T11:56:14 --delay 1 --endMP 204:141 --enddatetime 2016-09-07T12:34:14 --enforcementcount 0 &gt;&gt;C:\Users\stu\Documents\GitHub\eaglep3-reporting\EC\2016-09-07-refined-times.txt</v>
      </c>
      <c r="AI72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{"issue":{"subject":"","project_id":79,"tracker_id":40,"status_id":1,"priority_id":2,"assigned_to_id":23,"start_date":"2016-09-07","description":"","custom_fields":[{"id":1,"name":"Subdivision","value":"EC"},{"id":4,"name":"Milepost","value":"23.2867"},{"id":17,"name":"Train ID","value":"160-07"},{"id":16,"name":"Locomotive ID","value":"4032"},{"id":130,"name":"Impact","value":""},{"id":150,"name":"Time of Event (Mountain Time)","value":"12:34:14"},{"id":151,"name":"Denver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</row>
    <row r="73" spans="1:38" s="1" customFormat="1" x14ac:dyDescent="0.25">
      <c r="A73" s="38" t="s">
        <v>430</v>
      </c>
      <c r="B73" s="7">
        <v>4020</v>
      </c>
      <c r="C73" s="23" t="s">
        <v>111</v>
      </c>
      <c r="D73" s="23" t="s">
        <v>247</v>
      </c>
      <c r="E73" s="15">
        <v>42620.464930555558</v>
      </c>
      <c r="F73" s="15">
        <v>42620.468993055554</v>
      </c>
      <c r="G73" s="7">
        <v>1</v>
      </c>
      <c r="H73" s="15" t="s">
        <v>237</v>
      </c>
      <c r="I73" s="15">
        <v>42620.49423611111</v>
      </c>
      <c r="J73" s="7">
        <v>0</v>
      </c>
      <c r="K73" s="115" t="str">
        <f t="shared" si="0"/>
        <v>4019/4020</v>
      </c>
      <c r="L73" s="23" t="str">
        <f>VLOOKUP(A73,'Trips&amp;Operators'!$C$1:$E$10000,3,FALSE)</f>
        <v>BARTLETT</v>
      </c>
      <c r="M73" s="6">
        <f t="shared" si="1"/>
        <v>2.5243055555620231E-2</v>
      </c>
      <c r="N73" s="7">
        <f t="shared" si="20"/>
        <v>36.350000000093132</v>
      </c>
      <c r="O73" s="7"/>
      <c r="P73" s="7"/>
      <c r="Q73" s="24"/>
      <c r="R73" s="24"/>
      <c r="S73" s="36">
        <f t="shared" si="21"/>
        <v>1</v>
      </c>
      <c r="T73" s="51" t="str">
        <f t="shared" si="4"/>
        <v>NorthBound</v>
      </c>
      <c r="U73" s="17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10:09:30-0600',mode:absolute,to:'2016-09-07 12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73" s="177" t="str">
        <f t="shared" si="5"/>
        <v>N</v>
      </c>
      <c r="X73" s="177">
        <f t="shared" ref="X73:X104" si="24">VALUE(LEFT(AD73,4))-VALUE(LEFT(AD72,4))</f>
        <v>1</v>
      </c>
      <c r="Y73" s="177">
        <f t="shared" si="7"/>
        <v>4.6199999999999998E-2</v>
      </c>
      <c r="Z73" s="67">
        <f t="shared" si="19"/>
        <v>23.329499999999999</v>
      </c>
      <c r="AA73" s="67">
        <f t="shared" si="9"/>
        <v>23.283300000000001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10"/>
        <v>0161-07</v>
      </c>
      <c r="AE73" s="97" t="str">
        <f t="shared" si="11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73" s="94" t="str">
        <f t="shared" si="12"/>
        <v>"C:\Program Files (x86)\AstroGrep\AstroGrep.exe" /spath="%USERPROFILE%\AppData\Local\Temp\OnboardLogs" /stypes="*4020*20160907*" /stext=" 17:.+((SYSTEM_STATE.+slice.+state.+changed )|(ment ac)|(system.+state.+changed )|(\|lc)|(penalty)|(\[timeout)|(PRM\|1\|D)|(kpr)|(kdp))" /e /r /s</v>
      </c>
      <c r="AG73" s="1" t="str">
        <f t="shared" si="13"/>
        <v>EC</v>
      </c>
      <c r="AH73" s="98" t="str">
        <f t="shared" si="17"/>
        <v>"%USERPROFILE%\Documents\GitHub\eaglep3\Utilities\RefineRTDCRunTimes.py" --tripid 161-07 --locoid 4020 --swversion DE.1.0.7.0 --startMP 204:462 --initTime 2016-09-07T11:09:30 --startdatetime 2016-09-07T11:15:21 --delay 1 --endMP 204:233295 --enddatetime 2016-09-07T11:51:42 --enforcementcount 0 &gt;&gt;C:\Users\stu\Documents\GitHub\eaglep3-reporting\EC\2016-09-07-refined-times.txt</v>
      </c>
      <c r="AI73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{"issue":{"subject":"","project_id":79,"tracker_id":40,"status_id":1,"priority_id":2,"assigned_to_id":23,"start_date":"2016-09-07","description":"","custom_fields":[{"id":1,"name":"Subdivision","value":"EC"},{"id":4,"name":"Milepost","value":"23.2833"},{"id":17,"name":"Train ID","value":"161-07"},{"id":16,"name":"Locomotive ID","value":"4020"},{"id":130,"name":"Impact","value":""},{"id":150,"name":"Time of Event (Mountain Time)","value":"11:51:42"},{"id":151,"name":"Denver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</row>
    <row r="74" spans="1:38" s="1" customFormat="1" x14ac:dyDescent="0.25">
      <c r="A74" s="38" t="s">
        <v>440</v>
      </c>
      <c r="B74" s="7">
        <v>4019</v>
      </c>
      <c r="C74" s="23" t="s">
        <v>111</v>
      </c>
      <c r="D74" s="23" t="s">
        <v>258</v>
      </c>
      <c r="E74" s="15">
        <v>42620.497719907406</v>
      </c>
      <c r="F74" s="15">
        <v>42620.507847222223</v>
      </c>
      <c r="G74" s="7">
        <v>1</v>
      </c>
      <c r="H74" s="15" t="s">
        <v>129</v>
      </c>
      <c r="I74" s="15">
        <v>42620.535381944443</v>
      </c>
      <c r="J74" s="7">
        <v>0</v>
      </c>
      <c r="K74" s="115" t="str">
        <f t="shared" si="0"/>
        <v>4019/4020</v>
      </c>
      <c r="L74" s="23" t="str">
        <f>VLOOKUP(A74,'Trips&amp;Operators'!$C$1:$E$10000,3,FALSE)</f>
        <v>BARTLETT</v>
      </c>
      <c r="M74" s="6">
        <f t="shared" si="1"/>
        <v>2.753472221957054E-2</v>
      </c>
      <c r="N74" s="7">
        <f t="shared" si="20"/>
        <v>39.649999996181577</v>
      </c>
      <c r="O74" s="7"/>
      <c r="P74" s="7"/>
      <c r="Q74" s="24"/>
      <c r="R74" s="24"/>
      <c r="S74" s="36">
        <f t="shared" si="21"/>
        <v>1</v>
      </c>
      <c r="T74" s="51" t="str">
        <f t="shared" si="4"/>
        <v>Southbound</v>
      </c>
      <c r="U74" s="17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10:56:43-0600',mode:absolute,to:'2016-09-07 13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74" s="177" t="str">
        <f t="shared" si="5"/>
        <v>N</v>
      </c>
      <c r="X74" s="177">
        <f t="shared" si="24"/>
        <v>1</v>
      </c>
      <c r="Y74" s="177">
        <f t="shared" si="7"/>
        <v>23.297499999999999</v>
      </c>
      <c r="Z74" s="67">
        <f t="shared" si="19"/>
        <v>1.5800000000000002E-2</v>
      </c>
      <c r="AA74" s="67">
        <f t="shared" si="9"/>
        <v>23.281700000000001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10"/>
        <v>0162-07</v>
      </c>
      <c r="AE74" s="97" t="str">
        <f t="shared" si="11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74" s="94" t="str">
        <f t="shared" si="12"/>
        <v>"C:\Program Files (x86)\AstroGrep\AstroGrep.exe" /spath="%USERPROFILE%\AppData\Local\Temp\OnboardLogs" /stypes="*4019*20160907*" /stext=" 18:.+((SYSTEM_STATE.+slice.+state.+changed )|(ment ac)|(system.+state.+changed )|(\|lc)|(penalty)|(\[timeout)|(PRM\|1\|D)|(kpr)|(kdp))" /e /r /s</v>
      </c>
      <c r="AG74" s="1" t="str">
        <f t="shared" si="13"/>
        <v>EC</v>
      </c>
      <c r="AH74" s="98" t="str">
        <f t="shared" si="17"/>
        <v>"%USERPROFILE%\Documents\GitHub\eaglep3\Utilities\RefineRTDCRunTimes.py" --tripid 162-07 --locoid 4019 --swversion DE.1.0.7.0 --startMP 204:232975 --initTime 2016-09-07T11:56:43 --startdatetime 2016-09-07T12:11:18 --delay 1 --endMP 204:158 --enddatetime 2016-09-07T12:50:57 --enforcementcount 0 &gt;&gt;C:\Users\stu\Documents\GitHub\eaglep3-reporting\EC\2016-09-07-refined-times.txt</v>
      </c>
      <c r="AI74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{"issue":{"subject":"","project_id":79,"tracker_id":40,"status_id":1,"priority_id":2,"assigned_to_id":23,"start_date":"2016-09-07","description":"","custom_fields":[{"id":1,"name":"Subdivision","value":"EC"},{"id":4,"name":"Milepost","value":"23.2817"},{"id":17,"name":"Train ID","value":"162-07"},{"id":16,"name":"Locomotive ID","value":"4019"},{"id":130,"name":"Impact","value":""},{"id":150,"name":"Time of Event (Mountain Time)","value":"12:50:57"},{"id":151,"name":"Denver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</row>
    <row r="75" spans="1:38" s="1" customFormat="1" x14ac:dyDescent="0.25">
      <c r="A75" s="38" t="s">
        <v>434</v>
      </c>
      <c r="B75" s="7">
        <v>4046</v>
      </c>
      <c r="C75" s="23" t="s">
        <v>111</v>
      </c>
      <c r="D75" s="23" t="s">
        <v>206</v>
      </c>
      <c r="E75" s="15">
        <v>42620.474085648151</v>
      </c>
      <c r="F75" s="15">
        <v>42620.47960648148</v>
      </c>
      <c r="G75" s="7">
        <v>1</v>
      </c>
      <c r="H75" s="15" t="s">
        <v>586</v>
      </c>
      <c r="I75" s="15">
        <v>42620.504467592589</v>
      </c>
      <c r="J75" s="7">
        <v>0</v>
      </c>
      <c r="K75" s="115" t="str">
        <f t="shared" si="0"/>
        <v>4045/4046</v>
      </c>
      <c r="L75" s="23" t="str">
        <f>VLOOKUP(A75,'Trips&amp;Operators'!$C$1:$E$10000,3,FALSE)</f>
        <v>HELVIE</v>
      </c>
      <c r="M75" s="6">
        <f t="shared" si="1"/>
        <v>2.4861111109203193E-2</v>
      </c>
      <c r="N75" s="7">
        <f t="shared" si="20"/>
        <v>35.799999997252598</v>
      </c>
      <c r="O75" s="7"/>
      <c r="P75" s="7"/>
      <c r="Q75" s="24"/>
      <c r="R75" s="24"/>
      <c r="S75" s="36">
        <f t="shared" si="21"/>
        <v>1</v>
      </c>
      <c r="T75" s="51" t="str">
        <f t="shared" si="4"/>
        <v>NorthBound</v>
      </c>
      <c r="U75" s="17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10:22:41-0600',mode:absolute,to:'2016-09-07 13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75" s="177" t="str">
        <f t="shared" si="5"/>
        <v>N</v>
      </c>
      <c r="X75" s="177">
        <f t="shared" si="24"/>
        <v>1</v>
      </c>
      <c r="Y75" s="177">
        <f t="shared" si="7"/>
        <v>4.4200000000000003E-2</v>
      </c>
      <c r="Z75" s="67">
        <f t="shared" ref="Z75:Z106" si="25">RIGHT(H75,LEN(H75)-4)/10000</f>
        <v>23.332100000000001</v>
      </c>
      <c r="AA75" s="67">
        <f t="shared" si="9"/>
        <v>23.2879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10"/>
        <v>0163-07</v>
      </c>
      <c r="AE75" s="97" t="str">
        <f t="shared" si="11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75" s="94" t="str">
        <f t="shared" si="12"/>
        <v>"C:\Program Files (x86)\AstroGrep\AstroGrep.exe" /spath="%USERPROFILE%\AppData\Local\Temp\OnboardLogs" /stypes="*4046*20160907*" /stext=" 18:.+((SYSTEM_STATE.+slice.+state.+changed )|(ment ac)|(system.+state.+changed )|(\|lc)|(penalty)|(\[timeout)|(PRM\|1\|D)|(kpr)|(kdp))" /e /r /s</v>
      </c>
      <c r="AG75" s="1" t="str">
        <f t="shared" si="13"/>
        <v>EC</v>
      </c>
      <c r="AH75" s="98" t="str">
        <f t="shared" si="17"/>
        <v>"%USERPROFILE%\Documents\GitHub\eaglep3\Utilities\RefineRTDCRunTimes.py" --tripid 163-07 --locoid 4046 --swversion DE.1.0.7.0 --startMP 204:442 --initTime 2016-09-07T11:22:41 --startdatetime 2016-09-07T11:30:38 --delay 1 --endMP 204:233321 --enddatetime 2016-09-07T12:06:26 --enforcementcount 0 &gt;&gt;C:\Users\stu\Documents\GitHub\eaglep3-reporting\EC\2016-09-07-refined-times.txt</v>
      </c>
      <c r="AI75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{"issue":{"subject":"","project_id":79,"tracker_id":40,"status_id":1,"priority_id":2,"assigned_to_id":23,"start_date":"2016-09-07","description":"","custom_fields":[{"id":1,"name":"Subdivision","value":"EC"},{"id":4,"name":"Milepost","value":"23.2879"},{"id":17,"name":"Train ID","value":"163-07"},{"id":16,"name":"Locomotive ID","value":"4046"},{"id":130,"name":"Impact","value":""},{"id":150,"name":"Time of Event (Mountain Time)","value":"12:06:26"},{"id":151,"name":"Denver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</row>
    <row r="76" spans="1:38" s="1" customFormat="1" x14ac:dyDescent="0.25">
      <c r="A76" s="38" t="s">
        <v>446</v>
      </c>
      <c r="B76" s="7">
        <v>4045</v>
      </c>
      <c r="C76" s="23" t="s">
        <v>111</v>
      </c>
      <c r="D76" s="23" t="s">
        <v>596</v>
      </c>
      <c r="E76" s="15">
        <v>42620.515752314815</v>
      </c>
      <c r="F76" s="15">
        <v>42620.518333333333</v>
      </c>
      <c r="G76" s="7">
        <v>1</v>
      </c>
      <c r="H76" s="15" t="s">
        <v>89</v>
      </c>
      <c r="I76" s="15">
        <v>42620.547083333331</v>
      </c>
      <c r="J76" s="7">
        <v>0</v>
      </c>
      <c r="K76" s="115" t="str">
        <f t="shared" si="0"/>
        <v>4045/4046</v>
      </c>
      <c r="L76" s="23" t="str">
        <f>VLOOKUP(A76,'Trips&amp;Operators'!$C$1:$E$10000,3,FALSE)</f>
        <v>HELVIE</v>
      </c>
      <c r="M76" s="6">
        <f t="shared" si="1"/>
        <v>2.8749999997671694E-2</v>
      </c>
      <c r="N76" s="7">
        <f t="shared" si="20"/>
        <v>41.399999996647239</v>
      </c>
      <c r="O76" s="7"/>
      <c r="P76" s="7"/>
      <c r="Q76" s="24"/>
      <c r="R76" s="24"/>
      <c r="S76" s="36">
        <f t="shared" si="21"/>
        <v>1</v>
      </c>
      <c r="T76" s="51" t="str">
        <f t="shared" si="4"/>
        <v>Southbound</v>
      </c>
      <c r="U76" s="17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11:22:41-0600',mode:absolute,to:'2016-09-07 14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76" s="177" t="str">
        <f t="shared" si="5"/>
        <v>N</v>
      </c>
      <c r="X76" s="177">
        <f t="shared" si="24"/>
        <v>1</v>
      </c>
      <c r="Y76" s="177">
        <f t="shared" si="7"/>
        <v>23.2989</v>
      </c>
      <c r="Z76" s="67">
        <f t="shared" si="25"/>
        <v>1.43E-2</v>
      </c>
      <c r="AA76" s="67">
        <f t="shared" si="9"/>
        <v>23.284600000000001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si="10"/>
        <v>0164-07</v>
      </c>
      <c r="AE76" s="97" t="str">
        <f t="shared" si="11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76" s="94" t="str">
        <f t="shared" si="12"/>
        <v>"C:\Program Files (x86)\AstroGrep\AstroGrep.exe" /spath="%USERPROFILE%\AppData\Local\Temp\OnboardLogs" /stypes="*4045*20160907*" /stext=" 19:.+((SYSTEM_STATE.+slice.+state.+changed )|(ment ac)|(system.+state.+changed )|(\|lc)|(penalty)|(\[timeout)|(PRM\|1\|D)|(kpr)|(kdp))" /e /r /s</v>
      </c>
      <c r="AG76" s="1" t="str">
        <f t="shared" si="13"/>
        <v>EC</v>
      </c>
      <c r="AH76" s="98" t="str">
        <f t="shared" si="17"/>
        <v>"%USERPROFILE%\Documents\GitHub\eaglep3\Utilities\RefineRTDCRunTimes.py" --tripid 164-07 --locoid 4045 --swversion DE.1.0.7.0 --startMP 204:232989 --initTime 2016-09-07T12:22:41 --startdatetime 2016-09-07T12:26:24 --delay 1 --endMP 204:143 --enddatetime 2016-09-07T13:07:48 --enforcementcount 0 &gt;&gt;C:\Users\stu\Documents\GitHub\eaglep3-reporting\EC\2016-09-07-refined-times.txt</v>
      </c>
      <c r="AI76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{"issue":{"subject":"","project_id":79,"tracker_id":40,"status_id":1,"priority_id":2,"assigned_to_id":23,"start_date":"2016-09-07","description":"","custom_fields":[{"id":1,"name":"Subdivision","value":"EC"},{"id":4,"name":"Milepost","value":"23.2846"},{"id":17,"name":"Train ID","value":"164-07"},{"id":16,"name":"Locomotive ID","value":"4045"},{"id":130,"name":"Impact","value":""},{"id":150,"name":"Time of Event (Mountain Time)","value":"13:07:48"},{"id":151,"name":"Denver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</row>
    <row r="77" spans="1:38" s="1" customFormat="1" x14ac:dyDescent="0.25">
      <c r="A77" s="38" t="s">
        <v>437</v>
      </c>
      <c r="B77" s="7">
        <v>4011</v>
      </c>
      <c r="C77" s="23" t="s">
        <v>111</v>
      </c>
      <c r="D77" s="23" t="s">
        <v>131</v>
      </c>
      <c r="E77" s="15">
        <v>42620.486608796295</v>
      </c>
      <c r="F77" s="15">
        <v>42620.489849537036</v>
      </c>
      <c r="G77" s="7">
        <v>1</v>
      </c>
      <c r="H77" s="15" t="s">
        <v>315</v>
      </c>
      <c r="I77" s="15">
        <v>42620.515127314815</v>
      </c>
      <c r="J77" s="7">
        <v>0</v>
      </c>
      <c r="K77" s="115" t="str">
        <f t="shared" ref="K77:K140" si="26">IF(ISEVEN(B77),(B77-1)&amp;"/"&amp;B77,B77&amp;"/"&amp;(B77+1))</f>
        <v>4011/4012</v>
      </c>
      <c r="L77" s="23" t="str">
        <f>VLOOKUP(A77,'Trips&amp;Operators'!$C$1:$E$10000,3,FALSE)</f>
        <v>ISHMAEL</v>
      </c>
      <c r="M77" s="6">
        <f t="shared" ref="M77:M140" si="27">I77-F77</f>
        <v>2.527777777868323E-2</v>
      </c>
      <c r="N77" s="7">
        <f t="shared" ref="N77:N107" si="28">24*60*SUM($M77:$M77)</f>
        <v>36.400000001303852</v>
      </c>
      <c r="O77" s="7"/>
      <c r="P77" s="7"/>
      <c r="Q77" s="24"/>
      <c r="R77" s="24"/>
      <c r="S77" s="36">
        <f t="shared" ref="S77:S107" si="29">SUM(U77:U77)/IF(AG77="EC",12,1)</f>
        <v>1</v>
      </c>
      <c r="T77" s="51" t="str">
        <f t="shared" ref="T77:T140" si="30">IF(ISEVEN(LEFT(AD77,4)),"Southbound","NorthBound")</f>
        <v>NorthBound</v>
      </c>
      <c r="U77" s="17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10:40:43-0600',mode:absolute,to:'2016-09-07 13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77" s="177" t="str">
        <f t="shared" ref="W77:W140" si="31">IF(AA77&lt;IF(AG77="EC",23,5.65),"Y","N")</f>
        <v>N</v>
      </c>
      <c r="X77" s="177">
        <f t="shared" si="24"/>
        <v>1</v>
      </c>
      <c r="Y77" s="177">
        <f t="shared" ref="Y77:Y140" si="32">RIGHT(D77,LEN(D77)-4)/10000</f>
        <v>4.53E-2</v>
      </c>
      <c r="Z77" s="67">
        <f t="shared" si="25"/>
        <v>23.3309</v>
      </c>
      <c r="AA77" s="67">
        <f t="shared" ref="AA77:AA140" si="33">ABS(Z77-Y77)</f>
        <v>23.285599999999999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ref="AD77:AD140" si="34">IF(LEN(A77)=6,"0"&amp;A77,A77)</f>
        <v>0165-07</v>
      </c>
      <c r="AE77" s="97" t="str">
        <f t="shared" ref="AE77:AE140" si="35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 &amp; 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</v>
      </c>
      <c r="AF77" s="94" t="str">
        <f t="shared" ref="AF77:AF140" si="36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/stypes="*4011*20160907*" /stext=" 18:.+((SYSTEM_STATE.+slice.+state.+changed )|(ment ac)|(system.+state.+changed )|(\|lc)|(penalty)|(\[timeout)|(PRM\|1\|D)|(kpr)|(kdp))" /e /r /s</v>
      </c>
      <c r="AG77" s="1" t="str">
        <f t="shared" ref="AG77:AG140" si="37">IFERROR(IF(VALUE(LEFT(AD77,2))&lt;=2,"EC",IF(OR(VALUE(LEFT(AD77,2))=8,VALUE(LEFT(AD77,2))=18),"NW","Other")),"Other")</f>
        <v>EC</v>
      </c>
      <c r="AH77" s="98" t="str">
        <f t="shared" ref="AH77:AH140" si="38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165-07 --locoid 4011 --swversion DE.1.0.7.0 --startMP 204:453 --initTime 2016-09-07T11:40:43 --startdatetime 2016-09-07T11:45:23 --delay 1 --endMP 204:233309 --enddatetime 2016-09-07T12:21:47 --enforcementcount 0 &gt;&gt;C:\Users\stu\Documents\GitHub\eaglep3-reporting\EC\2016-09-07-refined-times.txt</v>
      </c>
      <c r="AI77" s="130" t="str">
        <f t="shared" ref="AI77:AI140" si="39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AA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{"issue":{"subject":"","project_id":79,"tracker_id":40,"status_id":1,"priority_id":2,"assigned_to_id":23,"start_date":"2016-09-07","description":"","custom_fields":[{"id":1,"name":"Subdivision","value":"EC"},{"id":4,"name":"Milepost","value":"23.2856"},{"id":17,"name":"Train ID","value":"165-07"},{"id":16,"name":"Locomotive ID","value":"4011"},{"id":130,"name":"Impact","value":""},{"id":150,"name":"Time of Event (Mountain Time)","value":"12:21:47"},{"id":151,"name":"Denver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</row>
    <row r="78" spans="1:38" x14ac:dyDescent="0.25">
      <c r="A78" s="38" t="s">
        <v>447</v>
      </c>
      <c r="B78" s="7">
        <v>4012</v>
      </c>
      <c r="C78" s="23" t="s">
        <v>111</v>
      </c>
      <c r="D78" s="23" t="s">
        <v>202</v>
      </c>
      <c r="E78" s="15">
        <v>42620.52447916667</v>
      </c>
      <c r="F78" s="15">
        <v>42620.528819444444</v>
      </c>
      <c r="G78" s="7">
        <v>1</v>
      </c>
      <c r="H78" s="15" t="s">
        <v>143</v>
      </c>
      <c r="I78" s="15">
        <v>42620.556122685186</v>
      </c>
      <c r="J78" s="7">
        <v>0</v>
      </c>
      <c r="K78" s="115" t="str">
        <f t="shared" si="26"/>
        <v>4011/4012</v>
      </c>
      <c r="L78" s="23" t="str">
        <f>VLOOKUP(A78,'Trips&amp;Operators'!$C$1:$E$10000,3,FALSE)</f>
        <v>ISHMAEL</v>
      </c>
      <c r="M78" s="6">
        <f t="shared" si="27"/>
        <v>2.7303240742185153E-2</v>
      </c>
      <c r="N78" s="7">
        <f t="shared" si="28"/>
        <v>39.31666666874662</v>
      </c>
      <c r="O78" s="7"/>
      <c r="P78" s="7"/>
      <c r="Q78" s="24"/>
      <c r="R78" s="24"/>
      <c r="S78" s="36">
        <f t="shared" si="29"/>
        <v>1</v>
      </c>
      <c r="T78" s="51" t="str">
        <f t="shared" si="30"/>
        <v>Southbound</v>
      </c>
      <c r="U78" s="17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76" t="str">
        <f t="shared" ref="V78:V141" si="40">"https://search-rtdc-monitor-bjffxe2xuh6vdkpspy63sjmuny.us-east-1.es.amazonaws.com/_plugin/kibana/#/discover/Steve-Slow-Train-Analysis-(2080s-and-2083s)?_g=(refreshInterval:(display:Off,section:0,value:0),time:(from:'"&amp;TEXT(E78-1/24,"yyyy-MM-DD hh:mm:ss")&amp;"-0600',mode:absolute,to:'"&amp;TEXT(I78+1/24,"yyyy-MM-DD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https://search-rtdc-monitor-bjffxe2xuh6vdkpspy63sjmuny.us-east-1.es.amazonaws.com/_plugin/kibana/#/discover/Steve-Slow-Train-Analysis-(2080s-and-2083s)?_g=(refreshInterval:(display:Off,section:0,value:0),time:(from:'2016-09-07 11:35:15-0600',mode:absolute,to:'2016-09-07 14:20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78" s="177" t="str">
        <f t="shared" si="31"/>
        <v>N</v>
      </c>
      <c r="X78" s="177">
        <f t="shared" si="24"/>
        <v>1</v>
      </c>
      <c r="Y78" s="177">
        <f t="shared" si="32"/>
        <v>23.2971</v>
      </c>
      <c r="Z78" s="67">
        <f t="shared" si="25"/>
        <v>1.5599999999999999E-2</v>
      </c>
      <c r="AA78" s="67">
        <f t="shared" si="33"/>
        <v>23.281500000000001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34"/>
        <v>0166-07</v>
      </c>
      <c r="AE78" s="97" t="str">
        <f t="shared" si="35"/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AF78" s="94" t="str">
        <f t="shared" si="36"/>
        <v>"C:\Program Files (x86)\AstroGrep\AstroGrep.exe" /spath="%USERPROFILE%\AppData\Local\Temp\OnboardLogs" /stypes="*4012*20160907*" /stext=" 19:.+((SYSTEM_STATE.+slice.+state.+changed )|(ment ac)|(system.+state.+changed )|(\|lc)|(penalty)|(\[timeout)|(PRM\|1\|D)|(kpr)|(kdp))" /e /r /s</v>
      </c>
      <c r="AG78" s="1" t="str">
        <f t="shared" si="37"/>
        <v>EC</v>
      </c>
      <c r="AH78" s="98" t="str">
        <f t="shared" si="38"/>
        <v>"%USERPROFILE%\Documents\GitHub\eaglep3\Utilities\RefineRTDCRunTimes.py" --tripid 166-07 --locoid 4012 --swversion DE.1.0.7.0 --startMP 204:232971 --initTime 2016-09-07T12:35:15 --startdatetime 2016-09-07T12:41:30 --delay 1 --endMP 204:156 --enddatetime 2016-09-07T13:20:49 --enforcementcount 0 &gt;&gt;C:\Users\stu\Documents\GitHub\eaglep3-reporting\EC\2016-09-07-refined-times.txt</v>
      </c>
      <c r="AI78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{"issue":{"subject":"","project_id":79,"tracker_id":40,"status_id":1,"priority_id":2,"assigned_to_id":23,"start_date":"2016-09-07","description":"","custom_fields":[{"id":1,"name":"Subdivision","value":"EC"},{"id":4,"name":"Milepost","value":"23.2815"},{"id":17,"name":"Train ID","value":"166-07"},{"id":16,"name":"Locomotive ID","value":"4012"},{"id":130,"name":"Impact","value":""},{"id":150,"name":"Time of Event (Mountain Time)","value":"13:20:49"},{"id":151,"name":"Denver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</row>
    <row r="79" spans="1:38" s="1" customFormat="1" x14ac:dyDescent="0.25">
      <c r="A79" s="38" t="s">
        <v>439</v>
      </c>
      <c r="B79" s="7">
        <v>4009</v>
      </c>
      <c r="C79" s="23" t="s">
        <v>111</v>
      </c>
      <c r="D79" s="23" t="s">
        <v>229</v>
      </c>
      <c r="E79" s="15">
        <v>42620.495740740742</v>
      </c>
      <c r="F79" s="15">
        <v>42620.500300925924</v>
      </c>
      <c r="G79" s="7">
        <v>1</v>
      </c>
      <c r="H79" s="15" t="s">
        <v>225</v>
      </c>
      <c r="I79" s="15">
        <v>42620.527789351851</v>
      </c>
      <c r="J79" s="7">
        <v>0</v>
      </c>
      <c r="K79" s="115" t="str">
        <f t="shared" si="26"/>
        <v>4009/4010</v>
      </c>
      <c r="L79" s="23" t="str">
        <f>VLOOKUP(A79,'Trips&amp;Operators'!$C$1:$E$10000,3,FALSE)</f>
        <v>YOUNG</v>
      </c>
      <c r="M79" s="6">
        <f t="shared" si="27"/>
        <v>2.7488425927003846E-2</v>
      </c>
      <c r="N79" s="7">
        <f t="shared" si="28"/>
        <v>39.583333334885538</v>
      </c>
      <c r="O79" s="7"/>
      <c r="P79" s="7"/>
      <c r="Q79" s="24"/>
      <c r="R79" s="24"/>
      <c r="S79" s="36">
        <f t="shared" si="29"/>
        <v>1</v>
      </c>
      <c r="T79" s="51" t="str">
        <f t="shared" si="30"/>
        <v>NorthBound</v>
      </c>
      <c r="U79" s="17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10:53:52-0600',mode:absolute,to:'2016-09-07 13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79" s="177" t="str">
        <f t="shared" si="31"/>
        <v>N</v>
      </c>
      <c r="X79" s="177">
        <f t="shared" si="24"/>
        <v>1</v>
      </c>
      <c r="Y79" s="177">
        <f t="shared" si="32"/>
        <v>4.6399999999999997E-2</v>
      </c>
      <c r="Z79" s="67">
        <f t="shared" si="25"/>
        <v>23.331499999999998</v>
      </c>
      <c r="AA79" s="67">
        <f t="shared" si="33"/>
        <v>23.2851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34"/>
        <v>0167-07</v>
      </c>
      <c r="AE79" s="97" t="str">
        <f t="shared" si="35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79" s="94" t="str">
        <f t="shared" si="36"/>
        <v>"C:\Program Files (x86)\AstroGrep\AstroGrep.exe" /spath="%USERPROFILE%\AppData\Local\Temp\OnboardLogs" /stypes="*4009*20160907*" /stext=" 18:.+((SYSTEM_STATE.+slice.+state.+changed )|(ment ac)|(system.+state.+changed )|(\|lc)|(penalty)|(\[timeout)|(PRM\|1\|D)|(kpr)|(kdp))" /e /r /s</v>
      </c>
      <c r="AG79" s="1" t="str">
        <f t="shared" si="37"/>
        <v>EC</v>
      </c>
      <c r="AH79" s="98" t="str">
        <f t="shared" si="38"/>
        <v>"%USERPROFILE%\Documents\GitHub\eaglep3\Utilities\RefineRTDCRunTimes.py" --tripid 167-07 --locoid 4009 --swversion DE.1.0.7.0 --startMP 204:464 --initTime 2016-09-07T11:53:52 --startdatetime 2016-09-07T12:00:26 --delay 1 --endMP 204:233315 --enddatetime 2016-09-07T12:40:01 --enforcementcount 0 &gt;&gt;C:\Users\stu\Documents\GitHub\eaglep3-reporting\EC\2016-09-07-refined-times.txt</v>
      </c>
      <c r="AI79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{"issue":{"subject":"","project_id":79,"tracker_id":40,"status_id":1,"priority_id":2,"assigned_to_id":23,"start_date":"2016-09-07","description":"","custom_fields":[{"id":1,"name":"Subdivision","value":"EC"},{"id":4,"name":"Milepost","value":"23.2851"},{"id":17,"name":"Train ID","value":"167-07"},{"id":16,"name":"Locomotive ID","value":"4009"},{"id":130,"name":"Impact","value":""},{"id":150,"name":"Time of Event (Mountain Time)","value":"12:40:01"},{"id":151,"name":"Denver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</row>
    <row r="80" spans="1:38" s="1" customFormat="1" x14ac:dyDescent="0.25">
      <c r="A80" s="38" t="s">
        <v>450</v>
      </c>
      <c r="B80" s="7">
        <v>4010</v>
      </c>
      <c r="C80" s="23" t="s">
        <v>111</v>
      </c>
      <c r="D80" s="23" t="s">
        <v>319</v>
      </c>
      <c r="E80" s="15">
        <v>42620.529270833336</v>
      </c>
      <c r="F80" s="15">
        <v>42620.539178240739</v>
      </c>
      <c r="G80" s="7">
        <v>1</v>
      </c>
      <c r="H80" s="15" t="s">
        <v>597</v>
      </c>
      <c r="I80" s="15">
        <v>42620.567245370374</v>
      </c>
      <c r="J80" s="7">
        <v>0</v>
      </c>
      <c r="K80" s="115" t="str">
        <f t="shared" si="26"/>
        <v>4009/4010</v>
      </c>
      <c r="L80" s="23" t="str">
        <f>VLOOKUP(A80,'Trips&amp;Operators'!$C$1:$E$10000,3,FALSE)</f>
        <v>YOUNG</v>
      </c>
      <c r="M80" s="6">
        <f t="shared" si="27"/>
        <v>2.8067129635019228E-2</v>
      </c>
      <c r="N80" s="7">
        <f t="shared" si="28"/>
        <v>40.416666674427688</v>
      </c>
      <c r="O80" s="7"/>
      <c r="P80" s="7"/>
      <c r="Q80" s="24"/>
      <c r="R80" s="24"/>
      <c r="S80" s="36">
        <f t="shared" si="29"/>
        <v>1</v>
      </c>
      <c r="T80" s="51" t="str">
        <f t="shared" si="30"/>
        <v>Southbound</v>
      </c>
      <c r="U80" s="17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11:42:09-0600',mode:absolute,to:'2016-09-07 14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80" s="177" t="str">
        <f t="shared" si="31"/>
        <v>N</v>
      </c>
      <c r="X80" s="177">
        <f t="shared" si="24"/>
        <v>1</v>
      </c>
      <c r="Y80" s="177">
        <f t="shared" si="32"/>
        <v>23.300799999999999</v>
      </c>
      <c r="Z80" s="67">
        <f t="shared" si="25"/>
        <v>1.9800000000000002E-2</v>
      </c>
      <c r="AA80" s="67">
        <f t="shared" si="33"/>
        <v>23.280999999999999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34"/>
        <v>0168-07</v>
      </c>
      <c r="AE80" s="97" t="str">
        <f t="shared" si="35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80" s="94" t="str">
        <f t="shared" si="36"/>
        <v>"C:\Program Files (x86)\AstroGrep\AstroGrep.exe" /spath="%USERPROFILE%\AppData\Local\Temp\OnboardLogs" /stypes="*4010*20160907*" /stext=" 19:.+((SYSTEM_STATE.+slice.+state.+changed )|(ment ac)|(system.+state.+changed )|(\|lc)|(penalty)|(\[timeout)|(PRM\|1\|D)|(kpr)|(kdp))" /e /r /s</v>
      </c>
      <c r="AG80" s="1" t="str">
        <f t="shared" si="37"/>
        <v>EC</v>
      </c>
      <c r="AH80" s="98" t="str">
        <f t="shared" si="38"/>
        <v>"%USERPROFILE%\Documents\GitHub\eaglep3\Utilities\RefineRTDCRunTimes.py" --tripid 168-07 --locoid 4010 --swversion DE.1.0.7.0 --startMP 204:233008 --initTime 2016-09-07T12:42:09 --startdatetime 2016-09-07T12:56:25 --delay 1 --endMP 204:198 --enddatetime 2016-09-07T13:36:50 --enforcementcount 0 &gt;&gt;C:\Users\stu\Documents\GitHub\eaglep3-reporting\EC\2016-09-07-refined-times.txt</v>
      </c>
      <c r="AI80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{"issue":{"subject":"","project_id":79,"tracker_id":40,"status_id":1,"priority_id":2,"assigned_to_id":23,"start_date":"2016-09-07","description":"","custom_fields":[{"id":1,"name":"Subdivision","value":"EC"},{"id":4,"name":"Milepost","value":"23.281"},{"id":17,"name":"Train ID","value":"168-07"},{"id":16,"name":"Locomotive ID","value":"4010"},{"id":130,"name":"Impact","value":""},{"id":150,"name":"Time of Event (Mountain Time)","value":"13:36:50"},{"id":151,"name":"Denver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</row>
    <row r="81" spans="1:38" s="1" customFormat="1" x14ac:dyDescent="0.25">
      <c r="A81" s="38" t="s">
        <v>441</v>
      </c>
      <c r="B81" s="7">
        <v>4014</v>
      </c>
      <c r="C81" s="23" t="s">
        <v>111</v>
      </c>
      <c r="D81" s="23" t="s">
        <v>133</v>
      </c>
      <c r="E81" s="15">
        <v>42620.507824074077</v>
      </c>
      <c r="F81" s="15">
        <v>42620.510636574072</v>
      </c>
      <c r="G81" s="7">
        <v>2</v>
      </c>
      <c r="H81" s="15" t="s">
        <v>256</v>
      </c>
      <c r="I81" s="15">
        <v>42620.536145833335</v>
      </c>
      <c r="J81" s="7">
        <v>0</v>
      </c>
      <c r="K81" s="115" t="str">
        <f t="shared" si="26"/>
        <v>4013/4014</v>
      </c>
      <c r="L81" s="23" t="str">
        <f>VLOOKUP(A81,'Trips&amp;Operators'!$C$1:$E$10000,3,FALSE)</f>
        <v>MAHAN</v>
      </c>
      <c r="M81" s="6">
        <f t="shared" si="27"/>
        <v>2.5509259263344575E-2</v>
      </c>
      <c r="N81" s="7">
        <f t="shared" si="28"/>
        <v>36.733333339216188</v>
      </c>
      <c r="O81" s="7"/>
      <c r="P81" s="7"/>
      <c r="Q81" s="24"/>
      <c r="R81" s="24"/>
      <c r="S81" s="36">
        <f t="shared" si="29"/>
        <v>1</v>
      </c>
      <c r="T81" s="51" t="str">
        <f t="shared" si="30"/>
        <v>NorthBound</v>
      </c>
      <c r="U81" s="17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11:11:16-0600',mode:absolute,to:'2016-09-07 13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81" s="177" t="str">
        <f t="shared" si="31"/>
        <v>N</v>
      </c>
      <c r="X81" s="177">
        <f t="shared" si="24"/>
        <v>1</v>
      </c>
      <c r="Y81" s="177">
        <f t="shared" si="32"/>
        <v>4.4900000000000002E-2</v>
      </c>
      <c r="Z81" s="67">
        <f t="shared" si="25"/>
        <v>23.330500000000001</v>
      </c>
      <c r="AA81" s="67">
        <f t="shared" si="33"/>
        <v>23.285600000000002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34"/>
        <v>0169-07</v>
      </c>
      <c r="AE81" s="97" t="str">
        <f t="shared" si="35"/>
        <v>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 &amp; 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</v>
      </c>
      <c r="AF81" s="94" t="str">
        <f t="shared" si="36"/>
        <v>"C:\Program Files (x86)\AstroGrep\AstroGrep.exe" /spath="%USERPROFILE%\AppData\Local\Temp\OnboardLogs" /stypes="*4014*20160907*" /stext=" 18:.+((SYSTEM_STATE.+slice.+state.+changed )|(ment ac)|(system.+state.+changed )|(\|lc)|(penalty)|(\[timeout)|(PRM\|1\|D)|(kpr)|(kdp))" /e /r /s</v>
      </c>
      <c r="AG81" s="1" t="str">
        <f t="shared" si="37"/>
        <v>EC</v>
      </c>
      <c r="AH81" s="98" t="str">
        <f t="shared" si="38"/>
        <v>"%USERPROFILE%\Documents\GitHub\eaglep3\Utilities\RefineRTDCRunTimes.py" --tripid 169-07 --locoid 4014 --swversion DE.1.0.7.0 --startMP 204:449 --initTime 2016-09-07T12:11:16 --startdatetime 2016-09-07T12:15:19 --delay 2 --endMP 204:233305 --enddatetime 2016-09-07T12:52:03 --enforcementcount 0 &gt;&gt;C:\Users\stu\Documents\GitHub\eaglep3-reporting\EC\2016-09-07-refined-times.txt</v>
      </c>
      <c r="AI81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{"issue":{"subject":"","project_id":79,"tracker_id":40,"status_id":1,"priority_id":2,"assigned_to_id":23,"start_date":"2016-09-07","description":"","custom_fields":[{"id":1,"name":"Subdivision","value":"EC"},{"id":4,"name":"Milepost","value":"23.2856"},{"id":17,"name":"Train ID","value":"169-07"},{"id":16,"name":"Locomotive ID","value":"4014"},{"id":130,"name":"Impact","value":""},{"id":150,"name":"Time of Event (Mountain Time)","value":"12:52:03"},{"id":151,"name":"Denver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</row>
    <row r="82" spans="1:38" s="22" customFormat="1" x14ac:dyDescent="0.25">
      <c r="A82" s="38" t="s">
        <v>453</v>
      </c>
      <c r="B82" s="7">
        <v>4013</v>
      </c>
      <c r="C82" s="23" t="s">
        <v>111</v>
      </c>
      <c r="D82" s="23" t="s">
        <v>231</v>
      </c>
      <c r="E82" s="15">
        <v>42620.542939814812</v>
      </c>
      <c r="F82" s="15">
        <v>42620.54954861111</v>
      </c>
      <c r="G82" s="7">
        <v>1</v>
      </c>
      <c r="H82" s="15" t="s">
        <v>130</v>
      </c>
      <c r="I82" s="15">
        <v>42620.576898148145</v>
      </c>
      <c r="J82" s="7">
        <v>0</v>
      </c>
      <c r="K82" s="115" t="str">
        <f t="shared" si="26"/>
        <v>4013/4014</v>
      </c>
      <c r="L82" s="23" t="str">
        <f>VLOOKUP(A82,'Trips&amp;Operators'!$C$1:$E$10000,3,FALSE)</f>
        <v>MAHAN</v>
      </c>
      <c r="M82" s="6">
        <f t="shared" si="27"/>
        <v>2.7349537034751847E-2</v>
      </c>
      <c r="N82" s="7">
        <f t="shared" si="28"/>
        <v>39.38333333004266</v>
      </c>
      <c r="O82" s="7"/>
      <c r="P82" s="7"/>
      <c r="Q82" s="24"/>
      <c r="R82" s="24"/>
      <c r="S82" s="36">
        <f t="shared" si="29"/>
        <v>1</v>
      </c>
      <c r="T82" s="51" t="str">
        <f t="shared" si="30"/>
        <v>Southbound</v>
      </c>
      <c r="U82" s="17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12:01:50-0600',mode:absolute,to:'2016-09-07 14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82" s="177" t="str">
        <f t="shared" si="31"/>
        <v>N</v>
      </c>
      <c r="X82" s="177">
        <f t="shared" si="24"/>
        <v>1</v>
      </c>
      <c r="Y82" s="177">
        <f t="shared" si="32"/>
        <v>23.2986</v>
      </c>
      <c r="Z82" s="67">
        <f t="shared" si="25"/>
        <v>1.47E-2</v>
      </c>
      <c r="AA82" s="67">
        <f t="shared" si="33"/>
        <v>23.283899999999999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34"/>
        <v>0170-07</v>
      </c>
      <c r="AE82" s="97" t="str">
        <f t="shared" si="35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82" s="94" t="str">
        <f t="shared" si="36"/>
        <v>"C:\Program Files (x86)\AstroGrep\AstroGrep.exe" /spath="%USERPROFILE%\AppData\Local\Temp\OnboardLogs" /stypes="*4013*20160907*" /stext=" 19:.+((SYSTEM_STATE.+slice.+state.+changed )|(ment ac)|(system.+state.+changed )|(\|lc)|(penalty)|(\[timeout)|(PRM\|1\|D)|(kpr)|(kdp))" /e /r /s</v>
      </c>
      <c r="AG82" s="1" t="str">
        <f t="shared" si="37"/>
        <v>EC</v>
      </c>
      <c r="AH82" s="98" t="str">
        <f t="shared" si="38"/>
        <v>"%USERPROFILE%\Documents\GitHub\eaglep3\Utilities\RefineRTDCRunTimes.py" --tripid 170-07 --locoid 4013 --swversion DE.1.0.7.0 --startMP 204:232986 --initTime 2016-09-07T13:01:50 --startdatetime 2016-09-07T13:11:21 --delay 1 --endMP 204:147 --enddatetime 2016-09-07T13:50:44 --enforcementcount 0 &gt;&gt;C:\Users\stu\Documents\GitHub\eaglep3-reporting\EC\2016-09-07-refined-times.txt</v>
      </c>
      <c r="AI82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{"issue":{"subject":"","project_id":79,"tracker_id":40,"status_id":1,"priority_id":2,"assigned_to_id":23,"start_date":"2016-09-07","description":"","custom_fields":[{"id":1,"name":"Subdivision","value":"EC"},{"id":4,"name":"Milepost","value":"23.2839"},{"id":17,"name":"Train ID","value":"170-07"},{"id":16,"name":"Locomotive ID","value":"4013"},{"id":130,"name":"Impact","value":""},{"id":150,"name":"Time of Event (Mountain Time)","value":"13:50:44"},{"id":151,"name":"Denver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</row>
    <row r="83" spans="1:38" s="22" customFormat="1" x14ac:dyDescent="0.25">
      <c r="A83" s="38" t="s">
        <v>444</v>
      </c>
      <c r="B83" s="7">
        <v>4025</v>
      </c>
      <c r="C83" s="23" t="s">
        <v>111</v>
      </c>
      <c r="D83" s="23" t="s">
        <v>131</v>
      </c>
      <c r="E83" s="15">
        <v>42620.514756944445</v>
      </c>
      <c r="F83" s="15">
        <v>42620.521331018521</v>
      </c>
      <c r="G83" s="7">
        <v>1</v>
      </c>
      <c r="H83" s="15" t="s">
        <v>318</v>
      </c>
      <c r="I83" s="15">
        <v>42620.546377314815</v>
      </c>
      <c r="J83" s="7">
        <v>0</v>
      </c>
      <c r="K83" s="115" t="str">
        <f t="shared" si="26"/>
        <v>4025/4026</v>
      </c>
      <c r="L83" s="23" t="str">
        <f>VLOOKUP(A83,'Trips&amp;Operators'!$C$1:$E$10000,3,FALSE)</f>
        <v>DE LA ROSA</v>
      </c>
      <c r="M83" s="6">
        <f t="shared" si="27"/>
        <v>2.5046296294021886E-2</v>
      </c>
      <c r="N83" s="7">
        <f t="shared" si="28"/>
        <v>36.066666663391516</v>
      </c>
      <c r="O83" s="7"/>
      <c r="P83" s="7"/>
      <c r="Q83" s="24"/>
      <c r="R83" s="24"/>
      <c r="S83" s="36">
        <f t="shared" si="29"/>
        <v>1</v>
      </c>
      <c r="T83" s="51" t="str">
        <f t="shared" si="30"/>
        <v>NorthBound</v>
      </c>
      <c r="U83" s="17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11:21:15-0600',mode:absolute,to:'2016-09-07 14:06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83" s="177" t="str">
        <f t="shared" si="31"/>
        <v>N</v>
      </c>
      <c r="X83" s="177">
        <f t="shared" si="24"/>
        <v>1</v>
      </c>
      <c r="Y83" s="177">
        <f t="shared" si="32"/>
        <v>4.53E-2</v>
      </c>
      <c r="Z83" s="67">
        <f t="shared" si="25"/>
        <v>23.333100000000002</v>
      </c>
      <c r="AA83" s="67">
        <f t="shared" si="33"/>
        <v>23.287800000000001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34"/>
        <v>0171-07</v>
      </c>
      <c r="AE83" s="97" t="str">
        <f t="shared" si="35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83" s="94" t="str">
        <f t="shared" si="36"/>
        <v>"C:\Program Files (x86)\AstroGrep\AstroGrep.exe" /spath="%USERPROFILE%\AppData\Local\Temp\OnboardLogs" /stypes="*4025*20160907*" /stext=" 19:.+((SYSTEM_STATE.+slice.+state.+changed )|(ment ac)|(system.+state.+changed )|(\|lc)|(penalty)|(\[timeout)|(PRM\|1\|D)|(kpr)|(kdp))" /e /r /s</v>
      </c>
      <c r="AG83" s="1" t="str">
        <f t="shared" si="37"/>
        <v>EC</v>
      </c>
      <c r="AH83" s="98" t="str">
        <f t="shared" si="38"/>
        <v>"%USERPROFILE%\Documents\GitHub\eaglep3\Utilities\RefineRTDCRunTimes.py" --tripid 171-07 --locoid 4025 --swversion DE.1.0.7.0 --startMP 204:453 --initTime 2016-09-07T12:21:15 --startdatetime 2016-09-07T12:30:43 --delay 1 --endMP 204:233331 --enddatetime 2016-09-07T13:06:47 --enforcementcount 0 &gt;&gt;C:\Users\stu\Documents\GitHub\eaglep3-reporting\EC\2016-09-07-refined-times.txt</v>
      </c>
      <c r="AI83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{"issue":{"subject":"","project_id":79,"tracker_id":40,"status_id":1,"priority_id":2,"assigned_to_id":23,"start_date":"2016-09-07","description":"","custom_fields":[{"id":1,"name":"Subdivision","value":"EC"},{"id":4,"name":"Milepost","value":"23.2878"},{"id":17,"name":"Train ID","value":"171-07"},{"id":16,"name":"Locomotive ID","value":"4025"},{"id":130,"name":"Impact","value":""},{"id":150,"name":"Time of Event (Mountain Time)","value":"13:06:47"},{"id":151,"name":"Denver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</row>
    <row r="84" spans="1:38" x14ac:dyDescent="0.25">
      <c r="A84" s="38" t="s">
        <v>457</v>
      </c>
      <c r="B84" s="7">
        <v>4026</v>
      </c>
      <c r="C84" s="23" t="s">
        <v>111</v>
      </c>
      <c r="D84" s="23" t="s">
        <v>259</v>
      </c>
      <c r="E84" s="15">
        <v>42620.557152777779</v>
      </c>
      <c r="F84" s="15">
        <v>42620.559884259259</v>
      </c>
      <c r="G84" s="7">
        <v>1</v>
      </c>
      <c r="H84" s="15" t="s">
        <v>217</v>
      </c>
      <c r="I84" s="15">
        <v>42620.586851851855</v>
      </c>
      <c r="J84" s="7">
        <v>0</v>
      </c>
      <c r="K84" s="115" t="str">
        <f t="shared" si="26"/>
        <v>4025/4026</v>
      </c>
      <c r="L84" s="23" t="str">
        <f>VLOOKUP(A84,'Trips&amp;Operators'!$C$1:$E$10000,3,FALSE)</f>
        <v>DE LA ROSA</v>
      </c>
      <c r="M84" s="6">
        <f t="shared" si="27"/>
        <v>2.6967592595610768E-2</v>
      </c>
      <c r="N84" s="7">
        <f t="shared" si="28"/>
        <v>38.833333337679505</v>
      </c>
      <c r="O84" s="7"/>
      <c r="P84" s="7"/>
      <c r="Q84" s="24"/>
      <c r="R84" s="24"/>
      <c r="S84" s="36">
        <f t="shared" si="29"/>
        <v>1</v>
      </c>
      <c r="T84" s="51" t="str">
        <f t="shared" si="30"/>
        <v>Southbound</v>
      </c>
      <c r="U84" s="17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12:22:18-0600',mode:absolute,to:'2016-09-07 15:05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84" s="177" t="str">
        <f t="shared" si="31"/>
        <v>N</v>
      </c>
      <c r="X84" s="177">
        <f t="shared" si="24"/>
        <v>1</v>
      </c>
      <c r="Y84" s="177">
        <f t="shared" si="32"/>
        <v>23.298300000000001</v>
      </c>
      <c r="Z84" s="67">
        <f t="shared" si="25"/>
        <v>1.4999999999999999E-2</v>
      </c>
      <c r="AA84" s="67">
        <f t="shared" si="33"/>
        <v>23.283300000000001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34"/>
        <v>0172-07</v>
      </c>
      <c r="AE84" s="97" t="str">
        <f t="shared" si="35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84" s="94" t="str">
        <f t="shared" si="36"/>
        <v>"C:\Program Files (x86)\AstroGrep\AstroGrep.exe" /spath="%USERPROFILE%\AppData\Local\Temp\OnboardLogs" /stypes="*4026*20160907*" /stext=" 20:.+((SYSTEM_STATE.+slice.+state.+changed )|(ment ac)|(system.+state.+changed )|(\|lc)|(penalty)|(\[timeout)|(PRM\|1\|D)|(kpr)|(kdp))" /e /r /s</v>
      </c>
      <c r="AG84" s="1" t="str">
        <f t="shared" si="37"/>
        <v>EC</v>
      </c>
      <c r="AH84" s="98" t="str">
        <f t="shared" si="38"/>
        <v>"%USERPROFILE%\Documents\GitHub\eaglep3\Utilities\RefineRTDCRunTimes.py" --tripid 172-07 --locoid 4026 --swversion DE.1.0.7.0 --startMP 204:232983 --initTime 2016-09-07T13:22:18 --startdatetime 2016-09-07T13:26:14 --delay 1 --endMP 204:150 --enddatetime 2016-09-07T14:05:04 --enforcementcount 0 &gt;&gt;C:\Users\stu\Documents\GitHub\eaglep3-reporting\EC\2016-09-07-refined-times.txt</v>
      </c>
      <c r="AI84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{"issue":{"subject":"","project_id":79,"tracker_id":40,"status_id":1,"priority_id":2,"assigned_to_id":23,"start_date":"2016-09-07","description":"","custom_fields":[{"id":1,"name":"Subdivision","value":"EC"},{"id":4,"name":"Milepost","value":"23.2833"},{"id":17,"name":"Train ID","value":"172-07"},{"id":16,"name":"Locomotive ID","value":"4026"},{"id":130,"name":"Impact","value":""},{"id":150,"name":"Time of Event (Mountain Time)","value":"14:05:04"},{"id":151,"name":"Denver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</row>
    <row r="85" spans="1:38" s="22" customFormat="1" x14ac:dyDescent="0.25">
      <c r="A85" s="38" t="s">
        <v>448</v>
      </c>
      <c r="B85" s="7">
        <v>4031</v>
      </c>
      <c r="C85" s="23" t="s">
        <v>111</v>
      </c>
      <c r="D85" s="23" t="s">
        <v>153</v>
      </c>
      <c r="E85" s="15">
        <v>42620.525405092594</v>
      </c>
      <c r="F85" s="15">
        <v>42620.531446759262</v>
      </c>
      <c r="G85" s="7">
        <v>1</v>
      </c>
      <c r="H85" s="15" t="s">
        <v>205</v>
      </c>
      <c r="I85" s="15">
        <v>42620.557719907411</v>
      </c>
      <c r="J85" s="7">
        <v>0</v>
      </c>
      <c r="K85" s="115" t="str">
        <f t="shared" si="26"/>
        <v>4031/4032</v>
      </c>
      <c r="L85" s="23" t="str">
        <f>VLOOKUP(A85,'Trips&amp;Operators'!$C$1:$E$10000,3,FALSE)</f>
        <v>CRAYTON</v>
      </c>
      <c r="M85" s="6">
        <f t="shared" si="27"/>
        <v>2.6273148148902692E-2</v>
      </c>
      <c r="N85" s="7">
        <f t="shared" si="28"/>
        <v>37.833333334419876</v>
      </c>
      <c r="O85" s="7"/>
      <c r="P85" s="7"/>
      <c r="Q85" s="24"/>
      <c r="R85" s="24"/>
      <c r="S85" s="36">
        <f t="shared" si="29"/>
        <v>1</v>
      </c>
      <c r="T85" s="51" t="str">
        <f t="shared" si="30"/>
        <v>NorthBound</v>
      </c>
      <c r="U85" s="17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11:36:35-0600',mode:absolute,to:'2016-09-07 14:23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85" s="177" t="str">
        <f t="shared" si="31"/>
        <v>N</v>
      </c>
      <c r="X85" s="177">
        <f t="shared" si="24"/>
        <v>1</v>
      </c>
      <c r="Y85" s="177">
        <f t="shared" si="32"/>
        <v>4.4699999999999997E-2</v>
      </c>
      <c r="Z85" s="67">
        <f t="shared" si="25"/>
        <v>23.329699999999999</v>
      </c>
      <c r="AA85" s="67">
        <f t="shared" si="33"/>
        <v>23.285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34"/>
        <v>0173-07</v>
      </c>
      <c r="AE85" s="97" t="str">
        <f t="shared" si="35"/>
        <v>aws s3 cp s3://rtdc.mdm.uploadarchive/RTDC4031/2016-09-07/ "%USERPROFILE%\AppData\Local\Temp\OnboardLogs"\RTDC4031\2016-09-07 --recursive &amp; "%USERPROFILE%\Documents\GitHub\mrs-test-scripts\Headless Mode &amp; Sideloading\WalkAndUnGZ.bat" "%USERPROFILE%\AppData\Local\Temp\OnboardLogs"\RTDC4031\2016-09-07 &amp; 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</v>
      </c>
      <c r="AF85" s="94" t="str">
        <f t="shared" si="36"/>
        <v>"C:\Program Files (x86)\AstroGrep\AstroGrep.exe" /spath="%USERPROFILE%\AppData\Local\Temp\OnboardLogs" /stypes="*4031*20160907*" /stext=" 19:.+((SYSTEM_STATE.+slice.+state.+changed )|(ment ac)|(system.+state.+changed )|(\|lc)|(penalty)|(\[timeout)|(PRM\|1\|D)|(kpr)|(kdp))" /e /r /s</v>
      </c>
      <c r="AG85" s="1" t="str">
        <f t="shared" si="37"/>
        <v>EC</v>
      </c>
      <c r="AH85" s="98" t="str">
        <f t="shared" si="38"/>
        <v>"%USERPROFILE%\Documents\GitHub\eaglep3\Utilities\RefineRTDCRunTimes.py" --tripid 173-07 --locoid 4031 --swversion DE.1.0.7.0 --startMP 204:447 --initTime 2016-09-07T12:36:35 --startdatetime 2016-09-07T12:45:17 --delay 1 --endMP 204:233297 --enddatetime 2016-09-07T13:23:07 --enforcementcount 0 &gt;&gt;C:\Users\stu\Documents\GitHub\eaglep3-reporting\EC\2016-09-07-refined-times.txt</v>
      </c>
      <c r="AI85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{"issue":{"subject":"","project_id":79,"tracker_id":40,"status_id":1,"priority_id":2,"assigned_to_id":23,"start_date":"2016-09-07","description":"","custom_fields":[{"id":1,"name":"Subdivision","value":"EC"},{"id":4,"name":"Milepost","value":"23.285"},{"id":17,"name":"Train ID","value":"173-07"},{"id":16,"name":"Locomotive ID","value":"4031"},{"id":130,"name":"Impact","value":""},{"id":150,"name":"Time of Event (Mountain Time)","value":"13:23:07"},{"id":151,"name":"Denver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</row>
    <row r="86" spans="1:38" s="22" customFormat="1" x14ac:dyDescent="0.25">
      <c r="A86" s="38" t="s">
        <v>459</v>
      </c>
      <c r="B86" s="7">
        <v>4032</v>
      </c>
      <c r="C86" s="23" t="s">
        <v>111</v>
      </c>
      <c r="D86" s="23" t="s">
        <v>591</v>
      </c>
      <c r="E86" s="15">
        <v>42620.56349537037</v>
      </c>
      <c r="F86" s="15">
        <v>42620.570300925923</v>
      </c>
      <c r="G86" s="7">
        <v>1</v>
      </c>
      <c r="H86" s="15" t="s">
        <v>314</v>
      </c>
      <c r="I86" s="15">
        <v>42620.598252314812</v>
      </c>
      <c r="J86" s="7">
        <v>0</v>
      </c>
      <c r="K86" s="115" t="str">
        <f t="shared" si="26"/>
        <v>4031/4032</v>
      </c>
      <c r="L86" s="23" t="str">
        <f>VLOOKUP(A86,'Trips&amp;Operators'!$C$1:$E$10000,3,FALSE)</f>
        <v>CRAYTON</v>
      </c>
      <c r="M86" s="6">
        <f t="shared" si="27"/>
        <v>2.7951388889050577E-2</v>
      </c>
      <c r="N86" s="7">
        <f t="shared" si="28"/>
        <v>40.250000000232831</v>
      </c>
      <c r="O86" s="7"/>
      <c r="P86" s="7"/>
      <c r="Q86" s="24"/>
      <c r="R86" s="24"/>
      <c r="S86" s="36">
        <f t="shared" si="29"/>
        <v>1</v>
      </c>
      <c r="T86" s="51" t="str">
        <f t="shared" si="30"/>
        <v>Southbound</v>
      </c>
      <c r="U86" s="17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12:31:26-0600',mode:absolute,to:'2016-09-07 15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86" s="177" t="str">
        <f t="shared" si="31"/>
        <v>N</v>
      </c>
      <c r="X86" s="177">
        <f t="shared" si="24"/>
        <v>1</v>
      </c>
      <c r="Y86" s="177">
        <f t="shared" si="32"/>
        <v>23.296700000000001</v>
      </c>
      <c r="Z86" s="67">
        <f t="shared" si="25"/>
        <v>1.3899999999999999E-2</v>
      </c>
      <c r="AA86" s="67">
        <f t="shared" si="33"/>
        <v>23.282800000000002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34"/>
        <v>0174-07</v>
      </c>
      <c r="AE86" s="97" t="str">
        <f t="shared" si="35"/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AF86" s="94" t="str">
        <f t="shared" si="36"/>
        <v>"C:\Program Files (x86)\AstroGrep\AstroGrep.exe" /spath="%USERPROFILE%\AppData\Local\Temp\OnboardLogs" /stypes="*4032*20160907*" /stext=" 20:.+((SYSTEM_STATE.+slice.+state.+changed )|(ment ac)|(system.+state.+changed )|(\|lc)|(penalty)|(\[timeout)|(PRM\|1\|D)|(kpr)|(kdp))" /e /r /s</v>
      </c>
      <c r="AG86" s="1" t="str">
        <f t="shared" si="37"/>
        <v>EC</v>
      </c>
      <c r="AH86" s="98" t="str">
        <f t="shared" si="38"/>
        <v>"%USERPROFILE%\Documents\GitHub\eaglep3\Utilities\RefineRTDCRunTimes.py" --tripid 174-07 --locoid 4032 --swversion DE.1.0.7.0 --startMP 204:232967 --initTime 2016-09-07T13:31:26 --startdatetime 2016-09-07T13:41:14 --delay 1 --endMP 204:139 --enddatetime 2016-09-07T14:21:29 --enforcementcount 0 &gt;&gt;C:\Users\stu\Documents\GitHub\eaglep3-reporting\EC\2016-09-07-refined-times.txt</v>
      </c>
      <c r="AI86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{"issue":{"subject":"","project_id":79,"tracker_id":40,"status_id":1,"priority_id":2,"assigned_to_id":23,"start_date":"2016-09-07","description":"","custom_fields":[{"id":1,"name":"Subdivision","value":"EC"},{"id":4,"name":"Milepost","value":"23.2828"},{"id":17,"name":"Train ID","value":"174-07"},{"id":16,"name":"Locomotive ID","value":"4032"},{"id":130,"name":"Impact","value":""},{"id":150,"name":"Time of Event (Mountain Time)","value":"14:21:29"},{"id":151,"name":"Denver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</row>
    <row r="87" spans="1:38" x14ac:dyDescent="0.25">
      <c r="A87" s="38" t="s">
        <v>452</v>
      </c>
      <c r="B87" s="7">
        <v>4020</v>
      </c>
      <c r="C87" s="23" t="s">
        <v>111</v>
      </c>
      <c r="D87" s="23" t="s">
        <v>204</v>
      </c>
      <c r="E87" s="15">
        <v>42620.537858796299</v>
      </c>
      <c r="F87" s="15">
        <v>42620.542129629626</v>
      </c>
      <c r="G87" s="7">
        <v>1</v>
      </c>
      <c r="H87" s="15" t="s">
        <v>598</v>
      </c>
      <c r="I87" s="15">
        <v>42620.568472222221</v>
      </c>
      <c r="J87" s="7">
        <v>0</v>
      </c>
      <c r="K87" s="115" t="str">
        <f t="shared" si="26"/>
        <v>4019/4020</v>
      </c>
      <c r="L87" s="23" t="str">
        <f>VLOOKUP(A87,'Trips&amp;Operators'!$C$1:$E$10000,3,FALSE)</f>
        <v>BARTLETT</v>
      </c>
      <c r="M87" s="6">
        <f t="shared" si="27"/>
        <v>2.6342592595028691E-2</v>
      </c>
      <c r="N87" s="7">
        <f t="shared" si="28"/>
        <v>37.933333336841315</v>
      </c>
      <c r="O87" s="7"/>
      <c r="P87" s="7"/>
      <c r="Q87" s="24"/>
      <c r="R87" s="24"/>
      <c r="S87" s="36">
        <f t="shared" si="29"/>
        <v>1</v>
      </c>
      <c r="T87" s="51" t="str">
        <f t="shared" si="30"/>
        <v>NorthBound</v>
      </c>
      <c r="U87" s="17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11:54:31-0600',mode:absolute,to:'2016-09-07 14:38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87" s="177" t="str">
        <f t="shared" si="31"/>
        <v>N</v>
      </c>
      <c r="X87" s="177">
        <f t="shared" si="24"/>
        <v>1</v>
      </c>
      <c r="Y87" s="177">
        <f t="shared" si="32"/>
        <v>4.6600000000000003E-2</v>
      </c>
      <c r="Z87" s="67">
        <f t="shared" si="25"/>
        <v>23.326599999999999</v>
      </c>
      <c r="AA87" s="67">
        <f t="shared" si="33"/>
        <v>23.279999999999998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34"/>
        <v>0175-07</v>
      </c>
      <c r="AE87" s="97" t="str">
        <f t="shared" si="35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87" s="94" t="str">
        <f t="shared" si="36"/>
        <v>"C:\Program Files (x86)\AstroGrep\AstroGrep.exe" /spath="%USERPROFILE%\AppData\Local\Temp\OnboardLogs" /stypes="*4020*20160907*" /stext=" 19:.+((SYSTEM_STATE.+slice.+state.+changed )|(ment ac)|(system.+state.+changed )|(\|lc)|(penalty)|(\[timeout)|(PRM\|1\|D)|(kpr)|(kdp))" /e /r /s</v>
      </c>
      <c r="AG87" s="1" t="str">
        <f t="shared" si="37"/>
        <v>EC</v>
      </c>
      <c r="AH87" s="98" t="str">
        <f t="shared" si="38"/>
        <v>"%USERPROFILE%\Documents\GitHub\eaglep3\Utilities\RefineRTDCRunTimes.py" --tripid 175-07 --locoid 4020 --swversion DE.1.0.7.0 --startMP 204:466 --initTime 2016-09-07T12:54:31 --startdatetime 2016-09-07T13:00:40 --delay 1 --endMP 204:233266 --enddatetime 2016-09-07T13:38:36 --enforcementcount 0 &gt;&gt;C:\Users\stu\Documents\GitHub\eaglep3-reporting\EC\2016-09-07-refined-times.txt</v>
      </c>
      <c r="AI87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{"issue":{"subject":"","project_id":79,"tracker_id":40,"status_id":1,"priority_id":2,"assigned_to_id":23,"start_date":"2016-09-07","description":"","custom_fields":[{"id":1,"name":"Subdivision","value":"EC"},{"id":4,"name":"Milepost","value":"23.28"},{"id":17,"name":"Train ID","value":"175-07"},{"id":16,"name":"Locomotive ID","value":"4020"},{"id":130,"name":"Impact","value":""},{"id":150,"name":"Time of Event (Mountain Time)","value":"13:38:36"},{"id":151,"name":"Denver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</row>
    <row r="88" spans="1:38" x14ac:dyDescent="0.25">
      <c r="A88" s="38" t="s">
        <v>461</v>
      </c>
      <c r="B88" s="7">
        <v>4019</v>
      </c>
      <c r="C88" s="23" t="s">
        <v>111</v>
      </c>
      <c r="D88" s="23" t="s">
        <v>599</v>
      </c>
      <c r="E88" s="15">
        <v>42620.570648148147</v>
      </c>
      <c r="F88" s="15">
        <v>42620.581076388888</v>
      </c>
      <c r="G88" s="7">
        <v>1</v>
      </c>
      <c r="H88" s="15" t="s">
        <v>215</v>
      </c>
      <c r="I88" s="15">
        <v>42620.608946759261</v>
      </c>
      <c r="J88" s="7">
        <v>0</v>
      </c>
      <c r="K88" s="115" t="str">
        <f t="shared" si="26"/>
        <v>4019/4020</v>
      </c>
      <c r="L88" s="23" t="str">
        <f>VLOOKUP(A88,'Trips&amp;Operators'!$C$1:$E$10000,3,FALSE)</f>
        <v>BARTLETT</v>
      </c>
      <c r="M88" s="6">
        <f t="shared" si="27"/>
        <v>2.7870370373420883E-2</v>
      </c>
      <c r="N88" s="7">
        <f t="shared" si="28"/>
        <v>40.133333337726071</v>
      </c>
      <c r="O88" s="7"/>
      <c r="P88" s="7"/>
      <c r="Q88" s="24"/>
      <c r="R88" s="24"/>
      <c r="S88" s="36">
        <f t="shared" si="29"/>
        <v>1</v>
      </c>
      <c r="T88" s="51" t="str">
        <f t="shared" si="30"/>
        <v>Southbound</v>
      </c>
      <c r="U88" s="17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12:41:44-0600',mode:absolute,to:'2016-09-07 15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88" s="177" t="str">
        <f t="shared" si="31"/>
        <v>N</v>
      </c>
      <c r="X88" s="177">
        <f t="shared" si="24"/>
        <v>1</v>
      </c>
      <c r="Y88" s="177">
        <f t="shared" si="32"/>
        <v>23.294</v>
      </c>
      <c r="Z88" s="67">
        <f t="shared" si="25"/>
        <v>1.38E-2</v>
      </c>
      <c r="AA88" s="67">
        <f t="shared" si="33"/>
        <v>23.280200000000001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34"/>
        <v>0176-07</v>
      </c>
      <c r="AE88" s="97" t="str">
        <f t="shared" si="35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88" s="94" t="str">
        <f t="shared" si="36"/>
        <v>"C:\Program Files (x86)\AstroGrep\AstroGrep.exe" /spath="%USERPROFILE%\AppData\Local\Temp\OnboardLogs" /stypes="*4019*20160907*" /stext=" 20:.+((SYSTEM_STATE.+slice.+state.+changed )|(ment ac)|(system.+state.+changed )|(\|lc)|(penalty)|(\[timeout)|(PRM\|1\|D)|(kpr)|(kdp))" /e /r /s</v>
      </c>
      <c r="AG88" s="1" t="str">
        <f t="shared" si="37"/>
        <v>EC</v>
      </c>
      <c r="AH88" s="98" t="str">
        <f t="shared" si="38"/>
        <v>"%USERPROFILE%\Documents\GitHub\eaglep3\Utilities\RefineRTDCRunTimes.py" --tripid 176-07 --locoid 4019 --swversion DE.1.0.7.0 --startMP 204:232940 --initTime 2016-09-07T13:41:44 --startdatetime 2016-09-07T13:56:45 --delay 1 --endMP 204:138 --enddatetime 2016-09-07T14:36:53 --enforcementcount 0 &gt;&gt;C:\Users\stu\Documents\GitHub\eaglep3-reporting\EC\2016-09-07-refined-times.txt</v>
      </c>
      <c r="AI88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{"issue":{"subject":"","project_id":79,"tracker_id":40,"status_id":1,"priority_id":2,"assigned_to_id":23,"start_date":"2016-09-07","description":"","custom_fields":[{"id":1,"name":"Subdivision","value":"EC"},{"id":4,"name":"Milepost","value":"23.2802"},{"id":17,"name":"Train ID","value":"176-07"},{"id":16,"name":"Locomotive ID","value":"4019"},{"id":130,"name":"Impact","value":""},{"id":150,"name":"Time of Event (Mountain Time)","value":"14:36:53"},{"id":151,"name":"Denver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</row>
    <row r="89" spans="1:38" s="22" customFormat="1" x14ac:dyDescent="0.25">
      <c r="A89" s="38" t="s">
        <v>454</v>
      </c>
      <c r="B89" s="7">
        <v>4046</v>
      </c>
      <c r="C89" s="23" t="s">
        <v>111</v>
      </c>
      <c r="D89" s="23" t="s">
        <v>156</v>
      </c>
      <c r="E89" s="15">
        <v>42620.548842592594</v>
      </c>
      <c r="F89" s="15">
        <v>42620.552430555559</v>
      </c>
      <c r="G89" s="7">
        <v>1</v>
      </c>
      <c r="H89" s="15" t="s">
        <v>598</v>
      </c>
      <c r="I89" s="15">
        <v>42620.577384259261</v>
      </c>
      <c r="J89" s="7">
        <v>0</v>
      </c>
      <c r="K89" s="115" t="str">
        <f t="shared" si="26"/>
        <v>4045/4046</v>
      </c>
      <c r="L89" s="23" t="str">
        <f>VLOOKUP(A89,'Trips&amp;Operators'!$C$1:$E$10000,3,FALSE)</f>
        <v>HELVIE</v>
      </c>
      <c r="M89" s="6">
        <f t="shared" si="27"/>
        <v>2.495370370161254E-2</v>
      </c>
      <c r="N89" s="7">
        <f t="shared" si="28"/>
        <v>35.933333330322057</v>
      </c>
      <c r="O89" s="7"/>
      <c r="P89" s="7"/>
      <c r="Q89" s="24"/>
      <c r="R89" s="24"/>
      <c r="S89" s="36">
        <f t="shared" si="29"/>
        <v>1</v>
      </c>
      <c r="T89" s="51" t="str">
        <f t="shared" si="30"/>
        <v>NorthBound</v>
      </c>
      <c r="U89" s="17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12:10:20-0600',mode:absolute,to:'2016-09-07 14:51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89" s="177" t="str">
        <f t="shared" si="31"/>
        <v>N</v>
      </c>
      <c r="X89" s="177">
        <f t="shared" si="24"/>
        <v>1</v>
      </c>
      <c r="Y89" s="177">
        <f t="shared" si="32"/>
        <v>4.5999999999999999E-2</v>
      </c>
      <c r="Z89" s="67">
        <f t="shared" si="25"/>
        <v>23.326599999999999</v>
      </c>
      <c r="AA89" s="67">
        <f t="shared" si="33"/>
        <v>23.2806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34"/>
        <v>0177-07</v>
      </c>
      <c r="AE89" s="97" t="str">
        <f t="shared" si="35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89" s="94" t="str">
        <f t="shared" si="36"/>
        <v>"C:\Program Files (x86)\AstroGrep\AstroGrep.exe" /spath="%USERPROFILE%\AppData\Local\Temp\OnboardLogs" /stypes="*4046*20160907*" /stext=" 19:.+((SYSTEM_STATE.+slice.+state.+changed )|(ment ac)|(system.+state.+changed )|(\|lc)|(penalty)|(\[timeout)|(PRM\|1\|D)|(kpr)|(kdp))" /e /r /s</v>
      </c>
      <c r="AG89" s="1" t="str">
        <f t="shared" si="37"/>
        <v>EC</v>
      </c>
      <c r="AH89" s="98" t="str">
        <f t="shared" si="38"/>
        <v>"%USERPROFILE%\Documents\GitHub\eaglep3\Utilities\RefineRTDCRunTimes.py" --tripid 177-07 --locoid 4046 --swversion DE.1.0.7.0 --startMP 204:460 --initTime 2016-09-07T13:10:20 --startdatetime 2016-09-07T13:15:30 --delay 1 --endMP 204:233266 --enddatetime 2016-09-07T13:51:26 --enforcementcount 0 &gt;&gt;C:\Users\stu\Documents\GitHub\eaglep3-reporting\EC\2016-09-07-refined-times.txt</v>
      </c>
      <c r="AI89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{"issue":{"subject":"","project_id":79,"tracker_id":40,"status_id":1,"priority_id":2,"assigned_to_id":23,"start_date":"2016-09-07","description":"","custom_fields":[{"id":1,"name":"Subdivision","value":"EC"},{"id":4,"name":"Milepost","value":"23.2806"},{"id":17,"name":"Train ID","value":"177-07"},{"id":16,"name":"Locomotive ID","value":"4046"},{"id":130,"name":"Impact","value":""},{"id":150,"name":"Time of Event (Mountain Time)","value":"13:51:26"},{"id":151,"name":"Denver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</row>
    <row r="90" spans="1:38" x14ac:dyDescent="0.25">
      <c r="A90" s="38" t="s">
        <v>464</v>
      </c>
      <c r="B90" s="7">
        <v>4045</v>
      </c>
      <c r="C90" s="23" t="s">
        <v>111</v>
      </c>
      <c r="D90" s="23" t="s">
        <v>600</v>
      </c>
      <c r="E90" s="15">
        <v>42620.585601851853</v>
      </c>
      <c r="F90" s="15">
        <v>42620.591284722221</v>
      </c>
      <c r="G90" s="7">
        <v>1</v>
      </c>
      <c r="H90" s="15" t="s">
        <v>217</v>
      </c>
      <c r="I90" s="15">
        <v>42620.618680555555</v>
      </c>
      <c r="J90" s="7">
        <v>0</v>
      </c>
      <c r="K90" s="115" t="str">
        <f t="shared" si="26"/>
        <v>4045/4046</v>
      </c>
      <c r="L90" s="23" t="str">
        <f>VLOOKUP(A90,'Trips&amp;Operators'!$C$1:$E$10000,3,FALSE)</f>
        <v>HELVIE</v>
      </c>
      <c r="M90" s="6">
        <f t="shared" si="27"/>
        <v>2.7395833334594499E-2</v>
      </c>
      <c r="N90" s="7">
        <f t="shared" si="28"/>
        <v>39.450000001816079</v>
      </c>
      <c r="O90" s="7"/>
      <c r="P90" s="7"/>
      <c r="Q90" s="24"/>
      <c r="R90" s="24"/>
      <c r="S90" s="36">
        <f t="shared" si="29"/>
        <v>1</v>
      </c>
      <c r="T90" s="51" t="str">
        <f t="shared" si="30"/>
        <v>Southbound</v>
      </c>
      <c r="U90" s="17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13:03:16-0600',mode:absolute,to:'2016-09-07 15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90" s="177" t="str">
        <f t="shared" si="31"/>
        <v>N</v>
      </c>
      <c r="X90" s="177">
        <f t="shared" si="24"/>
        <v>1</v>
      </c>
      <c r="Y90" s="177">
        <f t="shared" si="32"/>
        <v>23.294799999999999</v>
      </c>
      <c r="Z90" s="67">
        <f t="shared" si="25"/>
        <v>1.4999999999999999E-2</v>
      </c>
      <c r="AA90" s="67">
        <f t="shared" si="33"/>
        <v>23.279799999999998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34"/>
        <v>0178-07</v>
      </c>
      <c r="AE90" s="97" t="str">
        <f t="shared" si="35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90" s="94" t="str">
        <f t="shared" si="36"/>
        <v>"C:\Program Files (x86)\AstroGrep\AstroGrep.exe" /spath="%USERPROFILE%\AppData\Local\Temp\OnboardLogs" /stypes="*4045*20160907*" /stext=" 20:.+((SYSTEM_STATE.+slice.+state.+changed )|(ment ac)|(system.+state.+changed )|(\|lc)|(penalty)|(\[timeout)|(PRM\|1\|D)|(kpr)|(kdp))" /e /r /s</v>
      </c>
      <c r="AG90" s="1" t="str">
        <f t="shared" si="37"/>
        <v>EC</v>
      </c>
      <c r="AH90" s="98" t="str">
        <f t="shared" si="38"/>
        <v>"%USERPROFILE%\Documents\GitHub\eaglep3\Utilities\RefineRTDCRunTimes.py" --tripid 178-07 --locoid 4045 --swversion DE.1.0.7.0 --startMP 204:232948 --initTime 2016-09-07T14:03:16 --startdatetime 2016-09-07T14:11:27 --delay 1 --endMP 204:150 --enddatetime 2016-09-07T14:50:54 --enforcementcount 0 &gt;&gt;C:\Users\stu\Documents\GitHub\eaglep3-reporting\EC\2016-09-07-refined-times.txt</v>
      </c>
      <c r="AI90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{"issue":{"subject":"","project_id":79,"tracker_id":40,"status_id":1,"priority_id":2,"assigned_to_id":23,"start_date":"2016-09-07","description":"","custom_fields":[{"id":1,"name":"Subdivision","value":"EC"},{"id":4,"name":"Milepost","value":"23.2798"},{"id":17,"name":"Train ID","value":"178-07"},{"id":16,"name":"Locomotive ID","value":"4045"},{"id":130,"name":"Impact","value":""},{"id":150,"name":"Time of Event (Mountain Time)","value":"14:50:54"},{"id":151,"name":"Denver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</row>
    <row r="91" spans="1:38" x14ac:dyDescent="0.25">
      <c r="A91" s="38" t="s">
        <v>458</v>
      </c>
      <c r="B91" s="7">
        <v>4011</v>
      </c>
      <c r="C91" s="23" t="s">
        <v>111</v>
      </c>
      <c r="D91" s="23" t="s">
        <v>305</v>
      </c>
      <c r="E91" s="15">
        <v>42620.557372685187</v>
      </c>
      <c r="F91" s="15">
        <v>42620.562951388885</v>
      </c>
      <c r="G91" s="7">
        <v>1</v>
      </c>
      <c r="H91" s="15" t="s">
        <v>209</v>
      </c>
      <c r="I91" s="15">
        <v>42620.589398148149</v>
      </c>
      <c r="J91" s="7">
        <v>0</v>
      </c>
      <c r="K91" s="115" t="str">
        <f t="shared" si="26"/>
        <v>4011/4012</v>
      </c>
      <c r="L91" s="23" t="str">
        <f>VLOOKUP(A91,'Trips&amp;Operators'!$C$1:$E$10000,3,FALSE)</f>
        <v>ISHMAEL</v>
      </c>
      <c r="M91" s="6">
        <f t="shared" si="27"/>
        <v>2.644675926421769E-2</v>
      </c>
      <c r="N91" s="7">
        <f t="shared" si="28"/>
        <v>38.083333340473473</v>
      </c>
      <c r="O91" s="7"/>
      <c r="P91" s="7"/>
      <c r="Q91" s="24"/>
      <c r="R91" s="24"/>
      <c r="S91" s="36">
        <f t="shared" si="29"/>
        <v>1</v>
      </c>
      <c r="T91" s="51" t="str">
        <f t="shared" si="30"/>
        <v>NorthBound</v>
      </c>
      <c r="U91" s="17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12:22:37-0600',mode:absolute,to:'2016-09-07 15:08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91" s="177" t="str">
        <f t="shared" si="31"/>
        <v>N</v>
      </c>
      <c r="X91" s="177">
        <f t="shared" si="24"/>
        <v>1</v>
      </c>
      <c r="Y91" s="177">
        <f t="shared" si="32"/>
        <v>4.7300000000000002E-2</v>
      </c>
      <c r="Z91" s="67">
        <f t="shared" si="25"/>
        <v>23.331399999999999</v>
      </c>
      <c r="AA91" s="67">
        <f t="shared" si="33"/>
        <v>23.284099999999999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34"/>
        <v>0179-07</v>
      </c>
      <c r="AE91" s="97" t="str">
        <f t="shared" si="35"/>
        <v>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 &amp; 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</v>
      </c>
      <c r="AF91" s="94" t="str">
        <f t="shared" si="36"/>
        <v>"C:\Program Files (x86)\AstroGrep\AstroGrep.exe" /spath="%USERPROFILE%\AppData\Local\Temp\OnboardLogs" /stypes="*4011*20160907*" /stext=" 20:.+((SYSTEM_STATE.+slice.+state.+changed )|(ment ac)|(system.+state.+changed )|(\|lc)|(penalty)|(\[timeout)|(PRM\|1\|D)|(kpr)|(kdp))" /e /r /s</v>
      </c>
      <c r="AG91" s="1" t="str">
        <f t="shared" si="37"/>
        <v>EC</v>
      </c>
      <c r="AH91" s="98" t="str">
        <f t="shared" si="38"/>
        <v>"%USERPROFILE%\Documents\GitHub\eaglep3\Utilities\RefineRTDCRunTimes.py" --tripid 179-07 --locoid 4011 --swversion DE.1.0.7.0 --startMP 204:473 --initTime 2016-09-07T13:22:37 --startdatetime 2016-09-07T13:30:39 --delay 1 --endMP 204:233314 --enddatetime 2016-09-07T14:08:44 --enforcementcount 0 &gt;&gt;C:\Users\stu\Documents\GitHub\eaglep3-reporting\EC\2016-09-07-refined-times.txt</v>
      </c>
      <c r="AI91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{"issue":{"subject":"","project_id":79,"tracker_id":40,"status_id":1,"priority_id":2,"assigned_to_id":23,"start_date":"2016-09-07","description":"","custom_fields":[{"id":1,"name":"Subdivision","value":"EC"},{"id":4,"name":"Milepost","value":"23.2841"},{"id":17,"name":"Train ID","value":"179-07"},{"id":16,"name":"Locomotive ID","value":"4011"},{"id":130,"name":"Impact","value":""},{"id":150,"name":"Time of Event (Mountain Time)","value":"14:08:44"},{"id":151,"name":"Denver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</row>
    <row r="92" spans="1:38" x14ac:dyDescent="0.25">
      <c r="A92" s="38" t="s">
        <v>466</v>
      </c>
      <c r="B92" s="7">
        <v>4012</v>
      </c>
      <c r="C92" s="23" t="s">
        <v>111</v>
      </c>
      <c r="D92" s="23" t="s">
        <v>211</v>
      </c>
      <c r="E92" s="15">
        <v>42620.595462962963</v>
      </c>
      <c r="F92" s="15">
        <v>42620.601759259262</v>
      </c>
      <c r="G92" s="7">
        <v>1</v>
      </c>
      <c r="H92" s="15" t="s">
        <v>130</v>
      </c>
      <c r="I92" s="15">
        <v>42620.629965277774</v>
      </c>
      <c r="J92" s="7">
        <v>0</v>
      </c>
      <c r="K92" s="115" t="str">
        <f t="shared" si="26"/>
        <v>4011/4012</v>
      </c>
      <c r="L92" s="23" t="str">
        <f>VLOOKUP(A92,'Trips&amp;Operators'!$C$1:$E$10000,3,FALSE)</f>
        <v>ISHMAEL</v>
      </c>
      <c r="M92" s="6">
        <f t="shared" si="27"/>
        <v>2.8206018512719311E-2</v>
      </c>
      <c r="N92" s="7">
        <f t="shared" si="28"/>
        <v>40.616666658315808</v>
      </c>
      <c r="O92" s="7"/>
      <c r="P92" s="7"/>
      <c r="Q92" s="24"/>
      <c r="R92" s="24"/>
      <c r="S92" s="36">
        <f t="shared" si="29"/>
        <v>1</v>
      </c>
      <c r="T92" s="51" t="str">
        <f t="shared" si="30"/>
        <v>Southbound</v>
      </c>
      <c r="U92" s="17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13:17:28-0600',mode:absolute,to:'2016-09-07 16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92" s="177" t="str">
        <f t="shared" si="31"/>
        <v>N</v>
      </c>
      <c r="X92" s="177">
        <f t="shared" si="24"/>
        <v>1</v>
      </c>
      <c r="Y92" s="177">
        <f t="shared" si="32"/>
        <v>23.299600000000002</v>
      </c>
      <c r="Z92" s="67">
        <f t="shared" si="25"/>
        <v>1.47E-2</v>
      </c>
      <c r="AA92" s="67">
        <f t="shared" si="33"/>
        <v>23.2849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34"/>
        <v>0180-07</v>
      </c>
      <c r="AE92" s="97" t="str">
        <f t="shared" si="35"/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AF92" s="94" t="str">
        <f t="shared" si="36"/>
        <v>"C:\Program Files (x86)\AstroGrep\AstroGrep.exe" /spath="%USERPROFILE%\AppData\Local\Temp\OnboardLogs" /stypes="*4012*20160907*" /stext=" 21:.+((SYSTEM_STATE.+slice.+state.+changed )|(ment ac)|(system.+state.+changed )|(\|lc)|(penalty)|(\[timeout)|(PRM\|1\|D)|(kpr)|(kdp))" /e /r /s</v>
      </c>
      <c r="AG92" s="1" t="str">
        <f t="shared" si="37"/>
        <v>EC</v>
      </c>
      <c r="AH92" s="98" t="str">
        <f t="shared" si="38"/>
        <v>"%USERPROFILE%\Documents\GitHub\eaglep3\Utilities\RefineRTDCRunTimes.py" --tripid 180-07 --locoid 4012 --swversion DE.1.0.7.0 --startMP 204:232996 --initTime 2016-09-07T14:17:28 --startdatetime 2016-09-07T14:26:32 --delay 1 --endMP 204:147 --enddatetime 2016-09-07T15:07:09 --enforcementcount 0 &gt;&gt;C:\Users\stu\Documents\GitHub\eaglep3-reporting\EC\2016-09-07-refined-times.txt</v>
      </c>
      <c r="AI92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{"issue":{"subject":"","project_id":79,"tracker_id":40,"status_id":1,"priority_id":2,"assigned_to_id":23,"start_date":"2016-09-07","description":"","custom_fields":[{"id":1,"name":"Subdivision","value":"EC"},{"id":4,"name":"Milepost","value":"23.2849"},{"id":17,"name":"Train ID","value":"180-07"},{"id":16,"name":"Locomotive ID","value":"4012"},{"id":130,"name":"Impact","value":""},{"id":150,"name":"Time of Event (Mountain Time)","value":"15:07:09"},{"id":151,"name":"Denver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</row>
    <row r="93" spans="1:38" x14ac:dyDescent="0.25">
      <c r="A93" s="38" t="s">
        <v>460</v>
      </c>
      <c r="B93" s="7">
        <v>4009</v>
      </c>
      <c r="C93" s="23" t="s">
        <v>111</v>
      </c>
      <c r="D93" s="23" t="s">
        <v>312</v>
      </c>
      <c r="E93" s="15">
        <v>42620.569004629629</v>
      </c>
      <c r="F93" s="15">
        <v>42620.573750000003</v>
      </c>
      <c r="G93" s="7">
        <v>2</v>
      </c>
      <c r="H93" s="15" t="s">
        <v>601</v>
      </c>
      <c r="I93" s="15">
        <v>42620.600046296298</v>
      </c>
      <c r="J93" s="7">
        <v>0</v>
      </c>
      <c r="K93" s="115" t="str">
        <f t="shared" si="26"/>
        <v>4009/4010</v>
      </c>
      <c r="L93" s="23" t="str">
        <f>VLOOKUP(A93,'Trips&amp;Operators'!$C$1:$E$10000,3,FALSE)</f>
        <v>YOUNG</v>
      </c>
      <c r="M93" s="6">
        <f t="shared" si="27"/>
        <v>2.6296296295186039E-2</v>
      </c>
      <c r="N93" s="7">
        <f t="shared" si="28"/>
        <v>37.866666665067896</v>
      </c>
      <c r="O93" s="7"/>
      <c r="P93" s="7"/>
      <c r="Q93" s="24"/>
      <c r="R93" s="24"/>
      <c r="S93" s="36">
        <f t="shared" si="29"/>
        <v>1</v>
      </c>
      <c r="T93" s="51" t="str">
        <f t="shared" si="30"/>
        <v>NorthBound</v>
      </c>
      <c r="U93" s="17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12:39:22-0600',mode:absolute,to:'2016-09-07 15:24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93" s="177" t="str">
        <f t="shared" si="31"/>
        <v>N</v>
      </c>
      <c r="X93" s="177">
        <f t="shared" si="24"/>
        <v>1</v>
      </c>
      <c r="Y93" s="177">
        <f t="shared" si="32"/>
        <v>4.7500000000000001E-2</v>
      </c>
      <c r="Z93" s="67">
        <f t="shared" si="25"/>
        <v>23.332000000000001</v>
      </c>
      <c r="AA93" s="67">
        <f t="shared" si="33"/>
        <v>23.284500000000001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34"/>
        <v>0181-07</v>
      </c>
      <c r="AE93" s="97" t="str">
        <f t="shared" si="35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93" s="94" t="str">
        <f t="shared" si="36"/>
        <v>"C:\Program Files (x86)\AstroGrep\AstroGrep.exe" /spath="%USERPROFILE%\AppData\Local\Temp\OnboardLogs" /stypes="*4009*20160907*" /stext=" 20:.+((SYSTEM_STATE.+slice.+state.+changed )|(ment ac)|(system.+state.+changed )|(\|lc)|(penalty)|(\[timeout)|(PRM\|1\|D)|(kpr)|(kdp))" /e /r /s</v>
      </c>
      <c r="AG93" s="1" t="str">
        <f t="shared" si="37"/>
        <v>EC</v>
      </c>
      <c r="AH93" s="98" t="str">
        <f t="shared" si="38"/>
        <v>"%USERPROFILE%\Documents\GitHub\eaglep3\Utilities\RefineRTDCRunTimes.py" --tripid 181-07 --locoid 4009 --swversion DE.1.0.7.0 --startMP 204:475 --initTime 2016-09-07T13:39:22 --startdatetime 2016-09-07T13:46:12 --delay 2 --endMP 204:233320 --enddatetime 2016-09-07T14:24:04 --enforcementcount 0 &gt;&gt;C:\Users\stu\Documents\GitHub\eaglep3-reporting\EC\2016-09-07-refined-times.txt</v>
      </c>
      <c r="AI93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{"issue":{"subject":"","project_id":79,"tracker_id":40,"status_id":1,"priority_id":2,"assigned_to_id":23,"start_date":"2016-09-07","description":"","custom_fields":[{"id":1,"name":"Subdivision","value":"EC"},{"id":4,"name":"Milepost","value":"23.2845"},{"id":17,"name":"Train ID","value":"181-07"},{"id":16,"name":"Locomotive ID","value":"4009"},{"id":130,"name":"Impact","value":""},{"id":150,"name":"Time of Event (Mountain Time)","value":"14:24:04"},{"id":151,"name":"Denver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</row>
    <row r="94" spans="1:38" x14ac:dyDescent="0.25">
      <c r="A94" s="38" t="s">
        <v>469</v>
      </c>
      <c r="B94" s="7">
        <v>4010</v>
      </c>
      <c r="C94" s="23" t="s">
        <v>111</v>
      </c>
      <c r="D94" s="23" t="s">
        <v>227</v>
      </c>
      <c r="E94" s="15">
        <v>42620.607048611113</v>
      </c>
      <c r="F94" s="15">
        <v>42620.612141203703</v>
      </c>
      <c r="G94" s="7">
        <v>1</v>
      </c>
      <c r="H94" s="15" t="s">
        <v>308</v>
      </c>
      <c r="I94" s="15">
        <v>42620.640902777777</v>
      </c>
      <c r="J94" s="7">
        <v>0</v>
      </c>
      <c r="K94" s="115" t="str">
        <f t="shared" si="26"/>
        <v>4009/4010</v>
      </c>
      <c r="L94" s="23" t="str">
        <f>VLOOKUP(A94,'Trips&amp;Operators'!$C$1:$E$10000,3,FALSE)</f>
        <v>YOUNG</v>
      </c>
      <c r="M94" s="6">
        <f t="shared" si="27"/>
        <v>2.8761574074451346E-2</v>
      </c>
      <c r="N94" s="7">
        <f t="shared" si="28"/>
        <v>41.416666667209938</v>
      </c>
      <c r="O94" s="7"/>
      <c r="P94" s="7"/>
      <c r="Q94" s="24"/>
      <c r="R94" s="24"/>
      <c r="S94" s="36">
        <f t="shared" si="29"/>
        <v>1</v>
      </c>
      <c r="T94" s="51" t="str">
        <f t="shared" si="30"/>
        <v>Southbound</v>
      </c>
      <c r="U94" s="17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13:34:09-0600',mode:absolute,to:'2016-09-07 16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94" s="177" t="str">
        <f t="shared" si="31"/>
        <v>N</v>
      </c>
      <c r="X94" s="177">
        <f t="shared" si="24"/>
        <v>1</v>
      </c>
      <c r="Y94" s="177">
        <f t="shared" si="32"/>
        <v>23.299800000000001</v>
      </c>
      <c r="Z94" s="67">
        <f t="shared" si="25"/>
        <v>1.7399999999999999E-2</v>
      </c>
      <c r="AA94" s="67">
        <f t="shared" si="33"/>
        <v>23.282400000000003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34"/>
        <v>0182-07</v>
      </c>
      <c r="AE94" s="97" t="str">
        <f t="shared" si="35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94" s="94" t="str">
        <f t="shared" si="36"/>
        <v>"C:\Program Files (x86)\AstroGrep\AstroGrep.exe" /spath="%USERPROFILE%\AppData\Local\Temp\OnboardLogs" /stypes="*4010*20160907*" /stext=" 21:.+((SYSTEM_STATE.+slice.+state.+changed )|(ment ac)|(system.+state.+changed )|(\|lc)|(penalty)|(\[timeout)|(PRM\|1\|D)|(kpr)|(kdp))" /e /r /s</v>
      </c>
      <c r="AG94" s="1" t="str">
        <f t="shared" si="37"/>
        <v>EC</v>
      </c>
      <c r="AH94" s="98" t="str">
        <f t="shared" si="38"/>
        <v>"%USERPROFILE%\Documents\GitHub\eaglep3\Utilities\RefineRTDCRunTimes.py" --tripid 182-07 --locoid 4010 --swversion DE.1.0.7.0 --startMP 204:232998 --initTime 2016-09-07T14:34:09 --startdatetime 2016-09-07T14:41:29 --delay 1 --endMP 204:174 --enddatetime 2016-09-07T15:22:54 --enforcementcount 0 &gt;&gt;C:\Users\stu\Documents\GitHub\eaglep3-reporting\EC\2016-09-07-refined-times.txt</v>
      </c>
      <c r="AI94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{"issue":{"subject":"","project_id":79,"tracker_id":40,"status_id":1,"priority_id":2,"assigned_to_id":23,"start_date":"2016-09-07","description":"","custom_fields":[{"id":1,"name":"Subdivision","value":"EC"},{"id":4,"name":"Milepost","value":"23.2824"},{"id":17,"name":"Train ID","value":"182-07"},{"id":16,"name":"Locomotive ID","value":"4010"},{"id":130,"name":"Impact","value":""},{"id":150,"name":"Time of Event (Mountain Time)","value":"15:22:54"},{"id":151,"name":"Denver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</row>
    <row r="95" spans="1:38" x14ac:dyDescent="0.25">
      <c r="A95" s="38" t="s">
        <v>463</v>
      </c>
      <c r="B95" s="7">
        <v>4014</v>
      </c>
      <c r="C95" s="23" t="s">
        <v>111</v>
      </c>
      <c r="D95" s="23" t="s">
        <v>301</v>
      </c>
      <c r="E95" s="15">
        <v>42620.579328703701</v>
      </c>
      <c r="F95" s="15">
        <v>42620.583634259259</v>
      </c>
      <c r="G95" s="7">
        <v>1</v>
      </c>
      <c r="H95" s="15" t="s">
        <v>595</v>
      </c>
      <c r="I95" s="15">
        <v>42620.609791666669</v>
      </c>
      <c r="J95" s="7">
        <v>0</v>
      </c>
      <c r="K95" s="115" t="str">
        <f t="shared" si="26"/>
        <v>4013/4014</v>
      </c>
      <c r="L95" s="23" t="str">
        <f>VLOOKUP(A95,'Trips&amp;Operators'!$C$1:$E$10000,3,FALSE)</f>
        <v>MAHAN</v>
      </c>
      <c r="M95" s="6">
        <f t="shared" si="27"/>
        <v>2.6157407410209998E-2</v>
      </c>
      <c r="N95" s="7">
        <f t="shared" si="28"/>
        <v>37.666666670702398</v>
      </c>
      <c r="O95" s="7"/>
      <c r="P95" s="7"/>
      <c r="Q95" s="24"/>
      <c r="R95" s="24"/>
      <c r="S95" s="36">
        <f t="shared" si="29"/>
        <v>1</v>
      </c>
      <c r="T95" s="51" t="str">
        <f t="shared" si="30"/>
        <v>NorthBound</v>
      </c>
      <c r="U95" s="17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12:54:14-0600',mode:absolute,to:'2016-09-07 15:38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95" s="177" t="str">
        <f t="shared" si="31"/>
        <v>N</v>
      </c>
      <c r="X95" s="177">
        <f t="shared" si="24"/>
        <v>1</v>
      </c>
      <c r="Y95" s="177">
        <f t="shared" si="32"/>
        <v>4.3299999999999998E-2</v>
      </c>
      <c r="Z95" s="67">
        <f t="shared" si="25"/>
        <v>23.332699999999999</v>
      </c>
      <c r="AA95" s="67">
        <f t="shared" si="33"/>
        <v>23.289400000000001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34"/>
        <v>0183-07</v>
      </c>
      <c r="AE95" s="97" t="str">
        <f t="shared" si="35"/>
        <v>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 &amp; 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</v>
      </c>
      <c r="AF95" s="94" t="str">
        <f t="shared" si="36"/>
        <v>"C:\Program Files (x86)\AstroGrep\AstroGrep.exe" /spath="%USERPROFILE%\AppData\Local\Temp\OnboardLogs" /stypes="*4014*20160907*" /stext=" 20:.+((SYSTEM_STATE.+slice.+state.+changed )|(ment ac)|(system.+state.+changed )|(\|lc)|(penalty)|(\[timeout)|(PRM\|1\|D)|(kpr)|(kdp))" /e /r /s</v>
      </c>
      <c r="AG95" s="1" t="str">
        <f t="shared" si="37"/>
        <v>EC</v>
      </c>
      <c r="AH95" s="98" t="str">
        <f t="shared" si="38"/>
        <v>"%USERPROFILE%\Documents\GitHub\eaglep3\Utilities\RefineRTDCRunTimes.py" --tripid 183-07 --locoid 4014 --swversion DE.1.0.7.0 --startMP 204:433 --initTime 2016-09-07T13:54:14 --startdatetime 2016-09-07T14:00:26 --delay 1 --endMP 204:233327 --enddatetime 2016-09-07T14:38:06 --enforcementcount 0 &gt;&gt;C:\Users\stu\Documents\GitHub\eaglep3-reporting\EC\2016-09-07-refined-times.txt</v>
      </c>
      <c r="AI95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{"issue":{"subject":"","project_id":79,"tracker_id":40,"status_id":1,"priority_id":2,"assigned_to_id":23,"start_date":"2016-09-07","description":"","custom_fields":[{"id":1,"name":"Subdivision","value":"EC"},{"id":4,"name":"Milepost","value":"23.2894"},{"id":17,"name":"Train ID","value":"183-07"},{"id":16,"name":"Locomotive ID","value":"4014"},{"id":130,"name":"Impact","value":""},{"id":150,"name":"Time of Event (Mountain Time)","value":"14:38:06"},{"id":151,"name":"Denver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</row>
    <row r="96" spans="1:38" s="22" customFormat="1" x14ac:dyDescent="0.25">
      <c r="A96" s="38" t="s">
        <v>472</v>
      </c>
      <c r="B96" s="7">
        <v>4013</v>
      </c>
      <c r="C96" s="23" t="s">
        <v>111</v>
      </c>
      <c r="D96" s="23" t="s">
        <v>227</v>
      </c>
      <c r="E96" s="15">
        <v>42620.618009259262</v>
      </c>
      <c r="F96" s="15">
        <v>42620.622581018521</v>
      </c>
      <c r="G96" s="7">
        <v>1</v>
      </c>
      <c r="H96" s="15" t="s">
        <v>89</v>
      </c>
      <c r="I96" s="15">
        <v>42620.650277777779</v>
      </c>
      <c r="J96" s="7">
        <v>0</v>
      </c>
      <c r="K96" s="115" t="str">
        <f t="shared" si="26"/>
        <v>4013/4014</v>
      </c>
      <c r="L96" s="23" t="str">
        <f>VLOOKUP(A96,'Trips&amp;Operators'!$C$1:$E$10000,3,FALSE)</f>
        <v>MAHAN</v>
      </c>
      <c r="M96" s="6">
        <f t="shared" si="27"/>
        <v>2.7696759258105885E-2</v>
      </c>
      <c r="N96" s="7">
        <f t="shared" si="28"/>
        <v>39.883333331672475</v>
      </c>
      <c r="O96" s="7"/>
      <c r="P96" s="7"/>
      <c r="Q96" s="24"/>
      <c r="R96" s="24"/>
      <c r="S96" s="36">
        <f t="shared" si="29"/>
        <v>1</v>
      </c>
      <c r="T96" s="51" t="str">
        <f t="shared" si="30"/>
        <v>Southbound</v>
      </c>
      <c r="U96" s="17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13:49:56-0600',mode:absolute,to:'2016-09-07 16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96" s="177" t="str">
        <f t="shared" si="31"/>
        <v>N</v>
      </c>
      <c r="X96" s="177">
        <f t="shared" si="24"/>
        <v>1</v>
      </c>
      <c r="Y96" s="177">
        <f t="shared" si="32"/>
        <v>23.299800000000001</v>
      </c>
      <c r="Z96" s="67">
        <f t="shared" si="25"/>
        <v>1.43E-2</v>
      </c>
      <c r="AA96" s="67">
        <f t="shared" si="33"/>
        <v>23.285500000000003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34"/>
        <v>0184-07</v>
      </c>
      <c r="AE96" s="97" t="str">
        <f t="shared" si="35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96" s="94" t="str">
        <f t="shared" si="36"/>
        <v>"C:\Program Files (x86)\AstroGrep\AstroGrep.exe" /spath="%USERPROFILE%\AppData\Local\Temp\OnboardLogs" /stypes="*4013*20160907*" /stext=" 21:.+((SYSTEM_STATE.+slice.+state.+changed )|(ment ac)|(system.+state.+changed )|(\|lc)|(penalty)|(\[timeout)|(PRM\|1\|D)|(kpr)|(kdp))" /e /r /s</v>
      </c>
      <c r="AG96" s="1" t="str">
        <f t="shared" si="37"/>
        <v>EC</v>
      </c>
      <c r="AH96" s="98" t="str">
        <f t="shared" si="38"/>
        <v>"%USERPROFILE%\Documents\GitHub\eaglep3\Utilities\RefineRTDCRunTimes.py" --tripid 184-07 --locoid 4013 --swversion DE.1.0.7.0 --startMP 204:232998 --initTime 2016-09-07T14:49:56 --startdatetime 2016-09-07T14:56:31 --delay 1 --endMP 204:143 --enddatetime 2016-09-07T15:36:24 --enforcementcount 0 &gt;&gt;C:\Users\stu\Documents\GitHub\eaglep3-reporting\EC\2016-09-07-refined-times.txt</v>
      </c>
      <c r="AI96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{"issue":{"subject":"","project_id":79,"tracker_id":40,"status_id":1,"priority_id":2,"assigned_to_id":23,"start_date":"2016-09-07","description":"","custom_fields":[{"id":1,"name":"Subdivision","value":"EC"},{"id":4,"name":"Milepost","value":"23.2855"},{"id":17,"name":"Train ID","value":"184-07"},{"id":16,"name":"Locomotive ID","value":"4013"},{"id":130,"name":"Impact","value":""},{"id":150,"name":"Time of Event (Mountain Time)","value":"15:36:24"},{"id":151,"name":"Denver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</row>
    <row r="97" spans="1:38" s="22" customFormat="1" x14ac:dyDescent="0.25">
      <c r="A97" s="38" t="s">
        <v>465</v>
      </c>
      <c r="B97" s="7">
        <v>4025</v>
      </c>
      <c r="C97" s="23" t="s">
        <v>111</v>
      </c>
      <c r="D97" s="23" t="s">
        <v>156</v>
      </c>
      <c r="E97" s="15">
        <v>42620.589201388888</v>
      </c>
      <c r="F97" s="15">
        <v>42620.594097222223</v>
      </c>
      <c r="G97" s="7">
        <v>2</v>
      </c>
      <c r="H97" s="15" t="s">
        <v>255</v>
      </c>
      <c r="I97" s="15">
        <v>42620.618541666663</v>
      </c>
      <c r="J97" s="7">
        <v>0</v>
      </c>
      <c r="K97" s="115" t="str">
        <f t="shared" si="26"/>
        <v>4025/4026</v>
      </c>
      <c r="L97" s="23" t="str">
        <f>VLOOKUP(A97,'Trips&amp;Operators'!$C$1:$E$10000,3,FALSE)</f>
        <v>DE LA ROSA</v>
      </c>
      <c r="M97" s="6">
        <f t="shared" si="27"/>
        <v>2.4444444439723156E-2</v>
      </c>
      <c r="N97" s="7">
        <f t="shared" si="28"/>
        <v>35.199999993201345</v>
      </c>
      <c r="O97" s="7"/>
      <c r="P97" s="7"/>
      <c r="Q97" s="24"/>
      <c r="R97" s="24"/>
      <c r="S97" s="36">
        <f t="shared" si="29"/>
        <v>1</v>
      </c>
      <c r="T97" s="51" t="str">
        <f t="shared" si="30"/>
        <v>NorthBound</v>
      </c>
      <c r="U97" s="17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13:08:27-0600',mode:absolute,to:'2016-09-07 15:50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97" s="177" t="str">
        <f t="shared" si="31"/>
        <v>N</v>
      </c>
      <c r="X97" s="177">
        <f t="shared" si="24"/>
        <v>1</v>
      </c>
      <c r="Y97" s="177">
        <f t="shared" si="32"/>
        <v>4.5999999999999999E-2</v>
      </c>
      <c r="Z97" s="67">
        <f t="shared" si="25"/>
        <v>23.328900000000001</v>
      </c>
      <c r="AA97" s="67">
        <f t="shared" si="33"/>
        <v>23.282900000000001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34"/>
        <v>0185-07</v>
      </c>
      <c r="AE97" s="97" t="str">
        <f t="shared" si="35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97" s="94" t="str">
        <f t="shared" si="36"/>
        <v>"C:\Program Files (x86)\AstroGrep\AstroGrep.exe" /spath="%USERPROFILE%\AppData\Local\Temp\OnboardLogs" /stypes="*4025*20160907*" /stext=" 20:.+((SYSTEM_STATE.+slice.+state.+changed )|(ment ac)|(system.+state.+changed )|(\|lc)|(penalty)|(\[timeout)|(PRM\|1\|D)|(kpr)|(kdp))" /e /r /s</v>
      </c>
      <c r="AG97" s="1" t="str">
        <f t="shared" si="37"/>
        <v>EC</v>
      </c>
      <c r="AH97" s="98" t="str">
        <f t="shared" si="38"/>
        <v>"%USERPROFILE%\Documents\GitHub\eaglep3\Utilities\RefineRTDCRunTimes.py" --tripid 185-07 --locoid 4025 --swversion DE.1.0.7.0 --startMP 204:460 --initTime 2016-09-07T14:08:27 --startdatetime 2016-09-07T14:15:30 --delay 2 --endMP 204:233289 --enddatetime 2016-09-07T14:50:42 --enforcementcount 0 &gt;&gt;C:\Users\stu\Documents\GitHub\eaglep3-reporting\EC\2016-09-07-refined-times.txt</v>
      </c>
      <c r="AI97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{"issue":{"subject":"","project_id":79,"tracker_id":40,"status_id":1,"priority_id":2,"assigned_to_id":23,"start_date":"2016-09-07","description":"","custom_fields":[{"id":1,"name":"Subdivision","value":"EC"},{"id":4,"name":"Milepost","value":"23.2829"},{"id":17,"name":"Train ID","value":"185-07"},{"id":16,"name":"Locomotive ID","value":"4025"},{"id":130,"name":"Impact","value":""},{"id":150,"name":"Time of Event (Mountain Time)","value":"14:50:42"},{"id":151,"name":"Denver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</row>
    <row r="98" spans="1:38" x14ac:dyDescent="0.25">
      <c r="A98" s="38" t="s">
        <v>474</v>
      </c>
      <c r="B98" s="7">
        <v>4026</v>
      </c>
      <c r="C98" s="23" t="s">
        <v>111</v>
      </c>
      <c r="D98" s="23" t="s">
        <v>194</v>
      </c>
      <c r="E98" s="15">
        <v>42620.629479166666</v>
      </c>
      <c r="F98" s="15">
        <v>42620.632881944446</v>
      </c>
      <c r="G98" s="7">
        <v>1</v>
      </c>
      <c r="H98" s="15" t="s">
        <v>134</v>
      </c>
      <c r="I98" s="15">
        <v>42620.658865740741</v>
      </c>
      <c r="J98" s="7">
        <v>0</v>
      </c>
      <c r="K98" s="115" t="str">
        <f t="shared" si="26"/>
        <v>4025/4026</v>
      </c>
      <c r="L98" s="23" t="str">
        <f>VLOOKUP(A98,'Trips&amp;Operators'!$C$1:$E$10000,3,FALSE)</f>
        <v>DE LA ROSA</v>
      </c>
      <c r="M98" s="6">
        <f t="shared" si="27"/>
        <v>2.5983796294895001E-2</v>
      </c>
      <c r="N98" s="7">
        <f t="shared" si="28"/>
        <v>37.416666664648801</v>
      </c>
      <c r="O98" s="7"/>
      <c r="P98" s="7"/>
      <c r="Q98" s="24"/>
      <c r="R98" s="24"/>
      <c r="S98" s="36">
        <f t="shared" si="29"/>
        <v>1</v>
      </c>
      <c r="T98" s="51" t="str">
        <f t="shared" si="30"/>
        <v>Southbound</v>
      </c>
      <c r="U98" s="17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14:06:27-0600',mode:absolute,to:'2016-09-07 16:48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98" s="177" t="str">
        <f t="shared" si="31"/>
        <v>N</v>
      </c>
      <c r="X98" s="177">
        <f t="shared" si="24"/>
        <v>1</v>
      </c>
      <c r="Y98" s="177">
        <f t="shared" si="32"/>
        <v>23.297699999999999</v>
      </c>
      <c r="Z98" s="67">
        <f t="shared" si="25"/>
        <v>1.49E-2</v>
      </c>
      <c r="AA98" s="67">
        <f t="shared" si="33"/>
        <v>23.282799999999998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34"/>
        <v>0186-07</v>
      </c>
      <c r="AE98" s="97" t="str">
        <f t="shared" si="35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98" s="94" t="str">
        <f t="shared" si="36"/>
        <v>"C:\Program Files (x86)\AstroGrep\AstroGrep.exe" /spath="%USERPROFILE%\AppData\Local\Temp\OnboardLogs" /stypes="*4026*20160907*" /stext=" 21:.+((SYSTEM_STATE.+slice.+state.+changed )|(ment ac)|(system.+state.+changed )|(\|lc)|(penalty)|(\[timeout)|(PRM\|1\|D)|(kpr)|(kdp))" /e /r /s</v>
      </c>
      <c r="AG98" s="1" t="str">
        <f t="shared" si="37"/>
        <v>EC</v>
      </c>
      <c r="AH98" s="98" t="str">
        <f t="shared" si="38"/>
        <v>"%USERPROFILE%\Documents\GitHub\eaglep3\Utilities\RefineRTDCRunTimes.py" --tripid 186-07 --locoid 4026 --swversion DE.1.0.7.0 --startMP 204:232977 --initTime 2016-09-07T15:06:27 --startdatetime 2016-09-07T15:11:21 --delay 1 --endMP 204:149 --enddatetime 2016-09-07T15:48:46 --enforcementcount 0 &gt;&gt;C:\Users\stu\Documents\GitHub\eaglep3-reporting\EC\2016-09-07-refined-times.txt</v>
      </c>
      <c r="AI98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{"issue":{"subject":"","project_id":79,"tracker_id":40,"status_id":1,"priority_id":2,"assigned_to_id":23,"start_date":"2016-09-07","description":"","custom_fields":[{"id":1,"name":"Subdivision","value":"EC"},{"id":4,"name":"Milepost","value":"23.2828"},{"id":17,"name":"Train ID","value":"186-07"},{"id":16,"name":"Locomotive ID","value":"4026"},{"id":130,"name":"Impact","value":""},{"id":150,"name":"Time of Event (Mountain Time)","value":"15:48:46"},{"id":151,"name":"Denver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38" s="22" customFormat="1" x14ac:dyDescent="0.25">
      <c r="A99" s="38" t="s">
        <v>468</v>
      </c>
      <c r="B99" s="7">
        <v>4031</v>
      </c>
      <c r="C99" s="23" t="s">
        <v>111</v>
      </c>
      <c r="D99" s="23" t="s">
        <v>156</v>
      </c>
      <c r="E99" s="15">
        <v>42620.599583333336</v>
      </c>
      <c r="F99" s="15">
        <v>42620.604456018518</v>
      </c>
      <c r="G99" s="7">
        <v>1</v>
      </c>
      <c r="H99" s="15" t="s">
        <v>253</v>
      </c>
      <c r="I99" s="15">
        <v>42620.629930555559</v>
      </c>
      <c r="J99" s="7">
        <v>0</v>
      </c>
      <c r="K99" s="115" t="str">
        <f t="shared" si="26"/>
        <v>4031/4032</v>
      </c>
      <c r="L99" s="23" t="str">
        <f>VLOOKUP(A99,'Trips&amp;Operators'!$C$1:$E$10000,3,FALSE)</f>
        <v>CRAYTON</v>
      </c>
      <c r="M99" s="6">
        <f t="shared" si="27"/>
        <v>2.5474537040281575E-2</v>
      </c>
      <c r="N99" s="7">
        <f t="shared" si="28"/>
        <v>36.683333338005468</v>
      </c>
      <c r="O99" s="7"/>
      <c r="P99" s="7"/>
      <c r="Q99" s="24"/>
      <c r="R99" s="24"/>
      <c r="S99" s="36">
        <f t="shared" si="29"/>
        <v>1</v>
      </c>
      <c r="T99" s="51" t="str">
        <f t="shared" si="30"/>
        <v>NorthBound</v>
      </c>
      <c r="U99" s="17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13:23:24-0600',mode:absolute,to:'2016-09-07 16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99" s="177" t="str">
        <f t="shared" si="31"/>
        <v>N</v>
      </c>
      <c r="X99" s="177">
        <f t="shared" si="24"/>
        <v>1</v>
      </c>
      <c r="Y99" s="177">
        <f t="shared" si="32"/>
        <v>4.5999999999999999E-2</v>
      </c>
      <c r="Z99" s="67">
        <f t="shared" si="25"/>
        <v>23.3306</v>
      </c>
      <c r="AA99" s="67">
        <f t="shared" si="33"/>
        <v>23.284600000000001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34"/>
        <v>0187-07</v>
      </c>
      <c r="AE99" s="97" t="str">
        <f t="shared" si="35"/>
        <v>aws s3 cp s3://rtdc.mdm.uploadarchive/RTDC4031/2016-09-07/ "%USERPROFILE%\AppData\Local\Temp\OnboardLogs"\RTDC4031\2016-09-07 --recursive &amp; "%USERPROFILE%\Documents\GitHub\mrs-test-scripts\Headless Mode &amp; Sideloading\WalkAndUnGZ.bat" "%USERPROFILE%\AppData\Local\Temp\OnboardLogs"\RTDC4031\2016-09-07 &amp; 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</v>
      </c>
      <c r="AF99" s="94" t="str">
        <f t="shared" si="36"/>
        <v>"C:\Program Files (x86)\AstroGrep\AstroGrep.exe" /spath="%USERPROFILE%\AppData\Local\Temp\OnboardLogs" /stypes="*4031*20160907*" /stext=" 21:.+((SYSTEM_STATE.+slice.+state.+changed )|(ment ac)|(system.+state.+changed )|(\|lc)|(penalty)|(\[timeout)|(PRM\|1\|D)|(kpr)|(kdp))" /e /r /s</v>
      </c>
      <c r="AG99" s="1" t="str">
        <f t="shared" si="37"/>
        <v>EC</v>
      </c>
      <c r="AH99" s="98" t="str">
        <f t="shared" si="38"/>
        <v>"%USERPROFILE%\Documents\GitHub\eaglep3\Utilities\RefineRTDCRunTimes.py" --tripid 187-07 --locoid 4031 --swversion DE.1.0.7.0 --startMP 204:460 --initTime 2016-09-07T14:23:24 --startdatetime 2016-09-07T14:30:25 --delay 1 --endMP 204:233306 --enddatetime 2016-09-07T15:07:06 --enforcementcount 0 &gt;&gt;C:\Users\stu\Documents\GitHub\eaglep3-reporting\EC\2016-09-07-refined-times.txt</v>
      </c>
      <c r="AI99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{"issue":{"subject":"","project_id":79,"tracker_id":40,"status_id":1,"priority_id":2,"assigned_to_id":23,"start_date":"2016-09-07","description":"","custom_fields":[{"id":1,"name":"Subdivision","value":"EC"},{"id":4,"name":"Milepost","value":"23.2846"},{"id":17,"name":"Train ID","value":"187-07"},{"id":16,"name":"Locomotive ID","value":"4031"},{"id":130,"name":"Impact","value":""},{"id":150,"name":"Time of Event (Mountain Time)","value":"15:07:06"},{"id":151,"name":"Denver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38" x14ac:dyDescent="0.25">
      <c r="A100" s="38" t="s">
        <v>477</v>
      </c>
      <c r="B100" s="7">
        <v>4032</v>
      </c>
      <c r="C100" s="23" t="s">
        <v>111</v>
      </c>
      <c r="D100" s="23" t="s">
        <v>230</v>
      </c>
      <c r="E100" s="15">
        <v>42620.636145833334</v>
      </c>
      <c r="F100" s="15">
        <v>42620.643171296295</v>
      </c>
      <c r="G100" s="7">
        <v>1</v>
      </c>
      <c r="H100" s="15" t="s">
        <v>215</v>
      </c>
      <c r="I100" s="15">
        <v>42620.670104166667</v>
      </c>
      <c r="J100" s="7">
        <v>0</v>
      </c>
      <c r="K100" s="115" t="str">
        <f t="shared" si="26"/>
        <v>4031/4032</v>
      </c>
      <c r="L100" s="23" t="str">
        <f>VLOOKUP(A100,'Trips&amp;Operators'!$C$1:$E$10000,3,FALSE)</f>
        <v>CRAYTON</v>
      </c>
      <c r="M100" s="6">
        <f t="shared" si="27"/>
        <v>2.6932870372547768E-2</v>
      </c>
      <c r="N100" s="7">
        <f t="shared" si="28"/>
        <v>38.783333336468786</v>
      </c>
      <c r="O100" s="7"/>
      <c r="P100" s="7"/>
      <c r="Q100" s="24"/>
      <c r="R100" s="24"/>
      <c r="S100" s="36">
        <f t="shared" si="29"/>
        <v>1</v>
      </c>
      <c r="T100" s="51" t="str">
        <f t="shared" si="30"/>
        <v>Southbound</v>
      </c>
      <c r="U100" s="17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14:16:03-0600',mode:absolute,to:'2016-09-07 17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00" s="177" t="str">
        <f t="shared" si="31"/>
        <v>N</v>
      </c>
      <c r="X100" s="177">
        <f t="shared" si="24"/>
        <v>1</v>
      </c>
      <c r="Y100" s="177">
        <f t="shared" si="32"/>
        <v>23.3</v>
      </c>
      <c r="Z100" s="67">
        <f t="shared" si="25"/>
        <v>1.38E-2</v>
      </c>
      <c r="AA100" s="67">
        <f t="shared" si="33"/>
        <v>23.286200000000001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34"/>
        <v>0188-07</v>
      </c>
      <c r="AE100" s="97" t="str">
        <f t="shared" si="35"/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AF100" s="94" t="str">
        <f t="shared" si="36"/>
        <v>"C:\Program Files (x86)\AstroGrep\AstroGrep.exe" /spath="%USERPROFILE%\AppData\Local\Temp\OnboardLogs" /stypes="*4032*20160907*" /stext=" 22:.+((SYSTEM_STATE.+slice.+state.+changed )|(ment ac)|(system.+state.+changed )|(\|lc)|(penalty)|(\[timeout)|(PRM\|1\|D)|(kpr)|(kdp))" /e /r /s</v>
      </c>
      <c r="AG100" s="1" t="str">
        <f t="shared" si="37"/>
        <v>EC</v>
      </c>
      <c r="AH100" s="98" t="str">
        <f t="shared" si="38"/>
        <v>"%USERPROFILE%\Documents\GitHub\eaglep3\Utilities\RefineRTDCRunTimes.py" --tripid 188-07 --locoid 4032 --swversion DE.1.0.7.0 --startMP 204:233000 --initTime 2016-09-07T15:16:03 --startdatetime 2016-09-07T15:26:10 --delay 1 --endMP 204:138 --enddatetime 2016-09-07T16:04:57 --enforcementcount 0 &gt;&gt;C:\Users\stu\Documents\GitHub\eaglep3-reporting\EC\2016-09-07-refined-times.txt</v>
      </c>
      <c r="AI100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{"issue":{"subject":"","project_id":79,"tracker_id":40,"status_id":1,"priority_id":2,"assigned_to_id":23,"start_date":"2016-09-07","description":"","custom_fields":[{"id":1,"name":"Subdivision","value":"EC"},{"id":4,"name":"Milepost","value":"23.2862"},{"id":17,"name":"Train ID","value":"188-07"},{"id":16,"name":"Locomotive ID","value":"4032"},{"id":130,"name":"Impact","value":""},{"id":150,"name":"Time of Event (Mountain Time)","value":"16:04:57"},{"id":151,"name":"Denver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38" s="22" customFormat="1" x14ac:dyDescent="0.25">
      <c r="A101" s="38" t="s">
        <v>470</v>
      </c>
      <c r="B101" s="7">
        <v>4020</v>
      </c>
      <c r="C101" s="23" t="s">
        <v>111</v>
      </c>
      <c r="D101" s="23" t="s">
        <v>206</v>
      </c>
      <c r="E101" s="15">
        <v>42620.611840277779</v>
      </c>
      <c r="F101" s="15">
        <v>42620.614884259259</v>
      </c>
      <c r="G101" s="7">
        <v>1</v>
      </c>
      <c r="H101" s="15" t="s">
        <v>209</v>
      </c>
      <c r="I101" s="15">
        <v>42620.639930555553</v>
      </c>
      <c r="J101" s="7">
        <v>0</v>
      </c>
      <c r="K101" s="115" t="str">
        <f t="shared" si="26"/>
        <v>4019/4020</v>
      </c>
      <c r="L101" s="23" t="str">
        <f>VLOOKUP(A101,'Trips&amp;Operators'!$C$1:$E$10000,3,FALSE)</f>
        <v>BARTLETT</v>
      </c>
      <c r="M101" s="6">
        <f t="shared" si="27"/>
        <v>2.5046296294021886E-2</v>
      </c>
      <c r="N101" s="7">
        <f t="shared" si="28"/>
        <v>36.066666663391516</v>
      </c>
      <c r="O101" s="7"/>
      <c r="P101" s="7"/>
      <c r="Q101" s="24"/>
      <c r="R101" s="24"/>
      <c r="S101" s="36">
        <f t="shared" si="29"/>
        <v>1</v>
      </c>
      <c r="T101" s="51" t="str">
        <f t="shared" si="30"/>
        <v>NorthBound</v>
      </c>
      <c r="U101" s="17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13:41:03-0600',mode:absolute,to:'2016-09-07 16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01" s="177" t="str">
        <f t="shared" si="31"/>
        <v>N</v>
      </c>
      <c r="X101" s="177">
        <f t="shared" si="24"/>
        <v>1</v>
      </c>
      <c r="Y101" s="177">
        <f t="shared" si="32"/>
        <v>4.4200000000000003E-2</v>
      </c>
      <c r="Z101" s="67">
        <f t="shared" si="25"/>
        <v>23.331399999999999</v>
      </c>
      <c r="AA101" s="67">
        <f t="shared" si="33"/>
        <v>23.287199999999999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34"/>
        <v>0189-07</v>
      </c>
      <c r="AE101" s="97" t="str">
        <f t="shared" si="35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101" s="94" t="str">
        <f t="shared" si="36"/>
        <v>"C:\Program Files (x86)\AstroGrep\AstroGrep.exe" /spath="%USERPROFILE%\AppData\Local\Temp\OnboardLogs" /stypes="*4020*20160907*" /stext=" 21:.+((SYSTEM_STATE.+slice.+state.+changed )|(ment ac)|(system.+state.+changed )|(\|lc)|(penalty)|(\[timeout)|(PRM\|1\|D)|(kpr)|(kdp))" /e /r /s</v>
      </c>
      <c r="AG101" s="1" t="str">
        <f t="shared" si="37"/>
        <v>EC</v>
      </c>
      <c r="AH101" s="98" t="str">
        <f t="shared" si="38"/>
        <v>"%USERPROFILE%\Documents\GitHub\eaglep3\Utilities\RefineRTDCRunTimes.py" --tripid 189-07 --locoid 4020 --swversion DE.1.0.7.0 --startMP 204:442 --initTime 2016-09-07T14:41:03 --startdatetime 2016-09-07T14:45:26 --delay 1 --endMP 204:233314 --enddatetime 2016-09-07T15:21:30 --enforcementcount 0 &gt;&gt;C:\Users\stu\Documents\GitHub\eaglep3-reporting\EC\2016-09-07-refined-times.txt</v>
      </c>
      <c r="AI101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{"issue":{"subject":"","project_id":79,"tracker_id":40,"status_id":1,"priority_id":2,"assigned_to_id":23,"start_date":"2016-09-07","description":"","custom_fields":[{"id":1,"name":"Subdivision","value":"EC"},{"id":4,"name":"Milepost","value":"23.2872"},{"id":17,"name":"Train ID","value":"189-07"},{"id":16,"name":"Locomotive ID","value":"4020"},{"id":130,"name":"Impact","value":""},{"id":150,"name":"Time of Event (Mountain Time)","value":"15:21:30"},{"id":151,"name":"Denver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38" x14ac:dyDescent="0.25">
      <c r="A102" s="38" t="s">
        <v>480</v>
      </c>
      <c r="B102" s="7">
        <v>4019</v>
      </c>
      <c r="C102" s="23" t="s">
        <v>111</v>
      </c>
      <c r="D102" s="23" t="s">
        <v>304</v>
      </c>
      <c r="E102" s="15">
        <v>42620.643333333333</v>
      </c>
      <c r="F102" s="15">
        <v>42620.65384259259</v>
      </c>
      <c r="G102" s="7">
        <v>0</v>
      </c>
      <c r="H102" s="15" t="s">
        <v>602</v>
      </c>
      <c r="I102" s="15">
        <v>42620.680937500001</v>
      </c>
      <c r="J102" s="7">
        <v>0</v>
      </c>
      <c r="K102" s="115" t="str">
        <f t="shared" si="26"/>
        <v>4019/4020</v>
      </c>
      <c r="L102" s="23" t="str">
        <f>VLOOKUP(A102,'Trips&amp;Operators'!$C$1:$E$10000,3,FALSE)</f>
        <v>BARTLETT</v>
      </c>
      <c r="M102" s="6">
        <f t="shared" si="27"/>
        <v>2.7094907411083113E-2</v>
      </c>
      <c r="N102" s="7">
        <f t="shared" si="28"/>
        <v>39.016666671959683</v>
      </c>
      <c r="O102" s="7"/>
      <c r="P102" s="7"/>
      <c r="Q102" s="24"/>
      <c r="R102" s="24"/>
      <c r="S102" s="36">
        <f t="shared" si="29"/>
        <v>1</v>
      </c>
      <c r="T102" s="51" t="str">
        <f t="shared" si="30"/>
        <v>Southbound</v>
      </c>
      <c r="U102" s="17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14:26:24-0600',mode:absolute,to:'2016-09-07 17:20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02" s="177" t="str">
        <f t="shared" si="31"/>
        <v>N</v>
      </c>
      <c r="X102" s="177">
        <f t="shared" si="24"/>
        <v>1</v>
      </c>
      <c r="Y102" s="177">
        <f t="shared" si="32"/>
        <v>23.299199999999999</v>
      </c>
      <c r="Z102" s="67">
        <f t="shared" si="25"/>
        <v>1.83E-2</v>
      </c>
      <c r="AA102" s="67">
        <f t="shared" si="33"/>
        <v>23.280899999999999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34"/>
        <v>0190-07</v>
      </c>
      <c r="AE102" s="97" t="str">
        <f t="shared" si="35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102" s="94" t="str">
        <f t="shared" si="36"/>
        <v>"C:\Program Files (x86)\AstroGrep\AstroGrep.exe" /spath="%USERPROFILE%\AppData\Local\Temp\OnboardLogs" /stypes="*4019*20160907*" /stext=" 22:.+((SYSTEM_STATE.+slice.+state.+changed )|(ment ac)|(system.+state.+changed )|(\|lc)|(penalty)|(\[timeout)|(PRM\|1\|D)|(kpr)|(kdp))" /e /r /s</v>
      </c>
      <c r="AG102" s="1" t="str">
        <f t="shared" si="37"/>
        <v>EC</v>
      </c>
      <c r="AH102" s="98" t="str">
        <f t="shared" si="38"/>
        <v>"%USERPROFILE%\Documents\GitHub\eaglep3\Utilities\RefineRTDCRunTimes.py" --tripid 190-07 --locoid 4019 --swversion DE.1.0.7.0 --startMP 204:232992 --initTime 2016-09-07T15:26:24 --startdatetime 2016-09-07T15:41:32 --delay 0 --endMP 204:183 --enddatetime 2016-09-07T16:20:33 --enforcementcount 0 &gt;&gt;C:\Users\stu\Documents\GitHub\eaglep3-reporting\EC\2016-09-07-refined-times.txt</v>
      </c>
      <c r="AI102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{"issue":{"subject":"","project_id":79,"tracker_id":40,"status_id":1,"priority_id":2,"assigned_to_id":23,"start_date":"2016-09-07","description":"","custom_fields":[{"id":1,"name":"Subdivision","value":"EC"},{"id":4,"name":"Milepost","value":"23.2809"},{"id":17,"name":"Train ID","value":"190-07"},{"id":16,"name":"Locomotive ID","value":"4019"},{"id":130,"name":"Impact","value":""},{"id":150,"name":"Time of Event (Mountain Time)","value":"16:20:33"},{"id":151,"name":"Denver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</row>
    <row r="103" spans="1:38" s="22" customFormat="1" x14ac:dyDescent="0.25">
      <c r="A103" s="38" t="s">
        <v>473</v>
      </c>
      <c r="B103" s="7">
        <v>4046</v>
      </c>
      <c r="C103" s="23" t="s">
        <v>111</v>
      </c>
      <c r="D103" s="23" t="s">
        <v>204</v>
      </c>
      <c r="E103" s="15">
        <v>42620.622129629628</v>
      </c>
      <c r="F103" s="15">
        <v>42620.625555555554</v>
      </c>
      <c r="G103" s="7">
        <v>1</v>
      </c>
      <c r="H103" s="15" t="s">
        <v>579</v>
      </c>
      <c r="I103" s="15">
        <v>42620.649837962963</v>
      </c>
      <c r="J103" s="7">
        <v>0</v>
      </c>
      <c r="K103" s="115" t="str">
        <f t="shared" si="26"/>
        <v>4045/4046</v>
      </c>
      <c r="L103" s="23" t="str">
        <f>VLOOKUP(A103,'Trips&amp;Operators'!$C$1:$E$10000,3,FALSE)</f>
        <v>HELVIE</v>
      </c>
      <c r="M103" s="6">
        <f t="shared" si="27"/>
        <v>2.4282407408463769E-2</v>
      </c>
      <c r="N103" s="7">
        <f t="shared" si="28"/>
        <v>34.966666668187827</v>
      </c>
      <c r="O103" s="7"/>
      <c r="P103" s="7"/>
      <c r="Q103" s="24"/>
      <c r="R103" s="24"/>
      <c r="S103" s="36">
        <f t="shared" si="29"/>
        <v>1</v>
      </c>
      <c r="T103" s="51" t="str">
        <f t="shared" si="30"/>
        <v>NorthBound</v>
      </c>
      <c r="U103" s="17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13:55:52-0600',mode:absolute,to:'2016-09-07 16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03" s="177" t="str">
        <f t="shared" si="31"/>
        <v>N</v>
      </c>
      <c r="X103" s="177">
        <f t="shared" si="24"/>
        <v>1</v>
      </c>
      <c r="Y103" s="177">
        <f t="shared" si="32"/>
        <v>4.6600000000000003E-2</v>
      </c>
      <c r="Z103" s="67">
        <f t="shared" si="25"/>
        <v>23.3308</v>
      </c>
      <c r="AA103" s="67">
        <f t="shared" si="33"/>
        <v>23.284199999999998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34"/>
        <v>0191-07</v>
      </c>
      <c r="AE103" s="97" t="str">
        <f t="shared" si="35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103" s="94" t="str">
        <f t="shared" si="36"/>
        <v>"C:\Program Files (x86)\AstroGrep\AstroGrep.exe" /spath="%USERPROFILE%\AppData\Local\Temp\OnboardLogs" /stypes="*4046*20160907*" /stext=" 21:.+((SYSTEM_STATE.+slice.+state.+changed )|(ment ac)|(system.+state.+changed )|(\|lc)|(penalty)|(\[timeout)|(PRM\|1\|D)|(kpr)|(kdp))" /e /r /s</v>
      </c>
      <c r="AG103" s="1" t="str">
        <f t="shared" si="37"/>
        <v>EC</v>
      </c>
      <c r="AH103" s="98" t="str">
        <f t="shared" si="38"/>
        <v>"%USERPROFILE%\Documents\GitHub\eaglep3\Utilities\RefineRTDCRunTimes.py" --tripid 191-07 --locoid 4046 --swversion DE.1.0.7.0 --startMP 204:466 --initTime 2016-09-07T14:55:52 --startdatetime 2016-09-07T15:00:48 --delay 1 --endMP 204:233308 --enddatetime 2016-09-07T15:35:46 --enforcementcount 0 &gt;&gt;C:\Users\stu\Documents\GitHub\eaglep3-reporting\EC\2016-09-07-refined-times.txt</v>
      </c>
      <c r="AI103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{"issue":{"subject":"","project_id":79,"tracker_id":40,"status_id":1,"priority_id":2,"assigned_to_id":23,"start_date":"2016-09-07","description":"","custom_fields":[{"id":1,"name":"Subdivision","value":"EC"},{"id":4,"name":"Milepost","value":"23.2842"},{"id":17,"name":"Train ID","value":"191-07"},{"id":16,"name":"Locomotive ID","value":"4046"},{"id":130,"name":"Impact","value":""},{"id":150,"name":"Time of Event (Mountain Time)","value":"15:35:46"},{"id":151,"name":"Denver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</row>
    <row r="104" spans="1:38" s="22" customFormat="1" x14ac:dyDescent="0.25">
      <c r="A104" s="38" t="s">
        <v>485</v>
      </c>
      <c r="B104" s="7">
        <v>4045</v>
      </c>
      <c r="C104" s="23" t="s">
        <v>111</v>
      </c>
      <c r="D104" s="23" t="s">
        <v>603</v>
      </c>
      <c r="E104" s="15">
        <v>42620.661412037036</v>
      </c>
      <c r="F104" s="15">
        <v>42620.664189814815</v>
      </c>
      <c r="G104" s="7">
        <v>1</v>
      </c>
      <c r="H104" s="15" t="s">
        <v>604</v>
      </c>
      <c r="I104" s="15">
        <v>42620.692662037036</v>
      </c>
      <c r="J104" s="7">
        <v>0</v>
      </c>
      <c r="K104" s="115" t="str">
        <f t="shared" si="26"/>
        <v>4045/4046</v>
      </c>
      <c r="L104" s="23" t="str">
        <f>VLOOKUP(A104,'Trips&amp;Operators'!$C$1:$E$10000,3,FALSE)</f>
        <v>HELVIE</v>
      </c>
      <c r="M104" s="6">
        <f t="shared" si="27"/>
        <v>2.8472222220443655E-2</v>
      </c>
      <c r="N104" s="7">
        <f t="shared" si="28"/>
        <v>40.999999997438863</v>
      </c>
      <c r="O104" s="7"/>
      <c r="P104" s="7"/>
      <c r="Q104" s="24"/>
      <c r="R104" s="24"/>
      <c r="S104" s="36">
        <f t="shared" si="29"/>
        <v>1</v>
      </c>
      <c r="T104" s="51" t="str">
        <f t="shared" si="30"/>
        <v>Southbound</v>
      </c>
      <c r="U104" s="17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14:52:26-0600',mode:absolute,to:'2016-09-07 17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04" s="177" t="str">
        <f t="shared" si="31"/>
        <v>N</v>
      </c>
      <c r="X104" s="177">
        <f t="shared" si="24"/>
        <v>1</v>
      </c>
      <c r="Y104" s="177">
        <f t="shared" si="32"/>
        <v>23.2987</v>
      </c>
      <c r="Z104" s="67">
        <f t="shared" si="25"/>
        <v>1.8499999999999999E-2</v>
      </c>
      <c r="AA104" s="67">
        <f t="shared" si="33"/>
        <v>23.280200000000001</v>
      </c>
      <c r="AB104" s="64" t="str">
        <f>VLOOKUP(A104,Enforcements!$C$7:$K$21,8,0)</f>
        <v>Bulletin (2)</v>
      </c>
      <c r="AC104" s="60" t="str">
        <f>VLOOKUP(A104,Enforcements!$C$7:$E$21,3,0)</f>
        <v>GRADE CROSSING</v>
      </c>
      <c r="AD104" s="61" t="str">
        <f t="shared" si="34"/>
        <v>0192-07</v>
      </c>
      <c r="AE104" s="97" t="str">
        <f t="shared" si="35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104" s="94" t="str">
        <f t="shared" si="36"/>
        <v>"C:\Program Files (x86)\AstroGrep\AstroGrep.exe" /spath="%USERPROFILE%\AppData\Local\Temp\OnboardLogs" /stypes="*4045*20160907*" /stext=" 22:.+((SYSTEM_STATE.+slice.+state.+changed )|(ment ac)|(system.+state.+changed )|(\|lc)|(penalty)|(\[timeout)|(PRM\|1\|D)|(kpr)|(kdp))" /e /r /s</v>
      </c>
      <c r="AG104" s="1" t="str">
        <f t="shared" si="37"/>
        <v>EC</v>
      </c>
      <c r="AH104" s="98" t="str">
        <f t="shared" si="38"/>
        <v>"%USERPROFILE%\Documents\GitHub\eaglep3\Utilities\RefineRTDCRunTimes.py" --tripid 192-07 --locoid 4045 --swversion DE.1.0.7.0 --startMP 204:232987 --initTime 2016-09-07T15:52:26 --startdatetime 2016-09-07T15:56:26 --delay 1 --endMP 204:185 --enddatetime 2016-09-07T16:37:26 --enforcementcount 0 &gt;&gt;C:\Users\stu\Documents\GitHub\eaglep3-reporting\EC\2016-09-07-refined-times.txt</v>
      </c>
      <c r="AI104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{"issue":{"subject":"","project_id":79,"tracker_id":40,"status_id":1,"priority_id":2,"assigned_to_id":23,"start_date":"2016-09-07","description":"","custom_fields":[{"id":1,"name":"Subdivision","value":"EC"},{"id":4,"name":"Milepost","value":"23.2802"},{"id":17,"name":"Train ID","value":"192-07"},{"id":16,"name":"Locomotive ID","value":"4045"},{"id":130,"name":"Impact","value":""},{"id":150,"name":"Time of Event (Mountain Time)","value":"16:37:26"},{"id":151,"name":"Denver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</row>
    <row r="105" spans="1:38" s="22" customFormat="1" x14ac:dyDescent="0.25">
      <c r="A105" s="38" t="s">
        <v>475</v>
      </c>
      <c r="B105" s="7">
        <v>4011</v>
      </c>
      <c r="C105" s="23" t="s">
        <v>111</v>
      </c>
      <c r="D105" s="23" t="s">
        <v>195</v>
      </c>
      <c r="E105" s="15">
        <v>42620.631921296299</v>
      </c>
      <c r="F105" s="15">
        <v>42620.635694444441</v>
      </c>
      <c r="G105" s="7">
        <v>1</v>
      </c>
      <c r="H105" s="15" t="s">
        <v>255</v>
      </c>
      <c r="I105" s="15">
        <v>42620.661249999997</v>
      </c>
      <c r="J105" s="7">
        <v>0</v>
      </c>
      <c r="K105" s="115" t="str">
        <f t="shared" si="26"/>
        <v>4011/4012</v>
      </c>
      <c r="L105" s="23" t="str">
        <f>VLOOKUP(A105,'Trips&amp;Operators'!$C$1:$E$10000,3,FALSE)</f>
        <v>ISHMAEL</v>
      </c>
      <c r="M105" s="6">
        <f t="shared" si="27"/>
        <v>2.5555555555911269E-2</v>
      </c>
      <c r="N105" s="7">
        <f t="shared" si="28"/>
        <v>36.800000000512227</v>
      </c>
      <c r="O105" s="7"/>
      <c r="P105" s="7"/>
      <c r="Q105" s="24"/>
      <c r="R105" s="24"/>
      <c r="S105" s="36">
        <f t="shared" si="29"/>
        <v>1</v>
      </c>
      <c r="T105" s="51" t="str">
        <f t="shared" si="30"/>
        <v>NorthBound</v>
      </c>
      <c r="U105" s="17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14:09:58-0600',mode:absolute,to:'2016-09-07 16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05" s="177" t="str">
        <f t="shared" si="31"/>
        <v>N</v>
      </c>
      <c r="X105" s="177">
        <f t="shared" ref="X105:X136" si="41">VALUE(LEFT(AD105,4))-VALUE(LEFT(AD104,4))</f>
        <v>1</v>
      </c>
      <c r="Y105" s="177">
        <f t="shared" si="32"/>
        <v>4.3799999999999999E-2</v>
      </c>
      <c r="Z105" s="67">
        <f t="shared" si="25"/>
        <v>23.328900000000001</v>
      </c>
      <c r="AA105" s="67">
        <f t="shared" si="33"/>
        <v>23.2851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34"/>
        <v>0193-07</v>
      </c>
      <c r="AE105" s="97" t="str">
        <f t="shared" si="35"/>
        <v>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 &amp; 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</v>
      </c>
      <c r="AF105" s="94" t="str">
        <f t="shared" si="36"/>
        <v>"C:\Program Files (x86)\AstroGrep\AstroGrep.exe" /spath="%USERPROFILE%\AppData\Local\Temp\OnboardLogs" /stypes="*4011*20160907*" /stext=" 21:.+((SYSTEM_STATE.+slice.+state.+changed )|(ment ac)|(system.+state.+changed )|(\|lc)|(penalty)|(\[timeout)|(PRM\|1\|D)|(kpr)|(kdp))" /e /r /s</v>
      </c>
      <c r="AG105" s="1" t="str">
        <f t="shared" si="37"/>
        <v>EC</v>
      </c>
      <c r="AH105" s="98" t="str">
        <f t="shared" si="38"/>
        <v>"%USERPROFILE%\Documents\GitHub\eaglep3\Utilities\RefineRTDCRunTimes.py" --tripid 193-07 --locoid 4011 --swversion DE.1.0.7.0 --startMP 204:438 --initTime 2016-09-07T15:09:58 --startdatetime 2016-09-07T15:15:24 --delay 1 --endMP 204:233289 --enddatetime 2016-09-07T15:52:12 --enforcementcount 0 &gt;&gt;C:\Users\stu\Documents\GitHub\eaglep3-reporting\EC\2016-09-07-refined-times.txt</v>
      </c>
      <c r="AI105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{"issue":{"subject":"","project_id":79,"tracker_id":40,"status_id":1,"priority_id":2,"assigned_to_id":23,"start_date":"2016-09-07","description":"","custom_fields":[{"id":1,"name":"Subdivision","value":"EC"},{"id":4,"name":"Milepost","value":"23.2851"},{"id":17,"name":"Train ID","value":"193-07"},{"id":16,"name":"Locomotive ID","value":"4011"},{"id":130,"name":"Impact","value":""},{"id":150,"name":"Time of Event (Mountain Time)","value":"15:52:12"},{"id":151,"name":"Denver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</row>
    <row r="106" spans="1:38" s="22" customFormat="1" x14ac:dyDescent="0.25">
      <c r="A106" s="38" t="s">
        <v>487</v>
      </c>
      <c r="B106" s="7">
        <v>4012</v>
      </c>
      <c r="C106" s="23" t="s">
        <v>111</v>
      </c>
      <c r="D106" s="23" t="s">
        <v>202</v>
      </c>
      <c r="E106" s="15">
        <v>42620.668993055559</v>
      </c>
      <c r="F106" s="15">
        <v>42620.674525462964</v>
      </c>
      <c r="G106" s="7">
        <v>1</v>
      </c>
      <c r="H106" s="15" t="s">
        <v>145</v>
      </c>
      <c r="I106" s="15">
        <v>42620.701377314814</v>
      </c>
      <c r="J106" s="7">
        <v>0</v>
      </c>
      <c r="K106" s="115" t="str">
        <f t="shared" si="26"/>
        <v>4011/4012</v>
      </c>
      <c r="L106" s="23" t="str">
        <f>VLOOKUP(A106,'Trips&amp;Operators'!$C$1:$E$10000,3,FALSE)</f>
        <v>ISHMAEL</v>
      </c>
      <c r="M106" s="6">
        <f t="shared" si="27"/>
        <v>2.6851851849642117E-2</v>
      </c>
      <c r="N106" s="7">
        <f t="shared" si="28"/>
        <v>38.666666663484648</v>
      </c>
      <c r="O106" s="7"/>
      <c r="P106" s="7"/>
      <c r="Q106" s="24"/>
      <c r="R106" s="24"/>
      <c r="S106" s="36">
        <f t="shared" si="29"/>
        <v>1</v>
      </c>
      <c r="T106" s="51" t="str">
        <f t="shared" si="30"/>
        <v>Southbound</v>
      </c>
      <c r="U106" s="17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15:03:21-0600',mode:absolute,to:'2016-09-07 17:49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06" s="177" t="str">
        <f t="shared" si="31"/>
        <v>N</v>
      </c>
      <c r="X106" s="177">
        <f t="shared" si="41"/>
        <v>1</v>
      </c>
      <c r="Y106" s="177">
        <f t="shared" si="32"/>
        <v>23.2971</v>
      </c>
      <c r="Z106" s="67">
        <f t="shared" si="25"/>
        <v>1.54E-2</v>
      </c>
      <c r="AA106" s="67">
        <f t="shared" si="33"/>
        <v>23.281700000000001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34"/>
        <v>0194-07</v>
      </c>
      <c r="AE106" s="97" t="str">
        <f t="shared" si="35"/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AF106" s="94" t="str">
        <f t="shared" si="36"/>
        <v>"C:\Program Files (x86)\AstroGrep\AstroGrep.exe" /spath="%USERPROFILE%\AppData\Local\Temp\OnboardLogs" /stypes="*4012*20160907*" /stext=" 22:.+((SYSTEM_STATE.+slice.+state.+changed )|(ment ac)|(system.+state.+changed )|(\|lc)|(penalty)|(\[timeout)|(PRM\|1\|D)|(kpr)|(kdp))" /e /r /s</v>
      </c>
      <c r="AG106" s="1" t="str">
        <f t="shared" si="37"/>
        <v>EC</v>
      </c>
      <c r="AH106" s="98" t="str">
        <f t="shared" si="38"/>
        <v>"%USERPROFILE%\Documents\GitHub\eaglep3\Utilities\RefineRTDCRunTimes.py" --tripid 194-07 --locoid 4012 --swversion DE.1.0.7.0 --startMP 204:232971 --initTime 2016-09-07T16:03:21 --startdatetime 2016-09-07T16:11:19 --delay 1 --endMP 204:154 --enddatetime 2016-09-07T16:49:59 --enforcementcount 0 &gt;&gt;C:\Users\stu\Documents\GitHub\eaglep3-reporting\EC\2016-09-07-refined-times.txt</v>
      </c>
      <c r="AI106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{"issue":{"subject":"","project_id":79,"tracker_id":40,"status_id":1,"priority_id":2,"assigned_to_id":23,"start_date":"2016-09-07","description":"","custom_fields":[{"id":1,"name":"Subdivision","value":"EC"},{"id":4,"name":"Milepost","value":"23.2817"},{"id":17,"name":"Train ID","value":"194-07"},{"id":16,"name":"Locomotive ID","value":"4012"},{"id":130,"name":"Impact","value":""},{"id":150,"name":"Time of Event (Mountain Time)","value":"16:49:59"},{"id":151,"name":"Denver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38" s="22" customFormat="1" x14ac:dyDescent="0.25">
      <c r="A107" s="38" t="s">
        <v>481</v>
      </c>
      <c r="B107" s="7">
        <v>4009</v>
      </c>
      <c r="C107" s="23" t="s">
        <v>111</v>
      </c>
      <c r="D107" s="23" t="s">
        <v>149</v>
      </c>
      <c r="E107" s="15">
        <v>42620.643460648149</v>
      </c>
      <c r="F107" s="15">
        <v>42620.646354166667</v>
      </c>
      <c r="G107" s="7">
        <v>1</v>
      </c>
      <c r="H107" s="15" t="s">
        <v>219</v>
      </c>
      <c r="I107" s="15">
        <v>42620.672662037039</v>
      </c>
      <c r="J107" s="7">
        <v>0</v>
      </c>
      <c r="K107" s="115" t="str">
        <f t="shared" si="26"/>
        <v>4009/4010</v>
      </c>
      <c r="L107" s="23" t="str">
        <f>VLOOKUP(A107,'Trips&amp;Operators'!$C$1:$E$10000,3,FALSE)</f>
        <v>YOUNG</v>
      </c>
      <c r="M107" s="6">
        <f t="shared" si="27"/>
        <v>2.6307870371965691E-2</v>
      </c>
      <c r="N107" s="7">
        <f t="shared" si="28"/>
        <v>37.883333335630596</v>
      </c>
      <c r="O107" s="7"/>
      <c r="P107" s="7"/>
      <c r="Q107" s="24"/>
      <c r="R107" s="24"/>
      <c r="S107" s="36">
        <f t="shared" si="29"/>
        <v>1</v>
      </c>
      <c r="T107" s="51" t="str">
        <f t="shared" si="30"/>
        <v>NorthBound</v>
      </c>
      <c r="U107" s="17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14:26:35-0600',mode:absolute,to:'2016-09-07 17:08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07" s="177" t="str">
        <f t="shared" si="31"/>
        <v>N</v>
      </c>
      <c r="X107" s="177">
        <f t="shared" si="41"/>
        <v>1</v>
      </c>
      <c r="Y107" s="177">
        <f t="shared" si="32"/>
        <v>4.7100000000000003E-2</v>
      </c>
      <c r="Z107" s="67">
        <f t="shared" ref="Z107:Z138" si="42">RIGHT(H107,LEN(H107)-4)/10000</f>
        <v>23.331700000000001</v>
      </c>
      <c r="AA107" s="67">
        <f t="shared" si="33"/>
        <v>23.284600000000001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34"/>
        <v>0195-07</v>
      </c>
      <c r="AE107" s="97" t="str">
        <f t="shared" si="35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107" s="94" t="str">
        <f t="shared" si="36"/>
        <v>"C:\Program Files (x86)\AstroGrep\AstroGrep.exe" /spath="%USERPROFILE%\AppData\Local\Temp\OnboardLogs" /stypes="*4009*20160907*" /stext=" 22:.+((SYSTEM_STATE.+slice.+state.+changed )|(ment ac)|(system.+state.+changed )|(\|lc)|(penalty)|(\[timeout)|(PRM\|1\|D)|(kpr)|(kdp))" /e /r /s</v>
      </c>
      <c r="AG107" s="1" t="str">
        <f t="shared" si="37"/>
        <v>EC</v>
      </c>
      <c r="AH107" s="98" t="str">
        <f t="shared" si="38"/>
        <v>"%USERPROFILE%\Documents\GitHub\eaglep3\Utilities\RefineRTDCRunTimes.py" --tripid 195-07 --locoid 4009 --swversion DE.1.0.7.0 --startMP 204:471 --initTime 2016-09-07T15:26:35 --startdatetime 2016-09-07T15:30:45 --delay 1 --endMP 204:233317 --enddatetime 2016-09-07T16:08:38 --enforcementcount 0 &gt;&gt;C:\Users\stu\Documents\GitHub\eaglep3-reporting\EC\2016-09-07-refined-times.txt</v>
      </c>
      <c r="AI107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{"issue":{"subject":"","project_id":79,"tracker_id":40,"status_id":1,"priority_id":2,"assigned_to_id":23,"start_date":"2016-09-07","description":"","custom_fields":[{"id":1,"name":"Subdivision","value":"EC"},{"id":4,"name":"Milepost","value":"23.2846"},{"id":17,"name":"Train ID","value":"195-07"},{"id":16,"name":"Locomotive ID","value":"4009"},{"id":130,"name":"Impact","value":""},{"id":150,"name":"Time of Event (Mountain Time)","value":"16:08:38"},{"id":151,"name":"Denver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38" s="22" customFormat="1" x14ac:dyDescent="0.25">
      <c r="A108" s="38" t="s">
        <v>490</v>
      </c>
      <c r="B108" s="7">
        <v>4010</v>
      </c>
      <c r="C108" s="23" t="s">
        <v>111</v>
      </c>
      <c r="D108" s="23" t="s">
        <v>588</v>
      </c>
      <c r="E108" s="15">
        <v>42620.678981481484</v>
      </c>
      <c r="F108" s="15">
        <v>42620.686041666668</v>
      </c>
      <c r="G108" s="7">
        <v>6</v>
      </c>
      <c r="H108" s="15" t="s">
        <v>605</v>
      </c>
      <c r="I108" s="15">
        <v>42620.703564814816</v>
      </c>
      <c r="J108" s="7">
        <v>0</v>
      </c>
      <c r="K108" s="115" t="str">
        <f t="shared" si="26"/>
        <v>4009/4010</v>
      </c>
      <c r="L108" s="23" t="str">
        <f>VLOOKUP(A108,'Trips&amp;Operators'!$C$1:$E$10000,3,FALSE)</f>
        <v>YOUNG</v>
      </c>
      <c r="M108" s="6">
        <f t="shared" si="27"/>
        <v>1.7523148148029577E-2</v>
      </c>
      <c r="N108" s="7"/>
      <c r="O108" s="7"/>
      <c r="P108" s="7">
        <f>24*60*SUM($M108:$M109)</f>
        <v>35.399999998044223</v>
      </c>
      <c r="Q108" s="24"/>
      <c r="R108" s="24" t="s">
        <v>765</v>
      </c>
      <c r="S108" s="36">
        <f>SUM(U108:U109)/IF(AG108="EC",12,1)</f>
        <v>0.5</v>
      </c>
      <c r="T108" s="51" t="str">
        <f t="shared" si="30"/>
        <v>Southbound</v>
      </c>
      <c r="U108" s="17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3</v>
      </c>
      <c r="V108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15:17:44-0600',mode:absolute,to:'2016-09-07 17:53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08" s="177" t="str">
        <f t="shared" si="31"/>
        <v>Y</v>
      </c>
      <c r="X108" s="177">
        <f t="shared" si="41"/>
        <v>1</v>
      </c>
      <c r="Y108" s="177">
        <f t="shared" si="32"/>
        <v>23.298500000000001</v>
      </c>
      <c r="Z108" s="67">
        <f t="shared" si="42"/>
        <v>6.4048999999999996</v>
      </c>
      <c r="AA108" s="67">
        <f t="shared" si="33"/>
        <v>16.893599999999999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34"/>
        <v>0196-07</v>
      </c>
      <c r="AE108" s="97" t="str">
        <f t="shared" si="35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108" s="94" t="str">
        <f t="shared" si="36"/>
        <v>"C:\Program Files (x86)\AstroGrep\AstroGrep.exe" /spath="%USERPROFILE%\AppData\Local\Temp\OnboardLogs" /stypes="*4010*20160907*" /stext=" 22:.+((SYSTEM_STATE.+slice.+state.+changed )|(ment ac)|(system.+state.+changed )|(\|lc)|(penalty)|(\[timeout)|(PRM\|1\|D)|(kpr)|(kdp))" /e /r /s</v>
      </c>
      <c r="AG108" s="1" t="str">
        <f t="shared" si="37"/>
        <v>EC</v>
      </c>
      <c r="AH108" s="98" t="str">
        <f t="shared" si="38"/>
        <v>"%USERPROFILE%\Documents\GitHub\eaglep3\Utilities\RefineRTDCRunTimes.py" --tripid 196-07 --locoid 4010 --swversion DE.1.0.7.0 --startMP 204:232985 --initTime 2016-09-07T16:17:44 --startdatetime 2016-09-07T16:27:54 --delay 6 --endMP 204:64049 --enddatetime 2016-09-07T16:53:08 --enforcementcount 0 &gt;&gt;C:\Users\stu\Documents\GitHub\eaglep3-reporting\EC\2016-09-07-refined-times.txt</v>
      </c>
      <c r="AI108" s="130" t="str">
        <f t="shared" si="39"/>
        <v>echo {"issue":{"subject":"Quebec 100Hz power failure","project_id":79,"tracker_id":40,"status_id":1,"priority_id":2,"assigned_to_id":23,"start_date":"2016-09-07","description":"From 16:42:49 thru 17:13:41, Quebec 4S was STOP, despite a handful of attempts to clear it. Was this due to the Monaco gates not having fully descended, or was something else the cause?","custom_fields":[{"id":1,"name":"Subdivision","value":"EC"},{"id":4,"name":"Milepost","value":"16.8936"},{"id":17,"name":"Train ID","value":"196-07"},{"id":16,"name":"Locomotive ID","value":"4010"},{"id":130,"name":"Impact","value":"Unexpected Cut-Out or Disengaged"},{"id":150,"name":"Time of Event (Mountain Time)","value":"16:53:08"},{"id":151,"name":"Denver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08" s="53" t="s">
        <v>764</v>
      </c>
      <c r="AK108" s="53" t="s">
        <v>172</v>
      </c>
      <c r="AL108" s="53" t="s">
        <v>171</v>
      </c>
    </row>
    <row r="109" spans="1:38" x14ac:dyDescent="0.25">
      <c r="A109" s="38" t="s">
        <v>490</v>
      </c>
      <c r="B109" s="7">
        <v>4010</v>
      </c>
      <c r="C109" s="23" t="s">
        <v>111</v>
      </c>
      <c r="D109" s="23" t="s">
        <v>606</v>
      </c>
      <c r="E109" s="15">
        <v>42620.70925925926</v>
      </c>
      <c r="F109" s="15">
        <v>42620.710439814815</v>
      </c>
      <c r="G109" s="7">
        <v>1</v>
      </c>
      <c r="H109" s="15" t="s">
        <v>607</v>
      </c>
      <c r="I109" s="15">
        <v>42620.717499999999</v>
      </c>
      <c r="J109" s="7">
        <v>0</v>
      </c>
      <c r="K109" s="115" t="str">
        <f t="shared" si="26"/>
        <v>4009/4010</v>
      </c>
      <c r="L109" s="23" t="str">
        <f>VLOOKUP(A109,'Trips&amp;Operators'!$C$1:$E$10000,3,FALSE)</f>
        <v>YOUNG</v>
      </c>
      <c r="M109" s="6">
        <f t="shared" si="27"/>
        <v>7.0601851839455776E-3</v>
      </c>
      <c r="N109" s="7"/>
      <c r="O109" s="7"/>
      <c r="P109" s="7"/>
      <c r="Q109" s="24"/>
      <c r="R109" s="24"/>
      <c r="S109" s="36"/>
      <c r="T109" s="51" t="str">
        <f t="shared" si="30"/>
        <v>Southbound</v>
      </c>
      <c r="U109" s="17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3</v>
      </c>
      <c r="V109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16:01:20-0600',mode:absolute,to:'2016-09-07 18:13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09" s="177" t="str">
        <f t="shared" si="31"/>
        <v>Y</v>
      </c>
      <c r="X109" s="177">
        <f t="shared" si="41"/>
        <v>0</v>
      </c>
      <c r="Y109" s="177">
        <f t="shared" si="32"/>
        <v>3.6791</v>
      </c>
      <c r="Z109" s="67">
        <f t="shared" si="42"/>
        <v>1.9199999999999998E-2</v>
      </c>
      <c r="AA109" s="67">
        <f t="shared" si="33"/>
        <v>3.6598999999999999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34"/>
        <v>0196-07</v>
      </c>
      <c r="AE109" s="97" t="str">
        <f t="shared" si="35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109" s="94" t="str">
        <f t="shared" si="36"/>
        <v>"C:\Program Files (x86)\AstroGrep\AstroGrep.exe" /spath="%USERPROFILE%\AppData\Local\Temp\OnboardLogs" /stypes="*4010*20160907*" /stext=" 23:.+((SYSTEM_STATE.+slice.+state.+changed )|(ment ac)|(system.+state.+changed )|(\|lc)|(penalty)|(\[timeout)|(PRM\|1\|D)|(kpr)|(kdp))" /e /r /s</v>
      </c>
      <c r="AG109" s="1" t="str">
        <f t="shared" si="37"/>
        <v>EC</v>
      </c>
      <c r="AH109" s="98" t="str">
        <f t="shared" si="38"/>
        <v>"%USERPROFILE%\Documents\GitHub\eaglep3\Utilities\RefineRTDCRunTimes.py" --tripid 196-07 --locoid 4010 --swversion DE.1.0.7.0 --startMP 204:36791 --initTime 2016-09-07T17:01:20 --startdatetime 2016-09-07T17:03:02 --delay 1 --endMP 204:192 --enddatetime 2016-09-07T17:13:12 --enforcementcount 0 &gt;&gt;C:\Users\stu\Documents\GitHub\eaglep3-reporting\EC\2016-09-07-refined-times.txt</v>
      </c>
      <c r="AI109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{"issue":{"subject":"","project_id":79,"tracker_id":40,"status_id":1,"priority_id":2,"assigned_to_id":23,"start_date":"2016-09-07","description":"","custom_fields":[{"id":1,"name":"Subdivision","value":"EC"},{"id":4,"name":"Milepost","value":"3.6599"},{"id":17,"name":"Train ID","value":"196-07"},{"id":16,"name":"Locomotive ID","value":"4010"},{"id":130,"name":"Impact","value":""},{"id":150,"name":"Time of Event (Mountain Time)","value":"17:13:12"},{"id":151,"name":"Denver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38" s="22" customFormat="1" x14ac:dyDescent="0.25">
      <c r="A110" s="38" t="s">
        <v>483</v>
      </c>
      <c r="B110" s="7">
        <v>4014</v>
      </c>
      <c r="C110" s="23" t="s">
        <v>111</v>
      </c>
      <c r="D110" s="23" t="s">
        <v>263</v>
      </c>
      <c r="E110" s="15">
        <v>42620.652268518519</v>
      </c>
      <c r="F110" s="15">
        <v>42620.6565162037</v>
      </c>
      <c r="G110" s="7">
        <v>1</v>
      </c>
      <c r="H110" s="15" t="s">
        <v>601</v>
      </c>
      <c r="I110" s="15">
        <v>42620.682025462964</v>
      </c>
      <c r="J110" s="7">
        <v>0</v>
      </c>
      <c r="K110" s="115" t="str">
        <f t="shared" si="26"/>
        <v>4013/4014</v>
      </c>
      <c r="L110" s="23" t="str">
        <f>VLOOKUP(A110,'Trips&amp;Operators'!$C$1:$E$10000,3,FALSE)</f>
        <v>MAHAN</v>
      </c>
      <c r="M110" s="6">
        <f t="shared" si="27"/>
        <v>2.5509259263344575E-2</v>
      </c>
      <c r="N110" s="7">
        <f>24*60*SUM($M110:$M110)</f>
        <v>36.733333339216188</v>
      </c>
      <c r="O110" s="7"/>
      <c r="P110" s="7"/>
      <c r="Q110" s="24"/>
      <c r="R110" s="24"/>
      <c r="S110" s="36">
        <f>SUM(U110:U110)/IF(AG110="EC",12,1)</f>
        <v>1</v>
      </c>
      <c r="T110" s="51" t="str">
        <f t="shared" si="30"/>
        <v>NorthBound</v>
      </c>
      <c r="U110" s="17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14:39:16-0600',mode:absolute,to:'2016-09-07 17:22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10" s="177" t="str">
        <f t="shared" si="31"/>
        <v>N</v>
      </c>
      <c r="X110" s="177">
        <f t="shared" si="41"/>
        <v>1</v>
      </c>
      <c r="Y110" s="177">
        <f t="shared" si="32"/>
        <v>4.3499999999999997E-2</v>
      </c>
      <c r="Z110" s="67">
        <f t="shared" si="42"/>
        <v>23.332000000000001</v>
      </c>
      <c r="AA110" s="67">
        <f t="shared" si="33"/>
        <v>23.288499999999999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34"/>
        <v>0197-07</v>
      </c>
      <c r="AE110" s="97" t="str">
        <f t="shared" si="35"/>
        <v>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 &amp; 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</v>
      </c>
      <c r="AF110" s="94" t="str">
        <f t="shared" si="36"/>
        <v>"C:\Program Files (x86)\AstroGrep\AstroGrep.exe" /spath="%USERPROFILE%\AppData\Local\Temp\OnboardLogs" /stypes="*4014*20160907*" /stext=" 22:.+((SYSTEM_STATE.+slice.+state.+changed )|(ment ac)|(system.+state.+changed )|(\|lc)|(penalty)|(\[timeout)|(PRM\|1\|D)|(kpr)|(kdp))" /e /r /s</v>
      </c>
      <c r="AG110" s="1" t="str">
        <f t="shared" si="37"/>
        <v>EC</v>
      </c>
      <c r="AH110" s="98" t="str">
        <f t="shared" si="38"/>
        <v>"%USERPROFILE%\Documents\GitHub\eaglep3\Utilities\RefineRTDCRunTimes.py" --tripid 197-07 --locoid 4014 --swversion DE.1.0.7.0 --startMP 204:435 --initTime 2016-09-07T15:39:16 --startdatetime 2016-09-07T15:45:23 --delay 1 --endMP 204:233320 --enddatetime 2016-09-07T16:22:07 --enforcementcount 0 &gt;&gt;C:\Users\stu\Documents\GitHub\eaglep3-reporting\EC\2016-09-07-refined-times.txt</v>
      </c>
      <c r="AI110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{"issue":{"subject":"","project_id":79,"tracker_id":40,"status_id":1,"priority_id":2,"assigned_to_id":23,"start_date":"2016-09-07","description":"","custom_fields":[{"id":1,"name":"Subdivision","value":"EC"},{"id":4,"name":"Milepost","value":"23.2885"},{"id":17,"name":"Train ID","value":"197-07"},{"id":16,"name":"Locomotive ID","value":"4014"},{"id":130,"name":"Impact","value":""},{"id":150,"name":"Time of Event (Mountain Time)","value":"16:22:07"},{"id":151,"name":"Denver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38" x14ac:dyDescent="0.25">
      <c r="A111" s="38" t="s">
        <v>493</v>
      </c>
      <c r="B111" s="7">
        <v>4013</v>
      </c>
      <c r="C111" s="23" t="s">
        <v>111</v>
      </c>
      <c r="D111" s="23" t="s">
        <v>258</v>
      </c>
      <c r="E111" s="15">
        <v>42620.690694444442</v>
      </c>
      <c r="F111" s="15">
        <v>42620.691817129627</v>
      </c>
      <c r="G111" s="7">
        <v>1</v>
      </c>
      <c r="H111" s="15" t="s">
        <v>608</v>
      </c>
      <c r="I111" s="15">
        <v>42620.71298611111</v>
      </c>
      <c r="J111" s="7">
        <v>0</v>
      </c>
      <c r="K111" s="115" t="str">
        <f t="shared" si="26"/>
        <v>4013/4014</v>
      </c>
      <c r="L111" s="23" t="str">
        <f>VLOOKUP(A111,'Trips&amp;Operators'!$C$1:$E$10000,3,FALSE)</f>
        <v>BRUDER</v>
      </c>
      <c r="M111" s="6">
        <f t="shared" si="27"/>
        <v>2.1168981482333038E-2</v>
      </c>
      <c r="N111" s="7"/>
      <c r="O111" s="7"/>
      <c r="P111" s="7">
        <f>24*60*SUM($M111:$M112)</f>
        <v>39.866666671587154</v>
      </c>
      <c r="Q111" s="24"/>
      <c r="R111" s="24" t="s">
        <v>765</v>
      </c>
      <c r="S111" s="36">
        <f>SUM(U111:U112)/IF(AG111="EC",12,1)</f>
        <v>0.5</v>
      </c>
      <c r="T111" s="51" t="str">
        <f t="shared" si="30"/>
        <v>Southbound</v>
      </c>
      <c r="U111" s="17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3</v>
      </c>
      <c r="V111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15:34:36-0600',mode:absolute,to:'2016-09-07 18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11" s="177" t="str">
        <f t="shared" si="31"/>
        <v>Y</v>
      </c>
      <c r="X111" s="177">
        <f t="shared" si="41"/>
        <v>1</v>
      </c>
      <c r="Y111" s="177">
        <f t="shared" si="32"/>
        <v>23.297499999999999</v>
      </c>
      <c r="Z111" s="67">
        <f t="shared" si="42"/>
        <v>6.4154999999999998</v>
      </c>
      <c r="AA111" s="67">
        <f t="shared" si="33"/>
        <v>16.881999999999998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34"/>
        <v>0198-07</v>
      </c>
      <c r="AE111" s="97" t="str">
        <f t="shared" si="35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111" s="94" t="str">
        <f t="shared" si="36"/>
        <v>"C:\Program Files (x86)\AstroGrep\AstroGrep.exe" /spath="%USERPROFILE%\AppData\Local\Temp\OnboardLogs" /stypes="*4013*20160907*" /stext=" 23:.+((SYSTEM_STATE.+slice.+state.+changed )|(ment ac)|(system.+state.+changed )|(\|lc)|(penalty)|(\[timeout)|(PRM\|1\|D)|(kpr)|(kdp))" /e /r /s</v>
      </c>
      <c r="AG111" s="1" t="str">
        <f t="shared" si="37"/>
        <v>EC</v>
      </c>
      <c r="AH111" s="98" t="str">
        <f t="shared" si="38"/>
        <v>"%USERPROFILE%\Documents\GitHub\eaglep3\Utilities\RefineRTDCRunTimes.py" --tripid 198-07 --locoid 4013 --swversion DE.1.0.7.0 --startMP 204:232975 --initTime 2016-09-07T16:34:36 --startdatetime 2016-09-07T16:36:13 --delay 1 --endMP 204:64155 --enddatetime 2016-09-07T17:06:42 --enforcementcount 0 &gt;&gt;C:\Users\stu\Documents\GitHub\eaglep3-reporting\EC\2016-09-07-refined-times.txt</v>
      </c>
      <c r="AI111" s="130" t="str">
        <f t="shared" si="39"/>
        <v>echo {"issue":{"subject":"Quebec 100Hz power failure","project_id":79,"tracker_id":40,"status_id":1,"priority_id":2,"assigned_to_id":23,"start_date":"2016-09-07","description":"","custom_fields":[{"id":1,"name":"Subdivision","value":"EC"},{"id":4,"name":"Milepost","value":"16.882"},{"id":17,"name":"Train ID","value":"198-07"},{"id":16,"name":"Locomotive ID","value":"4013"},{"id":130,"name":"Impact","value":""},{"id":150,"name":"Time of Event (Mountain Time)","value":"17:06:42"},{"id":151,"name":"Denver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</row>
    <row r="112" spans="1:38" s="22" customFormat="1" x14ac:dyDescent="0.25">
      <c r="A112" s="38" t="s">
        <v>493</v>
      </c>
      <c r="B112" s="7">
        <v>4013</v>
      </c>
      <c r="C112" s="23" t="s">
        <v>111</v>
      </c>
      <c r="D112" s="23" t="s">
        <v>609</v>
      </c>
      <c r="E112" s="15">
        <v>42620.718888888892</v>
      </c>
      <c r="F112" s="15">
        <v>42620.719895833332</v>
      </c>
      <c r="G112" s="7">
        <v>1</v>
      </c>
      <c r="H112" s="15" t="s">
        <v>143</v>
      </c>
      <c r="I112" s="15">
        <v>42620.726412037038</v>
      </c>
      <c r="J112" s="7">
        <v>0</v>
      </c>
      <c r="K112" s="115" t="str">
        <f t="shared" si="26"/>
        <v>4013/4014</v>
      </c>
      <c r="L112" s="23" t="str">
        <f>VLOOKUP(A112,'Trips&amp;Operators'!$C$1:$E$10000,3,FALSE)</f>
        <v>BRUDER</v>
      </c>
      <c r="M112" s="6">
        <f t="shared" si="27"/>
        <v>6.5162037062691525E-3</v>
      </c>
      <c r="N112" s="7"/>
      <c r="O112" s="7"/>
      <c r="P112" s="7"/>
      <c r="Q112" s="24"/>
      <c r="R112" s="24"/>
      <c r="S112" s="36"/>
      <c r="T112" s="51" t="str">
        <f t="shared" si="30"/>
        <v>Southbound</v>
      </c>
      <c r="U112" s="17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3</v>
      </c>
      <c r="V112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16:15:12-0600',mode:absolute,to:'2016-09-07 18:26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12" s="177" t="str">
        <f t="shared" si="31"/>
        <v>Y</v>
      </c>
      <c r="X112" s="177">
        <f t="shared" si="41"/>
        <v>0</v>
      </c>
      <c r="Y112" s="177">
        <f t="shared" si="32"/>
        <v>3.6779000000000002</v>
      </c>
      <c r="Z112" s="67">
        <f t="shared" si="42"/>
        <v>1.5599999999999999E-2</v>
      </c>
      <c r="AA112" s="67">
        <f t="shared" si="33"/>
        <v>3.6623000000000001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34"/>
        <v>0198-07</v>
      </c>
      <c r="AE112" s="97" t="str">
        <f t="shared" si="35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112" s="94" t="str">
        <f t="shared" si="36"/>
        <v>"C:\Program Files (x86)\AstroGrep\AstroGrep.exe" /spath="%USERPROFILE%\AppData\Local\Temp\OnboardLogs" /stypes="*4013*20160907*" /stext=" 23:.+((SYSTEM_STATE.+slice.+state.+changed )|(ment ac)|(system.+state.+changed )|(\|lc)|(penalty)|(\[timeout)|(PRM\|1\|D)|(kpr)|(kdp))" /e /r /s</v>
      </c>
      <c r="AG112" s="1" t="str">
        <f t="shared" si="37"/>
        <v>EC</v>
      </c>
      <c r="AH112" s="98" t="str">
        <f t="shared" si="38"/>
        <v>"%USERPROFILE%\Documents\GitHub\eaglep3\Utilities\RefineRTDCRunTimes.py" --tripid 198-07 --locoid 4013 --swversion DE.1.0.7.0 --startMP 204:36779 --initTime 2016-09-07T17:15:12 --startdatetime 2016-09-07T17:16:39 --delay 1 --endMP 204:156 --enddatetime 2016-09-07T17:26:02 --enforcementcount 0 &gt;&gt;C:\Users\stu\Documents\GitHub\eaglep3-reporting\EC\2016-09-07-refined-times.txt</v>
      </c>
      <c r="AI112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{"issue":{"subject":"","project_id":79,"tracker_id":40,"status_id":1,"priority_id":2,"assigned_to_id":23,"start_date":"2016-09-07","description":"","custom_fields":[{"id":1,"name":"Subdivision","value":"EC"},{"id":4,"name":"Milepost","value":"3.6623"},{"id":17,"name":"Train ID","value":"198-07"},{"id":16,"name":"Locomotive ID","value":"4013"},{"id":130,"name":"Impact","value":""},{"id":150,"name":"Time of Event (Mountain Time)","value":"17:26:02"},{"id":151,"name":"Denver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</row>
    <row r="113" spans="1:38" x14ac:dyDescent="0.25">
      <c r="A113" s="38" t="s">
        <v>486</v>
      </c>
      <c r="B113" s="7">
        <v>4025</v>
      </c>
      <c r="C113" s="23" t="s">
        <v>111</v>
      </c>
      <c r="D113" s="23" t="s">
        <v>123</v>
      </c>
      <c r="E113" s="15">
        <v>42620.662743055553</v>
      </c>
      <c r="F113" s="15">
        <v>42620.667060185187</v>
      </c>
      <c r="G113" s="7">
        <v>1</v>
      </c>
      <c r="H113" s="15" t="s">
        <v>209</v>
      </c>
      <c r="I113" s="15">
        <v>42620.691574074073</v>
      </c>
      <c r="J113" s="7">
        <v>0</v>
      </c>
      <c r="K113" s="115" t="str">
        <f t="shared" si="26"/>
        <v>4025/4026</v>
      </c>
      <c r="L113" s="23" t="str">
        <f>VLOOKUP(A113,'Trips&amp;Operators'!$C$1:$E$10000,3,FALSE)</f>
        <v>DE LA ROSA</v>
      </c>
      <c r="M113" s="6">
        <f t="shared" si="27"/>
        <v>2.4513888885849155E-2</v>
      </c>
      <c r="N113" s="7">
        <f>24*60*SUM($M113:$M113)</f>
        <v>35.299999995622784</v>
      </c>
      <c r="O113" s="7"/>
      <c r="P113" s="7"/>
      <c r="Q113" s="24"/>
      <c r="R113" s="24"/>
      <c r="S113" s="36">
        <f t="shared" ref="S113:S118" si="43">SUM(U113:U113)/IF(AG113="EC",12,1)</f>
        <v>1</v>
      </c>
      <c r="T113" s="51" t="str">
        <f t="shared" si="30"/>
        <v>NorthBound</v>
      </c>
      <c r="U113" s="17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14:54:21-0600',mode:absolute,to:'2016-09-07 17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13" s="177" t="str">
        <f t="shared" si="31"/>
        <v>N</v>
      </c>
      <c r="X113" s="177">
        <f t="shared" si="41"/>
        <v>1</v>
      </c>
      <c r="Y113" s="177">
        <f t="shared" si="32"/>
        <v>4.5499999999999999E-2</v>
      </c>
      <c r="Z113" s="67">
        <f t="shared" si="42"/>
        <v>23.331399999999999</v>
      </c>
      <c r="AA113" s="67">
        <f t="shared" si="33"/>
        <v>23.285899999999998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34"/>
        <v>0199-07</v>
      </c>
      <c r="AE113" s="97" t="str">
        <f t="shared" si="35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113" s="94" t="str">
        <f t="shared" si="36"/>
        <v>"C:\Program Files (x86)\AstroGrep\AstroGrep.exe" /spath="%USERPROFILE%\AppData\Local\Temp\OnboardLogs" /stypes="*4025*20160907*" /stext=" 22:.+((SYSTEM_STATE.+slice.+state.+changed )|(ment ac)|(system.+state.+changed )|(\|lc)|(penalty)|(\[timeout)|(PRM\|1\|D)|(kpr)|(kdp))" /e /r /s</v>
      </c>
      <c r="AG113" s="1" t="str">
        <f t="shared" si="37"/>
        <v>EC</v>
      </c>
      <c r="AH113" s="98" t="str">
        <f t="shared" si="38"/>
        <v>"%USERPROFILE%\Documents\GitHub\eaglep3\Utilities\RefineRTDCRunTimes.py" --tripid 199-07 --locoid 4025 --swversion DE.1.0.7.0 --startMP 204:455 --initTime 2016-09-07T15:54:21 --startdatetime 2016-09-07T16:00:34 --delay 1 --endMP 204:233314 --enddatetime 2016-09-07T16:35:52 --enforcementcount 0 &gt;&gt;C:\Users\stu\Documents\GitHub\eaglep3-reporting\EC\2016-09-07-refined-times.txt</v>
      </c>
      <c r="AI113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{"issue":{"subject":"","project_id":79,"tracker_id":40,"status_id":1,"priority_id":2,"assigned_to_id":23,"start_date":"2016-09-07","description":"","custom_fields":[{"id":1,"name":"Subdivision","value":"EC"},{"id":4,"name":"Milepost","value":"23.2859"},{"id":17,"name":"Train ID","value":"199-07"},{"id":16,"name":"Locomotive ID","value":"4025"},{"id":130,"name":"Impact","value":""},{"id":150,"name":"Time of Event (Mountain Time)","value":"16:35:52"},{"id":151,"name":"Denver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</row>
    <row r="114" spans="1:38" s="22" customFormat="1" x14ac:dyDescent="0.25">
      <c r="A114" s="38" t="s">
        <v>497</v>
      </c>
      <c r="B114" s="7">
        <v>4026</v>
      </c>
      <c r="C114" s="23" t="s">
        <v>111</v>
      </c>
      <c r="D114" s="23" t="s">
        <v>596</v>
      </c>
      <c r="E114" s="15">
        <v>42620.701226851852</v>
      </c>
      <c r="F114" s="15">
        <v>42620.705752314818</v>
      </c>
      <c r="G114" s="7">
        <v>2</v>
      </c>
      <c r="H114" s="15" t="s">
        <v>146</v>
      </c>
      <c r="I114" s="15">
        <v>42620.735196759262</v>
      </c>
      <c r="J114" s="7">
        <v>0</v>
      </c>
      <c r="K114" s="115" t="str">
        <f t="shared" si="26"/>
        <v>4025/4026</v>
      </c>
      <c r="L114" s="23" t="str">
        <f>VLOOKUP(A114,'Trips&amp;Operators'!$C$1:$E$10000,3,FALSE)</f>
        <v>DE LA ROSA</v>
      </c>
      <c r="M114" s="6">
        <f t="shared" si="27"/>
        <v>2.9444444444379769E-2</v>
      </c>
      <c r="N114" s="7">
        <f>24*60*SUM($M114:$M114)</f>
        <v>42.399999999906868</v>
      </c>
      <c r="O114" s="7"/>
      <c r="P114" s="7"/>
      <c r="Q114" s="24"/>
      <c r="R114" s="24"/>
      <c r="S114" s="36">
        <f t="shared" si="43"/>
        <v>1</v>
      </c>
      <c r="T114" s="51" t="str">
        <f t="shared" si="30"/>
        <v>Southbound</v>
      </c>
      <c r="U114" s="17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15:49:46-0600',mode:absolute,to:'2016-09-07 18:38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14" s="177" t="str">
        <f t="shared" si="31"/>
        <v>N</v>
      </c>
      <c r="X114" s="177">
        <f t="shared" si="41"/>
        <v>1</v>
      </c>
      <c r="Y114" s="177">
        <f t="shared" si="32"/>
        <v>23.2989</v>
      </c>
      <c r="Z114" s="67">
        <f t="shared" si="42"/>
        <v>1.52E-2</v>
      </c>
      <c r="AA114" s="67">
        <f t="shared" si="33"/>
        <v>23.2837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34"/>
        <v>0200-07</v>
      </c>
      <c r="AE114" s="97" t="str">
        <f t="shared" si="35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114" s="94" t="str">
        <f t="shared" si="36"/>
        <v>"C:\Program Files (x86)\AstroGrep\AstroGrep.exe" /spath="%USERPROFILE%\AppData\Local\Temp\OnboardLogs" /stypes="*4026*20160907*" /stext=" 23:.+((SYSTEM_STATE.+slice.+state.+changed )|(ment ac)|(system.+state.+changed )|(\|lc)|(penalty)|(\[timeout)|(PRM\|1\|D)|(kpr)|(kdp))" /e /r /s</v>
      </c>
      <c r="AG114" s="1" t="str">
        <f t="shared" si="37"/>
        <v>EC</v>
      </c>
      <c r="AH114" s="98" t="str">
        <f t="shared" si="38"/>
        <v>"%USERPROFILE%\Documents\GitHub\eaglep3\Utilities\RefineRTDCRunTimes.py" --tripid 200-07 --locoid 4026 --swversion DE.1.0.7.0 --startMP 204:232989 --initTime 2016-09-07T16:49:46 --startdatetime 2016-09-07T16:56:17 --delay 2 --endMP 204:152 --enddatetime 2016-09-07T17:38:41 --enforcementcount 0 &gt;&gt;C:\Users\stu\Documents\GitHub\eaglep3-reporting\EC\2016-09-07-refined-times.txt</v>
      </c>
      <c r="AI114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{"issue":{"subject":"","project_id":79,"tracker_id":40,"status_id":1,"priority_id":2,"assigned_to_id":23,"start_date":"2016-09-07","description":"","custom_fields":[{"id":1,"name":"Subdivision","value":"EC"},{"id":4,"name":"Milepost","value":"23.2837"},{"id":17,"name":"Train ID","value":"200-07"},{"id":16,"name":"Locomotive ID","value":"4026"},{"id":130,"name":"Impact","value":""},{"id":150,"name":"Time of Event (Mountain Time)","value":"17:38:41"},{"id":151,"name":"Denver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</row>
    <row r="115" spans="1:38" s="22" customFormat="1" x14ac:dyDescent="0.25">
      <c r="A115" s="38" t="s">
        <v>489</v>
      </c>
      <c r="B115" s="7">
        <v>4031</v>
      </c>
      <c r="C115" s="23" t="s">
        <v>111</v>
      </c>
      <c r="D115" s="23" t="s">
        <v>156</v>
      </c>
      <c r="E115" s="15">
        <v>42620.671990740739</v>
      </c>
      <c r="F115" s="15">
        <v>42620.677245370367</v>
      </c>
      <c r="G115" s="7">
        <v>1</v>
      </c>
      <c r="H115" s="15" t="s">
        <v>239</v>
      </c>
      <c r="I115" s="15">
        <v>42620.703321759262</v>
      </c>
      <c r="J115" s="7">
        <v>0</v>
      </c>
      <c r="K115" s="115" t="str">
        <f t="shared" si="26"/>
        <v>4031/4032</v>
      </c>
      <c r="L115" s="23" t="str">
        <f>VLOOKUP(A115,'Trips&amp;Operators'!$C$1:$E$10000,3,FALSE)</f>
        <v>CRAYTON</v>
      </c>
      <c r="M115" s="6">
        <f t="shared" si="27"/>
        <v>2.6076388894580305E-2</v>
      </c>
      <c r="N115" s="7">
        <f>24*60*SUM($M115:$M115)</f>
        <v>37.550000008195639</v>
      </c>
      <c r="O115" s="7"/>
      <c r="P115" s="7"/>
      <c r="Q115" s="24"/>
      <c r="R115" s="24"/>
      <c r="S115" s="36">
        <f t="shared" si="43"/>
        <v>1</v>
      </c>
      <c r="T115" s="51" t="str">
        <f t="shared" si="30"/>
        <v>NorthBound</v>
      </c>
      <c r="U115" s="17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15:07:40-0600',mode:absolute,to:'2016-09-07 17:52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15" s="177" t="str">
        <f t="shared" si="31"/>
        <v>N</v>
      </c>
      <c r="X115" s="177">
        <f t="shared" si="41"/>
        <v>1</v>
      </c>
      <c r="Y115" s="177">
        <f t="shared" si="32"/>
        <v>4.5999999999999999E-2</v>
      </c>
      <c r="Z115" s="67">
        <f t="shared" si="42"/>
        <v>23.329899999999999</v>
      </c>
      <c r="AA115" s="67">
        <f t="shared" si="33"/>
        <v>23.283899999999999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34"/>
        <v>0201-07</v>
      </c>
      <c r="AE115" s="97" t="str">
        <f t="shared" si="35"/>
        <v>aws s3 cp s3://rtdc.mdm.uploadarchive/RTDC4031/2016-09-07/ "%USERPROFILE%\AppData\Local\Temp\OnboardLogs"\RTDC4031\2016-09-07 --recursive &amp; "%USERPROFILE%\Documents\GitHub\mrs-test-scripts\Headless Mode &amp; Sideloading\WalkAndUnGZ.bat" "%USERPROFILE%\AppData\Local\Temp\OnboardLogs"\RTDC4031\2016-09-07 &amp; 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</v>
      </c>
      <c r="AF115" s="94" t="str">
        <f t="shared" si="36"/>
        <v>"C:\Program Files (x86)\AstroGrep\AstroGrep.exe" /spath="%USERPROFILE%\AppData\Local\Temp\OnboardLogs" /stypes="*4031*20160907*" /stext=" 22:.+((SYSTEM_STATE.+slice.+state.+changed )|(ment ac)|(system.+state.+changed )|(\|lc)|(penalty)|(\[timeout)|(PRM\|1\|D)|(kpr)|(kdp))" /e /r /s</v>
      </c>
      <c r="AG115" s="1" t="str">
        <f t="shared" si="37"/>
        <v>EC</v>
      </c>
      <c r="AH115" s="98" t="str">
        <f t="shared" si="38"/>
        <v>"%USERPROFILE%\Documents\GitHub\eaglep3\Utilities\RefineRTDCRunTimes.py" --tripid 201-07 --locoid 4031 --swversion DE.1.0.7.0 --startMP 204:460 --initTime 2016-09-07T16:07:40 --startdatetime 2016-09-07T16:15:14 --delay 1 --endMP 204:233299 --enddatetime 2016-09-07T16:52:47 --enforcementcount 0 &gt;&gt;C:\Users\stu\Documents\GitHub\eaglep3-reporting\EC\2016-09-07-refined-times.txt</v>
      </c>
      <c r="AI115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{"issue":{"subject":"","project_id":79,"tracker_id":40,"status_id":1,"priority_id":2,"assigned_to_id":23,"start_date":"2016-09-07","description":"","custom_fields":[{"id":1,"name":"Subdivision","value":"EC"},{"id":4,"name":"Milepost","value":"23.2839"},{"id":17,"name":"Train ID","value":"201-07"},{"id":16,"name":"Locomotive ID","value":"4031"},{"id":130,"name":"Impact","value":""},{"id":150,"name":"Time of Event (Mountain Time)","value":"16:52:47"},{"id":151,"name":"Denver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</row>
    <row r="116" spans="1:38" s="22" customFormat="1" x14ac:dyDescent="0.25">
      <c r="A116" s="38" t="s">
        <v>499</v>
      </c>
      <c r="B116" s="7">
        <v>4032</v>
      </c>
      <c r="C116" s="23" t="s">
        <v>111</v>
      </c>
      <c r="D116" s="23" t="s">
        <v>610</v>
      </c>
      <c r="E116" s="15">
        <v>42620.708622685182</v>
      </c>
      <c r="F116" s="15">
        <v>42620.717314814814</v>
      </c>
      <c r="G116" s="7">
        <v>1</v>
      </c>
      <c r="H116" s="15" t="s">
        <v>129</v>
      </c>
      <c r="I116" s="15">
        <v>42620.744756944441</v>
      </c>
      <c r="J116" s="7">
        <v>0</v>
      </c>
      <c r="K116" s="115" t="str">
        <f t="shared" si="26"/>
        <v>4031/4032</v>
      </c>
      <c r="L116" s="23" t="str">
        <f>VLOOKUP(A116,'Trips&amp;Operators'!$C$1:$E$10000,3,FALSE)</f>
        <v>CRAYTON</v>
      </c>
      <c r="M116" s="6">
        <f t="shared" si="27"/>
        <v>2.7442129627161194E-2</v>
      </c>
      <c r="N116" s="7">
        <f>24*60*SUM($M116:$M116)</f>
        <v>39.516666663112119</v>
      </c>
      <c r="O116" s="7"/>
      <c r="P116" s="7"/>
      <c r="Q116" s="24"/>
      <c r="R116" s="24"/>
      <c r="S116" s="36">
        <f t="shared" si="43"/>
        <v>1</v>
      </c>
      <c r="T116" s="51" t="str">
        <f t="shared" si="30"/>
        <v>Southbound</v>
      </c>
      <c r="U116" s="17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16:00:25-0600',mode:absolute,to:'2016-09-07 18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16" s="177" t="str">
        <f t="shared" si="31"/>
        <v>N</v>
      </c>
      <c r="X116" s="177">
        <f t="shared" si="41"/>
        <v>1</v>
      </c>
      <c r="Y116" s="177">
        <f t="shared" si="32"/>
        <v>23.296500000000002</v>
      </c>
      <c r="Z116" s="67">
        <f t="shared" si="42"/>
        <v>1.5800000000000002E-2</v>
      </c>
      <c r="AA116" s="67">
        <f t="shared" si="33"/>
        <v>23.280700000000003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34"/>
        <v>0202-07</v>
      </c>
      <c r="AE116" s="97" t="str">
        <f t="shared" si="35"/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AF116" s="94" t="str">
        <f t="shared" si="36"/>
        <v>"C:\Program Files (x86)\AstroGrep\AstroGrep.exe" /spath="%USERPROFILE%\AppData\Local\Temp\OnboardLogs" /stypes="*4032*20160907*" /stext=" 23:.+((SYSTEM_STATE.+slice.+state.+changed )|(ment ac)|(system.+state.+changed )|(\|lc)|(penalty)|(\[timeout)|(PRM\|1\|D)|(kpr)|(kdp))" /e /r /s</v>
      </c>
      <c r="AG116" s="1" t="str">
        <f t="shared" si="37"/>
        <v>EC</v>
      </c>
      <c r="AH116" s="98" t="str">
        <f t="shared" si="38"/>
        <v>"%USERPROFILE%\Documents\GitHub\eaglep3\Utilities\RefineRTDCRunTimes.py" --tripid 202-07 --locoid 4032 --swversion DE.1.0.7.0 --startMP 204:232965 --initTime 2016-09-07T17:00:25 --startdatetime 2016-09-07T17:12:56 --delay 1 --endMP 204:158 --enddatetime 2016-09-07T17:52:27 --enforcementcount 0 &gt;&gt;C:\Users\stu\Documents\GitHub\eaglep3-reporting\EC\2016-09-07-refined-times.txt</v>
      </c>
      <c r="AI116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{"issue":{"subject":"","project_id":79,"tracker_id":40,"status_id":1,"priority_id":2,"assigned_to_id":23,"start_date":"2016-09-07","description":"","custom_fields":[{"id":1,"name":"Subdivision","value":"EC"},{"id":4,"name":"Milepost","value":"23.2807"},{"id":17,"name":"Train ID","value":"202-07"},{"id":16,"name":"Locomotive ID","value":"4032"},{"id":130,"name":"Impact","value":""},{"id":150,"name":"Time of Event (Mountain Time)","value":"17:52:27"},{"id":151,"name":"Denver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</row>
    <row r="117" spans="1:38" x14ac:dyDescent="0.25">
      <c r="A117" s="38" t="s">
        <v>492</v>
      </c>
      <c r="B117" s="7">
        <v>4020</v>
      </c>
      <c r="C117" s="23" t="s">
        <v>111</v>
      </c>
      <c r="D117" s="23" t="s">
        <v>611</v>
      </c>
      <c r="E117" s="15">
        <v>42620.683634259258</v>
      </c>
      <c r="F117" s="15">
        <v>42620.688275462962</v>
      </c>
      <c r="G117" s="7">
        <v>1</v>
      </c>
      <c r="H117" s="15" t="s">
        <v>612</v>
      </c>
      <c r="I117" s="15">
        <v>42620.696631944447</v>
      </c>
      <c r="J117" s="7">
        <v>0</v>
      </c>
      <c r="K117" s="115" t="str">
        <f t="shared" si="26"/>
        <v>4019/4020</v>
      </c>
      <c r="L117" s="23" t="str">
        <f>VLOOKUP(A117,'Trips&amp;Operators'!$C$1:$E$10000,3,FALSE)</f>
        <v>BARTLETT</v>
      </c>
      <c r="M117" s="6">
        <f t="shared" si="27"/>
        <v>8.3564814849523827E-3</v>
      </c>
      <c r="N117" s="7"/>
      <c r="O117" s="7"/>
      <c r="P117" s="7">
        <f>24*60*SUM($M117:$M117)</f>
        <v>12.033333338331431</v>
      </c>
      <c r="Q117" s="24"/>
      <c r="R117" s="24" t="s">
        <v>765</v>
      </c>
      <c r="S117" s="36">
        <f t="shared" si="43"/>
        <v>0.5</v>
      </c>
      <c r="T117" s="51" t="str">
        <f t="shared" si="30"/>
        <v>NorthBound</v>
      </c>
      <c r="U117" s="17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6</v>
      </c>
      <c r="V117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15:24:26-0600',mode:absolute,to:'2016-09-07 17:43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17" s="177" t="str">
        <f t="shared" si="31"/>
        <v>Y</v>
      </c>
      <c r="X117" s="177">
        <f t="shared" si="41"/>
        <v>1</v>
      </c>
      <c r="Y117" s="177">
        <f t="shared" si="32"/>
        <v>5.04E-2</v>
      </c>
      <c r="Z117" s="67">
        <f t="shared" si="42"/>
        <v>5.5959000000000003</v>
      </c>
      <c r="AA117" s="67">
        <f t="shared" si="33"/>
        <v>5.5455000000000005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34"/>
        <v>0203-07</v>
      </c>
      <c r="AE117" s="97" t="str">
        <f t="shared" si="35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117" s="94" t="str">
        <f t="shared" si="36"/>
        <v>"C:\Program Files (x86)\AstroGrep\AstroGrep.exe" /spath="%USERPROFILE%\AppData\Local\Temp\OnboardLogs" /stypes="*4020*20160907*" /stext=" 22:.+((SYSTEM_STATE.+slice.+state.+changed )|(ment ac)|(system.+state.+changed )|(\|lc)|(penalty)|(\[timeout)|(PRM\|1\|D)|(kpr)|(kdp))" /e /r /s</v>
      </c>
      <c r="AG117" s="1" t="str">
        <f t="shared" si="37"/>
        <v>EC</v>
      </c>
      <c r="AH117" s="98" t="str">
        <f t="shared" si="38"/>
        <v>"%USERPROFILE%\Documents\GitHub\eaglep3\Utilities\RefineRTDCRunTimes.py" --tripid 203-07 --locoid 4020 --swversion DE.1.0.7.0 --startMP 204:504 --initTime 2016-09-07T16:24:26 --startdatetime 2016-09-07T16:31:07 --delay 1 --endMP 204:55959 --enddatetime 2016-09-07T16:43:09 --enforcementcount 0 &gt;&gt;C:\Users\stu\Documents\GitHub\eaglep3-reporting\EC\2016-09-07-refined-times.txt</v>
      </c>
      <c r="AI117" s="130" t="str">
        <f t="shared" si="39"/>
        <v>echo {"issue":{"subject":"Quebec 100Hz power failure","project_id":79,"tracker_id":40,"status_id":1,"priority_id":2,"assigned_to_id":23,"start_date":"2016-09-07","description":"At approx 16:42:49, Quebec 2N downgraded from PROCEED CAB to STOP. Was this on purpose, or did something bad happen?","custom_fields":[{"id":1,"name":"Subdivision","value":"EC"},{"id":4,"name":"Milepost","value":"5.5455"},{"id":17,"name":"Train ID","value":"203-07"},{"id":16,"name":"Locomotive ID","value":"4020"},{"id":130,"name":"Impact","value":"Enforcement"},{"id":150,"name":"Time of Event (Mountain Time)","value":"16:43:09"},{"id":151,"name":"Denver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17" s="53" t="s">
        <v>761</v>
      </c>
      <c r="AK117" s="53" t="s">
        <v>166</v>
      </c>
      <c r="AL117" s="53" t="s">
        <v>171</v>
      </c>
    </row>
    <row r="118" spans="1:38" x14ac:dyDescent="0.25">
      <c r="A118" s="38" t="s">
        <v>501</v>
      </c>
      <c r="B118" s="7">
        <v>4019</v>
      </c>
      <c r="C118" s="23" t="s">
        <v>111</v>
      </c>
      <c r="D118" s="23" t="s">
        <v>613</v>
      </c>
      <c r="E118" s="15">
        <v>42620.719872685186</v>
      </c>
      <c r="F118" s="15">
        <v>42620.726655092592</v>
      </c>
      <c r="G118" s="7">
        <v>1</v>
      </c>
      <c r="H118" s="15" t="s">
        <v>130</v>
      </c>
      <c r="I118" s="15">
        <v>42620.754328703704</v>
      </c>
      <c r="J118" s="7">
        <v>0</v>
      </c>
      <c r="K118" s="115" t="str">
        <f t="shared" si="26"/>
        <v>4019/4020</v>
      </c>
      <c r="L118" s="23" t="str">
        <f>VLOOKUP(A118,'Trips&amp;Operators'!$C$1:$E$10000,3,FALSE)</f>
        <v>BARTLETT</v>
      </c>
      <c r="M118" s="6">
        <f t="shared" si="27"/>
        <v>2.7673611111822538E-2</v>
      </c>
      <c r="N118" s="7">
        <f>24*60*SUM($M118:$M118)</f>
        <v>39.850000001024455</v>
      </c>
      <c r="O118" s="7"/>
      <c r="P118" s="7"/>
      <c r="Q118" s="24"/>
      <c r="R118" s="24"/>
      <c r="S118" s="36">
        <f t="shared" si="43"/>
        <v>1</v>
      </c>
      <c r="T118" s="51" t="str">
        <f t="shared" si="30"/>
        <v>Southbound</v>
      </c>
      <c r="U118" s="17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16:16:37-0600',mode:absolute,to:'2016-09-07 19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18" s="177" t="str">
        <f t="shared" si="31"/>
        <v>N</v>
      </c>
      <c r="X118" s="177">
        <f t="shared" si="41"/>
        <v>1</v>
      </c>
      <c r="Y118" s="177">
        <f t="shared" si="32"/>
        <v>23.311499999999999</v>
      </c>
      <c r="Z118" s="67">
        <f t="shared" si="42"/>
        <v>1.47E-2</v>
      </c>
      <c r="AA118" s="67">
        <f t="shared" si="33"/>
        <v>23.296799999999998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34"/>
        <v>0204-07</v>
      </c>
      <c r="AE118" s="97" t="str">
        <f t="shared" si="35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118" s="94" t="str">
        <f t="shared" si="36"/>
        <v>"C:\Program Files (x86)\AstroGrep\AstroGrep.exe" /spath="%USERPROFILE%\AppData\Local\Temp\OnboardLogs" /stypes="*4019*20160908*" /stext=" 00:.+((SYSTEM_STATE.+slice.+state.+changed )|(ment ac)|(system.+state.+changed )|(\|lc)|(penalty)|(\[timeout)|(PRM\|1\|D)|(kpr)|(kdp))" /e /r /s</v>
      </c>
      <c r="AG118" s="1" t="str">
        <f t="shared" si="37"/>
        <v>EC</v>
      </c>
      <c r="AH118" s="98" t="str">
        <f t="shared" si="38"/>
        <v>"%USERPROFILE%\Documents\GitHub\eaglep3\Utilities\RefineRTDCRunTimes.py" --tripid 204-07 --locoid 4019 --swversion DE.1.0.7.0 --startMP 204:233115 --initTime 2016-09-07T17:16:37 --startdatetime 2016-09-07T17:26:23 --delay 1 --endMP 204:147 --enddatetime 2016-09-07T18:06:14 --enforcementcount 0 &gt;&gt;C:\Users\stu\Documents\GitHub\eaglep3-reporting\EC\2016-09-07-refined-times.txt</v>
      </c>
      <c r="AI118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{"issue":{"subject":"","project_id":79,"tracker_id":40,"status_id":1,"priority_id":2,"assigned_to_id":23,"start_date":"2016-09-07","description":"","custom_fields":[{"id":1,"name":"Subdivision","value":"EC"},{"id":4,"name":"Milepost","value":"23.2968"},{"id":17,"name":"Train ID","value":"204-07"},{"id":16,"name":"Locomotive ID","value":"4019"},{"id":130,"name":"Impact","value":""},{"id":150,"name":"Time of Event (Mountain Time)","value":"18:06:14"},{"id":151,"name":"Denver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</row>
    <row r="119" spans="1:38" x14ac:dyDescent="0.25">
      <c r="A119" s="38" t="s">
        <v>495</v>
      </c>
      <c r="B119" s="7">
        <v>4046</v>
      </c>
      <c r="C119" s="23" t="s">
        <v>111</v>
      </c>
      <c r="D119" s="23" t="s">
        <v>312</v>
      </c>
      <c r="E119" s="15">
        <v>42620.695949074077</v>
      </c>
      <c r="F119" s="15">
        <v>42620.69809027778</v>
      </c>
      <c r="G119" s="7">
        <v>1</v>
      </c>
      <c r="H119" s="15" t="s">
        <v>614</v>
      </c>
      <c r="I119" s="15">
        <v>42620.705925925926</v>
      </c>
      <c r="J119" s="7">
        <v>0</v>
      </c>
      <c r="K119" s="115" t="str">
        <f t="shared" si="26"/>
        <v>4045/4046</v>
      </c>
      <c r="L119" s="23" t="str">
        <f>VLOOKUP(A119,'Trips&amp;Operators'!$C$1:$E$10000,3,FALSE)</f>
        <v>HELVIE</v>
      </c>
      <c r="M119" s="6">
        <f t="shared" si="27"/>
        <v>7.8356481462833472E-3</v>
      </c>
      <c r="N119" s="7"/>
      <c r="O119" s="7"/>
      <c r="P119" s="7">
        <f>24*60*SUM($M119:$M120)</f>
        <v>32.633333334233612</v>
      </c>
      <c r="Q119" s="24"/>
      <c r="R119" s="24" t="s">
        <v>765</v>
      </c>
      <c r="S119" s="36">
        <f>SUM(U119:U120)/IF(AG119="EC",12,1)</f>
        <v>0.75</v>
      </c>
      <c r="T119" s="51" t="str">
        <f t="shared" si="30"/>
        <v>NorthBound</v>
      </c>
      <c r="U119" s="17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6</v>
      </c>
      <c r="V119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15:42:10-0600',mode:absolute,to:'2016-09-07 17:56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19" s="177" t="str">
        <f t="shared" si="31"/>
        <v>Y</v>
      </c>
      <c r="X119" s="177">
        <f t="shared" si="41"/>
        <v>1</v>
      </c>
      <c r="Y119" s="177">
        <f t="shared" si="32"/>
        <v>4.7500000000000001E-2</v>
      </c>
      <c r="Z119" s="67">
        <f t="shared" si="42"/>
        <v>5.5279999999999996</v>
      </c>
      <c r="AA119" s="67">
        <f t="shared" si="33"/>
        <v>5.4804999999999993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34"/>
        <v>0205-07</v>
      </c>
      <c r="AE119" s="97" t="str">
        <f t="shared" si="35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119" s="94" t="str">
        <f t="shared" si="36"/>
        <v>"C:\Program Files (x86)\AstroGrep\AstroGrep.exe" /spath="%USERPROFILE%\AppData\Local\Temp\OnboardLogs" /stypes="*4046*20160907*" /stext=" 22:.+((SYSTEM_STATE.+slice.+state.+changed )|(ment ac)|(system.+state.+changed )|(\|lc)|(penalty)|(\[timeout)|(PRM\|1\|D)|(kpr)|(kdp))" /e /r /s</v>
      </c>
      <c r="AG119" s="1" t="str">
        <f t="shared" si="37"/>
        <v>EC</v>
      </c>
      <c r="AH119" s="98" t="str">
        <f t="shared" si="38"/>
        <v>"%USERPROFILE%\Documents\GitHub\eaglep3\Utilities\RefineRTDCRunTimes.py" --tripid 205-07 --locoid 4046 --swversion DE.1.0.7.0 --startMP 204:475 --initTime 2016-09-07T16:42:10 --startdatetime 2016-09-07T16:45:15 --delay 1 --endMP 204:55280 --enddatetime 2016-09-07T16:56:32 --enforcementcount 0 &gt;&gt;C:\Users\stu\Documents\GitHub\eaglep3-reporting\EC\2016-09-07-refined-times.txt</v>
      </c>
      <c r="AI119" s="130" t="str">
        <f t="shared" si="39"/>
        <v>echo {"issue":{"subject":"Quebec 100Hz power failure","project_id":79,"tracker_id":40,"status_id":1,"priority_id":2,"assigned_to_id":23,"start_date":"2016-09-07","description":"","custom_fields":[{"id":1,"name":"Subdivision","value":"EC"},{"id":4,"name":"Milepost","value":"5.4805"},{"id":17,"name":"Train ID","value":"205-07"},{"id":16,"name":"Locomotive ID","value":"4046"},{"id":130,"name":"Impact","value":""},{"id":150,"name":"Time of Event (Mountain Time)","value":"16:56:32"},{"id":151,"name":"Denver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</row>
    <row r="120" spans="1:38" s="22" customFormat="1" x14ac:dyDescent="0.25">
      <c r="A120" s="38" t="s">
        <v>495</v>
      </c>
      <c r="B120" s="7">
        <v>4046</v>
      </c>
      <c r="C120" s="23" t="s">
        <v>111</v>
      </c>
      <c r="D120" s="23" t="s">
        <v>615</v>
      </c>
      <c r="E120" s="15">
        <v>42620.708182870374</v>
      </c>
      <c r="F120" s="15">
        <v>42620.709224537037</v>
      </c>
      <c r="G120" s="7">
        <v>0</v>
      </c>
      <c r="H120" s="15" t="s">
        <v>616</v>
      </c>
      <c r="I120" s="15">
        <v>42620.724050925928</v>
      </c>
      <c r="J120" s="7">
        <v>0</v>
      </c>
      <c r="K120" s="115" t="str">
        <f t="shared" si="26"/>
        <v>4045/4046</v>
      </c>
      <c r="L120" s="23" t="str">
        <f>VLOOKUP(A120,'Trips&amp;Operators'!$C$1:$E$10000,3,FALSE)</f>
        <v>HELVIE</v>
      </c>
      <c r="M120" s="6">
        <f t="shared" si="27"/>
        <v>1.4826388891378883E-2</v>
      </c>
      <c r="N120" s="7"/>
      <c r="O120" s="7"/>
      <c r="P120" s="7"/>
      <c r="Q120" s="24"/>
      <c r="R120" s="24"/>
      <c r="S120" s="36"/>
      <c r="T120" s="51" t="str">
        <f t="shared" si="30"/>
        <v>NorthBound</v>
      </c>
      <c r="U120" s="17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3</v>
      </c>
      <c r="V120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15:59:47-0600',mode:absolute,to:'2016-09-07 18:22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20" s="177" t="str">
        <f t="shared" si="31"/>
        <v>Y</v>
      </c>
      <c r="X120" s="177">
        <f t="shared" si="41"/>
        <v>0</v>
      </c>
      <c r="Y120" s="177">
        <f t="shared" si="32"/>
        <v>6.4698000000000002</v>
      </c>
      <c r="Z120" s="67">
        <f t="shared" si="42"/>
        <v>23.328199999999999</v>
      </c>
      <c r="AA120" s="67">
        <f t="shared" si="33"/>
        <v>16.8584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34"/>
        <v>0205-07</v>
      </c>
      <c r="AE120" s="97" t="str">
        <f t="shared" si="35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120" s="94" t="str">
        <f t="shared" si="36"/>
        <v>"C:\Program Files (x86)\AstroGrep\AstroGrep.exe" /spath="%USERPROFILE%\AppData\Local\Temp\OnboardLogs" /stypes="*4046*20160907*" /stext=" 23:.+((SYSTEM_STATE.+slice.+state.+changed )|(ment ac)|(system.+state.+changed )|(\|lc)|(penalty)|(\[timeout)|(PRM\|1\|D)|(kpr)|(kdp))" /e /r /s</v>
      </c>
      <c r="AG120" s="1" t="str">
        <f t="shared" si="37"/>
        <v>EC</v>
      </c>
      <c r="AH120" s="98" t="str">
        <f t="shared" si="38"/>
        <v>"%USERPROFILE%\Documents\GitHub\eaglep3\Utilities\RefineRTDCRunTimes.py" --tripid 205-07 --locoid 4046 --swversion DE.1.0.7.0 --startMP 204:64698 --initTime 2016-09-07T16:59:47 --startdatetime 2016-09-07T17:01:17 --delay 0 --endMP 204:233282 --enddatetime 2016-09-07T17:22:38 --enforcementcount 0 &gt;&gt;C:\Users\stu\Documents\GitHub\eaglep3-reporting\EC\2016-09-07-refined-times.txt</v>
      </c>
      <c r="AI120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{"issue":{"subject":"","project_id":79,"tracker_id":40,"status_id":1,"priority_id":2,"assigned_to_id":23,"start_date":"2016-09-07","description":"","custom_fields":[{"id":1,"name":"Subdivision","value":"EC"},{"id":4,"name":"Milepost","value":"16.8584"},{"id":17,"name":"Train ID","value":"205-07"},{"id":16,"name":"Locomotive ID","value":"4046"},{"id":130,"name":"Impact","value":""},{"id":150,"name":"Time of Event (Mountain Time)","value":"17:22:38"},{"id":151,"name":"Denver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</row>
    <row r="121" spans="1:38" s="22" customFormat="1" x14ac:dyDescent="0.25">
      <c r="A121" s="38" t="s">
        <v>507</v>
      </c>
      <c r="B121" s="7">
        <v>4045</v>
      </c>
      <c r="C121" s="23" t="s">
        <v>111</v>
      </c>
      <c r="D121" s="23" t="s">
        <v>326</v>
      </c>
      <c r="E121" s="15">
        <v>42620.734456018516</v>
      </c>
      <c r="F121" s="15">
        <v>42620.736979166664</v>
      </c>
      <c r="G121" s="7">
        <v>1</v>
      </c>
      <c r="H121" s="15" t="s">
        <v>134</v>
      </c>
      <c r="I121" s="15">
        <v>42620.763182870367</v>
      </c>
      <c r="J121" s="7">
        <v>0</v>
      </c>
      <c r="K121" s="115" t="str">
        <f t="shared" si="26"/>
        <v>4045/4046</v>
      </c>
      <c r="L121" s="23" t="str">
        <f>VLOOKUP(A121,'Trips&amp;Operators'!$C$1:$E$10000,3,FALSE)</f>
        <v>HELVIE</v>
      </c>
      <c r="M121" s="6">
        <f t="shared" si="27"/>
        <v>2.6203703702776693E-2</v>
      </c>
      <c r="N121" s="7">
        <f t="shared" ref="N121:N152" si="44">24*60*SUM($M121:$M121)</f>
        <v>37.733333331998438</v>
      </c>
      <c r="O121" s="7"/>
      <c r="P121" s="7"/>
      <c r="Q121" s="24"/>
      <c r="R121" s="24"/>
      <c r="S121" s="36">
        <f t="shared" ref="S121:S152" si="45">SUM(U121:U121)/IF(AG121="EC",12,1)</f>
        <v>1</v>
      </c>
      <c r="T121" s="51" t="str">
        <f t="shared" si="30"/>
        <v>Southbound</v>
      </c>
      <c r="U121" s="17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16:37:37-0600',mode:absolute,to:'2016-09-07 19:18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21" s="177" t="str">
        <f t="shared" si="31"/>
        <v>N</v>
      </c>
      <c r="X121" s="177">
        <f t="shared" si="41"/>
        <v>1</v>
      </c>
      <c r="Y121" s="177">
        <f t="shared" si="32"/>
        <v>23.295500000000001</v>
      </c>
      <c r="Z121" s="67">
        <f t="shared" si="42"/>
        <v>1.49E-2</v>
      </c>
      <c r="AA121" s="67">
        <f t="shared" si="33"/>
        <v>23.2806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34"/>
        <v>0206-07</v>
      </c>
      <c r="AE121" s="97" t="str">
        <f t="shared" si="35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121" s="94" t="str">
        <f t="shared" si="36"/>
        <v>"C:\Program Files (x86)\AstroGrep\AstroGrep.exe" /spath="%USERPROFILE%\AppData\Local\Temp\OnboardLogs" /stypes="*4045*20160908*" /stext=" 00:.+((SYSTEM_STATE.+slice.+state.+changed )|(ment ac)|(system.+state.+changed )|(\|lc)|(penalty)|(\[timeout)|(PRM\|1\|D)|(kpr)|(kdp))" /e /r /s</v>
      </c>
      <c r="AG121" s="1" t="str">
        <f t="shared" si="37"/>
        <v>EC</v>
      </c>
      <c r="AH121" s="98" t="str">
        <f t="shared" si="38"/>
        <v>"%USERPROFILE%\Documents\GitHub\eaglep3\Utilities\RefineRTDCRunTimes.py" --tripid 206-07 --locoid 4045 --swversion DE.1.0.7.0 --startMP 204:232955 --initTime 2016-09-07T17:37:37 --startdatetime 2016-09-07T17:41:15 --delay 1 --endMP 204:149 --enddatetime 2016-09-07T18:18:59 --enforcementcount 0 &gt;&gt;C:\Users\stu\Documents\GitHub\eaglep3-reporting\EC\2016-09-07-refined-times.txt</v>
      </c>
      <c r="AI121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{"issue":{"subject":"","project_id":79,"tracker_id":40,"status_id":1,"priority_id":2,"assigned_to_id":23,"start_date":"2016-09-07","description":"","custom_fields":[{"id":1,"name":"Subdivision","value":"EC"},{"id":4,"name":"Milepost","value":"23.2806"},{"id":17,"name":"Train ID","value":"206-07"},{"id":16,"name":"Locomotive ID","value":"4045"},{"id":130,"name":"Impact","value":""},{"id":150,"name":"Time of Event (Mountain Time)","value":"18:18:59"},{"id":151,"name":"Denver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</row>
    <row r="122" spans="1:38" s="22" customFormat="1" x14ac:dyDescent="0.25">
      <c r="A122" s="38" t="s">
        <v>498</v>
      </c>
      <c r="B122" s="7">
        <v>4011</v>
      </c>
      <c r="C122" s="23" t="s">
        <v>111</v>
      </c>
      <c r="D122" s="23" t="s">
        <v>204</v>
      </c>
      <c r="E122" s="15">
        <v>42620.703819444447</v>
      </c>
      <c r="F122" s="15">
        <v>42620.708912037036</v>
      </c>
      <c r="G122" s="7">
        <v>0</v>
      </c>
      <c r="H122" s="15" t="s">
        <v>214</v>
      </c>
      <c r="I122" s="15">
        <v>42620.733969907407</v>
      </c>
      <c r="J122" s="7">
        <v>0</v>
      </c>
      <c r="K122" s="115" t="str">
        <f t="shared" si="26"/>
        <v>4011/4012</v>
      </c>
      <c r="L122" s="23" t="str">
        <f>VLOOKUP(A122,'Trips&amp;Operators'!$C$1:$E$10000,3,FALSE)</f>
        <v>ISHMAEL</v>
      </c>
      <c r="M122" s="6">
        <f t="shared" si="27"/>
        <v>2.5057870370801538E-2</v>
      </c>
      <c r="N122" s="7">
        <f t="shared" si="44"/>
        <v>36.083333333954215</v>
      </c>
      <c r="O122" s="7"/>
      <c r="P122" s="7"/>
      <c r="Q122" s="24"/>
      <c r="R122" s="24"/>
      <c r="S122" s="36">
        <f t="shared" si="45"/>
        <v>1</v>
      </c>
      <c r="T122" s="51" t="str">
        <f t="shared" si="30"/>
        <v>NorthBound</v>
      </c>
      <c r="U122" s="17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15:53:30-0600',mode:absolute,to:'2016-09-07 18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22" s="177" t="str">
        <f t="shared" si="31"/>
        <v>N</v>
      </c>
      <c r="X122" s="177">
        <f t="shared" si="41"/>
        <v>1</v>
      </c>
      <c r="Y122" s="177">
        <f t="shared" si="32"/>
        <v>4.6600000000000003E-2</v>
      </c>
      <c r="Z122" s="67">
        <f t="shared" si="42"/>
        <v>23.330200000000001</v>
      </c>
      <c r="AA122" s="67">
        <f t="shared" si="33"/>
        <v>23.2836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34"/>
        <v>0207-07</v>
      </c>
      <c r="AE122" s="97" t="str">
        <f t="shared" si="35"/>
        <v>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 &amp; 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</v>
      </c>
      <c r="AF122" s="94" t="str">
        <f t="shared" si="36"/>
        <v>"C:\Program Files (x86)\AstroGrep\AstroGrep.exe" /spath="%USERPROFILE%\AppData\Local\Temp\OnboardLogs" /stypes="*4011*20160907*" /stext=" 23:.+((SYSTEM_STATE.+slice.+state.+changed )|(ment ac)|(system.+state.+changed )|(\|lc)|(penalty)|(\[timeout)|(PRM\|1\|D)|(kpr)|(kdp))" /e /r /s</v>
      </c>
      <c r="AG122" s="1" t="str">
        <f t="shared" si="37"/>
        <v>EC</v>
      </c>
      <c r="AH122" s="98" t="str">
        <f t="shared" si="38"/>
        <v>"%USERPROFILE%\Documents\GitHub\eaglep3\Utilities\RefineRTDCRunTimes.py" --tripid 207-07 --locoid 4011 --swversion DE.1.0.7.0 --startMP 204:466 --initTime 2016-09-07T16:53:30 --startdatetime 2016-09-07T17:00:50 --delay 0 --endMP 204:233302 --enddatetime 2016-09-07T17:36:55 --enforcementcount 0 &gt;&gt;C:\Users\stu\Documents\GitHub\eaglep3-reporting\EC\2016-09-07-refined-times.txt</v>
      </c>
      <c r="AI122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{"issue":{"subject":"","project_id":79,"tracker_id":40,"status_id":1,"priority_id":2,"assigned_to_id":23,"start_date":"2016-09-07","description":"","custom_fields":[{"id":1,"name":"Subdivision","value":"EC"},{"id":4,"name":"Milepost","value":"23.2836"},{"id":17,"name":"Train ID","value":"207-07"},{"id":16,"name":"Locomotive ID","value":"4011"},{"id":130,"name":"Impact","value":""},{"id":150,"name":"Time of Event (Mountain Time)","value":"17:36:55"},{"id":151,"name":"Denver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</row>
    <row r="123" spans="1:38" s="22" customFormat="1" x14ac:dyDescent="0.25">
      <c r="A123" s="38" t="s">
        <v>511</v>
      </c>
      <c r="B123" s="7">
        <v>4012</v>
      </c>
      <c r="C123" s="23" t="s">
        <v>111</v>
      </c>
      <c r="D123" s="23" t="s">
        <v>603</v>
      </c>
      <c r="E123" s="15">
        <v>42620.741030092591</v>
      </c>
      <c r="F123" s="15">
        <v>42620.747534722221</v>
      </c>
      <c r="G123" s="7">
        <v>1</v>
      </c>
      <c r="H123" s="15" t="s">
        <v>130</v>
      </c>
      <c r="I123" s="15">
        <v>42620.774444444447</v>
      </c>
      <c r="J123" s="7">
        <v>0</v>
      </c>
      <c r="K123" s="115" t="str">
        <f t="shared" si="26"/>
        <v>4011/4012</v>
      </c>
      <c r="L123" s="23" t="str">
        <f>VLOOKUP(A123,'Trips&amp;Operators'!$C$1:$E$10000,3,FALSE)</f>
        <v>ISHMAEL</v>
      </c>
      <c r="M123" s="6">
        <f t="shared" si="27"/>
        <v>2.6909722226264421E-2</v>
      </c>
      <c r="N123" s="7">
        <f t="shared" si="44"/>
        <v>38.750000005820766</v>
      </c>
      <c r="O123" s="7"/>
      <c r="P123" s="7"/>
      <c r="Q123" s="24"/>
      <c r="R123" s="24"/>
      <c r="S123" s="36">
        <f t="shared" si="45"/>
        <v>1</v>
      </c>
      <c r="T123" s="51" t="str">
        <f t="shared" si="30"/>
        <v>Southbound</v>
      </c>
      <c r="U123" s="17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16:47:05-0600',mode:absolute,to:'2016-09-07 19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23" s="177" t="str">
        <f t="shared" si="31"/>
        <v>N</v>
      </c>
      <c r="X123" s="177">
        <f t="shared" si="41"/>
        <v>1</v>
      </c>
      <c r="Y123" s="177">
        <f t="shared" si="32"/>
        <v>23.2987</v>
      </c>
      <c r="Z123" s="67">
        <f t="shared" si="42"/>
        <v>1.47E-2</v>
      </c>
      <c r="AA123" s="67">
        <f t="shared" si="33"/>
        <v>23.283999999999999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34"/>
        <v>0208-07</v>
      </c>
      <c r="AE123" s="97" t="str">
        <f t="shared" si="35"/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AF123" s="94" t="str">
        <f t="shared" si="36"/>
        <v>"C:\Program Files (x86)\AstroGrep\AstroGrep.exe" /spath="%USERPROFILE%\AppData\Local\Temp\OnboardLogs" /stypes="*4012*20160908*" /stext=" 00:.+((SYSTEM_STATE.+slice.+state.+changed )|(ment ac)|(system.+state.+changed )|(\|lc)|(penalty)|(\[timeout)|(PRM\|1\|D)|(kpr)|(kdp))" /e /r /s</v>
      </c>
      <c r="AG123" s="1" t="str">
        <f t="shared" si="37"/>
        <v>EC</v>
      </c>
      <c r="AH123" s="98" t="str">
        <f t="shared" si="38"/>
        <v>"%USERPROFILE%\Documents\GitHub\eaglep3\Utilities\RefineRTDCRunTimes.py" --tripid 208-07 --locoid 4012 --swversion DE.1.0.7.0 --startMP 204:232987 --initTime 2016-09-07T17:47:05 --startdatetime 2016-09-07T17:56:27 --delay 1 --endMP 204:147 --enddatetime 2016-09-07T18:35:12 --enforcementcount 0 &gt;&gt;C:\Users\stu\Documents\GitHub\eaglep3-reporting\EC\2016-09-07-refined-times.txt</v>
      </c>
      <c r="AI123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{"issue":{"subject":"","project_id":79,"tracker_id":40,"status_id":1,"priority_id":2,"assigned_to_id":23,"start_date":"2016-09-07","description":"","custom_fields":[{"id":1,"name":"Subdivision","value":"EC"},{"id":4,"name":"Milepost","value":"23.284"},{"id":17,"name":"Train ID","value":"208-07"},{"id":16,"name":"Locomotive ID","value":"4012"},{"id":130,"name":"Impact","value":""},{"id":150,"name":"Time of Event (Mountain Time)","value":"18:35:12"},{"id":151,"name":"Denver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</row>
    <row r="124" spans="1:38" s="22" customFormat="1" x14ac:dyDescent="0.25">
      <c r="A124" s="38" t="s">
        <v>503</v>
      </c>
      <c r="B124" s="7">
        <v>4009</v>
      </c>
      <c r="C124" s="23" t="s">
        <v>111</v>
      </c>
      <c r="D124" s="23" t="s">
        <v>617</v>
      </c>
      <c r="E124" s="15">
        <v>42620.721666666665</v>
      </c>
      <c r="F124" s="15">
        <v>42620.723553240743</v>
      </c>
      <c r="G124" s="7">
        <v>1</v>
      </c>
      <c r="H124" s="15" t="s">
        <v>224</v>
      </c>
      <c r="I124" s="15">
        <v>42620.751585648148</v>
      </c>
      <c r="J124" s="7">
        <v>0</v>
      </c>
      <c r="K124" s="115" t="str">
        <f t="shared" si="26"/>
        <v>4009/4010</v>
      </c>
      <c r="L124" s="23" t="str">
        <f>VLOOKUP(A124,'Trips&amp;Operators'!$C$1:$E$10000,3,FALSE)</f>
        <v>STURGEON</v>
      </c>
      <c r="M124" s="6">
        <f t="shared" si="27"/>
        <v>2.8032407404680271E-2</v>
      </c>
      <c r="N124" s="7">
        <f t="shared" si="44"/>
        <v>40.36666666273959</v>
      </c>
      <c r="O124" s="7"/>
      <c r="P124" s="7"/>
      <c r="Q124" s="24"/>
      <c r="R124" s="24"/>
      <c r="S124" s="36">
        <f t="shared" si="45"/>
        <v>1</v>
      </c>
      <c r="T124" s="51" t="str">
        <f t="shared" si="30"/>
        <v>NorthBound</v>
      </c>
      <c r="U124" s="17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16:19:12-0600',mode:absolute,to:'2016-09-07 19:02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24" s="177" t="str">
        <f t="shared" si="31"/>
        <v>N</v>
      </c>
      <c r="X124" s="177">
        <f t="shared" si="41"/>
        <v>1</v>
      </c>
      <c r="Y124" s="177">
        <f t="shared" si="32"/>
        <v>5.0900000000000001E-2</v>
      </c>
      <c r="Z124" s="67">
        <f t="shared" si="42"/>
        <v>23.327999999999999</v>
      </c>
      <c r="AA124" s="67">
        <f t="shared" si="33"/>
        <v>23.277100000000001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34"/>
        <v>0209-07</v>
      </c>
      <c r="AE124" s="97" t="str">
        <f t="shared" si="35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124" s="94" t="str">
        <f t="shared" si="36"/>
        <v>"C:\Program Files (x86)\AstroGrep\AstroGrep.exe" /spath="%USERPROFILE%\AppData\Local\Temp\OnboardLogs" /stypes="*4009*20160908*" /stext=" 00:.+((SYSTEM_STATE.+slice.+state.+changed )|(ment ac)|(system.+state.+changed )|(\|lc)|(penalty)|(\[timeout)|(PRM\|1\|D)|(kpr)|(kdp))" /e /r /s</v>
      </c>
      <c r="AG124" s="1" t="str">
        <f t="shared" si="37"/>
        <v>EC</v>
      </c>
      <c r="AH124" s="98" t="str">
        <f t="shared" si="38"/>
        <v>"%USERPROFILE%\Documents\GitHub\eaglep3\Utilities\RefineRTDCRunTimes.py" --tripid 209-07 --locoid 4009 --swversion DE.1.0.7.0 --startMP 204:509 --initTime 2016-09-07T17:19:12 --startdatetime 2016-09-07T17:21:55 --delay 1 --endMP 204:233280 --enddatetime 2016-09-07T18:02:17 --enforcementcount 0 &gt;&gt;C:\Users\stu\Documents\GitHub\eaglep3-reporting\EC\2016-09-07-refined-times.txt</v>
      </c>
      <c r="AI124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{"issue":{"subject":"","project_id":79,"tracker_id":40,"status_id":1,"priority_id":2,"assigned_to_id":23,"start_date":"2016-09-07","description":"","custom_fields":[{"id":1,"name":"Subdivision","value":"EC"},{"id":4,"name":"Milepost","value":"23.2771"},{"id":17,"name":"Train ID","value":"209-07"},{"id":16,"name":"Locomotive ID","value":"4009"},{"id":130,"name":"Impact","value":""},{"id":150,"name":"Time of Event (Mountain Time)","value":"18:02:17"},{"id":151,"name":"Denver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</row>
    <row r="125" spans="1:38" s="22" customFormat="1" x14ac:dyDescent="0.25">
      <c r="A125" s="38" t="s">
        <v>514</v>
      </c>
      <c r="B125" s="7">
        <v>4010</v>
      </c>
      <c r="C125" s="23" t="s">
        <v>111</v>
      </c>
      <c r="D125" s="23" t="s">
        <v>618</v>
      </c>
      <c r="E125" s="15">
        <v>42620.753738425927</v>
      </c>
      <c r="F125" s="15">
        <v>42620.758020833331</v>
      </c>
      <c r="G125" s="7">
        <v>1</v>
      </c>
      <c r="H125" s="15" t="s">
        <v>154</v>
      </c>
      <c r="I125" s="15">
        <v>42620.785601851851</v>
      </c>
      <c r="J125" s="7">
        <v>0</v>
      </c>
      <c r="K125" s="115" t="str">
        <f t="shared" si="26"/>
        <v>4009/4010</v>
      </c>
      <c r="L125" s="23" t="str">
        <f>VLOOKUP(A125,'Trips&amp;Operators'!$C$1:$E$10000,3,FALSE)</f>
        <v>STURGEON</v>
      </c>
      <c r="M125" s="6">
        <f t="shared" si="27"/>
        <v>2.7581018519413192E-2</v>
      </c>
      <c r="N125" s="7">
        <f t="shared" si="44"/>
        <v>39.716666667954996</v>
      </c>
      <c r="O125" s="7"/>
      <c r="P125" s="7"/>
      <c r="Q125" s="24"/>
      <c r="R125" s="24"/>
      <c r="S125" s="36">
        <f t="shared" si="45"/>
        <v>1</v>
      </c>
      <c r="T125" s="51" t="str">
        <f t="shared" si="30"/>
        <v>Southbound</v>
      </c>
      <c r="U125" s="17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17:05:23-0600',mode:absolute,to:'2016-09-07 19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25" s="177" t="str">
        <f t="shared" si="31"/>
        <v>N</v>
      </c>
      <c r="X125" s="177">
        <f t="shared" si="41"/>
        <v>1</v>
      </c>
      <c r="Y125" s="177">
        <f t="shared" si="32"/>
        <v>23.296299999999999</v>
      </c>
      <c r="Z125" s="67">
        <f t="shared" si="42"/>
        <v>1.6E-2</v>
      </c>
      <c r="AA125" s="67">
        <f t="shared" si="33"/>
        <v>23.2803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34"/>
        <v>0210-07</v>
      </c>
      <c r="AE125" s="97" t="str">
        <f t="shared" si="35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125" s="94" t="str">
        <f t="shared" si="36"/>
        <v>"C:\Program Files (x86)\AstroGrep\AstroGrep.exe" /spath="%USERPROFILE%\AppData\Local\Temp\OnboardLogs" /stypes="*4010*20160908*" /stext=" 00:.+((SYSTEM_STATE.+slice.+state.+changed )|(ment ac)|(system.+state.+changed )|(\|lc)|(penalty)|(\[timeout)|(PRM\|1\|D)|(kpr)|(kdp))" /e /r /s</v>
      </c>
      <c r="AG125" s="1" t="str">
        <f t="shared" si="37"/>
        <v>EC</v>
      </c>
      <c r="AH125" s="98" t="str">
        <f t="shared" si="38"/>
        <v>"%USERPROFILE%\Documents\GitHub\eaglep3\Utilities\RefineRTDCRunTimes.py" --tripid 210-07 --locoid 4010 --swversion DE.1.0.7.0 --startMP 204:232963 --initTime 2016-09-07T18:05:23 --startdatetime 2016-09-07T18:11:33 --delay 1 --endMP 204:160 --enddatetime 2016-09-07T18:51:16 --enforcementcount 0 &gt;&gt;C:\Users\stu\Documents\GitHub\eaglep3-reporting\EC\2016-09-07-refined-times.txt</v>
      </c>
      <c r="AI125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{"issue":{"subject":"","project_id":79,"tracker_id":40,"status_id":1,"priority_id":2,"assigned_to_id":23,"start_date":"2016-09-07","description":"","custom_fields":[{"id":1,"name":"Subdivision","value":"EC"},{"id":4,"name":"Milepost","value":"23.2803"},{"id":17,"name":"Train ID","value":"210-07"},{"id":16,"name":"Locomotive ID","value":"4010"},{"id":130,"name":"Impact","value":""},{"id":150,"name":"Time of Event (Mountain Time)","value":"18:51:16"},{"id":151,"name":"Denver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</row>
    <row r="126" spans="1:38" s="22" customFormat="1" x14ac:dyDescent="0.25">
      <c r="A126" s="38" t="s">
        <v>506</v>
      </c>
      <c r="B126" s="7">
        <v>4014</v>
      </c>
      <c r="C126" s="23" t="s">
        <v>111</v>
      </c>
      <c r="D126" s="23" t="s">
        <v>312</v>
      </c>
      <c r="E126" s="15">
        <v>42620.728391203702</v>
      </c>
      <c r="F126" s="15">
        <v>42620.730034722219</v>
      </c>
      <c r="G126" s="7">
        <v>1</v>
      </c>
      <c r="H126" s="15" t="s">
        <v>214</v>
      </c>
      <c r="I126" s="15">
        <v>42620.755196759259</v>
      </c>
      <c r="J126" s="7">
        <v>0</v>
      </c>
      <c r="K126" s="115" t="str">
        <f t="shared" si="26"/>
        <v>4013/4014</v>
      </c>
      <c r="L126" s="23" t="str">
        <f>VLOOKUP(A126,'Trips&amp;Operators'!$C$1:$E$10000,3,FALSE)</f>
        <v>STORY</v>
      </c>
      <c r="M126" s="6">
        <f t="shared" si="27"/>
        <v>2.5162037039990537E-2</v>
      </c>
      <c r="N126" s="7">
        <f t="shared" si="44"/>
        <v>36.233333337586373</v>
      </c>
      <c r="O126" s="7"/>
      <c r="P126" s="7"/>
      <c r="Q126" s="24"/>
      <c r="R126" s="24"/>
      <c r="S126" s="36">
        <f t="shared" si="45"/>
        <v>1</v>
      </c>
      <c r="T126" s="51" t="str">
        <f t="shared" si="30"/>
        <v>NorthBound</v>
      </c>
      <c r="U126" s="17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16:28:53-0600',mode:absolute,to:'2016-09-07 19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26" s="177" t="str">
        <f t="shared" si="31"/>
        <v>N</v>
      </c>
      <c r="X126" s="177">
        <f t="shared" si="41"/>
        <v>1</v>
      </c>
      <c r="Y126" s="177">
        <f t="shared" si="32"/>
        <v>4.7500000000000001E-2</v>
      </c>
      <c r="Z126" s="67">
        <f t="shared" si="42"/>
        <v>23.330200000000001</v>
      </c>
      <c r="AA126" s="67">
        <f t="shared" si="33"/>
        <v>23.282700000000002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34"/>
        <v>0211-07</v>
      </c>
      <c r="AE126" s="97" t="str">
        <f t="shared" si="35"/>
        <v>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 &amp; 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</v>
      </c>
      <c r="AF126" s="94" t="str">
        <f t="shared" si="36"/>
        <v>"C:\Program Files (x86)\AstroGrep\AstroGrep.exe" /spath="%USERPROFILE%\AppData\Local\Temp\OnboardLogs" /stypes="*4014*20160908*" /stext=" 00:.+((SYSTEM_STATE.+slice.+state.+changed )|(ment ac)|(system.+state.+changed )|(\|lc)|(penalty)|(\[timeout)|(PRM\|1\|D)|(kpr)|(kdp))" /e /r /s</v>
      </c>
      <c r="AG126" s="1" t="str">
        <f t="shared" si="37"/>
        <v>EC</v>
      </c>
      <c r="AH126" s="98" t="str">
        <f t="shared" si="38"/>
        <v>"%USERPROFILE%\Documents\GitHub\eaglep3\Utilities\RefineRTDCRunTimes.py" --tripid 211-07 --locoid 4014 --swversion DE.1.0.7.0 --startMP 204:475 --initTime 2016-09-07T17:28:53 --startdatetime 2016-09-07T17:31:15 --delay 1 --endMP 204:233302 --enddatetime 2016-09-07T18:07:29 --enforcementcount 0 &gt;&gt;C:\Users\stu\Documents\GitHub\eaglep3-reporting\EC\2016-09-07-refined-times.txt</v>
      </c>
      <c r="AI126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{"issue":{"subject":"","project_id":79,"tracker_id":40,"status_id":1,"priority_id":2,"assigned_to_id":23,"start_date":"2016-09-07","description":"","custom_fields":[{"id":1,"name":"Subdivision","value":"EC"},{"id":4,"name":"Milepost","value":"23.2827"},{"id":17,"name":"Train ID","value":"211-07"},{"id":16,"name":"Locomotive ID","value":"4014"},{"id":130,"name":"Impact","value":""},{"id":150,"name":"Time of Event (Mountain Time)","value":"18:07:29"},{"id":151,"name":"Denver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</row>
    <row r="127" spans="1:38" x14ac:dyDescent="0.25">
      <c r="A127" s="38" t="s">
        <v>518</v>
      </c>
      <c r="B127" s="7">
        <v>4013</v>
      </c>
      <c r="C127" s="23" t="s">
        <v>111</v>
      </c>
      <c r="D127" s="23" t="s">
        <v>323</v>
      </c>
      <c r="E127" s="15">
        <v>42620.762141203704</v>
      </c>
      <c r="F127" s="15">
        <v>42620.768252314818</v>
      </c>
      <c r="G127" s="7">
        <v>1</v>
      </c>
      <c r="H127" s="15" t="s">
        <v>129</v>
      </c>
      <c r="I127" s="15">
        <v>42620.795856481483</v>
      </c>
      <c r="J127" s="7">
        <v>0</v>
      </c>
      <c r="K127" s="115" t="str">
        <f t="shared" si="26"/>
        <v>4013/4014</v>
      </c>
      <c r="L127" s="23" t="str">
        <f>VLOOKUP(A127,'Trips&amp;Operators'!$C$1:$E$10000,3,FALSE)</f>
        <v>STORY</v>
      </c>
      <c r="M127" s="6">
        <f t="shared" si="27"/>
        <v>2.7604166665696539E-2</v>
      </c>
      <c r="N127" s="7">
        <f t="shared" si="44"/>
        <v>39.749999998603016</v>
      </c>
      <c r="O127" s="7"/>
      <c r="P127" s="7"/>
      <c r="Q127" s="24"/>
      <c r="R127" s="24"/>
      <c r="S127" s="36">
        <f t="shared" si="45"/>
        <v>1</v>
      </c>
      <c r="T127" s="51" t="str">
        <f t="shared" si="30"/>
        <v>Southbound</v>
      </c>
      <c r="U127" s="17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17:17:29-0600',mode:absolute,to:'2016-09-07 20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27" s="177" t="str">
        <f t="shared" si="31"/>
        <v>N</v>
      </c>
      <c r="X127" s="177">
        <f t="shared" si="41"/>
        <v>1</v>
      </c>
      <c r="Y127" s="177">
        <f t="shared" si="32"/>
        <v>23.3002</v>
      </c>
      <c r="Z127" s="67">
        <f t="shared" si="42"/>
        <v>1.5800000000000002E-2</v>
      </c>
      <c r="AA127" s="67">
        <f t="shared" si="33"/>
        <v>23.284400000000002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34"/>
        <v>0212-07</v>
      </c>
      <c r="AE127" s="97" t="str">
        <f t="shared" si="35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127" s="94" t="str">
        <f t="shared" si="36"/>
        <v>"C:\Program Files (x86)\AstroGrep\AstroGrep.exe" /spath="%USERPROFILE%\AppData\Local\Temp\OnboardLogs" /stypes="*4013*20160908*" /stext=" 01:.+((SYSTEM_STATE.+slice.+state.+changed )|(ment ac)|(system.+state.+changed )|(\|lc)|(penalty)|(\[timeout)|(PRM\|1\|D)|(kpr)|(kdp))" /e /r /s</v>
      </c>
      <c r="AG127" s="1" t="str">
        <f t="shared" si="37"/>
        <v>EC</v>
      </c>
      <c r="AH127" s="98" t="str">
        <f t="shared" si="38"/>
        <v>"%USERPROFILE%\Documents\GitHub\eaglep3\Utilities\RefineRTDCRunTimes.py" --tripid 212-07 --locoid 4013 --swversion DE.1.0.7.0 --startMP 204:233002 --initTime 2016-09-07T18:17:29 --startdatetime 2016-09-07T18:26:17 --delay 1 --endMP 204:158 --enddatetime 2016-09-07T19:06:02 --enforcementcount 0 &gt;&gt;C:\Users\stu\Documents\GitHub\eaglep3-reporting\EC\2016-09-07-refined-times.txt</v>
      </c>
      <c r="AI127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{"issue":{"subject":"","project_id":79,"tracker_id":40,"status_id":1,"priority_id":2,"assigned_to_id":23,"start_date":"2016-09-07","description":"","custom_fields":[{"id":1,"name":"Subdivision","value":"EC"},{"id":4,"name":"Milepost","value":"23.2844"},{"id":17,"name":"Train ID","value":"212-07"},{"id":16,"name":"Locomotive ID","value":"4013"},{"id":130,"name":"Impact","value":""},{"id":150,"name":"Time of Event (Mountain Time)","value":"19:06:02"},{"id":151,"name":"Denver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</row>
    <row r="128" spans="1:38" x14ac:dyDescent="0.25">
      <c r="A128" s="38" t="s">
        <v>509</v>
      </c>
      <c r="B128" s="7">
        <v>4025</v>
      </c>
      <c r="C128" s="23" t="s">
        <v>111</v>
      </c>
      <c r="D128" s="23" t="s">
        <v>619</v>
      </c>
      <c r="E128" s="15">
        <v>42620.737569444442</v>
      </c>
      <c r="F128" s="15">
        <v>42620.739988425928</v>
      </c>
      <c r="G128" s="7">
        <v>1</v>
      </c>
      <c r="H128" s="15" t="s">
        <v>620</v>
      </c>
      <c r="I128" s="15">
        <v>42620.764398148145</v>
      </c>
      <c r="J128" s="7">
        <v>0</v>
      </c>
      <c r="K128" s="115" t="str">
        <f t="shared" si="26"/>
        <v>4025/4026</v>
      </c>
      <c r="L128" s="23" t="str">
        <f>VLOOKUP(A128,'Trips&amp;Operators'!$C$1:$E$10000,3,FALSE)</f>
        <v>STAMBAUGH</v>
      </c>
      <c r="M128" s="6">
        <f t="shared" si="27"/>
        <v>2.4409722216660157E-2</v>
      </c>
      <c r="N128" s="7">
        <f t="shared" si="44"/>
        <v>35.149999991990626</v>
      </c>
      <c r="O128" s="7"/>
      <c r="P128" s="7"/>
      <c r="Q128" s="24"/>
      <c r="R128" s="24"/>
      <c r="S128" s="36">
        <f t="shared" si="45"/>
        <v>1</v>
      </c>
      <c r="T128" s="51" t="str">
        <f t="shared" si="30"/>
        <v>NorthBound</v>
      </c>
      <c r="U128" s="17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16:42:06-0600',mode:absolute,to:'2016-09-07 19:20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28" s="177" t="str">
        <f t="shared" si="31"/>
        <v>N</v>
      </c>
      <c r="X128" s="177">
        <f t="shared" si="41"/>
        <v>1</v>
      </c>
      <c r="Y128" s="177">
        <f t="shared" si="32"/>
        <v>4.7699999999999999E-2</v>
      </c>
      <c r="Z128" s="67">
        <f t="shared" si="42"/>
        <v>23.335999999999999</v>
      </c>
      <c r="AA128" s="67">
        <f t="shared" si="33"/>
        <v>23.2883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34"/>
        <v>0213-07</v>
      </c>
      <c r="AE128" s="97" t="str">
        <f t="shared" si="35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128" s="94" t="str">
        <f t="shared" si="36"/>
        <v>"C:\Program Files (x86)\AstroGrep\AstroGrep.exe" /spath="%USERPROFILE%\AppData\Local\Temp\OnboardLogs" /stypes="*4025*20160908*" /stext=" 00:.+((SYSTEM_STATE.+slice.+state.+changed )|(ment ac)|(system.+state.+changed )|(\|lc)|(penalty)|(\[timeout)|(PRM\|1\|D)|(kpr)|(kdp))" /e /r /s</v>
      </c>
      <c r="AG128" s="1" t="str">
        <f t="shared" si="37"/>
        <v>EC</v>
      </c>
      <c r="AH128" s="98" t="str">
        <f t="shared" si="38"/>
        <v>"%USERPROFILE%\Documents\GitHub\eaglep3\Utilities\RefineRTDCRunTimes.py" --tripid 213-07 --locoid 4025 --swversion DE.1.0.7.0 --startMP 204:477 --initTime 2016-09-07T17:42:06 --startdatetime 2016-09-07T17:45:35 --delay 1 --endMP 204:233360 --enddatetime 2016-09-07T18:20:44 --enforcementcount 0 &gt;&gt;C:\Users\stu\Documents\GitHub\eaglep3-reporting\EC\2016-09-07-refined-times.txt</v>
      </c>
      <c r="AI128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{"issue":{"subject":"","project_id":79,"tracker_id":40,"status_id":1,"priority_id":2,"assigned_to_id":23,"start_date":"2016-09-07","description":"","custom_fields":[{"id":1,"name":"Subdivision","value":"EC"},{"id":4,"name":"Milepost","value":"23.2883"},{"id":17,"name":"Train ID","value":"213-07"},{"id":16,"name":"Locomotive ID","value":"4025"},{"id":130,"name":"Impact","value":""},{"id":150,"name":"Time of Event (Mountain Time)","value":"18:20:44"},{"id":151,"name":"Denver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</row>
    <row r="129" spans="1:38" s="22" customFormat="1" x14ac:dyDescent="0.25">
      <c r="A129" s="38" t="s">
        <v>522</v>
      </c>
      <c r="B129" s="7">
        <v>4026</v>
      </c>
      <c r="C129" s="23" t="s">
        <v>111</v>
      </c>
      <c r="D129" s="23" t="s">
        <v>621</v>
      </c>
      <c r="E129" s="15">
        <v>42620.773645833331</v>
      </c>
      <c r="F129" s="15">
        <v>42620.778726851851</v>
      </c>
      <c r="G129" s="7">
        <v>1</v>
      </c>
      <c r="H129" s="15" t="s">
        <v>622</v>
      </c>
      <c r="I129" s="15">
        <v>42620.804525462961</v>
      </c>
      <c r="J129" s="7">
        <v>0</v>
      </c>
      <c r="K129" s="115" t="str">
        <f t="shared" si="26"/>
        <v>4025/4026</v>
      </c>
      <c r="L129" s="23" t="str">
        <f>VLOOKUP(A129,'Trips&amp;Operators'!$C$1:$E$10000,3,FALSE)</f>
        <v>STAMBAUGH</v>
      </c>
      <c r="M129" s="6">
        <f t="shared" si="27"/>
        <v>2.5798611110076308E-2</v>
      </c>
      <c r="N129" s="7">
        <f t="shared" si="44"/>
        <v>37.149999998509884</v>
      </c>
      <c r="O129" s="7"/>
      <c r="P129" s="7"/>
      <c r="Q129" s="24"/>
      <c r="R129" s="24"/>
      <c r="S129" s="36">
        <f t="shared" si="45"/>
        <v>1</v>
      </c>
      <c r="T129" s="51" t="str">
        <f t="shared" si="30"/>
        <v>Southbound</v>
      </c>
      <c r="U129" s="17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17:34:03-0600',mode:absolute,to:'2016-09-07 20:18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29" s="177" t="str">
        <f t="shared" si="31"/>
        <v>N</v>
      </c>
      <c r="X129" s="177">
        <f t="shared" si="41"/>
        <v>1</v>
      </c>
      <c r="Y129" s="177">
        <f t="shared" si="32"/>
        <v>23.304400000000001</v>
      </c>
      <c r="Z129" s="67">
        <f t="shared" si="42"/>
        <v>1.23E-2</v>
      </c>
      <c r="AA129" s="67">
        <f t="shared" si="33"/>
        <v>23.292100000000001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34"/>
        <v>0214-07</v>
      </c>
      <c r="AE129" s="97" t="str">
        <f t="shared" si="35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129" s="94" t="str">
        <f t="shared" si="36"/>
        <v>"C:\Program Files (x86)\AstroGrep\AstroGrep.exe" /spath="%USERPROFILE%\AppData\Local\Temp\OnboardLogs" /stypes="*4026*20160908*" /stext=" 01:.+((SYSTEM_STATE.+slice.+state.+changed )|(ment ac)|(system.+state.+changed )|(\|lc)|(penalty)|(\[timeout)|(PRM\|1\|D)|(kpr)|(kdp))" /e /r /s</v>
      </c>
      <c r="AG129" s="1" t="str">
        <f t="shared" si="37"/>
        <v>EC</v>
      </c>
      <c r="AH129" s="98" t="str">
        <f t="shared" si="38"/>
        <v>"%USERPROFILE%\Documents\GitHub\eaglep3\Utilities\RefineRTDCRunTimes.py" --tripid 214-07 --locoid 4026 --swversion DE.1.0.7.0 --startMP 204:233044 --initTime 2016-09-07T18:34:03 --startdatetime 2016-09-07T18:41:22 --delay 1 --endMP 204:123 --enddatetime 2016-09-07T19:18:31 --enforcementcount 0 &gt;&gt;C:\Users\stu\Documents\GitHub\eaglep3-reporting\EC\2016-09-07-refined-times.txt</v>
      </c>
      <c r="AI129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{"issue":{"subject":"","project_id":79,"tracker_id":40,"status_id":1,"priority_id":2,"assigned_to_id":23,"start_date":"2016-09-07","description":"","custom_fields":[{"id":1,"name":"Subdivision","value":"EC"},{"id":4,"name":"Milepost","value":"23.2921"},{"id":17,"name":"Train ID","value":"214-07"},{"id":16,"name":"Locomotive ID","value":"4026"},{"id":130,"name":"Impact","value":""},{"id":150,"name":"Time of Event (Mountain Time)","value":"19:18:31"},{"id":151,"name":"Denver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</row>
    <row r="130" spans="1:38" x14ac:dyDescent="0.25">
      <c r="A130" s="38" t="s">
        <v>512</v>
      </c>
      <c r="B130" s="7">
        <v>4031</v>
      </c>
      <c r="C130" s="23" t="s">
        <v>111</v>
      </c>
      <c r="D130" s="23" t="s">
        <v>144</v>
      </c>
      <c r="E130" s="15">
        <v>42620.746319444443</v>
      </c>
      <c r="F130" s="15">
        <v>42620.750219907408</v>
      </c>
      <c r="G130" s="7">
        <v>1</v>
      </c>
      <c r="H130" s="15" t="s">
        <v>214</v>
      </c>
      <c r="I130" s="15">
        <v>42620.774664351855</v>
      </c>
      <c r="J130" s="7">
        <v>0</v>
      </c>
      <c r="K130" s="115" t="str">
        <f t="shared" si="26"/>
        <v>4031/4032</v>
      </c>
      <c r="L130" s="23" t="str">
        <f>VLOOKUP(A130,'Trips&amp;Operators'!$C$1:$E$10000,3,FALSE)</f>
        <v>DE LA ROSA</v>
      </c>
      <c r="M130" s="6">
        <f t="shared" si="27"/>
        <v>2.4444444446999114E-2</v>
      </c>
      <c r="N130" s="7">
        <f t="shared" si="44"/>
        <v>35.200000003678724</v>
      </c>
      <c r="O130" s="7"/>
      <c r="P130" s="7"/>
      <c r="Q130" s="24"/>
      <c r="R130" s="24"/>
      <c r="S130" s="36">
        <f t="shared" si="45"/>
        <v>1</v>
      </c>
      <c r="T130" s="51" t="str">
        <f t="shared" si="30"/>
        <v>NorthBound</v>
      </c>
      <c r="U130" s="17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16:54:42-0600',mode:absolute,to:'2016-09-07 19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30" s="177" t="str">
        <f t="shared" si="31"/>
        <v>N</v>
      </c>
      <c r="X130" s="177">
        <f t="shared" si="41"/>
        <v>1</v>
      </c>
      <c r="Y130" s="177">
        <f t="shared" si="32"/>
        <v>4.5100000000000001E-2</v>
      </c>
      <c r="Z130" s="67">
        <f t="shared" si="42"/>
        <v>23.330200000000001</v>
      </c>
      <c r="AA130" s="67">
        <f t="shared" si="33"/>
        <v>23.2851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34"/>
        <v>0215-07</v>
      </c>
      <c r="AE130" s="97" t="str">
        <f t="shared" si="35"/>
        <v>aws s3 cp s3://rtdc.mdm.uploadarchive/RTDC4031/2016-09-07/ "%USERPROFILE%\AppData\Local\Temp\OnboardLogs"\RTDC4031\2016-09-07 --recursive &amp; "%USERPROFILE%\Documents\GitHub\mrs-test-scripts\Headless Mode &amp; Sideloading\WalkAndUnGZ.bat" "%USERPROFILE%\AppData\Local\Temp\OnboardLogs"\RTDC4031\2016-09-07 &amp; 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</v>
      </c>
      <c r="AF130" s="94" t="str">
        <f t="shared" si="36"/>
        <v>"C:\Program Files (x86)\AstroGrep\AstroGrep.exe" /spath="%USERPROFILE%\AppData\Local\Temp\OnboardLogs" /stypes="*4031*20160908*" /stext=" 00:.+((SYSTEM_STATE.+slice.+state.+changed )|(ment ac)|(system.+state.+changed )|(\|lc)|(penalty)|(\[timeout)|(PRM\|1\|D)|(kpr)|(kdp))" /e /r /s</v>
      </c>
      <c r="AG130" s="1" t="str">
        <f t="shared" si="37"/>
        <v>EC</v>
      </c>
      <c r="AH130" s="98" t="str">
        <f t="shared" si="38"/>
        <v>"%USERPROFILE%\Documents\GitHub\eaglep3\Utilities\RefineRTDCRunTimes.py" --tripid 215-07 --locoid 4031 --swversion DE.1.0.7.0 --startMP 204:451 --initTime 2016-09-07T17:54:42 --startdatetime 2016-09-07T18:00:19 --delay 1 --endMP 204:233302 --enddatetime 2016-09-07T18:35:31 --enforcementcount 0 &gt;&gt;C:\Users\stu\Documents\GitHub\eaglep3-reporting\EC\2016-09-07-refined-times.txt</v>
      </c>
      <c r="AI130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{"issue":{"subject":"","project_id":79,"tracker_id":40,"status_id":1,"priority_id":2,"assigned_to_id":23,"start_date":"2016-09-07","description":"","custom_fields":[{"id":1,"name":"Subdivision","value":"EC"},{"id":4,"name":"Milepost","value":"23.2851"},{"id":17,"name":"Train ID","value":"215-07"},{"id":16,"name":"Locomotive ID","value":"4031"},{"id":130,"name":"Impact","value":""},{"id":150,"name":"Time of Event (Mountain Time)","value":"18:35:31"},{"id":151,"name":"Denver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</row>
    <row r="131" spans="1:38" x14ac:dyDescent="0.25">
      <c r="A131" s="38" t="s">
        <v>526</v>
      </c>
      <c r="B131" s="7">
        <v>4032</v>
      </c>
      <c r="C131" s="23" t="s">
        <v>111</v>
      </c>
      <c r="D131" s="23" t="s">
        <v>227</v>
      </c>
      <c r="E131" s="15">
        <v>42620.784953703704</v>
      </c>
      <c r="F131" s="15">
        <v>42620.789479166669</v>
      </c>
      <c r="G131" s="7">
        <v>2</v>
      </c>
      <c r="H131" s="15" t="s">
        <v>204</v>
      </c>
      <c r="I131" s="15">
        <v>42620.816435185188</v>
      </c>
      <c r="J131" s="7">
        <v>0</v>
      </c>
      <c r="K131" s="115" t="str">
        <f t="shared" si="26"/>
        <v>4031/4032</v>
      </c>
      <c r="L131" s="23" t="str">
        <f>VLOOKUP(A131,'Trips&amp;Operators'!$C$1:$E$10000,3,FALSE)</f>
        <v>DE LA ROSA</v>
      </c>
      <c r="M131" s="6">
        <f t="shared" si="27"/>
        <v>2.6956018518831115E-2</v>
      </c>
      <c r="N131" s="7">
        <f t="shared" si="44"/>
        <v>38.816666667116806</v>
      </c>
      <c r="O131" s="7"/>
      <c r="P131" s="7"/>
      <c r="Q131" s="24"/>
      <c r="R131" s="24"/>
      <c r="S131" s="36">
        <f t="shared" si="45"/>
        <v>1</v>
      </c>
      <c r="T131" s="51" t="str">
        <f t="shared" si="30"/>
        <v>Southbound</v>
      </c>
      <c r="U131" s="17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17:50:20-0600',mode:absolute,to:'2016-09-07 20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31" s="177" t="str">
        <f t="shared" si="31"/>
        <v>N</v>
      </c>
      <c r="X131" s="177">
        <f t="shared" si="41"/>
        <v>1</v>
      </c>
      <c r="Y131" s="177">
        <f t="shared" si="32"/>
        <v>23.299800000000001</v>
      </c>
      <c r="Z131" s="67">
        <f t="shared" si="42"/>
        <v>4.6600000000000003E-2</v>
      </c>
      <c r="AA131" s="67">
        <f t="shared" si="33"/>
        <v>23.2532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34"/>
        <v>0216-07</v>
      </c>
      <c r="AE131" s="97" t="str">
        <f t="shared" si="35"/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AF131" s="94" t="str">
        <f t="shared" si="36"/>
        <v>"C:\Program Files (x86)\AstroGrep\AstroGrep.exe" /spath="%USERPROFILE%\AppData\Local\Temp\OnboardLogs" /stypes="*4032*20160908*" /stext=" 01:.+((SYSTEM_STATE.+slice.+state.+changed )|(ment ac)|(system.+state.+changed )|(\|lc)|(penalty)|(\[timeout)|(PRM\|1\|D)|(kpr)|(kdp))" /e /r /s</v>
      </c>
      <c r="AG131" s="1" t="str">
        <f t="shared" si="37"/>
        <v>EC</v>
      </c>
      <c r="AH131" s="98" t="str">
        <f t="shared" si="38"/>
        <v>"%USERPROFILE%\Documents\GitHub\eaglep3\Utilities\RefineRTDCRunTimes.py" --tripid 216-07 --locoid 4032 --swversion DE.1.0.7.0 --startMP 204:232998 --initTime 2016-09-07T18:50:20 --startdatetime 2016-09-07T18:56:51 --delay 2 --endMP 204:466 --enddatetime 2016-09-07T19:35:40 --enforcementcount 0 &gt;&gt;C:\Users\stu\Documents\GitHub\eaglep3-reporting\EC\2016-09-07-refined-times.txt</v>
      </c>
      <c r="AI131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{"issue":{"subject":"","project_id":79,"tracker_id":40,"status_id":1,"priority_id":2,"assigned_to_id":23,"start_date":"2016-09-07","description":"","custom_fields":[{"id":1,"name":"Subdivision","value":"EC"},{"id":4,"name":"Milepost","value":"23.2532"},{"id":17,"name":"Train ID","value":"216-07"},{"id":16,"name":"Locomotive ID","value":"4032"},{"id":130,"name":"Impact","value":""},{"id":150,"name":"Time of Event (Mountain Time)","value":"19:35:40"},{"id":151,"name":"Denver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</row>
    <row r="132" spans="1:38" x14ac:dyDescent="0.25">
      <c r="A132" s="38" t="s">
        <v>516</v>
      </c>
      <c r="B132" s="7">
        <v>4020</v>
      </c>
      <c r="C132" s="23" t="s">
        <v>111</v>
      </c>
      <c r="D132" s="23" t="s">
        <v>204</v>
      </c>
      <c r="E132" s="15">
        <v>42620.756493055553</v>
      </c>
      <c r="F132" s="15">
        <v>42620.760578703703</v>
      </c>
      <c r="G132" s="7">
        <v>2</v>
      </c>
      <c r="H132" s="15" t="s">
        <v>315</v>
      </c>
      <c r="I132" s="15">
        <v>42620.78528935185</v>
      </c>
      <c r="J132" s="7">
        <v>0</v>
      </c>
      <c r="K132" s="115" t="str">
        <f t="shared" si="26"/>
        <v>4019/4020</v>
      </c>
      <c r="L132" s="23" t="str">
        <f>VLOOKUP(A132,'Trips&amp;Operators'!$C$1:$E$10000,3,FALSE)</f>
        <v>LEVIN</v>
      </c>
      <c r="M132" s="6">
        <f t="shared" si="27"/>
        <v>2.47106481474475E-2</v>
      </c>
      <c r="N132" s="7">
        <f t="shared" si="44"/>
        <v>35.583333332324401</v>
      </c>
      <c r="O132" s="7"/>
      <c r="P132" s="7"/>
      <c r="Q132" s="24"/>
      <c r="R132" s="24"/>
      <c r="S132" s="36">
        <f t="shared" si="45"/>
        <v>1</v>
      </c>
      <c r="T132" s="51" t="str">
        <f t="shared" si="30"/>
        <v>NorthBound</v>
      </c>
      <c r="U132" s="17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17:09:21-0600',mode:absolute,to:'2016-09-07 19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32" s="177" t="str">
        <f t="shared" si="31"/>
        <v>N</v>
      </c>
      <c r="X132" s="177">
        <f t="shared" si="41"/>
        <v>1</v>
      </c>
      <c r="Y132" s="177">
        <f t="shared" si="32"/>
        <v>4.6600000000000003E-2</v>
      </c>
      <c r="Z132" s="67">
        <f t="shared" si="42"/>
        <v>23.3309</v>
      </c>
      <c r="AA132" s="67">
        <f t="shared" si="33"/>
        <v>23.284299999999998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34"/>
        <v>0217-07</v>
      </c>
      <c r="AE132" s="97" t="str">
        <f t="shared" si="35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132" s="94" t="str">
        <f t="shared" si="36"/>
        <v>"C:\Program Files (x86)\AstroGrep\AstroGrep.exe" /spath="%USERPROFILE%\AppData\Local\Temp\OnboardLogs" /stypes="*4020*20160908*" /stext=" 00:.+((SYSTEM_STATE.+slice.+state.+changed )|(ment ac)|(system.+state.+changed )|(\|lc)|(penalty)|(\[timeout)|(PRM\|1\|D)|(kpr)|(kdp))" /e /r /s</v>
      </c>
      <c r="AG132" s="1" t="str">
        <f t="shared" si="37"/>
        <v>EC</v>
      </c>
      <c r="AH132" s="98" t="str">
        <f t="shared" si="38"/>
        <v>"%USERPROFILE%\Documents\GitHub\eaglep3\Utilities\RefineRTDCRunTimes.py" --tripid 217-07 --locoid 4020 --swversion DE.1.0.7.0 --startMP 204:466 --initTime 2016-09-07T18:09:21 --startdatetime 2016-09-07T18:15:14 --delay 2 --endMP 204:233309 --enddatetime 2016-09-07T18:50:49 --enforcementcount 0 &gt;&gt;C:\Users\stu\Documents\GitHub\eaglep3-reporting\EC\2016-09-07-refined-times.txt</v>
      </c>
      <c r="AI132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{"issue":{"subject":"","project_id":79,"tracker_id":40,"status_id":1,"priority_id":2,"assigned_to_id":23,"start_date":"2016-09-07","description":"","custom_fields":[{"id":1,"name":"Subdivision","value":"EC"},{"id":4,"name":"Milepost","value":"23.2843"},{"id":17,"name":"Train ID","value":"217-07"},{"id":16,"name":"Locomotive ID","value":"4020"},{"id":130,"name":"Impact","value":""},{"id":150,"name":"Time of Event (Mountain Time)","value":"18:50:49"},{"id":151,"name":"Denver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</row>
    <row r="133" spans="1:38" x14ac:dyDescent="0.25">
      <c r="A133" s="38" t="s">
        <v>528</v>
      </c>
      <c r="B133" s="7">
        <v>4019</v>
      </c>
      <c r="C133" s="23" t="s">
        <v>111</v>
      </c>
      <c r="D133" s="23" t="s">
        <v>303</v>
      </c>
      <c r="E133" s="15">
        <v>42620.792511574073</v>
      </c>
      <c r="F133" s="15">
        <v>42620.799502314818</v>
      </c>
      <c r="G133" s="7">
        <v>1</v>
      </c>
      <c r="H133" s="15" t="s">
        <v>89</v>
      </c>
      <c r="I133" s="15">
        <v>42620.826666666668</v>
      </c>
      <c r="J133" s="7">
        <v>0</v>
      </c>
      <c r="K133" s="115" t="str">
        <f t="shared" si="26"/>
        <v>4019/4020</v>
      </c>
      <c r="L133" s="23" t="str">
        <f>VLOOKUP(A133,'Trips&amp;Operators'!$C$1:$E$10000,3,FALSE)</f>
        <v>LEVIN</v>
      </c>
      <c r="M133" s="6">
        <f t="shared" si="27"/>
        <v>2.7164351849933155E-2</v>
      </c>
      <c r="N133" s="7">
        <f t="shared" si="44"/>
        <v>39.116666663903743</v>
      </c>
      <c r="O133" s="7"/>
      <c r="P133" s="7"/>
      <c r="Q133" s="24"/>
      <c r="R133" s="24"/>
      <c r="S133" s="36">
        <f t="shared" si="45"/>
        <v>1</v>
      </c>
      <c r="T133" s="51" t="str">
        <f t="shared" si="30"/>
        <v>Southbound</v>
      </c>
      <c r="U133" s="17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18:01:13-0600',mode:absolute,to:'2016-09-07 20:50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33" s="177" t="str">
        <f t="shared" si="31"/>
        <v>N</v>
      </c>
      <c r="X133" s="177">
        <f t="shared" si="41"/>
        <v>1</v>
      </c>
      <c r="Y133" s="177">
        <f t="shared" si="32"/>
        <v>23.298200000000001</v>
      </c>
      <c r="Z133" s="67">
        <f t="shared" si="42"/>
        <v>1.43E-2</v>
      </c>
      <c r="AA133" s="67">
        <f t="shared" si="33"/>
        <v>23.283900000000003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34"/>
        <v>0218-07</v>
      </c>
      <c r="AE133" s="97" t="str">
        <f t="shared" si="35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133" s="94" t="str">
        <f t="shared" si="36"/>
        <v>"C:\Program Files (x86)\AstroGrep\AstroGrep.exe" /spath="%USERPROFILE%\AppData\Local\Temp\OnboardLogs" /stypes="*4019*20160908*" /stext=" 01:.+((SYSTEM_STATE.+slice.+state.+changed )|(ment ac)|(system.+state.+changed )|(\|lc)|(penalty)|(\[timeout)|(PRM\|1\|D)|(kpr)|(kdp))" /e /r /s</v>
      </c>
      <c r="AG133" s="1" t="str">
        <f t="shared" si="37"/>
        <v>EC</v>
      </c>
      <c r="AH133" s="98" t="str">
        <f t="shared" si="38"/>
        <v>"%USERPROFILE%\Documents\GitHub\eaglep3\Utilities\RefineRTDCRunTimes.py" --tripid 218-07 --locoid 4019 --swversion DE.1.0.7.0 --startMP 204:232982 --initTime 2016-09-07T19:01:13 --startdatetime 2016-09-07T19:11:17 --delay 1 --endMP 204:143 --enddatetime 2016-09-07T19:50:24 --enforcementcount 0 &gt;&gt;C:\Users\stu\Documents\GitHub\eaglep3-reporting\EC\2016-09-07-refined-times.txt</v>
      </c>
      <c r="AI133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{"issue":{"subject":"","project_id":79,"tracker_id":40,"status_id":1,"priority_id":2,"assigned_to_id":23,"start_date":"2016-09-07","description":"","custom_fields":[{"id":1,"name":"Subdivision","value":"EC"},{"id":4,"name":"Milepost","value":"23.2839"},{"id":17,"name":"Train ID","value":"218-07"},{"id":16,"name":"Locomotive ID","value":"4019"},{"id":130,"name":"Impact","value":""},{"id":150,"name":"Time of Event (Mountain Time)","value":"19:50:24"},{"id":151,"name":"Denver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</row>
    <row r="134" spans="1:38" x14ac:dyDescent="0.25">
      <c r="A134" s="38" t="s">
        <v>519</v>
      </c>
      <c r="B134" s="7">
        <v>4046</v>
      </c>
      <c r="C134" s="23" t="s">
        <v>111</v>
      </c>
      <c r="D134" s="23" t="s">
        <v>204</v>
      </c>
      <c r="E134" s="15">
        <v>42620.766574074078</v>
      </c>
      <c r="F134" s="15">
        <v>42620.772245370368</v>
      </c>
      <c r="G134" s="7">
        <v>6</v>
      </c>
      <c r="H134" s="15" t="s">
        <v>226</v>
      </c>
      <c r="I134" s="15">
        <v>42620.797199074077</v>
      </c>
      <c r="J134" s="7">
        <v>0</v>
      </c>
      <c r="K134" s="115" t="str">
        <f t="shared" si="26"/>
        <v>4045/4046</v>
      </c>
      <c r="L134" s="23" t="str">
        <f>VLOOKUP(A134,'Trips&amp;Operators'!$C$1:$E$10000,3,FALSE)</f>
        <v>COOLAHAN</v>
      </c>
      <c r="M134" s="6">
        <f t="shared" si="27"/>
        <v>2.4953703708888497E-2</v>
      </c>
      <c r="N134" s="7">
        <f t="shared" si="44"/>
        <v>35.933333340799436</v>
      </c>
      <c r="O134" s="7"/>
      <c r="P134" s="7"/>
      <c r="Q134" s="24"/>
      <c r="R134" s="24"/>
      <c r="S134" s="36">
        <f t="shared" si="45"/>
        <v>1</v>
      </c>
      <c r="T134" s="51" t="str">
        <f t="shared" si="30"/>
        <v>NorthBound</v>
      </c>
      <c r="U134" s="17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17:23:52-0600',mode:absolute,to:'2016-09-07 20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34" s="177" t="str">
        <f t="shared" si="31"/>
        <v>N</v>
      </c>
      <c r="X134" s="177">
        <f t="shared" si="41"/>
        <v>1</v>
      </c>
      <c r="Y134" s="177">
        <f t="shared" si="32"/>
        <v>4.6600000000000003E-2</v>
      </c>
      <c r="Z134" s="67">
        <f t="shared" si="42"/>
        <v>23.331199999999999</v>
      </c>
      <c r="AA134" s="67">
        <f t="shared" si="33"/>
        <v>23.284599999999998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34"/>
        <v>0219-07</v>
      </c>
      <c r="AE134" s="97" t="str">
        <f t="shared" si="35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134" s="94" t="str">
        <f t="shared" si="36"/>
        <v>"C:\Program Files (x86)\AstroGrep\AstroGrep.exe" /spath="%USERPROFILE%\AppData\Local\Temp\OnboardLogs" /stypes="*4046*20160908*" /stext=" 01:.+((SYSTEM_STATE.+slice.+state.+changed )|(ment ac)|(system.+state.+changed )|(\|lc)|(penalty)|(\[timeout)|(PRM\|1\|D)|(kpr)|(kdp))" /e /r /s</v>
      </c>
      <c r="AG134" s="1" t="str">
        <f t="shared" si="37"/>
        <v>EC</v>
      </c>
      <c r="AH134" s="98" t="str">
        <f t="shared" si="38"/>
        <v>"%USERPROFILE%\Documents\GitHub\eaglep3\Utilities\RefineRTDCRunTimes.py" --tripid 219-07 --locoid 4046 --swversion DE.1.0.7.0 --startMP 204:466 --initTime 2016-09-07T18:23:52 --startdatetime 2016-09-07T18:32:02 --delay 6 --endMP 204:233312 --enddatetime 2016-09-07T19:07:58 --enforcementcount 0 &gt;&gt;C:\Users\stu\Documents\GitHub\eaglep3-reporting\EC\2016-09-07-refined-times.txt</v>
      </c>
      <c r="AI134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{"issue":{"subject":"","project_id":79,"tracker_id":40,"status_id":1,"priority_id":2,"assigned_to_id":23,"start_date":"2016-09-07","description":"","custom_fields":[{"id":1,"name":"Subdivision","value":"EC"},{"id":4,"name":"Milepost","value":"23.2846"},{"id":17,"name":"Train ID","value":"219-07"},{"id":16,"name":"Locomotive ID","value":"4046"},{"id":130,"name":"Impact","value":""},{"id":150,"name":"Time of Event (Mountain Time)","value":"19:07:58"},{"id":151,"name":"Denver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</row>
    <row r="135" spans="1:38" s="22" customFormat="1" x14ac:dyDescent="0.25">
      <c r="A135" s="38" t="s">
        <v>533</v>
      </c>
      <c r="B135" s="7">
        <v>4045</v>
      </c>
      <c r="C135" s="23" t="s">
        <v>111</v>
      </c>
      <c r="D135" s="23" t="s">
        <v>227</v>
      </c>
      <c r="E135" s="15">
        <v>42620.805902777778</v>
      </c>
      <c r="F135" s="15">
        <v>42620.81</v>
      </c>
      <c r="G135" s="7">
        <v>1</v>
      </c>
      <c r="H135" s="15" t="s">
        <v>311</v>
      </c>
      <c r="I135" s="15">
        <v>42620.837013888886</v>
      </c>
      <c r="J135" s="7">
        <v>0</v>
      </c>
      <c r="K135" s="115" t="str">
        <f t="shared" si="26"/>
        <v>4045/4046</v>
      </c>
      <c r="L135" s="23" t="str">
        <f>VLOOKUP(A135,'Trips&amp;Operators'!$C$1:$E$10000,3,FALSE)</f>
        <v>COOLAHAN</v>
      </c>
      <c r="M135" s="6">
        <f t="shared" si="27"/>
        <v>2.7013888888177462E-2</v>
      </c>
      <c r="N135" s="7">
        <f t="shared" si="44"/>
        <v>38.899999998975545</v>
      </c>
      <c r="O135" s="7"/>
      <c r="P135" s="7"/>
      <c r="Q135" s="24"/>
      <c r="R135" s="24"/>
      <c r="S135" s="36">
        <f t="shared" si="45"/>
        <v>1</v>
      </c>
      <c r="T135" s="51" t="str">
        <f t="shared" si="30"/>
        <v>Southbound</v>
      </c>
      <c r="U135" s="17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18:20:30-0600',mode:absolute,to:'2016-09-07 21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35" s="177" t="str">
        <f t="shared" si="31"/>
        <v>N</v>
      </c>
      <c r="X135" s="177">
        <f t="shared" si="41"/>
        <v>1</v>
      </c>
      <c r="Y135" s="177">
        <f t="shared" si="32"/>
        <v>23.299800000000001</v>
      </c>
      <c r="Z135" s="67">
        <f t="shared" si="42"/>
        <v>1.8100000000000002E-2</v>
      </c>
      <c r="AA135" s="67">
        <f t="shared" si="33"/>
        <v>23.281700000000001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34"/>
        <v>0220-07</v>
      </c>
      <c r="AE135" s="97" t="str">
        <f t="shared" si="35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135" s="94" t="str">
        <f t="shared" si="36"/>
        <v>"C:\Program Files (x86)\AstroGrep\AstroGrep.exe" /spath="%USERPROFILE%\AppData\Local\Temp\OnboardLogs" /stypes="*4045*20160908*" /stext=" 02:.+((SYSTEM_STATE.+slice.+state.+changed )|(ment ac)|(system.+state.+changed )|(\|lc)|(penalty)|(\[timeout)|(PRM\|1\|D)|(kpr)|(kdp))" /e /r /s</v>
      </c>
      <c r="AG135" s="1" t="str">
        <f t="shared" si="37"/>
        <v>EC</v>
      </c>
      <c r="AH135" s="98" t="str">
        <f t="shared" si="38"/>
        <v>"%USERPROFILE%\Documents\GitHub\eaglep3\Utilities\RefineRTDCRunTimes.py" --tripid 220-07 --locoid 4045 --swversion DE.1.0.7.0 --startMP 204:232998 --initTime 2016-09-07T19:20:30 --startdatetime 2016-09-07T19:26:24 --delay 1 --endMP 204:181 --enddatetime 2016-09-07T20:05:18 --enforcementcount 0 &gt;&gt;C:\Users\stu\Documents\GitHub\eaglep3-reporting\EC\2016-09-07-refined-times.txt</v>
      </c>
      <c r="AI135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{"issue":{"subject":"","project_id":79,"tracker_id":40,"status_id":1,"priority_id":2,"assigned_to_id":23,"start_date":"2016-09-07","description":"","custom_fields":[{"id":1,"name":"Subdivision","value":"EC"},{"id":4,"name":"Milepost","value":"23.2817"},{"id":17,"name":"Train ID","value":"220-07"},{"id":16,"name":"Locomotive ID","value":"4045"},{"id":130,"name":"Impact","value":""},{"id":150,"name":"Time of Event (Mountain Time)","value":"20:05:18"},{"id":151,"name":"Denver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</row>
    <row r="136" spans="1:38" s="22" customFormat="1" x14ac:dyDescent="0.25">
      <c r="A136" s="38" t="s">
        <v>527</v>
      </c>
      <c r="B136" s="7">
        <v>4009</v>
      </c>
      <c r="C136" s="23" t="s">
        <v>111</v>
      </c>
      <c r="D136" s="23" t="s">
        <v>133</v>
      </c>
      <c r="E136" s="15">
        <v>42620.787546296298</v>
      </c>
      <c r="F136" s="15">
        <v>42620.792013888888</v>
      </c>
      <c r="G136" s="7">
        <v>2</v>
      </c>
      <c r="H136" s="15" t="s">
        <v>300</v>
      </c>
      <c r="I136" s="15">
        <v>42620.818749999999</v>
      </c>
      <c r="J136" s="7">
        <v>0</v>
      </c>
      <c r="K136" s="115" t="str">
        <f t="shared" si="26"/>
        <v>4009/4010</v>
      </c>
      <c r="L136" s="23" t="str">
        <f>VLOOKUP(A136,'Trips&amp;Operators'!$C$1:$E$10000,3,FALSE)</f>
        <v>ARVIDSON</v>
      </c>
      <c r="M136" s="6">
        <f t="shared" si="27"/>
        <v>2.6736111110949423E-2</v>
      </c>
      <c r="N136" s="7">
        <f t="shared" si="44"/>
        <v>38.499999999767169</v>
      </c>
      <c r="O136" s="7"/>
      <c r="P136" s="7"/>
      <c r="Q136" s="24"/>
      <c r="R136" s="24"/>
      <c r="S136" s="36">
        <f t="shared" si="45"/>
        <v>1</v>
      </c>
      <c r="T136" s="51" t="str">
        <f t="shared" si="30"/>
        <v>NorthBound</v>
      </c>
      <c r="U136" s="17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17:54:04-0600',mode:absolute,to:'2016-09-07 20:39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36" s="177" t="str">
        <f t="shared" si="31"/>
        <v>N</v>
      </c>
      <c r="X136" s="177">
        <f t="shared" si="41"/>
        <v>1</v>
      </c>
      <c r="Y136" s="177">
        <f t="shared" si="32"/>
        <v>4.4900000000000002E-2</v>
      </c>
      <c r="Z136" s="67">
        <f t="shared" si="42"/>
        <v>23.3276</v>
      </c>
      <c r="AA136" s="67">
        <f t="shared" si="33"/>
        <v>23.282700000000002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34"/>
        <v>0221-07</v>
      </c>
      <c r="AE136" s="97" t="str">
        <f t="shared" si="35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136" s="94" t="str">
        <f t="shared" si="36"/>
        <v>"C:\Program Files (x86)\AstroGrep\AstroGrep.exe" /spath="%USERPROFILE%\AppData\Local\Temp\OnboardLogs" /stypes="*4009*20160908*" /stext=" 01:.+((SYSTEM_STATE.+slice.+state.+changed )|(ment ac)|(system.+state.+changed )|(\|lc)|(penalty)|(\[timeout)|(PRM\|1\|D)|(kpr)|(kdp))" /e /r /s</v>
      </c>
      <c r="AG136" s="1" t="str">
        <f t="shared" si="37"/>
        <v>EC</v>
      </c>
      <c r="AH136" s="98" t="str">
        <f t="shared" si="38"/>
        <v>"%USERPROFILE%\Documents\GitHub\eaglep3\Utilities\RefineRTDCRunTimes.py" --tripid 221-07 --locoid 4009 --swversion DE.1.0.7.0 --startMP 204:449 --initTime 2016-09-07T18:54:04 --startdatetime 2016-09-07T19:00:30 --delay 2 --endMP 204:233276 --enddatetime 2016-09-07T19:39:00 --enforcementcount 0 &gt;&gt;C:\Users\stu\Documents\GitHub\eaglep3-reporting\EC\2016-09-07-refined-times.txt</v>
      </c>
      <c r="AI136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{"issue":{"subject":"","project_id":79,"tracker_id":40,"status_id":1,"priority_id":2,"assigned_to_id":23,"start_date":"2016-09-07","description":"","custom_fields":[{"id":1,"name":"Subdivision","value":"EC"},{"id":4,"name":"Milepost","value":"23.2827"},{"id":17,"name":"Train ID","value":"221-07"},{"id":16,"name":"Locomotive ID","value":"4009"},{"id":130,"name":"Impact","value":""},{"id":150,"name":"Time of Event (Mountain Time)","value":"19:39:00"},{"id":151,"name":"Denver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</row>
    <row r="137" spans="1:38" s="22" customFormat="1" x14ac:dyDescent="0.25">
      <c r="A137" s="38" t="s">
        <v>536</v>
      </c>
      <c r="B137" s="7">
        <v>4010</v>
      </c>
      <c r="C137" s="23" t="s">
        <v>111</v>
      </c>
      <c r="D137" s="23" t="s">
        <v>320</v>
      </c>
      <c r="E137" s="15">
        <v>42620.825636574074</v>
      </c>
      <c r="F137" s="15">
        <v>42620.830729166664</v>
      </c>
      <c r="G137" s="7">
        <v>1</v>
      </c>
      <c r="H137" s="15" t="s">
        <v>261</v>
      </c>
      <c r="I137" s="15">
        <v>42620.858680555553</v>
      </c>
      <c r="J137" s="7">
        <v>0</v>
      </c>
      <c r="K137" s="115" t="str">
        <f t="shared" si="26"/>
        <v>4009/4010</v>
      </c>
      <c r="L137" s="23" t="str">
        <f>VLOOKUP(A137,'Trips&amp;Operators'!$C$1:$E$10000,3,FALSE)</f>
        <v>ARVIDSON</v>
      </c>
      <c r="M137" s="6">
        <f t="shared" si="27"/>
        <v>2.7951388889050577E-2</v>
      </c>
      <c r="N137" s="7">
        <f t="shared" si="44"/>
        <v>40.250000000232831</v>
      </c>
      <c r="O137" s="7"/>
      <c r="P137" s="7"/>
      <c r="Q137" s="24"/>
      <c r="R137" s="24"/>
      <c r="S137" s="36">
        <f t="shared" si="45"/>
        <v>1</v>
      </c>
      <c r="T137" s="51" t="str">
        <f t="shared" si="30"/>
        <v>Southbound</v>
      </c>
      <c r="U137" s="17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18:48:55-0600',mode:absolute,to:'2016-09-07 21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37" s="177" t="str">
        <f t="shared" si="31"/>
        <v>N</v>
      </c>
      <c r="X137" s="177">
        <f t="shared" ref="X137:X146" si="46">VALUE(LEFT(AD137,4))-VALUE(LEFT(AD136,4))</f>
        <v>1</v>
      </c>
      <c r="Y137" s="177">
        <f t="shared" si="32"/>
        <v>23.296399999999998</v>
      </c>
      <c r="Z137" s="67">
        <f t="shared" si="42"/>
        <v>1.78E-2</v>
      </c>
      <c r="AA137" s="67">
        <f t="shared" si="33"/>
        <v>23.278599999999997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34"/>
        <v>0222-07</v>
      </c>
      <c r="AE137" s="97" t="str">
        <f t="shared" si="35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137" s="94" t="str">
        <f t="shared" si="36"/>
        <v>"C:\Program Files (x86)\AstroGrep\AstroGrep.exe" /spath="%USERPROFILE%\AppData\Local\Temp\OnboardLogs" /stypes="*4010*20160908*" /stext=" 02:.+((SYSTEM_STATE.+slice.+state.+changed )|(ment ac)|(system.+state.+changed )|(\|lc)|(penalty)|(\[timeout)|(PRM\|1\|D)|(kpr)|(kdp))" /e /r /s</v>
      </c>
      <c r="AG137" s="1" t="str">
        <f t="shared" si="37"/>
        <v>EC</v>
      </c>
      <c r="AH137" s="98" t="str">
        <f t="shared" si="38"/>
        <v>"%USERPROFILE%\Documents\GitHub\eaglep3\Utilities\RefineRTDCRunTimes.py" --tripid 222-07 --locoid 4010 --swversion DE.1.0.7.0 --startMP 204:232964 --initTime 2016-09-07T19:48:55 --startdatetime 2016-09-07T19:56:15 --delay 1 --endMP 204:178 --enddatetime 2016-09-07T20:36:30 --enforcementcount 0 &gt;&gt;C:\Users\stu\Documents\GitHub\eaglep3-reporting\EC\2016-09-07-refined-times.txt</v>
      </c>
      <c r="AI137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{"issue":{"subject":"","project_id":79,"tracker_id":40,"status_id":1,"priority_id":2,"assigned_to_id":23,"start_date":"2016-09-07","description":"","custom_fields":[{"id":1,"name":"Subdivision","value":"EC"},{"id":4,"name":"Milepost","value":"23.2786"},{"id":17,"name":"Train ID","value":"222-07"},{"id":16,"name":"Locomotive ID","value":"4010"},{"id":130,"name":"Impact","value":""},{"id":150,"name":"Time of Event (Mountain Time)","value":"20:36:30"},{"id":151,"name":"Denver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</row>
    <row r="138" spans="1:38" x14ac:dyDescent="0.25">
      <c r="A138" s="38" t="s">
        <v>532</v>
      </c>
      <c r="B138" s="7">
        <v>4025</v>
      </c>
      <c r="C138" s="23" t="s">
        <v>111</v>
      </c>
      <c r="D138" s="23" t="s">
        <v>301</v>
      </c>
      <c r="E138" s="15">
        <v>42620.806157407409</v>
      </c>
      <c r="F138" s="15">
        <v>42620.812858796293</v>
      </c>
      <c r="G138" s="7">
        <v>1</v>
      </c>
      <c r="H138" s="15" t="s">
        <v>623</v>
      </c>
      <c r="I138" s="15">
        <v>42620.837210648147</v>
      </c>
      <c r="J138" s="7">
        <v>0</v>
      </c>
      <c r="K138" s="115" t="str">
        <f t="shared" si="26"/>
        <v>4025/4026</v>
      </c>
      <c r="L138" s="23" t="str">
        <f>VLOOKUP(A138,'Trips&amp;Operators'!$C$1:$E$10000,3,FALSE)</f>
        <v>STAMBAUGH</v>
      </c>
      <c r="M138" s="6">
        <f t="shared" si="27"/>
        <v>2.4351851854589768E-2</v>
      </c>
      <c r="N138" s="7">
        <f t="shared" si="44"/>
        <v>35.066666670609266</v>
      </c>
      <c r="O138" s="7"/>
      <c r="P138" s="7"/>
      <c r="Q138" s="24"/>
      <c r="R138" s="24"/>
      <c r="S138" s="36">
        <f t="shared" si="45"/>
        <v>1</v>
      </c>
      <c r="T138" s="51" t="str">
        <f t="shared" si="30"/>
        <v>NorthBound</v>
      </c>
      <c r="U138" s="17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18:20:52-0600',mode:absolute,to:'2016-09-07 21:05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38" s="177" t="str">
        <f t="shared" si="31"/>
        <v>N</v>
      </c>
      <c r="X138" s="177">
        <f t="shared" si="46"/>
        <v>1</v>
      </c>
      <c r="Y138" s="177">
        <f t="shared" si="32"/>
        <v>4.3299999999999998E-2</v>
      </c>
      <c r="Z138" s="67">
        <f t="shared" si="42"/>
        <v>23.336600000000001</v>
      </c>
      <c r="AA138" s="67">
        <f t="shared" si="33"/>
        <v>23.293300000000002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34"/>
        <v>0223-07</v>
      </c>
      <c r="AE138" s="97" t="str">
        <f t="shared" si="35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138" s="94" t="str">
        <f t="shared" si="36"/>
        <v>"C:\Program Files (x86)\AstroGrep\AstroGrep.exe" /spath="%USERPROFILE%\AppData\Local\Temp\OnboardLogs" /stypes="*4025*20160908*" /stext=" 02:.+((SYSTEM_STATE.+slice.+state.+changed )|(ment ac)|(system.+state.+changed )|(\|lc)|(penalty)|(\[timeout)|(PRM\|1\|D)|(kpr)|(kdp))" /e /r /s</v>
      </c>
      <c r="AG138" s="1" t="str">
        <f t="shared" si="37"/>
        <v>EC</v>
      </c>
      <c r="AH138" s="98" t="str">
        <f t="shared" si="38"/>
        <v>"%USERPROFILE%\Documents\GitHub\eaglep3\Utilities\RefineRTDCRunTimes.py" --tripid 223-07 --locoid 4025 --swversion DE.1.0.7.0 --startMP 204:433 --initTime 2016-09-07T19:20:52 --startdatetime 2016-09-07T19:30:31 --delay 1 --endMP 204:233366 --enddatetime 2016-09-07T20:05:35 --enforcementcount 0 &gt;&gt;C:\Users\stu\Documents\GitHub\eaglep3-reporting\EC\2016-09-07-refined-times.txt</v>
      </c>
      <c r="AI138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{"issue":{"subject":"","project_id":79,"tracker_id":40,"status_id":1,"priority_id":2,"assigned_to_id":23,"start_date":"2016-09-07","description":"","custom_fields":[{"id":1,"name":"Subdivision","value":"EC"},{"id":4,"name":"Milepost","value":"23.2933"},{"id":17,"name":"Train ID","value":"223-07"},{"id":16,"name":"Locomotive ID","value":"4025"},{"id":130,"name":"Impact","value":""},{"id":150,"name":"Time of Event (Mountain Time)","value":"20:05:35"},{"id":151,"name":"Denver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</row>
    <row r="139" spans="1:38" x14ac:dyDescent="0.25">
      <c r="A139" s="38" t="s">
        <v>540</v>
      </c>
      <c r="B139" s="7">
        <v>4026</v>
      </c>
      <c r="C139" s="23" t="s">
        <v>111</v>
      </c>
      <c r="D139" s="23" t="s">
        <v>624</v>
      </c>
      <c r="E139" s="15">
        <v>42620.846400462964</v>
      </c>
      <c r="F139" s="15">
        <v>42620.851851851854</v>
      </c>
      <c r="G139" s="7">
        <v>1</v>
      </c>
      <c r="H139" s="15" t="s">
        <v>324</v>
      </c>
      <c r="I139" s="15">
        <v>42620.879386574074</v>
      </c>
      <c r="J139" s="7">
        <v>0</v>
      </c>
      <c r="K139" s="115" t="str">
        <f t="shared" si="26"/>
        <v>4025/4026</v>
      </c>
      <c r="L139" s="23" t="str">
        <f>VLOOKUP(A139,'Trips&amp;Operators'!$C$1:$E$10000,3,FALSE)</f>
        <v>STAMBAUGH</v>
      </c>
      <c r="M139" s="6">
        <f t="shared" si="27"/>
        <v>2.753472221957054E-2</v>
      </c>
      <c r="N139" s="7">
        <f t="shared" si="44"/>
        <v>39.649999996181577</v>
      </c>
      <c r="O139" s="7"/>
      <c r="P139" s="7"/>
      <c r="Q139" s="24"/>
      <c r="R139" s="24"/>
      <c r="S139" s="36">
        <f t="shared" si="45"/>
        <v>1</v>
      </c>
      <c r="T139" s="51" t="str">
        <f t="shared" si="30"/>
        <v>Southbound</v>
      </c>
      <c r="U139" s="17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19:18:49-0600',mode:absolute,to:'2016-09-07 22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39" s="177" t="str">
        <f t="shared" si="31"/>
        <v>N</v>
      </c>
      <c r="X139" s="177">
        <f t="shared" si="46"/>
        <v>1</v>
      </c>
      <c r="Y139" s="177">
        <f t="shared" si="32"/>
        <v>23.3049</v>
      </c>
      <c r="Z139" s="67">
        <f t="shared" ref="Z139:Z170" si="47">RIGHT(H139,LEN(H139)-4)/10000</f>
        <v>1.61E-2</v>
      </c>
      <c r="AA139" s="67">
        <f t="shared" si="33"/>
        <v>23.288799999999998</v>
      </c>
      <c r="AB139" s="64" t="str">
        <f>VLOOKUP(A139,Enforcements!$C$7:$K$21,8,0)</f>
        <v>Bulletin (2)</v>
      </c>
      <c r="AC139" s="60" t="str">
        <f>VLOOKUP(A139,Enforcements!$C$7:$E$21,3,0)</f>
        <v>GRADE CROSSING</v>
      </c>
      <c r="AD139" s="61" t="str">
        <f t="shared" si="34"/>
        <v>0224-07</v>
      </c>
      <c r="AE139" s="97" t="str">
        <f t="shared" si="35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139" s="94" t="str">
        <f t="shared" si="36"/>
        <v>"C:\Program Files (x86)\AstroGrep\AstroGrep.exe" /spath="%USERPROFILE%\AppData\Local\Temp\OnboardLogs" /stypes="*4026*20160908*" /stext=" 03:.+((SYSTEM_STATE.+slice.+state.+changed )|(ment ac)|(system.+state.+changed )|(\|lc)|(penalty)|(\[timeout)|(PRM\|1\|D)|(kpr)|(kdp))" /e /r /s</v>
      </c>
      <c r="AG139" s="1" t="str">
        <f t="shared" si="37"/>
        <v>EC</v>
      </c>
      <c r="AH139" s="98" t="str">
        <f t="shared" si="38"/>
        <v>"%USERPROFILE%\Documents\GitHub\eaglep3\Utilities\RefineRTDCRunTimes.py" --tripid 224-07 --locoid 4026 --swversion DE.1.0.7.0 --startMP 204:233049 --initTime 2016-09-07T20:18:49 --startdatetime 2016-09-07T20:26:40 --delay 1 --endMP 204:161 --enddatetime 2016-09-07T21:06:19 --enforcementcount 0 &gt;&gt;C:\Users\stu\Documents\GitHub\eaglep3-reporting\EC\2016-09-07-refined-times.txt</v>
      </c>
      <c r="AI139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{"issue":{"subject":"","project_id":79,"tracker_id":40,"status_id":1,"priority_id":2,"assigned_to_id":23,"start_date":"2016-09-07","description":"","custom_fields":[{"id":1,"name":"Subdivision","value":"EC"},{"id":4,"name":"Milepost","value":"23.2888"},{"id":17,"name":"Train ID","value":"224-07"},{"id":16,"name":"Locomotive ID","value":"4026"},{"id":130,"name":"Impact","value":""},{"id":150,"name":"Time of Event (Mountain Time)","value":"21:06:19"},{"id":151,"name":"Denver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</row>
    <row r="140" spans="1:38" x14ac:dyDescent="0.25">
      <c r="A140" s="38" t="s">
        <v>537</v>
      </c>
      <c r="B140" s="7">
        <v>4020</v>
      </c>
      <c r="C140" s="23" t="s">
        <v>111</v>
      </c>
      <c r="D140" s="23" t="s">
        <v>247</v>
      </c>
      <c r="E140" s="15">
        <v>42620.828275462962</v>
      </c>
      <c r="F140" s="15">
        <v>42620.83384259259</v>
      </c>
      <c r="G140" s="7">
        <v>6</v>
      </c>
      <c r="H140" s="15" t="s">
        <v>625</v>
      </c>
      <c r="I140" s="15">
        <v>42620.859849537039</v>
      </c>
      <c r="J140" s="7">
        <v>0</v>
      </c>
      <c r="K140" s="115" t="str">
        <f t="shared" si="26"/>
        <v>4019/4020</v>
      </c>
      <c r="L140" s="23" t="str">
        <f>VLOOKUP(A140,'Trips&amp;Operators'!$C$1:$E$10000,3,FALSE)</f>
        <v>LEVIN</v>
      </c>
      <c r="M140" s="6">
        <f t="shared" si="27"/>
        <v>2.6006944448454306E-2</v>
      </c>
      <c r="N140" s="7">
        <f t="shared" si="44"/>
        <v>37.4500000057742</v>
      </c>
      <c r="O140" s="7"/>
      <c r="P140" s="7"/>
      <c r="Q140" s="24"/>
      <c r="R140" s="24"/>
      <c r="S140" s="36">
        <f t="shared" si="45"/>
        <v>1</v>
      </c>
      <c r="T140" s="51" t="str">
        <f t="shared" si="30"/>
        <v>NorthBound</v>
      </c>
      <c r="U140" s="17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18:52:43-0600',mode:absolute,to:'2016-09-07 21:38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40" s="177" t="str">
        <f t="shared" si="31"/>
        <v>N</v>
      </c>
      <c r="X140" s="177">
        <f t="shared" si="46"/>
        <v>1</v>
      </c>
      <c r="Y140" s="177">
        <f t="shared" si="32"/>
        <v>4.6199999999999998E-2</v>
      </c>
      <c r="Z140" s="67">
        <f t="shared" si="47"/>
        <v>23.325900000000001</v>
      </c>
      <c r="AA140" s="67">
        <f t="shared" si="33"/>
        <v>23.279700000000002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si="34"/>
        <v>0225-07</v>
      </c>
      <c r="AE140" s="97" t="str">
        <f t="shared" si="35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140" s="94" t="str">
        <f t="shared" si="36"/>
        <v>"C:\Program Files (x86)\AstroGrep\AstroGrep.exe" /spath="%USERPROFILE%\AppData\Local\Temp\OnboardLogs" /stypes="*4020*20160908*" /stext=" 02:.+((SYSTEM_STATE.+slice.+state.+changed )|(ment ac)|(system.+state.+changed )|(\|lc)|(penalty)|(\[timeout)|(PRM\|1\|D)|(kpr)|(kdp))" /e /r /s</v>
      </c>
      <c r="AG140" s="1" t="str">
        <f t="shared" si="37"/>
        <v>EC</v>
      </c>
      <c r="AH140" s="98" t="str">
        <f t="shared" si="38"/>
        <v>"%USERPROFILE%\Documents\GitHub\eaglep3\Utilities\RefineRTDCRunTimes.py" --tripid 225-07 --locoid 4020 --swversion DE.1.0.7.0 --startMP 204:462 --initTime 2016-09-07T19:52:43 --startdatetime 2016-09-07T20:00:44 --delay 6 --endMP 204:233259 --enddatetime 2016-09-07T20:38:11 --enforcementcount 0 &gt;&gt;C:\Users\stu\Documents\GitHub\eaglep3-reporting\EC\2016-09-07-refined-times.txt</v>
      </c>
      <c r="AI140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{"issue":{"subject":"","project_id":79,"tracker_id":40,"status_id":1,"priority_id":2,"assigned_to_id":23,"start_date":"2016-09-07","description":"","custom_fields":[{"id":1,"name":"Subdivision","value":"EC"},{"id":4,"name":"Milepost","value":"23.2797"},{"id":17,"name":"Train ID","value":"225-07"},{"id":16,"name":"Locomotive ID","value":"4020"},{"id":130,"name":"Impact","value":""},{"id":150,"name":"Time of Event (Mountain Time)","value":"20:38:11"},{"id":151,"name":"Denver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</row>
    <row r="141" spans="1:38" x14ac:dyDescent="0.25">
      <c r="A141" s="38" t="s">
        <v>543</v>
      </c>
      <c r="B141" s="7">
        <v>4019</v>
      </c>
      <c r="C141" s="23" t="s">
        <v>111</v>
      </c>
      <c r="D141" s="23" t="s">
        <v>626</v>
      </c>
      <c r="E141" s="15">
        <v>42620.862314814818</v>
      </c>
      <c r="F141" s="15">
        <v>42620.872453703705</v>
      </c>
      <c r="G141" s="7">
        <v>1</v>
      </c>
      <c r="H141" s="15" t="s">
        <v>302</v>
      </c>
      <c r="I141" s="15">
        <v>42620.901365740741</v>
      </c>
      <c r="J141" s="7">
        <v>0</v>
      </c>
      <c r="K141" s="115" t="str">
        <f t="shared" ref="K141:K204" si="48">IF(ISEVEN(B141),(B141-1)&amp;"/"&amp;B141,B141&amp;"/"&amp;(B141+1))</f>
        <v>4019/4020</v>
      </c>
      <c r="L141" s="23" t="str">
        <f>VLOOKUP(A141,'Trips&amp;Operators'!$C$1:$E$10000,3,FALSE)</f>
        <v>LEVIN</v>
      </c>
      <c r="M141" s="6">
        <f t="shared" ref="M141:M204" si="49">I141-F141</f>
        <v>2.8912037036207039E-2</v>
      </c>
      <c r="N141" s="7">
        <f t="shared" si="44"/>
        <v>41.633333332138136</v>
      </c>
      <c r="O141" s="7"/>
      <c r="P141" s="7"/>
      <c r="Q141" s="24"/>
      <c r="R141" s="24"/>
      <c r="S141" s="36">
        <f t="shared" si="45"/>
        <v>1</v>
      </c>
      <c r="T141" s="51" t="str">
        <f t="shared" ref="T141:T204" si="50">IF(ISEVEN(LEFT(AD141,4)),"Southbound","NorthBound")</f>
        <v>Southbound</v>
      </c>
      <c r="U141" s="17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19:41:44-0600',mode:absolute,to:'2016-09-07 22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41" s="177" t="str">
        <f t="shared" ref="W141:W204" si="51">IF(AA141&lt;IF(AG141="EC",23,5.65),"Y","N")</f>
        <v>N</v>
      </c>
      <c r="X141" s="177">
        <f t="shared" si="46"/>
        <v>1</v>
      </c>
      <c r="Y141" s="177">
        <f t="shared" ref="Y141:Y204" si="52">RIGHT(D141,LEN(D141)-4)/10000</f>
        <v>23.2974</v>
      </c>
      <c r="Z141" s="67">
        <f t="shared" si="47"/>
        <v>1.34E-2</v>
      </c>
      <c r="AA141" s="67">
        <f t="shared" ref="AA141:AA204" si="53">ABS(Z141-Y141)</f>
        <v>23.283999999999999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ref="AD141:AD204" si="54">IF(LEN(A141)=6,"0"&amp;A141,A141)</f>
        <v>0226-07</v>
      </c>
      <c r="AE141" s="97" t="str">
        <f t="shared" ref="AE141:AE204" si="55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141" s="94" t="str">
        <f t="shared" ref="AF141:AF204" si="56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/stypes="*4019*20160908*" /stext=" 03:.+((SYSTEM_STATE.+slice.+state.+changed )|(ment ac)|(system.+state.+changed )|(\|lc)|(penalty)|(\[timeout)|(PRM\|1\|D)|(kpr)|(kdp))" /e /r /s</v>
      </c>
      <c r="AG141" s="1" t="str">
        <f t="shared" ref="AG141:AG204" si="57">IFERROR(IF(VALUE(LEFT(AD141,2))&lt;=2,"EC",IF(OR(VALUE(LEFT(AD141,2))=8,VALUE(LEFT(AD141,2))=18),"NW","Other")),"Other")</f>
        <v>EC</v>
      </c>
      <c r="AH141" s="98" t="str">
        <f t="shared" ref="AH141:AH203" si="58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226-07 --locoid 4019 --swversion DE.1.0.7.0 --startMP 204:232974 --initTime 2016-09-07T20:41:44 --startdatetime 2016-09-07T20:56:20 --delay 1 --endMP 204:134 --enddatetime 2016-09-07T21:37:58 --enforcementcount 0 &gt;&gt;C:\Users\stu\Documents\GitHub\eaglep3-reporting\EC\2016-09-07-refined-times.txt</v>
      </c>
      <c r="AI141" s="130" t="str">
        <f t="shared" ref="AI141:AI203" si="59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AA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{"issue":{"subject":"","project_id":79,"tracker_id":40,"status_id":1,"priority_id":2,"assigned_to_id":23,"start_date":"2016-09-07","description":"","custom_fields":[{"id":1,"name":"Subdivision","value":"EC"},{"id":4,"name":"Milepost","value":"23.284"},{"id":17,"name":"Train ID","value":"226-07"},{"id":16,"name":"Locomotive ID","value":"4019"},{"id":130,"name":"Impact","value":""},{"id":150,"name":"Time of Event (Mountain Time)","value":"21:37:58"},{"id":151,"name":"Denver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</row>
    <row r="142" spans="1:38" x14ac:dyDescent="0.25">
      <c r="A142" s="38" t="s">
        <v>541</v>
      </c>
      <c r="B142" s="7">
        <v>4046</v>
      </c>
      <c r="C142" s="23" t="s">
        <v>111</v>
      </c>
      <c r="D142" s="23" t="s">
        <v>204</v>
      </c>
      <c r="E142" s="15">
        <v>42620.852326388886</v>
      </c>
      <c r="F142" s="15">
        <v>42620.85460648148</v>
      </c>
      <c r="G142" s="7">
        <v>2</v>
      </c>
      <c r="H142" s="15" t="s">
        <v>595</v>
      </c>
      <c r="I142" s="15">
        <v>42620.880023148151</v>
      </c>
      <c r="J142" s="7">
        <v>0</v>
      </c>
      <c r="K142" s="115" t="str">
        <f t="shared" si="48"/>
        <v>4045/4046</v>
      </c>
      <c r="L142" s="23" t="str">
        <f>VLOOKUP(A142,'Trips&amp;Operators'!$C$1:$E$10000,3,FALSE)</f>
        <v>COOLAHAN</v>
      </c>
      <c r="M142" s="6">
        <f t="shared" si="49"/>
        <v>2.5416666670935228E-2</v>
      </c>
      <c r="N142" s="7">
        <f t="shared" si="44"/>
        <v>36.600000006146729</v>
      </c>
      <c r="O142" s="7"/>
      <c r="P142" s="7"/>
      <c r="Q142" s="24"/>
      <c r="R142" s="24"/>
      <c r="S142" s="36">
        <f t="shared" si="45"/>
        <v>1</v>
      </c>
      <c r="T142" s="51" t="str">
        <f t="shared" si="50"/>
        <v>NorthBound</v>
      </c>
      <c r="U142" s="17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76" t="str">
        <f t="shared" ref="V142:V205" si="60">"https://search-rtdc-monitor-bjffxe2xuh6vdkpspy63sjmuny.us-east-1.es.amazonaws.com/_plugin/kibana/#/discover/Steve-Slow-Train-Analysis-(2080s-and-2083s)?_g=(refreshInterval:(display:Off,section:0,value:0),time:(from:'"&amp;TEXT(E142-1/24,"yyyy-MM-DD hh:mm:ss")&amp;"-0600',mode:absolute,to:'"&amp;TEXT(I142+1/24,"yyyy-MM-DD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https://search-rtdc-monitor-bjffxe2xuh6vdkpspy63sjmuny.us-east-1.es.amazonaws.com/_plugin/kibana/#/discover/Steve-Slow-Train-Analysis-(2080s-and-2083s)?_g=(refreshInterval:(display:Off,section:0,value:0),time:(from:'2016-09-07 19:27:21-0600',mode:absolute,to:'2016-09-07 22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42" s="177" t="str">
        <f t="shared" si="51"/>
        <v>N</v>
      </c>
      <c r="X142" s="177">
        <f t="shared" si="46"/>
        <v>1</v>
      </c>
      <c r="Y142" s="177">
        <f t="shared" si="52"/>
        <v>4.6600000000000003E-2</v>
      </c>
      <c r="Z142" s="67">
        <f t="shared" si="47"/>
        <v>23.332699999999999</v>
      </c>
      <c r="AA142" s="67">
        <f t="shared" si="53"/>
        <v>23.286099999999998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54"/>
        <v>0227-07</v>
      </c>
      <c r="AE142" s="97" t="str">
        <f t="shared" si="55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142" s="94" t="str">
        <f t="shared" si="56"/>
        <v>"C:\Program Files (x86)\AstroGrep\AstroGrep.exe" /spath="%USERPROFILE%\AppData\Local\Temp\OnboardLogs" /stypes="*4046*20160908*" /stext=" 03:.+((SYSTEM_STATE.+slice.+state.+changed )|(ment ac)|(system.+state.+changed )|(\|lc)|(penalty)|(\[timeout)|(PRM\|1\|D)|(kpr)|(kdp))" /e /r /s</v>
      </c>
      <c r="AG142" s="1" t="str">
        <f t="shared" si="57"/>
        <v>EC</v>
      </c>
      <c r="AH142" s="98" t="str">
        <f t="shared" si="58"/>
        <v>"%USERPROFILE%\Documents\GitHub\eaglep3\Utilities\RefineRTDCRunTimes.py" --tripid 227-07 --locoid 4046 --swversion DE.1.0.7.0 --startMP 204:466 --initTime 2016-09-07T20:27:21 --startdatetime 2016-09-07T20:30:38 --delay 2 --endMP 204:233327 --enddatetime 2016-09-07T21:07:14 --enforcementcount 0 &gt;&gt;C:\Users\stu\Documents\GitHub\eaglep3-reporting\EC\2016-09-07-refined-times.txt</v>
      </c>
      <c r="AI142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{"issue":{"subject":"","project_id":79,"tracker_id":40,"status_id":1,"priority_id":2,"assigned_to_id":23,"start_date":"2016-09-07","description":"","custom_fields":[{"id":1,"name":"Subdivision","value":"EC"},{"id":4,"name":"Milepost","value":"23.2861"},{"id":17,"name":"Train ID","value":"227-07"},{"id":16,"name":"Locomotive ID","value":"4046"},{"id":130,"name":"Impact","value":""},{"id":150,"name":"Time of Event (Mountain Time)","value":"21:07:14"},{"id":151,"name":"Denver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</row>
    <row r="143" spans="1:38" s="22" customFormat="1" x14ac:dyDescent="0.25">
      <c r="A143" s="38" t="s">
        <v>547</v>
      </c>
      <c r="B143" s="7">
        <v>4045</v>
      </c>
      <c r="C143" s="23" t="s">
        <v>111</v>
      </c>
      <c r="D143" s="23" t="s">
        <v>309</v>
      </c>
      <c r="E143" s="15">
        <v>42620.890219907407</v>
      </c>
      <c r="F143" s="15">
        <v>42620.893449074072</v>
      </c>
      <c r="G143" s="7">
        <v>1</v>
      </c>
      <c r="H143" s="15" t="s">
        <v>627</v>
      </c>
      <c r="I143" s="15">
        <v>42620.921203703707</v>
      </c>
      <c r="J143" s="7">
        <v>0</v>
      </c>
      <c r="K143" s="115" t="str">
        <f t="shared" si="48"/>
        <v>4045/4046</v>
      </c>
      <c r="L143" s="23" t="str">
        <f>VLOOKUP(A143,'Trips&amp;Operators'!$C$1:$E$10000,3,FALSE)</f>
        <v>COOLAHAN</v>
      </c>
      <c r="M143" s="6">
        <f t="shared" si="49"/>
        <v>2.775462963472819E-2</v>
      </c>
      <c r="N143" s="7">
        <f t="shared" si="44"/>
        <v>39.966666674008593</v>
      </c>
      <c r="O143" s="7"/>
      <c r="P143" s="7"/>
      <c r="Q143" s="24"/>
      <c r="R143" s="24"/>
      <c r="S143" s="36">
        <f t="shared" si="45"/>
        <v>1</v>
      </c>
      <c r="T143" s="51" t="str">
        <f t="shared" si="50"/>
        <v>Southbound</v>
      </c>
      <c r="U143" s="17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20:21:55-0600',mode:absolute,to:'2016-09-07 23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43" s="177" t="str">
        <f t="shared" si="51"/>
        <v>N</v>
      </c>
      <c r="X143" s="177">
        <f t="shared" si="46"/>
        <v>1</v>
      </c>
      <c r="Y143" s="177">
        <f t="shared" si="52"/>
        <v>23.300999999999998</v>
      </c>
      <c r="Z143" s="67">
        <f t="shared" si="47"/>
        <v>9.4100000000000003E-2</v>
      </c>
      <c r="AA143" s="67">
        <f t="shared" si="53"/>
        <v>23.206899999999997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54"/>
        <v>0228-07</v>
      </c>
      <c r="AE143" s="97" t="str">
        <f t="shared" si="55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143" s="94" t="str">
        <f t="shared" si="56"/>
        <v>"C:\Program Files (x86)\AstroGrep\AstroGrep.exe" /spath="%USERPROFILE%\AppData\Local\Temp\OnboardLogs" /stypes="*4045*20160908*" /stext=" 04:.+((SYSTEM_STATE.+slice.+state.+changed )|(ment ac)|(system.+state.+changed )|(\|lc)|(penalty)|(\[timeout)|(PRM\|1\|D)|(kpr)|(kdp))" /e /r /s</v>
      </c>
      <c r="AG143" s="1" t="str">
        <f t="shared" si="57"/>
        <v>EC</v>
      </c>
      <c r="AH143" s="98" t="str">
        <f t="shared" si="58"/>
        <v>"%USERPROFILE%\Documents\GitHub\eaglep3\Utilities\RefineRTDCRunTimes.py" --tripid 228-07 --locoid 4045 --swversion DE.1.0.7.0 --startMP 204:233010 --initTime 2016-09-07T21:21:55 --startdatetime 2016-09-07T21:26:34 --delay 1 --endMP 204:941 --enddatetime 2016-09-07T22:06:32 --enforcementcount 0 &gt;&gt;C:\Users\stu\Documents\GitHub\eaglep3-reporting\EC\2016-09-07-refined-times.txt</v>
      </c>
      <c r="AI143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{"issue":{"subject":"","project_id":79,"tracker_id":40,"status_id":1,"priority_id":2,"assigned_to_id":23,"start_date":"2016-09-07","description":"","custom_fields":[{"id":1,"name":"Subdivision","value":"EC"},{"id":4,"name":"Milepost","value":"23.2069"},{"id":17,"name":"Train ID","value":"228-07"},{"id":16,"name":"Locomotive ID","value":"4045"},{"id":130,"name":"Impact","value":""},{"id":150,"name":"Time of Event (Mountain Time)","value":"22:06:32"},{"id":151,"name":"Denver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</row>
    <row r="144" spans="1:38" x14ac:dyDescent="0.25">
      <c r="A144" s="38" t="s">
        <v>544</v>
      </c>
      <c r="B144" s="7">
        <v>4009</v>
      </c>
      <c r="C144" s="23" t="s">
        <v>111</v>
      </c>
      <c r="D144" s="23" t="s">
        <v>317</v>
      </c>
      <c r="E144" s="15">
        <v>42620.869097222225</v>
      </c>
      <c r="F144" s="15">
        <v>42620.8752662037</v>
      </c>
      <c r="G144" s="7">
        <v>1</v>
      </c>
      <c r="H144" s="15" t="s">
        <v>628</v>
      </c>
      <c r="I144" s="15">
        <v>42620.901701388888</v>
      </c>
      <c r="J144" s="7">
        <v>0</v>
      </c>
      <c r="K144" s="115" t="str">
        <f t="shared" si="48"/>
        <v>4009/4010</v>
      </c>
      <c r="L144" s="23" t="str">
        <f>VLOOKUP(A144,'Trips&amp;Operators'!$C$1:$E$10000,3,FALSE)</f>
        <v>ARVIDSON</v>
      </c>
      <c r="M144" s="6">
        <f t="shared" si="49"/>
        <v>2.6435185187438037E-2</v>
      </c>
      <c r="N144" s="7">
        <f t="shared" si="44"/>
        <v>38.066666669910774</v>
      </c>
      <c r="O144" s="7"/>
      <c r="P144" s="7"/>
      <c r="Q144" s="24"/>
      <c r="R144" s="24"/>
      <c r="S144" s="36">
        <f t="shared" si="45"/>
        <v>1</v>
      </c>
      <c r="T144" s="51" t="str">
        <f t="shared" si="50"/>
        <v>NorthBound</v>
      </c>
      <c r="U144" s="17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19:51:30-0600',mode:absolute,to:'2016-09-07 22:38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44" s="177" t="str">
        <f t="shared" si="51"/>
        <v>N</v>
      </c>
      <c r="X144" s="177">
        <f t="shared" si="46"/>
        <v>1</v>
      </c>
      <c r="Y144" s="177">
        <f t="shared" si="52"/>
        <v>4.82E-2</v>
      </c>
      <c r="Z144" s="67">
        <f t="shared" si="47"/>
        <v>23.3323</v>
      </c>
      <c r="AA144" s="67">
        <f t="shared" si="53"/>
        <v>23.284099999999999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54"/>
        <v>0229-07</v>
      </c>
      <c r="AE144" s="97" t="str">
        <f t="shared" si="55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144" s="94" t="str">
        <f t="shared" si="56"/>
        <v>"C:\Program Files (x86)\AstroGrep\AstroGrep.exe" /spath="%USERPROFILE%\AppData\Local\Temp\OnboardLogs" /stypes="*4009*20160908*" /stext=" 03:.+((SYSTEM_STATE.+slice.+state.+changed )|(ment ac)|(system.+state.+changed )|(\|lc)|(penalty)|(\[timeout)|(PRM\|1\|D)|(kpr)|(kdp))" /e /r /s</v>
      </c>
      <c r="AG144" s="1" t="str">
        <f t="shared" si="57"/>
        <v>EC</v>
      </c>
      <c r="AH144" s="98" t="str">
        <f t="shared" si="58"/>
        <v>"%USERPROFILE%\Documents\GitHub\eaglep3\Utilities\RefineRTDCRunTimes.py" --tripid 229-07 --locoid 4009 --swversion DE.1.0.7.0 --startMP 204:482 --initTime 2016-09-07T20:51:30 --startdatetime 2016-09-07T21:00:23 --delay 1 --endMP 204:233323 --enddatetime 2016-09-07T21:38:27 --enforcementcount 0 &gt;&gt;C:\Users\stu\Documents\GitHub\eaglep3-reporting\EC\2016-09-07-refined-times.txt</v>
      </c>
      <c r="AI144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{"issue":{"subject":"","project_id":79,"tracker_id":40,"status_id":1,"priority_id":2,"assigned_to_id":23,"start_date":"2016-09-07","description":"","custom_fields":[{"id":1,"name":"Subdivision","value":"EC"},{"id":4,"name":"Milepost","value":"23.2841"},{"id":17,"name":"Train ID","value":"229-07"},{"id":16,"name":"Locomotive ID","value":"4009"},{"id":130,"name":"Impact","value":""},{"id":150,"name":"Time of Event (Mountain Time)","value":"21:38:27"},{"id":151,"name":"Denver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</row>
    <row r="145" spans="1:38" s="22" customFormat="1" x14ac:dyDescent="0.25">
      <c r="A145" s="38" t="s">
        <v>549</v>
      </c>
      <c r="B145" s="7">
        <v>4010</v>
      </c>
      <c r="C145" s="23" t="s">
        <v>111</v>
      </c>
      <c r="D145" s="23" t="s">
        <v>629</v>
      </c>
      <c r="E145" s="15">
        <v>42620.910358796296</v>
      </c>
      <c r="F145" s="15">
        <v>42620.914201388892</v>
      </c>
      <c r="G145" s="7">
        <v>1</v>
      </c>
      <c r="H145" s="15" t="s">
        <v>324</v>
      </c>
      <c r="I145" s="15">
        <v>42620.943379629629</v>
      </c>
      <c r="J145" s="7">
        <v>0</v>
      </c>
      <c r="K145" s="115" t="str">
        <f t="shared" si="48"/>
        <v>4009/4010</v>
      </c>
      <c r="L145" s="23" t="str">
        <f>VLOOKUP(A145,'Trips&amp;Operators'!$C$1:$E$10000,3,FALSE)</f>
        <v>ARVIDSON</v>
      </c>
      <c r="M145" s="6">
        <f t="shared" si="49"/>
        <v>2.9178240736655425E-2</v>
      </c>
      <c r="N145" s="7">
        <f t="shared" si="44"/>
        <v>42.016666660783812</v>
      </c>
      <c r="O145" s="7"/>
      <c r="P145" s="7"/>
      <c r="Q145" s="24"/>
      <c r="R145" s="24"/>
      <c r="S145" s="36">
        <f t="shared" si="45"/>
        <v>1</v>
      </c>
      <c r="T145" s="51" t="str">
        <f t="shared" si="50"/>
        <v>Southbound</v>
      </c>
      <c r="U145" s="17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20:50:55-0600',mode:absolute,to:'2016-09-07 23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45" s="177" t="str">
        <f t="shared" si="51"/>
        <v>N</v>
      </c>
      <c r="X145" s="177">
        <f t="shared" si="46"/>
        <v>1</v>
      </c>
      <c r="Y145" s="177">
        <f t="shared" si="52"/>
        <v>23.296800000000001</v>
      </c>
      <c r="Z145" s="67">
        <f t="shared" si="47"/>
        <v>1.61E-2</v>
      </c>
      <c r="AA145" s="67">
        <f t="shared" si="53"/>
        <v>23.2807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54"/>
        <v>0230-07</v>
      </c>
      <c r="AE145" s="97" t="str">
        <f t="shared" si="55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145" s="94" t="str">
        <f t="shared" si="56"/>
        <v>"C:\Program Files (x86)\AstroGrep\AstroGrep.exe" /spath="%USERPROFILE%\AppData\Local\Temp\OnboardLogs" /stypes="*4010*20160908*" /stext=" 04:.+((SYSTEM_STATE.+slice.+state.+changed )|(ment ac)|(system.+state.+changed )|(\|lc)|(penalty)|(\[timeout)|(PRM\|1\|D)|(kpr)|(kdp))" /e /r /s</v>
      </c>
      <c r="AG145" s="1" t="str">
        <f t="shared" si="57"/>
        <v>EC</v>
      </c>
      <c r="AH145" s="98" t="str">
        <f t="shared" si="58"/>
        <v>"%USERPROFILE%\Documents\GitHub\eaglep3\Utilities\RefineRTDCRunTimes.py" --tripid 230-07 --locoid 4010 --swversion DE.1.0.7.0 --startMP 204:232968 --initTime 2016-09-07T21:50:55 --startdatetime 2016-09-07T21:56:27 --delay 1 --endMP 204:161 --enddatetime 2016-09-07T22:38:28 --enforcementcount 0 &gt;&gt;C:\Users\stu\Documents\GitHub\eaglep3-reporting\EC\2016-09-07-refined-times.txt</v>
      </c>
      <c r="AI145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{"issue":{"subject":"","project_id":79,"tracker_id":40,"status_id":1,"priority_id":2,"assigned_to_id":23,"start_date":"2016-09-07","description":"","custom_fields":[{"id":1,"name":"Subdivision","value":"EC"},{"id":4,"name":"Milepost","value":"23.2807"},{"id":17,"name":"Train ID","value":"230-07"},{"id":16,"name":"Locomotive ID","value":"4010"},{"id":130,"name":"Impact","value":""},{"id":150,"name":"Time of Event (Mountain Time)","value":"22:38:28"},{"id":151,"name":"Denver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</row>
    <row r="146" spans="1:38" x14ac:dyDescent="0.25">
      <c r="A146" s="38" t="s">
        <v>546</v>
      </c>
      <c r="B146" s="7">
        <v>4025</v>
      </c>
      <c r="C146" s="23" t="s">
        <v>111</v>
      </c>
      <c r="D146" s="23" t="s">
        <v>203</v>
      </c>
      <c r="E146" s="15">
        <v>42620.887337962966</v>
      </c>
      <c r="F146" s="15">
        <v>42620.896273148152</v>
      </c>
      <c r="G146" s="7">
        <v>1</v>
      </c>
      <c r="H146" s="15" t="s">
        <v>630</v>
      </c>
      <c r="I146" s="15">
        <v>42620.921053240738</v>
      </c>
      <c r="J146" s="7">
        <v>0</v>
      </c>
      <c r="K146" s="115" t="str">
        <f t="shared" si="48"/>
        <v>4025/4026</v>
      </c>
      <c r="L146" s="23" t="str">
        <f>VLOOKUP(A146,'Trips&amp;Operators'!$C$1:$E$10000,3,FALSE)</f>
        <v>STAMBAUGH</v>
      </c>
      <c r="M146" s="6">
        <f t="shared" si="49"/>
        <v>2.4780092586297542E-2</v>
      </c>
      <c r="N146" s="7">
        <f t="shared" si="44"/>
        <v>35.68333332426846</v>
      </c>
      <c r="O146" s="7"/>
      <c r="P146" s="7"/>
      <c r="Q146" s="24"/>
      <c r="R146" s="24"/>
      <c r="S146" s="36">
        <f t="shared" si="45"/>
        <v>1</v>
      </c>
      <c r="T146" s="51" t="str">
        <f t="shared" si="50"/>
        <v>NorthBound</v>
      </c>
      <c r="U146" s="17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20:17:46-0600',mode:absolute,to:'2016-09-07 23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46" s="177" t="str">
        <f t="shared" si="51"/>
        <v>N</v>
      </c>
      <c r="X146" s="177">
        <f t="shared" si="46"/>
        <v>1</v>
      </c>
      <c r="Y146" s="177">
        <f t="shared" si="52"/>
        <v>4.58E-2</v>
      </c>
      <c r="Z146" s="67">
        <f t="shared" si="47"/>
        <v>23.332899999999999</v>
      </c>
      <c r="AA146" s="67">
        <f t="shared" si="53"/>
        <v>23.287099999999999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54"/>
        <v>0231-07</v>
      </c>
      <c r="AE146" s="97" t="str">
        <f t="shared" si="55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146" s="94" t="str">
        <f t="shared" si="56"/>
        <v>"C:\Program Files (x86)\AstroGrep\AstroGrep.exe" /spath="%USERPROFILE%\AppData\Local\Temp\OnboardLogs" /stypes="*4025*20160908*" /stext=" 04:.+((SYSTEM_STATE.+slice.+state.+changed )|(ment ac)|(system.+state.+changed )|(\|lc)|(penalty)|(\[timeout)|(PRM\|1\|D)|(kpr)|(kdp))" /e /r /s</v>
      </c>
      <c r="AG146" s="1" t="str">
        <f t="shared" si="57"/>
        <v>EC</v>
      </c>
      <c r="AH146" s="98" t="str">
        <f t="shared" si="58"/>
        <v>"%USERPROFILE%\Documents\GitHub\eaglep3\Utilities\RefineRTDCRunTimes.py" --tripid 231-07 --locoid 4025 --swversion DE.1.0.7.0 --startMP 204:458 --initTime 2016-09-07T21:17:46 --startdatetime 2016-09-07T21:30:38 --delay 1 --endMP 204:233329 --enddatetime 2016-09-07T22:06:19 --enforcementcount 0 &gt;&gt;C:\Users\stu\Documents\GitHub\eaglep3-reporting\EC\2016-09-07-refined-times.txt</v>
      </c>
      <c r="AI146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{"issue":{"subject":"","project_id":79,"tracker_id":40,"status_id":1,"priority_id":2,"assigned_to_id":23,"start_date":"2016-09-07","description":"","custom_fields":[{"id":1,"name":"Subdivision","value":"EC"},{"id":4,"name":"Milepost","value":"23.2871"},{"id":17,"name":"Train ID","value":"231-07"},{"id":16,"name":"Locomotive ID","value":"4025"},{"id":130,"name":"Impact","value":""},{"id":150,"name":"Time of Event (Mountain Time)","value":"22:06:19"},{"id":151,"name":"Denver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</row>
    <row r="147" spans="1:38" x14ac:dyDescent="0.25">
      <c r="A147" s="38" t="s">
        <v>552</v>
      </c>
      <c r="B147" s="7">
        <v>4026</v>
      </c>
      <c r="C147" s="23" t="s">
        <v>111</v>
      </c>
      <c r="D147" s="23" t="s">
        <v>306</v>
      </c>
      <c r="E147" s="15">
        <v>42620.931701388887</v>
      </c>
      <c r="F147" s="15">
        <v>42620.935995370368</v>
      </c>
      <c r="G147" s="7">
        <v>3</v>
      </c>
      <c r="H147" s="15" t="s">
        <v>631</v>
      </c>
      <c r="I147" s="15">
        <v>42620.961215277777</v>
      </c>
      <c r="J147" s="7">
        <v>0</v>
      </c>
      <c r="K147" s="115" t="str">
        <f t="shared" si="48"/>
        <v>4025/4026</v>
      </c>
      <c r="L147" s="23" t="str">
        <f>VLOOKUP(A147,'Trips&amp;Operators'!$C$1:$E$10000,3,FALSE)</f>
        <v>STAMBAUGH</v>
      </c>
      <c r="M147" s="6">
        <f t="shared" si="49"/>
        <v>2.5219907409336884E-2</v>
      </c>
      <c r="N147" s="7">
        <f t="shared" si="44"/>
        <v>36.316666669445112</v>
      </c>
      <c r="O147" s="7"/>
      <c r="P147" s="7"/>
      <c r="Q147" s="24"/>
      <c r="R147" s="24"/>
      <c r="S147" s="36">
        <f t="shared" si="45"/>
        <v>1</v>
      </c>
      <c r="T147" s="51" t="str">
        <f t="shared" si="50"/>
        <v>Southbound</v>
      </c>
      <c r="U147" s="17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21:21:39-0600',mode:absolute,to:'2016-09-08 00:04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47" s="177" t="str">
        <f t="shared" si="51"/>
        <v>N</v>
      </c>
      <c r="X147" s="177">
        <f t="shared" ref="X147:X150" si="61">VALUE(LEFT(AD147,4))-VALUE(LEFT(AD146,4))</f>
        <v>1</v>
      </c>
      <c r="Y147" s="177">
        <f t="shared" si="52"/>
        <v>23.301300000000001</v>
      </c>
      <c r="Z147" s="67">
        <f t="shared" si="47"/>
        <v>1.0500000000000001E-2</v>
      </c>
      <c r="AA147" s="67">
        <f t="shared" si="53"/>
        <v>23.290800000000001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54"/>
        <v>0232-07</v>
      </c>
      <c r="AE147" s="97" t="str">
        <f t="shared" si="55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147" s="94" t="str">
        <f t="shared" si="56"/>
        <v>"C:\Program Files (x86)\AstroGrep\AstroGrep.exe" /spath="%USERPROFILE%\AppData\Local\Temp\OnboardLogs" /stypes="*4026*20160908*" /stext=" 05:.+((SYSTEM_STATE.+slice.+state.+changed )|(ment ac)|(system.+state.+changed )|(\|lc)|(penalty)|(\[timeout)|(PRM\|1\|D)|(kpr)|(kdp))" /e /r /s</v>
      </c>
      <c r="AG147" s="1" t="str">
        <f t="shared" si="57"/>
        <v>EC</v>
      </c>
      <c r="AH147" s="98" t="str">
        <f t="shared" si="58"/>
        <v>"%USERPROFILE%\Documents\GitHub\eaglep3\Utilities\RefineRTDCRunTimes.py" --tripid 232-07 --locoid 4026 --swversion DE.1.0.7.0 --startMP 204:233013 --initTime 2016-09-07T22:21:39 --startdatetime 2016-09-07T22:27:50 --delay 3 --endMP 204:105 --enddatetime 2016-09-07T23:04:09 --enforcementcount 0 &gt;&gt;C:\Users\stu\Documents\GitHub\eaglep3-reporting\EC\2016-09-07-refined-times.txt</v>
      </c>
      <c r="AI147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{"issue":{"subject":"","project_id":79,"tracker_id":40,"status_id":1,"priority_id":2,"assigned_to_id":23,"start_date":"2016-09-07","description":"","custom_fields":[{"id":1,"name":"Subdivision","value":"EC"},{"id":4,"name":"Milepost","value":"23.2908"},{"id":17,"name":"Train ID","value":"232-07"},{"id":16,"name":"Locomotive ID","value":"4026"},{"id":130,"name":"Impact","value":""},{"id":150,"name":"Time of Event (Mountain Time)","value":"23:04:09"},{"id":151,"name":"Denver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</row>
    <row r="148" spans="1:38" s="22" customFormat="1" x14ac:dyDescent="0.25">
      <c r="A148" s="38" t="s">
        <v>550</v>
      </c>
      <c r="B148" s="7">
        <v>4020</v>
      </c>
      <c r="C148" s="23" t="s">
        <v>111</v>
      </c>
      <c r="D148" s="23" t="s">
        <v>203</v>
      </c>
      <c r="E148" s="15">
        <v>42620.913287037038</v>
      </c>
      <c r="F148" s="15">
        <v>42620.916851851849</v>
      </c>
      <c r="G148" s="7">
        <v>1</v>
      </c>
      <c r="H148" s="15" t="s">
        <v>630</v>
      </c>
      <c r="I148" s="15">
        <v>42620.941562499997</v>
      </c>
      <c r="J148" s="7">
        <v>0</v>
      </c>
      <c r="K148" s="115" t="str">
        <f t="shared" si="48"/>
        <v>4019/4020</v>
      </c>
      <c r="L148" s="23" t="str">
        <f>VLOOKUP(A148,'Trips&amp;Operators'!$C$1:$E$10000,3,FALSE)</f>
        <v>LEVIN</v>
      </c>
      <c r="M148" s="6">
        <f t="shared" si="49"/>
        <v>2.47106481474475E-2</v>
      </c>
      <c r="N148" s="7">
        <f t="shared" si="44"/>
        <v>35.583333332324401</v>
      </c>
      <c r="O148" s="7"/>
      <c r="P148" s="7"/>
      <c r="Q148" s="24"/>
      <c r="R148" s="24"/>
      <c r="S148" s="36">
        <f t="shared" si="45"/>
        <v>1</v>
      </c>
      <c r="T148" s="51" t="str">
        <f t="shared" si="50"/>
        <v>NorthBound</v>
      </c>
      <c r="U148" s="17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20:55:08-0600',mode:absolute,to:'2016-09-07 23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48" s="177" t="str">
        <f t="shared" si="51"/>
        <v>N</v>
      </c>
      <c r="X148" s="177">
        <f t="shared" si="61"/>
        <v>1</v>
      </c>
      <c r="Y148" s="177">
        <f t="shared" si="52"/>
        <v>4.58E-2</v>
      </c>
      <c r="Z148" s="67">
        <f t="shared" si="47"/>
        <v>23.332899999999999</v>
      </c>
      <c r="AA148" s="67">
        <f t="shared" si="53"/>
        <v>23.287099999999999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54"/>
        <v>0233-07</v>
      </c>
      <c r="AE148" s="97" t="str">
        <f t="shared" si="55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148" s="94" t="str">
        <f t="shared" si="56"/>
        <v>"C:\Program Files (x86)\AstroGrep\AstroGrep.exe" /spath="%USERPROFILE%\AppData\Local\Temp\OnboardLogs" /stypes="*4020*20160908*" /stext=" 04:.+((SYSTEM_STATE.+slice.+state.+changed )|(ment ac)|(system.+state.+changed )|(\|lc)|(penalty)|(\[timeout)|(PRM\|1\|D)|(kpr)|(kdp))" /e /r /s</v>
      </c>
      <c r="AG148" s="1" t="str">
        <f t="shared" si="57"/>
        <v>EC</v>
      </c>
      <c r="AH148" s="98" t="str">
        <f t="shared" si="58"/>
        <v>"%USERPROFILE%\Documents\GitHub\eaglep3\Utilities\RefineRTDCRunTimes.py" --tripid 233-07 --locoid 4020 --swversion DE.1.0.7.0 --startMP 204:458 --initTime 2016-09-07T21:55:08 --startdatetime 2016-09-07T22:00:16 --delay 1 --endMP 204:233329 --enddatetime 2016-09-07T22:35:51 --enforcementcount 0 &gt;&gt;C:\Users\stu\Documents\GitHub\eaglep3-reporting\EC\2016-09-07-refined-times.txt</v>
      </c>
      <c r="AI148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{"issue":{"subject":"","project_id":79,"tracker_id":40,"status_id":1,"priority_id":2,"assigned_to_id":23,"start_date":"2016-09-07","description":"","custom_fields":[{"id":1,"name":"Subdivision","value":"EC"},{"id":4,"name":"Milepost","value":"23.2871"},{"id":17,"name":"Train ID","value":"233-07"},{"id":16,"name":"Locomotive ID","value":"4020"},{"id":130,"name":"Impact","value":""},{"id":150,"name":"Time of Event (Mountain Time)","value":"22:35:51"},{"id":151,"name":"Denver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</row>
    <row r="149" spans="1:38" x14ac:dyDescent="0.25">
      <c r="A149" s="38" t="s">
        <v>555</v>
      </c>
      <c r="B149" s="7">
        <v>4019</v>
      </c>
      <c r="C149" s="23" t="s">
        <v>111</v>
      </c>
      <c r="D149" s="23" t="s">
        <v>309</v>
      </c>
      <c r="E149" s="15">
        <v>42620.948796296296</v>
      </c>
      <c r="F149" s="15">
        <v>42620.955879629626</v>
      </c>
      <c r="G149" s="7">
        <v>1</v>
      </c>
      <c r="H149" s="15" t="s">
        <v>143</v>
      </c>
      <c r="I149" s="15">
        <v>42620.982210648152</v>
      </c>
      <c r="J149" s="7">
        <v>0</v>
      </c>
      <c r="K149" s="115" t="str">
        <f t="shared" si="48"/>
        <v>4019/4020</v>
      </c>
      <c r="L149" s="23" t="str">
        <f>VLOOKUP(A149,'Trips&amp;Operators'!$C$1:$E$10000,3,FALSE)</f>
        <v>LEVIN</v>
      </c>
      <c r="M149" s="6">
        <f t="shared" si="49"/>
        <v>2.6331018525524996E-2</v>
      </c>
      <c r="N149" s="7">
        <f t="shared" si="44"/>
        <v>37.916666676755995</v>
      </c>
      <c r="O149" s="7"/>
      <c r="P149" s="7"/>
      <c r="Q149" s="24"/>
      <c r="R149" s="24"/>
      <c r="S149" s="36">
        <f t="shared" si="45"/>
        <v>1</v>
      </c>
      <c r="T149" s="51" t="str">
        <f t="shared" si="50"/>
        <v>Southbound</v>
      </c>
      <c r="U149" s="17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21:46:16-0600',mode:absolute,to:'2016-09-08 00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49" s="177" t="str">
        <f t="shared" si="51"/>
        <v>N</v>
      </c>
      <c r="X149" s="177">
        <f t="shared" si="61"/>
        <v>1</v>
      </c>
      <c r="Y149" s="177">
        <f t="shared" si="52"/>
        <v>23.300999999999998</v>
      </c>
      <c r="Z149" s="67">
        <f t="shared" si="47"/>
        <v>1.5599999999999999E-2</v>
      </c>
      <c r="AA149" s="67">
        <f t="shared" si="53"/>
        <v>23.285399999999999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54"/>
        <v>0234-07</v>
      </c>
      <c r="AE149" s="97" t="str">
        <f t="shared" si="55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149" s="94" t="str">
        <f t="shared" si="56"/>
        <v>"C:\Program Files (x86)\AstroGrep\AstroGrep.exe" /spath="%USERPROFILE%\AppData\Local\Temp\OnboardLogs" /stypes="*4019*20160908*" /stext=" 05:.+((SYSTEM_STATE.+slice.+state.+changed )|(ment ac)|(system.+state.+changed )|(\|lc)|(penalty)|(\[timeout)|(PRM\|1\|D)|(kpr)|(kdp))" /e /r /s</v>
      </c>
      <c r="AG149" s="1" t="str">
        <f t="shared" si="57"/>
        <v>EC</v>
      </c>
      <c r="AH149" s="98" t="str">
        <f t="shared" si="58"/>
        <v>"%USERPROFILE%\Documents\GitHub\eaglep3\Utilities\RefineRTDCRunTimes.py" --tripid 234-07 --locoid 4019 --swversion DE.1.0.7.0 --startMP 204:233010 --initTime 2016-09-07T22:46:16 --startdatetime 2016-09-07T22:56:28 --delay 1 --endMP 204:156 --enddatetime 2016-09-07T23:34:23 --enforcementcount 0 &gt;&gt;C:\Users\stu\Documents\GitHub\eaglep3-reporting\EC\2016-09-07-refined-times.txt</v>
      </c>
      <c r="AI149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{"issue":{"subject":"","project_id":79,"tracker_id":40,"status_id":1,"priority_id":2,"assigned_to_id":23,"start_date":"2016-09-07","description":"","custom_fields":[{"id":1,"name":"Subdivision","value":"EC"},{"id":4,"name":"Milepost","value":"23.2854"},{"id":17,"name":"Train ID","value":"234-07"},{"id":16,"name":"Locomotive ID","value":"4019"},{"id":130,"name":"Impact","value":""},{"id":150,"name":"Time of Event (Mountain Time)","value":"23:34:23"},{"id":151,"name":"Denver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</row>
    <row r="150" spans="1:38" x14ac:dyDescent="0.25">
      <c r="A150" s="38" t="s">
        <v>553</v>
      </c>
      <c r="B150" s="7">
        <v>4042</v>
      </c>
      <c r="C150" s="23" t="s">
        <v>111</v>
      </c>
      <c r="D150" s="23" t="s">
        <v>590</v>
      </c>
      <c r="E150" s="15">
        <v>42620.936655092592</v>
      </c>
      <c r="F150" s="15">
        <v>42620.937974537039</v>
      </c>
      <c r="G150" s="7">
        <v>1</v>
      </c>
      <c r="H150" s="15" t="s">
        <v>238</v>
      </c>
      <c r="I150" s="15">
        <v>42620.962870370371</v>
      </c>
      <c r="J150" s="7">
        <v>0</v>
      </c>
      <c r="K150" s="115" t="str">
        <f t="shared" si="48"/>
        <v>4041/4042</v>
      </c>
      <c r="L150" s="23" t="str">
        <f>VLOOKUP(A150,'Trips&amp;Operators'!$C$1:$E$10000,3,FALSE)</f>
        <v>COOLAHAN</v>
      </c>
      <c r="M150" s="6">
        <f t="shared" si="49"/>
        <v>2.4895833332266193E-2</v>
      </c>
      <c r="N150" s="7">
        <f t="shared" si="44"/>
        <v>35.849999998463318</v>
      </c>
      <c r="O150" s="7"/>
      <c r="P150" s="7"/>
      <c r="Q150" s="24"/>
      <c r="R150" s="24"/>
      <c r="S150" s="36">
        <f t="shared" si="45"/>
        <v>1</v>
      </c>
      <c r="T150" s="51" t="str">
        <f t="shared" si="50"/>
        <v>NorthBound</v>
      </c>
      <c r="U150" s="17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21:28:47-0600',mode:absolute,to:'2016-09-08 00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50" s="177" t="str">
        <f t="shared" si="51"/>
        <v>N</v>
      </c>
      <c r="X150" s="177">
        <f t="shared" si="61"/>
        <v>1</v>
      </c>
      <c r="Y150" s="177">
        <f t="shared" si="52"/>
        <v>4.6899999999999997E-2</v>
      </c>
      <c r="Z150" s="67">
        <f t="shared" si="47"/>
        <v>23.331</v>
      </c>
      <c r="AA150" s="67">
        <f t="shared" si="53"/>
        <v>23.284099999999999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54"/>
        <v>0235-07</v>
      </c>
      <c r="AE150" s="97" t="str">
        <f t="shared" si="55"/>
        <v>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 &amp; aws s3 cp s3://rtdc.mdm.uploadarchive/RTDC4042/2016-09-08/ "%USERPROFILE%\AppData\Local\Temp\OnboardLogs"\RTDC4042\2016-09-08 --recursive &amp; "%USERPROFILE%\Documents\GitHub\mrs-test-scripts\Headless Mode &amp; Sideloading\WalkAndUnGZ.bat" "%USERPROFILE%\AppData\Local\Temp\OnboardLogs"\RTDC4042\2016-09-08</v>
      </c>
      <c r="AF150" s="94" t="str">
        <f t="shared" si="56"/>
        <v>"C:\Program Files (x86)\AstroGrep\AstroGrep.exe" /spath="%USERPROFILE%\AppData\Local\Temp\OnboardLogs" /stypes="*4042*20160908*" /stext=" 05:.+((SYSTEM_STATE.+slice.+state.+changed )|(ment ac)|(system.+state.+changed )|(\|lc)|(penalty)|(\[timeout)|(PRM\|1\|D)|(kpr)|(kdp))" /e /r /s</v>
      </c>
      <c r="AG150" s="1" t="str">
        <f t="shared" si="57"/>
        <v>EC</v>
      </c>
      <c r="AH150" s="98" t="str">
        <f t="shared" si="58"/>
        <v>"%USERPROFILE%\Documents\GitHub\eaglep3\Utilities\RefineRTDCRunTimes.py" --tripid 235-07 --locoid 4042 --swversion DE.1.0.7.0 --startMP 204:469 --initTime 2016-09-07T22:28:47 --startdatetime 2016-09-07T22:30:41 --delay 1 --endMP 204:233310 --enddatetime 2016-09-07T23:06:32 --enforcementcount 0 &gt;&gt;C:\Users\stu\Documents\GitHub\eaglep3-reporting\EC\2016-09-07-refined-times.txt</v>
      </c>
      <c r="AI150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{"issue":{"subject":"","project_id":79,"tracker_id":40,"status_id":1,"priority_id":2,"assigned_to_id":23,"start_date":"2016-09-07","description":"","custom_fields":[{"id":1,"name":"Subdivision","value":"EC"},{"id":4,"name":"Milepost","value":"23.2841"},{"id":17,"name":"Train ID","value":"235-07"},{"id":16,"name":"Locomotive ID","value":"4042"},{"id":130,"name":"Impact","value":""},{"id":150,"name":"Time of Event (Mountain Time)","value":"23:06:32"},{"id":151,"name":"Denver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38" s="22" customFormat="1" x14ac:dyDescent="0.25">
      <c r="A151" s="38" t="s">
        <v>557</v>
      </c>
      <c r="B151" s="7">
        <v>4041</v>
      </c>
      <c r="C151" s="23" t="s">
        <v>111</v>
      </c>
      <c r="D151" s="23" t="s">
        <v>632</v>
      </c>
      <c r="E151" s="15">
        <v>42620.97179398148</v>
      </c>
      <c r="F151" s="15">
        <v>42620.9768287037</v>
      </c>
      <c r="G151" s="7">
        <v>1</v>
      </c>
      <c r="H151" s="15" t="s">
        <v>210</v>
      </c>
      <c r="I151" s="15">
        <v>42621.004664351851</v>
      </c>
      <c r="J151" s="7">
        <v>0</v>
      </c>
      <c r="K151" s="115" t="str">
        <f t="shared" si="48"/>
        <v>4041/4042</v>
      </c>
      <c r="L151" s="23" t="str">
        <f>VLOOKUP(A151,'Trips&amp;Operators'!$C$1:$E$10000,3,FALSE)</f>
        <v>CUSHING</v>
      </c>
      <c r="M151" s="6">
        <f t="shared" si="49"/>
        <v>2.7835648150357883E-2</v>
      </c>
      <c r="N151" s="7">
        <f t="shared" si="44"/>
        <v>40.083333336515352</v>
      </c>
      <c r="O151" s="7"/>
      <c r="P151" s="7"/>
      <c r="Q151" s="24"/>
      <c r="R151" s="24"/>
      <c r="S151" s="36">
        <f t="shared" si="45"/>
        <v>1</v>
      </c>
      <c r="T151" s="51" t="str">
        <f t="shared" si="50"/>
        <v>Southbound</v>
      </c>
      <c r="U151" s="17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22:19:23-0600',mode:absolute,to:'2016-09-08 01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51" s="177" t="str">
        <f t="shared" si="51"/>
        <v>N</v>
      </c>
      <c r="X151" s="177">
        <f t="shared" ref="X151:X182" si="62">VALUE(LEFT(AD151,4))-VALUE(LEFT(AD150,4))</f>
        <v>1</v>
      </c>
      <c r="Y151" s="177">
        <f t="shared" si="52"/>
        <v>23.3004</v>
      </c>
      <c r="Z151" s="67">
        <f t="shared" si="47"/>
        <v>1.6299999999999999E-2</v>
      </c>
      <c r="AA151" s="67">
        <f t="shared" si="53"/>
        <v>23.284099999999999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54"/>
        <v>0236-07</v>
      </c>
      <c r="AE151" s="97" t="str">
        <f t="shared" si="55"/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AF151" s="94" t="str">
        <f t="shared" si="56"/>
        <v>"C:\Program Files (x86)\AstroGrep\AstroGrep.exe" /spath="%USERPROFILE%\AppData\Local\Temp\OnboardLogs" /stypes="*4041*20160908*" /stext=" 06:.+((SYSTEM_STATE.+slice.+state.+changed )|(ment ac)|(system.+state.+changed )|(\|lc)|(penalty)|(\[timeout)|(PRM\|1\|D)|(kpr)|(kdp))" /e /r /s</v>
      </c>
      <c r="AG151" s="1" t="str">
        <f t="shared" si="57"/>
        <v>EC</v>
      </c>
      <c r="AH151" s="98" t="str">
        <f t="shared" si="58"/>
        <v>"%USERPROFILE%\Documents\GitHub\eaglep3\Utilities\RefineRTDCRunTimes.py" --tripid 236-07 --locoid 4041 --swversion DE.1.0.7.0 --startMP 204:233004 --initTime 2016-09-07T23:19:23 --startdatetime 2016-09-07T23:26:38 --delay 1 --endMP 204:163 --enddatetime 2016-09-08T00:06:43 --enforcementcount 0 &gt;&gt;C:\Users\stu\Documents\GitHub\eaglep3-reporting\EC\2016-09-07-refined-times.txt</v>
      </c>
      <c r="AI151" s="130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{"issue":{"subject":"","project_id":79,"tracker_id":40,"status_id":1,"priority_id":2,"assigned_to_id":23,"start_date":"2016-09-08","description":"","custom_fields":[{"id":1,"name":"Subdivision","value":"EC"},{"id":4,"name":"Milepost","value":"23.2841"},{"id":17,"name":"Train ID","value":"236-07"},{"id":16,"name":"Locomotive ID","value":"4041"},{"id":130,"name":"Impact","value":""},{"id":150,"name":"Time of Event (Mountain Time)","value":"00:06:43"},{"id":151,"name":"Denver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</row>
    <row r="152" spans="1:38" s="22" customFormat="1" x14ac:dyDescent="0.25">
      <c r="A152" s="38" t="s">
        <v>556</v>
      </c>
      <c r="B152" s="7">
        <v>4009</v>
      </c>
      <c r="C152" s="23" t="s">
        <v>111</v>
      </c>
      <c r="D152" s="23" t="s">
        <v>590</v>
      </c>
      <c r="E152" s="15">
        <v>42620.953321759262</v>
      </c>
      <c r="F152" s="15">
        <v>42620.958541666667</v>
      </c>
      <c r="G152" s="7">
        <v>1</v>
      </c>
      <c r="H152" s="15" t="s">
        <v>218</v>
      </c>
      <c r="I152" s="15">
        <v>42620.984953703701</v>
      </c>
      <c r="J152" s="7">
        <v>0</v>
      </c>
      <c r="K152" s="115" t="str">
        <f t="shared" si="48"/>
        <v>4009/4010</v>
      </c>
      <c r="L152" s="23" t="str">
        <f>VLOOKUP(A152,'Trips&amp;Operators'!$C$1:$E$10000,3,FALSE)</f>
        <v>ARVIDSON</v>
      </c>
      <c r="M152" s="6">
        <f t="shared" si="49"/>
        <v>2.6412037033878732E-2</v>
      </c>
      <c r="N152" s="7">
        <f t="shared" si="44"/>
        <v>38.033333328785375</v>
      </c>
      <c r="O152" s="7"/>
      <c r="P152" s="7"/>
      <c r="Q152" s="24"/>
      <c r="R152" s="24"/>
      <c r="S152" s="36">
        <f t="shared" si="45"/>
        <v>1</v>
      </c>
      <c r="T152" s="51" t="str">
        <f t="shared" si="50"/>
        <v>NorthBound</v>
      </c>
      <c r="U152" s="17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21:52:47-0600',mode:absolute,to:'2016-09-08 00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52" s="177" t="str">
        <f t="shared" si="51"/>
        <v>N</v>
      </c>
      <c r="X152" s="177">
        <f t="shared" si="62"/>
        <v>1</v>
      </c>
      <c r="Y152" s="177">
        <f t="shared" si="52"/>
        <v>4.6899999999999997E-2</v>
      </c>
      <c r="Z152" s="67">
        <f t="shared" si="47"/>
        <v>23.330400000000001</v>
      </c>
      <c r="AA152" s="67">
        <f t="shared" si="53"/>
        <v>23.2835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54"/>
        <v>0237-07</v>
      </c>
      <c r="AE152" s="97" t="str">
        <f t="shared" si="55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152" s="94" t="str">
        <f t="shared" si="56"/>
        <v>"C:\Program Files (x86)\AstroGrep\AstroGrep.exe" /spath="%USERPROFILE%\AppData\Local\Temp\OnboardLogs" /stypes="*4009*20160908*" /stext=" 05:.+((SYSTEM_STATE.+slice.+state.+changed )|(ment ac)|(system.+state.+changed )|(\|lc)|(penalty)|(\[timeout)|(PRM\|1\|D)|(kpr)|(kdp))" /e /r /s</v>
      </c>
      <c r="AG152" s="1" t="str">
        <f t="shared" si="57"/>
        <v>EC</v>
      </c>
      <c r="AH152" s="98" t="str">
        <f t="shared" si="58"/>
        <v>"%USERPROFILE%\Documents\GitHub\eaglep3\Utilities\RefineRTDCRunTimes.py" --tripid 237-07 --locoid 4009 --swversion DE.1.0.7.0 --startMP 204:469 --initTime 2016-09-07T22:52:47 --startdatetime 2016-09-07T23:00:18 --delay 1 --endMP 204:233304 --enddatetime 2016-09-07T23:38:20 --enforcementcount 0 &gt;&gt;C:\Users\stu\Documents\GitHub\eaglep3-reporting\EC\2016-09-07-refined-times.txt</v>
      </c>
      <c r="AI152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{"issue":{"subject":"","project_id":79,"tracker_id":40,"status_id":1,"priority_id":2,"assigned_to_id":23,"start_date":"2016-09-07","description":"","custom_fields":[{"id":1,"name":"Subdivision","value":"EC"},{"id":4,"name":"Milepost","value":"23.2835"},{"id":17,"name":"Train ID","value":"237-07"},{"id":16,"name":"Locomotive ID","value":"4009"},{"id":130,"name":"Impact","value":""},{"id":150,"name":"Time of Event (Mountain Time)","value":"23:38:20"},{"id":151,"name":"Denver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38" s="22" customFormat="1" x14ac:dyDescent="0.25">
      <c r="A153" s="38" t="s">
        <v>560</v>
      </c>
      <c r="B153" s="7">
        <v>4010</v>
      </c>
      <c r="C153" s="23" t="s">
        <v>111</v>
      </c>
      <c r="D153" s="23" t="s">
        <v>320</v>
      </c>
      <c r="E153" s="15">
        <v>42620.99255787037</v>
      </c>
      <c r="F153" s="15">
        <v>42620.997557870367</v>
      </c>
      <c r="G153" s="7">
        <v>1</v>
      </c>
      <c r="H153" s="15" t="s">
        <v>336</v>
      </c>
      <c r="I153" s="15">
        <v>42621.02611111111</v>
      </c>
      <c r="J153" s="7">
        <v>0</v>
      </c>
      <c r="K153" s="115" t="str">
        <f t="shared" si="48"/>
        <v>4009/4010</v>
      </c>
      <c r="L153" s="23" t="str">
        <f>VLOOKUP(A153,'Trips&amp;Operators'!$C$1:$E$10000,3,FALSE)</f>
        <v>ARVIDSON</v>
      </c>
      <c r="M153" s="6">
        <f t="shared" si="49"/>
        <v>2.8553240743349306E-2</v>
      </c>
      <c r="N153" s="7">
        <f t="shared" ref="N153:N170" si="63">24*60*SUM($M153:$M153)</f>
        <v>41.116666670423001</v>
      </c>
      <c r="O153" s="7"/>
      <c r="P153" s="7"/>
      <c r="Q153" s="24"/>
      <c r="R153" s="24"/>
      <c r="S153" s="36">
        <f t="shared" ref="S153:S171" si="64">SUM(U153:U153)/IF(AG153="EC",12,1)</f>
        <v>1</v>
      </c>
      <c r="T153" s="51" t="str">
        <f t="shared" si="50"/>
        <v>Southbound</v>
      </c>
      <c r="U153" s="17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22:49:17-0600',mode:absolute,to:'2016-09-08 01:37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53" s="177" t="str">
        <f t="shared" si="51"/>
        <v>N</v>
      </c>
      <c r="X153" s="177">
        <f t="shared" si="62"/>
        <v>1</v>
      </c>
      <c r="Y153" s="177">
        <f t="shared" si="52"/>
        <v>23.296399999999998</v>
      </c>
      <c r="Z153" s="67">
        <f t="shared" si="47"/>
        <v>6.9400000000000003E-2</v>
      </c>
      <c r="AA153" s="67">
        <f t="shared" si="53"/>
        <v>23.226999999999997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54"/>
        <v>0238-07</v>
      </c>
      <c r="AE153" s="97" t="str">
        <f t="shared" si="55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153" s="94" t="str">
        <f t="shared" si="56"/>
        <v>"C:\Program Files (x86)\AstroGrep\AstroGrep.exe" /spath="%USERPROFILE%\AppData\Local\Temp\OnboardLogs" /stypes="*4010*20160908*" /stext=" 06:.+((SYSTEM_STATE.+slice.+state.+changed )|(ment ac)|(system.+state.+changed )|(\|lc)|(penalty)|(\[timeout)|(PRM\|1\|D)|(kpr)|(kdp))" /e /r /s</v>
      </c>
      <c r="AG153" s="1" t="str">
        <f t="shared" si="57"/>
        <v>EC</v>
      </c>
      <c r="AH153" s="98" t="str">
        <f t="shared" si="58"/>
        <v>"%USERPROFILE%\Documents\GitHub\eaglep3\Utilities\RefineRTDCRunTimes.py" --tripid 238-07 --locoid 4010 --swversion DE.1.0.7.0 --startMP 204:232964 --initTime 2016-09-07T23:49:17 --startdatetime 2016-09-07T23:56:29 --delay 1 --endMP 204:694 --enddatetime 2016-09-08T00:37:36 --enforcementcount 0 &gt;&gt;C:\Users\stu\Documents\GitHub\eaglep3-reporting\EC\2016-09-07-refined-times.txt</v>
      </c>
      <c r="AI153" s="130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{"issue":{"subject":"","project_id":79,"tracker_id":40,"status_id":1,"priority_id":2,"assigned_to_id":23,"start_date":"2016-09-08","description":"","custom_fields":[{"id":1,"name":"Subdivision","value":"EC"},{"id":4,"name":"Milepost","value":"23.227"},{"id":17,"name":"Train ID","value":"238-07"},{"id":16,"name":"Locomotive ID","value":"4010"},{"id":130,"name":"Impact","value":""},{"id":150,"name":"Time of Event (Mountain Time)","value":"00:37:36"},{"id":151,"name":"Denver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38" x14ac:dyDescent="0.25">
      <c r="A154" s="38" t="s">
        <v>558</v>
      </c>
      <c r="B154" s="7">
        <v>4025</v>
      </c>
      <c r="C154" s="23" t="s">
        <v>111</v>
      </c>
      <c r="D154" s="23" t="s">
        <v>633</v>
      </c>
      <c r="E154" s="15">
        <v>42620.973090277781</v>
      </c>
      <c r="F154" s="15">
        <v>42620.979699074072</v>
      </c>
      <c r="G154" s="7">
        <v>1</v>
      </c>
      <c r="H154" s="15" t="s">
        <v>634</v>
      </c>
      <c r="I154" s="15">
        <v>42621.00439814815</v>
      </c>
      <c r="J154" s="7">
        <v>0</v>
      </c>
      <c r="K154" s="115" t="str">
        <f t="shared" si="48"/>
        <v>4025/4026</v>
      </c>
      <c r="L154" s="23" t="str">
        <f>VLOOKUP(A154,'Trips&amp;Operators'!$C$1:$E$10000,3,FALSE)</f>
        <v>STAMBAUGH</v>
      </c>
      <c r="M154" s="6">
        <f t="shared" si="49"/>
        <v>2.4699074077943806E-2</v>
      </c>
      <c r="N154" s="7">
        <f t="shared" si="63"/>
        <v>35.56666667223908</v>
      </c>
      <c r="O154" s="7"/>
      <c r="P154" s="7"/>
      <c r="Q154" s="24"/>
      <c r="R154" s="24"/>
      <c r="S154" s="36">
        <f t="shared" si="64"/>
        <v>1</v>
      </c>
      <c r="T154" s="51" t="str">
        <f t="shared" si="50"/>
        <v>NorthBound</v>
      </c>
      <c r="U154" s="17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22:21:15-0600',mode:absolute,to:'2016-09-08 01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54" s="177" t="str">
        <f t="shared" si="51"/>
        <v>N</v>
      </c>
      <c r="X154" s="177">
        <f t="shared" si="62"/>
        <v>1</v>
      </c>
      <c r="Y154" s="177">
        <f t="shared" si="52"/>
        <v>4.0899999999999999E-2</v>
      </c>
      <c r="Z154" s="67">
        <f t="shared" si="47"/>
        <v>23.335100000000001</v>
      </c>
      <c r="AA154" s="67">
        <f t="shared" si="53"/>
        <v>23.2942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54"/>
        <v>0239-07</v>
      </c>
      <c r="AE154" s="97" t="str">
        <f t="shared" si="55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154" s="94" t="str">
        <f t="shared" si="56"/>
        <v>"C:\Program Files (x86)\AstroGrep\AstroGrep.exe" /spath="%USERPROFILE%\AppData\Local\Temp\OnboardLogs" /stypes="*4025*20160908*" /stext=" 06:.+((SYSTEM_STATE.+slice.+state.+changed )|(ment ac)|(system.+state.+changed )|(\|lc)|(penalty)|(\[timeout)|(PRM\|1\|D)|(kpr)|(kdp))" /e /r /s</v>
      </c>
      <c r="AG154" s="1" t="str">
        <f t="shared" si="57"/>
        <v>EC</v>
      </c>
      <c r="AH154" s="98" t="str">
        <f t="shared" si="58"/>
        <v>"%USERPROFILE%\Documents\GitHub\eaglep3\Utilities\RefineRTDCRunTimes.py" --tripid 239-07 --locoid 4025 --swversion DE.1.0.7.0 --startMP 204:409 --initTime 2016-09-07T23:21:15 --startdatetime 2016-09-07T23:30:46 --delay 1 --endMP 204:233351 --enddatetime 2016-09-08T00:06:20 --enforcementcount 0 &gt;&gt;C:\Users\stu\Documents\GitHub\eaglep3-reporting\EC\2016-09-07-refined-times.txt</v>
      </c>
      <c r="AI154" s="130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{"issue":{"subject":"","project_id":79,"tracker_id":40,"status_id":1,"priority_id":2,"assigned_to_id":23,"start_date":"2016-09-08","description":"","custom_fields":[{"id":1,"name":"Subdivision","value":"EC"},{"id":4,"name":"Milepost","value":"23.2942"},{"id":17,"name":"Train ID","value":"239-07"},{"id":16,"name":"Locomotive ID","value":"4025"},{"id":130,"name":"Impact","value":""},{"id":150,"name":"Time of Event (Mountain Time)","value":"00:06:20"},{"id":151,"name":"Denver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38" x14ac:dyDescent="0.25">
      <c r="A155" s="38" t="s">
        <v>561</v>
      </c>
      <c r="B155" s="7">
        <v>4026</v>
      </c>
      <c r="C155" s="23" t="s">
        <v>111</v>
      </c>
      <c r="D155" s="23" t="s">
        <v>635</v>
      </c>
      <c r="E155" s="15">
        <v>42621.01525462963</v>
      </c>
      <c r="F155" s="15">
        <v>42621.018321759257</v>
      </c>
      <c r="G155" s="7">
        <v>1</v>
      </c>
      <c r="H155" s="15" t="s">
        <v>636</v>
      </c>
      <c r="I155" s="15">
        <v>42621.045844907407</v>
      </c>
      <c r="J155" s="7">
        <v>0</v>
      </c>
      <c r="K155" s="115" t="str">
        <f t="shared" si="48"/>
        <v>4025/4026</v>
      </c>
      <c r="L155" s="23" t="str">
        <f>VLOOKUP(A155,'Trips&amp;Operators'!$C$1:$E$10000,3,FALSE)</f>
        <v>STAMBAUGH</v>
      </c>
      <c r="M155" s="6">
        <f t="shared" si="49"/>
        <v>2.7523148150066845E-2</v>
      </c>
      <c r="N155" s="7">
        <f t="shared" si="63"/>
        <v>39.633333336096257</v>
      </c>
      <c r="O155" s="7"/>
      <c r="P155" s="7"/>
      <c r="Q155" s="24"/>
      <c r="R155" s="24"/>
      <c r="S155" s="36">
        <f t="shared" si="64"/>
        <v>1</v>
      </c>
      <c r="T155" s="51" t="str">
        <f t="shared" si="50"/>
        <v>Southbound</v>
      </c>
      <c r="U155" s="17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23:21:58-0600',mode:absolute,to:'2016-09-08 02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55" s="177" t="str">
        <f t="shared" si="51"/>
        <v>N</v>
      </c>
      <c r="X155" s="177">
        <f t="shared" si="62"/>
        <v>1</v>
      </c>
      <c r="Y155" s="177">
        <f t="shared" si="52"/>
        <v>23.3032</v>
      </c>
      <c r="Z155" s="67">
        <f t="shared" si="47"/>
        <v>9.2999999999999992E-3</v>
      </c>
      <c r="AA155" s="67">
        <f t="shared" si="53"/>
        <v>23.293900000000001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54"/>
        <v>0240-07</v>
      </c>
      <c r="AE155" s="97" t="str">
        <f t="shared" si="55"/>
        <v>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 &amp; aws s3 cp s3://rtdc.mdm.uploadarchive/RTDC4026/2016-09-09/ "%USERPROFILE%\AppData\Local\Temp\OnboardLogs"\RTDC4026\2016-09-09 --recursive &amp; "%USERPROFILE%\Documents\GitHub\mrs-test-scripts\Headless Mode &amp; Sideloading\WalkAndUnGZ.bat" "%USERPROFILE%\AppData\Local\Temp\OnboardLogs"\RTDC4026\2016-09-09</v>
      </c>
      <c r="AF155" s="94" t="str">
        <f t="shared" si="56"/>
        <v>"C:\Program Files (x86)\AstroGrep\AstroGrep.exe" /spath="%USERPROFILE%\AppData\Local\Temp\OnboardLogs" /stypes="*4026*20160908*" /stext=" 07:.+((SYSTEM_STATE.+slice.+state.+changed )|(ment ac)|(system.+state.+changed )|(\|lc)|(penalty)|(\[timeout)|(PRM\|1\|D)|(kpr)|(kdp))" /e /r /s</v>
      </c>
      <c r="AG155" s="1" t="str">
        <f t="shared" si="57"/>
        <v>EC</v>
      </c>
      <c r="AH155" s="98" t="str">
        <f t="shared" si="58"/>
        <v>"%USERPROFILE%\Documents\GitHub\eaglep3\Utilities\RefineRTDCRunTimes.py" --tripid 240-07 --locoid 4026 --swversion DE.1.0.7.0 --startMP 204:233032 --initTime 2016-09-08T00:21:58 --startdatetime 2016-09-08T00:26:23 --delay 1 --endMP 204:93 --enddatetime 2016-09-08T01:06:01 --enforcementcount 0 &gt;&gt;C:\Users\stu\Documents\GitHub\eaglep3-reporting\EC\2016-09-07-refined-times.txt</v>
      </c>
      <c r="AI155" s="130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{"issue":{"subject":"","project_id":79,"tracker_id":40,"status_id":1,"priority_id":2,"assigned_to_id":23,"start_date":"2016-09-08","description":"","custom_fields":[{"id":1,"name":"Subdivision","value":"EC"},{"id":4,"name":"Milepost","value":"23.2939"},{"id":17,"name":"Train ID","value":"240-07"},{"id":16,"name":"Locomotive ID","value":"4026"},{"id":130,"name":"Impact","value":""},{"id":150,"name":"Time of Event (Mountain Time)","value":"01:06:01"},{"id":151,"name":"Denver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38" x14ac:dyDescent="0.25">
      <c r="A156" s="38" t="s">
        <v>559</v>
      </c>
      <c r="B156" s="7">
        <v>4020</v>
      </c>
      <c r="C156" s="23" t="s">
        <v>111</v>
      </c>
      <c r="D156" s="23" t="s">
        <v>153</v>
      </c>
      <c r="E156" s="15">
        <v>42620.988981481481</v>
      </c>
      <c r="F156" s="15">
        <v>42621.000347222223</v>
      </c>
      <c r="G156" s="7">
        <v>1</v>
      </c>
      <c r="H156" s="15" t="s">
        <v>155</v>
      </c>
      <c r="I156" s="15">
        <v>42621.02752314815</v>
      </c>
      <c r="J156" s="7">
        <v>0</v>
      </c>
      <c r="K156" s="115" t="str">
        <f t="shared" si="48"/>
        <v>4019/4020</v>
      </c>
      <c r="L156" s="23" t="str">
        <f>VLOOKUP(A156,'Trips&amp;Operators'!$C$1:$E$10000,3,FALSE)</f>
        <v>LEVIN</v>
      </c>
      <c r="M156" s="6">
        <f t="shared" si="49"/>
        <v>2.7175925926712807E-2</v>
      </c>
      <c r="N156" s="7">
        <f t="shared" si="63"/>
        <v>39.133333334466442</v>
      </c>
      <c r="O156" s="7"/>
      <c r="P156" s="7"/>
      <c r="Q156" s="24"/>
      <c r="R156" s="24"/>
      <c r="S156" s="36">
        <f t="shared" si="64"/>
        <v>1</v>
      </c>
      <c r="T156" s="51" t="str">
        <f t="shared" si="50"/>
        <v>NorthBound</v>
      </c>
      <c r="U156" s="17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22:44:08-0600',mode:absolute,to:'2016-09-08 01:39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56" s="177" t="str">
        <f t="shared" si="51"/>
        <v>N</v>
      </c>
      <c r="X156" s="177">
        <f t="shared" si="62"/>
        <v>1</v>
      </c>
      <c r="Y156" s="177">
        <f t="shared" si="52"/>
        <v>4.4699999999999997E-2</v>
      </c>
      <c r="Z156" s="67">
        <f t="shared" si="47"/>
        <v>23.3293</v>
      </c>
      <c r="AA156" s="67">
        <f t="shared" si="53"/>
        <v>23.284600000000001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54"/>
        <v>0241-07</v>
      </c>
      <c r="AE156" s="97" t="str">
        <f t="shared" si="55"/>
        <v>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 &amp; aws s3 cp s3://rtdc.mdm.uploadarchive/RTDC4020/2016-09-09/ "%USERPROFILE%\AppData\Local\Temp\OnboardLogs"\RTDC4020\2016-09-09 --recursive &amp; "%USERPROFILE%\Documents\GitHub\mrs-test-scripts\Headless Mode &amp; Sideloading\WalkAndUnGZ.bat" "%USERPROFILE%\AppData\Local\Temp\OnboardLogs"\RTDC4020\2016-09-09</v>
      </c>
      <c r="AF156" s="94" t="str">
        <f t="shared" si="56"/>
        <v>"C:\Program Files (x86)\AstroGrep\AstroGrep.exe" /spath="%USERPROFILE%\AppData\Local\Temp\OnboardLogs" /stypes="*4020*20160908*" /stext=" 06:.+((SYSTEM_STATE.+slice.+state.+changed )|(ment ac)|(system.+state.+changed )|(\|lc)|(penalty)|(\[timeout)|(PRM\|1\|D)|(kpr)|(kdp))" /e /r /s</v>
      </c>
      <c r="AG156" s="1" t="str">
        <f t="shared" si="57"/>
        <v>EC</v>
      </c>
      <c r="AH156" s="98" t="str">
        <f t="shared" si="58"/>
        <v>"%USERPROFILE%\Documents\GitHub\eaglep3\Utilities\RefineRTDCRunTimes.py" --tripid 241-07 --locoid 4020 --swversion DE.1.0.7.0 --startMP 204:447 --initTime 2016-09-07T23:44:08 --startdatetime 2016-09-08T00:00:30 --delay 1 --endMP 204:233293 --enddatetime 2016-09-08T00:39:38 --enforcementcount 0 &gt;&gt;C:\Users\stu\Documents\GitHub\eaglep3-reporting\EC\2016-09-07-refined-times.txt</v>
      </c>
      <c r="AI156" s="130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{"issue":{"subject":"","project_id":79,"tracker_id":40,"status_id":1,"priority_id":2,"assigned_to_id":23,"start_date":"2016-09-08","description":"","custom_fields":[{"id":1,"name":"Subdivision","value":"EC"},{"id":4,"name":"Milepost","value":"23.2846"},{"id":17,"name":"Train ID","value":"241-07"},{"id":16,"name":"Locomotive ID","value":"4020"},{"id":130,"name":"Impact","value":""},{"id":150,"name":"Time of Event (Mountain Time)","value":"00:39:38"},{"id":151,"name":"Denver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38" x14ac:dyDescent="0.25">
      <c r="A157" s="38" t="s">
        <v>564</v>
      </c>
      <c r="B157" s="7">
        <v>4019</v>
      </c>
      <c r="C157" s="23" t="s">
        <v>111</v>
      </c>
      <c r="D157" s="23" t="s">
        <v>637</v>
      </c>
      <c r="E157" s="15">
        <v>42621.029918981483</v>
      </c>
      <c r="F157" s="15">
        <v>42621.039166666669</v>
      </c>
      <c r="G157" s="7">
        <v>1</v>
      </c>
      <c r="H157" s="15" t="s">
        <v>215</v>
      </c>
      <c r="I157" s="15">
        <v>42621.065636574072</v>
      </c>
      <c r="J157" s="7">
        <v>0</v>
      </c>
      <c r="K157" s="115" t="str">
        <f t="shared" si="48"/>
        <v>4019/4020</v>
      </c>
      <c r="L157" s="23" t="str">
        <f>VLOOKUP(A157,'Trips&amp;Operators'!$C$1:$E$10000,3,FALSE)</f>
        <v>LEVIN</v>
      </c>
      <c r="M157" s="6">
        <f t="shared" si="49"/>
        <v>2.6469907403225079E-2</v>
      </c>
      <c r="N157" s="7">
        <f t="shared" si="63"/>
        <v>38.116666660644114</v>
      </c>
      <c r="O157" s="7"/>
      <c r="P157" s="7"/>
      <c r="Q157" s="24"/>
      <c r="R157" s="24"/>
      <c r="S157" s="36">
        <f t="shared" si="64"/>
        <v>1</v>
      </c>
      <c r="T157" s="51" t="str">
        <f t="shared" si="50"/>
        <v>Southbound</v>
      </c>
      <c r="U157" s="17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23:43:05-0600',mode:absolute,to:'2016-09-08 02:34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57" s="177" t="str">
        <f t="shared" si="51"/>
        <v>N</v>
      </c>
      <c r="X157" s="177">
        <f t="shared" si="62"/>
        <v>1</v>
      </c>
      <c r="Y157" s="177">
        <f t="shared" si="52"/>
        <v>23.297000000000001</v>
      </c>
      <c r="Z157" s="67">
        <f t="shared" si="47"/>
        <v>1.38E-2</v>
      </c>
      <c r="AA157" s="67">
        <f t="shared" si="53"/>
        <v>23.283200000000001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54"/>
        <v>0242-07</v>
      </c>
      <c r="AE157" s="97" t="str">
        <f t="shared" si="55"/>
        <v>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 &amp; aws s3 cp s3://rtdc.mdm.uploadarchive/RTDC4019/2016-09-09/ "%USERPROFILE%\AppData\Local\Temp\OnboardLogs"\RTDC4019\2016-09-09 --recursive &amp; "%USERPROFILE%\Documents\GitHub\mrs-test-scripts\Headless Mode &amp; Sideloading\WalkAndUnGZ.bat" "%USERPROFILE%\AppData\Local\Temp\OnboardLogs"\RTDC4019\2016-09-09</v>
      </c>
      <c r="AF157" s="94" t="str">
        <f t="shared" si="56"/>
        <v>"C:\Program Files (x86)\AstroGrep\AstroGrep.exe" /spath="%USERPROFILE%\AppData\Local\Temp\OnboardLogs" /stypes="*4019*20160908*" /stext=" 07:.+((SYSTEM_STATE.+slice.+state.+changed )|(ment ac)|(system.+state.+changed )|(\|lc)|(penalty)|(\[timeout)|(PRM\|1\|D)|(kpr)|(kdp))" /e /r /s</v>
      </c>
      <c r="AG157" s="1" t="str">
        <f t="shared" si="57"/>
        <v>EC</v>
      </c>
      <c r="AH157" s="98" t="str">
        <f t="shared" si="58"/>
        <v>"%USERPROFILE%\Documents\GitHub\eaglep3\Utilities\RefineRTDCRunTimes.py" --tripid 242-07 --locoid 4019 --swversion DE.1.0.7.0 --startMP 204:232970 --initTime 2016-09-08T00:43:05 --startdatetime 2016-09-08T00:56:24 --delay 1 --endMP 204:138 --enddatetime 2016-09-08T01:34:31 --enforcementcount 0 &gt;&gt;C:\Users\stu\Documents\GitHub\eaglep3-reporting\EC\2016-09-07-refined-times.txt</v>
      </c>
      <c r="AI157" s="130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{"issue":{"subject":"","project_id":79,"tracker_id":40,"status_id":1,"priority_id":2,"assigned_to_id":23,"start_date":"2016-09-08","description":"","custom_fields":[{"id":1,"name":"Subdivision","value":"EC"},{"id":4,"name":"Milepost","value":"23.2832"},{"id":17,"name":"Train ID","value":"242-07"},{"id":16,"name":"Locomotive ID","value":"4019"},{"id":130,"name":"Impact","value":""},{"id":150,"name":"Time of Event (Mountain Time)","value":"01:34:31"},{"id":151,"name":"Denver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38" x14ac:dyDescent="0.25">
      <c r="A158" s="38" t="s">
        <v>562</v>
      </c>
      <c r="B158" s="7">
        <v>4042</v>
      </c>
      <c r="C158" s="23" t="s">
        <v>111</v>
      </c>
      <c r="D158" s="23" t="s">
        <v>312</v>
      </c>
      <c r="E158" s="15">
        <v>42621.018437500003</v>
      </c>
      <c r="F158" s="15">
        <v>42621.021064814813</v>
      </c>
      <c r="G158" s="7">
        <v>1</v>
      </c>
      <c r="H158" s="15" t="s">
        <v>638</v>
      </c>
      <c r="I158" s="15">
        <v>42621.045671296299</v>
      </c>
      <c r="J158" s="7">
        <v>0</v>
      </c>
      <c r="K158" s="115" t="str">
        <f t="shared" si="48"/>
        <v>4041/4042</v>
      </c>
      <c r="L158" s="23" t="str">
        <f>VLOOKUP(A158,'Trips&amp;Operators'!$C$1:$E$10000,3,FALSE)</f>
        <v>COOLAHAN</v>
      </c>
      <c r="M158" s="6">
        <f t="shared" si="49"/>
        <v>2.4606481485534459E-2</v>
      </c>
      <c r="N158" s="7">
        <f t="shared" si="63"/>
        <v>35.433333339169621</v>
      </c>
      <c r="O158" s="7"/>
      <c r="P158" s="7"/>
      <c r="Q158" s="24"/>
      <c r="R158" s="24"/>
      <c r="S158" s="36">
        <f t="shared" si="64"/>
        <v>1</v>
      </c>
      <c r="T158" s="51" t="str">
        <f t="shared" si="50"/>
        <v>NorthBound</v>
      </c>
      <c r="U158" s="17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23:26:33-0600',mode:absolute,to:'2016-09-08 02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58" s="177" t="str">
        <f t="shared" si="51"/>
        <v>N</v>
      </c>
      <c r="X158" s="177">
        <f t="shared" si="62"/>
        <v>1</v>
      </c>
      <c r="Y158" s="177">
        <f t="shared" si="52"/>
        <v>4.7500000000000001E-2</v>
      </c>
      <c r="Z158" s="67">
        <f t="shared" si="47"/>
        <v>23.3325</v>
      </c>
      <c r="AA158" s="67">
        <f t="shared" si="53"/>
        <v>23.285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54"/>
        <v>0243-07</v>
      </c>
      <c r="AE158" s="97" t="str">
        <f t="shared" si="55"/>
        <v>aws s3 cp s3://rtdc.mdm.uploadarchive/RTDC4042/2016-09-08/ "%USERPROFILE%\AppData\Local\Temp\OnboardLogs"\RTDC4042\2016-09-08 --recursive &amp; "%USERPROFILE%\Documents\GitHub\mrs-test-scripts\Headless Mode &amp; Sideloading\WalkAndUnGZ.bat" "%USERPROFILE%\AppData\Local\Temp\OnboardLogs"\RTDC4042\2016-09-08 &amp; aws s3 cp s3://rtdc.mdm.uploadarchive/RTDC4042/2016-09-09/ "%USERPROFILE%\AppData\Local\Temp\OnboardLogs"\RTDC4042\2016-09-09 --recursive &amp; "%USERPROFILE%\Documents\GitHub\mrs-test-scripts\Headless Mode &amp; Sideloading\WalkAndUnGZ.bat" "%USERPROFILE%\AppData\Local\Temp\OnboardLogs"\RTDC4042\2016-09-09</v>
      </c>
      <c r="AF158" s="94" t="str">
        <f t="shared" si="56"/>
        <v>"C:\Program Files (x86)\AstroGrep\AstroGrep.exe" /spath="%USERPROFILE%\AppData\Local\Temp\OnboardLogs" /stypes="*4042*20160908*" /stext=" 07:.+((SYSTEM_STATE.+slice.+state.+changed )|(ment ac)|(system.+state.+changed )|(\|lc)|(penalty)|(\[timeout)|(PRM\|1\|D)|(kpr)|(kdp))" /e /r /s</v>
      </c>
      <c r="AG158" s="1" t="str">
        <f t="shared" si="57"/>
        <v>EC</v>
      </c>
      <c r="AH158" s="98" t="str">
        <f t="shared" si="58"/>
        <v>"%USERPROFILE%\Documents\GitHub\eaglep3\Utilities\RefineRTDCRunTimes.py" --tripid 243-07 --locoid 4042 --swversion DE.1.0.7.0 --startMP 204:475 --initTime 2016-09-08T00:26:33 --startdatetime 2016-09-08T00:30:20 --delay 1 --endMP 204:233325 --enddatetime 2016-09-08T01:05:46 --enforcementcount 0 &gt;&gt;C:\Users\stu\Documents\GitHub\eaglep3-reporting\EC\2016-09-07-refined-times.txt</v>
      </c>
      <c r="AI158" s="130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{"issue":{"subject":"","project_id":79,"tracker_id":40,"status_id":1,"priority_id":2,"assigned_to_id":23,"start_date":"2016-09-08","description":"","custom_fields":[{"id":1,"name":"Subdivision","value":"EC"},{"id":4,"name":"Milepost","value":"23.285"},{"id":17,"name":"Train ID","value":"243-07"},{"id":16,"name":"Locomotive ID","value":"4042"},{"id":130,"name":"Impact","value":""},{"id":150,"name":"Time of Event (Mountain Time)","value":"01:05:46"},{"id":151,"name":"Denver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</row>
    <row r="159" spans="1:38" s="22" customFormat="1" x14ac:dyDescent="0.25">
      <c r="A159" s="38" t="s">
        <v>566</v>
      </c>
      <c r="B159" s="7">
        <v>4041</v>
      </c>
      <c r="C159" s="23" t="s">
        <v>111</v>
      </c>
      <c r="D159" s="23" t="s">
        <v>316</v>
      </c>
      <c r="E159" s="15">
        <v>42621.054097222222</v>
      </c>
      <c r="F159" s="15">
        <v>42621.060127314813</v>
      </c>
      <c r="G159" s="7">
        <v>3</v>
      </c>
      <c r="H159" s="15" t="s">
        <v>134</v>
      </c>
      <c r="I159" s="15">
        <v>42621.086076388892</v>
      </c>
      <c r="J159" s="7">
        <v>0</v>
      </c>
      <c r="K159" s="115" t="str">
        <f t="shared" si="48"/>
        <v>4041/4042</v>
      </c>
      <c r="L159" s="23" t="str">
        <f>VLOOKUP(A159,'Trips&amp;Operators'!$C$1:$E$10000,3,FALSE)</f>
        <v>COOLAHAN</v>
      </c>
      <c r="M159" s="6">
        <f t="shared" si="49"/>
        <v>2.5949074079107959E-2</v>
      </c>
      <c r="N159" s="7">
        <f t="shared" si="63"/>
        <v>37.366666673915461</v>
      </c>
      <c r="O159" s="7"/>
      <c r="P159" s="7"/>
      <c r="Q159" s="24"/>
      <c r="R159" s="24"/>
      <c r="S159" s="36">
        <f t="shared" si="64"/>
        <v>1</v>
      </c>
      <c r="T159" s="51" t="str">
        <f t="shared" si="50"/>
        <v>Southbound</v>
      </c>
      <c r="U159" s="17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https://search-rtdc-monitor-bjffxe2xuh6vdkpspy63sjmuny.us-east-1.es.amazonaws.com/_plugin/kibana/#/discover/Steve-Slow-Train-Analysis-(2080s-and-2083s)?_g=(refreshInterval:(display:Off,section:0,value:0),time:(from:'2016-09-08 00:17:54-0600',mode:absolute,to:'2016-09-08 03:03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59" s="177" t="str">
        <f t="shared" si="51"/>
        <v>N</v>
      </c>
      <c r="X159" s="177">
        <f t="shared" si="62"/>
        <v>1</v>
      </c>
      <c r="Y159" s="177">
        <f t="shared" si="52"/>
        <v>23.298100000000002</v>
      </c>
      <c r="Z159" s="67">
        <f t="shared" si="47"/>
        <v>1.49E-2</v>
      </c>
      <c r="AA159" s="67">
        <f t="shared" si="53"/>
        <v>23.283200000000001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54"/>
        <v>0244-07</v>
      </c>
      <c r="AE159" s="97" t="str">
        <f t="shared" si="55"/>
        <v>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 &amp; aws s3 cp s3://rtdc.mdm.uploadarchive/RTDC4041/2016-09-09/ "%USERPROFILE%\AppData\Local\Temp\OnboardLogs"\RTDC4041\2016-09-09 --recursive &amp; "%USERPROFILE%\Documents\GitHub\mrs-test-scripts\Headless Mode &amp; Sideloading\WalkAndUnGZ.bat" "%USERPROFILE%\AppData\Local\Temp\OnboardLogs"\RTDC4041\2016-09-09</v>
      </c>
      <c r="AF159" s="94" t="str">
        <f t="shared" si="56"/>
        <v>"C:\Program Files (x86)\AstroGrep\AstroGrep.exe" /spath="%USERPROFILE%\AppData\Local\Temp\OnboardLogs" /stypes="*4041*20160908*" /stext=" 08:.+((SYSTEM_STATE.+slice.+state.+changed )|(ment ac)|(system.+state.+changed )|(\|lc)|(penalty)|(\[timeout)|(PRM\|1\|D)|(kpr)|(kdp))" /e /r /s</v>
      </c>
      <c r="AG159" s="1" t="str">
        <f t="shared" si="57"/>
        <v>EC</v>
      </c>
      <c r="AH159" s="98" t="str">
        <f t="shared" si="58"/>
        <v>"%USERPROFILE%\Documents\GitHub\eaglep3\Utilities\RefineRTDCRunTimes.py" --tripid 244-07 --locoid 4041 --swversion DE.1.0.7.0 --startMP 204:232981 --initTime 2016-09-08T01:17:54 --startdatetime 2016-09-08T01:26:35 --delay 3 --endMP 204:149 --enddatetime 2016-09-08T02:03:57 --enforcementcount 0 &gt;&gt;C:\Users\stu\Documents\GitHub\eaglep3-reporting\EC\2016-09-07-refined-times.txt</v>
      </c>
      <c r="AI159" s="130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{"issue":{"subject":"","project_id":79,"tracker_id":40,"status_id":1,"priority_id":2,"assigned_to_id":23,"start_date":"2016-09-08","description":"","custom_fields":[{"id":1,"name":"Subdivision","value":"EC"},{"id":4,"name":"Milepost","value":"23.2832"},{"id":17,"name":"Train ID","value":"244-07"},{"id":16,"name":"Locomotive ID","value":"4041"},{"id":130,"name":"Impact","value":""},{"id":150,"name":"Time of Event (Mountain Time)","value":"02:03:57"},{"id":151,"name":"Denver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38" x14ac:dyDescent="0.25">
      <c r="A160" s="38" t="s">
        <v>360</v>
      </c>
      <c r="B160" s="7">
        <v>4043</v>
      </c>
      <c r="C160" s="23" t="s">
        <v>111</v>
      </c>
      <c r="D160" s="23" t="s">
        <v>250</v>
      </c>
      <c r="E160" s="15">
        <v>42620.21466435185</v>
      </c>
      <c r="F160" s="15">
        <v>42620.215960648151</v>
      </c>
      <c r="G160" s="7">
        <v>1</v>
      </c>
      <c r="H160" s="15" t="s">
        <v>672</v>
      </c>
      <c r="I160" s="15">
        <v>42620.225949074076</v>
      </c>
      <c r="J160" s="7">
        <v>0</v>
      </c>
      <c r="K160" s="115" t="str">
        <f t="shared" si="48"/>
        <v>4043/4044</v>
      </c>
      <c r="L160" s="23" t="str">
        <f>VLOOKUP(A160,'Trips&amp;Operators'!$C$1:$E$10000,3,FALSE)</f>
        <v>STARKS</v>
      </c>
      <c r="M160" s="6">
        <f t="shared" si="49"/>
        <v>9.9884259252576157E-3</v>
      </c>
      <c r="N160" s="7">
        <f t="shared" si="63"/>
        <v>14.383333332370967</v>
      </c>
      <c r="O160" s="7"/>
      <c r="P160" s="7"/>
      <c r="Q160" s="24"/>
      <c r="R160" s="24"/>
      <c r="S160" s="36">
        <f t="shared" si="64"/>
        <v>1</v>
      </c>
      <c r="T160" s="51" t="str">
        <f t="shared" si="50"/>
        <v>Southbound</v>
      </c>
      <c r="U160" s="17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04:09:07-0600',mode:absolute,to:'2016-09-07 06:25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60" s="177" t="str">
        <f t="shared" si="51"/>
        <v>N</v>
      </c>
      <c r="X160" s="177">
        <f t="shared" si="62"/>
        <v>556</v>
      </c>
      <c r="Y160" s="177">
        <f t="shared" si="52"/>
        <v>5.8613</v>
      </c>
      <c r="Z160" s="67">
        <f t="shared" si="47"/>
        <v>7.17E-2</v>
      </c>
      <c r="AA160" s="67">
        <f t="shared" si="53"/>
        <v>5.7896000000000001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54"/>
        <v>0800-07</v>
      </c>
      <c r="AE160" s="97" t="str">
        <f t="shared" si="55"/>
        <v>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 &amp; 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</v>
      </c>
      <c r="AF160" s="94" t="str">
        <f t="shared" si="56"/>
        <v>"C:\Program Files (x86)\AstroGrep\AstroGrep.exe" /spath="%USERPROFILE%\AppData\Local\Temp\OnboardLogs" /stypes="*4043*20160907*" /stext=" 11:.+((SYSTEM_STATE.+slice.+state.+changed )|(ment ac)|(system.+state.+changed )|(\|lc)|(penalty)|(\[timeout)|(PRM\|1\|D)|(kpr)|(kdp))" /e /r /s</v>
      </c>
      <c r="AG160" s="1" t="str">
        <f t="shared" si="57"/>
        <v>NW</v>
      </c>
      <c r="AH160" s="98" t="str">
        <f t="shared" si="58"/>
        <v>"%USERPROFILE%\Documents\GitHub\eaglep3\Utilities\RefineRTDCRunTimes.py" --tripid 800-07 --locoid 4043 --swversion DE.1.0.7.0 --startMP 300:58613 --initTime 2016-09-07T05:09:07 --startdatetime 2016-09-07T05:10:59 --delay 1 --endMP 204:717 --enddatetime 2016-09-07T05:25:22 --enforcementcount 0 &gt;&gt;C:\Users\stu\Documents\GitHub\eaglep3-reporting\EC\2016-09-07-refined-times.txt</v>
      </c>
      <c r="AI160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{"issue":{"subject":"","project_id":79,"tracker_id":40,"status_id":1,"priority_id":2,"assigned_to_id":23,"start_date":"2016-09-07","description":"","custom_fields":[{"id":1,"name":"Subdivision","value":"NW"},{"id":4,"name":"Milepost","value":"5.7896"},{"id":17,"name":"Train ID","value":"800-07"},{"id":16,"name":"Locomotive ID","value":"4043"},{"id":130,"name":"Impact","value":""},{"id":150,"name":"Time of Event (Mountain Time)","value":"05:25:22"},{"id":151,"name":"Denver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38" x14ac:dyDescent="0.25">
      <c r="A161" s="38" t="s">
        <v>359</v>
      </c>
      <c r="B161" s="7">
        <v>4044</v>
      </c>
      <c r="C161" s="23" t="s">
        <v>111</v>
      </c>
      <c r="D161" s="23" t="s">
        <v>673</v>
      </c>
      <c r="E161" s="15">
        <v>42620.242025462961</v>
      </c>
      <c r="F161" s="15">
        <v>42620.243923611109</v>
      </c>
      <c r="G161" s="7">
        <v>1</v>
      </c>
      <c r="H161" s="15" t="s">
        <v>265</v>
      </c>
      <c r="I161" s="15">
        <v>42620.253483796296</v>
      </c>
      <c r="J161" s="7">
        <v>0</v>
      </c>
      <c r="K161" s="115" t="str">
        <f t="shared" si="48"/>
        <v>4043/4044</v>
      </c>
      <c r="L161" s="23" t="str">
        <f>VLOOKUP(A161,'Trips&amp;Operators'!$C$1:$E$10000,3,FALSE)</f>
        <v>STARKS</v>
      </c>
      <c r="M161" s="6">
        <f t="shared" si="49"/>
        <v>9.560185186273884E-3</v>
      </c>
      <c r="N161" s="7">
        <f t="shared" si="63"/>
        <v>13.766666668234393</v>
      </c>
      <c r="O161" s="7"/>
      <c r="P161" s="7"/>
      <c r="Q161" s="24"/>
      <c r="R161" s="24"/>
      <c r="S161" s="36">
        <f t="shared" si="64"/>
        <v>1</v>
      </c>
      <c r="T161" s="51" t="str">
        <f t="shared" si="50"/>
        <v>NorthBound</v>
      </c>
      <c r="U161" s="17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04:48:31-0600',mode:absolute,to:'2016-09-07 07:05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61" s="177" t="str">
        <f t="shared" si="51"/>
        <v>N</v>
      </c>
      <c r="X161" s="177">
        <f t="shared" si="62"/>
        <v>1</v>
      </c>
      <c r="Y161" s="177">
        <f t="shared" si="52"/>
        <v>0.1018</v>
      </c>
      <c r="Z161" s="67">
        <f t="shared" si="47"/>
        <v>5.8930999999999996</v>
      </c>
      <c r="AA161" s="67">
        <f t="shared" si="53"/>
        <v>5.7912999999999997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54"/>
        <v>0801-07</v>
      </c>
      <c r="AE161" s="97" t="str">
        <f t="shared" si="55"/>
        <v>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 &amp; 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</v>
      </c>
      <c r="AF161" s="94" t="str">
        <f t="shared" si="56"/>
        <v>"C:\Program Files (x86)\AstroGrep\AstroGrep.exe" /spath="%USERPROFILE%\AppData\Local\Temp\OnboardLogs" /stypes="*4044*20160907*" /stext=" 12:.+((SYSTEM_STATE.+slice.+state.+changed )|(ment ac)|(system.+state.+changed )|(\|lc)|(penalty)|(\[timeout)|(PRM\|1\|D)|(kpr)|(kdp))" /e /r /s</v>
      </c>
      <c r="AG161" s="1" t="str">
        <f t="shared" si="57"/>
        <v>NW</v>
      </c>
      <c r="AH161" s="98" t="str">
        <f t="shared" si="58"/>
        <v>"%USERPROFILE%\Documents\GitHub\eaglep3\Utilities\RefineRTDCRunTimes.py" --tripid 801-07 --locoid 4044 --swversion DE.1.0.7.0 --startMP 204:1018 --initTime 2016-09-07T05:48:31 --startdatetime 2016-09-07T05:51:15 --delay 1 --endMP 300:58931 --enddatetime 2016-09-07T06:05:01 --enforcementcount 0 &gt;&gt;C:\Users\stu\Documents\GitHub\eaglep3-reporting\EC\2016-09-07-refined-times.txt</v>
      </c>
      <c r="AI161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{"issue":{"subject":"","project_id":79,"tracker_id":40,"status_id":1,"priority_id":2,"assigned_to_id":23,"start_date":"2016-09-07","description":"","custom_fields":[{"id":1,"name":"Subdivision","value":"NW"},{"id":4,"name":"Milepost","value":"5.7913"},{"id":17,"name":"Train ID","value":"801-07"},{"id":16,"name":"Locomotive ID","value":"4044"},{"id":130,"name":"Impact","value":""},{"id":150,"name":"Time of Event (Mountain Time)","value":"06:05:01"},{"id":151,"name":"Denver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38" x14ac:dyDescent="0.25">
      <c r="A162" s="38" t="s">
        <v>371</v>
      </c>
      <c r="B162" s="7">
        <v>4043</v>
      </c>
      <c r="C162" s="23" t="s">
        <v>111</v>
      </c>
      <c r="D162" s="23" t="s">
        <v>339</v>
      </c>
      <c r="E162" s="15">
        <v>42620.254571759258</v>
      </c>
      <c r="F162" s="15">
        <v>42620.256296296298</v>
      </c>
      <c r="G162" s="7">
        <v>1</v>
      </c>
      <c r="H162" s="15" t="s">
        <v>674</v>
      </c>
      <c r="I162" s="15">
        <v>42620.268171296295</v>
      </c>
      <c r="J162" s="7">
        <v>0</v>
      </c>
      <c r="K162" s="115" t="str">
        <f t="shared" si="48"/>
        <v>4043/4044</v>
      </c>
      <c r="L162" s="23" t="str">
        <f>VLOOKUP(A162,'Trips&amp;Operators'!$C$1:$E$10000,3,FALSE)</f>
        <v>STARKS</v>
      </c>
      <c r="M162" s="6">
        <f t="shared" si="49"/>
        <v>1.187499999650754E-2</v>
      </c>
      <c r="N162" s="7">
        <f t="shared" si="63"/>
        <v>17.099999994970858</v>
      </c>
      <c r="O162" s="7"/>
      <c r="P162" s="7"/>
      <c r="Q162" s="24"/>
      <c r="R162" s="24"/>
      <c r="S162" s="36">
        <f t="shared" si="64"/>
        <v>1</v>
      </c>
      <c r="T162" s="51" t="str">
        <f t="shared" si="50"/>
        <v>Southbound</v>
      </c>
      <c r="U162" s="17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05:06:35-0600',mode:absolute,to:'2016-09-07 07:26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62" s="177" t="str">
        <f t="shared" si="51"/>
        <v>N</v>
      </c>
      <c r="X162" s="177">
        <f t="shared" si="62"/>
        <v>1</v>
      </c>
      <c r="Y162" s="177">
        <f t="shared" si="52"/>
        <v>5.8608000000000002</v>
      </c>
      <c r="Z162" s="67">
        <f t="shared" si="47"/>
        <v>7.3599999999999999E-2</v>
      </c>
      <c r="AA162" s="67">
        <f t="shared" si="53"/>
        <v>5.7872000000000003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54"/>
        <v>0802-07</v>
      </c>
      <c r="AE162" s="97" t="str">
        <f t="shared" si="55"/>
        <v>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 &amp; 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</v>
      </c>
      <c r="AF162" s="94" t="str">
        <f t="shared" si="56"/>
        <v>"C:\Program Files (x86)\AstroGrep\AstroGrep.exe" /spath="%USERPROFILE%\AppData\Local\Temp\OnboardLogs" /stypes="*4043*20160907*" /stext=" 12:.+((SYSTEM_STATE.+slice.+state.+changed )|(ment ac)|(system.+state.+changed )|(\|lc)|(penalty)|(\[timeout)|(PRM\|1\|D)|(kpr)|(kdp))" /e /r /s</v>
      </c>
      <c r="AG162" s="1" t="str">
        <f t="shared" si="57"/>
        <v>NW</v>
      </c>
      <c r="AH162" s="98" t="str">
        <f t="shared" si="58"/>
        <v>"%USERPROFILE%\Documents\GitHub\eaglep3\Utilities\RefineRTDCRunTimes.py" --tripid 802-07 --locoid 4043 --swversion DE.1.0.7.0 --startMP 300:58608 --initTime 2016-09-07T06:06:35 --startdatetime 2016-09-07T06:09:04 --delay 1 --endMP 204:736 --enddatetime 2016-09-07T06:26:10 --enforcementcount 0 &gt;&gt;C:\Users\stu\Documents\GitHub\eaglep3-reporting\EC\2016-09-07-refined-times.txt</v>
      </c>
      <c r="AI162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{"issue":{"subject":"","project_id":79,"tracker_id":40,"status_id":1,"priority_id":2,"assigned_to_id":23,"start_date":"2016-09-07","description":"","custom_fields":[{"id":1,"name":"Subdivision","value":"NW"},{"id":4,"name":"Milepost","value":"5.7872"},{"id":17,"name":"Train ID","value":"802-07"},{"id":16,"name":"Locomotive ID","value":"4043"},{"id":130,"name":"Impact","value":""},{"id":150,"name":"Time of Event (Mountain Time)","value":"06:26:10"},{"id":151,"name":"Denver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38" x14ac:dyDescent="0.25">
      <c r="A163" s="38" t="s">
        <v>372</v>
      </c>
      <c r="B163" s="7">
        <v>4029</v>
      </c>
      <c r="C163" s="23" t="s">
        <v>111</v>
      </c>
      <c r="D163" s="23" t="s">
        <v>338</v>
      </c>
      <c r="E163" s="15">
        <v>42620.25712962963</v>
      </c>
      <c r="F163" s="15">
        <v>42620.264768518522</v>
      </c>
      <c r="G163" s="7">
        <v>1</v>
      </c>
      <c r="H163" s="15" t="s">
        <v>675</v>
      </c>
      <c r="I163" s="15">
        <v>42620.274143518516</v>
      </c>
      <c r="J163" s="7">
        <v>0</v>
      </c>
      <c r="K163" s="115" t="str">
        <f t="shared" si="48"/>
        <v>4029/4030</v>
      </c>
      <c r="L163" s="23" t="str">
        <f>VLOOKUP(A163,'Trips&amp;Operators'!$C$1:$E$10000,3,FALSE)</f>
        <v>GEBRETEKLE</v>
      </c>
      <c r="M163" s="6">
        <f t="shared" si="49"/>
        <v>9.3749999941792339E-3</v>
      </c>
      <c r="N163" s="7">
        <f t="shared" si="63"/>
        <v>13.499999991618097</v>
      </c>
      <c r="O163" s="7"/>
      <c r="P163" s="7"/>
      <c r="Q163" s="24"/>
      <c r="R163" s="24"/>
      <c r="S163" s="36">
        <f t="shared" si="64"/>
        <v>1</v>
      </c>
      <c r="T163" s="51" t="str">
        <f t="shared" si="50"/>
        <v>NorthBound</v>
      </c>
      <c r="U163" s="17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05:10:16-0600',mode:absolute,to:'2016-09-07 07:34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63" s="177" t="str">
        <f t="shared" si="51"/>
        <v>N</v>
      </c>
      <c r="X163" s="177">
        <f t="shared" si="62"/>
        <v>1</v>
      </c>
      <c r="Y163" s="177">
        <f t="shared" si="52"/>
        <v>9.7600000000000006E-2</v>
      </c>
      <c r="Z163" s="67">
        <f t="shared" si="47"/>
        <v>5.8994</v>
      </c>
      <c r="AA163" s="67">
        <f t="shared" si="53"/>
        <v>5.8018000000000001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54"/>
        <v>0803-07</v>
      </c>
      <c r="AE163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63" s="94" t="str">
        <f t="shared" si="56"/>
        <v>"C:\Program Files (x86)\AstroGrep\AstroGrep.exe" /spath="%USERPROFILE%\AppData\Local\Temp\OnboardLogs" /stypes="*4029*20160907*" /stext=" 12:.+((SYSTEM_STATE.+slice.+state.+changed )|(ment ac)|(system.+state.+changed )|(\|lc)|(penalty)|(\[timeout)|(PRM\|1\|D)|(kpr)|(kdp))" /e /r /s</v>
      </c>
      <c r="AG163" s="1" t="str">
        <f t="shared" si="57"/>
        <v>NW</v>
      </c>
      <c r="AH163" s="98" t="str">
        <f t="shared" si="58"/>
        <v>"%USERPROFILE%\Documents\GitHub\eaglep3\Utilities\RefineRTDCRunTimes.py" --tripid 803-07 --locoid 4029 --swversion DE.1.0.7.0 --startMP 204:976 --initTime 2016-09-07T06:10:16 --startdatetime 2016-09-07T06:21:16 --delay 1 --endMP 300:58994 --enddatetime 2016-09-07T06:34:46 --enforcementcount 0 &gt;&gt;C:\Users\stu\Documents\GitHub\eaglep3-reporting\EC\2016-09-07-refined-times.txt</v>
      </c>
      <c r="AI163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{"issue":{"subject":"","project_id":79,"tracker_id":40,"status_id":1,"priority_id":2,"assigned_to_id":23,"start_date":"2016-09-07","description":"","custom_fields":[{"id":1,"name":"Subdivision","value":"NW"},{"id":4,"name":"Milepost","value":"5.8018"},{"id":17,"name":"Train ID","value":"803-07"},{"id":16,"name":"Locomotive ID","value":"4029"},{"id":130,"name":"Impact","value":""},{"id":150,"name":"Time of Event (Mountain Time)","value":"06:34:46"},{"id":151,"name":"Denver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38" x14ac:dyDescent="0.25">
      <c r="A164" s="38" t="s">
        <v>376</v>
      </c>
      <c r="B164" s="7">
        <v>4030</v>
      </c>
      <c r="C164" s="23" t="s">
        <v>111</v>
      </c>
      <c r="D164" s="23" t="s">
        <v>676</v>
      </c>
      <c r="E164" s="15">
        <v>42620.275740740741</v>
      </c>
      <c r="F164" s="15">
        <v>42620.277361111112</v>
      </c>
      <c r="G164" s="7">
        <v>1</v>
      </c>
      <c r="H164" s="15" t="s">
        <v>677</v>
      </c>
      <c r="I164" s="15">
        <v>42620.288634259261</v>
      </c>
      <c r="J164" s="7">
        <v>0</v>
      </c>
      <c r="K164" s="115" t="str">
        <f t="shared" si="48"/>
        <v>4029/4030</v>
      </c>
      <c r="L164" s="23" t="str">
        <f>VLOOKUP(A164,'Trips&amp;Operators'!$C$1:$E$10000,3,FALSE)</f>
        <v>GEBRETEKLE</v>
      </c>
      <c r="M164" s="6">
        <f t="shared" si="49"/>
        <v>1.1273148149484769E-2</v>
      </c>
      <c r="N164" s="7">
        <f t="shared" si="63"/>
        <v>16.233333335258067</v>
      </c>
      <c r="O164" s="7"/>
      <c r="P164" s="7"/>
      <c r="Q164" s="24"/>
      <c r="R164" s="24"/>
      <c r="S164" s="36">
        <f t="shared" si="64"/>
        <v>1</v>
      </c>
      <c r="T164" s="51" t="str">
        <f t="shared" si="50"/>
        <v>Southbound</v>
      </c>
      <c r="U164" s="17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05:37:04-0600',mode:absolute,to:'2016-09-07 07:55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64" s="177" t="str">
        <f t="shared" si="51"/>
        <v>N</v>
      </c>
      <c r="X164" s="177">
        <f t="shared" si="62"/>
        <v>1</v>
      </c>
      <c r="Y164" s="177">
        <f t="shared" si="52"/>
        <v>5.8678999999999997</v>
      </c>
      <c r="Z164" s="67">
        <f t="shared" si="47"/>
        <v>6.9199999999999998E-2</v>
      </c>
      <c r="AA164" s="67">
        <f t="shared" si="53"/>
        <v>5.7986999999999993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54"/>
        <v>0804-07</v>
      </c>
      <c r="AE164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64" s="94" t="str">
        <f t="shared" si="56"/>
        <v>"C:\Program Files (x86)\AstroGrep\AstroGrep.exe" /spath="%USERPROFILE%\AppData\Local\Temp\OnboardLogs" /stypes="*4030*20160907*" /stext=" 12:.+((SYSTEM_STATE.+slice.+state.+changed )|(ment ac)|(system.+state.+changed )|(\|lc)|(penalty)|(\[timeout)|(PRM\|1\|D)|(kpr)|(kdp))" /e /r /s</v>
      </c>
      <c r="AG164" s="1" t="str">
        <f t="shared" si="57"/>
        <v>NW</v>
      </c>
      <c r="AH164" s="98" t="str">
        <f t="shared" si="58"/>
        <v>"%USERPROFILE%\Documents\GitHub\eaglep3\Utilities\RefineRTDCRunTimes.py" --tripid 804-07 --locoid 4030 --swversion DE.1.0.7.0 --startMP 300:58679 --initTime 2016-09-07T06:37:04 --startdatetime 2016-09-07T06:39:24 --delay 1 --endMP 204:692 --enddatetime 2016-09-07T06:55:38 --enforcementcount 0 &gt;&gt;C:\Users\stu\Documents\GitHub\eaglep3-reporting\EC\2016-09-07-refined-times.txt</v>
      </c>
      <c r="AI164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{"issue":{"subject":"","project_id":79,"tracker_id":40,"status_id":1,"priority_id":2,"assigned_to_id":23,"start_date":"2016-09-07","description":"","custom_fields":[{"id":1,"name":"Subdivision","value":"NW"},{"id":4,"name":"Milepost","value":"5.7987"},{"id":17,"name":"Train ID","value":"804-07"},{"id":16,"name":"Locomotive ID","value":"4030"},{"id":130,"name":"Impact","value":""},{"id":150,"name":"Time of Event (Mountain Time)","value":"06:55:38"},{"id":151,"name":"Denver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38" x14ac:dyDescent="0.25">
      <c r="A165" s="38" t="s">
        <v>378</v>
      </c>
      <c r="B165" s="7">
        <v>4044</v>
      </c>
      <c r="C165" s="23" t="s">
        <v>111</v>
      </c>
      <c r="D165" s="23" t="s">
        <v>335</v>
      </c>
      <c r="E165" s="15">
        <v>42620.28230324074</v>
      </c>
      <c r="F165" s="15">
        <v>42620.285590277781</v>
      </c>
      <c r="G165" s="7">
        <v>1</v>
      </c>
      <c r="H165" s="15" t="s">
        <v>342</v>
      </c>
      <c r="I165" s="15">
        <v>42620.295277777775</v>
      </c>
      <c r="J165" s="7">
        <v>0</v>
      </c>
      <c r="K165" s="115" t="str">
        <f t="shared" si="48"/>
        <v>4043/4044</v>
      </c>
      <c r="L165" s="23" t="str">
        <f>VLOOKUP(A165,'Trips&amp;Operators'!$C$1:$E$10000,3,FALSE)</f>
        <v>STARKS</v>
      </c>
      <c r="M165" s="6">
        <f t="shared" si="49"/>
        <v>9.6874999944702722E-3</v>
      </c>
      <c r="N165" s="7">
        <f t="shared" si="63"/>
        <v>13.949999992037192</v>
      </c>
      <c r="O165" s="7"/>
      <c r="P165" s="7"/>
      <c r="Q165" s="24"/>
      <c r="R165" s="24"/>
      <c r="S165" s="36">
        <f t="shared" si="64"/>
        <v>1</v>
      </c>
      <c r="T165" s="51" t="str">
        <f t="shared" si="50"/>
        <v>NorthBound</v>
      </c>
      <c r="U165" s="17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05:46:31-0600',mode:absolute,to:'2016-09-07 08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65" s="177" t="str">
        <f t="shared" si="51"/>
        <v>N</v>
      </c>
      <c r="X165" s="177">
        <f t="shared" si="62"/>
        <v>1</v>
      </c>
      <c r="Y165" s="177">
        <f t="shared" si="52"/>
        <v>0.1013</v>
      </c>
      <c r="Z165" s="67">
        <f t="shared" si="47"/>
        <v>5.8933</v>
      </c>
      <c r="AA165" s="67">
        <f t="shared" si="53"/>
        <v>5.7919999999999998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54"/>
        <v>0805-07</v>
      </c>
      <c r="AE165" s="97" t="str">
        <f t="shared" si="55"/>
        <v>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 &amp; 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</v>
      </c>
      <c r="AF165" s="94" t="str">
        <f t="shared" si="56"/>
        <v>"C:\Program Files (x86)\AstroGrep\AstroGrep.exe" /spath="%USERPROFILE%\AppData\Local\Temp\OnboardLogs" /stypes="*4044*20160907*" /stext=" 13:.+((SYSTEM_STATE.+slice.+state.+changed )|(ment ac)|(system.+state.+changed )|(\|lc)|(penalty)|(\[timeout)|(PRM\|1\|D)|(kpr)|(kdp))" /e /r /s</v>
      </c>
      <c r="AG165" s="1" t="str">
        <f t="shared" si="57"/>
        <v>NW</v>
      </c>
      <c r="AH165" s="98" t="str">
        <f t="shared" si="58"/>
        <v>"%USERPROFILE%\Documents\GitHub\eaglep3\Utilities\RefineRTDCRunTimes.py" --tripid 805-07 --locoid 4044 --swversion DE.1.0.7.0 --startMP 204:1013 --initTime 2016-09-07T06:46:31 --startdatetime 2016-09-07T06:51:15 --delay 1 --endMP 300:58933 --enddatetime 2016-09-07T07:05:12 --enforcementcount 0 &gt;&gt;C:\Users\stu\Documents\GitHub\eaglep3-reporting\EC\2016-09-07-refined-times.txt</v>
      </c>
      <c r="AI165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{"issue":{"subject":"","project_id":79,"tracker_id":40,"status_id":1,"priority_id":2,"assigned_to_id":23,"start_date":"2016-09-07","description":"","custom_fields":[{"id":1,"name":"Subdivision","value":"NW"},{"id":4,"name":"Milepost","value":"5.792"},{"id":17,"name":"Train ID","value":"805-07"},{"id":16,"name":"Locomotive ID","value":"4044"},{"id":130,"name":"Impact","value":""},{"id":150,"name":"Time of Event (Mountain Time)","value":"07:05:12"},{"id":151,"name":"Denver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</row>
    <row r="166" spans="1:38" x14ac:dyDescent="0.25">
      <c r="A166" s="38" t="s">
        <v>382</v>
      </c>
      <c r="B166" s="7">
        <v>4043</v>
      </c>
      <c r="C166" s="23" t="s">
        <v>111</v>
      </c>
      <c r="D166" s="23" t="s">
        <v>678</v>
      </c>
      <c r="E166" s="15">
        <v>42620.296203703707</v>
      </c>
      <c r="F166" s="15">
        <v>42620.298055555555</v>
      </c>
      <c r="G166" s="7">
        <v>1</v>
      </c>
      <c r="H166" s="15" t="s">
        <v>340</v>
      </c>
      <c r="I166" s="15">
        <v>42620.310069444444</v>
      </c>
      <c r="J166" s="7">
        <v>0</v>
      </c>
      <c r="K166" s="115" t="str">
        <f t="shared" si="48"/>
        <v>4043/4044</v>
      </c>
      <c r="L166" s="23" t="str">
        <f>VLOOKUP(A166,'Trips&amp;Operators'!$C$1:$E$10000,3,FALSE)</f>
        <v>STARKS</v>
      </c>
      <c r="M166" s="6">
        <f t="shared" si="49"/>
        <v>1.2013888888759539E-2</v>
      </c>
      <c r="N166" s="7">
        <f t="shared" si="63"/>
        <v>17.299999999813735</v>
      </c>
      <c r="O166" s="7"/>
      <c r="P166" s="7"/>
      <c r="Q166" s="24"/>
      <c r="R166" s="24"/>
      <c r="S166" s="36">
        <f t="shared" si="64"/>
        <v>1</v>
      </c>
      <c r="T166" s="51" t="str">
        <f t="shared" si="50"/>
        <v>Southbound</v>
      </c>
      <c r="U166" s="17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06:06:32-0600',mode:absolute,to:'2016-09-07 08:26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66" s="177" t="str">
        <f t="shared" si="51"/>
        <v>N</v>
      </c>
      <c r="X166" s="177">
        <f t="shared" si="62"/>
        <v>1</v>
      </c>
      <c r="Y166" s="177">
        <f t="shared" si="52"/>
        <v>5.8625999999999996</v>
      </c>
      <c r="Z166" s="67">
        <f t="shared" si="47"/>
        <v>7.4300000000000005E-2</v>
      </c>
      <c r="AA166" s="67">
        <f t="shared" si="53"/>
        <v>5.7882999999999996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54"/>
        <v>0806-07</v>
      </c>
      <c r="AE166" s="97" t="str">
        <f t="shared" si="55"/>
        <v>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 &amp; 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</v>
      </c>
      <c r="AF166" s="94" t="str">
        <f t="shared" si="56"/>
        <v>"C:\Program Files (x86)\AstroGrep\AstroGrep.exe" /spath="%USERPROFILE%\AppData\Local\Temp\OnboardLogs" /stypes="*4043*20160907*" /stext=" 13:.+((SYSTEM_STATE.+slice.+state.+changed )|(ment ac)|(system.+state.+changed )|(\|lc)|(penalty)|(\[timeout)|(PRM\|1\|D)|(kpr)|(kdp))" /e /r /s</v>
      </c>
      <c r="AG166" s="1" t="str">
        <f t="shared" si="57"/>
        <v>NW</v>
      </c>
      <c r="AH166" s="98" t="str">
        <f t="shared" si="58"/>
        <v>"%USERPROFILE%\Documents\GitHub\eaglep3\Utilities\RefineRTDCRunTimes.py" --tripid 806-07 --locoid 4043 --swversion DE.1.0.7.0 --startMP 300:58626 --initTime 2016-09-07T07:06:32 --startdatetime 2016-09-07T07:09:12 --delay 1 --endMP 204:743 --enddatetime 2016-09-07T07:26:30 --enforcementcount 0 &gt;&gt;C:\Users\stu\Documents\GitHub\eaglep3-reporting\EC\2016-09-07-refined-times.txt</v>
      </c>
      <c r="AI166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{"issue":{"subject":"","project_id":79,"tracker_id":40,"status_id":1,"priority_id":2,"assigned_to_id":23,"start_date":"2016-09-07","description":"","custom_fields":[{"id":1,"name":"Subdivision","value":"NW"},{"id":4,"name":"Milepost","value":"5.7883"},{"id":17,"name":"Train ID","value":"806-07"},{"id":16,"name":"Locomotive ID","value":"4043"},{"id":130,"name":"Impact","value":""},{"id":150,"name":"Time of Event (Mountain Time)","value":"07:26:30"},{"id":151,"name":"Denver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</row>
    <row r="167" spans="1:38" s="22" customFormat="1" x14ac:dyDescent="0.25">
      <c r="A167" s="38" t="s">
        <v>385</v>
      </c>
      <c r="B167" s="7">
        <v>4029</v>
      </c>
      <c r="C167" s="23" t="s">
        <v>111</v>
      </c>
      <c r="D167" s="23" t="s">
        <v>679</v>
      </c>
      <c r="E167" s="15">
        <v>42620.304062499999</v>
      </c>
      <c r="F167" s="15">
        <v>42620.306423611109</v>
      </c>
      <c r="G167" s="7">
        <v>1</v>
      </c>
      <c r="H167" s="15" t="s">
        <v>680</v>
      </c>
      <c r="I167" s="15">
        <v>42620.315416666665</v>
      </c>
      <c r="J167" s="7">
        <v>0</v>
      </c>
      <c r="K167" s="115" t="str">
        <f t="shared" si="48"/>
        <v>4029/4030</v>
      </c>
      <c r="L167" s="23" t="str">
        <f>VLOOKUP(A167,'Trips&amp;Operators'!$C$1:$E$10000,3,FALSE)</f>
        <v>GEBRETEKLE</v>
      </c>
      <c r="M167" s="6">
        <f t="shared" si="49"/>
        <v>8.9930555550381541E-3</v>
      </c>
      <c r="N167" s="7">
        <f t="shared" si="63"/>
        <v>12.949999999254942</v>
      </c>
      <c r="O167" s="7"/>
      <c r="P167" s="7"/>
      <c r="Q167" s="24"/>
      <c r="R167" s="24"/>
      <c r="S167" s="36">
        <f t="shared" si="64"/>
        <v>1</v>
      </c>
      <c r="T167" s="51" t="str">
        <f t="shared" si="50"/>
        <v>NorthBound</v>
      </c>
      <c r="U167" s="17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06:17:51-0600',mode:absolute,to:'2016-09-07 08:34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67" s="177" t="str">
        <f t="shared" si="51"/>
        <v>N</v>
      </c>
      <c r="X167" s="177">
        <f t="shared" si="62"/>
        <v>1</v>
      </c>
      <c r="Y167" s="177">
        <f t="shared" si="52"/>
        <v>9.8599999999999993E-2</v>
      </c>
      <c r="Z167" s="67">
        <f t="shared" si="47"/>
        <v>5.8712999999999997</v>
      </c>
      <c r="AA167" s="67">
        <f t="shared" si="53"/>
        <v>5.7726999999999995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54"/>
        <v>0807-07</v>
      </c>
      <c r="AE167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67" s="94" t="str">
        <f t="shared" si="56"/>
        <v>"C:\Program Files (x86)\AstroGrep\AstroGrep.exe" /spath="%USERPROFILE%\AppData\Local\Temp\OnboardLogs" /stypes="*4029*20160907*" /stext=" 13:.+((SYSTEM_STATE.+slice.+state.+changed )|(ment ac)|(system.+state.+changed )|(\|lc)|(penalty)|(\[timeout)|(PRM\|1\|D)|(kpr)|(kdp))" /e /r /s</v>
      </c>
      <c r="AG167" s="1" t="str">
        <f t="shared" si="57"/>
        <v>NW</v>
      </c>
      <c r="AH167" s="98" t="str">
        <f t="shared" si="58"/>
        <v>"%USERPROFILE%\Documents\GitHub\eaglep3\Utilities\RefineRTDCRunTimes.py" --tripid 807-07 --locoid 4029 --swversion DE.1.0.7.0 --startMP 204:986 --initTime 2016-09-07T07:17:51 --startdatetime 2016-09-07T07:21:15 --delay 1 --endMP 300:58713 --enddatetime 2016-09-07T07:34:12 --enforcementcount 0 &gt;&gt;C:\Users\stu\Documents\GitHub\eaglep3-reporting\EC\2016-09-07-refined-times.txt</v>
      </c>
      <c r="AI167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{"issue":{"subject":"","project_id":79,"tracker_id":40,"status_id":1,"priority_id":2,"assigned_to_id":23,"start_date":"2016-09-07","description":"","custom_fields":[{"id":1,"name":"Subdivision","value":"NW"},{"id":4,"name":"Milepost","value":"5.7727"},{"id":17,"name":"Train ID","value":"807-07"},{"id":16,"name":"Locomotive ID","value":"4029"},{"id":130,"name":"Impact","value":""},{"id":150,"name":"Time of Event (Mountain Time)","value":"07:34:12"},{"id":151,"name":"Denver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</row>
    <row r="168" spans="1:38" x14ac:dyDescent="0.25">
      <c r="A168" s="38" t="s">
        <v>388</v>
      </c>
      <c r="B168" s="7">
        <v>4030</v>
      </c>
      <c r="C168" s="23" t="s">
        <v>111</v>
      </c>
      <c r="D168" s="23" t="s">
        <v>681</v>
      </c>
      <c r="E168" s="15">
        <v>42620.316874999997</v>
      </c>
      <c r="F168" s="15">
        <v>42620.318981481483</v>
      </c>
      <c r="G168" s="7">
        <v>1</v>
      </c>
      <c r="H168" s="15" t="s">
        <v>682</v>
      </c>
      <c r="I168" s="15">
        <v>42620.330694444441</v>
      </c>
      <c r="J168" s="7">
        <v>0</v>
      </c>
      <c r="K168" s="115" t="str">
        <f t="shared" si="48"/>
        <v>4029/4030</v>
      </c>
      <c r="L168" s="23" t="str">
        <f>VLOOKUP(A168,'Trips&amp;Operators'!$C$1:$E$10000,3,FALSE)</f>
        <v>GEBRETEKLE</v>
      </c>
      <c r="M168" s="6">
        <f t="shared" si="49"/>
        <v>1.1712962957972195E-2</v>
      </c>
      <c r="N168" s="7">
        <f t="shared" si="63"/>
        <v>16.866666659479961</v>
      </c>
      <c r="O168" s="7"/>
      <c r="P168" s="7"/>
      <c r="Q168" s="24"/>
      <c r="R168" s="24"/>
      <c r="S168" s="36">
        <f t="shared" si="64"/>
        <v>1</v>
      </c>
      <c r="T168" s="51" t="str">
        <f t="shared" si="50"/>
        <v>Southbound</v>
      </c>
      <c r="U168" s="17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06:36:18-0600',mode:absolute,to:'2016-09-07 08:56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68" s="177" t="str">
        <f t="shared" si="51"/>
        <v>N</v>
      </c>
      <c r="X168" s="177">
        <f t="shared" si="62"/>
        <v>1</v>
      </c>
      <c r="Y168" s="177">
        <f t="shared" si="52"/>
        <v>5.87</v>
      </c>
      <c r="Z168" s="67">
        <f t="shared" si="47"/>
        <v>6.7500000000000004E-2</v>
      </c>
      <c r="AA168" s="67">
        <f t="shared" si="53"/>
        <v>5.8025000000000002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54"/>
        <v>0808-07</v>
      </c>
      <c r="AE168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68" s="94" t="str">
        <f t="shared" si="56"/>
        <v>"C:\Program Files (x86)\AstroGrep\AstroGrep.exe" /spath="%USERPROFILE%\AppData\Local\Temp\OnboardLogs" /stypes="*4030*20160907*" /stext=" 13:.+((SYSTEM_STATE.+slice.+state.+changed )|(ment ac)|(system.+state.+changed )|(\|lc)|(penalty)|(\[timeout)|(PRM\|1\|D)|(kpr)|(kdp))" /e /r /s</v>
      </c>
      <c r="AG168" s="1" t="str">
        <f t="shared" si="57"/>
        <v>NW</v>
      </c>
      <c r="AH168" s="98" t="str">
        <f t="shared" si="58"/>
        <v>"%USERPROFILE%\Documents\GitHub\eaglep3\Utilities\RefineRTDCRunTimes.py" --tripid 808-07 --locoid 4030 --swversion DE.1.0.7.0 --startMP 300:58700 --initTime 2016-09-07T07:36:18 --startdatetime 2016-09-07T07:39:20 --delay 1 --endMP 204:675 --enddatetime 2016-09-07T07:56:12 --enforcementcount 0 &gt;&gt;C:\Users\stu\Documents\GitHub\eaglep3-reporting\EC\2016-09-07-refined-times.txt</v>
      </c>
      <c r="AI168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{"issue":{"subject":"","project_id":79,"tracker_id":40,"status_id":1,"priority_id":2,"assigned_to_id":23,"start_date":"2016-09-07","description":"","custom_fields":[{"id":1,"name":"Subdivision","value":"NW"},{"id":4,"name":"Milepost","value":"5.8025"},{"id":17,"name":"Train ID","value":"808-07"},{"id":16,"name":"Locomotive ID","value":"4030"},{"id":130,"name":"Impact","value":""},{"id":150,"name":"Time of Event (Mountain Time)","value":"07:56:12"},{"id":151,"name":"Denver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38" s="22" customFormat="1" x14ac:dyDescent="0.25">
      <c r="A169" s="38" t="s">
        <v>387</v>
      </c>
      <c r="B169" s="7">
        <v>4044</v>
      </c>
      <c r="C169" s="23" t="s">
        <v>111</v>
      </c>
      <c r="D169" s="23" t="s">
        <v>683</v>
      </c>
      <c r="E169" s="15">
        <v>42620.311909722222</v>
      </c>
      <c r="F169" s="15">
        <v>42620.327256944445</v>
      </c>
      <c r="G169" s="7">
        <v>1</v>
      </c>
      <c r="H169" s="15" t="s">
        <v>337</v>
      </c>
      <c r="I169" s="15">
        <v>42620.33630787037</v>
      </c>
      <c r="J169" s="7">
        <v>0</v>
      </c>
      <c r="K169" s="115" t="str">
        <f t="shared" si="48"/>
        <v>4043/4044</v>
      </c>
      <c r="L169" s="23" t="str">
        <f>VLOOKUP(A169,'Trips&amp;Operators'!$C$1:$E$10000,3,FALSE)</f>
        <v>STARKS</v>
      </c>
      <c r="M169" s="6">
        <f t="shared" si="49"/>
        <v>9.0509259243845008E-3</v>
      </c>
      <c r="N169" s="7">
        <f t="shared" si="63"/>
        <v>13.033333331113681</v>
      </c>
      <c r="O169" s="7"/>
      <c r="P169" s="7"/>
      <c r="Q169" s="24"/>
      <c r="R169" s="24"/>
      <c r="S169" s="36">
        <f t="shared" si="64"/>
        <v>1</v>
      </c>
      <c r="T169" s="51" t="str">
        <f t="shared" si="50"/>
        <v>NorthBound</v>
      </c>
      <c r="U169" s="17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06:29:09-0600',mode:absolute,to:'2016-09-07 09:04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69" s="177" t="str">
        <f t="shared" si="51"/>
        <v>N</v>
      </c>
      <c r="X169" s="177">
        <f t="shared" si="62"/>
        <v>1</v>
      </c>
      <c r="Y169" s="177">
        <f t="shared" si="52"/>
        <v>0.1014</v>
      </c>
      <c r="Z169" s="67">
        <f t="shared" si="47"/>
        <v>5.8921999999999999</v>
      </c>
      <c r="AA169" s="67">
        <f t="shared" si="53"/>
        <v>5.7907999999999999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54"/>
        <v>0809-07</v>
      </c>
      <c r="AE169" s="97" t="str">
        <f t="shared" si="55"/>
        <v>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 &amp; 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</v>
      </c>
      <c r="AF169" s="94" t="str">
        <f t="shared" si="56"/>
        <v>"C:\Program Files (x86)\AstroGrep\AstroGrep.exe" /spath="%USERPROFILE%\AppData\Local\Temp\OnboardLogs" /stypes="*4044*20160907*" /stext=" 14:.+((SYSTEM_STATE.+slice.+state.+changed )|(ment ac)|(system.+state.+changed )|(\|lc)|(penalty)|(\[timeout)|(PRM\|1\|D)|(kpr)|(kdp))" /e /r /s</v>
      </c>
      <c r="AG169" s="1" t="str">
        <f t="shared" si="57"/>
        <v>NW</v>
      </c>
      <c r="AH169" s="98" t="str">
        <f t="shared" si="58"/>
        <v>"%USERPROFILE%\Documents\GitHub\eaglep3\Utilities\RefineRTDCRunTimes.py" --tripid 809-07 --locoid 4044 --swversion DE.1.0.7.0 --startMP 204:1014 --initTime 2016-09-07T07:29:09 --startdatetime 2016-09-07T07:51:15 --delay 1 --endMP 300:58922 --enddatetime 2016-09-07T08:04:17 --enforcementcount 0 &gt;&gt;C:\Users\stu\Documents\GitHub\eaglep3-reporting\EC\2016-09-07-refined-times.txt</v>
      </c>
      <c r="AI169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{"issue":{"subject":"","project_id":79,"tracker_id":40,"status_id":1,"priority_id":2,"assigned_to_id":23,"start_date":"2016-09-07","description":"","custom_fields":[{"id":1,"name":"Subdivision","value":"NW"},{"id":4,"name":"Milepost","value":"5.7908"},{"id":17,"name":"Train ID","value":"809-07"},{"id":16,"name":"Locomotive ID","value":"4044"},{"id":130,"name":"Impact","value":""},{"id":150,"name":"Time of Event (Mountain Time)","value":"08:04:17"},{"id":151,"name":"Denver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38" s="22" customFormat="1" x14ac:dyDescent="0.25">
      <c r="A170" s="38" t="s">
        <v>394</v>
      </c>
      <c r="B170" s="7">
        <v>4043</v>
      </c>
      <c r="C170" s="23" t="s">
        <v>111</v>
      </c>
      <c r="D170" s="23" t="s">
        <v>266</v>
      </c>
      <c r="E170" s="15">
        <v>42620.337453703702</v>
      </c>
      <c r="F170" s="15">
        <v>42620.338912037034</v>
      </c>
      <c r="G170" s="7">
        <v>1</v>
      </c>
      <c r="H170" s="15" t="s">
        <v>684</v>
      </c>
      <c r="I170" s="15">
        <v>42620.351377314815</v>
      </c>
      <c r="J170" s="7">
        <v>0</v>
      </c>
      <c r="K170" s="115" t="str">
        <f t="shared" si="48"/>
        <v>4043/4044</v>
      </c>
      <c r="L170" s="23" t="str">
        <f>VLOOKUP(A170,'Trips&amp;Operators'!$C$1:$E$10000,3,FALSE)</f>
        <v>STARKS</v>
      </c>
      <c r="M170" s="6">
        <f t="shared" si="49"/>
        <v>1.2465277781302575E-2</v>
      </c>
      <c r="N170" s="7">
        <f t="shared" si="63"/>
        <v>17.950000005075708</v>
      </c>
      <c r="O170" s="7"/>
      <c r="P170" s="7"/>
      <c r="Q170" s="24"/>
      <c r="R170" s="24"/>
      <c r="S170" s="36">
        <f t="shared" si="64"/>
        <v>1</v>
      </c>
      <c r="T170" s="51" t="str">
        <f t="shared" si="50"/>
        <v>Southbound</v>
      </c>
      <c r="U170" s="17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07:05:56-0600',mode:absolute,to:'2016-09-07 09:25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70" s="177" t="str">
        <f t="shared" si="51"/>
        <v>N</v>
      </c>
      <c r="X170" s="177">
        <f t="shared" si="62"/>
        <v>1</v>
      </c>
      <c r="Y170" s="177">
        <f t="shared" si="52"/>
        <v>5.8611000000000004</v>
      </c>
      <c r="Z170" s="67">
        <f t="shared" si="47"/>
        <v>7.0999999999999994E-2</v>
      </c>
      <c r="AA170" s="67">
        <f t="shared" si="53"/>
        <v>5.7901000000000007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54"/>
        <v>0810-07</v>
      </c>
      <c r="AE170" s="97" t="str">
        <f t="shared" si="55"/>
        <v>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 &amp; 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</v>
      </c>
      <c r="AF170" s="94" t="str">
        <f t="shared" si="56"/>
        <v>"C:\Program Files (x86)\AstroGrep\AstroGrep.exe" /spath="%USERPROFILE%\AppData\Local\Temp\OnboardLogs" /stypes="*4043*20160907*" /stext=" 14:.+((SYSTEM_STATE.+slice.+state.+changed )|(ment ac)|(system.+state.+changed )|(\|lc)|(penalty)|(\[timeout)|(PRM\|1\|D)|(kpr)|(kdp))" /e /r /s</v>
      </c>
      <c r="AG170" s="1" t="str">
        <f t="shared" si="57"/>
        <v>NW</v>
      </c>
      <c r="AH170" s="98" t="str">
        <f t="shared" si="58"/>
        <v>"%USERPROFILE%\Documents\GitHub\eaglep3\Utilities\RefineRTDCRunTimes.py" --tripid 810-07 --locoid 4043 --swversion DE.1.0.7.0 --startMP 300:58611 --initTime 2016-09-07T08:05:56 --startdatetime 2016-09-07T08:08:02 --delay 1 --endMP 204:710 --enddatetime 2016-09-07T08:25:59 --enforcementcount 0 &gt;&gt;C:\Users\stu\Documents\GitHub\eaglep3-reporting\EC\2016-09-07-refined-times.txt</v>
      </c>
      <c r="AI170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{"issue":{"subject":"","project_id":79,"tracker_id":40,"status_id":1,"priority_id":2,"assigned_to_id":23,"start_date":"2016-09-07","description":"","custom_fields":[{"id":1,"name":"Subdivision","value":"NW"},{"id":4,"name":"Milepost","value":"5.7901"},{"id":17,"name":"Train ID","value":"810-07"},{"id":16,"name":"Locomotive ID","value":"4043"},{"id":130,"name":"Impact","value":""},{"id":150,"name":"Time of Event (Mountain Time)","value":"08:25:59"},{"id":151,"name":"Denver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38" s="22" customFormat="1" x14ac:dyDescent="0.25">
      <c r="A171" s="38" t="s">
        <v>396</v>
      </c>
      <c r="B171" s="7">
        <v>4029</v>
      </c>
      <c r="C171" s="23" t="s">
        <v>111</v>
      </c>
      <c r="D171" s="23" t="s">
        <v>251</v>
      </c>
      <c r="E171" s="15">
        <v>42620.344884259262</v>
      </c>
      <c r="F171" s="15">
        <v>42620.358969907407</v>
      </c>
      <c r="G171" s="7">
        <v>1</v>
      </c>
      <c r="H171" s="15" t="s">
        <v>685</v>
      </c>
      <c r="I171" s="15">
        <v>42620.359293981484</v>
      </c>
      <c r="J171" s="7">
        <v>0</v>
      </c>
      <c r="K171" s="115" t="str">
        <f t="shared" si="48"/>
        <v>4029/4030</v>
      </c>
      <c r="L171" s="23" t="str">
        <f>VLOOKUP(A171,'Trips&amp;Operators'!$C$1:$E$10000,3,FALSE)</f>
        <v>GEBRETEKLE</v>
      </c>
      <c r="M171" s="6">
        <f t="shared" si="49"/>
        <v>3.2407407707069069E-4</v>
      </c>
      <c r="N171" s="7"/>
      <c r="O171" s="7"/>
      <c r="P171" s="7">
        <f>24*60*SUM($M171:$M171)</f>
        <v>0.4666666709817946</v>
      </c>
      <c r="Q171" s="24"/>
      <c r="R171" s="24" t="s">
        <v>762</v>
      </c>
      <c r="S171" s="36">
        <f t="shared" si="64"/>
        <v>1</v>
      </c>
      <c r="T171" s="51" t="str">
        <f t="shared" si="50"/>
        <v>NorthBound</v>
      </c>
      <c r="U171" s="17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07:16:38-0600',mode:absolute,to:'2016-09-07 09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71" s="177" t="str">
        <f t="shared" si="51"/>
        <v>Y</v>
      </c>
      <c r="X171" s="177">
        <f t="shared" si="62"/>
        <v>1</v>
      </c>
      <c r="Y171" s="177">
        <f t="shared" si="52"/>
        <v>9.7199999999999995E-2</v>
      </c>
      <c r="Z171" s="67">
        <f t="shared" ref="Z171:Z202" si="65">RIGHT(H171,LEN(H171)-4)/10000</f>
        <v>2.3475999999999999</v>
      </c>
      <c r="AA171" s="67">
        <f t="shared" si="53"/>
        <v>2.2504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54"/>
        <v>0811-07</v>
      </c>
      <c r="AE171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71" s="94" t="str">
        <f t="shared" si="56"/>
        <v>"C:\Program Files (x86)\AstroGrep\AstroGrep.exe" /spath="%USERPROFILE%\AppData\Local\Temp\OnboardLogs" /stypes="*4029*20160907*" /stext=" 14:.+((SYSTEM_STATE.+slice.+state.+changed )|(ment ac)|(system.+state.+changed )|(\|lc)|(penalty)|(\[timeout)|(PRM\|1\|D)|(kpr)|(kdp))" /e /r /s</v>
      </c>
      <c r="AG171" s="1" t="str">
        <f t="shared" si="57"/>
        <v>NW</v>
      </c>
      <c r="AH171" s="98" t="str">
        <f t="shared" si="58"/>
        <v>"%USERPROFILE%\Documents\GitHub\eaglep3\Utilities\RefineRTDCRunTimes.py" --tripid 811-07 --locoid 4029 --swversion DE.1.0.7.0 --startMP 204:972 --initTime 2016-09-07T08:16:38 --startdatetime 2016-09-07T08:36:55 --delay 1 --endMP 300:23476 --enddatetime 2016-09-07T08:37:23 --enforcementcount 0 &gt;&gt;C:\Users\stu\Documents\GitHub\eaglep3-reporting\EC\2016-09-07-refined-times.txt</v>
      </c>
      <c r="AI171" s="130" t="str">
        <f t="shared" si="59"/>
        <v>echo {"issue":{"subject":"Went into CRMF, then went active too close to signal after re-initializing","project_id":79,"tracker_id":40,"status_id":1,"priority_id":2,"assigned_to_id":23,"start_date":"2016-09-07","description":"","custom_fields":[{"id":1,"name":"Subdivision","value":"NW"},{"id":4,"name":"Milepost","value":"2.2504"},{"id":17,"name":"Train ID","value":"811-07"},{"id":16,"name":"Locomotive ID","value":"4029"},{"id":130,"name":"Impact","value":""},{"id":150,"name":"Time of Event (Mountain Time)","value":"08:37:23"},{"id":151,"name":"Denver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38" x14ac:dyDescent="0.25">
      <c r="A172" s="38" t="s">
        <v>396</v>
      </c>
      <c r="B172" s="7">
        <v>4029</v>
      </c>
      <c r="C172" s="23" t="s">
        <v>111</v>
      </c>
      <c r="D172" s="23" t="s">
        <v>686</v>
      </c>
      <c r="E172" s="15">
        <v>42620.357638888891</v>
      </c>
      <c r="F172" s="15">
        <v>42620.358969907407</v>
      </c>
      <c r="G172" s="7">
        <v>1</v>
      </c>
      <c r="H172" s="15" t="s">
        <v>687</v>
      </c>
      <c r="I172" s="15">
        <v>42620.359293981484</v>
      </c>
      <c r="J172" s="7">
        <v>0</v>
      </c>
      <c r="K172" s="115" t="str">
        <f t="shared" si="48"/>
        <v>4029/4030</v>
      </c>
      <c r="L172" s="23" t="str">
        <f>VLOOKUP(A172,'Trips&amp;Operators'!$C$1:$E$10000,3,FALSE)</f>
        <v>GEBRETEKLE</v>
      </c>
      <c r="M172" s="6">
        <f t="shared" si="49"/>
        <v>3.2407407707069069E-4</v>
      </c>
      <c r="N172" s="7"/>
      <c r="O172" s="7"/>
      <c r="P172" s="7"/>
      <c r="Q172" s="24"/>
      <c r="R172" s="24"/>
      <c r="S172" s="36"/>
      <c r="T172" s="51" t="str">
        <f t="shared" si="50"/>
        <v>NorthBound</v>
      </c>
      <c r="U172" s="17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0</v>
      </c>
      <c r="V172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07:35:00-0600',mode:absolute,to:'2016-09-07 09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72" s="177" t="str">
        <f t="shared" si="51"/>
        <v>Y</v>
      </c>
      <c r="X172" s="177">
        <f t="shared" si="62"/>
        <v>0</v>
      </c>
      <c r="Y172" s="177">
        <f t="shared" si="52"/>
        <v>2.1448999999999998</v>
      </c>
      <c r="Z172" s="67">
        <f t="shared" si="65"/>
        <v>2.2486000000000002</v>
      </c>
      <c r="AA172" s="67">
        <f t="shared" si="53"/>
        <v>0.10370000000000035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54"/>
        <v>0811-07</v>
      </c>
      <c r="AE172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72" s="94" t="str">
        <f t="shared" si="56"/>
        <v>"C:\Program Files (x86)\AstroGrep\AstroGrep.exe" /spath="%USERPROFILE%\AppData\Local\Temp\OnboardLogs" /stypes="*4029*20160907*" /stext=" 14:.+((SYSTEM_STATE.+slice.+state.+changed )|(ment ac)|(system.+state.+changed )|(\|lc)|(penalty)|(\[timeout)|(PRM\|1\|D)|(kpr)|(kdp))" /e /r /s</v>
      </c>
      <c r="AG172" s="1" t="str">
        <f t="shared" si="57"/>
        <v>NW</v>
      </c>
      <c r="AH172" s="98" t="str">
        <f t="shared" si="58"/>
        <v>"%USERPROFILE%\Documents\GitHub\eaglep3\Utilities\RefineRTDCRunTimes.py" --tripid 811-07 --locoid 4029 --swversion DE.1.0.7.0 --startMP 300:21449 --initTime 2016-09-07T08:35:00 --startdatetime 2016-09-07T08:36:55 --delay 1 --endMP 300:22486 --enddatetime 2016-09-07T08:37:23 --enforcementcount 0 &gt;&gt;C:\Users\stu\Documents\GitHub\eaglep3-reporting\EC\2016-09-07-refined-times.txt</v>
      </c>
      <c r="AI172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{"issue":{"subject":"","project_id":79,"tracker_id":40,"status_id":1,"priority_id":2,"assigned_to_id":23,"start_date":"2016-09-07","description":"","custom_fields":[{"id":1,"name":"Subdivision","value":"NW"},{"id":4,"name":"Milepost","value":"0.1037"},{"id":17,"name":"Train ID","value":"811-07"},{"id":16,"name":"Locomotive ID","value":"4029"},{"id":130,"name":"Impact","value":""},{"id":150,"name":"Time of Event (Mountain Time)","value":"08:37:23"},{"id":151,"name":"Denver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38" x14ac:dyDescent="0.25">
      <c r="A173" s="38" t="s">
        <v>403</v>
      </c>
      <c r="B173" s="7">
        <v>4030</v>
      </c>
      <c r="C173" s="23" t="s">
        <v>111</v>
      </c>
      <c r="D173" s="23" t="s">
        <v>688</v>
      </c>
      <c r="E173" s="15">
        <v>42620.366736111115</v>
      </c>
      <c r="F173" s="15">
        <v>42620.368206018517</v>
      </c>
      <c r="G173" s="7">
        <v>1</v>
      </c>
      <c r="H173" s="15" t="s">
        <v>689</v>
      </c>
      <c r="I173" s="15">
        <v>42620.377592592595</v>
      </c>
      <c r="J173" s="7">
        <v>0</v>
      </c>
      <c r="K173" s="115" t="str">
        <f t="shared" si="48"/>
        <v>4029/4030</v>
      </c>
      <c r="L173" s="23" t="str">
        <f>VLOOKUP(A173,'Trips&amp;Operators'!$C$1:$E$10000,3,FALSE)</f>
        <v>GEBRETEKLE</v>
      </c>
      <c r="M173" s="6">
        <f t="shared" si="49"/>
        <v>9.3865740782348439E-3</v>
      </c>
      <c r="N173" s="7">
        <f t="shared" ref="N173:N181" si="66">24*60*SUM($M173:$M173)</f>
        <v>13.516666672658175</v>
      </c>
      <c r="O173" s="7"/>
      <c r="P173" s="7"/>
      <c r="Q173" s="24"/>
      <c r="R173" s="24"/>
      <c r="S173" s="36">
        <f t="shared" ref="S173:S204" si="67">SUM(U173:U173)/IF(AG173="EC",12,1)</f>
        <v>1</v>
      </c>
      <c r="T173" s="51" t="str">
        <f t="shared" si="50"/>
        <v>Southbound</v>
      </c>
      <c r="U173" s="17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07:48:06-0600',mode:absolute,to:'2016-09-07 10:03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73" s="177" t="str">
        <f t="shared" si="51"/>
        <v>N</v>
      </c>
      <c r="X173" s="177">
        <f t="shared" si="62"/>
        <v>1</v>
      </c>
      <c r="Y173" s="177">
        <f t="shared" si="52"/>
        <v>5.8672000000000004</v>
      </c>
      <c r="Z173" s="67">
        <f t="shared" si="65"/>
        <v>6.9800000000000001E-2</v>
      </c>
      <c r="AA173" s="67">
        <f t="shared" si="53"/>
        <v>5.7974000000000006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54"/>
        <v>0812-07</v>
      </c>
      <c r="AE173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73" s="94" t="str">
        <f t="shared" si="56"/>
        <v>"C:\Program Files (x86)\AstroGrep\AstroGrep.exe" /spath="%USERPROFILE%\AppData\Local\Temp\OnboardLogs" /stypes="*4030*20160907*" /stext=" 15:.+((SYSTEM_STATE.+slice.+state.+changed )|(ment ac)|(system.+state.+changed )|(\|lc)|(penalty)|(\[timeout)|(PRM\|1\|D)|(kpr)|(kdp))" /e /r /s</v>
      </c>
      <c r="AG173" s="1" t="str">
        <f t="shared" si="57"/>
        <v>NW</v>
      </c>
      <c r="AH173" s="98" t="str">
        <f t="shared" si="58"/>
        <v>"%USERPROFILE%\Documents\GitHub\eaglep3\Utilities\RefineRTDCRunTimes.py" --tripid 812-07 --locoid 4030 --swversion DE.1.0.7.0 --startMP 300:58672 --initTime 2016-09-07T08:48:06 --startdatetime 2016-09-07T08:50:13 --delay 1 --endMP 204:698 --enddatetime 2016-09-07T09:03:44 --enforcementcount 0 &gt;&gt;C:\Users\stu\Documents\GitHub\eaglep3-reporting\EC\2016-09-07-refined-times.txt</v>
      </c>
      <c r="AI173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{"issue":{"subject":"","project_id":79,"tracker_id":40,"status_id":1,"priority_id":2,"assigned_to_id":23,"start_date":"2016-09-07","description":"","custom_fields":[{"id":1,"name":"Subdivision","value":"NW"},{"id":4,"name":"Milepost","value":"5.7974"},{"id":17,"name":"Train ID","value":"812-07"},{"id":16,"name":"Locomotive ID","value":"4030"},{"id":130,"name":"Impact","value":""},{"id":150,"name":"Time of Event (Mountain Time)","value":"09:03:44"},{"id":151,"name":"Denver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38" s="22" customFormat="1" x14ac:dyDescent="0.25">
      <c r="A174" s="38" t="s">
        <v>410</v>
      </c>
      <c r="B174" s="7">
        <v>4029</v>
      </c>
      <c r="C174" s="23" t="s">
        <v>111</v>
      </c>
      <c r="D174" s="23" t="s">
        <v>642</v>
      </c>
      <c r="E174" s="15">
        <v>42620.387916666667</v>
      </c>
      <c r="F174" s="15">
        <v>42620.389756944445</v>
      </c>
      <c r="G174" s="7">
        <v>1</v>
      </c>
      <c r="H174" s="15" t="s">
        <v>690</v>
      </c>
      <c r="I174" s="15">
        <v>42620.3987037037</v>
      </c>
      <c r="J174" s="7">
        <v>0</v>
      </c>
      <c r="K174" s="115" t="str">
        <f t="shared" si="48"/>
        <v>4029/4030</v>
      </c>
      <c r="L174" s="23" t="str">
        <f>VLOOKUP(A174,'Trips&amp;Operators'!$C$1:$E$10000,3,FALSE)</f>
        <v>GEBRETEKLE</v>
      </c>
      <c r="M174" s="6">
        <f t="shared" si="49"/>
        <v>8.9467592551955022E-3</v>
      </c>
      <c r="N174" s="7">
        <f t="shared" si="66"/>
        <v>12.883333327481523</v>
      </c>
      <c r="O174" s="7"/>
      <c r="P174" s="7"/>
      <c r="Q174" s="24"/>
      <c r="R174" s="24"/>
      <c r="S174" s="36">
        <f t="shared" si="67"/>
        <v>1</v>
      </c>
      <c r="T174" s="51" t="str">
        <f t="shared" si="50"/>
        <v>NorthBound</v>
      </c>
      <c r="U174" s="17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08:18:36-0600',mode:absolute,to:'2016-09-07 10:34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74" s="177" t="str">
        <f t="shared" si="51"/>
        <v>N</v>
      </c>
      <c r="X174" s="177">
        <f t="shared" si="62"/>
        <v>1</v>
      </c>
      <c r="Y174" s="177">
        <f t="shared" si="52"/>
        <v>9.74E-2</v>
      </c>
      <c r="Z174" s="67">
        <f t="shared" si="65"/>
        <v>5.9009</v>
      </c>
      <c r="AA174" s="67">
        <f t="shared" si="53"/>
        <v>5.8034999999999997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54"/>
        <v>0813-07</v>
      </c>
      <c r="AE174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74" s="94" t="str">
        <f t="shared" si="56"/>
        <v>"C:\Program Files (x86)\AstroGrep\AstroGrep.exe" /spath="%USERPROFILE%\AppData\Local\Temp\OnboardLogs" /stypes="*4029*20160907*" /stext=" 15:.+((SYSTEM_STATE.+slice.+state.+changed )|(ment ac)|(system.+state.+changed )|(\|lc)|(penalty)|(\[timeout)|(PRM\|1\|D)|(kpr)|(kdp))" /e /r /s</v>
      </c>
      <c r="AG174" s="1" t="str">
        <f t="shared" si="57"/>
        <v>NW</v>
      </c>
      <c r="AH174" s="98" t="str">
        <f t="shared" si="58"/>
        <v>"%USERPROFILE%\Documents\GitHub\eaglep3\Utilities\RefineRTDCRunTimes.py" --tripid 813-07 --locoid 4029 --swversion DE.1.0.7.0 --startMP 204:974 --initTime 2016-09-07T09:18:36 --startdatetime 2016-09-07T09:21:15 --delay 1 --endMP 300:59009 --enddatetime 2016-09-07T09:34:08 --enforcementcount 0 &gt;&gt;C:\Users\stu\Documents\GitHub\eaglep3-reporting\EC\2016-09-07-refined-times.txt</v>
      </c>
      <c r="AI174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{"issue":{"subject":"","project_id":79,"tracker_id":40,"status_id":1,"priority_id":2,"assigned_to_id":23,"start_date":"2016-09-07","description":"","custom_fields":[{"id":1,"name":"Subdivision","value":"NW"},{"id":4,"name":"Milepost","value":"5.8035"},{"id":17,"name":"Train ID","value":"813-07"},{"id":16,"name":"Locomotive ID","value":"4029"},{"id":130,"name":"Impact","value":""},{"id":150,"name":"Time of Event (Mountain Time)","value":"09:34:08"},{"id":151,"name":"Denver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38" x14ac:dyDescent="0.25">
      <c r="A175" s="38" t="s">
        <v>414</v>
      </c>
      <c r="B175" s="7">
        <v>4030</v>
      </c>
      <c r="C175" s="23" t="s">
        <v>111</v>
      </c>
      <c r="D175" s="23" t="s">
        <v>691</v>
      </c>
      <c r="E175" s="15">
        <v>42620.400057870371</v>
      </c>
      <c r="F175" s="15">
        <v>42620.401562500003</v>
      </c>
      <c r="G175" s="7">
        <v>1</v>
      </c>
      <c r="H175" s="15" t="s">
        <v>677</v>
      </c>
      <c r="I175" s="15">
        <v>42620.412939814814</v>
      </c>
      <c r="J175" s="7">
        <v>0</v>
      </c>
      <c r="K175" s="115" t="str">
        <f t="shared" si="48"/>
        <v>4029/4030</v>
      </c>
      <c r="L175" s="23" t="str">
        <f>VLOOKUP(A175,'Trips&amp;Operators'!$C$1:$E$10000,3,FALSE)</f>
        <v>GEBRETEKLE</v>
      </c>
      <c r="M175" s="6">
        <f t="shared" si="49"/>
        <v>1.137731481139781E-2</v>
      </c>
      <c r="N175" s="7">
        <f t="shared" si="66"/>
        <v>16.383333328412846</v>
      </c>
      <c r="O175" s="7"/>
      <c r="P175" s="7"/>
      <c r="Q175" s="24"/>
      <c r="R175" s="24"/>
      <c r="S175" s="36">
        <f t="shared" si="67"/>
        <v>1</v>
      </c>
      <c r="T175" s="51" t="str">
        <f t="shared" si="50"/>
        <v>Southbound</v>
      </c>
      <c r="U175" s="17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08:36:05-0600',mode:absolute,to:'2016-09-07 10:54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75" s="177" t="str">
        <f t="shared" si="51"/>
        <v>N</v>
      </c>
      <c r="X175" s="177">
        <f t="shared" si="62"/>
        <v>1</v>
      </c>
      <c r="Y175" s="177">
        <f t="shared" si="52"/>
        <v>5.8686999999999996</v>
      </c>
      <c r="Z175" s="67">
        <f t="shared" si="65"/>
        <v>6.9199999999999998E-2</v>
      </c>
      <c r="AA175" s="67">
        <f t="shared" si="53"/>
        <v>5.7994999999999992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54"/>
        <v>0814-07</v>
      </c>
      <c r="AE175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75" s="94" t="str">
        <f t="shared" si="56"/>
        <v>"C:\Program Files (x86)\AstroGrep\AstroGrep.exe" /spath="%USERPROFILE%\AppData\Local\Temp\OnboardLogs" /stypes="*4030*20160907*" /stext=" 15:.+((SYSTEM_STATE.+slice.+state.+changed )|(ment ac)|(system.+state.+changed )|(\|lc)|(penalty)|(\[timeout)|(PRM\|1\|D)|(kpr)|(kdp))" /e /r /s</v>
      </c>
      <c r="AG175" s="1" t="str">
        <f t="shared" si="57"/>
        <v>NW</v>
      </c>
      <c r="AH175" s="98" t="str">
        <f t="shared" si="58"/>
        <v>"%USERPROFILE%\Documents\GitHub\eaglep3\Utilities\RefineRTDCRunTimes.py" --tripid 814-07 --locoid 4030 --swversion DE.1.0.7.0 --startMP 300:58687 --initTime 2016-09-07T09:36:05 --startdatetime 2016-09-07T09:38:15 --delay 1 --endMP 204:692 --enddatetime 2016-09-07T09:54:38 --enforcementcount 0 &gt;&gt;C:\Users\stu\Documents\GitHub\eaglep3-reporting\EC\2016-09-07-refined-times.txt</v>
      </c>
      <c r="AI175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{"issue":{"subject":"","project_id":79,"tracker_id":40,"status_id":1,"priority_id":2,"assigned_to_id":23,"start_date":"2016-09-07","description":"","custom_fields":[{"id":1,"name":"Subdivision","value":"NW"},{"id":4,"name":"Milepost","value":"5.7995"},{"id":17,"name":"Train ID","value":"814-07"},{"id":16,"name":"Locomotive ID","value":"4030"},{"id":130,"name":"Impact","value":""},{"id":150,"name":"Time of Event (Mountain Time)","value":"09:54:38"},{"id":151,"name":"Denver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38" x14ac:dyDescent="0.25">
      <c r="A176" s="38" t="s">
        <v>420</v>
      </c>
      <c r="B176" s="7">
        <v>4029</v>
      </c>
      <c r="C176" s="23" t="s">
        <v>111</v>
      </c>
      <c r="D176" s="23" t="s">
        <v>642</v>
      </c>
      <c r="E176" s="15">
        <v>42620.426180555558</v>
      </c>
      <c r="F176" s="15">
        <v>42620.431458333333</v>
      </c>
      <c r="G176" s="7">
        <v>1</v>
      </c>
      <c r="H176" s="15" t="s">
        <v>692</v>
      </c>
      <c r="I176" s="15">
        <v>42620.440717592595</v>
      </c>
      <c r="J176" s="7">
        <v>0</v>
      </c>
      <c r="K176" s="115" t="str">
        <f t="shared" si="48"/>
        <v>4029/4030</v>
      </c>
      <c r="L176" s="23" t="str">
        <f>VLOOKUP(A176,'Trips&amp;Operators'!$C$1:$E$10000,3,FALSE)</f>
        <v>GEBRETEKLE</v>
      </c>
      <c r="M176" s="6">
        <f t="shared" si="49"/>
        <v>9.2592592627624981E-3</v>
      </c>
      <c r="N176" s="7">
        <f t="shared" si="66"/>
        <v>13.333333338377997</v>
      </c>
      <c r="O176" s="7"/>
      <c r="P176" s="7"/>
      <c r="Q176" s="24"/>
      <c r="R176" s="24"/>
      <c r="S176" s="36">
        <f t="shared" si="67"/>
        <v>1</v>
      </c>
      <c r="T176" s="51" t="str">
        <f t="shared" si="50"/>
        <v>NorthBound</v>
      </c>
      <c r="U176" s="17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09:13:42-0600',mode:absolute,to:'2016-09-07 11:34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76" s="177" t="str">
        <f t="shared" si="51"/>
        <v>N</v>
      </c>
      <c r="X176" s="177">
        <f t="shared" si="62"/>
        <v>1</v>
      </c>
      <c r="Y176" s="177">
        <f t="shared" si="52"/>
        <v>9.74E-2</v>
      </c>
      <c r="Z176" s="67">
        <f t="shared" si="65"/>
        <v>5.8986000000000001</v>
      </c>
      <c r="AA176" s="67">
        <f t="shared" si="53"/>
        <v>5.8011999999999997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54"/>
        <v>0815-07</v>
      </c>
      <c r="AE176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76" s="94" t="str">
        <f t="shared" si="56"/>
        <v>"C:\Program Files (x86)\AstroGrep\AstroGrep.exe" /spath="%USERPROFILE%\AppData\Local\Temp\OnboardLogs" /stypes="*4029*20160907*" /stext=" 16:.+((SYSTEM_STATE.+slice.+state.+changed )|(ment ac)|(system.+state.+changed )|(\|lc)|(penalty)|(\[timeout)|(PRM\|1\|D)|(kpr)|(kdp))" /e /r /s</v>
      </c>
      <c r="AG176" s="1" t="str">
        <f t="shared" si="57"/>
        <v>NW</v>
      </c>
      <c r="AH176" s="98" t="str">
        <f t="shared" si="58"/>
        <v>"%USERPROFILE%\Documents\GitHub\eaglep3\Utilities\RefineRTDCRunTimes.py" --tripid 815-07 --locoid 4029 --swversion DE.1.0.7.0 --startMP 204:974 --initTime 2016-09-07T10:13:42 --startdatetime 2016-09-07T10:21:18 --delay 1 --endMP 300:58986 --enddatetime 2016-09-07T10:34:38 --enforcementcount 0 &gt;&gt;C:\Users\stu\Documents\GitHub\eaglep3-reporting\EC\2016-09-07-refined-times.txt</v>
      </c>
      <c r="AI176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{"issue":{"subject":"","project_id":79,"tracker_id":40,"status_id":1,"priority_id":2,"assigned_to_id":23,"start_date":"2016-09-07","description":"","custom_fields":[{"id":1,"name":"Subdivision","value":"NW"},{"id":4,"name":"Milepost","value":"5.8012"},{"id":17,"name":"Train ID","value":"815-07"},{"id":16,"name":"Locomotive ID","value":"4029"},{"id":130,"name":"Impact","value":""},{"id":150,"name":"Time of Event (Mountain Time)","value":"10:34:38"},{"id":151,"name":"Denver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38" s="22" customFormat="1" x14ac:dyDescent="0.25">
      <c r="A177" s="38" t="s">
        <v>425</v>
      </c>
      <c r="B177" s="7">
        <v>4030</v>
      </c>
      <c r="C177" s="23" t="s">
        <v>111</v>
      </c>
      <c r="D177" s="23" t="s">
        <v>693</v>
      </c>
      <c r="E177" s="15">
        <v>42620.442106481481</v>
      </c>
      <c r="F177" s="15">
        <v>42620.444884259261</v>
      </c>
      <c r="G177" s="7">
        <v>1</v>
      </c>
      <c r="H177" s="15" t="s">
        <v>677</v>
      </c>
      <c r="I177" s="15">
        <v>42620.454745370371</v>
      </c>
      <c r="J177" s="7">
        <v>0</v>
      </c>
      <c r="K177" s="115" t="str">
        <f t="shared" si="48"/>
        <v>4029/4030</v>
      </c>
      <c r="L177" s="23" t="str">
        <f>VLOOKUP(A177,'Trips&amp;Operators'!$C$1:$E$10000,3,FALSE)</f>
        <v>GEBRETEKLE</v>
      </c>
      <c r="M177" s="6">
        <f t="shared" si="49"/>
        <v>9.8611111097852699E-3</v>
      </c>
      <c r="N177" s="7">
        <f t="shared" si="66"/>
        <v>14.199999998090789</v>
      </c>
      <c r="O177" s="7"/>
      <c r="P177" s="7"/>
      <c r="Q177" s="24"/>
      <c r="R177" s="24"/>
      <c r="S177" s="36">
        <f t="shared" si="67"/>
        <v>1</v>
      </c>
      <c r="T177" s="51" t="str">
        <f t="shared" si="50"/>
        <v>Southbound</v>
      </c>
      <c r="U177" s="17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09:36:38-0600',mode:absolute,to:'2016-09-07 11:54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77" s="177" t="str">
        <f t="shared" si="51"/>
        <v>N</v>
      </c>
      <c r="X177" s="177">
        <f t="shared" si="62"/>
        <v>1</v>
      </c>
      <c r="Y177" s="177">
        <f t="shared" si="52"/>
        <v>5.8677999999999999</v>
      </c>
      <c r="Z177" s="67">
        <f t="shared" si="65"/>
        <v>6.9199999999999998E-2</v>
      </c>
      <c r="AA177" s="67">
        <f t="shared" si="53"/>
        <v>5.7985999999999995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54"/>
        <v>0816-07</v>
      </c>
      <c r="AE177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77" s="94" t="str">
        <f t="shared" si="56"/>
        <v>"C:\Program Files (x86)\AstroGrep\AstroGrep.exe" /spath="%USERPROFILE%\AppData\Local\Temp\OnboardLogs" /stypes="*4030*20160907*" /stext=" 16:.+((SYSTEM_STATE.+slice.+state.+changed )|(ment ac)|(system.+state.+changed )|(\|lc)|(penalty)|(\[timeout)|(PRM\|1\|D)|(kpr)|(kdp))" /e /r /s</v>
      </c>
      <c r="AG177" s="1" t="str">
        <f t="shared" si="57"/>
        <v>NW</v>
      </c>
      <c r="AH177" s="98" t="str">
        <f t="shared" si="58"/>
        <v>"%USERPROFILE%\Documents\GitHub\eaglep3\Utilities\RefineRTDCRunTimes.py" --tripid 816-07 --locoid 4030 --swversion DE.1.0.7.0 --startMP 300:58678 --initTime 2016-09-07T10:36:38 --startdatetime 2016-09-07T10:40:38 --delay 1 --endMP 204:692 --enddatetime 2016-09-07T10:54:50 --enforcementcount 0 &gt;&gt;C:\Users\stu\Documents\GitHub\eaglep3-reporting\EC\2016-09-07-refined-times.txt</v>
      </c>
      <c r="AI177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{"issue":{"subject":"","project_id":79,"tracker_id":40,"status_id":1,"priority_id":2,"assigned_to_id":23,"start_date":"2016-09-07","description":"","custom_fields":[{"id":1,"name":"Subdivision","value":"NW"},{"id":4,"name":"Milepost","value":"5.7986"},{"id":17,"name":"Train ID","value":"816-07"},{"id":16,"name":"Locomotive ID","value":"4030"},{"id":130,"name":"Impact","value":""},{"id":150,"name":"Time of Event (Mountain Time)","value":"10:54:50"},{"id":151,"name":"Denver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38" x14ac:dyDescent="0.25">
      <c r="A178" s="38" t="s">
        <v>432</v>
      </c>
      <c r="B178" s="7">
        <v>4029</v>
      </c>
      <c r="C178" s="23" t="s">
        <v>111</v>
      </c>
      <c r="D178" s="23" t="s">
        <v>694</v>
      </c>
      <c r="E178" s="15">
        <v>42620.470567129632</v>
      </c>
      <c r="F178" s="15">
        <v>42620.473090277781</v>
      </c>
      <c r="G178" s="7">
        <v>1</v>
      </c>
      <c r="H178" s="15" t="s">
        <v>695</v>
      </c>
      <c r="I178" s="15">
        <v>42620.483252314814</v>
      </c>
      <c r="J178" s="7">
        <v>0</v>
      </c>
      <c r="K178" s="115" t="str">
        <f t="shared" si="48"/>
        <v>4029/4030</v>
      </c>
      <c r="L178" s="23" t="str">
        <f>VLOOKUP(A178,'Trips&amp;Operators'!$C$1:$E$10000,3,FALSE)</f>
        <v>GEBRETEKLE</v>
      </c>
      <c r="M178" s="6">
        <f t="shared" si="49"/>
        <v>1.0162037033296656E-2</v>
      </c>
      <c r="N178" s="7">
        <f t="shared" si="66"/>
        <v>14.633333327947184</v>
      </c>
      <c r="O178" s="7"/>
      <c r="P178" s="7"/>
      <c r="Q178" s="24"/>
      <c r="R178" s="24"/>
      <c r="S178" s="36">
        <f t="shared" si="67"/>
        <v>1</v>
      </c>
      <c r="T178" s="51" t="str">
        <f t="shared" si="50"/>
        <v>NorthBound</v>
      </c>
      <c r="U178" s="17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10:17:37-0600',mode:absolute,to:'2016-09-07 12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78" s="177" t="str">
        <f t="shared" si="51"/>
        <v>N</v>
      </c>
      <c r="X178" s="177">
        <f t="shared" si="62"/>
        <v>1</v>
      </c>
      <c r="Y178" s="177">
        <f t="shared" si="52"/>
        <v>9.8799999999999999E-2</v>
      </c>
      <c r="Z178" s="67">
        <f t="shared" si="65"/>
        <v>5.9005000000000001</v>
      </c>
      <c r="AA178" s="67">
        <f t="shared" si="53"/>
        <v>5.8017000000000003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54"/>
        <v>0817-07</v>
      </c>
      <c r="AE178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78" s="94" t="str">
        <f t="shared" si="56"/>
        <v>"C:\Program Files (x86)\AstroGrep\AstroGrep.exe" /spath="%USERPROFILE%\AppData\Local\Temp\OnboardLogs" /stypes="*4029*20160907*" /stext=" 17:.+((SYSTEM_STATE.+slice.+state.+changed )|(ment ac)|(system.+state.+changed )|(\|lc)|(penalty)|(\[timeout)|(PRM\|1\|D)|(kpr)|(kdp))" /e /r /s</v>
      </c>
      <c r="AG178" s="1" t="str">
        <f t="shared" si="57"/>
        <v>NW</v>
      </c>
      <c r="AH178" s="98" t="str">
        <f t="shared" si="58"/>
        <v>"%USERPROFILE%\Documents\GitHub\eaglep3\Utilities\RefineRTDCRunTimes.py" --tripid 817-07 --locoid 4029 --swversion DE.1.0.7.0 --startMP 204:988 --initTime 2016-09-07T11:17:37 --startdatetime 2016-09-07T11:21:15 --delay 1 --endMP 300:59005 --enddatetime 2016-09-07T11:35:53 --enforcementcount 0 &gt;&gt;C:\Users\stu\Documents\GitHub\eaglep3-reporting\EC\2016-09-07-refined-times.txt</v>
      </c>
      <c r="AI178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{"issue":{"subject":"","project_id":79,"tracker_id":40,"status_id":1,"priority_id":2,"assigned_to_id":23,"start_date":"2016-09-07","description":"","custom_fields":[{"id":1,"name":"Subdivision","value":"NW"},{"id":4,"name":"Milepost","value":"5.8017"},{"id":17,"name":"Train ID","value":"817-07"},{"id":16,"name":"Locomotive ID","value":"4029"},{"id":130,"name":"Impact","value":""},{"id":150,"name":"Time of Event (Mountain Time)","value":"11:35:53"},{"id":151,"name":"Denver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38" x14ac:dyDescent="0.25">
      <c r="A179" s="38" t="s">
        <v>436</v>
      </c>
      <c r="B179" s="7">
        <v>4030</v>
      </c>
      <c r="C179" s="23" t="s">
        <v>111</v>
      </c>
      <c r="D179" s="23" t="s">
        <v>693</v>
      </c>
      <c r="E179" s="15">
        <v>42620.484490740739</v>
      </c>
      <c r="F179" s="15">
        <v>42620.486643518518</v>
      </c>
      <c r="G179" s="7">
        <v>2</v>
      </c>
      <c r="H179" s="15" t="s">
        <v>267</v>
      </c>
      <c r="I179" s="15">
        <v>42620.497534722221</v>
      </c>
      <c r="J179" s="7">
        <v>0</v>
      </c>
      <c r="K179" s="115" t="str">
        <f t="shared" si="48"/>
        <v>4029/4030</v>
      </c>
      <c r="L179" s="23" t="str">
        <f>VLOOKUP(A179,'Trips&amp;Operators'!$C$1:$E$10000,3,FALSE)</f>
        <v>GEBRETEKLE</v>
      </c>
      <c r="M179" s="6">
        <f t="shared" si="49"/>
        <v>1.0891203703067731E-2</v>
      </c>
      <c r="N179" s="7">
        <f t="shared" si="66"/>
        <v>15.683333332417533</v>
      </c>
      <c r="O179" s="7"/>
      <c r="P179" s="7"/>
      <c r="Q179" s="24"/>
      <c r="R179" s="24"/>
      <c r="S179" s="36">
        <f t="shared" si="67"/>
        <v>1</v>
      </c>
      <c r="T179" s="51" t="str">
        <f t="shared" si="50"/>
        <v>Southbound</v>
      </c>
      <c r="U179" s="17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10:37:40-0600',mode:absolute,to:'2016-09-07 12:56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79" s="177" t="str">
        <f t="shared" si="51"/>
        <v>N</v>
      </c>
      <c r="X179" s="177">
        <f t="shared" si="62"/>
        <v>1</v>
      </c>
      <c r="Y179" s="177">
        <f t="shared" si="52"/>
        <v>5.8677999999999999</v>
      </c>
      <c r="Z179" s="67">
        <f t="shared" si="65"/>
        <v>6.8900000000000003E-2</v>
      </c>
      <c r="AA179" s="67">
        <f t="shared" si="53"/>
        <v>5.7988999999999997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54"/>
        <v>0818-07</v>
      </c>
      <c r="AE179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79" s="94" t="str">
        <f t="shared" si="56"/>
        <v>"C:\Program Files (x86)\AstroGrep\AstroGrep.exe" /spath="%USERPROFILE%\AppData\Local\Temp\OnboardLogs" /stypes="*4030*20160907*" /stext=" 17:.+((SYSTEM_STATE.+slice.+state.+changed )|(ment ac)|(system.+state.+changed )|(\|lc)|(penalty)|(\[timeout)|(PRM\|1\|D)|(kpr)|(kdp))" /e /r /s</v>
      </c>
      <c r="AG179" s="1" t="str">
        <f t="shared" si="57"/>
        <v>NW</v>
      </c>
      <c r="AH179" s="98" t="str">
        <f t="shared" si="58"/>
        <v>"%USERPROFILE%\Documents\GitHub\eaglep3\Utilities\RefineRTDCRunTimes.py" --tripid 818-07 --locoid 4030 --swversion DE.1.0.7.0 --startMP 300:58678 --initTime 2016-09-07T11:37:40 --startdatetime 2016-09-07T11:40:46 --delay 2 --endMP 204:689 --enddatetime 2016-09-07T11:56:27 --enforcementcount 0 &gt;&gt;C:\Users\stu\Documents\GitHub\eaglep3-reporting\EC\2016-09-07-refined-times.txt</v>
      </c>
      <c r="AI179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{"issue":{"subject":"","project_id":79,"tracker_id":40,"status_id":1,"priority_id":2,"assigned_to_id":23,"start_date":"2016-09-07","description":"","custom_fields":[{"id":1,"name":"Subdivision","value":"NW"},{"id":4,"name":"Milepost","value":"5.7989"},{"id":17,"name":"Train ID","value":"818-07"},{"id":16,"name":"Locomotive ID","value":"4030"},{"id":130,"name":"Impact","value":""},{"id":150,"name":"Time of Event (Mountain Time)","value":"11:56:27"},{"id":151,"name":"Denver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38" x14ac:dyDescent="0.25">
      <c r="A180" s="38" t="s">
        <v>443</v>
      </c>
      <c r="B180" s="7">
        <v>4029</v>
      </c>
      <c r="C180" s="23" t="s">
        <v>111</v>
      </c>
      <c r="D180" s="23" t="s">
        <v>694</v>
      </c>
      <c r="E180" s="15">
        <v>42620.512835648151</v>
      </c>
      <c r="F180" s="15">
        <v>42620.515057870369</v>
      </c>
      <c r="G180" s="7">
        <v>2</v>
      </c>
      <c r="H180" s="15" t="s">
        <v>696</v>
      </c>
      <c r="I180" s="15">
        <v>42620.524351851855</v>
      </c>
      <c r="J180" s="7">
        <v>0</v>
      </c>
      <c r="K180" s="115" t="str">
        <f t="shared" si="48"/>
        <v>4029/4030</v>
      </c>
      <c r="L180" s="23" t="str">
        <f>VLOOKUP(A180,'Trips&amp;Operators'!$C$1:$E$10000,3,FALSE)</f>
        <v>GEBRETEKLE</v>
      </c>
      <c r="M180" s="6">
        <f t="shared" si="49"/>
        <v>9.2939814858254977E-3</v>
      </c>
      <c r="N180" s="7">
        <f t="shared" si="66"/>
        <v>13.383333339588717</v>
      </c>
      <c r="O180" s="7"/>
      <c r="P180" s="7"/>
      <c r="Q180" s="24"/>
      <c r="R180" s="24"/>
      <c r="S180" s="36">
        <f t="shared" si="67"/>
        <v>1</v>
      </c>
      <c r="T180" s="51" t="str">
        <f t="shared" si="50"/>
        <v>NorthBound</v>
      </c>
      <c r="U180" s="17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11:18:29-0600',mode:absolute,to:'2016-09-07 13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80" s="177" t="str">
        <f t="shared" si="51"/>
        <v>N</v>
      </c>
      <c r="X180" s="177">
        <f t="shared" si="62"/>
        <v>1</v>
      </c>
      <c r="Y180" s="177">
        <f t="shared" si="52"/>
        <v>9.8799999999999999E-2</v>
      </c>
      <c r="Z180" s="67">
        <f t="shared" si="65"/>
        <v>5.8979999999999997</v>
      </c>
      <c r="AA180" s="67">
        <f t="shared" si="53"/>
        <v>5.7991999999999999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54"/>
        <v>0819-07</v>
      </c>
      <c r="AE180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80" s="94" t="str">
        <f t="shared" si="56"/>
        <v>"C:\Program Files (x86)\AstroGrep\AstroGrep.exe" /spath="%USERPROFILE%\AppData\Local\Temp\OnboardLogs" /stypes="*4029*20160907*" /stext=" 18:.+((SYSTEM_STATE.+slice.+state.+changed )|(ment ac)|(system.+state.+changed )|(\|lc)|(penalty)|(\[timeout)|(PRM\|1\|D)|(kpr)|(kdp))" /e /r /s</v>
      </c>
      <c r="AG180" s="1" t="str">
        <f t="shared" si="57"/>
        <v>NW</v>
      </c>
      <c r="AH180" s="98" t="str">
        <f t="shared" si="58"/>
        <v>"%USERPROFILE%\Documents\GitHub\eaglep3\Utilities\RefineRTDCRunTimes.py" --tripid 819-07 --locoid 4029 --swversion DE.1.0.7.0 --startMP 204:988 --initTime 2016-09-07T12:18:29 --startdatetime 2016-09-07T12:21:41 --delay 2 --endMP 300:58980 --enddatetime 2016-09-07T12:35:04 --enforcementcount 0 &gt;&gt;C:\Users\stu\Documents\GitHub\eaglep3-reporting\EC\2016-09-07-refined-times.txt</v>
      </c>
      <c r="AI180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{"issue":{"subject":"","project_id":79,"tracker_id":40,"status_id":1,"priority_id":2,"assigned_to_id":23,"start_date":"2016-09-07","description":"","custom_fields":[{"id":1,"name":"Subdivision","value":"NW"},{"id":4,"name":"Milepost","value":"5.7992"},{"id":17,"name":"Train ID","value":"819-07"},{"id":16,"name":"Locomotive ID","value":"4029"},{"id":130,"name":"Impact","value":""},{"id":150,"name":"Time of Event (Mountain Time)","value":"12:35:04"},{"id":151,"name":"Denver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38" x14ac:dyDescent="0.25">
      <c r="A181" s="38" t="s">
        <v>449</v>
      </c>
      <c r="B181" s="7">
        <v>4030</v>
      </c>
      <c r="C181" s="23" t="s">
        <v>111</v>
      </c>
      <c r="D181" s="23" t="s">
        <v>697</v>
      </c>
      <c r="E181" s="15">
        <v>42620.525925925926</v>
      </c>
      <c r="F181" s="15">
        <v>42620.527418981481</v>
      </c>
      <c r="G181" s="7">
        <v>1</v>
      </c>
      <c r="H181" s="15" t="s">
        <v>698</v>
      </c>
      <c r="I181" s="15">
        <v>42620.53769675926</v>
      </c>
      <c r="J181" s="7">
        <v>0</v>
      </c>
      <c r="K181" s="115" t="str">
        <f t="shared" si="48"/>
        <v>4029/4030</v>
      </c>
      <c r="L181" s="23" t="str">
        <f>VLOOKUP(A181,'Trips&amp;Operators'!$C$1:$E$10000,3,FALSE)</f>
        <v>GEBRETEKLE</v>
      </c>
      <c r="M181" s="6">
        <f t="shared" si="49"/>
        <v>1.0277777779265307E-2</v>
      </c>
      <c r="N181" s="7">
        <f t="shared" si="66"/>
        <v>14.800000002142042</v>
      </c>
      <c r="O181" s="7"/>
      <c r="P181" s="7"/>
      <c r="Q181" s="24"/>
      <c r="R181" s="24"/>
      <c r="S181" s="36">
        <f t="shared" si="67"/>
        <v>1</v>
      </c>
      <c r="T181" s="51" t="str">
        <f t="shared" si="50"/>
        <v>Southbound</v>
      </c>
      <c r="U181" s="17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11:37:20-0600',mode:absolute,to:'2016-09-07 13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81" s="177" t="str">
        <f t="shared" si="51"/>
        <v>N</v>
      </c>
      <c r="X181" s="177">
        <f t="shared" si="62"/>
        <v>1</v>
      </c>
      <c r="Y181" s="177">
        <f t="shared" si="52"/>
        <v>5.8663999999999996</v>
      </c>
      <c r="Z181" s="67">
        <f t="shared" si="65"/>
        <v>7.4499999999999997E-2</v>
      </c>
      <c r="AA181" s="67">
        <f t="shared" si="53"/>
        <v>5.7919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54"/>
        <v>0820-07</v>
      </c>
      <c r="AE181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81" s="94" t="str">
        <f t="shared" si="56"/>
        <v>"C:\Program Files (x86)\AstroGrep\AstroGrep.exe" /spath="%USERPROFILE%\AppData\Local\Temp\OnboardLogs" /stypes="*4030*20160907*" /stext=" 18:.+((SYSTEM_STATE.+slice.+state.+changed )|(ment ac)|(system.+state.+changed )|(\|lc)|(penalty)|(\[timeout)|(PRM\|1\|D)|(kpr)|(kdp))" /e /r /s</v>
      </c>
      <c r="AG181" s="1" t="str">
        <f t="shared" si="57"/>
        <v>NW</v>
      </c>
      <c r="AH181" s="98" t="str">
        <f t="shared" si="58"/>
        <v>"%USERPROFILE%\Documents\GitHub\eaglep3\Utilities\RefineRTDCRunTimes.py" --tripid 820-07 --locoid 4030 --swversion DE.1.0.7.0 --startMP 300:58664 --initTime 2016-09-07T12:37:20 --startdatetime 2016-09-07T12:39:29 --delay 1 --endMP 204:745 --enddatetime 2016-09-07T12:54:17 --enforcementcount 0 &gt;&gt;C:\Users\stu\Documents\GitHub\eaglep3-reporting\EC\2016-09-07-refined-times.txt</v>
      </c>
      <c r="AI181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{"issue":{"subject":"","project_id":79,"tracker_id":40,"status_id":1,"priority_id":2,"assigned_to_id":23,"start_date":"2016-09-07","description":"","custom_fields":[{"id":1,"name":"Subdivision","value":"NW"},{"id":4,"name":"Milepost","value":"5.7919"},{"id":17,"name":"Train ID","value":"820-07"},{"id":16,"name":"Locomotive ID","value":"4030"},{"id":130,"name":"Impact","value":""},{"id":150,"name":"Time of Event (Mountain Time)","value":"12:54:17"},{"id":151,"name":"Denver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38" x14ac:dyDescent="0.25">
      <c r="A182" s="38" t="s">
        <v>455</v>
      </c>
      <c r="B182" s="7">
        <v>4029</v>
      </c>
      <c r="C182" s="23" t="s">
        <v>111</v>
      </c>
      <c r="D182" s="23" t="s">
        <v>699</v>
      </c>
      <c r="E182" s="15">
        <v>42620.551574074074</v>
      </c>
      <c r="F182" s="15">
        <v>42620.557256944441</v>
      </c>
      <c r="G182" s="7">
        <v>1</v>
      </c>
      <c r="H182" s="15" t="s">
        <v>700</v>
      </c>
      <c r="I182" s="15">
        <v>42620.564375000002</v>
      </c>
      <c r="J182" s="7">
        <v>0</v>
      </c>
      <c r="K182" s="115" t="str">
        <f t="shared" si="48"/>
        <v>4029/4030</v>
      </c>
      <c r="L182" s="23" t="str">
        <f>VLOOKUP(A182,'Trips&amp;Operators'!$C$1:$E$10000,3,FALSE)</f>
        <v>MOSES</v>
      </c>
      <c r="M182" s="6">
        <f t="shared" si="49"/>
        <v>7.1180555605678819E-3</v>
      </c>
      <c r="N182" s="7"/>
      <c r="O182" s="7"/>
      <c r="P182" s="7">
        <f>24*60*SUM($M182:$M182)</f>
        <v>10.25000000721775</v>
      </c>
      <c r="Q182" s="24"/>
      <c r="R182" s="24" t="s">
        <v>767</v>
      </c>
      <c r="S182" s="36">
        <f t="shared" si="67"/>
        <v>1</v>
      </c>
      <c r="T182" s="51" t="str">
        <f t="shared" si="50"/>
        <v>NorthBound</v>
      </c>
      <c r="U182" s="17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12:14:16-0600',mode:absolute,to:'2016-09-07 14:32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82" s="177" t="str">
        <f t="shared" si="51"/>
        <v>Y</v>
      </c>
      <c r="X182" s="177">
        <f t="shared" si="62"/>
        <v>1</v>
      </c>
      <c r="Y182" s="177">
        <f t="shared" si="52"/>
        <v>0.1055</v>
      </c>
      <c r="Z182" s="67">
        <f t="shared" si="65"/>
        <v>2.1223000000000001</v>
      </c>
      <c r="AA182" s="67">
        <f t="shared" si="53"/>
        <v>2.0167999999999999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54"/>
        <v>0821-07</v>
      </c>
      <c r="AE182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82" s="94" t="str">
        <f t="shared" si="56"/>
        <v>"C:\Program Files (x86)\AstroGrep\AstroGrep.exe" /spath="%USERPROFILE%\AppData\Local\Temp\OnboardLogs" /stypes="*4029*20160907*" /stext=" 19:.+((SYSTEM_STATE.+slice.+state.+changed )|(ment ac)|(system.+state.+changed )|(\|lc)|(penalty)|(\[timeout)|(PRM\|1\|D)|(kpr)|(kdp))" /e /r /s</v>
      </c>
      <c r="AG182" s="1" t="str">
        <f t="shared" si="57"/>
        <v>NW</v>
      </c>
      <c r="AH182" s="98" t="str">
        <f t="shared" si="58"/>
        <v>"%USERPROFILE%\Documents\GitHub\eaglep3\Utilities\RefineRTDCRunTimes.py" --tripid 821-07 --locoid 4029 --swversion DE.1.0.7.0 --startMP 204:1055 --initTime 2016-09-07T13:14:16 --startdatetime 2016-09-07T13:22:27 --delay 1 --endMP 300:21223 --enddatetime 2016-09-07T13:32:42 --enforcementcount 0 &gt;&gt;C:\Users\stu\Documents\GitHub\eaglep3-reporting\EC\2016-09-07-refined-times.txt</v>
      </c>
      <c r="AI182" s="130" t="str">
        <f t="shared" si="59"/>
        <v>echo {"issue":{"subject":"CRMF 4N was STOP, no clear control sent until 13:34","project_id":79,"tracker_id":40,"status_id":1,"priority_id":2,"assigned_to_id":23,"start_date":"2016-09-07","description":"","custom_fields":[{"id":1,"name":"Subdivision","value":"NW"},{"id":4,"name":"Milepost","value":"2.0168"},{"id":17,"name":"Train ID","value":"821-07"},{"id":16,"name":"Locomotive ID","value":"4029"},{"id":130,"name":"Impact","value":""},{"id":150,"name":"Time of Event (Mountain Time)","value":"13:32:42"},{"id":151,"name":"Denver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38" x14ac:dyDescent="0.25">
      <c r="A183" s="38" t="s">
        <v>462</v>
      </c>
      <c r="B183" s="7">
        <v>4030</v>
      </c>
      <c r="C183" s="23" t="s">
        <v>111</v>
      </c>
      <c r="D183" s="23" t="s">
        <v>701</v>
      </c>
      <c r="E183" s="15">
        <v>42620.576527777775</v>
      </c>
      <c r="F183" s="15">
        <v>42620.578564814816</v>
      </c>
      <c r="G183" s="7">
        <v>1</v>
      </c>
      <c r="H183" s="15" t="s">
        <v>702</v>
      </c>
      <c r="I183" s="15">
        <v>42620.584756944445</v>
      </c>
      <c r="J183" s="7">
        <v>0</v>
      </c>
      <c r="K183" s="115" t="str">
        <f t="shared" si="48"/>
        <v>4029/4030</v>
      </c>
      <c r="L183" s="23" t="str">
        <f>VLOOKUP(A183,'Trips&amp;Operators'!$C$1:$E$10000,3,FALSE)</f>
        <v>MOSES</v>
      </c>
      <c r="M183" s="6">
        <f t="shared" si="49"/>
        <v>6.1921296291984618E-3</v>
      </c>
      <c r="N183" s="7"/>
      <c r="O183" s="7"/>
      <c r="P183" s="7">
        <f>24*60*SUM($M183:$M183)</f>
        <v>8.916666666045785</v>
      </c>
      <c r="Q183" s="24"/>
      <c r="R183" s="24" t="s">
        <v>768</v>
      </c>
      <c r="S183" s="36">
        <f t="shared" si="67"/>
        <v>0</v>
      </c>
      <c r="T183" s="51" t="str">
        <f t="shared" si="50"/>
        <v>Southbound</v>
      </c>
      <c r="U183" s="17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0</v>
      </c>
      <c r="V183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12:50:12-0600',mode:absolute,to:'2016-09-07 15:02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83" s="177" t="str">
        <f t="shared" si="51"/>
        <v>Y</v>
      </c>
      <c r="X183" s="177">
        <f t="shared" ref="X183:X214" si="68">VALUE(LEFT(AD183,4))-VALUE(LEFT(AD182,4))</f>
        <v>1</v>
      </c>
      <c r="Y183" s="177">
        <f t="shared" si="52"/>
        <v>5.8666</v>
      </c>
      <c r="Z183" s="67">
        <f t="shared" si="65"/>
        <v>2.4847999999999999</v>
      </c>
      <c r="AA183" s="67">
        <f t="shared" si="53"/>
        <v>3.3818000000000001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54"/>
        <v>0822-07</v>
      </c>
      <c r="AE183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83" s="94" t="str">
        <f t="shared" si="56"/>
        <v>"C:\Program Files (x86)\AstroGrep\AstroGrep.exe" /spath="%USERPROFILE%\AppData\Local\Temp\OnboardLogs" /stypes="*4030*20160907*" /stext=" 20:.+((SYSTEM_STATE.+slice.+state.+changed )|(ment ac)|(system.+state.+changed )|(\|lc)|(penalty)|(\[timeout)|(PRM\|1\|D)|(kpr)|(kdp))" /e /r /s</v>
      </c>
      <c r="AG183" s="1" t="str">
        <f t="shared" si="57"/>
        <v>NW</v>
      </c>
      <c r="AH183" s="98" t="str">
        <f t="shared" si="58"/>
        <v>"%USERPROFILE%\Documents\GitHub\eaglep3\Utilities\RefineRTDCRunTimes.py" --tripid 822-07 --locoid 4030 --swversion DE.1.0.7.0 --startMP 300:58666 --initTime 2016-09-07T13:50:12 --startdatetime 2016-09-07T13:53:08 --delay 1 --endMP 300:24848 --enddatetime 2016-09-07T14:02:03 --enforcementcount 0 &gt;&gt;C:\Users\stu\Documents\GitHub\eaglep3-reporting\EC\2016-09-07-refined-times.txt</v>
      </c>
      <c r="AI183" s="130" t="str">
        <f t="shared" si="59"/>
        <v>echo {"issue":{"subject":"CRMF 4S was STOP, no clear controls were sent","project_id":79,"tracker_id":40,"status_id":1,"priority_id":2,"assigned_to_id":23,"start_date":"2016-09-07","description":"","custom_fields":[{"id":1,"name":"Subdivision","value":"NW"},{"id":4,"name":"Milepost","value":"3.3818"},{"id":17,"name":"Train ID","value":"822-07"},{"id":16,"name":"Locomotive ID","value":"4030"},{"id":130,"name":"Impact","value":""},{"id":150,"name":"Time of Event (Mountain Time)","value":"14:02:03"},{"id":151,"name":"Denver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38" x14ac:dyDescent="0.25">
      <c r="A184" s="38" t="s">
        <v>467</v>
      </c>
      <c r="B184" s="7">
        <v>4029</v>
      </c>
      <c r="C184" s="23" t="s">
        <v>111</v>
      </c>
      <c r="D184" s="23" t="s">
        <v>703</v>
      </c>
      <c r="E184" s="15">
        <v>42620.597974537035</v>
      </c>
      <c r="F184" s="15">
        <v>42620.59957175926</v>
      </c>
      <c r="G184" s="7">
        <v>1</v>
      </c>
      <c r="H184" s="15" t="s">
        <v>675</v>
      </c>
      <c r="I184" s="15">
        <v>42620.610092592593</v>
      </c>
      <c r="J184" s="7">
        <v>0</v>
      </c>
      <c r="K184" s="115" t="str">
        <f t="shared" si="48"/>
        <v>4029/4030</v>
      </c>
      <c r="L184" s="23" t="str">
        <f>VLOOKUP(A184,'Trips&amp;Operators'!$C$1:$E$10000,3,FALSE)</f>
        <v>MOSES</v>
      </c>
      <c r="M184" s="6">
        <f t="shared" si="49"/>
        <v>1.0520833333430346E-2</v>
      </c>
      <c r="N184" s="7">
        <f t="shared" ref="N184:N215" si="69">24*60*SUM($M184:$M184)</f>
        <v>15.150000000139698</v>
      </c>
      <c r="O184" s="7"/>
      <c r="P184" s="7"/>
      <c r="Q184" s="24"/>
      <c r="R184" s="24"/>
      <c r="S184" s="36">
        <f t="shared" si="67"/>
        <v>1</v>
      </c>
      <c r="T184" s="51" t="str">
        <f t="shared" si="50"/>
        <v>NorthBound</v>
      </c>
      <c r="U184" s="17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13:21:05-0600',mode:absolute,to:'2016-09-07 15:38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84" s="177" t="str">
        <f t="shared" si="51"/>
        <v>N</v>
      </c>
      <c r="X184" s="177">
        <f t="shared" si="68"/>
        <v>1</v>
      </c>
      <c r="Y184" s="177">
        <f t="shared" si="52"/>
        <v>9.2700000000000005E-2</v>
      </c>
      <c r="Z184" s="67">
        <f t="shared" si="65"/>
        <v>5.8994</v>
      </c>
      <c r="AA184" s="67">
        <f t="shared" si="53"/>
        <v>5.8067000000000002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54"/>
        <v>0823-07</v>
      </c>
      <c r="AE184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84" s="94" t="str">
        <f t="shared" si="56"/>
        <v>"C:\Program Files (x86)\AstroGrep\AstroGrep.exe" /spath="%USERPROFILE%\AppData\Local\Temp\OnboardLogs" /stypes="*4029*20160907*" /stext=" 20:.+((SYSTEM_STATE.+slice.+state.+changed )|(ment ac)|(system.+state.+changed )|(\|lc)|(penalty)|(\[timeout)|(PRM\|1\|D)|(kpr)|(kdp))" /e /r /s</v>
      </c>
      <c r="AG184" s="1" t="str">
        <f t="shared" si="57"/>
        <v>NW</v>
      </c>
      <c r="AH184" s="98" t="str">
        <f t="shared" si="58"/>
        <v>"%USERPROFILE%\Documents\GitHub\eaglep3\Utilities\RefineRTDCRunTimes.py" --tripid 823-07 --locoid 4029 --swversion DE.1.0.7.0 --startMP 204:927 --initTime 2016-09-07T14:21:05 --startdatetime 2016-09-07T14:23:23 --delay 1 --endMP 300:58994 --enddatetime 2016-09-07T14:38:32 --enforcementcount 0 &gt;&gt;C:\Users\stu\Documents\GitHub\eaglep3-reporting\EC\2016-09-07-refined-times.txt</v>
      </c>
      <c r="AI184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{"issue":{"subject":"","project_id":79,"tracker_id":40,"status_id":1,"priority_id":2,"assigned_to_id":23,"start_date":"2016-09-07","description":"","custom_fields":[{"id":1,"name":"Subdivision","value":"NW"},{"id":4,"name":"Milepost","value":"5.8067"},{"id":17,"name":"Train ID","value":"823-07"},{"id":16,"name":"Locomotive ID","value":"4029"},{"id":130,"name":"Impact","value":""},{"id":150,"name":"Time of Event (Mountain Time)","value":"14:38:32"},{"id":151,"name":"Denver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38" x14ac:dyDescent="0.25">
      <c r="A185" s="38" t="s">
        <v>471</v>
      </c>
      <c r="B185" s="7">
        <v>4030</v>
      </c>
      <c r="C185" s="23" t="s">
        <v>111</v>
      </c>
      <c r="D185" s="23" t="s">
        <v>704</v>
      </c>
      <c r="E185" s="15">
        <v>42620.611805555556</v>
      </c>
      <c r="F185" s="15">
        <v>42620.613495370373</v>
      </c>
      <c r="G185" s="7">
        <v>1</v>
      </c>
      <c r="H185" s="15" t="s">
        <v>705</v>
      </c>
      <c r="I185" s="15">
        <v>42620.6247337963</v>
      </c>
      <c r="J185" s="7">
        <v>0</v>
      </c>
      <c r="K185" s="115" t="str">
        <f t="shared" si="48"/>
        <v>4029/4030</v>
      </c>
      <c r="L185" s="23" t="str">
        <f>VLOOKUP(A185,'Trips&amp;Operators'!$C$1:$E$10000,3,FALSE)</f>
        <v>MOSES</v>
      </c>
      <c r="M185" s="6">
        <f t="shared" si="49"/>
        <v>1.1238425926421769E-2</v>
      </c>
      <c r="N185" s="7">
        <f t="shared" si="69"/>
        <v>16.183333334047347</v>
      </c>
      <c r="O185" s="7"/>
      <c r="P185" s="7"/>
      <c r="Q185" s="24"/>
      <c r="R185" s="24"/>
      <c r="S185" s="36">
        <f t="shared" si="67"/>
        <v>1</v>
      </c>
      <c r="T185" s="51" t="str">
        <f t="shared" si="50"/>
        <v>Southbound</v>
      </c>
      <c r="U185" s="17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13:41:00-0600',mode:absolute,to:'2016-09-07 15:59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85" s="177" t="str">
        <f t="shared" si="51"/>
        <v>N</v>
      </c>
      <c r="X185" s="177">
        <f t="shared" si="68"/>
        <v>1</v>
      </c>
      <c r="Y185" s="177">
        <f t="shared" si="52"/>
        <v>5.8682999999999996</v>
      </c>
      <c r="Z185" s="67">
        <f t="shared" si="65"/>
        <v>6.3500000000000001E-2</v>
      </c>
      <c r="AA185" s="67">
        <f t="shared" si="53"/>
        <v>5.8047999999999993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54"/>
        <v>0824-07</v>
      </c>
      <c r="AE185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85" s="94" t="str">
        <f t="shared" si="56"/>
        <v>"C:\Program Files (x86)\AstroGrep\AstroGrep.exe" /spath="%USERPROFILE%\AppData\Local\Temp\OnboardLogs" /stypes="*4030*20160907*" /stext=" 20:.+((SYSTEM_STATE.+slice.+state.+changed )|(ment ac)|(system.+state.+changed )|(\|lc)|(penalty)|(\[timeout)|(PRM\|1\|D)|(kpr)|(kdp))" /e /r /s</v>
      </c>
      <c r="AG185" s="1" t="str">
        <f t="shared" si="57"/>
        <v>NW</v>
      </c>
      <c r="AH185" s="98" t="str">
        <f t="shared" si="58"/>
        <v>"%USERPROFILE%\Documents\GitHub\eaglep3\Utilities\RefineRTDCRunTimes.py" --tripid 824-07 --locoid 4030 --swversion DE.1.0.7.0 --startMP 300:58683 --initTime 2016-09-07T14:41:00 --startdatetime 2016-09-07T14:43:26 --delay 1 --endMP 204:635 --enddatetime 2016-09-07T14:59:37 --enforcementcount 0 &gt;&gt;C:\Users\stu\Documents\GitHub\eaglep3-reporting\EC\2016-09-07-refined-times.txt</v>
      </c>
      <c r="AI185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{"issue":{"subject":"","project_id":79,"tracker_id":40,"status_id":1,"priority_id":2,"assigned_to_id":23,"start_date":"2016-09-07","description":"","custom_fields":[{"id":1,"name":"Subdivision","value":"NW"},{"id":4,"name":"Milepost","value":"5.8048"},{"id":17,"name":"Train ID","value":"824-07"},{"id":16,"name":"Locomotive ID","value":"4030"},{"id":130,"name":"Impact","value":""},{"id":150,"name":"Time of Event (Mountain Time)","value":"14:59:37"},{"id":151,"name":"Denver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38" x14ac:dyDescent="0.25">
      <c r="A186" s="38" t="s">
        <v>476</v>
      </c>
      <c r="B186" s="7">
        <v>4029</v>
      </c>
      <c r="C186" s="23" t="s">
        <v>111</v>
      </c>
      <c r="D186" s="23" t="s">
        <v>706</v>
      </c>
      <c r="E186" s="15">
        <v>42620.634965277779</v>
      </c>
      <c r="F186" s="15">
        <v>42620.639791666668</v>
      </c>
      <c r="G186" s="7">
        <v>1</v>
      </c>
      <c r="H186" s="15" t="s">
        <v>707</v>
      </c>
      <c r="I186" s="15">
        <v>42620.650578703702</v>
      </c>
      <c r="J186" s="7">
        <v>0</v>
      </c>
      <c r="K186" s="115" t="str">
        <f t="shared" si="48"/>
        <v>4029/4030</v>
      </c>
      <c r="L186" s="23" t="str">
        <f>VLOOKUP(A186,'Trips&amp;Operators'!$C$1:$E$10000,3,FALSE)</f>
        <v>MOSES</v>
      </c>
      <c r="M186" s="6">
        <f t="shared" si="49"/>
        <v>1.0787037033878732E-2</v>
      </c>
      <c r="N186" s="7">
        <f t="shared" si="69"/>
        <v>15.533333328785375</v>
      </c>
      <c r="O186" s="7"/>
      <c r="P186" s="7"/>
      <c r="Q186" s="24"/>
      <c r="R186" s="24"/>
      <c r="S186" s="36">
        <f t="shared" si="67"/>
        <v>1</v>
      </c>
      <c r="T186" s="51" t="str">
        <f t="shared" si="50"/>
        <v>NorthBound</v>
      </c>
      <c r="U186" s="17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14:14:21-0600',mode:absolute,to:'2016-09-07 16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86" s="177" t="str">
        <f t="shared" si="51"/>
        <v>N</v>
      </c>
      <c r="X186" s="177">
        <f t="shared" si="68"/>
        <v>1</v>
      </c>
      <c r="Y186" s="177">
        <f t="shared" si="52"/>
        <v>9.3700000000000006E-2</v>
      </c>
      <c r="Z186" s="67">
        <f t="shared" si="65"/>
        <v>5.9001000000000001</v>
      </c>
      <c r="AA186" s="67">
        <f t="shared" si="53"/>
        <v>5.8064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54"/>
        <v>0825-07</v>
      </c>
      <c r="AE186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86" s="94" t="str">
        <f t="shared" si="56"/>
        <v>"C:\Program Files (x86)\AstroGrep\AstroGrep.exe" /spath="%USERPROFILE%\AppData\Local\Temp\OnboardLogs" /stypes="*4029*20160907*" /stext=" 21:.+((SYSTEM_STATE.+slice.+state.+changed )|(ment ac)|(system.+state.+changed )|(\|lc)|(penalty)|(\[timeout)|(PRM\|1\|D)|(kpr)|(kdp))" /e /r /s</v>
      </c>
      <c r="AG186" s="1" t="str">
        <f t="shared" si="57"/>
        <v>NW</v>
      </c>
      <c r="AH186" s="98" t="str">
        <f t="shared" si="58"/>
        <v>"%USERPROFILE%\Documents\GitHub\eaglep3\Utilities\RefineRTDCRunTimes.py" --tripid 825-07 --locoid 4029 --swversion DE.1.0.7.0 --startMP 204:937 --initTime 2016-09-07T15:14:21 --startdatetime 2016-09-07T15:21:18 --delay 1 --endMP 300:59001 --enddatetime 2016-09-07T15:36:50 --enforcementcount 0 &gt;&gt;C:\Users\stu\Documents\GitHub\eaglep3-reporting\EC\2016-09-07-refined-times.txt</v>
      </c>
      <c r="AI186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{"issue":{"subject":"","project_id":79,"tracker_id":40,"status_id":1,"priority_id":2,"assigned_to_id":23,"start_date":"2016-09-07","description":"","custom_fields":[{"id":1,"name":"Subdivision","value":"NW"},{"id":4,"name":"Milepost","value":"5.8064"},{"id":17,"name":"Train ID","value":"825-07"},{"id":16,"name":"Locomotive ID","value":"4029"},{"id":130,"name":"Impact","value":""},{"id":150,"name":"Time of Event (Mountain Time)","value":"15:36:50"},{"id":151,"name":"Denver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38" x14ac:dyDescent="0.25">
      <c r="A187" s="38" t="s">
        <v>482</v>
      </c>
      <c r="B187" s="7">
        <v>4030</v>
      </c>
      <c r="C187" s="23" t="s">
        <v>111</v>
      </c>
      <c r="D187" s="23" t="s">
        <v>691</v>
      </c>
      <c r="E187" s="15">
        <v>42620.652222222219</v>
      </c>
      <c r="F187" s="15">
        <v>42620.653715277775</v>
      </c>
      <c r="G187" s="7">
        <v>1</v>
      </c>
      <c r="H187" s="15" t="s">
        <v>573</v>
      </c>
      <c r="I187" s="15">
        <v>42620.664525462962</v>
      </c>
      <c r="J187" s="7">
        <v>0</v>
      </c>
      <c r="K187" s="115" t="str">
        <f t="shared" si="48"/>
        <v>4029/4030</v>
      </c>
      <c r="L187" s="23" t="str">
        <f>VLOOKUP(A187,'Trips&amp;Operators'!$C$1:$E$10000,3,FALSE)</f>
        <v>MOSES</v>
      </c>
      <c r="M187" s="6">
        <f t="shared" si="49"/>
        <v>1.0810185187438037E-2</v>
      </c>
      <c r="N187" s="7">
        <f t="shared" si="69"/>
        <v>15.566666669910774</v>
      </c>
      <c r="O187" s="7"/>
      <c r="P187" s="7"/>
      <c r="Q187" s="24"/>
      <c r="R187" s="24"/>
      <c r="S187" s="36">
        <f t="shared" si="67"/>
        <v>1</v>
      </c>
      <c r="T187" s="51" t="str">
        <f t="shared" si="50"/>
        <v>Southbound</v>
      </c>
      <c r="U187" s="17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14:39:12-0600',mode:absolute,to:'2016-09-07 16:56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87" s="177" t="str">
        <f t="shared" si="51"/>
        <v>N</v>
      </c>
      <c r="X187" s="177">
        <f t="shared" si="68"/>
        <v>1</v>
      </c>
      <c r="Y187" s="177">
        <f t="shared" si="52"/>
        <v>5.8686999999999996</v>
      </c>
      <c r="Z187" s="67">
        <f t="shared" si="65"/>
        <v>6.6799999999999998E-2</v>
      </c>
      <c r="AA187" s="67">
        <f t="shared" si="53"/>
        <v>5.8018999999999998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54"/>
        <v>0826-07</v>
      </c>
      <c r="AE187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87" s="94" t="str">
        <f t="shared" si="56"/>
        <v>"C:\Program Files (x86)\AstroGrep\AstroGrep.exe" /spath="%USERPROFILE%\AppData\Local\Temp\OnboardLogs" /stypes="*4030*20160907*" /stext=" 21:.+((SYSTEM_STATE.+slice.+state.+changed )|(ment ac)|(system.+state.+changed )|(\|lc)|(penalty)|(\[timeout)|(PRM\|1\|D)|(kpr)|(kdp))" /e /r /s</v>
      </c>
      <c r="AG187" s="1" t="str">
        <f t="shared" si="57"/>
        <v>NW</v>
      </c>
      <c r="AH187" s="98" t="str">
        <f t="shared" si="58"/>
        <v>"%USERPROFILE%\Documents\GitHub\eaglep3\Utilities\RefineRTDCRunTimes.py" --tripid 826-07 --locoid 4030 --swversion DE.1.0.7.0 --startMP 300:58687 --initTime 2016-09-07T15:39:12 --startdatetime 2016-09-07T15:41:21 --delay 1 --endMP 204:668 --enddatetime 2016-09-07T15:56:55 --enforcementcount 0 &gt;&gt;C:\Users\stu\Documents\GitHub\eaglep3-reporting\EC\2016-09-07-refined-times.txt</v>
      </c>
      <c r="AI187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{"issue":{"subject":"","project_id":79,"tracker_id":40,"status_id":1,"priority_id":2,"assigned_to_id":23,"start_date":"2016-09-07","description":"","custom_fields":[{"id":1,"name":"Subdivision","value":"NW"},{"id":4,"name":"Milepost","value":"5.8019"},{"id":17,"name":"Train ID","value":"826-07"},{"id":16,"name":"Locomotive ID","value":"4030"},{"id":130,"name":"Impact","value":""},{"id":150,"name":"Time of Event (Mountain Time)","value":"15:56:55"},{"id":151,"name":"Denver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38" x14ac:dyDescent="0.25">
      <c r="A188" s="38" t="s">
        <v>484</v>
      </c>
      <c r="B188" s="7">
        <v>4044</v>
      </c>
      <c r="C188" s="23" t="s">
        <v>111</v>
      </c>
      <c r="D188" s="23" t="s">
        <v>642</v>
      </c>
      <c r="E188" s="15">
        <v>42620.65283564815</v>
      </c>
      <c r="F188" s="15">
        <v>42620.66065972222</v>
      </c>
      <c r="G188" s="7">
        <v>1</v>
      </c>
      <c r="H188" s="15" t="s">
        <v>696</v>
      </c>
      <c r="I188" s="15">
        <v>42620.670787037037</v>
      </c>
      <c r="J188" s="7">
        <v>0</v>
      </c>
      <c r="K188" s="115" t="str">
        <f t="shared" si="48"/>
        <v>4043/4044</v>
      </c>
      <c r="L188" s="23" t="str">
        <f>VLOOKUP(A188,'Trips&amp;Operators'!$C$1:$E$10000,3,FALSE)</f>
        <v>LEVERE</v>
      </c>
      <c r="M188" s="6">
        <f t="shared" si="49"/>
        <v>1.0127314817509614E-2</v>
      </c>
      <c r="N188" s="7">
        <f t="shared" si="69"/>
        <v>14.583333337213844</v>
      </c>
      <c r="O188" s="7"/>
      <c r="P188" s="7"/>
      <c r="Q188" s="24"/>
      <c r="R188" s="24"/>
      <c r="S188" s="36">
        <f t="shared" si="67"/>
        <v>1</v>
      </c>
      <c r="T188" s="51" t="str">
        <f t="shared" si="50"/>
        <v>NorthBound</v>
      </c>
      <c r="U188" s="17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14:40:05-0600',mode:absolute,to:'2016-09-07 17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88" s="177" t="str">
        <f t="shared" si="51"/>
        <v>N</v>
      </c>
      <c r="X188" s="177">
        <f t="shared" si="68"/>
        <v>1</v>
      </c>
      <c r="Y188" s="177">
        <f t="shared" si="52"/>
        <v>9.74E-2</v>
      </c>
      <c r="Z188" s="67">
        <f t="shared" si="65"/>
        <v>5.8979999999999997</v>
      </c>
      <c r="AA188" s="67">
        <f t="shared" si="53"/>
        <v>5.8005999999999993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54"/>
        <v>0827-07</v>
      </c>
      <c r="AE188" s="97" t="str">
        <f t="shared" si="55"/>
        <v>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 &amp; 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</v>
      </c>
      <c r="AF188" s="94" t="str">
        <f t="shared" si="56"/>
        <v>"C:\Program Files (x86)\AstroGrep\AstroGrep.exe" /spath="%USERPROFILE%\AppData\Local\Temp\OnboardLogs" /stypes="*4044*20160907*" /stext=" 22:.+((SYSTEM_STATE.+slice.+state.+changed )|(ment ac)|(system.+state.+changed )|(\|lc)|(penalty)|(\[timeout)|(PRM\|1\|D)|(kpr)|(kdp))" /e /r /s</v>
      </c>
      <c r="AG188" s="1" t="str">
        <f t="shared" si="57"/>
        <v>NW</v>
      </c>
      <c r="AH188" s="98" t="str">
        <f t="shared" si="58"/>
        <v>"%USERPROFILE%\Documents\GitHub\eaglep3\Utilities\RefineRTDCRunTimes.py" --tripid 827-07 --locoid 4044 --swversion DE.1.0.7.0 --startMP 204:974 --initTime 2016-09-07T15:40:05 --startdatetime 2016-09-07T15:51:21 --delay 1 --endMP 300:58980 --enddatetime 2016-09-07T16:05:56 --enforcementcount 0 &gt;&gt;C:\Users\stu\Documents\GitHub\eaglep3-reporting\EC\2016-09-07-refined-times.txt</v>
      </c>
      <c r="AI188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{"issue":{"subject":"","project_id":79,"tracker_id":40,"status_id":1,"priority_id":2,"assigned_to_id":23,"start_date":"2016-09-07","description":"","custom_fields":[{"id":1,"name":"Subdivision","value":"NW"},{"id":4,"name":"Milepost","value":"5.8006"},{"id":17,"name":"Train ID","value":"827-07"},{"id":16,"name":"Locomotive ID","value":"4044"},{"id":130,"name":"Impact","value":""},{"id":150,"name":"Time of Event (Mountain Time)","value":"16:05:56"},{"id":151,"name":"Denver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38" x14ac:dyDescent="0.25">
      <c r="A189" s="38" t="s">
        <v>488</v>
      </c>
      <c r="B189" s="7">
        <v>4043</v>
      </c>
      <c r="C189" s="23" t="s">
        <v>111</v>
      </c>
      <c r="D189" s="23" t="s">
        <v>708</v>
      </c>
      <c r="E189" s="15">
        <v>42620.672025462962</v>
      </c>
      <c r="F189" s="15">
        <v>42620.673425925925</v>
      </c>
      <c r="G189" s="7">
        <v>1</v>
      </c>
      <c r="H189" s="15" t="s">
        <v>709</v>
      </c>
      <c r="I189" s="15">
        <v>42620.685358796298</v>
      </c>
      <c r="J189" s="7">
        <v>0</v>
      </c>
      <c r="K189" s="115" t="str">
        <f t="shared" si="48"/>
        <v>4043/4044</v>
      </c>
      <c r="L189" s="23" t="str">
        <f>VLOOKUP(A189,'Trips&amp;Operators'!$C$1:$E$10000,3,FALSE)</f>
        <v>LEVERE</v>
      </c>
      <c r="M189" s="6">
        <f t="shared" si="49"/>
        <v>1.1932870373129845E-2</v>
      </c>
      <c r="N189" s="7">
        <f t="shared" si="69"/>
        <v>17.183333337306976</v>
      </c>
      <c r="O189" s="7"/>
      <c r="P189" s="7"/>
      <c r="Q189" s="24"/>
      <c r="R189" s="24"/>
      <c r="S189" s="36">
        <f t="shared" si="67"/>
        <v>1</v>
      </c>
      <c r="T189" s="51" t="str">
        <f t="shared" si="50"/>
        <v>Southbound</v>
      </c>
      <c r="U189" s="17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15:07:43-0600',mode:absolute,to:'2016-09-07 17:26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89" s="177" t="str">
        <f t="shared" si="51"/>
        <v>N</v>
      </c>
      <c r="X189" s="177">
        <f t="shared" si="68"/>
        <v>1</v>
      </c>
      <c r="Y189" s="177">
        <f t="shared" si="52"/>
        <v>5.8658999999999999</v>
      </c>
      <c r="Z189" s="67">
        <f t="shared" si="65"/>
        <v>6.7799999999999999E-2</v>
      </c>
      <c r="AA189" s="67">
        <f t="shared" si="53"/>
        <v>5.7980999999999998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54"/>
        <v>0828-07</v>
      </c>
      <c r="AE189" s="97" t="str">
        <f t="shared" si="55"/>
        <v>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 &amp; 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</v>
      </c>
      <c r="AF189" s="94" t="str">
        <f t="shared" si="56"/>
        <v>"C:\Program Files (x86)\AstroGrep\AstroGrep.exe" /spath="%USERPROFILE%\AppData\Local\Temp\OnboardLogs" /stypes="*4043*20160907*" /stext=" 22:.+((SYSTEM_STATE.+slice.+state.+changed )|(ment ac)|(system.+state.+changed )|(\|lc)|(penalty)|(\[timeout)|(PRM\|1\|D)|(kpr)|(kdp))" /e /r /s</v>
      </c>
      <c r="AG189" s="1" t="str">
        <f t="shared" si="57"/>
        <v>NW</v>
      </c>
      <c r="AH189" s="98" t="str">
        <f t="shared" si="58"/>
        <v>"%USERPROFILE%\Documents\GitHub\eaglep3\Utilities\RefineRTDCRunTimes.py" --tripid 828-07 --locoid 4043 --swversion DE.1.0.7.0 --startMP 300:58659 --initTime 2016-09-07T16:07:43 --startdatetime 2016-09-07T16:09:44 --delay 1 --endMP 204:678 --enddatetime 2016-09-07T16:26:55 --enforcementcount 0 &gt;&gt;C:\Users\stu\Documents\GitHub\eaglep3-reporting\EC\2016-09-07-refined-times.txt</v>
      </c>
      <c r="AI189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{"issue":{"subject":"","project_id":79,"tracker_id":40,"status_id":1,"priority_id":2,"assigned_to_id":23,"start_date":"2016-09-07","description":"","custom_fields":[{"id":1,"name":"Subdivision","value":"NW"},{"id":4,"name":"Milepost","value":"5.7981"},{"id":17,"name":"Train ID","value":"828-07"},{"id":16,"name":"Locomotive ID","value":"4043"},{"id":130,"name":"Impact","value":""},{"id":150,"name":"Time of Event (Mountain Time)","value":"16:26:55"},{"id":151,"name":"Denver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38" x14ac:dyDescent="0.25">
      <c r="A190" s="38" t="s">
        <v>491</v>
      </c>
      <c r="B190" s="7">
        <v>4029</v>
      </c>
      <c r="C190" s="23" t="s">
        <v>111</v>
      </c>
      <c r="D190" s="23" t="s">
        <v>710</v>
      </c>
      <c r="E190" s="15">
        <v>42620.678935185184</v>
      </c>
      <c r="F190" s="15">
        <v>42620.681597222225</v>
      </c>
      <c r="G190" s="7">
        <v>1</v>
      </c>
      <c r="H190" s="15" t="s">
        <v>711</v>
      </c>
      <c r="I190" s="15">
        <v>42620.693414351852</v>
      </c>
      <c r="J190" s="7">
        <v>0</v>
      </c>
      <c r="K190" s="115" t="str">
        <f t="shared" si="48"/>
        <v>4029/4030</v>
      </c>
      <c r="L190" s="23" t="str">
        <f>VLOOKUP(A190,'Trips&amp;Operators'!$C$1:$E$10000,3,FALSE)</f>
        <v>MOSES</v>
      </c>
      <c r="M190" s="6">
        <f t="shared" si="49"/>
        <v>1.1817129627161194E-2</v>
      </c>
      <c r="N190" s="7">
        <f t="shared" si="69"/>
        <v>17.016666663112119</v>
      </c>
      <c r="O190" s="7"/>
      <c r="P190" s="7"/>
      <c r="Q190" s="24"/>
      <c r="R190" s="24"/>
      <c r="S190" s="36">
        <f t="shared" si="67"/>
        <v>1</v>
      </c>
      <c r="T190" s="51" t="str">
        <f t="shared" si="50"/>
        <v>NorthBound</v>
      </c>
      <c r="U190" s="17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15:17:40-0600',mode:absolute,to:'2016-09-07 17:38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90" s="177" t="str">
        <f t="shared" si="51"/>
        <v>N</v>
      </c>
      <c r="X190" s="177">
        <f t="shared" si="68"/>
        <v>1</v>
      </c>
      <c r="Y190" s="177">
        <f t="shared" si="52"/>
        <v>9.3899999999999997E-2</v>
      </c>
      <c r="Z190" s="67">
        <f t="shared" si="65"/>
        <v>5.9002999999999997</v>
      </c>
      <c r="AA190" s="67">
        <f t="shared" si="53"/>
        <v>5.8064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54"/>
        <v>0829-07</v>
      </c>
      <c r="AE190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90" s="94" t="str">
        <f t="shared" si="56"/>
        <v>"C:\Program Files (x86)\AstroGrep\AstroGrep.exe" /spath="%USERPROFILE%\AppData\Local\Temp\OnboardLogs" /stypes="*4029*20160907*" /stext=" 22:.+((SYSTEM_STATE.+slice.+state.+changed )|(ment ac)|(system.+state.+changed )|(\|lc)|(penalty)|(\[timeout)|(PRM\|1\|D)|(kpr)|(kdp))" /e /r /s</v>
      </c>
      <c r="AG190" s="1" t="str">
        <f t="shared" si="57"/>
        <v>NW</v>
      </c>
      <c r="AH190" s="98" t="str">
        <f t="shared" si="58"/>
        <v>"%USERPROFILE%\Documents\GitHub\eaglep3\Utilities\RefineRTDCRunTimes.py" --tripid 829-07 --locoid 4029 --swversion DE.1.0.7.0 --startMP 204:939 --initTime 2016-09-07T16:17:40 --startdatetime 2016-09-07T16:21:30 --delay 1 --endMP 300:59003 --enddatetime 2016-09-07T16:38:31 --enforcementcount 0 &gt;&gt;C:\Users\stu\Documents\GitHub\eaglep3-reporting\EC\2016-09-07-refined-times.txt</v>
      </c>
      <c r="AI190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{"issue":{"subject":"","project_id":79,"tracker_id":40,"status_id":1,"priority_id":2,"assigned_to_id":23,"start_date":"2016-09-07","description":"","custom_fields":[{"id":1,"name":"Subdivision","value":"NW"},{"id":4,"name":"Milepost","value":"5.8064"},{"id":17,"name":"Train ID","value":"829-07"},{"id":16,"name":"Locomotive ID","value":"4029"},{"id":130,"name":"Impact","value":""},{"id":150,"name":"Time of Event (Mountain Time)","value":"16:38:31"},{"id":151,"name":"Denver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38" x14ac:dyDescent="0.25">
      <c r="A191" s="38" t="s">
        <v>494</v>
      </c>
      <c r="B191" s="7">
        <v>4030</v>
      </c>
      <c r="C191" s="23" t="s">
        <v>111</v>
      </c>
      <c r="D191" s="23" t="s">
        <v>691</v>
      </c>
      <c r="E191" s="15">
        <v>42620.695416666669</v>
      </c>
      <c r="F191" s="15">
        <v>42620.69699074074</v>
      </c>
      <c r="G191" s="7">
        <v>1</v>
      </c>
      <c r="H191" s="15" t="s">
        <v>334</v>
      </c>
      <c r="I191" s="15">
        <v>42620.706377314818</v>
      </c>
      <c r="J191" s="7">
        <v>0</v>
      </c>
      <c r="K191" s="115" t="str">
        <f t="shared" si="48"/>
        <v>4029/4030</v>
      </c>
      <c r="L191" s="23" t="str">
        <f>VLOOKUP(A191,'Trips&amp;Operators'!$C$1:$E$10000,3,FALSE)</f>
        <v>MOSES</v>
      </c>
      <c r="M191" s="6">
        <f t="shared" si="49"/>
        <v>9.3865740782348439E-3</v>
      </c>
      <c r="N191" s="7">
        <f t="shared" si="69"/>
        <v>13.516666672658175</v>
      </c>
      <c r="O191" s="7"/>
      <c r="P191" s="7"/>
      <c r="Q191" s="24"/>
      <c r="R191" s="24"/>
      <c r="S191" s="36">
        <f t="shared" si="67"/>
        <v>1</v>
      </c>
      <c r="T191" s="51" t="str">
        <f t="shared" si="50"/>
        <v>Southbound</v>
      </c>
      <c r="U191" s="17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15:41:24-0600',mode:absolute,to:'2016-09-07 17:57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91" s="177" t="str">
        <f t="shared" si="51"/>
        <v>N</v>
      </c>
      <c r="X191" s="177">
        <f t="shared" si="68"/>
        <v>1</v>
      </c>
      <c r="Y191" s="177">
        <f t="shared" si="52"/>
        <v>5.8686999999999996</v>
      </c>
      <c r="Z191" s="67">
        <f t="shared" si="65"/>
        <v>6.9599999999999995E-2</v>
      </c>
      <c r="AA191" s="67">
        <f t="shared" si="53"/>
        <v>5.7990999999999993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54"/>
        <v>0830-07</v>
      </c>
      <c r="AE191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91" s="94" t="str">
        <f t="shared" si="56"/>
        <v>"C:\Program Files (x86)\AstroGrep\AstroGrep.exe" /spath="%USERPROFILE%\AppData\Local\Temp\OnboardLogs" /stypes="*4030*20160907*" /stext=" 22:.+((SYSTEM_STATE.+slice.+state.+changed )|(ment ac)|(system.+state.+changed )|(\|lc)|(penalty)|(\[timeout)|(PRM\|1\|D)|(kpr)|(kdp))" /e /r /s</v>
      </c>
      <c r="AG191" s="1" t="str">
        <f t="shared" si="57"/>
        <v>NW</v>
      </c>
      <c r="AH191" s="98" t="str">
        <f t="shared" si="58"/>
        <v>"%USERPROFILE%\Documents\GitHub\eaglep3\Utilities\RefineRTDCRunTimes.py" --tripid 830-07 --locoid 4030 --swversion DE.1.0.7.0 --startMP 300:58687 --initTime 2016-09-07T16:41:24 --startdatetime 2016-09-07T16:43:40 --delay 1 --endMP 204:696 --enddatetime 2016-09-07T16:57:11 --enforcementcount 0 &gt;&gt;C:\Users\stu\Documents\GitHub\eaglep3-reporting\EC\2016-09-07-refined-times.txt</v>
      </c>
      <c r="AI191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{"issue":{"subject":"","project_id":79,"tracker_id":40,"status_id":1,"priority_id":2,"assigned_to_id":23,"start_date":"2016-09-07","description":"","custom_fields":[{"id":1,"name":"Subdivision","value":"NW"},{"id":4,"name":"Milepost","value":"5.7991"},{"id":17,"name":"Train ID","value":"830-07"},{"id":16,"name":"Locomotive ID","value":"4030"},{"id":130,"name":"Impact","value":""},{"id":150,"name":"Time of Event (Mountain Time)","value":"16:57:11"},{"id":151,"name":"Denver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38" x14ac:dyDescent="0.25">
      <c r="A192" s="38" t="s">
        <v>496</v>
      </c>
      <c r="B192" s="7">
        <v>4044</v>
      </c>
      <c r="C192" s="23" t="s">
        <v>111</v>
      </c>
      <c r="D192" s="23" t="s">
        <v>712</v>
      </c>
      <c r="E192" s="15">
        <v>42620.698229166665</v>
      </c>
      <c r="F192" s="15">
        <v>42620.702337962961</v>
      </c>
      <c r="G192" s="7">
        <v>1</v>
      </c>
      <c r="H192" s="15" t="s">
        <v>713</v>
      </c>
      <c r="I192" s="15">
        <v>42620.712326388886</v>
      </c>
      <c r="J192" s="7">
        <v>0</v>
      </c>
      <c r="K192" s="115" t="str">
        <f t="shared" si="48"/>
        <v>4043/4044</v>
      </c>
      <c r="L192" s="23" t="str">
        <f>VLOOKUP(A192,'Trips&amp;Operators'!$C$1:$E$10000,3,FALSE)</f>
        <v>LEVERE</v>
      </c>
      <c r="M192" s="6">
        <f t="shared" si="49"/>
        <v>9.9884259252576157E-3</v>
      </c>
      <c r="N192" s="7">
        <f t="shared" si="69"/>
        <v>14.383333332370967</v>
      </c>
      <c r="O192" s="7"/>
      <c r="P192" s="7"/>
      <c r="Q192" s="24"/>
      <c r="R192" s="24"/>
      <c r="S192" s="36">
        <f t="shared" si="67"/>
        <v>1</v>
      </c>
      <c r="T192" s="51" t="str">
        <f t="shared" si="50"/>
        <v>NorthBound</v>
      </c>
      <c r="U192" s="17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15:45:27-0600',mode:absolute,to:'2016-09-07 18:05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92" s="177" t="str">
        <f t="shared" si="51"/>
        <v>N</v>
      </c>
      <c r="X192" s="177">
        <f t="shared" si="68"/>
        <v>1</v>
      </c>
      <c r="Y192" s="177">
        <f t="shared" si="52"/>
        <v>9.69E-2</v>
      </c>
      <c r="Z192" s="67">
        <f t="shared" si="65"/>
        <v>5.8971</v>
      </c>
      <c r="AA192" s="67">
        <f t="shared" si="53"/>
        <v>5.8002000000000002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54"/>
        <v>0831-07</v>
      </c>
      <c r="AE192" s="97" t="str">
        <f t="shared" si="55"/>
        <v>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 &amp; 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</v>
      </c>
      <c r="AF192" s="94" t="str">
        <f t="shared" si="56"/>
        <v>"C:\Program Files (x86)\AstroGrep\AstroGrep.exe" /spath="%USERPROFILE%\AppData\Local\Temp\OnboardLogs" /stypes="*4044*20160907*" /stext=" 23:.+((SYSTEM_STATE.+slice.+state.+changed )|(ment ac)|(system.+state.+changed )|(\|lc)|(penalty)|(\[timeout)|(PRM\|1\|D)|(kpr)|(kdp))" /e /r /s</v>
      </c>
      <c r="AG192" s="1" t="str">
        <f t="shared" si="57"/>
        <v>NW</v>
      </c>
      <c r="AH192" s="98" t="str">
        <f t="shared" si="58"/>
        <v>"%USERPROFILE%\Documents\GitHub\eaglep3\Utilities\RefineRTDCRunTimes.py" --tripid 831-07 --locoid 4044 --swversion DE.1.0.7.0 --startMP 204:969 --initTime 2016-09-07T16:45:27 --startdatetime 2016-09-07T16:51:22 --delay 1 --endMP 300:58971 --enddatetime 2016-09-07T17:05:45 --enforcementcount 0 &gt;&gt;C:\Users\stu\Documents\GitHub\eaglep3-reporting\EC\2016-09-07-refined-times.txt</v>
      </c>
      <c r="AI192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{"issue":{"subject":"","project_id":79,"tracker_id":40,"status_id":1,"priority_id":2,"assigned_to_id":23,"start_date":"2016-09-07","description":"","custom_fields":[{"id":1,"name":"Subdivision","value":"NW"},{"id":4,"name":"Milepost","value":"5.8002"},{"id":17,"name":"Train ID","value":"831-07"},{"id":16,"name":"Locomotive ID","value":"4044"},{"id":130,"name":"Impact","value":""},{"id":150,"name":"Time of Event (Mountain Time)","value":"17:05:45"},{"id":151,"name":"Denver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38" x14ac:dyDescent="0.25">
      <c r="A193" s="38" t="s">
        <v>500</v>
      </c>
      <c r="B193" s="7">
        <v>4043</v>
      </c>
      <c r="C193" s="23" t="s">
        <v>111</v>
      </c>
      <c r="D193" s="23" t="s">
        <v>714</v>
      </c>
      <c r="E193" s="15">
        <v>42620.713553240741</v>
      </c>
      <c r="F193" s="15">
        <v>42620.715069444443</v>
      </c>
      <c r="G193" s="7">
        <v>1</v>
      </c>
      <c r="H193" s="15" t="s">
        <v>573</v>
      </c>
      <c r="I193" s="15">
        <v>42620.727303240739</v>
      </c>
      <c r="J193" s="7">
        <v>0</v>
      </c>
      <c r="K193" s="115" t="str">
        <f t="shared" si="48"/>
        <v>4043/4044</v>
      </c>
      <c r="L193" s="23" t="str">
        <f>VLOOKUP(A193,'Trips&amp;Operators'!$C$1:$E$10000,3,FALSE)</f>
        <v>LEVERE</v>
      </c>
      <c r="M193" s="6">
        <f t="shared" si="49"/>
        <v>1.2233796296641231E-2</v>
      </c>
      <c r="N193" s="7">
        <f t="shared" si="69"/>
        <v>17.616666667163372</v>
      </c>
      <c r="O193" s="7"/>
      <c r="P193" s="7"/>
      <c r="Q193" s="24"/>
      <c r="R193" s="24"/>
      <c r="S193" s="36">
        <f t="shared" si="67"/>
        <v>1</v>
      </c>
      <c r="T193" s="51" t="str">
        <f t="shared" si="50"/>
        <v>Southbound</v>
      </c>
      <c r="U193" s="17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16:07:31-0600',mode:absolute,to:'2016-09-07 18:27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93" s="177" t="str">
        <f t="shared" si="51"/>
        <v>N</v>
      </c>
      <c r="X193" s="177">
        <f t="shared" si="68"/>
        <v>1</v>
      </c>
      <c r="Y193" s="177">
        <f t="shared" si="52"/>
        <v>5.8653000000000004</v>
      </c>
      <c r="Z193" s="67">
        <f t="shared" si="65"/>
        <v>6.6799999999999998E-2</v>
      </c>
      <c r="AA193" s="67">
        <f t="shared" si="53"/>
        <v>5.7985000000000007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54"/>
        <v>0832-07</v>
      </c>
      <c r="AE193" s="97" t="str">
        <f t="shared" si="55"/>
        <v>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 &amp; 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</v>
      </c>
      <c r="AF193" s="94" t="str">
        <f t="shared" si="56"/>
        <v>"C:\Program Files (x86)\AstroGrep\AstroGrep.exe" /spath="%USERPROFILE%\AppData\Local\Temp\OnboardLogs" /stypes="*4043*20160907*" /stext=" 23:.+((SYSTEM_STATE.+slice.+state.+changed )|(ment ac)|(system.+state.+changed )|(\|lc)|(penalty)|(\[timeout)|(PRM\|1\|D)|(kpr)|(kdp))" /e /r /s</v>
      </c>
      <c r="AG193" s="1" t="str">
        <f t="shared" si="57"/>
        <v>NW</v>
      </c>
      <c r="AH193" s="98" t="str">
        <f t="shared" si="58"/>
        <v>"%USERPROFILE%\Documents\GitHub\eaglep3\Utilities\RefineRTDCRunTimes.py" --tripid 832-07 --locoid 4043 --swversion DE.1.0.7.0 --startMP 300:58653 --initTime 2016-09-07T17:07:31 --startdatetime 2016-09-07T17:09:42 --delay 1 --endMP 204:668 --enddatetime 2016-09-07T17:27:19 --enforcementcount 0 &gt;&gt;C:\Users\stu\Documents\GitHub\eaglep3-reporting\EC\2016-09-07-refined-times.txt</v>
      </c>
      <c r="AI193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{"issue":{"subject":"","project_id":79,"tracker_id":40,"status_id":1,"priority_id":2,"assigned_to_id":23,"start_date":"2016-09-07","description":"","custom_fields":[{"id":1,"name":"Subdivision","value":"NW"},{"id":4,"name":"Milepost","value":"5.7985"},{"id":17,"name":"Train ID","value":"832-07"},{"id":16,"name":"Locomotive ID","value":"4043"},{"id":130,"name":"Impact","value":""},{"id":150,"name":"Time of Event (Mountain Time)","value":"17:27:19"},{"id":151,"name":"Denver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38" x14ac:dyDescent="0.25">
      <c r="A194" s="38" t="s">
        <v>502</v>
      </c>
      <c r="B194" s="7">
        <v>4029</v>
      </c>
      <c r="C194" s="23" t="s">
        <v>111</v>
      </c>
      <c r="D194" s="23" t="s">
        <v>715</v>
      </c>
      <c r="E194" s="15">
        <v>42620.720995370371</v>
      </c>
      <c r="F194" s="15">
        <v>42620.723321759258</v>
      </c>
      <c r="G194" s="7">
        <v>1</v>
      </c>
      <c r="H194" s="15" t="s">
        <v>711</v>
      </c>
      <c r="I194" s="15">
        <v>42620.734131944446</v>
      </c>
      <c r="J194" s="7">
        <v>0</v>
      </c>
      <c r="K194" s="115" t="str">
        <f t="shared" si="48"/>
        <v>4029/4030</v>
      </c>
      <c r="L194" s="23" t="str">
        <f>VLOOKUP(A194,'Trips&amp;Operators'!$C$1:$E$10000,3,FALSE)</f>
        <v>MOSES</v>
      </c>
      <c r="M194" s="6">
        <f t="shared" si="49"/>
        <v>1.0810185187438037E-2</v>
      </c>
      <c r="N194" s="7">
        <f t="shared" si="69"/>
        <v>15.566666669910774</v>
      </c>
      <c r="O194" s="7"/>
      <c r="P194" s="7"/>
      <c r="Q194" s="24"/>
      <c r="R194" s="24"/>
      <c r="S194" s="36">
        <f t="shared" si="67"/>
        <v>1</v>
      </c>
      <c r="T194" s="51" t="str">
        <f t="shared" si="50"/>
        <v>NorthBound</v>
      </c>
      <c r="U194" s="17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16:18:14-0600',mode:absolute,to:'2016-09-07 18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94" s="177" t="str">
        <f t="shared" si="51"/>
        <v>N</v>
      </c>
      <c r="X194" s="177">
        <f t="shared" si="68"/>
        <v>1</v>
      </c>
      <c r="Y194" s="177">
        <f t="shared" si="52"/>
        <v>0.1002</v>
      </c>
      <c r="Z194" s="67">
        <f t="shared" si="65"/>
        <v>5.9002999999999997</v>
      </c>
      <c r="AA194" s="67">
        <f t="shared" si="53"/>
        <v>5.8000999999999996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54"/>
        <v>0833-07</v>
      </c>
      <c r="AE194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94" s="94" t="str">
        <f t="shared" si="56"/>
        <v>"C:\Program Files (x86)\AstroGrep\AstroGrep.exe" /spath="%USERPROFILE%\AppData\Local\Temp\OnboardLogs" /stypes="*4029*20160907*" /stext=" 23:.+((SYSTEM_STATE.+slice.+state.+changed )|(ment ac)|(system.+state.+changed )|(\|lc)|(penalty)|(\[timeout)|(PRM\|1\|D)|(kpr)|(kdp))" /e /r /s</v>
      </c>
      <c r="AG194" s="1" t="str">
        <f t="shared" si="57"/>
        <v>NW</v>
      </c>
      <c r="AH194" s="98" t="str">
        <f t="shared" si="58"/>
        <v>"%USERPROFILE%\Documents\GitHub\eaglep3\Utilities\RefineRTDCRunTimes.py" --tripid 833-07 --locoid 4029 --swversion DE.1.0.7.0 --startMP 204:1002 --initTime 2016-09-07T17:18:14 --startdatetime 2016-09-07T17:21:35 --delay 1 --endMP 300:59003 --enddatetime 2016-09-07T17:37:09 --enforcementcount 0 &gt;&gt;C:\Users\stu\Documents\GitHub\eaglep3-reporting\EC\2016-09-07-refined-times.txt</v>
      </c>
      <c r="AI194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{"issue":{"subject":"","project_id":79,"tracker_id":40,"status_id":1,"priority_id":2,"assigned_to_id":23,"start_date":"2016-09-07","description":"","custom_fields":[{"id":1,"name":"Subdivision","value":"NW"},{"id":4,"name":"Milepost","value":"5.8001"},{"id":17,"name":"Train ID","value":"833-07"},{"id":16,"name":"Locomotive ID","value":"4029"},{"id":130,"name":"Impact","value":""},{"id":150,"name":"Time of Event (Mountain Time)","value":"17:37:09"},{"id":151,"name":"Denver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38" x14ac:dyDescent="0.25">
      <c r="A195" s="38" t="s">
        <v>508</v>
      </c>
      <c r="B195" s="7">
        <v>4030</v>
      </c>
      <c r="C195" s="23" t="s">
        <v>111</v>
      </c>
      <c r="D195" s="23" t="s">
        <v>716</v>
      </c>
      <c r="E195" s="15">
        <v>42620.735868055555</v>
      </c>
      <c r="F195" s="15">
        <v>42620.737384259257</v>
      </c>
      <c r="G195" s="7">
        <v>1</v>
      </c>
      <c r="H195" s="15" t="s">
        <v>717</v>
      </c>
      <c r="I195" s="15">
        <v>42620.747581018521</v>
      </c>
      <c r="J195" s="7">
        <v>0</v>
      </c>
      <c r="K195" s="115" t="str">
        <f t="shared" si="48"/>
        <v>4029/4030</v>
      </c>
      <c r="L195" s="23" t="str">
        <f>VLOOKUP(A195,'Trips&amp;Operators'!$C$1:$E$10000,3,FALSE)</f>
        <v>MOSES</v>
      </c>
      <c r="M195" s="6">
        <f t="shared" si="49"/>
        <v>1.0196759263635613E-2</v>
      </c>
      <c r="N195" s="7">
        <f t="shared" si="69"/>
        <v>14.683333339635283</v>
      </c>
      <c r="O195" s="7"/>
      <c r="P195" s="7"/>
      <c r="Q195" s="24"/>
      <c r="R195" s="24"/>
      <c r="S195" s="36">
        <f t="shared" si="67"/>
        <v>1</v>
      </c>
      <c r="T195" s="51" t="str">
        <f t="shared" si="50"/>
        <v>Southbound</v>
      </c>
      <c r="U195" s="17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16:39:39-0600',mode:absolute,to:'2016-09-07 18:56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95" s="177" t="str">
        <f t="shared" si="51"/>
        <v>N</v>
      </c>
      <c r="X195" s="177">
        <f t="shared" si="68"/>
        <v>1</v>
      </c>
      <c r="Y195" s="177">
        <f t="shared" si="52"/>
        <v>5.8692000000000002</v>
      </c>
      <c r="Z195" s="67">
        <f t="shared" si="65"/>
        <v>6.6600000000000006E-2</v>
      </c>
      <c r="AA195" s="67">
        <f t="shared" si="53"/>
        <v>5.8026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54"/>
        <v>0834-07</v>
      </c>
      <c r="AE195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95" s="94" t="str">
        <f t="shared" si="56"/>
        <v>"C:\Program Files (x86)\AstroGrep\AstroGrep.exe" /spath="%USERPROFILE%\AppData\Local\Temp\OnboardLogs" /stypes="*4030*20160907*" /stext=" 23:.+((SYSTEM_STATE.+slice.+state.+changed )|(ment ac)|(system.+state.+changed )|(\|lc)|(penalty)|(\[timeout)|(PRM\|1\|D)|(kpr)|(kdp))" /e /r /s</v>
      </c>
      <c r="AG195" s="1" t="str">
        <f t="shared" si="57"/>
        <v>NW</v>
      </c>
      <c r="AH195" s="98" t="str">
        <f t="shared" si="58"/>
        <v>"%USERPROFILE%\Documents\GitHub\eaglep3\Utilities\RefineRTDCRunTimes.py" --tripid 834-07 --locoid 4030 --swversion DE.1.0.7.0 --startMP 300:58692 --initTime 2016-09-07T17:39:39 --startdatetime 2016-09-07T17:41:50 --delay 1 --endMP 204:666 --enddatetime 2016-09-07T17:56:31 --enforcementcount 0 &gt;&gt;C:\Users\stu\Documents\GitHub\eaglep3-reporting\EC\2016-09-07-refined-times.txt</v>
      </c>
      <c r="AI195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{"issue":{"subject":"","project_id":79,"tracker_id":40,"status_id":1,"priority_id":2,"assigned_to_id":23,"start_date":"2016-09-07","description":"","custom_fields":[{"id":1,"name":"Subdivision","value":"NW"},{"id":4,"name":"Milepost","value":"5.8026"},{"id":17,"name":"Train ID","value":"834-07"},{"id":16,"name":"Locomotive ID","value":"4030"},{"id":130,"name":"Impact","value":""},{"id":150,"name":"Time of Event (Mountain Time)","value":"17:56:31"},{"id":151,"name":"Denver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38" x14ac:dyDescent="0.25">
      <c r="A196" s="38" t="s">
        <v>510</v>
      </c>
      <c r="B196" s="7">
        <v>4044</v>
      </c>
      <c r="C196" s="23" t="s">
        <v>111</v>
      </c>
      <c r="D196" s="23" t="s">
        <v>718</v>
      </c>
      <c r="E196" s="15">
        <v>42620.739004629628</v>
      </c>
      <c r="F196" s="15">
        <v>42620.743935185186</v>
      </c>
      <c r="G196" s="7">
        <v>1</v>
      </c>
      <c r="H196" s="15" t="s">
        <v>719</v>
      </c>
      <c r="I196" s="15">
        <v>42620.754155092596</v>
      </c>
      <c r="J196" s="7">
        <v>0</v>
      </c>
      <c r="K196" s="115" t="str">
        <f t="shared" si="48"/>
        <v>4043/4044</v>
      </c>
      <c r="L196" s="23" t="str">
        <f>VLOOKUP(A196,'Trips&amp;Operators'!$C$1:$E$10000,3,FALSE)</f>
        <v>LEVERE</v>
      </c>
      <c r="M196" s="6">
        <f t="shared" si="49"/>
        <v>1.021990740991896E-2</v>
      </c>
      <c r="N196" s="7">
        <f t="shared" si="69"/>
        <v>14.716666670283303</v>
      </c>
      <c r="O196" s="7"/>
      <c r="P196" s="7"/>
      <c r="Q196" s="24"/>
      <c r="R196" s="24"/>
      <c r="S196" s="36">
        <f t="shared" si="67"/>
        <v>1</v>
      </c>
      <c r="T196" s="51" t="str">
        <f t="shared" si="50"/>
        <v>NorthBound</v>
      </c>
      <c r="U196" s="17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16:44:10-0600',mode:absolute,to:'2016-09-07 19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96" s="177" t="str">
        <f t="shared" si="51"/>
        <v>N</v>
      </c>
      <c r="X196" s="177">
        <f t="shared" si="68"/>
        <v>1</v>
      </c>
      <c r="Y196" s="177">
        <f t="shared" si="52"/>
        <v>9.6000000000000002E-2</v>
      </c>
      <c r="Z196" s="67">
        <f t="shared" si="65"/>
        <v>5.8967000000000001</v>
      </c>
      <c r="AA196" s="67">
        <f t="shared" si="53"/>
        <v>5.8007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54"/>
        <v>0835-07</v>
      </c>
      <c r="AE196" s="97" t="str">
        <f t="shared" si="55"/>
        <v>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 &amp; 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</v>
      </c>
      <c r="AF196" s="94" t="str">
        <f t="shared" si="56"/>
        <v>"C:\Program Files (x86)\AstroGrep\AstroGrep.exe" /spath="%USERPROFILE%\AppData\Local\Temp\OnboardLogs" /stypes="*4044*20160908*" /stext=" 00:.+((SYSTEM_STATE.+slice.+state.+changed )|(ment ac)|(system.+state.+changed )|(\|lc)|(penalty)|(\[timeout)|(PRM\|1\|D)|(kpr)|(kdp))" /e /r /s</v>
      </c>
      <c r="AG196" s="1" t="str">
        <f t="shared" si="57"/>
        <v>NW</v>
      </c>
      <c r="AH196" s="98" t="str">
        <f t="shared" si="58"/>
        <v>"%USERPROFILE%\Documents\GitHub\eaglep3\Utilities\RefineRTDCRunTimes.py" --tripid 835-07 --locoid 4044 --swversion DE.1.0.7.0 --startMP 204:960 --initTime 2016-09-07T17:44:10 --startdatetime 2016-09-07T17:51:16 --delay 1 --endMP 300:58967 --enddatetime 2016-09-07T18:05:59 --enforcementcount 0 &gt;&gt;C:\Users\stu\Documents\GitHub\eaglep3-reporting\EC\2016-09-07-refined-times.txt</v>
      </c>
      <c r="AI196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{"issue":{"subject":"","project_id":79,"tracker_id":40,"status_id":1,"priority_id":2,"assigned_to_id":23,"start_date":"2016-09-07","description":"","custom_fields":[{"id":1,"name":"Subdivision","value":"NW"},{"id":4,"name":"Milepost","value":"5.8007"},{"id":17,"name":"Train ID","value":"835-07"},{"id":16,"name":"Locomotive ID","value":"4044"},{"id":130,"name":"Impact","value":""},{"id":150,"name":"Time of Event (Mountain Time)","value":"18:05:59"},{"id":151,"name":"Denver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38" x14ac:dyDescent="0.25">
      <c r="A197" s="38" t="s">
        <v>515</v>
      </c>
      <c r="B197" s="7">
        <v>4043</v>
      </c>
      <c r="C197" s="23" t="s">
        <v>111</v>
      </c>
      <c r="D197" s="23" t="s">
        <v>720</v>
      </c>
      <c r="E197" s="15">
        <v>42620.755277777775</v>
      </c>
      <c r="F197" s="15">
        <v>42620.756689814814</v>
      </c>
      <c r="G197" s="7">
        <v>1</v>
      </c>
      <c r="H197" s="15" t="s">
        <v>721</v>
      </c>
      <c r="I197" s="15">
        <v>42620.768912037034</v>
      </c>
      <c r="J197" s="7">
        <v>0</v>
      </c>
      <c r="K197" s="115" t="str">
        <f t="shared" si="48"/>
        <v>4043/4044</v>
      </c>
      <c r="L197" s="23" t="str">
        <f>VLOOKUP(A197,'Trips&amp;Operators'!$C$1:$E$10000,3,FALSE)</f>
        <v>LEVERE</v>
      </c>
      <c r="M197" s="6">
        <f t="shared" si="49"/>
        <v>1.2222222219861578E-2</v>
      </c>
      <c r="N197" s="7">
        <f t="shared" si="69"/>
        <v>17.599999996600673</v>
      </c>
      <c r="O197" s="7"/>
      <c r="P197" s="7"/>
      <c r="Q197" s="24"/>
      <c r="R197" s="24"/>
      <c r="S197" s="36">
        <f t="shared" si="67"/>
        <v>1</v>
      </c>
      <c r="T197" s="51" t="str">
        <f t="shared" si="50"/>
        <v>Southbound</v>
      </c>
      <c r="U197" s="17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17:07:36-0600',mode:absolute,to:'2016-09-07 19:27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97" s="177" t="str">
        <f t="shared" si="51"/>
        <v>N</v>
      </c>
      <c r="X197" s="177">
        <f t="shared" si="68"/>
        <v>1</v>
      </c>
      <c r="Y197" s="177">
        <f t="shared" si="52"/>
        <v>5.8651</v>
      </c>
      <c r="Z197" s="67">
        <f t="shared" si="65"/>
        <v>6.7000000000000004E-2</v>
      </c>
      <c r="AA197" s="67">
        <f t="shared" si="53"/>
        <v>5.7980999999999998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54"/>
        <v>0836-07</v>
      </c>
      <c r="AE197" s="97" t="str">
        <f t="shared" si="55"/>
        <v>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 &amp; 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</v>
      </c>
      <c r="AF197" s="94" t="str">
        <f t="shared" si="56"/>
        <v>"C:\Program Files (x86)\AstroGrep\AstroGrep.exe" /spath="%USERPROFILE%\AppData\Local\Temp\OnboardLogs" /stypes="*4043*20160908*" /stext=" 00:.+((SYSTEM_STATE.+slice.+state.+changed )|(ment ac)|(system.+state.+changed )|(\|lc)|(penalty)|(\[timeout)|(PRM\|1\|D)|(kpr)|(kdp))" /e /r /s</v>
      </c>
      <c r="AG197" s="1" t="str">
        <f t="shared" si="57"/>
        <v>NW</v>
      </c>
      <c r="AH197" s="98" t="str">
        <f t="shared" si="58"/>
        <v>"%USERPROFILE%\Documents\GitHub\eaglep3\Utilities\RefineRTDCRunTimes.py" --tripid 836-07 --locoid 4043 --swversion DE.1.0.7.0 --startMP 300:58651 --initTime 2016-09-07T18:07:36 --startdatetime 2016-09-07T18:09:38 --delay 1 --endMP 204:670 --enddatetime 2016-09-07T18:27:14 --enforcementcount 0 &gt;&gt;C:\Users\stu\Documents\GitHub\eaglep3-reporting\EC\2016-09-07-refined-times.txt</v>
      </c>
      <c r="AI197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{"issue":{"subject":"","project_id":79,"tracker_id":40,"status_id":1,"priority_id":2,"assigned_to_id":23,"start_date":"2016-09-07","description":"","custom_fields":[{"id":1,"name":"Subdivision","value":"NW"},{"id":4,"name":"Milepost","value":"5.7981"},{"id":17,"name":"Train ID","value":"836-07"},{"id":16,"name":"Locomotive ID","value":"4043"},{"id":130,"name":"Impact","value":""},{"id":150,"name":"Time of Event (Mountain Time)","value":"18:27:14"},{"id":151,"name":"Denver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38" x14ac:dyDescent="0.25">
      <c r="A198" s="38" t="s">
        <v>517</v>
      </c>
      <c r="B198" s="7">
        <v>4029</v>
      </c>
      <c r="C198" s="23" t="s">
        <v>111</v>
      </c>
      <c r="D198" s="23" t="s">
        <v>722</v>
      </c>
      <c r="E198" s="15">
        <v>42620.762048611112</v>
      </c>
      <c r="F198" s="15">
        <v>42620.764976851853</v>
      </c>
      <c r="G198" s="7">
        <v>1</v>
      </c>
      <c r="H198" s="15" t="s">
        <v>723</v>
      </c>
      <c r="I198" s="15">
        <v>42620.775266203702</v>
      </c>
      <c r="J198" s="7">
        <v>0</v>
      </c>
      <c r="K198" s="115" t="str">
        <f t="shared" si="48"/>
        <v>4029/4030</v>
      </c>
      <c r="L198" s="23" t="str">
        <f>VLOOKUP(A198,'Trips&amp;Operators'!$C$1:$E$10000,3,FALSE)</f>
        <v>MOSES</v>
      </c>
      <c r="M198" s="6">
        <f t="shared" si="49"/>
        <v>1.0289351848769002E-2</v>
      </c>
      <c r="N198" s="7">
        <f t="shared" si="69"/>
        <v>14.816666662227362</v>
      </c>
      <c r="O198" s="7"/>
      <c r="P198" s="7"/>
      <c r="Q198" s="24"/>
      <c r="R198" s="24"/>
      <c r="S198" s="36">
        <f t="shared" si="67"/>
        <v>1</v>
      </c>
      <c r="T198" s="51" t="str">
        <f t="shared" si="50"/>
        <v>NorthBound</v>
      </c>
      <c r="U198" s="17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17:17:21-0600',mode:absolute,to:'2016-09-07 19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98" s="177" t="str">
        <f t="shared" si="51"/>
        <v>N</v>
      </c>
      <c r="X198" s="177">
        <f t="shared" si="68"/>
        <v>1</v>
      </c>
      <c r="Y198" s="177">
        <f t="shared" si="52"/>
        <v>9.4399999999999998E-2</v>
      </c>
      <c r="Z198" s="67">
        <f t="shared" si="65"/>
        <v>5.8917999999999999</v>
      </c>
      <c r="AA198" s="67">
        <f t="shared" si="53"/>
        <v>5.7973999999999997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54"/>
        <v>0837-07</v>
      </c>
      <c r="AE198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98" s="94" t="str">
        <f t="shared" si="56"/>
        <v>"C:\Program Files (x86)\AstroGrep\AstroGrep.exe" /spath="%USERPROFILE%\AppData\Local\Temp\OnboardLogs" /stypes="*4029*20160908*" /stext=" 00:.+((SYSTEM_STATE.+slice.+state.+changed )|(ment ac)|(system.+state.+changed )|(\|lc)|(penalty)|(\[timeout)|(PRM\|1\|D)|(kpr)|(kdp))" /e /r /s</v>
      </c>
      <c r="AG198" s="1" t="str">
        <f t="shared" si="57"/>
        <v>NW</v>
      </c>
      <c r="AH198" s="98" t="str">
        <f t="shared" si="58"/>
        <v>"%USERPROFILE%\Documents\GitHub\eaglep3\Utilities\RefineRTDCRunTimes.py" --tripid 837-07 --locoid 4029 --swversion DE.1.0.7.0 --startMP 204:944 --initTime 2016-09-07T18:17:21 --startdatetime 2016-09-07T18:21:34 --delay 1 --endMP 300:58918 --enddatetime 2016-09-07T18:36:23 --enforcementcount 0 &gt;&gt;C:\Users\stu\Documents\GitHub\eaglep3-reporting\EC\2016-09-07-refined-times.txt</v>
      </c>
      <c r="AI198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{"issue":{"subject":"","project_id":79,"tracker_id":40,"status_id":1,"priority_id":2,"assigned_to_id":23,"start_date":"2016-09-07","description":"","custom_fields":[{"id":1,"name":"Subdivision","value":"NW"},{"id":4,"name":"Milepost","value":"5.7974"},{"id":17,"name":"Train ID","value":"837-07"},{"id":16,"name":"Locomotive ID","value":"4029"},{"id":130,"name":"Impact","value":""},{"id":150,"name":"Time of Event (Mountain Time)","value":"18:36:23"},{"id":151,"name":"Denver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38" x14ac:dyDescent="0.25">
      <c r="A199" s="38" t="s">
        <v>523</v>
      </c>
      <c r="B199" s="7">
        <v>4030</v>
      </c>
      <c r="C199" s="23" t="s">
        <v>111</v>
      </c>
      <c r="D199" s="23" t="s">
        <v>333</v>
      </c>
      <c r="E199" s="15">
        <v>42620.776770833334</v>
      </c>
      <c r="F199" s="15">
        <v>42620.778275462966</v>
      </c>
      <c r="G199" s="7">
        <v>1</v>
      </c>
      <c r="H199" s="15" t="s">
        <v>724</v>
      </c>
      <c r="I199" s="15">
        <v>42620.789421296293</v>
      </c>
      <c r="J199" s="7">
        <v>0</v>
      </c>
      <c r="K199" s="115" t="str">
        <f t="shared" si="48"/>
        <v>4029/4030</v>
      </c>
      <c r="L199" s="23" t="str">
        <f>VLOOKUP(A199,'Trips&amp;Operators'!$C$1:$E$10000,3,FALSE)</f>
        <v>MOSES</v>
      </c>
      <c r="M199" s="6">
        <f t="shared" si="49"/>
        <v>1.1145833326736465E-2</v>
      </c>
      <c r="N199" s="7">
        <f t="shared" si="69"/>
        <v>16.04999999050051</v>
      </c>
      <c r="O199" s="7"/>
      <c r="P199" s="7"/>
      <c r="Q199" s="24"/>
      <c r="R199" s="24"/>
      <c r="S199" s="36">
        <f t="shared" si="67"/>
        <v>1</v>
      </c>
      <c r="T199" s="51" t="str">
        <f t="shared" si="50"/>
        <v>Southbound</v>
      </c>
      <c r="U199" s="17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17:38:33-0600',mode:absolute,to:'2016-09-07 19:56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99" s="177" t="str">
        <f t="shared" si="51"/>
        <v>N</v>
      </c>
      <c r="X199" s="177">
        <f t="shared" si="68"/>
        <v>1</v>
      </c>
      <c r="Y199" s="177">
        <f t="shared" si="52"/>
        <v>5.8616999999999999</v>
      </c>
      <c r="Z199" s="67">
        <f t="shared" si="65"/>
        <v>6.8500000000000005E-2</v>
      </c>
      <c r="AA199" s="67">
        <f t="shared" si="53"/>
        <v>5.7931999999999997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54"/>
        <v>0838-07</v>
      </c>
      <c r="AE199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99" s="94" t="str">
        <f t="shared" si="56"/>
        <v>"C:\Program Files (x86)\AstroGrep\AstroGrep.exe" /spath="%USERPROFILE%\AppData\Local\Temp\OnboardLogs" /stypes="*4030*20160908*" /stext=" 00:.+((SYSTEM_STATE.+slice.+state.+changed )|(ment ac)|(system.+state.+changed )|(\|lc)|(penalty)|(\[timeout)|(PRM\|1\|D)|(kpr)|(kdp))" /e /r /s</v>
      </c>
      <c r="AG199" s="1" t="str">
        <f t="shared" si="57"/>
        <v>NW</v>
      </c>
      <c r="AH199" s="98" t="str">
        <f t="shared" si="58"/>
        <v>"%USERPROFILE%\Documents\GitHub\eaglep3\Utilities\RefineRTDCRunTimes.py" --tripid 838-07 --locoid 4030 --swversion DE.1.0.7.0 --startMP 300:58617 --initTime 2016-09-07T18:38:33 --startdatetime 2016-09-07T18:40:43 --delay 1 --endMP 204:685 --enddatetime 2016-09-07T18:56:46 --enforcementcount 0 &gt;&gt;C:\Users\stu\Documents\GitHub\eaglep3-reporting\EC\2016-09-07-refined-times.txt</v>
      </c>
      <c r="AI199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{"issue":{"subject":"","project_id":79,"tracker_id":40,"status_id":1,"priority_id":2,"assigned_to_id":23,"start_date":"2016-09-07","description":"","custom_fields":[{"id":1,"name":"Subdivision","value":"NW"},{"id":4,"name":"Milepost","value":"5.7932"},{"id":17,"name":"Train ID","value":"838-07"},{"id":16,"name":"Locomotive ID","value":"4030"},{"id":130,"name":"Impact","value":""},{"id":150,"name":"Time of Event (Mountain Time)","value":"18:56:46"},{"id":151,"name":"Denver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38" x14ac:dyDescent="0.25">
      <c r="A200" s="38" t="s">
        <v>525</v>
      </c>
      <c r="B200" s="7">
        <v>4044</v>
      </c>
      <c r="C200" s="23" t="s">
        <v>111</v>
      </c>
      <c r="D200" s="23" t="s">
        <v>718</v>
      </c>
      <c r="E200" s="15">
        <v>42620.780416666668</v>
      </c>
      <c r="F200" s="15">
        <v>42620.785601851851</v>
      </c>
      <c r="G200" s="7">
        <v>1</v>
      </c>
      <c r="H200" s="15" t="s">
        <v>719</v>
      </c>
      <c r="I200" s="15">
        <v>42620.796527777777</v>
      </c>
      <c r="J200" s="7">
        <v>0</v>
      </c>
      <c r="K200" s="115" t="str">
        <f t="shared" si="48"/>
        <v>4043/4044</v>
      </c>
      <c r="L200" s="23" t="str">
        <f>VLOOKUP(A200,'Trips&amp;Operators'!$C$1:$E$10000,3,FALSE)</f>
        <v>LEVERE</v>
      </c>
      <c r="M200" s="6">
        <f t="shared" si="49"/>
        <v>1.0925925926130731E-2</v>
      </c>
      <c r="N200" s="7">
        <f t="shared" si="69"/>
        <v>15.733333333628252</v>
      </c>
      <c r="O200" s="7"/>
      <c r="P200" s="7"/>
      <c r="Q200" s="24"/>
      <c r="R200" s="24"/>
      <c r="S200" s="36">
        <f t="shared" si="67"/>
        <v>1</v>
      </c>
      <c r="T200" s="51" t="str">
        <f t="shared" si="50"/>
        <v>NorthBound</v>
      </c>
      <c r="U200" s="17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17:43:48-0600',mode:absolute,to:'2016-09-07 20:07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00" s="177" t="str">
        <f t="shared" si="51"/>
        <v>N</v>
      </c>
      <c r="X200" s="177">
        <f t="shared" si="68"/>
        <v>1</v>
      </c>
      <c r="Y200" s="177">
        <f t="shared" si="52"/>
        <v>9.6000000000000002E-2</v>
      </c>
      <c r="Z200" s="67">
        <f t="shared" si="65"/>
        <v>5.8967000000000001</v>
      </c>
      <c r="AA200" s="67">
        <f t="shared" si="53"/>
        <v>5.8007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54"/>
        <v>0839-07</v>
      </c>
      <c r="AE200" s="97" t="str">
        <f t="shared" si="55"/>
        <v>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 &amp; 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</v>
      </c>
      <c r="AF200" s="94" t="str">
        <f t="shared" si="56"/>
        <v>"C:\Program Files (x86)\AstroGrep\AstroGrep.exe" /spath="%USERPROFILE%\AppData\Local\Temp\OnboardLogs" /stypes="*4044*20160908*" /stext=" 01:.+((SYSTEM_STATE.+slice.+state.+changed )|(ment ac)|(system.+state.+changed )|(\|lc)|(penalty)|(\[timeout)|(PRM\|1\|D)|(kpr)|(kdp))" /e /r /s</v>
      </c>
      <c r="AG200" s="1" t="str">
        <f t="shared" si="57"/>
        <v>NW</v>
      </c>
      <c r="AH200" s="98" t="str">
        <f t="shared" si="58"/>
        <v>"%USERPROFILE%\Documents\GitHub\eaglep3\Utilities\RefineRTDCRunTimes.py" --tripid 839-07 --locoid 4044 --swversion DE.1.0.7.0 --startMP 204:960 --initTime 2016-09-07T18:43:48 --startdatetime 2016-09-07T18:51:16 --delay 1 --endMP 300:58967 --enddatetime 2016-09-07T19:07:00 --enforcementcount 0 &gt;&gt;C:\Users\stu\Documents\GitHub\eaglep3-reporting\EC\2016-09-07-refined-times.txt</v>
      </c>
      <c r="AI200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{"issue":{"subject":"","project_id":79,"tracker_id":40,"status_id":1,"priority_id":2,"assigned_to_id":23,"start_date":"2016-09-07","description":"","custom_fields":[{"id":1,"name":"Subdivision","value":"NW"},{"id":4,"name":"Milepost","value":"5.8007"},{"id":17,"name":"Train ID","value":"839-07"},{"id":16,"name":"Locomotive ID","value":"4044"},{"id":130,"name":"Impact","value":""},{"id":150,"name":"Time of Event (Mountain Time)","value":"19:07:00"},{"id":151,"name":"Denver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38" x14ac:dyDescent="0.25">
      <c r="A201" s="38" t="s">
        <v>534</v>
      </c>
      <c r="B201" s="7">
        <v>4030</v>
      </c>
      <c r="C201" s="23" t="s">
        <v>111</v>
      </c>
      <c r="D201" s="23" t="s">
        <v>704</v>
      </c>
      <c r="E201" s="15">
        <v>42620.818564814814</v>
      </c>
      <c r="F201" s="15">
        <v>42620.820567129631</v>
      </c>
      <c r="G201" s="7">
        <v>1</v>
      </c>
      <c r="H201" s="15" t="s">
        <v>725</v>
      </c>
      <c r="I201" s="15">
        <v>42620.830682870372</v>
      </c>
      <c r="J201" s="7">
        <v>0</v>
      </c>
      <c r="K201" s="115" t="str">
        <f t="shared" si="48"/>
        <v>4029/4030</v>
      </c>
      <c r="L201" s="23" t="str">
        <f>VLOOKUP(A201,'Trips&amp;Operators'!$C$1:$E$10000,3,FALSE)</f>
        <v>MOSES</v>
      </c>
      <c r="M201" s="6">
        <f t="shared" si="49"/>
        <v>1.0115740740729962E-2</v>
      </c>
      <c r="N201" s="7">
        <f t="shared" si="69"/>
        <v>14.566666666651145</v>
      </c>
      <c r="O201" s="7"/>
      <c r="P201" s="7"/>
      <c r="Q201" s="24"/>
      <c r="R201" s="24"/>
      <c r="S201" s="36">
        <f t="shared" si="67"/>
        <v>1</v>
      </c>
      <c r="T201" s="51" t="str">
        <f t="shared" si="50"/>
        <v>Southbound</v>
      </c>
      <c r="U201" s="17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18:38:44-0600',mode:absolute,to:'2016-09-07 20:56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201" s="177" t="str">
        <f t="shared" si="51"/>
        <v>N</v>
      </c>
      <c r="X201" s="177">
        <f t="shared" si="68"/>
        <v>1</v>
      </c>
      <c r="Y201" s="177">
        <f t="shared" si="52"/>
        <v>5.8682999999999996</v>
      </c>
      <c r="Z201" s="67">
        <f t="shared" si="65"/>
        <v>6.2399999999999997E-2</v>
      </c>
      <c r="AA201" s="67">
        <f t="shared" si="53"/>
        <v>5.8058999999999994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54"/>
        <v>0840-07</v>
      </c>
      <c r="AE201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201" s="94" t="str">
        <f t="shared" si="56"/>
        <v>"C:\Program Files (x86)\AstroGrep\AstroGrep.exe" /spath="%USERPROFILE%\AppData\Local\Temp\OnboardLogs" /stypes="*4030*20160908*" /stext=" 01:.+((SYSTEM_STATE.+slice.+state.+changed )|(ment ac)|(system.+state.+changed )|(\|lc)|(penalty)|(\[timeout)|(PRM\|1\|D)|(kpr)|(kdp))" /e /r /s</v>
      </c>
      <c r="AG201" s="1" t="str">
        <f t="shared" si="57"/>
        <v>NW</v>
      </c>
      <c r="AH201" s="98" t="str">
        <f t="shared" si="58"/>
        <v>"%USERPROFILE%\Documents\GitHub\eaglep3\Utilities\RefineRTDCRunTimes.py" --tripid 840-07 --locoid 4030 --swversion DE.1.0.7.0 --startMP 300:58683 --initTime 2016-09-07T19:38:44 --startdatetime 2016-09-07T19:41:37 --delay 1 --endMP 204:624 --enddatetime 2016-09-07T19:56:11 --enforcementcount 0 &gt;&gt;C:\Users\stu\Documents\GitHub\eaglep3-reporting\EC\2016-09-07-refined-times.txt</v>
      </c>
      <c r="AI201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{"issue":{"subject":"","project_id":79,"tracker_id":40,"status_id":1,"priority_id":2,"assigned_to_id":23,"start_date":"2016-09-07","description":"","custom_fields":[{"id":1,"name":"Subdivision","value":"NW"},{"id":4,"name":"Milepost","value":"5.8059"},{"id":17,"name":"Train ID","value":"840-07"},{"id":16,"name":"Locomotive ID","value":"4030"},{"id":130,"name":"Impact","value":""},{"id":150,"name":"Time of Event (Mountain Time)","value":"19:56:11"},{"id":151,"name":"Denver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38" x14ac:dyDescent="0.25">
      <c r="A202" s="38" t="s">
        <v>530</v>
      </c>
      <c r="B202" s="7">
        <v>4029</v>
      </c>
      <c r="C202" s="23" t="s">
        <v>111</v>
      </c>
      <c r="D202" s="23" t="s">
        <v>341</v>
      </c>
      <c r="E202" s="15">
        <v>42620.803344907406</v>
      </c>
      <c r="F202" s="15">
        <v>42620.806550925925</v>
      </c>
      <c r="G202" s="7">
        <v>1</v>
      </c>
      <c r="H202" s="15" t="s">
        <v>726</v>
      </c>
      <c r="I202" s="15">
        <v>42620.816574074073</v>
      </c>
      <c r="J202" s="7">
        <v>0</v>
      </c>
      <c r="K202" s="115" t="str">
        <f t="shared" si="48"/>
        <v>4029/4030</v>
      </c>
      <c r="L202" s="23" t="str">
        <f>VLOOKUP(A202,'Trips&amp;Operators'!$C$1:$E$10000,3,FALSE)</f>
        <v>MOSES</v>
      </c>
      <c r="M202" s="6">
        <f t="shared" si="49"/>
        <v>1.0023148148320615E-2</v>
      </c>
      <c r="N202" s="7">
        <f t="shared" si="69"/>
        <v>14.433333333581686</v>
      </c>
      <c r="O202" s="7"/>
      <c r="P202" s="7"/>
      <c r="Q202" s="24"/>
      <c r="R202" s="24"/>
      <c r="S202" s="36">
        <f t="shared" si="67"/>
        <v>1</v>
      </c>
      <c r="T202" s="51" t="str">
        <f t="shared" si="50"/>
        <v>NorthBound</v>
      </c>
      <c r="U202" s="17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18:16:49-0600',mode:absolute,to:'2016-09-07 20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202" s="177" t="str">
        <f t="shared" si="51"/>
        <v>N</v>
      </c>
      <c r="X202" s="177">
        <f t="shared" si="68"/>
        <v>1</v>
      </c>
      <c r="Y202" s="177">
        <f t="shared" si="52"/>
        <v>9.64E-2</v>
      </c>
      <c r="Z202" s="67">
        <f t="shared" si="65"/>
        <v>5.8992000000000004</v>
      </c>
      <c r="AA202" s="67">
        <f t="shared" si="53"/>
        <v>5.8028000000000004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54"/>
        <v>0841-07</v>
      </c>
      <c r="AE202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202" s="94" t="str">
        <f t="shared" si="56"/>
        <v>"C:\Program Files (x86)\AstroGrep\AstroGrep.exe" /spath="%USERPROFILE%\AppData\Local\Temp\OnboardLogs" /stypes="*4029*20160908*" /stext=" 01:.+((SYSTEM_STATE.+slice.+state.+changed )|(ment ac)|(system.+state.+changed )|(\|lc)|(penalty)|(\[timeout)|(PRM\|1\|D)|(kpr)|(kdp))" /e /r /s</v>
      </c>
      <c r="AG202" s="1" t="str">
        <f t="shared" si="57"/>
        <v>NW</v>
      </c>
      <c r="AH202" s="98" t="str">
        <f t="shared" si="58"/>
        <v>"%USERPROFILE%\Documents\GitHub\eaglep3\Utilities\RefineRTDCRunTimes.py" --tripid 841-07 --locoid 4029 --swversion DE.1.0.7.0 --startMP 204:964 --initTime 2016-09-07T19:16:49 --startdatetime 2016-09-07T19:21:26 --delay 1 --endMP 300:58992 --enddatetime 2016-09-07T19:35:52 --enforcementcount 0 &gt;&gt;C:\Users\stu\Documents\GitHub\eaglep3-reporting\EC\2016-09-07-refined-times.txt</v>
      </c>
      <c r="AI202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{"issue":{"subject":"","project_id":79,"tracker_id":40,"status_id":1,"priority_id":2,"assigned_to_id":23,"start_date":"2016-09-07","description":"","custom_fields":[{"id":1,"name":"Subdivision","value":"NW"},{"id":4,"name":"Milepost","value":"5.8028"},{"id":17,"name":"Train ID","value":"841-07"},{"id":16,"name":"Locomotive ID","value":"4029"},{"id":130,"name":"Impact","value":""},{"id":150,"name":"Time of Event (Mountain Time)","value":"19:35:52"},{"id":151,"name":"Denver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38" x14ac:dyDescent="0.25">
      <c r="A203" s="38" t="s">
        <v>542</v>
      </c>
      <c r="B203" s="7">
        <v>4030</v>
      </c>
      <c r="C203" s="23" t="s">
        <v>111</v>
      </c>
      <c r="D203" s="23" t="s">
        <v>727</v>
      </c>
      <c r="E203" s="15">
        <v>42620.859085648146</v>
      </c>
      <c r="F203" s="15">
        <v>42620.861620370371</v>
      </c>
      <c r="G203" s="7">
        <v>1</v>
      </c>
      <c r="H203" s="15" t="s">
        <v>689</v>
      </c>
      <c r="I203" s="15">
        <v>42620.871678240743</v>
      </c>
      <c r="J203" s="7">
        <v>0</v>
      </c>
      <c r="K203" s="115" t="str">
        <f t="shared" si="48"/>
        <v>4029/4030</v>
      </c>
      <c r="L203" s="23" t="str">
        <f>VLOOKUP(A203,'Trips&amp;Operators'!$C$1:$E$10000,3,FALSE)</f>
        <v>MOSES</v>
      </c>
      <c r="M203" s="6">
        <f t="shared" si="49"/>
        <v>1.0057870371383615E-2</v>
      </c>
      <c r="N203" s="7">
        <f t="shared" si="69"/>
        <v>14.483333334792405</v>
      </c>
      <c r="O203" s="7"/>
      <c r="P203" s="7"/>
      <c r="Q203" s="24"/>
      <c r="R203" s="24"/>
      <c r="S203" s="36">
        <f t="shared" si="67"/>
        <v>1</v>
      </c>
      <c r="T203" s="51" t="str">
        <f t="shared" si="50"/>
        <v>Southbound</v>
      </c>
      <c r="U203" s="17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19:37:05-0600',mode:absolute,to:'2016-09-07 21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203" s="177" t="str">
        <f t="shared" si="51"/>
        <v>N</v>
      </c>
      <c r="X203" s="177">
        <f t="shared" si="68"/>
        <v>1</v>
      </c>
      <c r="Y203" s="177">
        <f t="shared" si="52"/>
        <v>5.8643000000000001</v>
      </c>
      <c r="Z203" s="67">
        <f t="shared" ref="Z203:Z234" si="70">RIGHT(H203,LEN(H203)-4)/10000</f>
        <v>6.9800000000000001E-2</v>
      </c>
      <c r="AA203" s="67">
        <f t="shared" si="53"/>
        <v>5.7945000000000002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54"/>
        <v>0842-07</v>
      </c>
      <c r="AE203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203" s="94" t="str">
        <f t="shared" si="56"/>
        <v>"C:\Program Files (x86)\AstroGrep\AstroGrep.exe" /spath="%USERPROFILE%\AppData\Local\Temp\OnboardLogs" /stypes="*4030*20160908*" /stext=" 02:.+((SYSTEM_STATE.+slice.+state.+changed )|(ment ac)|(system.+state.+changed )|(\|lc)|(penalty)|(\[timeout)|(PRM\|1\|D)|(kpr)|(kdp))" /e /r /s</v>
      </c>
      <c r="AG203" s="1" t="str">
        <f t="shared" si="57"/>
        <v>NW</v>
      </c>
      <c r="AH203" s="98" t="str">
        <f t="shared" si="58"/>
        <v>"%USERPROFILE%\Documents\GitHub\eaglep3\Utilities\RefineRTDCRunTimes.py" --tripid 842-07 --locoid 4030 --swversion DE.1.0.7.0 --startMP 300:58643 --initTime 2016-09-07T20:37:05 --startdatetime 2016-09-07T20:40:44 --delay 1 --endMP 204:698 --enddatetime 2016-09-07T20:55:13 --enforcementcount 0 &gt;&gt;C:\Users\stu\Documents\GitHub\eaglep3-reporting\EC\2016-09-07-refined-times.txt</v>
      </c>
      <c r="AI203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{"issue":{"subject":"","project_id":79,"tracker_id":40,"status_id":1,"priority_id":2,"assigned_to_id":23,"start_date":"2016-09-07","description":"","custom_fields":[{"id":1,"name":"Subdivision","value":"NW"},{"id":4,"name":"Milepost","value":"5.7945"},{"id":17,"name":"Train ID","value":"842-07"},{"id":16,"name":"Locomotive ID","value":"4030"},{"id":130,"name":"Impact","value":""},{"id":150,"name":"Time of Event (Mountain Time)","value":"20:55:13"},{"id":151,"name":"Denver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38" x14ac:dyDescent="0.25">
      <c r="A204" s="38" t="s">
        <v>539</v>
      </c>
      <c r="B204" s="7">
        <v>4029</v>
      </c>
      <c r="C204" s="23" t="s">
        <v>111</v>
      </c>
      <c r="D204" s="23" t="s">
        <v>728</v>
      </c>
      <c r="E204" s="15">
        <v>42620.843657407408</v>
      </c>
      <c r="F204" s="15">
        <v>42620.848182870373</v>
      </c>
      <c r="G204" s="7">
        <v>1</v>
      </c>
      <c r="H204" s="15" t="s">
        <v>729</v>
      </c>
      <c r="I204" s="15">
        <v>42620.857581018521</v>
      </c>
      <c r="J204" s="7">
        <v>0</v>
      </c>
      <c r="K204" s="115" t="str">
        <f t="shared" si="48"/>
        <v>4029/4030</v>
      </c>
      <c r="L204" s="23" t="str">
        <f>VLOOKUP(A204,'Trips&amp;Operators'!$C$1:$E$10000,3,FALSE)</f>
        <v>MOSES</v>
      </c>
      <c r="M204" s="6">
        <f t="shared" si="49"/>
        <v>9.3981481477385387E-3</v>
      </c>
      <c r="N204" s="7">
        <f t="shared" si="69"/>
        <v>13.533333332743496</v>
      </c>
      <c r="O204" s="7"/>
      <c r="P204" s="7"/>
      <c r="Q204" s="24"/>
      <c r="R204" s="24"/>
      <c r="S204" s="36">
        <f t="shared" si="67"/>
        <v>1</v>
      </c>
      <c r="T204" s="51" t="str">
        <f t="shared" si="50"/>
        <v>NorthBound</v>
      </c>
      <c r="U204" s="17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19:14:52-0600',mode:absolute,to:'2016-09-07 21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204" s="177" t="str">
        <f t="shared" si="51"/>
        <v>N</v>
      </c>
      <c r="X204" s="177">
        <f t="shared" si="68"/>
        <v>1</v>
      </c>
      <c r="Y204" s="177">
        <f t="shared" si="52"/>
        <v>9.2200000000000004E-2</v>
      </c>
      <c r="Z204" s="67">
        <f t="shared" si="70"/>
        <v>5.8956</v>
      </c>
      <c r="AA204" s="67">
        <f t="shared" si="53"/>
        <v>5.8033999999999999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54"/>
        <v>0843-07</v>
      </c>
      <c r="AE204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204" s="94" t="str">
        <f t="shared" si="56"/>
        <v>"C:\Program Files (x86)\AstroGrep\AstroGrep.exe" /spath="%USERPROFILE%\AppData\Local\Temp\OnboardLogs" /stypes="*4029*20160908*" /stext=" 02:.+((SYSTEM_STATE.+slice.+state.+changed )|(ment ac)|(system.+state.+changed )|(\|lc)|(penalty)|(\[timeout)|(PRM\|1\|D)|(kpr)|(kdp))" /e /r /s</v>
      </c>
      <c r="AG204" s="1" t="str">
        <f t="shared" si="57"/>
        <v>NW</v>
      </c>
      <c r="AH204" s="98" t="str">
        <f t="shared" ref="AH204:AH234" si="71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843-07 --locoid 4029 --swversion DE.1.0.7.0 --startMP 204:922 --initTime 2016-09-07T20:14:52 --startdatetime 2016-09-07T20:21:23 --delay 1 --endMP 300:58956 --enddatetime 2016-09-07T20:34:55 --enforcementcount 0 &gt;&gt;C:\Users\stu\Documents\GitHub\eaglep3-reporting\EC\2016-09-07-refined-times.txt</v>
      </c>
      <c r="AI204" s="130" t="str">
        <f t="shared" ref="AI204:AI234" si="72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AA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{"issue":{"subject":"","project_id":79,"tracker_id":40,"status_id":1,"priority_id":2,"assigned_to_id":23,"start_date":"2016-09-07","description":"","custom_fields":[{"id":1,"name":"Subdivision","value":"NW"},{"id":4,"name":"Milepost","value":"5.8034"},{"id":17,"name":"Train ID","value":"843-07"},{"id":16,"name":"Locomotive ID","value":"4029"},{"id":130,"name":"Impact","value":""},{"id":150,"name":"Time of Event (Mountain Time)","value":"20:34:55"},{"id":151,"name":"Denver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38" x14ac:dyDescent="0.25">
      <c r="A205" s="38" t="s">
        <v>548</v>
      </c>
      <c r="B205" s="7">
        <v>4030</v>
      </c>
      <c r="C205" s="23" t="s">
        <v>111</v>
      </c>
      <c r="D205" s="23" t="s">
        <v>727</v>
      </c>
      <c r="E205" s="15">
        <v>42620.90185185185</v>
      </c>
      <c r="F205" s="15">
        <v>42620.903506944444</v>
      </c>
      <c r="G205" s="7">
        <v>1</v>
      </c>
      <c r="H205" s="15" t="s">
        <v>709</v>
      </c>
      <c r="I205" s="15">
        <v>42620.913773148146</v>
      </c>
      <c r="J205" s="7">
        <v>0</v>
      </c>
      <c r="K205" s="115" t="str">
        <f t="shared" ref="K205:K234" si="73">IF(ISEVEN(B205),(B205-1)&amp;"/"&amp;B205,B205&amp;"/"&amp;(B205+1))</f>
        <v>4029/4030</v>
      </c>
      <c r="L205" s="23" t="str">
        <f>VLOOKUP(A205,'Trips&amp;Operators'!$C$1:$E$10000,3,FALSE)</f>
        <v>LEVERE</v>
      </c>
      <c r="M205" s="6">
        <f t="shared" ref="M205:M234" si="74">I205-F205</f>
        <v>1.0266203702485655E-2</v>
      </c>
      <c r="N205" s="7">
        <f t="shared" si="69"/>
        <v>14.783333331579342</v>
      </c>
      <c r="O205" s="7"/>
      <c r="P205" s="7"/>
      <c r="Q205" s="24"/>
      <c r="R205" s="24"/>
      <c r="S205" s="36">
        <f t="shared" ref="S205:S234" si="75">SUM(U205:U205)/IF(AG205="EC",12,1)</f>
        <v>1</v>
      </c>
      <c r="T205" s="51" t="str">
        <f t="shared" ref="T205:T234" si="76">IF(ISEVEN(LEFT(AD205,4)),"Southbound","NorthBound")</f>
        <v>Southbound</v>
      </c>
      <c r="U205" s="17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20:38:40-0600',mode:absolute,to:'2016-09-07 22:55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205" s="177" t="str">
        <f t="shared" ref="W205:W234" si="77">IF(AA205&lt;IF(AG205="EC",23,5.65),"Y","N")</f>
        <v>N</v>
      </c>
      <c r="X205" s="177">
        <f t="shared" si="68"/>
        <v>1</v>
      </c>
      <c r="Y205" s="177">
        <f t="shared" ref="Y205:Y234" si="78">RIGHT(D205,LEN(D205)-4)/10000</f>
        <v>5.8643000000000001</v>
      </c>
      <c r="Z205" s="67">
        <f t="shared" si="70"/>
        <v>6.7799999999999999E-2</v>
      </c>
      <c r="AA205" s="67">
        <f t="shared" ref="AA205:AA234" si="79">ABS(Z205-Y205)</f>
        <v>5.7965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ref="AD205:AD234" si="80">IF(LEN(A205)=6,"0"&amp;A205,A205)</f>
        <v>0844-07</v>
      </c>
      <c r="AE205" s="97" t="str">
        <f t="shared" ref="AE205:AE234" si="81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205" s="94" t="str">
        <f t="shared" ref="AF205:AF234" si="82">astrogrep_path&amp;" /spath="&amp;search_path&amp;" /stypes=""*"&amp;B205&amp;"*"&amp;TEXT(I205-utc_offset/24,"YYYYMMDD")&amp;"*"" /stext="" "&amp;TEXT(I205-utc_offset/24,"HH")&amp;search_regexp&amp;""" /e /r /s"</f>
        <v>"C:\Program Files (x86)\AstroGrep\AstroGrep.exe" /spath="%USERPROFILE%\AppData\Local\Temp\OnboardLogs" /stypes="*4030*20160908*" /stext=" 03:.+((SYSTEM_STATE.+slice.+state.+changed )|(ment ac)|(system.+state.+changed )|(\|lc)|(penalty)|(\[timeout)|(PRM\|1\|D)|(kpr)|(kdp))" /e /r /s</v>
      </c>
      <c r="AG205" s="1" t="str">
        <f t="shared" ref="AG205:AG234" si="83">IFERROR(IF(VALUE(LEFT(AD205,2))&lt;=2,"EC",IF(OR(VALUE(LEFT(AD205,2))=8,VALUE(LEFT(AD205,2))=18),"NW","Other")),"Other")</f>
        <v>NW</v>
      </c>
      <c r="AH205" s="98" t="str">
        <f t="shared" si="71"/>
        <v>"%USERPROFILE%\Documents\GitHub\eaglep3\Utilities\RefineRTDCRunTimes.py" --tripid 844-07 --locoid 4030 --swversion DE.1.0.7.0 --startMP 300:58643 --initTime 2016-09-07T21:38:40 --startdatetime 2016-09-07T21:41:03 --delay 1 --endMP 204:678 --enddatetime 2016-09-07T21:55:50 --enforcementcount 0 &gt;&gt;C:\Users\stu\Documents\GitHub\eaglep3-reporting\EC\2016-09-07-refined-times.txt</v>
      </c>
      <c r="AI205" s="130" t="str">
        <f t="shared" si="72"/>
        <v>echo {"issue":{"subject":"","project_id":79,"tracker_id":40,"status_id":1,"priority_id":2,"assigned_to_id":23,"start_date":"2016-09-07","description":"","custom_fields":[{"id":1,"name":"Subdivision","value":"NW"},{"id":4,"name":"Milepost","value":"5.7965"},{"id":17,"name":"Train ID","value":"844-07"},{"id":16,"name":"Locomotive ID","value":"4030"},{"id":130,"name":"Impact","value":""},{"id":150,"name":"Time of Event (Mountain Time)","value":"21:55:50"},{"id":151,"name":"Denver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38" x14ac:dyDescent="0.25">
      <c r="A206" s="38" t="s">
        <v>545</v>
      </c>
      <c r="B206" s="7">
        <v>4029</v>
      </c>
      <c r="C206" s="23" t="s">
        <v>111</v>
      </c>
      <c r="D206" s="23" t="s">
        <v>730</v>
      </c>
      <c r="E206" s="15">
        <v>42620.879050925927</v>
      </c>
      <c r="F206" s="15">
        <v>42620.889837962961</v>
      </c>
      <c r="G206" s="7">
        <v>1</v>
      </c>
      <c r="H206" s="15" t="s">
        <v>731</v>
      </c>
      <c r="I206" s="15">
        <v>42620.900902777779</v>
      </c>
      <c r="J206" s="7">
        <v>0</v>
      </c>
      <c r="K206" s="115" t="str">
        <f t="shared" si="73"/>
        <v>4029/4030</v>
      </c>
      <c r="L206" s="23" t="str">
        <f>VLOOKUP(A206,'Trips&amp;Operators'!$C$1:$E$10000,3,FALSE)</f>
        <v>LEVERE</v>
      </c>
      <c r="M206" s="6">
        <f t="shared" si="74"/>
        <v>1.1064814818382729E-2</v>
      </c>
      <c r="N206" s="7">
        <f t="shared" si="69"/>
        <v>15.93333333847113</v>
      </c>
      <c r="O206" s="7"/>
      <c r="P206" s="7"/>
      <c r="Q206" s="24"/>
      <c r="R206" s="24"/>
      <c r="S206" s="36">
        <f t="shared" si="75"/>
        <v>1</v>
      </c>
      <c r="T206" s="51" t="str">
        <f t="shared" si="76"/>
        <v>NorthBound</v>
      </c>
      <c r="U206" s="17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76" t="str">
        <f t="shared" ref="V206:V234" si="84">"https://search-rtdc-monitor-bjffxe2xuh6vdkpspy63sjmuny.us-east-1.es.amazonaws.com/_plugin/kibana/#/discover/Steve-Slow-Train-Analysis-(2080s-and-2083s)?_g=(refreshInterval:(display:Off,section:0,value:0),time:(from:'"&amp;TEXT(E206-1/24,"yyyy-MM-DD hh:mm:ss")&amp;"-0600',mode:absolute,to:'"&amp;TEXT(I206+1/24,"yyyy-MM-DD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https://search-rtdc-monitor-bjffxe2xuh6vdkpspy63sjmuny.us-east-1.es.amazonaws.com/_plugin/kibana/#/discover/Steve-Slow-Train-Analysis-(2080s-and-2083s)?_g=(refreshInterval:(display:Off,section:0,value:0),time:(from:'2016-09-07 20:05:50-0600',mode:absolute,to:'2016-09-07 22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206" s="177" t="str">
        <f t="shared" si="77"/>
        <v>N</v>
      </c>
      <c r="X206" s="177">
        <f t="shared" si="68"/>
        <v>1</v>
      </c>
      <c r="Y206" s="177">
        <f t="shared" si="78"/>
        <v>9.9299999999999999E-2</v>
      </c>
      <c r="Z206" s="67">
        <f t="shared" si="70"/>
        <v>5.8959999999999999</v>
      </c>
      <c r="AA206" s="67">
        <f t="shared" si="79"/>
        <v>5.7966999999999995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80"/>
        <v>0845-07</v>
      </c>
      <c r="AE206" s="97" t="str">
        <f t="shared" si="81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206" s="94" t="str">
        <f t="shared" si="82"/>
        <v>"C:\Program Files (x86)\AstroGrep\AstroGrep.exe" /spath="%USERPROFILE%\AppData\Local\Temp\OnboardLogs" /stypes="*4029*20160908*" /stext=" 03:.+((SYSTEM_STATE.+slice.+state.+changed )|(ment ac)|(system.+state.+changed )|(\|lc)|(penalty)|(\[timeout)|(PRM\|1\|D)|(kpr)|(kdp))" /e /r /s</v>
      </c>
      <c r="AG206" s="1" t="str">
        <f t="shared" si="83"/>
        <v>NW</v>
      </c>
      <c r="AH206" s="98" t="str">
        <f t="shared" si="71"/>
        <v>"%USERPROFILE%\Documents\GitHub\eaglep3\Utilities\RefineRTDCRunTimes.py" --tripid 845-07 --locoid 4029 --swversion DE.1.0.7.0 --startMP 204:993 --initTime 2016-09-07T21:05:50 --startdatetime 2016-09-07T21:21:22 --delay 1 --endMP 300:58960 --enddatetime 2016-09-07T21:37:18 --enforcementcount 0 &gt;&gt;C:\Users\stu\Documents\GitHub\eaglep3-reporting\EC\2016-09-07-refined-times.txt</v>
      </c>
      <c r="AI206" s="130" t="str">
        <f t="shared" si="72"/>
        <v>echo {"issue":{"subject":"","project_id":79,"tracker_id":40,"status_id":1,"priority_id":2,"assigned_to_id":23,"start_date":"2016-09-07","description":"","custom_fields":[{"id":1,"name":"Subdivision","value":"NW"},{"id":4,"name":"Milepost","value":"5.7967"},{"id":17,"name":"Train ID","value":"845-07"},{"id":16,"name":"Locomotive ID","value":"4029"},{"id":130,"name":"Impact","value":""},{"id":150,"name":"Time of Event (Mountain Time)","value":"21:37:18"},{"id":151,"name":"Denver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38" x14ac:dyDescent="0.25">
      <c r="A207" s="38" t="s">
        <v>551</v>
      </c>
      <c r="B207" s="7">
        <v>4029</v>
      </c>
      <c r="C207" s="23" t="s">
        <v>111</v>
      </c>
      <c r="D207" s="23" t="s">
        <v>732</v>
      </c>
      <c r="E207" s="15">
        <v>42620.925358796296</v>
      </c>
      <c r="F207" s="15">
        <v>42620.931458333333</v>
      </c>
      <c r="G207" s="7">
        <v>1</v>
      </c>
      <c r="H207" s="15" t="s">
        <v>729</v>
      </c>
      <c r="I207" s="15">
        <v>42620.942349537036</v>
      </c>
      <c r="J207" s="7">
        <v>0</v>
      </c>
      <c r="K207" s="115" t="str">
        <f t="shared" si="73"/>
        <v>4029/4030</v>
      </c>
      <c r="L207" s="23" t="str">
        <f>VLOOKUP(A207,'Trips&amp;Operators'!$C$1:$E$10000,3,FALSE)</f>
        <v>LEVERE</v>
      </c>
      <c r="M207" s="6">
        <f t="shared" si="74"/>
        <v>1.0891203703067731E-2</v>
      </c>
      <c r="N207" s="7">
        <f t="shared" si="69"/>
        <v>15.683333332417533</v>
      </c>
      <c r="O207" s="7"/>
      <c r="P207" s="7"/>
      <c r="Q207" s="24"/>
      <c r="R207" s="24"/>
      <c r="S207" s="36">
        <f t="shared" si="75"/>
        <v>1</v>
      </c>
      <c r="T207" s="51" t="str">
        <f t="shared" si="76"/>
        <v>NorthBound</v>
      </c>
      <c r="U207" s="17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21:12:31-0600',mode:absolute,to:'2016-09-07 23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207" s="177" t="str">
        <f t="shared" si="77"/>
        <v>N</v>
      </c>
      <c r="X207" s="177">
        <f t="shared" si="68"/>
        <v>2</v>
      </c>
      <c r="Y207" s="177">
        <f t="shared" si="78"/>
        <v>9.5500000000000002E-2</v>
      </c>
      <c r="Z207" s="67">
        <f t="shared" si="70"/>
        <v>5.8956</v>
      </c>
      <c r="AA207" s="67">
        <f t="shared" si="79"/>
        <v>5.8000999999999996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80"/>
        <v>0847-07</v>
      </c>
      <c r="AE207" s="97" t="str">
        <f t="shared" si="81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207" s="94" t="str">
        <f t="shared" si="82"/>
        <v>"C:\Program Files (x86)\AstroGrep\AstroGrep.exe" /spath="%USERPROFILE%\AppData\Local\Temp\OnboardLogs" /stypes="*4029*20160908*" /stext=" 04:.+((SYSTEM_STATE.+slice.+state.+changed )|(ment ac)|(system.+state.+changed )|(\|lc)|(penalty)|(\[timeout)|(PRM\|1\|D)|(kpr)|(kdp))" /e /r /s</v>
      </c>
      <c r="AG207" s="1" t="str">
        <f t="shared" si="83"/>
        <v>NW</v>
      </c>
      <c r="AH207" s="98" t="str">
        <f t="shared" si="71"/>
        <v>"%USERPROFILE%\Documents\GitHub\eaglep3\Utilities\RefineRTDCRunTimes.py" --tripid 847-07 --locoid 4029 --swversion DE.1.0.7.0 --startMP 204:955 --initTime 2016-09-07T22:12:31 --startdatetime 2016-09-07T22:21:18 --delay 1 --endMP 300:58956 --enddatetime 2016-09-07T22:36:59 --enforcementcount 0 &gt;&gt;C:\Users\stu\Documents\GitHub\eaglep3-reporting\EC\2016-09-07-refined-times.txt</v>
      </c>
      <c r="AI207" s="130" t="str">
        <f t="shared" si="72"/>
        <v>echo {"issue":{"subject":"","project_id":79,"tracker_id":40,"status_id":1,"priority_id":2,"assigned_to_id":23,"start_date":"2016-09-07","description":"","custom_fields":[{"id":1,"name":"Subdivision","value":"NW"},{"id":4,"name":"Milepost","value":"5.8001"},{"id":17,"name":"Train ID","value":"847-07"},{"id":16,"name":"Locomotive ID","value":"4029"},{"id":130,"name":"Impact","value":""},{"id":150,"name":"Time of Event (Mountain Time)","value":"22:36:59"},{"id":151,"name":"Denver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38" x14ac:dyDescent="0.25">
      <c r="A208" s="38" t="s">
        <v>531</v>
      </c>
      <c r="B208" s="7">
        <v>4038</v>
      </c>
      <c r="C208" s="23" t="s">
        <v>111</v>
      </c>
      <c r="D208" s="23" t="s">
        <v>639</v>
      </c>
      <c r="E208" s="15">
        <v>42620.8046412037</v>
      </c>
      <c r="F208" s="15">
        <v>25568.958333333332</v>
      </c>
      <c r="G208" s="7">
        <v>1</v>
      </c>
      <c r="H208" s="15" t="s">
        <v>327</v>
      </c>
      <c r="I208" s="15">
        <v>25568.958333333332</v>
      </c>
      <c r="J208" s="7">
        <v>0</v>
      </c>
      <c r="K208" s="115" t="str">
        <f t="shared" si="73"/>
        <v>4037/4038</v>
      </c>
      <c r="L208" s="23" t="str">
        <f>VLOOKUP(A208,'Trips&amp;Operators'!$C$1:$E$10000,3,FALSE)</f>
        <v>STORY</v>
      </c>
      <c r="M208" s="6">
        <f t="shared" si="74"/>
        <v>0</v>
      </c>
      <c r="N208" s="7">
        <f t="shared" si="69"/>
        <v>0</v>
      </c>
      <c r="O208" s="7"/>
      <c r="P208" s="7"/>
      <c r="Q208" s="24"/>
      <c r="R208" s="24"/>
      <c r="S208" s="36">
        <f t="shared" si="75"/>
        <v>1</v>
      </c>
      <c r="T208" s="51" t="str">
        <f t="shared" si="76"/>
        <v>NorthBound</v>
      </c>
      <c r="U208" s="17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18:18:41-0600',mode:absolute,to:'1970-01-01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208" s="177" t="str">
        <f t="shared" si="77"/>
        <v>Y</v>
      </c>
      <c r="X208" s="177">
        <f t="shared" si="68"/>
        <v>-542</v>
      </c>
      <c r="Y208" s="177">
        <f t="shared" si="78"/>
        <v>0.1484</v>
      </c>
      <c r="Z208" s="67">
        <f t="shared" si="70"/>
        <v>2.3311999999999999</v>
      </c>
      <c r="AA208" s="67">
        <f t="shared" si="79"/>
        <v>2.1827999999999999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80"/>
        <v>0305-07</v>
      </c>
      <c r="AE208" s="97" t="str">
        <f t="shared" si="81"/>
        <v>aws s3 cp s3://rtdc.mdm.uploadarchive/RTDC4038/1969-12-31/ "%USERPROFILE%\AppData\Local\Temp\OnboardLogs"\RTDC4038\1969-12-31 --recursive &amp; "%USERPROFILE%\Documents\GitHub\mrs-test-scripts\Headless Mode &amp; Sideloading\WalkAndUnGZ.bat" "%USERPROFILE%\AppData\Local\Temp\OnboardLogs"\RTDC4038\1969-12-31 &amp; aws s3 cp s3://rtdc.mdm.uploadarchive/RTDC4038/1970-01-01/ "%USERPROFILE%\AppData\Local\Temp\OnboardLogs"\RTDC4038\1970-01-01 --recursive &amp; "%USERPROFILE%\Documents\GitHub\mrs-test-scripts\Headless Mode &amp; Sideloading\WalkAndUnGZ.bat" "%USERPROFILE%\AppData\Local\Temp\OnboardLogs"\RTDC4038\1970-01-01</v>
      </c>
      <c r="AF208" s="94" t="str">
        <f t="shared" si="82"/>
        <v>"C:\Program Files (x86)\AstroGrep\AstroGrep.exe" /spath="%USERPROFILE%\AppData\Local\Temp\OnboardLogs" /stypes="*4038*19700101*" /stext=" 05:.+((SYSTEM_STATE.+slice.+state.+changed )|(ment ac)|(system.+state.+changed )|(\|lc)|(penalty)|(\[timeout)|(PRM\|1\|D)|(kpr)|(kdp))" /e /r /s</v>
      </c>
      <c r="AG208" s="1" t="str">
        <f t="shared" si="83"/>
        <v>Other</v>
      </c>
      <c r="AH208" s="98" t="str">
        <f t="shared" si="71"/>
        <v>"%USERPROFILE%\Documents\GitHub\eaglep3\Utilities\RefineRTDCRunTimes.py" --tripid 305-07 --locoid 4038 --swversion DE.1.0.7.0 --startMP 204:1484 --initTime 2016-09-07T19:18:41 --startdatetime 1969-12-31T23:00:00 --delay 1 --endMP 300:23312 --enddatetime 1969-12-31T23:00:00 --enforcementcount 0 &gt;&gt;C:\Users\stu\Documents\GitHub\eaglep3-reporting\EC\2016-09-07-refined-times.txt</v>
      </c>
      <c r="AI208" s="130" t="str">
        <f t="shared" si="72"/>
        <v>echo {"issue":{"subject":"","project_id":79,"tracker_id":40,"status_id":1,"priority_id":2,"assigned_to_id":23,"start_date":"1969-12-31","description":"","custom_fields":[{"id":1,"name":"Subdivision","value":"Other"},{"id":4,"name":"Milepost","value":"2.1828"},{"id":17,"name":"Train ID","value":"305-07"},{"id":16,"name":"Locomotive ID","value":"4038"},{"id":130,"name":"Impact","value":""},{"id":150,"name":"Time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8" t="s">
        <v>535</v>
      </c>
      <c r="B209" s="7">
        <v>4031</v>
      </c>
      <c r="C209" s="23" t="s">
        <v>111</v>
      </c>
      <c r="D209" s="23" t="s">
        <v>640</v>
      </c>
      <c r="E209" s="15">
        <v>42620.819733796299</v>
      </c>
      <c r="F209" s="15">
        <v>42620.830891203703</v>
      </c>
      <c r="G209" s="7">
        <v>1</v>
      </c>
      <c r="H209" s="15" t="s">
        <v>641</v>
      </c>
      <c r="I209" s="15">
        <v>42620.835902777777</v>
      </c>
      <c r="J209" s="7">
        <v>0</v>
      </c>
      <c r="K209" s="115" t="str">
        <f t="shared" si="73"/>
        <v>4031/4032</v>
      </c>
      <c r="L209" s="23" t="str">
        <f>VLOOKUP(A209,'Trips&amp;Operators'!$C$1:$E$10000,3,FALSE)</f>
        <v>DE LA ROSA</v>
      </c>
      <c r="M209" s="6">
        <f t="shared" si="74"/>
        <v>5.0115740741603076E-3</v>
      </c>
      <c r="N209" s="7">
        <f t="shared" si="69"/>
        <v>7.216666666790843</v>
      </c>
      <c r="O209" s="7"/>
      <c r="P209" s="7"/>
      <c r="Q209" s="24"/>
      <c r="R209" s="24"/>
      <c r="S209" s="36">
        <f t="shared" si="75"/>
        <v>1</v>
      </c>
      <c r="T209" s="51" t="str">
        <f t="shared" si="76"/>
        <v>NorthBound</v>
      </c>
      <c r="U209" s="17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18:40:25-0600',mode:absolute,to:'2016-09-07 21:03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09" s="177" t="str">
        <f t="shared" si="77"/>
        <v>Y</v>
      </c>
      <c r="X209" s="177">
        <f t="shared" si="68"/>
        <v>2</v>
      </c>
      <c r="Y209" s="177">
        <f t="shared" si="78"/>
        <v>7.7200000000000005E-2</v>
      </c>
      <c r="Z209" s="67">
        <f t="shared" si="70"/>
        <v>2.3302</v>
      </c>
      <c r="AA209" s="67">
        <f t="shared" si="79"/>
        <v>2.2530000000000001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80"/>
        <v>0307-07</v>
      </c>
      <c r="AE209" s="97" t="str">
        <f t="shared" si="81"/>
        <v>aws s3 cp s3://rtdc.mdm.uploadarchive/RTDC4031/2016-09-07/ "%USERPROFILE%\AppData\Local\Temp\OnboardLogs"\RTDC4031\2016-09-07 --recursive &amp; "%USERPROFILE%\Documents\GitHub\mrs-test-scripts\Headless Mode &amp; Sideloading\WalkAndUnGZ.bat" "%USERPROFILE%\AppData\Local\Temp\OnboardLogs"\RTDC4031\2016-09-07 &amp; 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</v>
      </c>
      <c r="AF209" s="94" t="str">
        <f t="shared" si="82"/>
        <v>"C:\Program Files (x86)\AstroGrep\AstroGrep.exe" /spath="%USERPROFILE%\AppData\Local\Temp\OnboardLogs" /stypes="*4031*20160908*" /stext=" 02:.+((SYSTEM_STATE.+slice.+state.+changed )|(ment ac)|(system.+state.+changed )|(\|lc)|(penalty)|(\[timeout)|(PRM\|1\|D)|(kpr)|(kdp))" /e /r /s</v>
      </c>
      <c r="AG209" s="1" t="str">
        <f t="shared" si="83"/>
        <v>Other</v>
      </c>
      <c r="AH209" s="98" t="str">
        <f t="shared" si="71"/>
        <v>"%USERPROFILE%\Documents\GitHub\eaglep3\Utilities\RefineRTDCRunTimes.py" --tripid 307-07 --locoid 4031 --swversion DE.1.0.7.0 --startMP 204:772 --initTime 2016-09-07T19:40:25 --startdatetime 2016-09-07T19:56:29 --delay 1 --endMP 300:23302 --enddatetime 2016-09-07T20:03:42 --enforcementcount 0 &gt;&gt;C:\Users\stu\Documents\GitHub\eaglep3-reporting\EC\2016-09-07-refined-times.txt</v>
      </c>
      <c r="AI209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{"issue":{"subject":"","project_id":79,"tracker_id":40,"status_id":1,"priority_id":2,"assigned_to_id":23,"start_date":"2016-09-07","description":"","custom_fields":[{"id":1,"name":"Subdivision","value":"Other"},{"id":4,"name":"Milepost","value":"2.253"},{"id":17,"name":"Train ID","value":"307-07"},{"id":16,"name":"Locomotive ID","value":"4031"},{"id":130,"name":"Impact","value":""},{"id":150,"name":"Time of Event (Mountain Time)","value":"20:03:42"},{"id":151,"name":"Denver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8" t="s">
        <v>563</v>
      </c>
      <c r="B210" s="7">
        <v>4009</v>
      </c>
      <c r="C210" s="23" t="s">
        <v>111</v>
      </c>
      <c r="D210" s="23" t="s">
        <v>642</v>
      </c>
      <c r="E210" s="15">
        <v>42621.031504629631</v>
      </c>
      <c r="F210" s="15">
        <v>42621.036631944444</v>
      </c>
      <c r="G210" s="7">
        <v>1</v>
      </c>
      <c r="H210" s="15" t="s">
        <v>643</v>
      </c>
      <c r="I210" s="15">
        <v>42621.042430555557</v>
      </c>
      <c r="J210" s="7">
        <v>0</v>
      </c>
      <c r="K210" s="115" t="str">
        <f t="shared" si="73"/>
        <v>4009/4010</v>
      </c>
      <c r="L210" s="23" t="str">
        <f>VLOOKUP(A210,'Trips&amp;Operators'!$C$1:$E$10000,3,FALSE)</f>
        <v>ARVIDSON</v>
      </c>
      <c r="M210" s="6">
        <f t="shared" si="74"/>
        <v>5.7986111132777296E-3</v>
      </c>
      <c r="N210" s="7">
        <f t="shared" si="69"/>
        <v>8.3500000031199306</v>
      </c>
      <c r="O210" s="7"/>
      <c r="P210" s="7"/>
      <c r="Q210" s="24"/>
      <c r="R210" s="24"/>
      <c r="S210" s="36">
        <f t="shared" si="75"/>
        <v>1</v>
      </c>
      <c r="T210" s="51" t="str">
        <f t="shared" si="76"/>
        <v>NorthBound</v>
      </c>
      <c r="U210" s="17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23:45:22-0600',mode:absolute,to:'2016-09-08 02:01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10" s="177" t="str">
        <f t="shared" si="77"/>
        <v>Y</v>
      </c>
      <c r="X210" s="177">
        <f t="shared" si="68"/>
        <v>2</v>
      </c>
      <c r="Y210" s="177">
        <f t="shared" si="78"/>
        <v>9.74E-2</v>
      </c>
      <c r="Z210" s="67">
        <f t="shared" si="70"/>
        <v>2.3304</v>
      </c>
      <c r="AA210" s="67">
        <f t="shared" si="79"/>
        <v>2.2330000000000001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80"/>
        <v>0309-07</v>
      </c>
      <c r="AE210" s="97" t="str">
        <f t="shared" si="81"/>
        <v>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 &amp; aws s3 cp s3://rtdc.mdm.uploadarchive/RTDC4009/2016-09-09/ "%USERPROFILE%\AppData\Local\Temp\OnboardLogs"\RTDC4009\2016-09-09 --recursive &amp; "%USERPROFILE%\Documents\GitHub\mrs-test-scripts\Headless Mode &amp; Sideloading\WalkAndUnGZ.bat" "%USERPROFILE%\AppData\Local\Temp\OnboardLogs"\RTDC4009\2016-09-09</v>
      </c>
      <c r="AF210" s="94" t="str">
        <f t="shared" si="82"/>
        <v>"C:\Program Files (x86)\AstroGrep\AstroGrep.exe" /spath="%USERPROFILE%\AppData\Local\Temp\OnboardLogs" /stypes="*4009*20160908*" /stext=" 07:.+((SYSTEM_STATE.+slice.+state.+changed )|(ment ac)|(system.+state.+changed )|(\|lc)|(penalty)|(\[timeout)|(PRM\|1\|D)|(kpr)|(kdp))" /e /r /s</v>
      </c>
      <c r="AG210" s="1" t="str">
        <f t="shared" si="83"/>
        <v>Other</v>
      </c>
      <c r="AH210" s="98" t="str">
        <f t="shared" si="71"/>
        <v>"%USERPROFILE%\Documents\GitHub\eaglep3\Utilities\RefineRTDCRunTimes.py" --tripid 309-07 --locoid 4009 --swversion DE.1.0.7.0 --startMP 204:974 --initTime 2016-09-08T00:45:22 --startdatetime 2016-09-08T00:52:45 --delay 1 --endMP 300:23304 --enddatetime 2016-09-08T01:01:06 --enforcementcount 0 &gt;&gt;C:\Users\stu\Documents\GitHub\eaglep3-reporting\EC\2016-09-07-refined-times.txt</v>
      </c>
      <c r="AI210" s="130" t="str">
        <f t="shared" si="72"/>
        <v>echo {"issue":{"subject":"","project_id":79,"tracker_id":40,"status_id":1,"priority_id":2,"assigned_to_id":23,"start_date":"2016-09-08","description":"","custom_fields":[{"id":1,"name":"Subdivision","value":"Other"},{"id":4,"name":"Milepost","value":"2.233"},{"id":17,"name":"Train ID","value":"309-07"},{"id":16,"name":"Locomotive ID","value":"4009"},{"id":130,"name":"Impact","value":""},{"id":150,"name":"Time of Event (Mountain Time)","value":"01:01:06"},{"id":151,"name":"Denver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8" t="s">
        <v>565</v>
      </c>
      <c r="B211" s="7">
        <v>4051</v>
      </c>
      <c r="C211" s="23" t="s">
        <v>264</v>
      </c>
      <c r="D211" s="23" t="s">
        <v>644</v>
      </c>
      <c r="E211" s="15">
        <v>42621.076782407406</v>
      </c>
      <c r="F211" s="15">
        <v>42621.119826388887</v>
      </c>
      <c r="G211" s="7">
        <v>0</v>
      </c>
      <c r="H211" s="15" t="s">
        <v>645</v>
      </c>
      <c r="I211" s="15">
        <v>42621.134398148148</v>
      </c>
      <c r="J211" s="7">
        <v>0</v>
      </c>
      <c r="K211" s="115" t="str">
        <f t="shared" si="73"/>
        <v>4051/4052</v>
      </c>
      <c r="L211" s="23" t="b">
        <f>VLOOKUP(A211,'Trips&amp;Operators'!$C$1:$E$10000,3,FALSE)</f>
        <v>1</v>
      </c>
      <c r="M211" s="6">
        <f t="shared" si="74"/>
        <v>1.4571759260434192E-2</v>
      </c>
      <c r="N211" s="7">
        <f t="shared" si="69"/>
        <v>20.983333335025236</v>
      </c>
      <c r="O211" s="7"/>
      <c r="P211" s="7"/>
      <c r="Q211" s="24"/>
      <c r="R211" s="24"/>
      <c r="S211" s="36">
        <f t="shared" si="75"/>
        <v>1</v>
      </c>
      <c r="T211" s="51" t="str">
        <f t="shared" si="76"/>
        <v>NorthBound</v>
      </c>
      <c r="U211" s="17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https://search-rtdc-monitor-bjffxe2xuh6vdkpspy63sjmuny.us-east-1.es.amazonaws.com/_plugin/kibana/#/discover/Steve-Slow-Train-Analysis-(2080s-and-2083s)?_g=(refreshInterval:(display:Off,section:0,value:0),time:(from:'2016-09-08 00:50:34-0600',mode:absolute,to:'2016-09-08 04:13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4051%22')),sort:!(Time,asc))</v>
      </c>
      <c r="W211" s="177" t="str">
        <f t="shared" si="77"/>
        <v>N</v>
      </c>
      <c r="X211" s="177">
        <f t="shared" si="68"/>
        <v>2</v>
      </c>
      <c r="Y211" s="177">
        <f t="shared" si="78"/>
        <v>1.0564</v>
      </c>
      <c r="Z211" s="67">
        <f t="shared" si="70"/>
        <v>12.809799999999999</v>
      </c>
      <c r="AA211" s="67">
        <f t="shared" si="79"/>
        <v>11.753399999999999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80"/>
        <v>0311-07</v>
      </c>
      <c r="AE211" s="97" t="str">
        <f t="shared" si="81"/>
        <v>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 &amp; aws s3 cp s3://rtdc.mdm.uploadarchive/RTDC4051/2016-09-09/ "%USERPROFILE%\AppData\Local\Temp\OnboardLogs"\RTDC4051\2016-09-09 --recursive &amp; "%USERPROFILE%\Documents\GitHub\mrs-test-scripts\Headless Mode &amp; Sideloading\WalkAndUnGZ.bat" "%USERPROFILE%\AppData\Local\Temp\OnboardLogs"\RTDC4051\2016-09-09</v>
      </c>
      <c r="AF211" s="94" t="str">
        <f t="shared" si="82"/>
        <v>"C:\Program Files (x86)\AstroGrep\AstroGrep.exe" /spath="%USERPROFILE%\AppData\Local\Temp\OnboardLogs" /stypes="*4051*20160908*" /stext=" 09:.+((SYSTEM_STATE.+slice.+state.+changed )|(ment ac)|(system.+state.+changed )|(\|lc)|(penalty)|(\[timeout)|(PRM\|1\|D)|(kpr)|(kdp))" /e /r /s</v>
      </c>
      <c r="AG211" s="1" t="str">
        <f t="shared" si="83"/>
        <v>Other</v>
      </c>
      <c r="AH211" s="98" t="str">
        <f t="shared" si="71"/>
        <v>"%USERPROFILE%\Documents\GitHub\eaglep3\Utilities\RefineRTDCRunTimes.py" --tripid 311-07 --locoid 4051 --swversion DE.1.0.8.0.ENG1 --startMP 204:10564 --initTime 2016-09-08T01:50:34 --startdatetime 2016-09-08T02:52:33 --delay 0 --endMP 204:128098 --enddatetime 2016-09-08T03:13:32 --enforcementcount 0 &gt;&gt;C:\Users\stu\Documents\GitHub\eaglep3-reporting\EC\2016-09-07-refined-times.txt</v>
      </c>
      <c r="AI211" s="130" t="str">
        <f t="shared" si="72"/>
        <v>echo {"issue":{"subject":"","project_id":79,"tracker_id":40,"status_id":1,"priority_id":2,"assigned_to_id":23,"start_date":"2016-09-08","description":"","custom_fields":[{"id":1,"name":"Subdivision","value":"Other"},{"id":4,"name":"Milepost","value":"11.7534"},{"id":17,"name":"Train ID","value":"311-07"},{"id":16,"name":"Locomotive ID","value":"4051"},{"id":130,"name":"Impact","value":""},{"id":150,"name":"Time of Event (Mountain Time)","value":"03:13:32"},{"id":151,"name":"Denver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8" t="s">
        <v>565</v>
      </c>
      <c r="B212" s="7">
        <v>4051</v>
      </c>
      <c r="C212" s="23" t="s">
        <v>264</v>
      </c>
      <c r="D212" s="23" t="s">
        <v>646</v>
      </c>
      <c r="E212" s="15">
        <v>42621.034988425927</v>
      </c>
      <c r="F212" s="15">
        <v>42621.037719907406</v>
      </c>
      <c r="G212" s="7">
        <v>2</v>
      </c>
      <c r="H212" s="15" t="s">
        <v>647</v>
      </c>
      <c r="I212" s="15">
        <v>42621.053935185184</v>
      </c>
      <c r="J212" s="7">
        <v>0</v>
      </c>
      <c r="K212" s="115" t="str">
        <f t="shared" si="73"/>
        <v>4051/4052</v>
      </c>
      <c r="L212" s="23" t="b">
        <f>VLOOKUP(A212,'Trips&amp;Operators'!$C$1:$E$10000,3,FALSE)</f>
        <v>1</v>
      </c>
      <c r="M212" s="6">
        <f t="shared" si="74"/>
        <v>1.6215277777519077E-2</v>
      </c>
      <c r="N212" s="7">
        <f t="shared" si="69"/>
        <v>23.349999999627471</v>
      </c>
      <c r="O212" s="7"/>
      <c r="P212" s="7"/>
      <c r="Q212" s="24"/>
      <c r="R212" s="24"/>
      <c r="S212" s="36">
        <f t="shared" si="75"/>
        <v>1</v>
      </c>
      <c r="T212" s="51" t="str">
        <f t="shared" si="76"/>
        <v>NorthBound</v>
      </c>
      <c r="U212" s="17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23:50:23-0600',mode:absolute,to:'2016-09-08 02:17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4051%22')),sort:!(Time,asc))</v>
      </c>
      <c r="W212" s="177" t="str">
        <f t="shared" si="77"/>
        <v>N</v>
      </c>
      <c r="X212" s="177">
        <f t="shared" si="68"/>
        <v>0</v>
      </c>
      <c r="Y212" s="177">
        <f t="shared" si="78"/>
        <v>1.0634999999999999</v>
      </c>
      <c r="Z212" s="67">
        <f t="shared" si="70"/>
        <v>12.8064</v>
      </c>
      <c r="AA212" s="67">
        <f t="shared" si="79"/>
        <v>11.742900000000001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80"/>
        <v>0311-07</v>
      </c>
      <c r="AE212" s="97" t="str">
        <f t="shared" si="81"/>
        <v>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 &amp; aws s3 cp s3://rtdc.mdm.uploadarchive/RTDC4051/2016-09-09/ "%USERPROFILE%\AppData\Local\Temp\OnboardLogs"\RTDC4051\2016-09-09 --recursive &amp; "%USERPROFILE%\Documents\GitHub\mrs-test-scripts\Headless Mode &amp; Sideloading\WalkAndUnGZ.bat" "%USERPROFILE%\AppData\Local\Temp\OnboardLogs"\RTDC4051\2016-09-09</v>
      </c>
      <c r="AF212" s="94" t="str">
        <f t="shared" si="82"/>
        <v>"C:\Program Files (x86)\AstroGrep\AstroGrep.exe" /spath="%USERPROFILE%\AppData\Local\Temp\OnboardLogs" /stypes="*4051*20160908*" /stext=" 07:.+((SYSTEM_STATE.+slice.+state.+changed )|(ment ac)|(system.+state.+changed )|(\|lc)|(penalty)|(\[timeout)|(PRM\|1\|D)|(kpr)|(kdp))" /e /r /s</v>
      </c>
      <c r="AG212" s="1" t="str">
        <f t="shared" si="83"/>
        <v>Other</v>
      </c>
      <c r="AH212" s="98" t="str">
        <f t="shared" si="71"/>
        <v>"%USERPROFILE%\Documents\GitHub\eaglep3\Utilities\RefineRTDCRunTimes.py" --tripid 311-07 --locoid 4051 --swversion DE.1.0.8.0.ENG1 --startMP 204:10635 --initTime 2016-09-08T00:50:23 --startdatetime 2016-09-08T00:54:19 --delay 2 --endMP 204:128064 --enddatetime 2016-09-08T01:17:40 --enforcementcount 0 &gt;&gt;C:\Users\stu\Documents\GitHub\eaglep3-reporting\EC\2016-09-07-refined-times.txt</v>
      </c>
      <c r="AI212" s="130" t="str">
        <f t="shared" si="72"/>
        <v>echo {"issue":{"subject":"","project_id":79,"tracker_id":40,"status_id":1,"priority_id":2,"assigned_to_id":23,"start_date":"2016-09-08","description":"","custom_fields":[{"id":1,"name":"Subdivision","value":"Other"},{"id":4,"name":"Milepost","value":"11.7429"},{"id":17,"name":"Train ID","value":"311-07"},{"id":16,"name":"Locomotive ID","value":"4051"},{"id":130,"name":"Impact","value":""},{"id":150,"name":"Time of Event (Mountain Time)","value":"01:17:40"},{"id":151,"name":"Denver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8" t="s">
        <v>567</v>
      </c>
      <c r="B213" s="7">
        <v>4052</v>
      </c>
      <c r="C213" s="23" t="s">
        <v>264</v>
      </c>
      <c r="D213" s="23" t="s">
        <v>648</v>
      </c>
      <c r="E213" s="15">
        <v>42621.055636574078</v>
      </c>
      <c r="F213" s="15">
        <v>42621.059814814813</v>
      </c>
      <c r="G213" s="7">
        <v>1</v>
      </c>
      <c r="H213" s="15" t="s">
        <v>332</v>
      </c>
      <c r="I213" s="15">
        <v>42621.073634259257</v>
      </c>
      <c r="J213" s="7">
        <v>0</v>
      </c>
      <c r="K213" s="115" t="str">
        <f t="shared" si="73"/>
        <v>4051/4052</v>
      </c>
      <c r="L213" s="23" t="b">
        <f>VLOOKUP(A213,'Trips&amp;Operators'!$C$1:$E$10000,3,FALSE)</f>
        <v>1</v>
      </c>
      <c r="M213" s="6">
        <f t="shared" si="74"/>
        <v>1.3819444444379769E-2</v>
      </c>
      <c r="N213" s="7">
        <f t="shared" si="69"/>
        <v>19.899999999906868</v>
      </c>
      <c r="O213" s="7"/>
      <c r="P213" s="7"/>
      <c r="Q213" s="24"/>
      <c r="R213" s="24"/>
      <c r="S213" s="36">
        <f t="shared" si="75"/>
        <v>0</v>
      </c>
      <c r="T213" s="51" t="str">
        <f t="shared" si="76"/>
        <v>NorthBound</v>
      </c>
      <c r="U213" s="17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https://search-rtdc-monitor-bjffxe2xuh6vdkpspy63sjmuny.us-east-1.es.amazonaws.com/_plugin/kibana/#/discover/Steve-Slow-Train-Analysis-(2080s-and-2083s)?_g=(refreshInterval:(display:Off,section:0,value:0),time:(from:'2016-09-08 00:20:07-0600',mode:absolute,to:'2016-09-08 02:46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4052%22')),sort:!(Time,asc))</v>
      </c>
      <c r="W213" s="177" t="str">
        <f t="shared" si="77"/>
        <v>N</v>
      </c>
      <c r="X213" s="177">
        <f t="shared" si="68"/>
        <v>2</v>
      </c>
      <c r="Y213" s="177">
        <f t="shared" si="78"/>
        <v>12.7797</v>
      </c>
      <c r="Z213" s="67">
        <f t="shared" si="70"/>
        <v>1.0325</v>
      </c>
      <c r="AA213" s="67">
        <f t="shared" si="79"/>
        <v>11.747199999999999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80"/>
        <v>0313-07</v>
      </c>
      <c r="AE213" s="97" t="str">
        <f t="shared" si="81"/>
        <v>aws s3 cp s3://rtdc.mdm.uploadarchive/RTDC4052/2016-09-08/ "%USERPROFILE%\AppData\Local\Temp\OnboardLogs"\RTDC4052\2016-09-08 --recursive &amp; "%USERPROFILE%\Documents\GitHub\mrs-test-scripts\Headless Mode &amp; Sideloading\WalkAndUnGZ.bat" "%USERPROFILE%\AppData\Local\Temp\OnboardLogs"\RTDC4052\2016-09-08 &amp; aws s3 cp s3://rtdc.mdm.uploadarchive/RTDC4052/2016-09-09/ "%USERPROFILE%\AppData\Local\Temp\OnboardLogs"\RTDC4052\2016-09-09 --recursive &amp; "%USERPROFILE%\Documents\GitHub\mrs-test-scripts\Headless Mode &amp; Sideloading\WalkAndUnGZ.bat" "%USERPROFILE%\AppData\Local\Temp\OnboardLogs"\RTDC4052\2016-09-09</v>
      </c>
      <c r="AF213" s="94" t="str">
        <f t="shared" si="82"/>
        <v>"C:\Program Files (x86)\AstroGrep\AstroGrep.exe" /spath="%USERPROFILE%\AppData\Local\Temp\OnboardLogs" /stypes="*4052*20160908*" /stext=" 07:.+((SYSTEM_STATE.+slice.+state.+changed )|(ment ac)|(system.+state.+changed )|(\|lc)|(penalty)|(\[timeout)|(PRM\|1\|D)|(kpr)|(kdp))" /e /r /s</v>
      </c>
      <c r="AG213" s="1" t="str">
        <f t="shared" si="83"/>
        <v>Other</v>
      </c>
      <c r="AH213" s="98" t="str">
        <f t="shared" si="71"/>
        <v>"%USERPROFILE%\Documents\GitHub\eaglep3\Utilities\RefineRTDCRunTimes.py" --tripid 313-07 --locoid 4052 --swversion DE.1.0.8.0.ENG1 --startMP 204:127797 --initTime 2016-09-08T01:20:07 --startdatetime 2016-09-08T01:26:08 --delay 1 --endMP 204:10325 --enddatetime 2016-09-08T01:46:02 --enforcementcount 0 &gt;&gt;C:\Users\stu\Documents\GitHub\eaglep3-reporting\EC\2016-09-07-refined-times.txt</v>
      </c>
      <c r="AI213" s="130" t="str">
        <f t="shared" si="72"/>
        <v>echo {"issue":{"subject":"","project_id":79,"tracker_id":40,"status_id":1,"priority_id":2,"assigned_to_id":23,"start_date":"2016-09-08","description":"","custom_fields":[{"id":1,"name":"Subdivision","value":"Other"},{"id":4,"name":"Milepost","value":"11.7472"},{"id":17,"name":"Train ID","value":"313-07"},{"id":16,"name":"Locomotive ID","value":"4052"},{"id":130,"name":"Impact","value":""},{"id":150,"name":"Time of Event (Mountain Time)","value":"01:46:02"},{"id":151,"name":"Denver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8" t="s">
        <v>567</v>
      </c>
      <c r="B214" s="7">
        <v>4052</v>
      </c>
      <c r="C214" s="23" t="s">
        <v>264</v>
      </c>
      <c r="D214" s="23" t="s">
        <v>649</v>
      </c>
      <c r="E214" s="15">
        <v>42621.100358796299</v>
      </c>
      <c r="F214" s="15">
        <v>42621.137638888889</v>
      </c>
      <c r="G214" s="7">
        <v>0</v>
      </c>
      <c r="H214" s="15" t="s">
        <v>650</v>
      </c>
      <c r="I214" s="15">
        <v>42621.151597222219</v>
      </c>
      <c r="J214" s="7">
        <v>0</v>
      </c>
      <c r="K214" s="115" t="str">
        <f t="shared" si="73"/>
        <v>4051/4052</v>
      </c>
      <c r="L214" s="23" t="b">
        <f>VLOOKUP(A214,'Trips&amp;Operators'!$C$1:$E$10000,3,FALSE)</f>
        <v>1</v>
      </c>
      <c r="M214" s="6">
        <f t="shared" si="74"/>
        <v>1.395833332935581E-2</v>
      </c>
      <c r="N214" s="7">
        <f t="shared" si="69"/>
        <v>20.099999994272366</v>
      </c>
      <c r="O214" s="7"/>
      <c r="P214" s="7"/>
      <c r="Q214" s="24"/>
      <c r="R214" s="24"/>
      <c r="S214" s="36">
        <f t="shared" si="75"/>
        <v>0</v>
      </c>
      <c r="T214" s="51" t="str">
        <f t="shared" si="76"/>
        <v>NorthBound</v>
      </c>
      <c r="U214" s="17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https://search-rtdc-monitor-bjffxe2xuh6vdkpspy63sjmuny.us-east-1.es.amazonaws.com/_plugin/kibana/#/discover/Steve-Slow-Train-Analysis-(2080s-and-2083s)?_g=(refreshInterval:(display:Off,section:0,value:0),time:(from:'2016-09-08 01:24:31-0600',mode:absolute,to:'2016-09-08 04:38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4052%22')),sort:!(Time,asc))</v>
      </c>
      <c r="W214" s="177" t="str">
        <f t="shared" si="77"/>
        <v>N</v>
      </c>
      <c r="X214" s="177">
        <f t="shared" si="68"/>
        <v>0</v>
      </c>
      <c r="Y214" s="177">
        <f t="shared" si="78"/>
        <v>12.7834</v>
      </c>
      <c r="Z214" s="67">
        <f t="shared" si="70"/>
        <v>1.0289999999999999</v>
      </c>
      <c r="AA214" s="67">
        <f t="shared" si="79"/>
        <v>11.7544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80"/>
        <v>0313-07</v>
      </c>
      <c r="AE214" s="97" t="str">
        <f t="shared" si="81"/>
        <v>aws s3 cp s3://rtdc.mdm.uploadarchive/RTDC4052/2016-09-08/ "%USERPROFILE%\AppData\Local\Temp\OnboardLogs"\RTDC4052\2016-09-08 --recursive &amp; "%USERPROFILE%\Documents\GitHub\mrs-test-scripts\Headless Mode &amp; Sideloading\WalkAndUnGZ.bat" "%USERPROFILE%\AppData\Local\Temp\OnboardLogs"\RTDC4052\2016-09-08 &amp; aws s3 cp s3://rtdc.mdm.uploadarchive/RTDC4052/2016-09-09/ "%USERPROFILE%\AppData\Local\Temp\OnboardLogs"\RTDC4052\2016-09-09 --recursive &amp; "%USERPROFILE%\Documents\GitHub\mrs-test-scripts\Headless Mode &amp; Sideloading\WalkAndUnGZ.bat" "%USERPROFILE%\AppData\Local\Temp\OnboardLogs"\RTDC4052\2016-09-09</v>
      </c>
      <c r="AF214" s="94" t="str">
        <f t="shared" si="82"/>
        <v>"C:\Program Files (x86)\AstroGrep\AstroGrep.exe" /spath="%USERPROFILE%\AppData\Local\Temp\OnboardLogs" /stypes="*4052*20160908*" /stext=" 09:.+((SYSTEM_STATE.+slice.+state.+changed )|(ment ac)|(system.+state.+changed )|(\|lc)|(penalty)|(\[timeout)|(PRM\|1\|D)|(kpr)|(kdp))" /e /r /s</v>
      </c>
      <c r="AG214" s="1" t="str">
        <f t="shared" si="83"/>
        <v>Other</v>
      </c>
      <c r="AH214" s="98" t="str">
        <f t="shared" si="71"/>
        <v>"%USERPROFILE%\Documents\GitHub\eaglep3\Utilities\RefineRTDCRunTimes.py" --tripid 313-07 --locoid 4052 --swversion DE.1.0.8.0.ENG1 --startMP 204:127834 --initTime 2016-09-08T02:24:31 --startdatetime 2016-09-08T03:18:12 --delay 0 --endMP 204:10290 --enddatetime 2016-09-08T03:38:18 --enforcementcount 0 &gt;&gt;C:\Users\stu\Documents\GitHub\eaglep3-reporting\EC\2016-09-07-refined-times.txt</v>
      </c>
      <c r="AI214" s="130" t="str">
        <f t="shared" si="72"/>
        <v>echo {"issue":{"subject":"","project_id":79,"tracker_id":40,"status_id":1,"priority_id":2,"assigned_to_id":23,"start_date":"2016-09-08","description":"","custom_fields":[{"id":1,"name":"Subdivision","value":"Other"},{"id":4,"name":"Milepost","value":"11.7544"},{"id":17,"name":"Train ID","value":"313-07"},{"id":16,"name":"Locomotive ID","value":"4052"},{"id":130,"name":"Impact","value":""},{"id":150,"name":"Time of Event (Mountain Time)","value":"03:38:18"},{"id":151,"name":"Denver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8" t="s">
        <v>298</v>
      </c>
      <c r="B215" s="7">
        <v>4042</v>
      </c>
      <c r="C215" s="23" t="s">
        <v>111</v>
      </c>
      <c r="D215" s="23" t="s">
        <v>131</v>
      </c>
      <c r="E215" s="15">
        <v>42620.091539351852</v>
      </c>
      <c r="F215" s="15">
        <v>42620.093124999999</v>
      </c>
      <c r="G215" s="7">
        <v>1</v>
      </c>
      <c r="H215" s="15" t="s">
        <v>328</v>
      </c>
      <c r="I215" s="15">
        <v>42620.10087962963</v>
      </c>
      <c r="J215" s="7">
        <v>0</v>
      </c>
      <c r="K215" s="115" t="str">
        <f t="shared" si="73"/>
        <v>4041/4042</v>
      </c>
      <c r="L215" s="23" t="str">
        <f>VLOOKUP(A215,'Trips&amp;Operators'!$C$1:$E$10000,3,FALSE)</f>
        <v>CHANDLER</v>
      </c>
      <c r="M215" s="6">
        <f t="shared" si="74"/>
        <v>7.7546296306536533E-3</v>
      </c>
      <c r="N215" s="7">
        <f t="shared" si="69"/>
        <v>11.166666668141261</v>
      </c>
      <c r="O215" s="7"/>
      <c r="P215" s="7"/>
      <c r="Q215" s="24"/>
      <c r="R215" s="24"/>
      <c r="S215" s="36">
        <f t="shared" si="75"/>
        <v>1</v>
      </c>
      <c r="T215" s="51" t="str">
        <f t="shared" si="76"/>
        <v>NorthBound</v>
      </c>
      <c r="U215" s="17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01:11:49-0600',mode:absolute,to:'2016-09-07 03:25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15" s="177" t="str">
        <f t="shared" si="77"/>
        <v>Y</v>
      </c>
      <c r="X215" s="177">
        <f t="shared" ref="X215:X234" si="85">VALUE(LEFT(AD215,4))-VALUE(LEFT(AD214,4))</f>
        <v>2</v>
      </c>
      <c r="Y215" s="177">
        <f t="shared" si="78"/>
        <v>4.53E-2</v>
      </c>
      <c r="Z215" s="67">
        <f t="shared" si="70"/>
        <v>2.2829000000000002</v>
      </c>
      <c r="AA215" s="67">
        <f t="shared" si="79"/>
        <v>2.2376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80"/>
        <v>0315-06</v>
      </c>
      <c r="AE215" s="97" t="str">
        <f t="shared" si="81"/>
        <v>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 &amp; aws s3 cp s3://rtdc.mdm.uploadarchive/RTDC4042/2016-09-08/ "%USERPROFILE%\AppData\Local\Temp\OnboardLogs"\RTDC4042\2016-09-08 --recursive &amp; "%USERPROFILE%\Documents\GitHub\mrs-test-scripts\Headless Mode &amp; Sideloading\WalkAndUnGZ.bat" "%USERPROFILE%\AppData\Local\Temp\OnboardLogs"\RTDC4042\2016-09-08</v>
      </c>
      <c r="AF215" s="94" t="str">
        <f t="shared" si="82"/>
        <v>"C:\Program Files (x86)\AstroGrep\AstroGrep.exe" /spath="%USERPROFILE%\AppData\Local\Temp\OnboardLogs" /stypes="*4042*20160907*" /stext=" 08:.+((SYSTEM_STATE.+slice.+state.+changed )|(ment ac)|(system.+state.+changed )|(\|lc)|(penalty)|(\[timeout)|(PRM\|1\|D)|(kpr)|(kdp))" /e /r /s</v>
      </c>
      <c r="AG215" s="1" t="str">
        <f t="shared" si="83"/>
        <v>Other</v>
      </c>
      <c r="AH215" s="98" t="str">
        <f t="shared" si="71"/>
        <v>"%USERPROFILE%\Documents\GitHub\eaglep3\Utilities\RefineRTDCRunTimes.py" --tripid 315-06 --locoid 4042 --swversion DE.1.0.7.0 --startMP 204:453 --initTime 2016-09-07T02:11:49 --startdatetime 2016-09-07T02:14:06 --delay 1 --endMP 300:22829 --enddatetime 2016-09-07T02:25:16 --enforcementcount 0 &gt;&gt;C:\Users\stu\Documents\GitHub\eaglep3-reporting\EC\2016-09-07-refined-times.txt</v>
      </c>
      <c r="AI215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{"issue":{"subject":"","project_id":79,"tracker_id":40,"status_id":1,"priority_id":2,"assigned_to_id":23,"start_date":"2016-09-07","description":"","custom_fields":[{"id":1,"name":"Subdivision","value":"Other"},{"id":4,"name":"Milepost","value":"2.2376"},{"id":17,"name":"Train ID","value":"315-06"},{"id":16,"name":"Locomotive ID","value":"4042"},{"id":130,"name":"Impact","value":""},{"id":150,"name":"Time of Event (Mountain Time)","value":"02:25:16"},{"id":151,"name":"Denver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8" t="s">
        <v>399</v>
      </c>
      <c r="B216" s="7">
        <v>4044</v>
      </c>
      <c r="C216" s="23" t="s">
        <v>111</v>
      </c>
      <c r="D216" s="23" t="s">
        <v>715</v>
      </c>
      <c r="E216" s="15">
        <v>42620.356192129628</v>
      </c>
      <c r="F216" s="15">
        <v>42620.358819444446</v>
      </c>
      <c r="G216" s="7">
        <v>1</v>
      </c>
      <c r="H216" s="15" t="s">
        <v>733</v>
      </c>
      <c r="I216" s="15">
        <v>42620.36613425926</v>
      </c>
      <c r="J216" s="7">
        <v>0</v>
      </c>
      <c r="K216" s="115" t="str">
        <f t="shared" si="73"/>
        <v>4043/4044</v>
      </c>
      <c r="L216" s="23" t="str">
        <f>VLOOKUP(A216,'Trips&amp;Operators'!$C$1:$E$10000,3,FALSE)</f>
        <v>STARKS</v>
      </c>
      <c r="M216" s="6">
        <f t="shared" si="74"/>
        <v>7.3148148148902692E-3</v>
      </c>
      <c r="N216" s="7">
        <f t="shared" ref="N216:N234" si="86">24*60*SUM($M216:$M216)</f>
        <v>10.533333333441988</v>
      </c>
      <c r="O216" s="7"/>
      <c r="P216" s="7"/>
      <c r="Q216" s="24"/>
      <c r="R216" s="24"/>
      <c r="S216" s="36">
        <f t="shared" si="75"/>
        <v>1</v>
      </c>
      <c r="T216" s="51" t="str">
        <f t="shared" si="76"/>
        <v>NorthBound</v>
      </c>
      <c r="U216" s="17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07:32:55-0600',mode:absolute,to:'2016-09-07 09:47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16" s="177" t="str">
        <f t="shared" si="77"/>
        <v>Y</v>
      </c>
      <c r="X216" s="177">
        <f t="shared" si="85"/>
        <v>588</v>
      </c>
      <c r="Y216" s="177">
        <f t="shared" si="78"/>
        <v>0.1002</v>
      </c>
      <c r="Z216" s="67">
        <f t="shared" si="70"/>
        <v>2.4232999999999998</v>
      </c>
      <c r="AA216" s="67">
        <f t="shared" si="79"/>
        <v>2.3230999999999997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80"/>
        <v>0903-07</v>
      </c>
      <c r="AE216" s="97" t="str">
        <f t="shared" si="81"/>
        <v>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 &amp; 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</v>
      </c>
      <c r="AF216" s="94" t="str">
        <f t="shared" si="82"/>
        <v>"C:\Program Files (x86)\AstroGrep\AstroGrep.exe" /spath="%USERPROFILE%\AppData\Local\Temp\OnboardLogs" /stypes="*4044*20160907*" /stext=" 14:.+((SYSTEM_STATE.+slice.+state.+changed )|(ment ac)|(system.+state.+changed )|(\|lc)|(penalty)|(\[timeout)|(PRM\|1\|D)|(kpr)|(kdp))" /e /r /s</v>
      </c>
      <c r="AG216" s="1" t="str">
        <f t="shared" si="83"/>
        <v>Other</v>
      </c>
      <c r="AH216" s="98" t="str">
        <f t="shared" si="71"/>
        <v>"%USERPROFILE%\Documents\GitHub\eaglep3\Utilities\RefineRTDCRunTimes.py" --tripid 903-07 --locoid 4044 --swversion DE.1.0.7.0 --startMP 204:1002 --initTime 2016-09-07T08:32:55 --startdatetime 2016-09-07T08:36:42 --delay 1 --endMP 300:24233 --enddatetime 2016-09-07T08:47:14 --enforcementcount 0 &gt;&gt;C:\Users\stu\Documents\GitHub\eaglep3-reporting\EC\2016-09-07-refined-times.txt</v>
      </c>
      <c r="AI216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{"issue":{"subject":"","project_id":79,"tracker_id":40,"status_id":1,"priority_id":2,"assigned_to_id":23,"start_date":"2016-09-07","description":"","custom_fields":[{"id":1,"name":"Subdivision","value":"Other"},{"id":4,"name":"Milepost","value":"2.3231"},{"id":17,"name":"Train ID","value":"903-07"},{"id":16,"name":"Locomotive ID","value":"4044"},{"id":130,"name":"Impact","value":""},{"id":150,"name":"Time of Event (Mountain Time)","value":"08:47:14"},{"id":151,"name":"Denver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8" t="s">
        <v>478</v>
      </c>
      <c r="B217" s="7">
        <v>4043</v>
      </c>
      <c r="C217" s="23" t="s">
        <v>111</v>
      </c>
      <c r="D217" s="23" t="s">
        <v>734</v>
      </c>
      <c r="E217" s="15">
        <v>42620.643055555556</v>
      </c>
      <c r="F217" s="15">
        <v>42620.644502314812</v>
      </c>
      <c r="G217" s="7">
        <v>1</v>
      </c>
      <c r="H217" s="15" t="s">
        <v>724</v>
      </c>
      <c r="I217" s="15">
        <v>42620.650729166664</v>
      </c>
      <c r="J217" s="7">
        <v>0</v>
      </c>
      <c r="K217" s="115" t="str">
        <f t="shared" si="73"/>
        <v>4043/4044</v>
      </c>
      <c r="L217" s="23" t="str">
        <f>VLOOKUP(A217,'Trips&amp;Operators'!$C$1:$E$10000,3,FALSE)</f>
        <v>LEVERE</v>
      </c>
      <c r="M217" s="6">
        <f t="shared" si="74"/>
        <v>6.2268518522614613E-3</v>
      </c>
      <c r="N217" s="7">
        <f t="shared" si="86"/>
        <v>8.9666666672565043</v>
      </c>
      <c r="O217" s="7"/>
      <c r="P217" s="7"/>
      <c r="Q217" s="24"/>
      <c r="R217" s="24"/>
      <c r="S217" s="36">
        <f t="shared" si="75"/>
        <v>1</v>
      </c>
      <c r="T217" s="51" t="str">
        <f t="shared" si="76"/>
        <v>Southbound</v>
      </c>
      <c r="U217" s="17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14:26:00-0600',mode:absolute,to:'2016-09-07 16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217" s="177" t="str">
        <f t="shared" si="77"/>
        <v>Y</v>
      </c>
      <c r="X217" s="177">
        <f t="shared" si="85"/>
        <v>1</v>
      </c>
      <c r="Y217" s="177">
        <f t="shared" si="78"/>
        <v>2.4270999999999998</v>
      </c>
      <c r="Z217" s="67">
        <f t="shared" si="70"/>
        <v>6.8500000000000005E-2</v>
      </c>
      <c r="AA217" s="67">
        <f t="shared" si="79"/>
        <v>2.3586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80"/>
        <v>0904-07</v>
      </c>
      <c r="AE217" s="97" t="str">
        <f t="shared" si="81"/>
        <v>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 &amp; 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</v>
      </c>
      <c r="AF217" s="94" t="str">
        <f t="shared" si="82"/>
        <v>"C:\Program Files (x86)\AstroGrep\AstroGrep.exe" /spath="%USERPROFILE%\AppData\Local\Temp\OnboardLogs" /stypes="*4043*20160907*" /stext=" 21:.+((SYSTEM_STATE.+slice.+state.+changed )|(ment ac)|(system.+state.+changed )|(\|lc)|(penalty)|(\[timeout)|(PRM\|1\|D)|(kpr)|(kdp))" /e /r /s</v>
      </c>
      <c r="AG217" s="1" t="str">
        <f t="shared" si="83"/>
        <v>Other</v>
      </c>
      <c r="AH217" s="98" t="str">
        <f t="shared" si="71"/>
        <v>"%USERPROFILE%\Documents\GitHub\eaglep3\Utilities\RefineRTDCRunTimes.py" --tripid 904-07 --locoid 4043 --swversion DE.1.0.7.0 --startMP 300:24271 --initTime 2016-09-07T15:26:00 --startdatetime 2016-09-07T15:28:05 --delay 1 --endMP 204:685 --enddatetime 2016-09-07T15:37:03 --enforcementcount 0 &gt;&gt;C:\Users\stu\Documents\GitHub\eaglep3-reporting\EC\2016-09-07-refined-times.txt</v>
      </c>
      <c r="AI217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{"issue":{"subject":"","project_id":79,"tracker_id":40,"status_id":1,"priority_id":2,"assigned_to_id":23,"start_date":"2016-09-07","description":"","custom_fields":[{"id":1,"name":"Subdivision","value":"Other"},{"id":4,"name":"Milepost","value":"2.3586"},{"id":17,"name":"Train ID","value":"904-07"},{"id":16,"name":"Locomotive ID","value":"4043"},{"id":130,"name":"Impact","value":""},{"id":150,"name":"Time of Event (Mountain Time)","value":"15:37:03"},{"id":151,"name":"Denver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8" t="s">
        <v>529</v>
      </c>
      <c r="B218" s="7">
        <v>4043</v>
      </c>
      <c r="C218" s="23" t="s">
        <v>111</v>
      </c>
      <c r="D218" s="23" t="s">
        <v>727</v>
      </c>
      <c r="E218" s="15">
        <v>42620.797754629632</v>
      </c>
      <c r="F218" s="15">
        <v>25568.958333333332</v>
      </c>
      <c r="G218" s="7">
        <v>1</v>
      </c>
      <c r="H218" s="15" t="s">
        <v>735</v>
      </c>
      <c r="I218" s="15">
        <v>25568.958333333332</v>
      </c>
      <c r="J218" s="7">
        <v>0</v>
      </c>
      <c r="K218" s="115" t="str">
        <f t="shared" si="73"/>
        <v>4043/4044</v>
      </c>
      <c r="L218" s="23" t="str">
        <f>VLOOKUP(A218,'Trips&amp;Operators'!$C$1:$E$10000,3,FALSE)</f>
        <v>LEVERE</v>
      </c>
      <c r="M218" s="6">
        <f t="shared" si="74"/>
        <v>0</v>
      </c>
      <c r="N218" s="7">
        <f t="shared" si="86"/>
        <v>0</v>
      </c>
      <c r="O218" s="7"/>
      <c r="P218" s="7"/>
      <c r="Q218" s="24"/>
      <c r="R218" s="24"/>
      <c r="S218" s="36">
        <f t="shared" si="75"/>
        <v>0</v>
      </c>
      <c r="T218" s="51" t="str">
        <f t="shared" si="76"/>
        <v>Southbound</v>
      </c>
      <c r="U218" s="17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18:08:46-0600',mode:absolute,to:'1970-01-01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218" s="177" t="str">
        <f t="shared" si="77"/>
        <v>Y</v>
      </c>
      <c r="X218" s="177">
        <f t="shared" si="85"/>
        <v>2</v>
      </c>
      <c r="Y218" s="177">
        <f t="shared" si="78"/>
        <v>5.8643000000000001</v>
      </c>
      <c r="Z218" s="67">
        <f t="shared" si="70"/>
        <v>2.8778000000000001</v>
      </c>
      <c r="AA218" s="67">
        <f t="shared" si="79"/>
        <v>2.9864999999999999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80"/>
        <v>0906-07</v>
      </c>
      <c r="AE218" s="97" t="str">
        <f t="shared" si="81"/>
        <v>aws s3 cp s3://rtdc.mdm.uploadarchive/RTDC4043/1969-12-31/ "%USERPROFILE%\AppData\Local\Temp\OnboardLogs"\RTDC4043\1969-12-31 --recursive &amp; "%USERPROFILE%\Documents\GitHub\mrs-test-scripts\Headless Mode &amp; Sideloading\WalkAndUnGZ.bat" "%USERPROFILE%\AppData\Local\Temp\OnboardLogs"\RTDC4043\1969-12-31 &amp; aws s3 cp s3://rtdc.mdm.uploadarchive/RTDC4043/1970-01-01/ "%USERPROFILE%\AppData\Local\Temp\OnboardLogs"\RTDC4043\1970-01-01 --recursive &amp; "%USERPROFILE%\Documents\GitHub\mrs-test-scripts\Headless Mode &amp; Sideloading\WalkAndUnGZ.bat" "%USERPROFILE%\AppData\Local\Temp\OnboardLogs"\RTDC4043\1970-01-01</v>
      </c>
      <c r="AF218" s="94" t="str">
        <f t="shared" si="82"/>
        <v>"C:\Program Files (x86)\AstroGrep\AstroGrep.exe" /spath="%USERPROFILE%\AppData\Local\Temp\OnboardLogs" /stypes="*4043*19700101*" /stext=" 05:.+((SYSTEM_STATE.+slice.+state.+changed )|(ment ac)|(system.+state.+changed )|(\|lc)|(penalty)|(\[timeout)|(PRM\|1\|D)|(kpr)|(kdp))" /e /r /s</v>
      </c>
      <c r="AG218" s="1" t="str">
        <f t="shared" si="83"/>
        <v>Other</v>
      </c>
      <c r="AH218" s="98" t="str">
        <f t="shared" si="71"/>
        <v>"%USERPROFILE%\Documents\GitHub\eaglep3\Utilities\RefineRTDCRunTimes.py" --tripid 906-07 --locoid 4043 --swversion DE.1.0.7.0 --startMP 300:58643 --initTime 2016-09-07T19:08:46 --startdatetime 1969-12-31T23:00:00 --delay 1 --endMP 300:28778 --enddatetime 1969-12-31T23:00:00 --enforcementcount 0 &gt;&gt;C:\Users\stu\Documents\GitHub\eaglep3-reporting\EC\2016-09-07-refined-times.txt</v>
      </c>
      <c r="AI218" s="130" t="str">
        <f t="shared" si="72"/>
        <v>echo {"issue":{"subject":"","project_id":79,"tracker_id":40,"status_id":1,"priority_id":2,"assigned_to_id":23,"start_date":"1969-12-31","description":"","custom_fields":[{"id":1,"name":"Subdivision","value":"Other"},{"id":4,"name":"Milepost","value":"2.9865"},{"id":17,"name":"Train ID","value":"906-07"},{"id":16,"name":"Locomotive ID","value":"4043"},{"id":130,"name":"Impact","value":""},{"id":150,"name":"Time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8" t="s">
        <v>554</v>
      </c>
      <c r="B219" s="7">
        <v>4030</v>
      </c>
      <c r="C219" s="23" t="s">
        <v>111</v>
      </c>
      <c r="D219" s="23" t="s">
        <v>343</v>
      </c>
      <c r="E219" s="15">
        <v>42620.943703703706</v>
      </c>
      <c r="F219" s="15">
        <v>42620.94604166667</v>
      </c>
      <c r="G219" s="7">
        <v>1</v>
      </c>
      <c r="H219" s="15" t="s">
        <v>736</v>
      </c>
      <c r="I219" s="15">
        <v>42620.952719907407</v>
      </c>
      <c r="J219" s="7">
        <v>0</v>
      </c>
      <c r="K219" s="115" t="str">
        <f t="shared" si="73"/>
        <v>4029/4030</v>
      </c>
      <c r="L219" s="23" t="str">
        <f>VLOOKUP(A219,'Trips&amp;Operators'!$C$1:$E$10000,3,FALSE)</f>
        <v>LEVERE</v>
      </c>
      <c r="M219" s="6">
        <f t="shared" si="74"/>
        <v>6.6782407375285402E-3</v>
      </c>
      <c r="N219" s="7">
        <f t="shared" si="86"/>
        <v>9.6166666620410979</v>
      </c>
      <c r="O219" s="7"/>
      <c r="P219" s="7"/>
      <c r="Q219" s="24"/>
      <c r="R219" s="24"/>
      <c r="S219" s="36">
        <f t="shared" si="75"/>
        <v>0</v>
      </c>
      <c r="T219" s="51" t="str">
        <f t="shared" si="76"/>
        <v>Southbound</v>
      </c>
      <c r="U219" s="17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21:38:56-0600',mode:absolute,to:'2016-09-07 23:51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219" s="177" t="str">
        <f t="shared" si="77"/>
        <v>Y</v>
      </c>
      <c r="X219" s="177">
        <f t="shared" si="85"/>
        <v>2</v>
      </c>
      <c r="Y219" s="177">
        <f t="shared" si="78"/>
        <v>5.8638000000000003</v>
      </c>
      <c r="Z219" s="67">
        <f t="shared" si="70"/>
        <v>2.1858</v>
      </c>
      <c r="AA219" s="67">
        <f t="shared" si="79"/>
        <v>3.6780000000000004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 t="shared" si="80"/>
        <v>0908-07</v>
      </c>
      <c r="AE219" s="97" t="str">
        <f t="shared" si="81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219" s="94" t="str">
        <f t="shared" si="82"/>
        <v>"C:\Program Files (x86)\AstroGrep\AstroGrep.exe" /spath="%USERPROFILE%\AppData\Local\Temp\OnboardLogs" /stypes="*4030*20160908*" /stext=" 04:.+((SYSTEM_STATE.+slice.+state.+changed )|(ment ac)|(system.+state.+changed )|(\|lc)|(penalty)|(\[timeout)|(PRM\|1\|D)|(kpr)|(kdp))" /e /r /s</v>
      </c>
      <c r="AG219" s="1" t="str">
        <f t="shared" si="83"/>
        <v>Other</v>
      </c>
      <c r="AH219" s="98" t="str">
        <f t="shared" si="71"/>
        <v>"%USERPROFILE%\Documents\GitHub\eaglep3\Utilities\RefineRTDCRunTimes.py" --tripid 908-07 --locoid 4030 --swversion DE.1.0.7.0 --startMP 300:58638 --initTime 2016-09-07T22:38:56 --startdatetime 2016-09-07T22:42:18 --delay 1 --endMP 300:21858 --enddatetime 2016-09-07T22:51:55 --enforcementcount 0 &gt;&gt;C:\Users\stu\Documents\GitHub\eaglep3-reporting\EC\2016-09-07-refined-times.txt</v>
      </c>
      <c r="AI219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{"issue":{"subject":"","project_id":79,"tracker_id":40,"status_id":1,"priority_id":2,"assigned_to_id":23,"start_date":"2016-09-07","description":"","custom_fields":[{"id":1,"name":"Subdivision","value":"Other"},{"id":4,"name":"Milepost","value":"3.678"},{"id":17,"name":"Train ID","value":"908-07"},{"id":16,"name":"Locomotive ID","value":"4030"},{"id":130,"name":"Impact","value":""},{"id":150,"name":"Time of Event (Mountain Time)","value":"22:51:55"},{"id":151,"name":"Denver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8" t="s">
        <v>504</v>
      </c>
      <c r="B220" s="7">
        <v>4041</v>
      </c>
      <c r="C220" s="23" t="s">
        <v>111</v>
      </c>
      <c r="D220" s="23" t="s">
        <v>651</v>
      </c>
      <c r="E220" s="15">
        <v>42620.722233796296</v>
      </c>
      <c r="F220" s="15">
        <v>42620.724803240744</v>
      </c>
      <c r="G220" s="7">
        <v>3</v>
      </c>
      <c r="H220" s="15" t="s">
        <v>652</v>
      </c>
      <c r="I220" s="15">
        <v>42620.733217592591</v>
      </c>
      <c r="J220" s="7">
        <v>0</v>
      </c>
      <c r="K220" s="115" t="str">
        <f t="shared" si="73"/>
        <v>4041/4042</v>
      </c>
      <c r="L220" s="23" t="str">
        <f>VLOOKUP(A220,'Trips&amp;Operators'!$C$1:$E$10000,3,FALSE)</f>
        <v>CUSHING</v>
      </c>
      <c r="M220" s="6">
        <f t="shared" si="74"/>
        <v>8.4143518470227718E-3</v>
      </c>
      <c r="N220" s="7">
        <f t="shared" si="86"/>
        <v>12.116666659712791</v>
      </c>
      <c r="O220" s="7"/>
      <c r="P220" s="7"/>
      <c r="Q220" s="24"/>
      <c r="R220" s="24"/>
      <c r="S220" s="36">
        <f t="shared" si="75"/>
        <v>0</v>
      </c>
      <c r="T220" s="51" t="e">
        <f t="shared" si="76"/>
        <v>#VALUE!</v>
      </c>
      <c r="U220" s="17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16:20:01-0600',mode:absolute,to:'2016-09-07 18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20" s="177" t="str">
        <f t="shared" si="77"/>
        <v>Y</v>
      </c>
      <c r="X220" s="177" t="e">
        <f t="shared" si="85"/>
        <v>#VALUE!</v>
      </c>
      <c r="Y220" s="177">
        <f t="shared" si="78"/>
        <v>2.3089</v>
      </c>
      <c r="Z220" s="67">
        <f t="shared" si="70"/>
        <v>0.09</v>
      </c>
      <c r="AA220" s="67">
        <f t="shared" si="79"/>
        <v>2.2189000000000001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 t="shared" si="80"/>
        <v>52-07</v>
      </c>
      <c r="AE220" s="97" t="str">
        <f t="shared" si="81"/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AF220" s="94" t="str">
        <f t="shared" si="82"/>
        <v>"C:\Program Files (x86)\AstroGrep\AstroGrep.exe" /spath="%USERPROFILE%\AppData\Local\Temp\OnboardLogs" /stypes="*4041*20160907*" /stext=" 23:.+((SYSTEM_STATE.+slice.+state.+changed )|(ment ac)|(system.+state.+changed )|(\|lc)|(penalty)|(\[timeout)|(PRM\|1\|D)|(kpr)|(kdp))" /e /r /s</v>
      </c>
      <c r="AG220" s="1" t="str">
        <f t="shared" si="83"/>
        <v>Other</v>
      </c>
      <c r="AH220" s="98" t="str">
        <f t="shared" si="71"/>
        <v>"%USERPROFILE%\Documents\GitHub\eaglep3\Utilities\RefineRTDCRunTimes.py" --tripid 52-07 --locoid 4041 --swversion DE.1.0.7.0 --startMP 300:23089 --initTime 2016-09-07T17:20:01 --startdatetime 2016-09-07T17:23:43 --delay 3 --endMP 204:900 --enddatetime 2016-09-07T17:35:50 --enforcementcount 0 &gt;&gt;C:\Users\stu\Documents\GitHub\eaglep3-reporting\EC\2016-09-07-refined-times.txt</v>
      </c>
      <c r="AI220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{"issue":{"subject":"","project_id":79,"tracker_id":40,"status_id":1,"priority_id":2,"assigned_to_id":23,"start_date":"2016-09-07","description":"","custom_fields":[{"id":1,"name":"Subdivision","value":"Other"},{"id":4,"name":"Milepost","value":"2.2189"},{"id":17,"name":"Train ID","value":"52-07"},{"id":16,"name":"Locomotive ID","value":"4041"},{"id":130,"name":"Impact","value":""},{"id":150,"name":"Time of Event (Mountain Time)","value":"17:35:50"},{"id":151,"name":"Denver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8" t="s">
        <v>422</v>
      </c>
      <c r="B221" s="7">
        <v>4041</v>
      </c>
      <c r="C221" s="23" t="s">
        <v>111</v>
      </c>
      <c r="D221" s="23" t="s">
        <v>653</v>
      </c>
      <c r="E221" s="15">
        <v>42620.608414351853</v>
      </c>
      <c r="F221" s="15">
        <v>42620.613807870373</v>
      </c>
      <c r="G221" s="7">
        <v>1</v>
      </c>
      <c r="H221" s="15" t="s">
        <v>654</v>
      </c>
      <c r="I221" s="15">
        <v>42620.615833333337</v>
      </c>
      <c r="J221" s="7">
        <v>0</v>
      </c>
      <c r="K221" s="115" t="str">
        <f t="shared" si="73"/>
        <v>4041/4042</v>
      </c>
      <c r="L221" s="23" t="str">
        <f>VLOOKUP(A221,'Trips&amp;Operators'!$C$1:$E$10000,3,FALSE)</f>
        <v>ARNOLD</v>
      </c>
      <c r="M221" s="6">
        <f t="shared" si="74"/>
        <v>2.0254629635019228E-3</v>
      </c>
      <c r="N221" s="7">
        <f t="shared" si="86"/>
        <v>2.9166666674427688</v>
      </c>
      <c r="O221" s="7"/>
      <c r="P221" s="7"/>
      <c r="Q221" s="24"/>
      <c r="R221" s="24"/>
      <c r="S221" s="36">
        <f t="shared" si="75"/>
        <v>0</v>
      </c>
      <c r="T221" s="51" t="e">
        <f t="shared" si="76"/>
        <v>#VALUE!</v>
      </c>
      <c r="U221" s="17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13:36:07-0600',mode:absolute,to:'2016-09-07 15:46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21" s="177" t="str">
        <f t="shared" si="77"/>
        <v>Y</v>
      </c>
      <c r="X221" s="177" t="e">
        <f t="shared" si="85"/>
        <v>#VALUE!</v>
      </c>
      <c r="Y221" s="177">
        <f t="shared" si="78"/>
        <v>3.0813000000000001</v>
      </c>
      <c r="Z221" s="67">
        <f t="shared" si="70"/>
        <v>2.1795</v>
      </c>
      <c r="AA221" s="67">
        <f t="shared" si="79"/>
        <v>0.90180000000000016</v>
      </c>
      <c r="AB221" s="64" t="e">
        <f>VLOOKUP(A221,Enforcements!$C$7:$K$21,8,0)</f>
        <v>#N/A</v>
      </c>
      <c r="AC221" s="60" t="e">
        <f>VLOOKUP(A221,Enforcements!$C$7:$E$21,3,0)</f>
        <v>#N/A</v>
      </c>
      <c r="AD221" s="61" t="str">
        <f t="shared" si="80"/>
        <v>54-07</v>
      </c>
      <c r="AE221" s="97" t="str">
        <f t="shared" si="81"/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AF221" s="94" t="str">
        <f t="shared" si="82"/>
        <v>"C:\Program Files (x86)\AstroGrep\AstroGrep.exe" /spath="%USERPROFILE%\AppData\Local\Temp\OnboardLogs" /stypes="*4041*20160907*" /stext=" 20:.+((SYSTEM_STATE.+slice.+state.+changed )|(ment ac)|(system.+state.+changed )|(\|lc)|(penalty)|(\[timeout)|(PRM\|1\|D)|(kpr)|(kdp))" /e /r /s</v>
      </c>
      <c r="AG221" s="1" t="str">
        <f t="shared" si="83"/>
        <v>Other</v>
      </c>
      <c r="AH221" s="98" t="str">
        <f t="shared" si="71"/>
        <v>"%USERPROFILE%\Documents\GitHub\eaglep3\Utilities\RefineRTDCRunTimes.py" --tripid 54-07 --locoid 4041 --swversion DE.1.0.7.0 --startMP 300:30813 --initTime 2016-09-07T14:36:07 --startdatetime 2016-09-07T14:43:53 --delay 1 --endMP 300:21795 --enddatetime 2016-09-07T14:46:48 --enforcementcount 0 &gt;&gt;C:\Users\stu\Documents\GitHub\eaglep3-reporting\EC\2016-09-07-refined-times.txt</v>
      </c>
      <c r="AI221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{"issue":{"subject":"","project_id":79,"tracker_id":40,"status_id":1,"priority_id":2,"assigned_to_id":23,"start_date":"2016-09-07","description":"","custom_fields":[{"id":1,"name":"Subdivision","value":"Other"},{"id":4,"name":"Milepost","value":"0.9018"},{"id":17,"name":"Train ID","value":"54-07"},{"id":16,"name":"Locomotive ID","value":"4041"},{"id":130,"name":"Impact","value":""},{"id":150,"name":"Time of Event (Mountain Time)","value":"14:46:48"},{"id":151,"name":"Denver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8" t="s">
        <v>422</v>
      </c>
      <c r="B222" s="7">
        <v>4041</v>
      </c>
      <c r="C222" s="23" t="s">
        <v>111</v>
      </c>
      <c r="D222" s="23" t="s">
        <v>655</v>
      </c>
      <c r="E222" s="15">
        <v>42620.532673611109</v>
      </c>
      <c r="F222" s="15">
        <v>42620.534687500003</v>
      </c>
      <c r="G222" s="7">
        <v>2</v>
      </c>
      <c r="H222" s="15" t="s">
        <v>656</v>
      </c>
      <c r="I222" s="15">
        <v>42620.53597222222</v>
      </c>
      <c r="J222" s="7">
        <v>0</v>
      </c>
      <c r="K222" s="115" t="str">
        <f t="shared" si="73"/>
        <v>4041/4042</v>
      </c>
      <c r="L222" s="23" t="str">
        <f>VLOOKUP(A222,'Trips&amp;Operators'!$C$1:$E$10000,3,FALSE)</f>
        <v>ARNOLD</v>
      </c>
      <c r="M222" s="6">
        <f t="shared" si="74"/>
        <v>1.2847222169511952E-3</v>
      </c>
      <c r="N222" s="7">
        <f t="shared" si="86"/>
        <v>1.849999992409721</v>
      </c>
      <c r="O222" s="7"/>
      <c r="P222" s="7"/>
      <c r="Q222" s="24"/>
      <c r="R222" s="24"/>
      <c r="S222" s="36">
        <f t="shared" si="75"/>
        <v>0</v>
      </c>
      <c r="T222" s="51" t="e">
        <f t="shared" si="76"/>
        <v>#VALUE!</v>
      </c>
      <c r="U222" s="17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11:47:03-0600',mode:absolute,to:'2016-09-07 13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22" s="177" t="str">
        <f t="shared" si="77"/>
        <v>Y</v>
      </c>
      <c r="X222" s="177" t="e">
        <f t="shared" si="85"/>
        <v>#VALUE!</v>
      </c>
      <c r="Y222" s="177">
        <f t="shared" si="78"/>
        <v>3.1076000000000001</v>
      </c>
      <c r="Z222" s="67">
        <f t="shared" si="70"/>
        <v>2.4683999999999999</v>
      </c>
      <c r="AA222" s="67">
        <f t="shared" si="79"/>
        <v>0.63920000000000021</v>
      </c>
      <c r="AB222" s="64" t="e">
        <f>VLOOKUP(A222,Enforcements!$C$7:$K$21,8,0)</f>
        <v>#N/A</v>
      </c>
      <c r="AC222" s="60" t="e">
        <f>VLOOKUP(A222,Enforcements!$C$7:$E$21,3,0)</f>
        <v>#N/A</v>
      </c>
      <c r="AD222" s="61" t="str">
        <f t="shared" si="80"/>
        <v>54-07</v>
      </c>
      <c r="AE222" s="97" t="str">
        <f t="shared" si="81"/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AF222" s="94" t="str">
        <f t="shared" si="82"/>
        <v>"C:\Program Files (x86)\AstroGrep\AstroGrep.exe" /spath="%USERPROFILE%\AppData\Local\Temp\OnboardLogs" /stypes="*4041*20160907*" /stext=" 18:.+((SYSTEM_STATE.+slice.+state.+changed )|(ment ac)|(system.+state.+changed )|(\|lc)|(penalty)|(\[timeout)|(PRM\|1\|D)|(kpr)|(kdp))" /e /r /s</v>
      </c>
      <c r="AG222" s="1" t="str">
        <f t="shared" si="83"/>
        <v>Other</v>
      </c>
      <c r="AH222" s="98" t="str">
        <f t="shared" si="71"/>
        <v>"%USERPROFILE%\Documents\GitHub\eaglep3\Utilities\RefineRTDCRunTimes.py" --tripid 54-07 --locoid 4041 --swversion DE.1.0.7.0 --startMP 300:31076 --initTime 2016-09-07T12:47:03 --startdatetime 2016-09-07T12:49:57 --delay 2 --endMP 300:24684 --enddatetime 2016-09-07T12:51:48 --enforcementcount 0 &gt;&gt;C:\Users\stu\Documents\GitHub\eaglep3-reporting\EC\2016-09-07-refined-times.txt</v>
      </c>
      <c r="AI222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{"issue":{"subject":"","project_id":79,"tracker_id":40,"status_id":1,"priority_id":2,"assigned_to_id":23,"start_date":"2016-09-07","description":"","custom_fields":[{"id":1,"name":"Subdivision","value":"Other"},{"id":4,"name":"Milepost","value":"0.6392"},{"id":17,"name":"Train ID","value":"54-07"},{"id":16,"name":"Locomotive ID","value":"4041"},{"id":130,"name":"Impact","value":""},{"id":150,"name":"Time of Event (Mountain Time)","value":"12:51:48"},{"id":151,"name":"Denver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8" t="s">
        <v>422</v>
      </c>
      <c r="B223" s="7">
        <v>4041</v>
      </c>
      <c r="C223" s="23" t="s">
        <v>111</v>
      </c>
      <c r="D223" s="23" t="s">
        <v>657</v>
      </c>
      <c r="E223" s="15">
        <v>42620.509155092594</v>
      </c>
      <c r="F223" s="15">
        <v>42620.534687500003</v>
      </c>
      <c r="G223" s="7">
        <v>1</v>
      </c>
      <c r="H223" s="15" t="s">
        <v>134</v>
      </c>
      <c r="I223" s="15">
        <v>42620.53597222222</v>
      </c>
      <c r="J223" s="7">
        <v>0</v>
      </c>
      <c r="K223" s="115" t="str">
        <f t="shared" si="73"/>
        <v>4041/4042</v>
      </c>
      <c r="L223" s="23" t="str">
        <f>VLOOKUP(A223,'Trips&amp;Operators'!$C$1:$E$10000,3,FALSE)</f>
        <v>ARNOLD</v>
      </c>
      <c r="M223" s="6">
        <f t="shared" si="74"/>
        <v>1.2847222169511952E-3</v>
      </c>
      <c r="N223" s="7">
        <f t="shared" si="86"/>
        <v>1.849999992409721</v>
      </c>
      <c r="O223" s="7"/>
      <c r="P223" s="7"/>
      <c r="Q223" s="24"/>
      <c r="R223" s="24"/>
      <c r="S223" s="36">
        <f t="shared" si="75"/>
        <v>0</v>
      </c>
      <c r="T223" s="51" t="e">
        <f t="shared" si="76"/>
        <v>#VALUE!</v>
      </c>
      <c r="U223" s="17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11:13:11-0600',mode:absolute,to:'2016-09-07 13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23" s="177" t="str">
        <f t="shared" si="77"/>
        <v>Y</v>
      </c>
      <c r="X223" s="177" t="e">
        <f t="shared" si="85"/>
        <v>#VALUE!</v>
      </c>
      <c r="Y223" s="177">
        <f t="shared" si="78"/>
        <v>3.1360999999999999</v>
      </c>
      <c r="Z223" s="67">
        <f t="shared" si="70"/>
        <v>1.49E-2</v>
      </c>
      <c r="AA223" s="67">
        <f t="shared" si="79"/>
        <v>3.1212</v>
      </c>
      <c r="AB223" s="64" t="e">
        <f>VLOOKUP(A223,Enforcements!$C$7:$K$21,8,0)</f>
        <v>#N/A</v>
      </c>
      <c r="AC223" s="60" t="e">
        <f>VLOOKUP(A223,Enforcements!$C$7:$E$21,3,0)</f>
        <v>#N/A</v>
      </c>
      <c r="AD223" s="61" t="str">
        <f t="shared" si="80"/>
        <v>54-07</v>
      </c>
      <c r="AE223" s="97" t="str">
        <f t="shared" si="81"/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AF223" s="94" t="str">
        <f t="shared" si="82"/>
        <v>"C:\Program Files (x86)\AstroGrep\AstroGrep.exe" /spath="%USERPROFILE%\AppData\Local\Temp\OnboardLogs" /stypes="*4041*20160907*" /stext=" 18:.+((SYSTEM_STATE.+slice.+state.+changed )|(ment ac)|(system.+state.+changed )|(\|lc)|(penalty)|(\[timeout)|(PRM\|1\|D)|(kpr)|(kdp))" /e /r /s</v>
      </c>
      <c r="AG223" s="1" t="str">
        <f t="shared" si="83"/>
        <v>Other</v>
      </c>
      <c r="AH223" s="98" t="str">
        <f t="shared" si="71"/>
        <v>"%USERPROFILE%\Documents\GitHub\eaglep3\Utilities\RefineRTDCRunTimes.py" --tripid 54-07 --locoid 4041 --swversion DE.1.0.7.0 --startMP 300:31361 --initTime 2016-09-07T12:13:11 --startdatetime 2016-09-07T12:49:57 --delay 1 --endMP 204:149 --enddatetime 2016-09-07T12:51:48 --enforcementcount 0 &gt;&gt;C:\Users\stu\Documents\GitHub\eaglep3-reporting\EC\2016-09-07-refined-times.txt</v>
      </c>
      <c r="AI223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{"issue":{"subject":"","project_id":79,"tracker_id":40,"status_id":1,"priority_id":2,"assigned_to_id":23,"start_date":"2016-09-07","description":"","custom_fields":[{"id":1,"name":"Subdivision","value":"Other"},{"id":4,"name":"Milepost","value":"3.1212"},{"id":17,"name":"Train ID","value":"54-07"},{"id":16,"name":"Locomotive ID","value":"4041"},{"id":130,"name":"Impact","value":""},{"id":150,"name":"Time of Event (Mountain Time)","value":"12:51:48"},{"id":151,"name":"Denver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8" t="s">
        <v>422</v>
      </c>
      <c r="B224" s="7">
        <v>4042</v>
      </c>
      <c r="C224" s="23" t="s">
        <v>111</v>
      </c>
      <c r="D224" s="23" t="s">
        <v>658</v>
      </c>
      <c r="E224" s="15">
        <v>42620.494259259256</v>
      </c>
      <c r="F224" s="15">
        <v>42620.523761574077</v>
      </c>
      <c r="G224" s="7">
        <v>1</v>
      </c>
      <c r="H224" s="15" t="s">
        <v>659</v>
      </c>
      <c r="I224" s="15">
        <v>42620.52915509259</v>
      </c>
      <c r="J224" s="7">
        <v>0</v>
      </c>
      <c r="K224" s="115" t="str">
        <f t="shared" si="73"/>
        <v>4041/4042</v>
      </c>
      <c r="L224" s="23" t="str">
        <f>VLOOKUP(A224,'Trips&amp;Operators'!$C$1:$E$10000,3,FALSE)</f>
        <v>ARNOLD</v>
      </c>
      <c r="M224" s="6">
        <f t="shared" si="74"/>
        <v>5.3935185133013874E-3</v>
      </c>
      <c r="N224" s="7">
        <f t="shared" si="86"/>
        <v>7.7666666591539979</v>
      </c>
      <c r="O224" s="7"/>
      <c r="P224" s="7"/>
      <c r="Q224" s="24"/>
      <c r="R224" s="24"/>
      <c r="S224" s="36">
        <f t="shared" si="75"/>
        <v>0</v>
      </c>
      <c r="T224" s="51" t="e">
        <f t="shared" si="76"/>
        <v>#VALUE!</v>
      </c>
      <c r="U224" s="17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10:51:44-0600',mode:absolute,to:'2016-09-07 13:41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24" s="177" t="str">
        <f t="shared" si="77"/>
        <v>Y</v>
      </c>
      <c r="X224" s="177" t="e">
        <f t="shared" si="85"/>
        <v>#VALUE!</v>
      </c>
      <c r="Y224" s="177">
        <f t="shared" si="78"/>
        <v>3.4099999999999998E-2</v>
      </c>
      <c r="Z224" s="67">
        <f t="shared" si="70"/>
        <v>3.1686999999999999</v>
      </c>
      <c r="AA224" s="67">
        <f t="shared" si="79"/>
        <v>3.1345999999999998</v>
      </c>
      <c r="AB224" s="64" t="e">
        <f>VLOOKUP(A224,Enforcements!$C$7:$K$21,8,0)</f>
        <v>#N/A</v>
      </c>
      <c r="AC224" s="60" t="e">
        <f>VLOOKUP(A224,Enforcements!$C$7:$E$21,3,0)</f>
        <v>#N/A</v>
      </c>
      <c r="AD224" s="61" t="str">
        <f t="shared" si="80"/>
        <v>54-07</v>
      </c>
      <c r="AE224" s="97" t="str">
        <f t="shared" si="81"/>
        <v>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 &amp; aws s3 cp s3://rtdc.mdm.uploadarchive/RTDC4042/2016-09-08/ "%USERPROFILE%\AppData\Local\Temp\OnboardLogs"\RTDC4042\2016-09-08 --recursive &amp; "%USERPROFILE%\Documents\GitHub\mrs-test-scripts\Headless Mode &amp; Sideloading\WalkAndUnGZ.bat" "%USERPROFILE%\AppData\Local\Temp\OnboardLogs"\RTDC4042\2016-09-08</v>
      </c>
      <c r="AF224" s="94" t="str">
        <f t="shared" si="82"/>
        <v>"C:\Program Files (x86)\AstroGrep\AstroGrep.exe" /spath="%USERPROFILE%\AppData\Local\Temp\OnboardLogs" /stypes="*4042*20160907*" /stext=" 18:.+((SYSTEM_STATE.+slice.+state.+changed )|(ment ac)|(system.+state.+changed )|(\|lc)|(penalty)|(\[timeout)|(PRM\|1\|D)|(kpr)|(kdp))" /e /r /s</v>
      </c>
      <c r="AG224" s="1" t="str">
        <f t="shared" si="83"/>
        <v>Other</v>
      </c>
      <c r="AH224" s="98" t="str">
        <f t="shared" si="71"/>
        <v>"%USERPROFILE%\Documents\GitHub\eaglep3\Utilities\RefineRTDCRunTimes.py" --tripid 54-07 --locoid 4042 --swversion DE.1.0.7.0 --startMP 204:341 --initTime 2016-09-07T11:51:44 --startdatetime 2016-09-07T12:34:13 --delay 1 --endMP 300:31687 --enddatetime 2016-09-07T12:41:59 --enforcementcount 0 &gt;&gt;C:\Users\stu\Documents\GitHub\eaglep3-reporting\EC\2016-09-07-refined-times.txt</v>
      </c>
      <c r="AI224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{"issue":{"subject":"","project_id":79,"tracker_id":40,"status_id":1,"priority_id":2,"assigned_to_id":23,"start_date":"2016-09-07","description":"","custom_fields":[{"id":1,"name":"Subdivision","value":"Other"},{"id":4,"name":"Milepost","value":"3.1346"},{"id":17,"name":"Train ID","value":"54-07"},{"id":16,"name":"Locomotive ID","value":"4042"},{"id":130,"name":"Impact","value":""},{"id":150,"name":"Time of Event (Mountain Time)","value":"12:41:59"},{"id":151,"name":"Denver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8" t="s">
        <v>422</v>
      </c>
      <c r="B225" s="7">
        <v>4042</v>
      </c>
      <c r="C225" s="23" t="s">
        <v>111</v>
      </c>
      <c r="D225" s="23" t="s">
        <v>206</v>
      </c>
      <c r="E225" s="15">
        <v>42620.521516203706</v>
      </c>
      <c r="F225" s="15">
        <v>42620.534687500003</v>
      </c>
      <c r="G225" s="7">
        <v>1</v>
      </c>
      <c r="H225" s="15" t="s">
        <v>660</v>
      </c>
      <c r="I225" s="15">
        <v>42620.53597222222</v>
      </c>
      <c r="J225" s="7">
        <v>0</v>
      </c>
      <c r="K225" s="115" t="str">
        <f t="shared" si="73"/>
        <v>4041/4042</v>
      </c>
      <c r="L225" s="23" t="str">
        <f>VLOOKUP(A225,'Trips&amp;Operators'!$C$1:$E$10000,3,FALSE)</f>
        <v>ARNOLD</v>
      </c>
      <c r="M225" s="6">
        <f t="shared" si="74"/>
        <v>1.2847222169511952E-3</v>
      </c>
      <c r="N225" s="7">
        <f t="shared" si="86"/>
        <v>1.849999992409721</v>
      </c>
      <c r="O225" s="7"/>
      <c r="P225" s="7"/>
      <c r="Q225" s="24"/>
      <c r="R225" s="24"/>
      <c r="S225" s="36">
        <f t="shared" si="75"/>
        <v>0</v>
      </c>
      <c r="T225" s="51" t="e">
        <f t="shared" si="76"/>
        <v>#VALUE!</v>
      </c>
      <c r="U225" s="17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11:30:59-0600',mode:absolute,to:'2016-09-07 13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25" s="177" t="str">
        <f t="shared" si="77"/>
        <v>Y</v>
      </c>
      <c r="X225" s="177" t="e">
        <f t="shared" si="85"/>
        <v>#VALUE!</v>
      </c>
      <c r="Y225" s="177">
        <f t="shared" si="78"/>
        <v>4.4200000000000003E-2</v>
      </c>
      <c r="Z225" s="67">
        <f t="shared" si="70"/>
        <v>3.1398999999999999</v>
      </c>
      <c r="AA225" s="67">
        <f t="shared" si="79"/>
        <v>3.0956999999999999</v>
      </c>
      <c r="AB225" s="64" t="e">
        <f>VLOOKUP(A225,Enforcements!$C$7:$K$21,8,0)</f>
        <v>#N/A</v>
      </c>
      <c r="AC225" s="60" t="e">
        <f>VLOOKUP(A225,Enforcements!$C$7:$E$21,3,0)</f>
        <v>#N/A</v>
      </c>
      <c r="AD225" s="61" t="str">
        <f t="shared" si="80"/>
        <v>54-07</v>
      </c>
      <c r="AE225" s="97" t="str">
        <f t="shared" si="81"/>
        <v>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 &amp; aws s3 cp s3://rtdc.mdm.uploadarchive/RTDC4042/2016-09-08/ "%USERPROFILE%\AppData\Local\Temp\OnboardLogs"\RTDC4042\2016-09-08 --recursive &amp; "%USERPROFILE%\Documents\GitHub\mrs-test-scripts\Headless Mode &amp; Sideloading\WalkAndUnGZ.bat" "%USERPROFILE%\AppData\Local\Temp\OnboardLogs"\RTDC4042\2016-09-08</v>
      </c>
      <c r="AF225" s="94" t="str">
        <f t="shared" si="82"/>
        <v>"C:\Program Files (x86)\AstroGrep\AstroGrep.exe" /spath="%USERPROFILE%\AppData\Local\Temp\OnboardLogs" /stypes="*4042*20160907*" /stext=" 18:.+((SYSTEM_STATE.+slice.+state.+changed )|(ment ac)|(system.+state.+changed )|(\|lc)|(penalty)|(\[timeout)|(PRM\|1\|D)|(kpr)|(kdp))" /e /r /s</v>
      </c>
      <c r="AG225" s="1" t="str">
        <f t="shared" si="83"/>
        <v>Other</v>
      </c>
      <c r="AH225" s="98" t="str">
        <f t="shared" si="71"/>
        <v>"%USERPROFILE%\Documents\GitHub\eaglep3\Utilities\RefineRTDCRunTimes.py" --tripid 54-07 --locoid 4042 --swversion DE.1.0.7.0 --startMP 204:442 --initTime 2016-09-07T12:30:59 --startdatetime 2016-09-07T12:49:57 --delay 1 --endMP 300:31399 --enddatetime 2016-09-07T12:51:48 --enforcementcount 0 &gt;&gt;C:\Users\stu\Documents\GitHub\eaglep3-reporting\EC\2016-09-07-refined-times.txt</v>
      </c>
      <c r="AI225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{"issue":{"subject":"","project_id":79,"tracker_id":40,"status_id":1,"priority_id":2,"assigned_to_id":23,"start_date":"2016-09-07","description":"","custom_fields":[{"id":1,"name":"Subdivision","value":"Other"},{"id":4,"name":"Milepost","value":"3.0957"},{"id":17,"name":"Train ID","value":"54-07"},{"id":16,"name":"Locomotive ID","value":"4042"},{"id":130,"name":"Impact","value":""},{"id":150,"name":"Time of Event (Mountain Time)","value":"12:51:48"},{"id":151,"name":"Denver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8" t="s">
        <v>422</v>
      </c>
      <c r="B226" s="7">
        <v>4042</v>
      </c>
      <c r="C226" s="23" t="s">
        <v>111</v>
      </c>
      <c r="D226" s="23" t="s">
        <v>144</v>
      </c>
      <c r="E226" s="15">
        <v>42620.433692129627</v>
      </c>
      <c r="F226" s="15">
        <v>42620.441921296297</v>
      </c>
      <c r="G226" s="7">
        <v>2</v>
      </c>
      <c r="H226" s="15" t="s">
        <v>661</v>
      </c>
      <c r="I226" s="15">
        <v>42620.450694444444</v>
      </c>
      <c r="J226" s="7">
        <v>0</v>
      </c>
      <c r="K226" s="115" t="str">
        <f t="shared" si="73"/>
        <v>4041/4042</v>
      </c>
      <c r="L226" s="23" t="str">
        <f>VLOOKUP(A226,'Trips&amp;Operators'!$C$1:$E$10000,3,FALSE)</f>
        <v>ARNOLD</v>
      </c>
      <c r="M226" s="6">
        <f t="shared" si="74"/>
        <v>8.7731481471564621E-3</v>
      </c>
      <c r="N226" s="7">
        <f t="shared" si="86"/>
        <v>12.633333331905305</v>
      </c>
      <c r="O226" s="7"/>
      <c r="P226" s="7"/>
      <c r="Q226" s="24"/>
      <c r="R226" s="24"/>
      <c r="S226" s="36">
        <f t="shared" si="75"/>
        <v>0</v>
      </c>
      <c r="T226" s="51" t="e">
        <f t="shared" si="76"/>
        <v>#VALUE!</v>
      </c>
      <c r="U226" s="17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09:24:31-0600',mode:absolute,to:'2016-09-07 11:49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26" s="177" t="str">
        <f t="shared" si="77"/>
        <v>Y</v>
      </c>
      <c r="X226" s="177" t="e">
        <f t="shared" si="85"/>
        <v>#VALUE!</v>
      </c>
      <c r="Y226" s="177">
        <f t="shared" si="78"/>
        <v>4.5100000000000001E-2</v>
      </c>
      <c r="Z226" s="67">
        <f t="shared" si="70"/>
        <v>3.1368999999999998</v>
      </c>
      <c r="AA226" s="67">
        <f t="shared" si="79"/>
        <v>3.0917999999999997</v>
      </c>
      <c r="AB226" s="64" t="e">
        <f>VLOOKUP(A226,Enforcements!$C$7:$K$21,8,0)</f>
        <v>#N/A</v>
      </c>
      <c r="AC226" s="60" t="e">
        <f>VLOOKUP(A226,Enforcements!$C$7:$E$21,3,0)</f>
        <v>#N/A</v>
      </c>
      <c r="AD226" s="61" t="str">
        <f t="shared" si="80"/>
        <v>54-07</v>
      </c>
      <c r="AE226" s="97" t="str">
        <f t="shared" si="81"/>
        <v>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 &amp; aws s3 cp s3://rtdc.mdm.uploadarchive/RTDC4042/2016-09-08/ "%USERPROFILE%\AppData\Local\Temp\OnboardLogs"\RTDC4042\2016-09-08 --recursive &amp; "%USERPROFILE%\Documents\GitHub\mrs-test-scripts\Headless Mode &amp; Sideloading\WalkAndUnGZ.bat" "%USERPROFILE%\AppData\Local\Temp\OnboardLogs"\RTDC4042\2016-09-08</v>
      </c>
      <c r="AF226" s="94" t="str">
        <f t="shared" si="82"/>
        <v>"C:\Program Files (x86)\AstroGrep\AstroGrep.exe" /spath="%USERPROFILE%\AppData\Local\Temp\OnboardLogs" /stypes="*4042*20160907*" /stext=" 16:.+((SYSTEM_STATE.+slice.+state.+changed )|(ment ac)|(system.+state.+changed )|(\|lc)|(penalty)|(\[timeout)|(PRM\|1\|D)|(kpr)|(kdp))" /e /r /s</v>
      </c>
      <c r="AG226" s="1" t="str">
        <f t="shared" si="83"/>
        <v>Other</v>
      </c>
      <c r="AH226" s="98" t="str">
        <f t="shared" si="71"/>
        <v>"%USERPROFILE%\Documents\GitHub\eaglep3\Utilities\RefineRTDCRunTimes.py" --tripid 54-07 --locoid 4042 --swversion DE.1.0.7.0 --startMP 204:451 --initTime 2016-09-07T10:24:31 --startdatetime 2016-09-07T10:36:22 --delay 2 --endMP 300:31369 --enddatetime 2016-09-07T10:49:00 --enforcementcount 0 &gt;&gt;C:\Users\stu\Documents\GitHub\eaglep3-reporting\EC\2016-09-07-refined-times.txt</v>
      </c>
      <c r="AI226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{"issue":{"subject":"","project_id":79,"tracker_id":40,"status_id":1,"priority_id":2,"assigned_to_id":23,"start_date":"2016-09-07","description":"","custom_fields":[{"id":1,"name":"Subdivision","value":"Other"},{"id":4,"name":"Milepost","value":"3.0918"},{"id":17,"name":"Train ID","value":"54-07"},{"id":16,"name":"Locomotive ID","value":"4042"},{"id":130,"name":"Impact","value":""},{"id":150,"name":"Time of Event (Mountain Time)","value":"10:49:00"},{"id":151,"name":"Denver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8" t="s">
        <v>422</v>
      </c>
      <c r="B227" s="7">
        <v>4042</v>
      </c>
      <c r="C227" s="23" t="s">
        <v>111</v>
      </c>
      <c r="D227" s="23" t="s">
        <v>229</v>
      </c>
      <c r="E227" s="15">
        <v>42620.597673611112</v>
      </c>
      <c r="F227" s="15">
        <v>42620.613807870373</v>
      </c>
      <c r="G227" s="7">
        <v>2</v>
      </c>
      <c r="H227" s="15" t="s">
        <v>662</v>
      </c>
      <c r="I227" s="15">
        <v>42620.615833333337</v>
      </c>
      <c r="J227" s="7">
        <v>0</v>
      </c>
      <c r="K227" s="115" t="str">
        <f t="shared" si="73"/>
        <v>4041/4042</v>
      </c>
      <c r="L227" s="23" t="str">
        <f>VLOOKUP(A227,'Trips&amp;Operators'!$C$1:$E$10000,3,FALSE)</f>
        <v>ARNOLD</v>
      </c>
      <c r="M227" s="6">
        <f t="shared" si="74"/>
        <v>2.0254629635019228E-3</v>
      </c>
      <c r="N227" s="7">
        <f t="shared" si="86"/>
        <v>2.9166666674427688</v>
      </c>
      <c r="O227" s="7"/>
      <c r="P227" s="7"/>
      <c r="Q227" s="24"/>
      <c r="R227" s="24"/>
      <c r="S227" s="36">
        <f t="shared" si="75"/>
        <v>0</v>
      </c>
      <c r="T227" s="51" t="e">
        <f t="shared" si="76"/>
        <v>#VALUE!</v>
      </c>
      <c r="U227" s="17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13:20:39-0600',mode:absolute,to:'2016-09-07 15:46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27" s="177" t="str">
        <f t="shared" si="77"/>
        <v>Y</v>
      </c>
      <c r="X227" s="177" t="e">
        <f t="shared" si="85"/>
        <v>#VALUE!</v>
      </c>
      <c r="Y227" s="177">
        <f t="shared" si="78"/>
        <v>4.6399999999999997E-2</v>
      </c>
      <c r="Z227" s="67">
        <f t="shared" si="70"/>
        <v>3.1141999999999999</v>
      </c>
      <c r="AA227" s="67">
        <f t="shared" si="79"/>
        <v>3.0678000000000001</v>
      </c>
      <c r="AB227" s="64" t="e">
        <f>VLOOKUP(A227,Enforcements!$C$7:$K$21,8,0)</f>
        <v>#N/A</v>
      </c>
      <c r="AC227" s="60" t="e">
        <f>VLOOKUP(A227,Enforcements!$C$7:$E$21,3,0)</f>
        <v>#N/A</v>
      </c>
      <c r="AD227" s="61" t="str">
        <f t="shared" si="80"/>
        <v>54-07</v>
      </c>
      <c r="AE227" s="97" t="str">
        <f t="shared" si="81"/>
        <v>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 &amp; aws s3 cp s3://rtdc.mdm.uploadarchive/RTDC4042/2016-09-08/ "%USERPROFILE%\AppData\Local\Temp\OnboardLogs"\RTDC4042\2016-09-08 --recursive &amp; "%USERPROFILE%\Documents\GitHub\mrs-test-scripts\Headless Mode &amp; Sideloading\WalkAndUnGZ.bat" "%USERPROFILE%\AppData\Local\Temp\OnboardLogs"\RTDC4042\2016-09-08</v>
      </c>
      <c r="AF227" s="94" t="str">
        <f t="shared" si="82"/>
        <v>"C:\Program Files (x86)\AstroGrep\AstroGrep.exe" /spath="%USERPROFILE%\AppData\Local\Temp\OnboardLogs" /stypes="*4042*20160907*" /stext=" 20:.+((SYSTEM_STATE.+slice.+state.+changed )|(ment ac)|(system.+state.+changed )|(\|lc)|(penalty)|(\[timeout)|(PRM\|1\|D)|(kpr)|(kdp))" /e /r /s</v>
      </c>
      <c r="AG227" s="1" t="str">
        <f t="shared" si="83"/>
        <v>Other</v>
      </c>
      <c r="AH227" s="98" t="str">
        <f t="shared" si="71"/>
        <v>"%USERPROFILE%\Documents\GitHub\eaglep3\Utilities\RefineRTDCRunTimes.py" --tripid 54-07 --locoid 4042 --swversion DE.1.0.7.0 --startMP 204:464 --initTime 2016-09-07T14:20:39 --startdatetime 2016-09-07T14:43:53 --delay 2 --endMP 300:31142 --enddatetime 2016-09-07T14:46:48 --enforcementcount 0 &gt;&gt;C:\Users\stu\Documents\GitHub\eaglep3-reporting\EC\2016-09-07-refined-times.txt</v>
      </c>
      <c r="AI227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{"issue":{"subject":"","project_id":79,"tracker_id":40,"status_id":1,"priority_id":2,"assigned_to_id":23,"start_date":"2016-09-07","description":"","custom_fields":[{"id":1,"name":"Subdivision","value":"Other"},{"id":4,"name":"Milepost","value":"3.0678"},{"id":17,"name":"Train ID","value":"54-07"},{"id":16,"name":"Locomotive ID","value":"4042"},{"id":130,"name":"Impact","value":""},{"id":150,"name":"Time of Event (Mountain Time)","value":"14:46:48"},{"id":151,"name":"Denver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8" t="s">
        <v>428</v>
      </c>
      <c r="B228" s="7">
        <v>4041</v>
      </c>
      <c r="C228" s="23" t="s">
        <v>111</v>
      </c>
      <c r="D228" s="23" t="s">
        <v>663</v>
      </c>
      <c r="E228" s="15">
        <v>42620.452499999999</v>
      </c>
      <c r="F228" s="15">
        <v>42620.455335648148</v>
      </c>
      <c r="G228" s="7">
        <v>2</v>
      </c>
      <c r="H228" s="15" t="s">
        <v>664</v>
      </c>
      <c r="I228" s="15">
        <v>42620.462581018517</v>
      </c>
      <c r="J228" s="7">
        <v>0</v>
      </c>
      <c r="K228" s="115" t="str">
        <f t="shared" si="73"/>
        <v>4041/4042</v>
      </c>
      <c r="L228" s="23" t="str">
        <f>VLOOKUP(A228,'Trips&amp;Operators'!$C$1:$E$10000,3,FALSE)</f>
        <v>ARNOLD</v>
      </c>
      <c r="M228" s="6">
        <f t="shared" si="74"/>
        <v>7.2453703687642701E-3</v>
      </c>
      <c r="N228" s="7">
        <f t="shared" si="86"/>
        <v>10.433333331020549</v>
      </c>
      <c r="O228" s="7"/>
      <c r="P228" s="7"/>
      <c r="Q228" s="24"/>
      <c r="R228" s="24"/>
      <c r="S228" s="36">
        <f t="shared" si="75"/>
        <v>0</v>
      </c>
      <c r="T228" s="51" t="e">
        <f t="shared" si="76"/>
        <v>#VALUE!</v>
      </c>
      <c r="U228" s="17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09:51:36-0600',mode:absolute,to:'2016-09-07 12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28" s="177" t="str">
        <f t="shared" si="77"/>
        <v>Y</v>
      </c>
      <c r="X228" s="177" t="e">
        <f t="shared" si="85"/>
        <v>#VALUE!</v>
      </c>
      <c r="Y228" s="177">
        <f t="shared" si="78"/>
        <v>3.1034000000000002</v>
      </c>
      <c r="Z228" s="67">
        <f t="shared" si="70"/>
        <v>1.37E-2</v>
      </c>
      <c r="AA228" s="67">
        <f t="shared" si="79"/>
        <v>3.0897000000000001</v>
      </c>
      <c r="AB228" s="64" t="e">
        <f>VLOOKUP(A228,Enforcements!$C$7:$K$21,8,0)</f>
        <v>#N/A</v>
      </c>
      <c r="AC228" s="60" t="e">
        <f>VLOOKUP(A228,Enforcements!$C$7:$E$21,3,0)</f>
        <v>#N/A</v>
      </c>
      <c r="AD228" s="61" t="str">
        <f t="shared" si="80"/>
        <v>55-07</v>
      </c>
      <c r="AE228" s="97" t="str">
        <f t="shared" si="81"/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AF228" s="94" t="str">
        <f t="shared" si="82"/>
        <v>"C:\Program Files (x86)\AstroGrep\AstroGrep.exe" /spath="%USERPROFILE%\AppData\Local\Temp\OnboardLogs" /stypes="*4041*20160907*" /stext=" 17:.+((SYSTEM_STATE.+slice.+state.+changed )|(ment ac)|(system.+state.+changed )|(\|lc)|(penalty)|(\[timeout)|(PRM\|1\|D)|(kpr)|(kdp))" /e /r /s</v>
      </c>
      <c r="AG228" s="1" t="str">
        <f t="shared" si="83"/>
        <v>Other</v>
      </c>
      <c r="AH228" s="98" t="str">
        <f t="shared" si="71"/>
        <v>"%USERPROFILE%\Documents\GitHub\eaglep3\Utilities\RefineRTDCRunTimes.py" --tripid 55-07 --locoid 4041 --swversion DE.1.0.7.0 --startMP 300:31034 --initTime 2016-09-07T10:51:36 --startdatetime 2016-09-07T10:55:41 --delay 2 --endMP 204:137 --enddatetime 2016-09-07T11:06:07 --enforcementcount 0 &gt;&gt;C:\Users\stu\Documents\GitHub\eaglep3-reporting\EC\2016-09-07-refined-times.txt</v>
      </c>
      <c r="AI228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{"issue":{"subject":"","project_id":79,"tracker_id":40,"status_id":1,"priority_id":2,"assigned_to_id":23,"start_date":"2016-09-07","description":"","custom_fields":[{"id":1,"name":"Subdivision","value":"Other"},{"id":4,"name":"Milepost","value":"3.0897"},{"id":17,"name":"Train ID","value":"55-07"},{"id":16,"name":"Locomotive ID","value":"4041"},{"id":130,"name":"Impact","value":""},{"id":150,"name":"Time of Event (Mountain Time)","value":"11:06:07"},{"id":151,"name":"Denver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8" t="s">
        <v>513</v>
      </c>
      <c r="B229" s="7">
        <v>4004</v>
      </c>
      <c r="C229" s="23" t="s">
        <v>111</v>
      </c>
      <c r="D229" s="23" t="s">
        <v>665</v>
      </c>
      <c r="E229" s="15">
        <v>42620.747060185182</v>
      </c>
      <c r="F229" s="15">
        <v>42620.749062499999</v>
      </c>
      <c r="G229" s="7">
        <v>2</v>
      </c>
      <c r="H229" s="15" t="s">
        <v>666</v>
      </c>
      <c r="I229" s="15">
        <v>42620.755428240744</v>
      </c>
      <c r="J229" s="7">
        <v>0</v>
      </c>
      <c r="K229" s="115" t="str">
        <f t="shared" si="73"/>
        <v>4003/4004</v>
      </c>
      <c r="L229" s="23" t="str">
        <f>VLOOKUP(A229,'Trips&amp;Operators'!$C$1:$E$10000,3,FALSE)</f>
        <v>COOLAHAN</v>
      </c>
      <c r="M229" s="6">
        <f t="shared" si="74"/>
        <v>6.3657407445134595E-3</v>
      </c>
      <c r="N229" s="7">
        <f t="shared" si="86"/>
        <v>9.1666666720993817</v>
      </c>
      <c r="O229" s="7"/>
      <c r="P229" s="7"/>
      <c r="Q229" s="24"/>
      <c r="R229" s="24"/>
      <c r="S229" s="36">
        <f t="shared" si="75"/>
        <v>0</v>
      </c>
      <c r="T229" s="51" t="e">
        <f t="shared" si="76"/>
        <v>#VALUE!</v>
      </c>
      <c r="U229" s="17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16:55:46-0600',mode:absolute,to:'2016-09-07 19:07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229" s="177" t="str">
        <f t="shared" si="77"/>
        <v>Y</v>
      </c>
      <c r="X229" s="177" t="e">
        <f t="shared" si="85"/>
        <v>#VALUE!</v>
      </c>
      <c r="Y229" s="177">
        <f t="shared" si="78"/>
        <v>2.2067999999999999</v>
      </c>
      <c r="Z229" s="67">
        <f t="shared" si="70"/>
        <v>3.8800000000000001E-2</v>
      </c>
      <c r="AA229" s="67">
        <f t="shared" si="79"/>
        <v>2.1679999999999997</v>
      </c>
      <c r="AB229" s="64" t="e">
        <f>VLOOKUP(A229,Enforcements!$C$7:$K$21,8,0)</f>
        <v>#N/A</v>
      </c>
      <c r="AC229" s="60" t="e">
        <f>VLOOKUP(A229,Enforcements!$C$7:$E$21,3,0)</f>
        <v>#N/A</v>
      </c>
      <c r="AD229" s="61" t="str">
        <f t="shared" si="80"/>
        <v>58-07</v>
      </c>
      <c r="AE229" s="97" t="str">
        <f t="shared" si="81"/>
        <v>aws s3 cp s3://rtdc.mdm.uploadarchive/RTDC4004/2016-09-07/ "%USERPROFILE%\AppData\Local\Temp\OnboardLogs"\RTDC4004\2016-09-07 --recursive &amp; "%USERPROFILE%\Documents\GitHub\mrs-test-scripts\Headless Mode &amp; Sideloading\WalkAndUnGZ.bat" "%USERPROFILE%\AppData\Local\Temp\OnboardLogs"\RTDC4004\2016-09-07 &amp; aws s3 cp s3://rtdc.mdm.uploadarchive/RTDC4004/2016-09-08/ "%USERPROFILE%\AppData\Local\Temp\OnboardLogs"\RTDC4004\2016-09-08 --recursive &amp; "%USERPROFILE%\Documents\GitHub\mrs-test-scripts\Headless Mode &amp; Sideloading\WalkAndUnGZ.bat" "%USERPROFILE%\AppData\Local\Temp\OnboardLogs"\RTDC4004\2016-09-08</v>
      </c>
      <c r="AF229" s="94" t="str">
        <f t="shared" si="82"/>
        <v>"C:\Program Files (x86)\AstroGrep\AstroGrep.exe" /spath="%USERPROFILE%\AppData\Local\Temp\OnboardLogs" /stypes="*4004*20160908*" /stext=" 00:.+((SYSTEM_STATE.+slice.+state.+changed )|(ment ac)|(system.+state.+changed )|(\|lc)|(penalty)|(\[timeout)|(PRM\|1\|D)|(kpr)|(kdp))" /e /r /s</v>
      </c>
      <c r="AG229" s="1" t="str">
        <f t="shared" si="83"/>
        <v>Other</v>
      </c>
      <c r="AH229" s="98" t="str">
        <f t="shared" si="71"/>
        <v>"%USERPROFILE%\Documents\GitHub\eaglep3\Utilities\RefineRTDCRunTimes.py" --tripid 58-07 --locoid 4004 --swversion DE.1.0.7.0 --startMP 300:22068 --initTime 2016-09-07T17:55:46 --startdatetime 2016-09-07T17:58:39 --delay 2 --endMP 204:388 --enddatetime 2016-09-07T18:07:49 --enforcementcount 0 &gt;&gt;C:\Users\stu\Documents\GitHub\eaglep3-reporting\EC\2016-09-07-refined-times.txt</v>
      </c>
      <c r="AI229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{"issue":{"subject":"","project_id":79,"tracker_id":40,"status_id":1,"priority_id":2,"assigned_to_id":23,"start_date":"2016-09-07","description":"","custom_fields":[{"id":1,"name":"Subdivision","value":"Other"},{"id":4,"name":"Milepost","value":"2.168"},{"id":17,"name":"Train ID","value":"58-07"},{"id":16,"name":"Locomotive ID","value":"4004"},{"id":130,"name":"Impact","value":""},{"id":150,"name":"Time of Event (Mountain Time)","value":"18:07:49"},{"id":151,"name":"Denver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8" t="s">
        <v>521</v>
      </c>
      <c r="B230" s="7">
        <v>4003</v>
      </c>
      <c r="C230" s="23" t="s">
        <v>111</v>
      </c>
      <c r="D230" s="23" t="s">
        <v>667</v>
      </c>
      <c r="E230" s="15">
        <v>42620.768472222226</v>
      </c>
      <c r="F230" s="15">
        <v>42620.77039351852</v>
      </c>
      <c r="G230" s="7">
        <v>2</v>
      </c>
      <c r="H230" s="15" t="s">
        <v>668</v>
      </c>
      <c r="I230" s="15">
        <v>42620.776099537034</v>
      </c>
      <c r="J230" s="7">
        <v>0</v>
      </c>
      <c r="K230" s="115" t="str">
        <f t="shared" si="73"/>
        <v>4003/4004</v>
      </c>
      <c r="L230" s="23" t="str">
        <f>VLOOKUP(A230,'Trips&amp;Operators'!$C$1:$E$10000,3,FALSE)</f>
        <v>HELVIE</v>
      </c>
      <c r="M230" s="6">
        <f t="shared" si="74"/>
        <v>5.7060185135924257E-3</v>
      </c>
      <c r="N230" s="7">
        <f t="shared" si="86"/>
        <v>8.2166666595730931</v>
      </c>
      <c r="O230" s="7"/>
      <c r="P230" s="7"/>
      <c r="Q230" s="24"/>
      <c r="R230" s="24"/>
      <c r="S230" s="36">
        <f t="shared" si="75"/>
        <v>0</v>
      </c>
      <c r="T230" s="51" t="e">
        <f t="shared" si="76"/>
        <v>#VALUE!</v>
      </c>
      <c r="U230" s="17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17:26:36-0600',mode:absolute,to:'2016-09-07 19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230" s="177" t="str">
        <f t="shared" si="77"/>
        <v>Y</v>
      </c>
      <c r="X230" s="177" t="e">
        <f t="shared" si="85"/>
        <v>#VALUE!</v>
      </c>
      <c r="Y230" s="177">
        <f t="shared" si="78"/>
        <v>6.6900000000000001E-2</v>
      </c>
      <c r="Z230" s="67">
        <f t="shared" si="70"/>
        <v>2.4241000000000001</v>
      </c>
      <c r="AA230" s="67">
        <f t="shared" si="79"/>
        <v>2.3572000000000002</v>
      </c>
      <c r="AB230" s="64" t="e">
        <f>VLOOKUP(A230,Enforcements!$C$7:$K$21,8,0)</f>
        <v>#N/A</v>
      </c>
      <c r="AC230" s="60" t="e">
        <f>VLOOKUP(A230,Enforcements!$C$7:$E$21,3,0)</f>
        <v>#N/A</v>
      </c>
      <c r="AD230" s="61" t="str">
        <f t="shared" si="80"/>
        <v>64-07</v>
      </c>
      <c r="AE230" s="97" t="str">
        <f t="shared" si="81"/>
        <v>aws s3 cp s3://rtdc.mdm.uploadarchive/RTDC4003/2016-09-07/ "%USERPROFILE%\AppData\Local\Temp\OnboardLogs"\RTDC4003\2016-09-07 --recursive &amp; "%USERPROFILE%\Documents\GitHub\mrs-test-scripts\Headless Mode &amp; Sideloading\WalkAndUnGZ.bat" "%USERPROFILE%\AppData\Local\Temp\OnboardLogs"\RTDC4003\2016-09-07 &amp; aws s3 cp s3://rtdc.mdm.uploadarchive/RTDC4003/2016-09-08/ "%USERPROFILE%\AppData\Local\Temp\OnboardLogs"\RTDC4003\2016-09-08 --recursive &amp; "%USERPROFILE%\Documents\GitHub\mrs-test-scripts\Headless Mode &amp; Sideloading\WalkAndUnGZ.bat" "%USERPROFILE%\AppData\Local\Temp\OnboardLogs"\RTDC4003\2016-09-08</v>
      </c>
      <c r="AF230" s="94" t="str">
        <f t="shared" si="82"/>
        <v>"C:\Program Files (x86)\AstroGrep\AstroGrep.exe" /spath="%USERPROFILE%\AppData\Local\Temp\OnboardLogs" /stypes="*4003*20160908*" /stext=" 00:.+((SYSTEM_STATE.+slice.+state.+changed )|(ment ac)|(system.+state.+changed )|(\|lc)|(penalty)|(\[timeout)|(PRM\|1\|D)|(kpr)|(kdp))" /e /r /s</v>
      </c>
      <c r="AG230" s="1" t="str">
        <f t="shared" si="83"/>
        <v>Other</v>
      </c>
      <c r="AH230" s="98" t="str">
        <f t="shared" si="71"/>
        <v>"%USERPROFILE%\Documents\GitHub\eaglep3\Utilities\RefineRTDCRunTimes.py" --tripid 64-07 --locoid 4003 --swversion DE.1.0.7.0 --startMP 204:669 --initTime 2016-09-07T18:26:36 --startdatetime 2016-09-07T18:29:22 --delay 2 --endMP 300:24241 --enddatetime 2016-09-07T18:37:35 --enforcementcount 0 &gt;&gt;C:\Users\stu\Documents\GitHub\eaglep3-reporting\EC\2016-09-07-refined-times.txt</v>
      </c>
      <c r="AI230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{"issue":{"subject":"","project_id":79,"tracker_id":40,"status_id":1,"priority_id":2,"assigned_to_id":23,"start_date":"2016-09-07","description":"","custom_fields":[{"id":1,"name":"Subdivision","value":"Other"},{"id":4,"name":"Milepost","value":"2.3572"},{"id":17,"name":"Train ID","value":"64-07"},{"id":16,"name":"Locomotive ID","value":"4003"},{"id":130,"name":"Impact","value":""},{"id":150,"name":"Time of Event (Mountain Time)","value":"18:37:35"},{"id":151,"name":"Denver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8" t="s">
        <v>293</v>
      </c>
      <c r="B231" s="7">
        <v>4051</v>
      </c>
      <c r="C231" s="23" t="s">
        <v>264</v>
      </c>
      <c r="D231" s="23" t="s">
        <v>329</v>
      </c>
      <c r="E231" s="15">
        <v>42620.0780787037</v>
      </c>
      <c r="F231" s="15">
        <v>42620.122847222221</v>
      </c>
      <c r="G231" s="7">
        <v>0</v>
      </c>
      <c r="H231" s="15" t="s">
        <v>330</v>
      </c>
      <c r="I231" s="15">
        <v>42620.136423611111</v>
      </c>
      <c r="J231" s="7">
        <v>0</v>
      </c>
      <c r="K231" s="115" t="str">
        <f t="shared" si="73"/>
        <v>4051/4052</v>
      </c>
      <c r="L231" s="23" t="b">
        <f>VLOOKUP(A231,'Trips&amp;Operators'!$C$1:$E$10000,3,FALSE)</f>
        <v>1</v>
      </c>
      <c r="M231" s="6">
        <f t="shared" si="74"/>
        <v>1.357638889021473E-2</v>
      </c>
      <c r="N231" s="7">
        <f t="shared" si="86"/>
        <v>19.550000001909211</v>
      </c>
      <c r="O231" s="7"/>
      <c r="P231" s="7"/>
      <c r="Q231" s="24"/>
      <c r="R231" s="24"/>
      <c r="S231" s="36">
        <f t="shared" si="75"/>
        <v>0</v>
      </c>
      <c r="T231" s="51" t="e">
        <f t="shared" si="76"/>
        <v>#VALUE!</v>
      </c>
      <c r="U231" s="17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00:52:26-0600',mode:absolute,to:'2016-09-07 04:16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4051%22')),sort:!(Time,asc))</v>
      </c>
      <c r="W231" s="177" t="str">
        <f t="shared" si="77"/>
        <v>N</v>
      </c>
      <c r="X231" s="177" t="e">
        <f t="shared" si="85"/>
        <v>#VALUE!</v>
      </c>
      <c r="Y231" s="177">
        <f t="shared" si="78"/>
        <v>1.0561</v>
      </c>
      <c r="Z231" s="67">
        <f t="shared" si="70"/>
        <v>12.8118</v>
      </c>
      <c r="AA231" s="67">
        <f t="shared" si="79"/>
        <v>11.755699999999999</v>
      </c>
      <c r="AB231" s="64" t="e">
        <f>VLOOKUP(A231,Enforcements!$C$7:$K$21,8,0)</f>
        <v>#N/A</v>
      </c>
      <c r="AC231" s="60" t="e">
        <f>VLOOKUP(A231,Enforcements!$C$7:$E$21,3,0)</f>
        <v>#N/A</v>
      </c>
      <c r="AD231" s="61" t="str">
        <f t="shared" si="80"/>
        <v>67-06</v>
      </c>
      <c r="AE231" s="97" t="str">
        <f t="shared" si="81"/>
        <v>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 &amp; 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</v>
      </c>
      <c r="AF231" s="94" t="str">
        <f t="shared" si="82"/>
        <v>"C:\Program Files (x86)\AstroGrep\AstroGrep.exe" /spath="%USERPROFILE%\AppData\Local\Temp\OnboardLogs" /stypes="*4051*20160907*" /stext=" 09:.+((SYSTEM_STATE.+slice.+state.+changed )|(ment ac)|(system.+state.+changed )|(\|lc)|(penalty)|(\[timeout)|(PRM\|1\|D)|(kpr)|(kdp))" /e /r /s</v>
      </c>
      <c r="AG231" s="1" t="str">
        <f t="shared" si="83"/>
        <v>Other</v>
      </c>
      <c r="AH231" s="98" t="str">
        <f t="shared" si="71"/>
        <v>"%USERPROFILE%\Documents\GitHub\eaglep3\Utilities\RefineRTDCRunTimes.py" --tripid 67-06 --locoid 4051 --swversion DE.1.0.8.0.ENG1 --startMP 204:10561 --initTime 2016-09-07T01:52:26 --startdatetime 2016-09-07T02:56:54 --delay 0 --endMP 204:128118 --enddatetime 2016-09-07T03:16:27 --enforcementcount 0 &gt;&gt;C:\Users\stu\Documents\GitHub\eaglep3-reporting\EC\2016-09-07-refined-times.txt</v>
      </c>
      <c r="AI231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{"issue":{"subject":"","project_id":79,"tracker_id":40,"status_id":1,"priority_id":2,"assigned_to_id":23,"start_date":"2016-09-07","description":"","custom_fields":[{"id":1,"name":"Subdivision","value":"Other"},{"id":4,"name":"Milepost","value":"11.7557"},{"id":17,"name":"Train ID","value":"67-06"},{"id":16,"name":"Locomotive ID","value":"4051"},{"id":130,"name":"Impact","value":""},{"id":150,"name":"Time of Event (Mountain Time)","value":"03:16:27"},{"id":151,"name":"Denver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8" t="s">
        <v>293</v>
      </c>
      <c r="B232" s="7">
        <v>4051</v>
      </c>
      <c r="C232" s="23" t="s">
        <v>264</v>
      </c>
      <c r="D232" s="23" t="s">
        <v>644</v>
      </c>
      <c r="E232" s="15">
        <v>42620.121550925927</v>
      </c>
      <c r="F232" s="15">
        <v>42620.122847222221</v>
      </c>
      <c r="G232" s="7">
        <v>1</v>
      </c>
      <c r="H232" s="15" t="s">
        <v>669</v>
      </c>
      <c r="I232" s="15">
        <v>42620.136423611111</v>
      </c>
      <c r="J232" s="7">
        <v>0</v>
      </c>
      <c r="K232" s="115" t="str">
        <f t="shared" si="73"/>
        <v>4051/4052</v>
      </c>
      <c r="L232" s="23" t="b">
        <f>VLOOKUP(A232,'Trips&amp;Operators'!$C$1:$E$10000,3,FALSE)</f>
        <v>1</v>
      </c>
      <c r="M232" s="6">
        <f t="shared" si="74"/>
        <v>1.357638889021473E-2</v>
      </c>
      <c r="N232" s="7">
        <f t="shared" si="86"/>
        <v>19.550000001909211</v>
      </c>
      <c r="O232" s="7"/>
      <c r="P232" s="7"/>
      <c r="Q232" s="24"/>
      <c r="R232" s="24"/>
      <c r="S232" s="36">
        <f t="shared" si="75"/>
        <v>0</v>
      </c>
      <c r="T232" s="51" t="e">
        <f t="shared" si="76"/>
        <v>#VALUE!</v>
      </c>
      <c r="U232" s="17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01:55:02-0600',mode:absolute,to:'2016-09-07 04:16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4051%22')),sort:!(Time,asc))</v>
      </c>
      <c r="W232" s="177" t="str">
        <f t="shared" si="77"/>
        <v>N</v>
      </c>
      <c r="X232" s="177" t="e">
        <f t="shared" si="85"/>
        <v>#VALUE!</v>
      </c>
      <c r="Y232" s="177">
        <f t="shared" si="78"/>
        <v>1.0564</v>
      </c>
      <c r="Z232" s="67">
        <f t="shared" si="70"/>
        <v>12.814299999999999</v>
      </c>
      <c r="AA232" s="67">
        <f t="shared" si="79"/>
        <v>11.757899999999999</v>
      </c>
      <c r="AB232" s="64" t="e">
        <f>VLOOKUP(A232,Enforcements!$C$7:$K$21,8,0)</f>
        <v>#N/A</v>
      </c>
      <c r="AC232" s="60" t="e">
        <f>VLOOKUP(A232,Enforcements!$C$7:$E$21,3,0)</f>
        <v>#N/A</v>
      </c>
      <c r="AD232" s="61" t="str">
        <f t="shared" si="80"/>
        <v>67-06</v>
      </c>
      <c r="AE232" s="97" t="str">
        <f t="shared" si="81"/>
        <v>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 &amp; 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</v>
      </c>
      <c r="AF232" s="94" t="str">
        <f t="shared" si="82"/>
        <v>"C:\Program Files (x86)\AstroGrep\AstroGrep.exe" /spath="%USERPROFILE%\AppData\Local\Temp\OnboardLogs" /stypes="*4051*20160907*" /stext=" 09:.+((SYSTEM_STATE.+slice.+state.+changed )|(ment ac)|(system.+state.+changed )|(\|lc)|(penalty)|(\[timeout)|(PRM\|1\|D)|(kpr)|(kdp))" /e /r /s</v>
      </c>
      <c r="AG232" s="1" t="str">
        <f t="shared" si="83"/>
        <v>Other</v>
      </c>
      <c r="AH232" s="98" t="str">
        <f t="shared" si="71"/>
        <v>"%USERPROFILE%\Documents\GitHub\eaglep3\Utilities\RefineRTDCRunTimes.py" --tripid 67-06 --locoid 4051 --swversion DE.1.0.8.0.ENG1 --startMP 204:10564 --initTime 2016-09-07T02:55:02 --startdatetime 2016-09-07T02:56:54 --delay 1 --endMP 204:128143 --enddatetime 2016-09-07T03:16:27 --enforcementcount 0 &gt;&gt;C:\Users\stu\Documents\GitHub\eaglep3-reporting\EC\2016-09-07-refined-times.txt</v>
      </c>
      <c r="AI232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{"issue":{"subject":"","project_id":79,"tracker_id":40,"status_id":1,"priority_id":2,"assigned_to_id":23,"start_date":"2016-09-07","description":"","custom_fields":[{"id":1,"name":"Subdivision","value":"Other"},{"id":4,"name":"Milepost","value":"11.7579"},{"id":17,"name":"Train ID","value":"67-06"},{"id":16,"name":"Locomotive ID","value":"4051"},{"id":130,"name":"Impact","value":""},{"id":150,"name":"Time of Event (Mountain Time)","value":"03:16:27"},{"id":151,"name":"Denver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8" t="s">
        <v>295</v>
      </c>
      <c r="B233" s="7">
        <v>4052</v>
      </c>
      <c r="C233" s="23" t="s">
        <v>264</v>
      </c>
      <c r="D233" s="23" t="s">
        <v>331</v>
      </c>
      <c r="E233" s="15">
        <v>42620.102962962963</v>
      </c>
      <c r="F233" s="15">
        <v>42620.140104166669</v>
      </c>
      <c r="G233" s="7">
        <v>1</v>
      </c>
      <c r="H233" s="15" t="s">
        <v>332</v>
      </c>
      <c r="I233" s="15">
        <v>42620.154317129629</v>
      </c>
      <c r="J233" s="7">
        <v>0</v>
      </c>
      <c r="K233" s="115" t="str">
        <f t="shared" si="73"/>
        <v>4051/4052</v>
      </c>
      <c r="L233" s="23" t="b">
        <f>VLOOKUP(A233,'Trips&amp;Operators'!$C$1:$E$10000,3,FALSE)</f>
        <v>1</v>
      </c>
      <c r="M233" s="6">
        <f t="shared" si="74"/>
        <v>1.4212962960300501E-2</v>
      </c>
      <c r="N233" s="7">
        <f t="shared" si="86"/>
        <v>20.466666662832722</v>
      </c>
      <c r="O233" s="7"/>
      <c r="P233" s="7"/>
      <c r="Q233" s="24"/>
      <c r="R233" s="24"/>
      <c r="S233" s="36">
        <f t="shared" si="75"/>
        <v>0</v>
      </c>
      <c r="T233" s="51" t="e">
        <f t="shared" si="76"/>
        <v>#VALUE!</v>
      </c>
      <c r="U233" s="17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01:28:16-0600',mode:absolute,to:'2016-09-07 04:42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4052%22')),sort:!(Time,asc))</v>
      </c>
      <c r="W233" s="177" t="str">
        <f t="shared" si="77"/>
        <v>N</v>
      </c>
      <c r="X233" s="177" t="e">
        <f t="shared" si="85"/>
        <v>#VALUE!</v>
      </c>
      <c r="Y233" s="177">
        <f t="shared" si="78"/>
        <v>12.7845</v>
      </c>
      <c r="Z233" s="67">
        <f t="shared" si="70"/>
        <v>1.0325</v>
      </c>
      <c r="AA233" s="67">
        <f t="shared" si="79"/>
        <v>11.751999999999999</v>
      </c>
      <c r="AB233" s="64" t="e">
        <f>VLOOKUP(A233,Enforcements!$C$7:$K$21,8,0)</f>
        <v>#N/A</v>
      </c>
      <c r="AC233" s="60" t="e">
        <f>VLOOKUP(A233,Enforcements!$C$7:$E$21,3,0)</f>
        <v>#N/A</v>
      </c>
      <c r="AD233" s="61" t="str">
        <f t="shared" si="80"/>
        <v>69-06</v>
      </c>
      <c r="AE233" s="97" t="str">
        <f t="shared" si="81"/>
        <v>aws s3 cp s3://rtdc.mdm.uploadarchive/RTDC4052/2016-09-07/ "%USERPROFILE%\AppData\Local\Temp\OnboardLogs"\RTDC4052\2016-09-07 --recursive &amp; "%USERPROFILE%\Documents\GitHub\mrs-test-scripts\Headless Mode &amp; Sideloading\WalkAndUnGZ.bat" "%USERPROFILE%\AppData\Local\Temp\OnboardLogs"\RTDC4052\2016-09-07 &amp; aws s3 cp s3://rtdc.mdm.uploadarchive/RTDC4052/2016-09-08/ "%USERPROFILE%\AppData\Local\Temp\OnboardLogs"\RTDC4052\2016-09-08 --recursive &amp; "%USERPROFILE%\Documents\GitHub\mrs-test-scripts\Headless Mode &amp; Sideloading\WalkAndUnGZ.bat" "%USERPROFILE%\AppData\Local\Temp\OnboardLogs"\RTDC4052\2016-09-08</v>
      </c>
      <c r="AF233" s="94" t="str">
        <f t="shared" si="82"/>
        <v>"C:\Program Files (x86)\AstroGrep\AstroGrep.exe" /spath="%USERPROFILE%\AppData\Local\Temp\OnboardLogs" /stypes="*4052*20160907*" /stext=" 09:.+((SYSTEM_STATE.+slice.+state.+changed )|(ment ac)|(system.+state.+changed )|(\|lc)|(penalty)|(\[timeout)|(PRM\|1\|D)|(kpr)|(kdp))" /e /r /s</v>
      </c>
      <c r="AG233" s="1" t="str">
        <f t="shared" si="83"/>
        <v>Other</v>
      </c>
      <c r="AH233" s="98" t="str">
        <f t="shared" si="71"/>
        <v>"%USERPROFILE%\Documents\GitHub\eaglep3\Utilities\RefineRTDCRunTimes.py" --tripid 69-06 --locoid 4052 --swversion DE.1.0.8.0.ENG1 --startMP 204:127845 --initTime 2016-09-07T02:28:16 --startdatetime 2016-09-07T03:21:45 --delay 1 --endMP 204:10325 --enddatetime 2016-09-07T03:42:13 --enforcementcount 0 &gt;&gt;C:\Users\stu\Documents\GitHub\eaglep3-reporting\EC\2016-09-07-refined-times.txt</v>
      </c>
      <c r="AI233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{"issue":{"subject":"","project_id":79,"tracker_id":40,"status_id":1,"priority_id":2,"assigned_to_id":23,"start_date":"2016-09-07","description":"","custom_fields":[{"id":1,"name":"Subdivision","value":"Other"},{"id":4,"name":"Milepost","value":"11.752"},{"id":17,"name":"Train ID","value":"69-06"},{"id":16,"name":"Locomotive ID","value":"4052"},{"id":130,"name":"Impact","value":""},{"id":150,"name":"Time of Event (Mountain Time)","value":"03:42:13"},{"id":151,"name":"Denver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 s="38" t="s">
        <v>295</v>
      </c>
      <c r="B234" s="7">
        <v>4052</v>
      </c>
      <c r="C234" s="23" t="s">
        <v>264</v>
      </c>
      <c r="D234" s="23" t="s">
        <v>670</v>
      </c>
      <c r="E234" s="15">
        <v>42620.138252314813</v>
      </c>
      <c r="F234" s="15">
        <v>42620.140104166669</v>
      </c>
      <c r="G234" s="7">
        <v>0</v>
      </c>
      <c r="H234" s="15" t="s">
        <v>671</v>
      </c>
      <c r="I234" s="15">
        <v>42620.154317129629</v>
      </c>
      <c r="J234" s="7">
        <v>0</v>
      </c>
      <c r="K234" s="115" t="str">
        <f t="shared" si="73"/>
        <v>4051/4052</v>
      </c>
      <c r="L234" s="23" t="b">
        <f>VLOOKUP(A234,'Trips&amp;Operators'!$C$1:$E$10000,3,FALSE)</f>
        <v>1</v>
      </c>
      <c r="M234" s="6">
        <f t="shared" si="74"/>
        <v>1.4212962960300501E-2</v>
      </c>
      <c r="N234" s="7">
        <f t="shared" si="86"/>
        <v>20.466666662832722</v>
      </c>
      <c r="O234" s="7"/>
      <c r="P234" s="7"/>
      <c r="Q234" s="24"/>
      <c r="R234" s="24"/>
      <c r="S234" s="36">
        <f t="shared" si="75"/>
        <v>0</v>
      </c>
      <c r="T234" s="51" t="e">
        <f t="shared" si="76"/>
        <v>#VALUE!</v>
      </c>
      <c r="U234" s="17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02:19:05-0600',mode:absolute,to:'2016-09-07 04:42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4052%22')),sort:!(Time,asc))</v>
      </c>
      <c r="W234" s="177" t="str">
        <f t="shared" si="77"/>
        <v>N</v>
      </c>
      <c r="X234" s="177" t="e">
        <f t="shared" si="85"/>
        <v>#VALUE!</v>
      </c>
      <c r="Y234" s="177">
        <f t="shared" si="78"/>
        <v>12.7875</v>
      </c>
      <c r="Z234" s="67">
        <f t="shared" si="70"/>
        <v>0.94620000000000004</v>
      </c>
      <c r="AA234" s="67">
        <f t="shared" si="79"/>
        <v>11.8413</v>
      </c>
      <c r="AB234" s="64" t="e">
        <f>VLOOKUP(A234,Enforcements!$C$7:$K$21,8,0)</f>
        <v>#N/A</v>
      </c>
      <c r="AC234" s="60" t="e">
        <f>VLOOKUP(A234,Enforcements!$C$7:$E$21,3,0)</f>
        <v>#N/A</v>
      </c>
      <c r="AD234" s="61" t="str">
        <f t="shared" si="80"/>
        <v>69-06</v>
      </c>
      <c r="AE234" s="97" t="str">
        <f t="shared" si="81"/>
        <v>aws s3 cp s3://rtdc.mdm.uploadarchive/RTDC4052/2016-09-07/ "%USERPROFILE%\AppData\Local\Temp\OnboardLogs"\RTDC4052\2016-09-07 --recursive &amp; "%USERPROFILE%\Documents\GitHub\mrs-test-scripts\Headless Mode &amp; Sideloading\WalkAndUnGZ.bat" "%USERPROFILE%\AppData\Local\Temp\OnboardLogs"\RTDC4052\2016-09-07 &amp; aws s3 cp s3://rtdc.mdm.uploadarchive/RTDC4052/2016-09-08/ "%USERPROFILE%\AppData\Local\Temp\OnboardLogs"\RTDC4052\2016-09-08 --recursive &amp; "%USERPROFILE%\Documents\GitHub\mrs-test-scripts\Headless Mode &amp; Sideloading\WalkAndUnGZ.bat" "%USERPROFILE%\AppData\Local\Temp\OnboardLogs"\RTDC4052\2016-09-08</v>
      </c>
      <c r="AF234" s="94" t="str">
        <f t="shared" si="82"/>
        <v>"C:\Program Files (x86)\AstroGrep\AstroGrep.exe" /spath="%USERPROFILE%\AppData\Local\Temp\OnboardLogs" /stypes="*4052*20160907*" /stext=" 09:.+((SYSTEM_STATE.+slice.+state.+changed )|(ment ac)|(system.+state.+changed )|(\|lc)|(penalty)|(\[timeout)|(PRM\|1\|D)|(kpr)|(kdp))" /e /r /s</v>
      </c>
      <c r="AG234" s="1" t="str">
        <f t="shared" si="83"/>
        <v>Other</v>
      </c>
      <c r="AH234" s="98" t="str">
        <f t="shared" si="71"/>
        <v>"%USERPROFILE%\Documents\GitHub\eaglep3\Utilities\RefineRTDCRunTimes.py" --tripid 69-06 --locoid 4052 --swversion DE.1.0.8.0.ENG1 --startMP 204:127875 --initTime 2016-09-07T03:19:05 --startdatetime 2016-09-07T03:21:45 --delay 0 --endMP 204:9462 --enddatetime 2016-09-07T03:42:13 --enforcementcount 0 &gt;&gt;C:\Users\stu\Documents\GitHub\eaglep3-reporting\EC\2016-09-07-refined-times.txt</v>
      </c>
      <c r="AI234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{"issue":{"subject":"","project_id":79,"tracker_id":40,"status_id":1,"priority_id":2,"assigned_to_id":23,"start_date":"2016-09-07","description":"","custom_fields":[{"id":1,"name":"Subdivision","value":"Other"},{"id":4,"name":"Milepost","value":"11.8413"},{"id":17,"name":"Train ID","value":"69-06"},{"id":16,"name":"Locomotive ID","value":"4052"},{"id":130,"name":"Impact","value":""},{"id":150,"name":"Time of Event (Mountain Time)","value":"03:42:13"},{"id":151,"name":"Denver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</sheetData>
  <autoFilter ref="A12:AG234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259" operator="equal">
      <formula>"Y"</formula>
    </cfRule>
  </conditionalFormatting>
  <conditionalFormatting sqref="X13:X1048576">
    <cfRule type="cellIs" dxfId="7" priority="242" operator="greaterThan">
      <formula>1</formula>
    </cfRule>
  </conditionalFormatting>
  <conditionalFormatting sqref="X12:X1048576">
    <cfRule type="cellIs" dxfId="6" priority="239" operator="equal">
      <formula>0</formula>
    </cfRule>
  </conditionalFormatting>
  <conditionalFormatting sqref="A13:S234">
    <cfRule type="expression" dxfId="5" priority="235">
      <formula>$O13&gt;0</formula>
    </cfRule>
  </conditionalFormatting>
  <conditionalFormatting sqref="A13:S234">
    <cfRule type="expression" dxfId="4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AK13:AK234</xm:sqref>
        </x14:dataValidation>
        <x14:dataValidation type="list" allowBlank="1" showInputMessage="1" showErrorMessage="1">
          <x14:formula1>
            <xm:f>'Redmine List Values'!$C$2:$C$13</xm:f>
          </x14:formula1>
          <xm:sqref>AL13:AL234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72"/>
  <sheetViews>
    <sheetView topLeftCell="A2" workbookViewId="0">
      <selection activeCell="P25" sqref="P25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21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0" customWidth="1"/>
    <col min="13" max="13" width="7.85546875" style="2" customWidth="1"/>
    <col min="14" max="14" width="11.85546875" style="29" customWidth="1"/>
    <col min="15" max="15" width="5.140625" style="107" customWidth="1"/>
    <col min="16" max="16" width="30.7109375" customWidth="1"/>
    <col min="17" max="17" width="5" hidden="1" customWidth="1"/>
    <col min="18" max="18" width="5.5703125" style="95" customWidth="1"/>
    <col min="19" max="19" width="4.42578125" style="102" customWidth="1"/>
    <col min="20" max="20" width="6" style="92" customWidth="1"/>
    <col min="21" max="21" width="3.7109375" customWidth="1"/>
    <col min="22" max="22" width="18.28515625" style="49" bestFit="1" customWidth="1"/>
    <col min="23" max="23" width="5.28515625" customWidth="1"/>
    <col min="24" max="24" width="6.7109375" hidden="1" customWidth="1"/>
  </cols>
  <sheetData>
    <row r="1" spans="1:28" s="22" customFormat="1" ht="15.75" hidden="1" thickBot="1" x14ac:dyDescent="0.3">
      <c r="A1" s="8"/>
      <c r="F1" s="2"/>
      <c r="G1" s="2"/>
      <c r="H1" s="2"/>
      <c r="I1" s="2"/>
      <c r="K1" s="2"/>
      <c r="L1" s="70"/>
      <c r="M1" s="2"/>
      <c r="N1" s="29"/>
      <c r="O1" s="107"/>
      <c r="R1" s="95"/>
      <c r="S1" s="102"/>
      <c r="T1" s="92"/>
      <c r="V1" s="49"/>
    </row>
    <row r="2" spans="1:28" s="22" customFormat="1" x14ac:dyDescent="0.25">
      <c r="A2" s="8"/>
      <c r="F2" s="2"/>
      <c r="G2" s="2"/>
      <c r="H2" s="2"/>
      <c r="I2" s="2"/>
      <c r="K2" s="2"/>
      <c r="L2" s="145" t="s">
        <v>87</v>
      </c>
      <c r="M2" s="149"/>
      <c r="N2" s="116"/>
      <c r="O2" s="117">
        <f>COUNTIF($O$7:$O$401,"=Y")</f>
        <v>3</v>
      </c>
      <c r="P2" s="118"/>
      <c r="R2" s="95"/>
      <c r="S2" s="102"/>
      <c r="T2" s="92"/>
      <c r="V2" s="49"/>
    </row>
    <row r="3" spans="1:28" s="22" customFormat="1" ht="15.75" thickBot="1" x14ac:dyDescent="0.3">
      <c r="A3" s="8"/>
      <c r="F3" s="2"/>
      <c r="G3" s="2"/>
      <c r="H3" s="2"/>
      <c r="I3" s="2"/>
      <c r="K3" s="2"/>
      <c r="L3" s="146" t="s">
        <v>88</v>
      </c>
      <c r="M3" s="150"/>
      <c r="N3" s="119"/>
      <c r="O3" s="120">
        <f>COUNTA($O$7:$O$401)-O2</f>
        <v>52</v>
      </c>
      <c r="P3" s="118"/>
      <c r="R3" s="95"/>
      <c r="S3" s="102"/>
      <c r="T3" s="92"/>
      <c r="V3" s="49"/>
    </row>
    <row r="4" spans="1:28" s="22" customFormat="1" x14ac:dyDescent="0.25">
      <c r="A4" s="8"/>
      <c r="F4" s="2"/>
      <c r="G4" s="2"/>
      <c r="H4" s="2"/>
      <c r="I4" s="2"/>
      <c r="K4" s="2"/>
      <c r="L4" s="70"/>
      <c r="M4" s="2"/>
      <c r="N4" s="29"/>
      <c r="O4" s="107"/>
      <c r="R4" s="95"/>
      <c r="S4" s="102"/>
      <c r="T4" s="92"/>
      <c r="V4" s="49"/>
    </row>
    <row r="5" spans="1:28" s="11" customFormat="1" ht="15" customHeight="1" x14ac:dyDescent="0.25">
      <c r="A5" s="179" t="str">
        <f>"Eagle P3 Braking Events - "&amp;TEXT(Variables!$A$2,"YYYY-mm-dd")</f>
        <v>Eagle P3 Braking Events - 2016-09-07</v>
      </c>
      <c r="B5" s="179"/>
      <c r="C5" s="179"/>
      <c r="D5" s="179"/>
      <c r="E5" s="179"/>
      <c r="F5" s="179"/>
      <c r="G5" s="179"/>
      <c r="H5" s="179"/>
      <c r="I5" s="179"/>
      <c r="J5" s="179"/>
      <c r="K5" s="179"/>
      <c r="L5" s="179"/>
      <c r="M5" s="179"/>
      <c r="N5" s="179"/>
      <c r="O5" s="179"/>
      <c r="P5" s="12"/>
      <c r="R5" s="100"/>
      <c r="S5" s="103"/>
      <c r="T5" s="105"/>
      <c r="V5" s="50"/>
    </row>
    <row r="6" spans="1:28" s="143" customFormat="1" ht="69.75" customHeight="1" x14ac:dyDescent="0.2">
      <c r="A6" s="131" t="s">
        <v>38</v>
      </c>
      <c r="B6" s="132" t="s">
        <v>37</v>
      </c>
      <c r="C6" s="132" t="s">
        <v>36</v>
      </c>
      <c r="D6" s="132" t="s">
        <v>35</v>
      </c>
      <c r="E6" s="132" t="s">
        <v>34</v>
      </c>
      <c r="F6" s="133" t="s">
        <v>33</v>
      </c>
      <c r="G6" s="133" t="s">
        <v>32</v>
      </c>
      <c r="H6" s="133" t="s">
        <v>31</v>
      </c>
      <c r="I6" s="133" t="s">
        <v>344</v>
      </c>
      <c r="J6" s="132" t="s">
        <v>30</v>
      </c>
      <c r="K6" s="133" t="s">
        <v>29</v>
      </c>
      <c r="L6" s="147" t="s">
        <v>28</v>
      </c>
      <c r="M6" s="133" t="s">
        <v>345</v>
      </c>
      <c r="N6" s="134" t="s">
        <v>47</v>
      </c>
      <c r="O6" s="135" t="s">
        <v>27</v>
      </c>
      <c r="P6" s="132" t="s">
        <v>24</v>
      </c>
      <c r="Q6" s="136"/>
      <c r="R6" s="137" t="s">
        <v>100</v>
      </c>
      <c r="S6" s="138" t="s">
        <v>61</v>
      </c>
      <c r="T6" s="139" t="s">
        <v>99</v>
      </c>
      <c r="U6" s="132" t="s">
        <v>94</v>
      </c>
      <c r="V6" s="140" t="s">
        <v>95</v>
      </c>
      <c r="W6" s="136" t="s">
        <v>107</v>
      </c>
      <c r="X6" s="136" t="s">
        <v>108</v>
      </c>
      <c r="Y6" s="141" t="s">
        <v>190</v>
      </c>
      <c r="Z6" s="142" t="s">
        <v>191</v>
      </c>
      <c r="AA6" s="142" t="s">
        <v>163</v>
      </c>
      <c r="AB6" s="142" t="s">
        <v>192</v>
      </c>
    </row>
    <row r="7" spans="1:28" s="1" customFormat="1" x14ac:dyDescent="0.25">
      <c r="A7" s="37">
        <v>42620.686979166669</v>
      </c>
      <c r="B7" s="32" t="s">
        <v>361</v>
      </c>
      <c r="C7" s="32" t="s">
        <v>485</v>
      </c>
      <c r="D7" s="32" t="s">
        <v>223</v>
      </c>
      <c r="E7" s="32" t="s">
        <v>201</v>
      </c>
      <c r="F7" s="48">
        <v>0</v>
      </c>
      <c r="G7" s="48">
        <v>119</v>
      </c>
      <c r="H7" s="48">
        <v>27260</v>
      </c>
      <c r="I7" s="48">
        <v>27209</v>
      </c>
      <c r="J7" s="32" t="s">
        <v>200</v>
      </c>
      <c r="K7" s="48">
        <v>27350</v>
      </c>
      <c r="L7" s="148" t="s">
        <v>53</v>
      </c>
      <c r="M7" s="151">
        <f t="shared" ref="M7:M38" si="0">CONVERT((I7-K7)/10000,"mi","ft")*IF(L7="Increasing Mileposts (1)",-1,1)</f>
        <v>-74.447999999999993</v>
      </c>
      <c r="N7" s="90" t="str">
        <f>VLOOKUP(C7,'Trips&amp;Operators'!$C$1:$E$99999,3,FALSE)</f>
        <v>HELVIE</v>
      </c>
      <c r="O7" s="114" t="s">
        <v>86</v>
      </c>
      <c r="P7" s="10" t="s">
        <v>759</v>
      </c>
      <c r="Q7" s="32"/>
      <c r="R7" s="101" t="str">
        <f>VLOOKUP(C7,'Train Runs'!$A$13:$AE$9997,31,0)</f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S7" s="104" t="str">
        <f>VLOOKUP(C7,'Train Runs'!$A$13:$AE$9997,22,0)</f>
        <v>https://search-rtdc-monitor-bjffxe2xuh6vdkpspy63sjmuny.us-east-1.es.amazonaws.com/_plugin/kibana/#/discover/Steve-Slow-Train-Analysis-(2080s-and-2083s)?_g=(refreshInterval:(display:Off,section:0,value:0),time:(from:'2016-09-07 14:52:26-0600',mode:absolute,to:'2016-09-07 17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7" s="106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/stypes="*4045*201609072*" /stext=" 22:.+((SYSTEM_STATE.+slice.+state.+changed )|(ment ac)|(system.+state.+changed )|(\|lc)|(penalty)|(\[timeout)|(PRM\|1\|D)|(kpr)|(kdp))" /e /r /s</v>
      </c>
      <c r="U7" s="9" t="str">
        <f t="shared" ref="U7:U38" si="2">MID(B7,13,4)</f>
        <v>4045</v>
      </c>
      <c r="V7" s="37">
        <f t="shared" ref="V7:V38" si="3">A7+6/24</f>
        <v>42620.936979166669</v>
      </c>
      <c r="W7" s="51" t="str">
        <f t="shared" ref="W7:W38" si="4">IF(VALUE(LEFT(IF(LEN(C7)=6,"0"&amp;C7,C7),2))&lt;=2,"EC",IF(OR(VALUE(LEFT(IF(LEN(C7)=6,"0"&amp;C7,C7),2))=8,VALUE(LEFT(IF(LEN(C7)=6,"0"&amp;C7,C7),2))=18),"NW","Other"))</f>
        <v>EC</v>
      </c>
      <c r="X7" s="51" t="str">
        <f t="shared" ref="X7:X38" si="5">IF(AND(E7="TRACK WARRANT AUTHORITY",G7&lt;10),"OMIT","KEEP")</f>
        <v>KEEP</v>
      </c>
      <c r="Y7" s="130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arrival","project_id":79,"tracker_id":40,"status_id":1,"priority_id":2,"assigned_to_id":23,"start_date":"2016-09-07","description":"","custom_fields":[{"id":1,"name":"Subdivision","value":"EC"},{"id":4,"name":"Milepost","value":"2.735"},{"id":17,"name":"Train ID","value":"192-07"},{"id":16,"name":"Locomotive ID","value":"4045"},{"id":130,"name":"Impact","value":""},{"id":150,"name":"Time of Event (Mountain Time)","value":"16:29:15"},{"id":151,"name":"Denver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</row>
    <row r="8" spans="1:28" s="1" customFormat="1" x14ac:dyDescent="0.25">
      <c r="A8" s="37">
        <v>42620.872743055559</v>
      </c>
      <c r="B8" s="32" t="s">
        <v>242</v>
      </c>
      <c r="C8" s="32" t="s">
        <v>540</v>
      </c>
      <c r="D8" s="32" t="s">
        <v>223</v>
      </c>
      <c r="E8" s="32" t="s">
        <v>201</v>
      </c>
      <c r="F8" s="48">
        <v>0</v>
      </c>
      <c r="G8" s="48">
        <v>239</v>
      </c>
      <c r="H8" s="48">
        <v>33222</v>
      </c>
      <c r="I8" s="48">
        <v>32944</v>
      </c>
      <c r="J8" s="32" t="s">
        <v>200</v>
      </c>
      <c r="K8" s="48">
        <v>33257</v>
      </c>
      <c r="L8" s="148" t="s">
        <v>53</v>
      </c>
      <c r="M8" s="151">
        <f t="shared" si="0"/>
        <v>-165.26400000000001</v>
      </c>
      <c r="N8" s="90" t="str">
        <f>VLOOKUP(C8,'Trips&amp;Operators'!$C$1:$E$99999,3,FALSE)</f>
        <v>STAMBAUGH</v>
      </c>
      <c r="O8" s="114" t="s">
        <v>86</v>
      </c>
      <c r="P8" s="10" t="s">
        <v>759</v>
      </c>
      <c r="Q8" s="32"/>
      <c r="R8" s="101" t="str">
        <f>VLOOKUP(C8,'Train Runs'!$A$13:$AE$9997,31,0)</f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S8" s="104" t="str">
        <f>VLOOKUP(C8,'Train Runs'!$A$13:$AE$9997,22,0)</f>
        <v>https://search-rtdc-monitor-bjffxe2xuh6vdkpspy63sjmuny.us-east-1.es.amazonaws.com/_plugin/kibana/#/discover/Steve-Slow-Train-Analysis-(2080s-and-2083s)?_g=(refreshInterval:(display:Off,section:0,value:0),time:(from:'2016-09-07 19:18:49-0600',mode:absolute,to:'2016-09-07 22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8" s="106" t="str">
        <f t="shared" si="1"/>
        <v>"C:\Program Files (x86)\AstroGrep\AstroGrep.exe" /spath="%USERPROFILE%\AppData\Local\Temp\OnboardLogs" /stypes="*4026*201609080*" /stext=" 02:.+((SYSTEM_STATE.+slice.+state.+changed )|(ment ac)|(system.+state.+changed )|(\|lc)|(penalty)|(\[timeout)|(PRM\|1\|D)|(kpr)|(kdp))" /e /r /s</v>
      </c>
      <c r="U8" s="9" t="str">
        <f t="shared" si="2"/>
        <v>4026</v>
      </c>
      <c r="V8" s="37">
        <f t="shared" si="3"/>
        <v>42621.122743055559</v>
      </c>
      <c r="W8" s="51" t="str">
        <f t="shared" si="4"/>
        <v>EC</v>
      </c>
      <c r="X8" s="51" t="str">
        <f t="shared" si="5"/>
        <v>KEEP</v>
      </c>
      <c r="Y8" s="130" t="str">
        <f t="shared" si="6"/>
        <v>echo {"issue":{"subject":"Early arrival","project_id":79,"tracker_id":40,"status_id":1,"priority_id":2,"assigned_to_id":23,"start_date":"2016-09-07","description":"","custom_fields":[{"id":1,"name":"Subdivision","value":"EC"},{"id":4,"name":"Milepost","value":"3.3257"},{"id":17,"name":"Train ID","value":"224-07"},{"id":16,"name":"Locomotive ID","value":"4026"},{"id":130,"name":"Impact","value":""},{"id":150,"name":"Time of Event (Mountain Time)","value":"20:56:45"},{"id":151,"name":"Denver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</row>
    <row r="9" spans="1:28" s="1" customFormat="1" x14ac:dyDescent="0.25">
      <c r="A9" s="37">
        <v>42620.235335648147</v>
      </c>
      <c r="B9" s="32" t="s">
        <v>196</v>
      </c>
      <c r="C9" s="32" t="s">
        <v>357</v>
      </c>
      <c r="D9" s="32" t="s">
        <v>49</v>
      </c>
      <c r="E9" s="32" t="s">
        <v>201</v>
      </c>
      <c r="F9" s="48">
        <v>520</v>
      </c>
      <c r="G9" s="48">
        <v>572</v>
      </c>
      <c r="H9" s="48">
        <v>48976</v>
      </c>
      <c r="I9" s="48">
        <v>46973</v>
      </c>
      <c r="J9" s="32" t="s">
        <v>200</v>
      </c>
      <c r="K9" s="48">
        <v>48048</v>
      </c>
      <c r="L9" s="148" t="s">
        <v>53</v>
      </c>
      <c r="M9" s="151">
        <f t="shared" si="0"/>
        <v>-567.6</v>
      </c>
      <c r="N9" s="90" t="str">
        <f>VLOOKUP(C9,'Trips&amp;Operators'!$C$1:$E$99999,3,FALSE)</f>
        <v>BEAM</v>
      </c>
      <c r="O9" s="114" t="s">
        <v>86</v>
      </c>
      <c r="P9" s="10" t="s">
        <v>759</v>
      </c>
      <c r="Q9" s="32"/>
      <c r="R9" s="101" t="str">
        <f>VLOOKUP(C9,'Train Runs'!$A$13:$AE$9997,31,0)</f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S9" s="104" t="str">
        <f>VLOOKUP(C9,'Train Runs'!$A$13:$AE$9997,22,0)</f>
        <v>https://search-rtdc-monitor-bjffxe2xuh6vdkpspy63sjmuny.us-east-1.es.amazonaws.com/_plugin/kibana/#/discover/Steve-Slow-Train-Analysis-(2080s-and-2083s)?_g=(refreshInterval:(display:Off,section:0,value:0),time:(from:'2016-09-07 04:03:22-0600',mode:absolute,to:'2016-09-07 06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9" s="106" t="str">
        <f t="shared" si="1"/>
        <v>"C:\Program Files (x86)\AstroGrep\AstroGrep.exe" /spath="%USERPROFILE%\AppData\Local\Temp\OnboardLogs" /stypes="*4019*201609071*" /stext=" 11:.+((SYSTEM_STATE.+slice.+state.+changed )|(ment ac)|(system.+state.+changed )|(\|lc)|(penalty)|(\[timeout)|(PRM\|1\|D)|(kpr)|(kdp))" /e /r /s</v>
      </c>
      <c r="U9" s="9" t="str">
        <f t="shared" si="2"/>
        <v>4019</v>
      </c>
      <c r="V9" s="37">
        <f t="shared" si="3"/>
        <v>42620.485335648147</v>
      </c>
      <c r="W9" s="51" t="str">
        <f t="shared" si="4"/>
        <v>EC</v>
      </c>
      <c r="X9" s="51" t="str">
        <f t="shared" si="5"/>
        <v>KEEP</v>
      </c>
      <c r="Y9" s="130" t="str">
        <f t="shared" si="6"/>
        <v>echo {"issue":{"subject":"Early arrival","project_id":79,"tracker_id":40,"status_id":1,"priority_id":2,"assigned_to_id":23,"start_date":"2016-09-07","description":"","custom_fields":[{"id":1,"name":"Subdivision","value":"EC"},{"id":4,"name":"Milepost","value":"4.8048"},{"id":17,"name":"Train ID","value":"106-07"},{"id":16,"name":"Locomotive ID","value":"4019"},{"id":130,"name":"Impact","value":""},{"id":150,"name":"Time of Event (Mountain Time)","value":"05:38:53"},{"id":151,"name":"Denver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</row>
    <row r="10" spans="1:28" s="1" customFormat="1" x14ac:dyDescent="0.25">
      <c r="A10" s="37">
        <v>42620.414826388886</v>
      </c>
      <c r="B10" s="32" t="s">
        <v>352</v>
      </c>
      <c r="C10" s="32" t="s">
        <v>415</v>
      </c>
      <c r="D10" s="32" t="s">
        <v>49</v>
      </c>
      <c r="E10" s="32" t="s">
        <v>201</v>
      </c>
      <c r="F10" s="48">
        <v>0</v>
      </c>
      <c r="G10" s="48">
        <v>288</v>
      </c>
      <c r="H10" s="48">
        <v>58025</v>
      </c>
      <c r="I10" s="48">
        <v>58592</v>
      </c>
      <c r="J10" s="32" t="s">
        <v>200</v>
      </c>
      <c r="K10" s="48">
        <v>58118</v>
      </c>
      <c r="L10" s="148" t="s">
        <v>52</v>
      </c>
      <c r="M10" s="151">
        <f t="shared" si="0"/>
        <v>-250.27199999999999</v>
      </c>
      <c r="N10" s="90" t="str">
        <f>VLOOKUP(C10,'Trips&amp;Operators'!$C$1:$E$99999,3,FALSE)</f>
        <v>SANTIZO</v>
      </c>
      <c r="O10" s="114" t="s">
        <v>86</v>
      </c>
      <c r="P10" s="10" t="s">
        <v>759</v>
      </c>
      <c r="Q10" s="32"/>
      <c r="R10" s="101" t="str">
        <f>VLOOKUP(C10,'Train Runs'!$A$13:$AE$9997,31,0)</f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S10" s="104" t="str">
        <f>VLOOKUP(C10,'Train Runs'!$A$13:$AE$9997,22,0)</f>
        <v>https://search-rtdc-monitor-bjffxe2xuh6vdkpspy63sjmuny.us-east-1.es.amazonaws.com/_plugin/kibana/#/discover/Steve-Slow-Train-Analysis-(2080s-and-2083s)?_g=(refreshInterval:(display:Off,section:0,value:0),time:(from:'2016-09-07 08:41:42-0600',mode:absolute,to:'2016-09-07 11:22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10" s="106" t="str">
        <f t="shared" si="1"/>
        <v>"C:\Program Files (x86)\AstroGrep\AstroGrep.exe" /spath="%USERPROFILE%\AppData\Local\Temp\OnboardLogs" /stypes="*4046*201609071*" /stext=" 15:.+((SYSTEM_STATE.+slice.+state.+changed )|(ment ac)|(system.+state.+changed )|(\|lc)|(penalty)|(\[timeout)|(PRM\|1\|D)|(kpr)|(kdp))" /e /r /s</v>
      </c>
      <c r="U10" s="9" t="str">
        <f t="shared" si="2"/>
        <v>4046</v>
      </c>
      <c r="V10" s="37">
        <f t="shared" si="3"/>
        <v>42620.664826388886</v>
      </c>
      <c r="W10" s="51" t="str">
        <f t="shared" si="4"/>
        <v>EC</v>
      </c>
      <c r="X10" s="51" t="str">
        <f t="shared" si="5"/>
        <v>KEEP</v>
      </c>
      <c r="Y10" s="130" t="str">
        <f t="shared" si="6"/>
        <v>echo {"issue":{"subject":"Early arrival","project_id":79,"tracker_id":40,"status_id":1,"priority_id":2,"assigned_to_id":23,"start_date":"2016-09-07","description":"","custom_fields":[{"id":1,"name":"Subdivision","value":"EC"},{"id":4,"name":"Milepost","value":"5.8118"},{"id":17,"name":"Train ID","value":"149-07"},{"id":16,"name":"Locomotive ID","value":"4046"},{"id":130,"name":"Impact","value":""},{"id":150,"name":"Time of Event (Mountain Time)","value":"09:57:21"},{"id":151,"name":"Denver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</row>
    <row r="11" spans="1:28" s="1" customFormat="1" x14ac:dyDescent="0.25">
      <c r="A11" s="37">
        <v>42620.296469907407</v>
      </c>
      <c r="B11" s="32" t="s">
        <v>113</v>
      </c>
      <c r="C11" s="32" t="s">
        <v>375</v>
      </c>
      <c r="D11" s="32" t="s">
        <v>223</v>
      </c>
      <c r="E11" s="32" t="s">
        <v>201</v>
      </c>
      <c r="F11" s="48">
        <v>0</v>
      </c>
      <c r="G11" s="48">
        <v>338</v>
      </c>
      <c r="H11" s="48">
        <v>58166</v>
      </c>
      <c r="I11" s="48">
        <v>57472</v>
      </c>
      <c r="J11" s="32" t="s">
        <v>200</v>
      </c>
      <c r="K11" s="48">
        <v>58301</v>
      </c>
      <c r="L11" s="148" t="s">
        <v>53</v>
      </c>
      <c r="M11" s="151">
        <f t="shared" si="0"/>
        <v>-437.71199999999999</v>
      </c>
      <c r="N11" s="90" t="str">
        <f>VLOOKUP(C11,'Trips&amp;Operators'!$C$1:$E$99999,3,FALSE)</f>
        <v>HILLS</v>
      </c>
      <c r="O11" s="114" t="s">
        <v>86</v>
      </c>
      <c r="P11" s="10" t="s">
        <v>759</v>
      </c>
      <c r="Q11" s="32"/>
      <c r="R11" s="101" t="str">
        <f>VLOOKUP(C11,'Train Runs'!$A$13:$AE$9997,31,0)</f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S11" s="104" t="str">
        <f>VLOOKUP(C11,'Train Runs'!$A$13:$AE$9997,22,0)</f>
        <v>https://search-rtdc-monitor-bjffxe2xuh6vdkpspy63sjmuny.us-east-1.es.amazonaws.com/_plugin/kibana/#/discover/Steve-Slow-Train-Analysis-(2080s-and-2083s)?_g=(refreshInterval:(display:Off,section:0,value:0),time:(from:'2016-09-07 05:33:13-0600',mode:absolute,to:'2016-09-07 08:21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11" s="106" t="str">
        <f t="shared" si="1"/>
        <v>"C:\Program Files (x86)\AstroGrep\AstroGrep.exe" /spath="%USERPROFILE%\AppData\Local\Temp\OnboardLogs" /stypes="*4032*201609071*" /stext=" 13:.+((SYSTEM_STATE.+slice.+state.+changed )|(ment ac)|(system.+state.+changed )|(\|lc)|(penalty)|(\[timeout)|(PRM\|1\|D)|(kpr)|(kdp))" /e /r /s</v>
      </c>
      <c r="U11" s="9" t="str">
        <f t="shared" si="2"/>
        <v>4032</v>
      </c>
      <c r="V11" s="37">
        <f t="shared" si="3"/>
        <v>42620.546469907407</v>
      </c>
      <c r="W11" s="51" t="str">
        <f t="shared" si="4"/>
        <v>EC</v>
      </c>
      <c r="X11" s="51" t="str">
        <f t="shared" si="5"/>
        <v>KEEP</v>
      </c>
      <c r="Y11" s="130" t="str">
        <f t="shared" si="6"/>
        <v>echo {"issue":{"subject":"Early arrival","project_id":79,"tracker_id":40,"status_id":1,"priority_id":2,"assigned_to_id":23,"start_date":"2016-09-07","description":"","custom_fields":[{"id":1,"name":"Subdivision","value":"EC"},{"id":4,"name":"Milepost","value":"5.8301"},{"id":17,"name":"Train ID","value":"118-07"},{"id":16,"name":"Locomotive ID","value":"4032"},{"id":130,"name":"Impact","value":""},{"id":150,"name":"Time of Event (Mountain Time)","value":"07:06:55"},{"id":151,"name":"Denver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</row>
    <row r="12" spans="1:28" s="1" customFormat="1" x14ac:dyDescent="0.25">
      <c r="A12" s="37">
        <v>42620.39980324074</v>
      </c>
      <c r="B12" s="32" t="s">
        <v>268</v>
      </c>
      <c r="C12" s="32" t="s">
        <v>405</v>
      </c>
      <c r="D12" s="32" t="s">
        <v>223</v>
      </c>
      <c r="E12" s="32" t="s">
        <v>201</v>
      </c>
      <c r="F12" s="48">
        <v>0</v>
      </c>
      <c r="G12" s="48">
        <v>211</v>
      </c>
      <c r="H12" s="48">
        <v>63125</v>
      </c>
      <c r="I12" s="48">
        <v>62706</v>
      </c>
      <c r="J12" s="32" t="s">
        <v>200</v>
      </c>
      <c r="K12" s="48">
        <v>63309</v>
      </c>
      <c r="L12" s="148" t="s">
        <v>53</v>
      </c>
      <c r="M12" s="151">
        <f t="shared" si="0"/>
        <v>-318.38400000000001</v>
      </c>
      <c r="N12" s="90" t="str">
        <f>VLOOKUP(C12,'Trips&amp;Operators'!$C$1:$E$99999,3,FALSE)</f>
        <v>KILLION</v>
      </c>
      <c r="O12" s="114" t="s">
        <v>86</v>
      </c>
      <c r="P12" s="10" t="s">
        <v>759</v>
      </c>
      <c r="Q12" s="32"/>
      <c r="R12" s="101" t="str">
        <f>VLOOKUP(C12,'Train Runs'!$A$13:$AE$9997,31,0)</f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S12" s="104" t="str">
        <f>VLOOKUP(C12,'Train Runs'!$A$13:$AE$9997,22,0)</f>
        <v>https://search-rtdc-monitor-bjffxe2xuh6vdkpspy63sjmuny.us-east-1.es.amazonaws.com/_plugin/kibana/#/discover/Steve-Slow-Train-Analysis-(2080s-and-2083s)?_g=(refreshInterval:(display:Off,section:0,value:0),time:(from:'2016-09-07 08:00:38-0600',mode:absolute,to:'2016-09-07 10:50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12" s="106" t="str">
        <f t="shared" si="1"/>
        <v>"C:\Program Files (x86)\AstroGrep\AstroGrep.exe" /spath="%USERPROFILE%\AppData\Local\Temp\OnboardLogs" /stypes="*4012*201609071*" /stext=" 15:.+((SYSTEM_STATE.+slice.+state.+changed )|(ment ac)|(system.+state.+changed )|(\|lc)|(penalty)|(\[timeout)|(PRM\|1\|D)|(kpr)|(kdp))" /e /r /s</v>
      </c>
      <c r="U12" s="9" t="str">
        <f t="shared" si="2"/>
        <v>4012</v>
      </c>
      <c r="V12" s="37">
        <f t="shared" si="3"/>
        <v>42620.64980324074</v>
      </c>
      <c r="W12" s="51" t="str">
        <f t="shared" si="4"/>
        <v>EC</v>
      </c>
      <c r="X12" s="51" t="str">
        <f t="shared" si="5"/>
        <v>KEEP</v>
      </c>
      <c r="Y12" s="130" t="str">
        <f t="shared" si="6"/>
        <v>echo {"issue":{"subject":"Early arrival","project_id":79,"tracker_id":40,"status_id":1,"priority_id":2,"assigned_to_id":23,"start_date":"2016-09-07","description":"","custom_fields":[{"id":1,"name":"Subdivision","value":"EC"},{"id":4,"name":"Milepost","value":"6.3309"},{"id":17,"name":"Train ID","value":"138-07"},{"id":16,"name":"Locomotive ID","value":"4012"},{"id":130,"name":"Impact","value":""},{"id":150,"name":"Time of Event (Mountain Time)","value":"09:35:43"},{"id":151,"name":"Denver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</row>
    <row r="13" spans="1:28" s="1" customFormat="1" x14ac:dyDescent="0.25">
      <c r="A13" s="37">
        <v>42620.37771990741</v>
      </c>
      <c r="B13" s="32" t="s">
        <v>196</v>
      </c>
      <c r="C13" s="32" t="s">
        <v>400</v>
      </c>
      <c r="D13" s="32" t="s">
        <v>49</v>
      </c>
      <c r="E13" s="32" t="s">
        <v>201</v>
      </c>
      <c r="F13" s="48">
        <v>0</v>
      </c>
      <c r="G13" s="48">
        <v>271</v>
      </c>
      <c r="H13" s="48">
        <v>78563</v>
      </c>
      <c r="I13" s="48">
        <v>78200</v>
      </c>
      <c r="J13" s="32" t="s">
        <v>200</v>
      </c>
      <c r="K13" s="48">
        <v>78469</v>
      </c>
      <c r="L13" s="148" t="s">
        <v>53</v>
      </c>
      <c r="M13" s="151">
        <f t="shared" si="0"/>
        <v>-142.03200000000001</v>
      </c>
      <c r="N13" s="90" t="str">
        <f>VLOOKUP(C13,'Trips&amp;Operators'!$C$1:$E$99999,3,FALSE)</f>
        <v>STRICKLAND</v>
      </c>
      <c r="O13" s="114" t="s">
        <v>86</v>
      </c>
      <c r="P13" s="10" t="s">
        <v>759</v>
      </c>
      <c r="Q13" s="32"/>
      <c r="R13" s="101" t="str">
        <f>VLOOKUP(C13,'Train Runs'!$A$13:$AE$9997,31,0)</f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S13" s="104" t="str">
        <f>VLOOKUP(C13,'Train Runs'!$A$13:$AE$9997,22,0)</f>
        <v>https://search-rtdc-monitor-bjffxe2xuh6vdkpspy63sjmuny.us-east-1.es.amazonaws.com/_plugin/kibana/#/discover/Steve-Slow-Train-Analysis-(2080s-and-2083s)?_g=(refreshInterval:(display:Off,section:0,value:0),time:(from:'2016-09-07 07:35:09-0600',mode:absolute,to:'2016-09-07 10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13" s="106" t="str">
        <f t="shared" si="1"/>
        <v>"C:\Program Files (x86)\AstroGrep\AstroGrep.exe" /spath="%USERPROFILE%\AppData\Local\Temp\OnboardLogs" /stypes="*4019*201609071*" /stext=" 15:.+((SYSTEM_STATE.+slice.+state.+changed )|(ment ac)|(system.+state.+changed )|(\|lc)|(penalty)|(\[timeout)|(PRM\|1\|D)|(kpr)|(kdp))" /e /r /s</v>
      </c>
      <c r="U13" s="9" t="str">
        <f t="shared" si="2"/>
        <v>4019</v>
      </c>
      <c r="V13" s="37">
        <f t="shared" si="3"/>
        <v>42620.62771990741</v>
      </c>
      <c r="W13" s="51" t="str">
        <f t="shared" si="4"/>
        <v>EC</v>
      </c>
      <c r="X13" s="51" t="str">
        <f t="shared" si="5"/>
        <v>KEEP</v>
      </c>
      <c r="Y13" s="130" t="str">
        <f t="shared" si="6"/>
        <v>echo {"issue":{"subject":"Early arrival","project_id":79,"tracker_id":40,"status_id":1,"priority_id":2,"assigned_to_id":23,"start_date":"2016-09-07","description":"","custom_fields":[{"id":1,"name":"Subdivision","value":"EC"},{"id":4,"name":"Milepost","value":"7.8469"},{"id":17,"name":"Train ID","value":"134-07"},{"id":16,"name":"Locomotive ID","value":"4019"},{"id":130,"name":"Impact","value":""},{"id":150,"name":"Time of Event (Mountain Time)","value":"09:03:55"},{"id":151,"name":"Denver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</row>
    <row r="14" spans="1:28" s="1" customFormat="1" x14ac:dyDescent="0.25">
      <c r="A14" s="37">
        <v>42620.36309027778</v>
      </c>
      <c r="B14" s="32" t="s">
        <v>113</v>
      </c>
      <c r="C14" s="32" t="s">
        <v>397</v>
      </c>
      <c r="D14" s="32" t="s">
        <v>223</v>
      </c>
      <c r="E14" s="32" t="s">
        <v>201</v>
      </c>
      <c r="F14" s="48">
        <v>0</v>
      </c>
      <c r="G14" s="48">
        <v>226</v>
      </c>
      <c r="H14" s="48">
        <v>109033</v>
      </c>
      <c r="I14" s="48">
        <v>108876</v>
      </c>
      <c r="J14" s="32" t="s">
        <v>200</v>
      </c>
      <c r="K14" s="48">
        <v>109135</v>
      </c>
      <c r="L14" s="148" t="s">
        <v>53</v>
      </c>
      <c r="M14" s="151">
        <f t="shared" si="0"/>
        <v>-136.75200000000001</v>
      </c>
      <c r="N14" s="90" t="str">
        <f>VLOOKUP(C14,'Trips&amp;Operators'!$C$1:$E$99999,3,FALSE)</f>
        <v>HILLS</v>
      </c>
      <c r="O14" s="114" t="s">
        <v>86</v>
      </c>
      <c r="P14" s="10" t="s">
        <v>759</v>
      </c>
      <c r="Q14" s="32"/>
      <c r="R14" s="101" t="str">
        <f>VLOOKUP(C14,'Train Runs'!$A$13:$AE$9997,31,0)</f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S14" s="104" t="str">
        <f>VLOOKUP(C14,'Train Runs'!$A$13:$AE$9997,22,0)</f>
        <v>https://search-rtdc-monitor-bjffxe2xuh6vdkpspy63sjmuny.us-east-1.es.amazonaws.com/_plugin/kibana/#/discover/Steve-Slow-Train-Analysis-(2080s-and-2083s)?_g=(refreshInterval:(display:Off,section:0,value:0),time:(from:'2016-09-07 07:16:45-0600',mode:absolute,to:'2016-09-07 10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14" s="106" t="str">
        <f t="shared" si="1"/>
        <v>"C:\Program Files (x86)\AstroGrep\AstroGrep.exe" /spath="%USERPROFILE%\AppData\Local\Temp\OnboardLogs" /stypes="*4032*201609071*" /stext=" 14:.+((SYSTEM_STATE.+slice.+state.+changed )|(ment ac)|(system.+state.+changed )|(\|lc)|(penalty)|(\[timeout)|(PRM\|1\|D)|(kpr)|(kdp))" /e /r /s</v>
      </c>
      <c r="U14" s="9" t="str">
        <f t="shared" si="2"/>
        <v>4032</v>
      </c>
      <c r="V14" s="37">
        <f t="shared" si="3"/>
        <v>42620.61309027778</v>
      </c>
      <c r="W14" s="51" t="str">
        <f t="shared" si="4"/>
        <v>EC</v>
      </c>
      <c r="X14" s="51" t="str">
        <f t="shared" si="5"/>
        <v>KEEP</v>
      </c>
      <c r="Y14" s="130" t="str">
        <f t="shared" si="6"/>
        <v>echo {"issue":{"subject":"Early arrival","project_id":79,"tracker_id":40,"status_id":1,"priority_id":2,"assigned_to_id":23,"start_date":"2016-09-07","description":"","custom_fields":[{"id":1,"name":"Subdivision","value":"EC"},{"id":4,"name":"Milepost","value":"10.9135"},{"id":17,"name":"Train ID","value":"132-07"},{"id":16,"name":"Locomotive ID","value":"4032"},{"id":130,"name":"Impact","value":""},{"id":150,"name":"Time of Event (Mountain Time)","value":"08:42:51"},{"id":151,"name":"Denver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</row>
    <row r="15" spans="1:28" s="1" customFormat="1" x14ac:dyDescent="0.25">
      <c r="A15" s="37">
        <v>42620.323877314811</v>
      </c>
      <c r="B15" s="32" t="s">
        <v>197</v>
      </c>
      <c r="C15" s="32" t="s">
        <v>389</v>
      </c>
      <c r="D15" s="32" t="s">
        <v>109</v>
      </c>
      <c r="E15" s="32" t="s">
        <v>56</v>
      </c>
      <c r="F15" s="48">
        <v>150</v>
      </c>
      <c r="G15" s="48">
        <v>201</v>
      </c>
      <c r="H15" s="48">
        <v>2337</v>
      </c>
      <c r="I15" s="48">
        <v>2676</v>
      </c>
      <c r="J15" s="32" t="s">
        <v>57</v>
      </c>
      <c r="K15" s="48">
        <v>0</v>
      </c>
      <c r="L15" s="148" t="s">
        <v>52</v>
      </c>
      <c r="M15" s="151">
        <f t="shared" si="0"/>
        <v>-1412.9280000000001</v>
      </c>
      <c r="N15" s="90" t="str">
        <f>VLOOKUP(C15,'Trips&amp;Operators'!$C$1:$E$99999,3,FALSE)</f>
        <v>STRICKLAND</v>
      </c>
      <c r="O15" s="114" t="s">
        <v>86</v>
      </c>
      <c r="P15" s="10"/>
      <c r="Q15" s="32"/>
      <c r="R15" s="101" t="str">
        <f>VLOOKUP(C15,'Train Runs'!$A$13:$AE$9997,31,0)</f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S15" s="104" t="str">
        <f>VLOOKUP(C15,'Train Runs'!$A$13:$AE$9997,22,0)</f>
        <v>https://search-rtdc-monitor-bjffxe2xuh6vdkpspy63sjmuny.us-east-1.es.amazonaws.com/_plugin/kibana/#/discover/Steve-Slow-Train-Analysis-(2080s-and-2083s)?_g=(refreshInterval:(display:Off,section:0,value:0),time:(from:'2016-09-07 06:38:49-0600',mode:absolute,to:'2016-09-07 09:24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15" s="106" t="str">
        <f t="shared" si="1"/>
        <v>"C:\Program Files (x86)\AstroGrep\AstroGrep.exe" /spath="%USERPROFILE%\AppData\Local\Temp\OnboardLogs" /stypes="*4020*201609071*" /stext=" 13:.+((SYSTEM_STATE.+slice.+state.+changed )|(ment ac)|(system.+state.+changed )|(\|lc)|(penalty)|(\[timeout)|(PRM\|1\|D)|(kpr)|(kdp))" /e /r /s</v>
      </c>
      <c r="U15" s="9" t="str">
        <f t="shared" si="2"/>
        <v>4020</v>
      </c>
      <c r="V15" s="37">
        <f t="shared" si="3"/>
        <v>42620.573877314811</v>
      </c>
      <c r="W15" s="51" t="str">
        <f t="shared" si="4"/>
        <v>EC</v>
      </c>
      <c r="X15" s="51" t="str">
        <f t="shared" si="5"/>
        <v>KEEP</v>
      </c>
      <c r="Y15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{"issue":{"subject":"","project_id":79,"tracker_id":40,"status_id":1,"priority_id":2,"assigned_to_id":23,"start_date":"2016-09-07","description":"","custom_fields":[{"id":1,"name":"Subdivision","value":"EC"},{"id":4,"name":"Milepost","value":"0"},{"id":17,"name":"Train ID","value":"133-07"},{"id":16,"name":"Locomotive ID","value":"4020"},{"id":130,"name":"Impact","value":""},{"id":150,"name":"Time of Event (Mountain Time)","value":"07:46:23"},{"id":151,"name":"Denver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</row>
    <row r="16" spans="1:28" s="1" customFormat="1" x14ac:dyDescent="0.25">
      <c r="A16" s="37">
        <v>42620.388831018521</v>
      </c>
      <c r="B16" s="32" t="s">
        <v>196</v>
      </c>
      <c r="C16" s="32" t="s">
        <v>400</v>
      </c>
      <c r="D16" s="32" t="s">
        <v>109</v>
      </c>
      <c r="E16" s="32" t="s">
        <v>56</v>
      </c>
      <c r="F16" s="48">
        <v>150</v>
      </c>
      <c r="G16" s="48">
        <v>201</v>
      </c>
      <c r="H16" s="48">
        <v>3658</v>
      </c>
      <c r="I16" s="48">
        <v>3350</v>
      </c>
      <c r="J16" s="32" t="s">
        <v>57</v>
      </c>
      <c r="K16" s="48">
        <v>4677</v>
      </c>
      <c r="L16" s="148" t="s">
        <v>53</v>
      </c>
      <c r="M16" s="151">
        <f t="shared" si="0"/>
        <v>-700.65600000000006</v>
      </c>
      <c r="N16" s="90" t="str">
        <f>VLOOKUP(C16,'Trips&amp;Operators'!$C$1:$E$99999,3,FALSE)</f>
        <v>STRICKLAND</v>
      </c>
      <c r="O16" s="114" t="s">
        <v>86</v>
      </c>
      <c r="P16" s="10"/>
      <c r="Q16" s="32"/>
      <c r="R16" s="101" t="str">
        <f>VLOOKUP(C16,'Train Runs'!$A$13:$AE$9997,31,0)</f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S16" s="104" t="str">
        <f>VLOOKUP(C16,'Train Runs'!$A$13:$AE$9997,22,0)</f>
        <v>https://search-rtdc-monitor-bjffxe2xuh6vdkpspy63sjmuny.us-east-1.es.amazonaws.com/_plugin/kibana/#/discover/Steve-Slow-Train-Analysis-(2080s-and-2083s)?_g=(refreshInterval:(display:Off,section:0,value:0),time:(from:'2016-09-07 07:35:09-0600',mode:absolute,to:'2016-09-07 10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16" s="106" t="str">
        <f t="shared" si="1"/>
        <v>"C:\Program Files (x86)\AstroGrep\AstroGrep.exe" /spath="%USERPROFILE%\AppData\Local\Temp\OnboardLogs" /stypes="*4019*201609071*" /stext=" 15:.+((SYSTEM_STATE.+slice.+state.+changed )|(ment ac)|(system.+state.+changed )|(\|lc)|(penalty)|(\[timeout)|(PRM\|1\|D)|(kpr)|(kdp))" /e /r /s</v>
      </c>
      <c r="U16" s="9" t="str">
        <f t="shared" si="2"/>
        <v>4019</v>
      </c>
      <c r="V16" s="37">
        <f t="shared" si="3"/>
        <v>42620.638831018521</v>
      </c>
      <c r="W16" s="51" t="str">
        <f t="shared" si="4"/>
        <v>EC</v>
      </c>
      <c r="X16" s="51" t="str">
        <f t="shared" si="5"/>
        <v>KEEP</v>
      </c>
      <c r="Y16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{"issue":{"subject":"","project_id":79,"tracker_id":40,"status_id":1,"priority_id":2,"assigned_to_id":23,"start_date":"2016-09-07","description":"","custom_fields":[{"id":1,"name":"Subdivision","value":"EC"},{"id":4,"name":"Milepost","value":"0.4677"},{"id":17,"name":"Train ID","value":"134-07"},{"id":16,"name":"Locomotive ID","value":"4019"},{"id":130,"name":"Impact","value":""},{"id":150,"name":"Time of Event (Mountain Time)","value":"09:19:55"},{"id":151,"name":"Denver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</row>
    <row r="17" spans="1:28" s="1" customFormat="1" x14ac:dyDescent="0.25">
      <c r="A17" s="37">
        <v>42620.397789351853</v>
      </c>
      <c r="B17" s="32" t="s">
        <v>197</v>
      </c>
      <c r="C17" s="32" t="s">
        <v>411</v>
      </c>
      <c r="D17" s="32" t="s">
        <v>109</v>
      </c>
      <c r="E17" s="32" t="s">
        <v>56</v>
      </c>
      <c r="F17" s="48">
        <v>200</v>
      </c>
      <c r="G17" s="48">
        <v>253</v>
      </c>
      <c r="H17" s="48">
        <v>5457</v>
      </c>
      <c r="I17" s="48">
        <v>5980</v>
      </c>
      <c r="J17" s="32" t="s">
        <v>57</v>
      </c>
      <c r="K17" s="48">
        <v>4677</v>
      </c>
      <c r="L17" s="148" t="s">
        <v>52</v>
      </c>
      <c r="M17" s="151">
        <f t="shared" si="0"/>
        <v>-687.98400000000004</v>
      </c>
      <c r="N17" s="90" t="str">
        <f>VLOOKUP(C17,'Trips&amp;Operators'!$C$1:$E$99999,3,FALSE)</f>
        <v>STRICKLAND</v>
      </c>
      <c r="O17" s="114" t="s">
        <v>86</v>
      </c>
      <c r="P17" s="10"/>
      <c r="Q17" s="32"/>
      <c r="R17" s="101" t="str">
        <f>VLOOKUP(C17,'Train Runs'!$A$13:$AE$9997,31,0)</f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S17" s="104" t="str">
        <f>VLOOKUP(C17,'Train Runs'!$A$13:$AE$9997,22,0)</f>
        <v>https://search-rtdc-monitor-bjffxe2xuh6vdkpspy63sjmuny.us-east-1.es.amazonaws.com/_plugin/kibana/#/discover/Steve-Slow-Train-Analysis-(2080s-and-2083s)?_g=(refreshInterval:(display:Off,section:0,value:0),time:(from:'2016-09-07 08:26:30-0600',mode:absolute,to:'2016-09-07 11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17" s="106" t="str">
        <f t="shared" si="1"/>
        <v>"C:\Program Files (x86)\AstroGrep\AstroGrep.exe" /spath="%USERPROFILE%\AppData\Local\Temp\OnboardLogs" /stypes="*4020*201609071*" /stext=" 15:.+((SYSTEM_STATE.+slice.+state.+changed )|(ment ac)|(system.+state.+changed )|(\|lc)|(penalty)|(\[timeout)|(PRM\|1\|D)|(kpr)|(kdp))" /e /r /s</v>
      </c>
      <c r="U17" s="9" t="str">
        <f t="shared" si="2"/>
        <v>4020</v>
      </c>
      <c r="V17" s="37">
        <f t="shared" si="3"/>
        <v>42620.647789351853</v>
      </c>
      <c r="W17" s="51" t="str">
        <f t="shared" si="4"/>
        <v>EC</v>
      </c>
      <c r="X17" s="51" t="str">
        <f t="shared" si="5"/>
        <v>KEEP</v>
      </c>
      <c r="Y17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{"issue":{"subject":"","project_id":79,"tracker_id":40,"status_id":1,"priority_id":2,"assigned_to_id":23,"start_date":"2016-09-07","description":"","custom_fields":[{"id":1,"name":"Subdivision","value":"EC"},{"id":4,"name":"Milepost","value":"0.4677"},{"id":17,"name":"Train ID","value":"147-07"},{"id":16,"name":"Locomotive ID","value":"4020"},{"id":130,"name":"Impact","value":""},{"id":150,"name":"Time of Event (Mountain Time)","value":"09:32:49"},{"id":151,"name":"Denver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</row>
    <row r="18" spans="1:28" s="1" customFormat="1" x14ac:dyDescent="0.25">
      <c r="A18" s="37">
        <v>42620.875277777777</v>
      </c>
      <c r="B18" s="32" t="s">
        <v>242</v>
      </c>
      <c r="C18" s="32" t="s">
        <v>540</v>
      </c>
      <c r="D18" s="32" t="s">
        <v>49</v>
      </c>
      <c r="E18" s="32" t="s">
        <v>56</v>
      </c>
      <c r="F18" s="48">
        <v>300</v>
      </c>
      <c r="G18" s="48">
        <v>426</v>
      </c>
      <c r="H18" s="48">
        <v>22789</v>
      </c>
      <c r="I18" s="48">
        <v>21685</v>
      </c>
      <c r="J18" s="32" t="s">
        <v>57</v>
      </c>
      <c r="K18" s="48">
        <v>21848</v>
      </c>
      <c r="L18" s="148" t="s">
        <v>53</v>
      </c>
      <c r="M18" s="151">
        <f t="shared" si="0"/>
        <v>-86.063999999999993</v>
      </c>
      <c r="N18" s="90" t="str">
        <f>VLOOKUP(C18,'Trips&amp;Operators'!$C$1:$E$99999,3,FALSE)</f>
        <v>STAMBAUGH</v>
      </c>
      <c r="O18" s="114" t="s">
        <v>86</v>
      </c>
      <c r="P18" s="10"/>
      <c r="Q18" s="32"/>
      <c r="R18" s="101" t="str">
        <f>VLOOKUP(C18,'Train Runs'!$A$13:$AE$9997,31,0)</f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S18" s="104" t="str">
        <f>VLOOKUP(C18,'Train Runs'!$A$13:$AE$9997,22,0)</f>
        <v>https://search-rtdc-monitor-bjffxe2xuh6vdkpspy63sjmuny.us-east-1.es.amazonaws.com/_plugin/kibana/#/discover/Steve-Slow-Train-Analysis-(2080s-and-2083s)?_g=(refreshInterval:(display:Off,section:0,value:0),time:(from:'2016-09-07 19:18:49-0600',mode:absolute,to:'2016-09-07 22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18" s="106" t="str">
        <f t="shared" si="1"/>
        <v>"C:\Program Files (x86)\AstroGrep\AstroGrep.exe" /spath="%USERPROFILE%\AppData\Local\Temp\OnboardLogs" /stypes="*4026*201609080*" /stext=" 03:.+((SYSTEM_STATE.+slice.+state.+changed )|(ment ac)|(system.+state.+changed )|(\|lc)|(penalty)|(\[timeout)|(PRM\|1\|D)|(kpr)|(kdp))" /e /r /s</v>
      </c>
      <c r="U18" s="9" t="str">
        <f t="shared" si="2"/>
        <v>4026</v>
      </c>
      <c r="V18" s="37">
        <f t="shared" si="3"/>
        <v>42621.125277777777</v>
      </c>
      <c r="W18" s="51" t="str">
        <f t="shared" si="4"/>
        <v>EC</v>
      </c>
      <c r="X18" s="51" t="str">
        <f t="shared" si="5"/>
        <v>KEEP</v>
      </c>
      <c r="Y18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{"issue":{"subject":"","project_id":79,"tracker_id":40,"status_id":1,"priority_id":2,"assigned_to_id":23,"start_date":"2016-09-07","description":"","custom_fields":[{"id":1,"name":"Subdivision","value":"EC"},{"id":4,"name":"Milepost","value":"2.1848"},{"id":17,"name":"Train ID","value":"224-07"},{"id":16,"name":"Locomotive ID","value":"4026"},{"id":130,"name":"Impact","value":""},{"id":150,"name":"Time of Event (Mountain Time)","value":"21:00:24"},{"id":151,"name":"Denver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</row>
    <row r="19" spans="1:28" s="1" customFormat="1" x14ac:dyDescent="0.25">
      <c r="A19" s="37">
        <v>42620.310694444444</v>
      </c>
      <c r="B19" s="32" t="s">
        <v>196</v>
      </c>
      <c r="C19" s="32" t="s">
        <v>379</v>
      </c>
      <c r="D19" s="32" t="s">
        <v>49</v>
      </c>
      <c r="E19" s="32" t="s">
        <v>56</v>
      </c>
      <c r="F19" s="48">
        <v>200</v>
      </c>
      <c r="G19" s="48">
        <v>272</v>
      </c>
      <c r="H19" s="48">
        <v>31429</v>
      </c>
      <c r="I19" s="48">
        <v>30862</v>
      </c>
      <c r="J19" s="32" t="s">
        <v>57</v>
      </c>
      <c r="K19" s="48">
        <v>30562</v>
      </c>
      <c r="L19" s="148" t="s">
        <v>53</v>
      </c>
      <c r="M19" s="151">
        <f t="shared" si="0"/>
        <v>158.4</v>
      </c>
      <c r="N19" s="90" t="str">
        <f>VLOOKUP(C19,'Trips&amp;Operators'!$C$1:$E$99999,3,FALSE)</f>
        <v>STRICKLAND</v>
      </c>
      <c r="O19" s="114" t="s">
        <v>86</v>
      </c>
      <c r="P19" s="10"/>
      <c r="Q19" s="32"/>
      <c r="R19" s="101" t="str">
        <f>VLOOKUP(C19,'Train Runs'!$A$13:$AE$9997,31,0)</f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S19" s="104" t="str">
        <f>VLOOKUP(C19,'Train Runs'!$A$13:$AE$9997,22,0)</f>
        <v>https://search-rtdc-monitor-bjffxe2xuh6vdkpspy63sjmuny.us-east-1.es.amazonaws.com/_plugin/kibana/#/discover/Steve-Slow-Train-Analysis-(2080s-and-2083s)?_g=(refreshInterval:(display:Off,section:0,value:0),time:(from:'2016-09-07 05:51:23-0600',mode:absolute,to:'2016-09-07 08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19" s="106" t="str">
        <f t="shared" si="1"/>
        <v>"C:\Program Files (x86)\AstroGrep\AstroGrep.exe" /spath="%USERPROFILE%\AppData\Local\Temp\OnboardLogs" /stypes="*4019*201609071*" /stext=" 13:.+((SYSTEM_STATE.+slice.+state.+changed )|(ment ac)|(system.+state.+changed )|(\|lc)|(penalty)|(\[timeout)|(PRM\|1\|D)|(kpr)|(kdp))" /e /r /s</v>
      </c>
      <c r="U19" s="9" t="str">
        <f t="shared" si="2"/>
        <v>4019</v>
      </c>
      <c r="V19" s="37">
        <f t="shared" si="3"/>
        <v>42620.560694444444</v>
      </c>
      <c r="W19" s="51" t="str">
        <f t="shared" si="4"/>
        <v>EC</v>
      </c>
      <c r="X19" s="51" t="str">
        <f t="shared" si="5"/>
        <v>KEEP</v>
      </c>
      <c r="Y19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{"issue":{"subject":"","project_id":79,"tracker_id":40,"status_id":1,"priority_id":2,"assigned_to_id":23,"start_date":"2016-09-07","description":"","custom_fields":[{"id":1,"name":"Subdivision","value":"EC"},{"id":4,"name":"Milepost","value":"3.0562"},{"id":17,"name":"Train ID","value":"120-07"},{"id":16,"name":"Locomotive ID","value":"4019"},{"id":130,"name":"Impact","value":""},{"id":150,"name":"Time of Event (Mountain Time)","value":"07:27:24"},{"id":151,"name":"Denver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</row>
    <row r="20" spans="1:28" s="1" customFormat="1" x14ac:dyDescent="0.25">
      <c r="A20" s="37">
        <v>42620.873379629629</v>
      </c>
      <c r="B20" s="32" t="s">
        <v>242</v>
      </c>
      <c r="C20" s="32" t="s">
        <v>540</v>
      </c>
      <c r="D20" s="32" t="s">
        <v>49</v>
      </c>
      <c r="E20" s="32" t="s">
        <v>56</v>
      </c>
      <c r="F20" s="48">
        <v>200</v>
      </c>
      <c r="G20" s="48">
        <v>277</v>
      </c>
      <c r="H20" s="48">
        <v>32110</v>
      </c>
      <c r="I20" s="48">
        <v>31207</v>
      </c>
      <c r="J20" s="32" t="s">
        <v>57</v>
      </c>
      <c r="K20" s="48">
        <v>30562</v>
      </c>
      <c r="L20" s="148" t="s">
        <v>53</v>
      </c>
      <c r="M20" s="151">
        <f t="shared" si="0"/>
        <v>340.56</v>
      </c>
      <c r="N20" s="90" t="str">
        <f>VLOOKUP(C20,'Trips&amp;Operators'!$C$1:$E$99999,3,FALSE)</f>
        <v>STAMBAUGH</v>
      </c>
      <c r="O20" s="114" t="s">
        <v>86</v>
      </c>
      <c r="P20" s="10"/>
      <c r="Q20" s="32"/>
      <c r="R20" s="101" t="str">
        <f>VLOOKUP(C20,'Train Runs'!$A$13:$AE$9997,31,0)</f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S20" s="104" t="str">
        <f>VLOOKUP(C20,'Train Runs'!$A$13:$AE$9997,22,0)</f>
        <v>https://search-rtdc-monitor-bjffxe2xuh6vdkpspy63sjmuny.us-east-1.es.amazonaws.com/_plugin/kibana/#/discover/Steve-Slow-Train-Analysis-(2080s-and-2083s)?_g=(refreshInterval:(display:Off,section:0,value:0),time:(from:'2016-09-07 19:18:49-0600',mode:absolute,to:'2016-09-07 22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20" s="106" t="str">
        <f t="shared" si="1"/>
        <v>"C:\Program Files (x86)\AstroGrep\AstroGrep.exe" /spath="%USERPROFILE%\AppData\Local\Temp\OnboardLogs" /stypes="*4026*201609080*" /stext=" 02:.+((SYSTEM_STATE.+slice.+state.+changed )|(ment ac)|(system.+state.+changed )|(\|lc)|(penalty)|(\[timeout)|(PRM\|1\|D)|(kpr)|(kdp))" /e /r /s</v>
      </c>
      <c r="U20" s="9" t="str">
        <f t="shared" si="2"/>
        <v>4026</v>
      </c>
      <c r="V20" s="37">
        <f t="shared" si="3"/>
        <v>42621.123379629629</v>
      </c>
      <c r="W20" s="51" t="str">
        <f t="shared" si="4"/>
        <v>EC</v>
      </c>
      <c r="X20" s="51" t="str">
        <f t="shared" si="5"/>
        <v>KEEP</v>
      </c>
      <c r="Y20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{"issue":{"subject":"","project_id":79,"tracker_id":40,"status_id":1,"priority_id":2,"assigned_to_id":23,"start_date":"2016-09-07","description":"","custom_fields":[{"id":1,"name":"Subdivision","value":"EC"},{"id":4,"name":"Milepost","value":"3.0562"},{"id":17,"name":"Train ID","value":"224-07"},{"id":16,"name":"Locomotive ID","value":"4026"},{"id":130,"name":"Impact","value":""},{"id":150,"name":"Time of Event (Mountain Time)","value":"20:57:40"},{"id":151,"name":"Denver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</row>
    <row r="21" spans="1:28" s="1" customFormat="1" x14ac:dyDescent="0.25">
      <c r="A21" s="37">
        <v>42620.212569444448</v>
      </c>
      <c r="B21" s="32" t="s">
        <v>208</v>
      </c>
      <c r="C21" s="32" t="s">
        <v>355</v>
      </c>
      <c r="D21" s="32" t="s">
        <v>49</v>
      </c>
      <c r="E21" s="32" t="s">
        <v>56</v>
      </c>
      <c r="F21" s="48">
        <v>400</v>
      </c>
      <c r="G21" s="48">
        <v>642</v>
      </c>
      <c r="H21" s="48">
        <v>114079</v>
      </c>
      <c r="I21" s="48">
        <v>116652</v>
      </c>
      <c r="J21" s="32" t="s">
        <v>57</v>
      </c>
      <c r="K21" s="48">
        <v>116838</v>
      </c>
      <c r="L21" s="148" t="s">
        <v>52</v>
      </c>
      <c r="M21" s="151">
        <f t="shared" si="0"/>
        <v>98.207999999999998</v>
      </c>
      <c r="N21" s="90" t="str">
        <f>VLOOKUP(C21,'Trips&amp;Operators'!$C$1:$E$99999,3,FALSE)</f>
        <v>KILLION</v>
      </c>
      <c r="O21" s="114" t="s">
        <v>86</v>
      </c>
      <c r="P21" s="10"/>
      <c r="Q21" s="32"/>
      <c r="R21" s="101" t="str">
        <f>VLOOKUP(C21,'Train Runs'!$A$13:$AE$9997,31,0)</f>
        <v>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 &amp; 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</v>
      </c>
      <c r="S21" s="104" t="str">
        <f>VLOOKUP(C21,'Train Runs'!$A$13:$AE$9997,22,0)</f>
        <v>https://search-rtdc-monitor-bjffxe2xuh6vdkpspy63sjmuny.us-east-1.es.amazonaws.com/_plugin/kibana/#/discover/Steve-Slow-Train-Analysis-(2080s-and-2083s)?_g=(refreshInterval:(display:Off,section:0,value:0),time:(from:'2016-09-07 03:40:36-0600',mode:absolute,to:'2016-09-07 06:21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21" s="106" t="str">
        <f t="shared" si="1"/>
        <v>"C:\Program Files (x86)\AstroGrep\AstroGrep.exe" /spath="%USERPROFILE%\AppData\Local\Temp\OnboardLogs" /stypes="*4011*201609071*" /stext=" 11:.+((SYSTEM_STATE.+slice.+state.+changed )|(ment ac)|(system.+state.+changed )|(\|lc)|(penalty)|(\[timeout)|(PRM\|1\|D)|(kpr)|(kdp))" /e /r /s</v>
      </c>
      <c r="U21" s="9" t="str">
        <f t="shared" si="2"/>
        <v>4011</v>
      </c>
      <c r="V21" s="37">
        <f t="shared" si="3"/>
        <v>42620.462569444448</v>
      </c>
      <c r="W21" s="51" t="str">
        <f t="shared" si="4"/>
        <v>EC</v>
      </c>
      <c r="X21" s="51" t="str">
        <f t="shared" si="5"/>
        <v>KEEP</v>
      </c>
      <c r="Y21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{"issue":{"subject":"","project_id":79,"tracker_id":40,"status_id":1,"priority_id":2,"assigned_to_id":23,"start_date":"2016-09-07","description":"","custom_fields":[{"id":1,"name":"Subdivision","value":"EC"},{"id":4,"name":"Milepost","value":"11.6838"},{"id":17,"name":"Train ID","value":"109-07"},{"id":16,"name":"Locomotive ID","value":"4011"},{"id":130,"name":"Impact","value":""},{"id":150,"name":"Time of Event (Mountain Time)","value":"05:06:06"},{"id":151,"name":"Denver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</row>
    <row r="22" spans="1:28" x14ac:dyDescent="0.25">
      <c r="A22" s="37">
        <v>42620.683877314812</v>
      </c>
      <c r="B22" s="32" t="s">
        <v>268</v>
      </c>
      <c r="C22" s="32" t="s">
        <v>487</v>
      </c>
      <c r="D22" s="32" t="s">
        <v>49</v>
      </c>
      <c r="E22" s="32" t="s">
        <v>56</v>
      </c>
      <c r="F22" s="48">
        <v>450</v>
      </c>
      <c r="G22" s="48">
        <v>705</v>
      </c>
      <c r="H22" s="48">
        <v>130959</v>
      </c>
      <c r="I22" s="48">
        <v>127887</v>
      </c>
      <c r="J22" s="32" t="s">
        <v>57</v>
      </c>
      <c r="K22" s="48">
        <v>127587</v>
      </c>
      <c r="L22" s="148" t="s">
        <v>53</v>
      </c>
      <c r="M22" s="151">
        <f t="shared" si="0"/>
        <v>158.4</v>
      </c>
      <c r="N22" s="90" t="str">
        <f>VLOOKUP(C22,'Trips&amp;Operators'!$C$1:$E$99999,3,FALSE)</f>
        <v>ISHMAEL</v>
      </c>
      <c r="O22" s="114" t="s">
        <v>86</v>
      </c>
      <c r="P22" s="10"/>
      <c r="Q22" s="32"/>
      <c r="R22" s="101" t="str">
        <f>VLOOKUP(C22,'Train Runs'!$A$13:$AE$9997,31,0)</f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S22" s="104" t="str">
        <f>VLOOKUP(C22,'Train Runs'!$A$13:$AE$9997,22,0)</f>
        <v>https://search-rtdc-monitor-bjffxe2xuh6vdkpspy63sjmuny.us-east-1.es.amazonaws.com/_plugin/kibana/#/discover/Steve-Slow-Train-Analysis-(2080s-and-2083s)?_g=(refreshInterval:(display:Off,section:0,value:0),time:(from:'2016-09-07 15:03:21-0600',mode:absolute,to:'2016-09-07 17:49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22" s="106" t="str">
        <f t="shared" si="1"/>
        <v>"C:\Program Files (x86)\AstroGrep\AstroGrep.exe" /spath="%USERPROFILE%\AppData\Local\Temp\OnboardLogs" /stypes="*4012*201609072*" /stext=" 22:.+((SYSTEM_STATE.+slice.+state.+changed )|(ment ac)|(system.+state.+changed )|(\|lc)|(penalty)|(\[timeout)|(PRM\|1\|D)|(kpr)|(kdp))" /e /r /s</v>
      </c>
      <c r="U22" s="9" t="str">
        <f t="shared" si="2"/>
        <v>4012</v>
      </c>
      <c r="V22" s="37">
        <f t="shared" si="3"/>
        <v>42620.933877314812</v>
      </c>
      <c r="W22" s="51" t="str">
        <f t="shared" si="4"/>
        <v>EC</v>
      </c>
      <c r="X22" s="51" t="str">
        <f t="shared" si="5"/>
        <v>KEEP</v>
      </c>
      <c r="Y22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{"issue":{"subject":"","project_id":79,"tracker_id":40,"status_id":1,"priority_id":2,"assigned_to_id":23,"start_date":"2016-09-07","description":"","custom_fields":[{"id":1,"name":"Subdivision","value":"EC"},{"id":4,"name":"Milepost","value":"12.7587"},{"id":17,"name":"Train ID","value":"194-07"},{"id":16,"name":"Locomotive ID","value":"4012"},{"id":130,"name":"Impact","value":""},{"id":150,"name":"Time of Event (Mountain Time)","value":"16:24:47"},{"id":151,"name":"Denver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</row>
    <row r="23" spans="1:28" x14ac:dyDescent="0.25">
      <c r="A23" s="37">
        <v>42620.374618055554</v>
      </c>
      <c r="B23" s="32" t="s">
        <v>147</v>
      </c>
      <c r="C23" s="32" t="s">
        <v>398</v>
      </c>
      <c r="D23" s="32" t="s">
        <v>109</v>
      </c>
      <c r="E23" s="32" t="s">
        <v>56</v>
      </c>
      <c r="F23" s="48">
        <v>700</v>
      </c>
      <c r="G23" s="48">
        <v>751</v>
      </c>
      <c r="H23" s="48">
        <v>180226</v>
      </c>
      <c r="I23" s="48">
        <v>183749</v>
      </c>
      <c r="J23" s="32" t="s">
        <v>57</v>
      </c>
      <c r="K23" s="48">
        <v>161962</v>
      </c>
      <c r="L23" s="148" t="s">
        <v>52</v>
      </c>
      <c r="M23" s="151">
        <f t="shared" si="0"/>
        <v>-11503.536</v>
      </c>
      <c r="N23" s="90" t="str">
        <f>VLOOKUP(C23,'Trips&amp;Operators'!$C$1:$E$99999,3,FALSE)</f>
        <v>ROCHA</v>
      </c>
      <c r="O23" s="114" t="s">
        <v>86</v>
      </c>
      <c r="P23" s="10"/>
      <c r="Q23" s="32"/>
      <c r="R23" s="101" t="str">
        <f>VLOOKUP(C23,'Train Runs'!$A$13:$AE$9997,31,0)</f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S23" s="104" t="str">
        <f>VLOOKUP(C23,'Train Runs'!$A$13:$AE$9997,22,0)</f>
        <v>https://search-rtdc-monitor-bjffxe2xuh6vdkpspy63sjmuny.us-east-1.es.amazonaws.com/_plugin/kibana/#/discover/Steve-Slow-Train-Analysis-(2080s-and-2083s)?_g=(refreshInterval:(display:Off,section:0,value:0),time:(from:'2016-09-07 07:27:58-0600',mode:absolute,to:'2016-09-07 10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T23" s="106" t="str">
        <f t="shared" si="1"/>
        <v>"C:\Program Files (x86)\AstroGrep\AstroGrep.exe" /spath="%USERPROFILE%\AppData\Local\Temp\OnboardLogs" /stypes="*4009*201609071*" /stext=" 14:.+((SYSTEM_STATE.+slice.+state.+changed )|(ment ac)|(system.+state.+changed )|(\|lc)|(penalty)|(\[timeout)|(PRM\|1\|D)|(kpr)|(kdp))" /e /r /s</v>
      </c>
      <c r="U23" s="9" t="str">
        <f t="shared" si="2"/>
        <v>4009</v>
      </c>
      <c r="V23" s="37">
        <f t="shared" si="3"/>
        <v>42620.624618055554</v>
      </c>
      <c r="W23" s="51" t="str">
        <f t="shared" si="4"/>
        <v>EC</v>
      </c>
      <c r="X23" s="51" t="str">
        <f t="shared" si="5"/>
        <v>KEEP</v>
      </c>
      <c r="Y23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{"issue":{"subject":"","project_id":79,"tracker_id":40,"status_id":1,"priority_id":2,"assigned_to_id":23,"start_date":"2016-09-07","description":"","custom_fields":[{"id":1,"name":"Subdivision","value":"EC"},{"id":4,"name":"Milepost","value":"16.1962"},{"id":17,"name":"Train ID","value":"139-07"},{"id":16,"name":"Locomotive ID","value":"4009"},{"id":130,"name":"Impact","value":""},{"id":150,"name":"Time of Event (Mountain Time)","value":"08:59:27"},{"id":151,"name":"Denver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</row>
    <row r="24" spans="1:28" x14ac:dyDescent="0.25">
      <c r="A24" s="37">
        <v>42620.421354166669</v>
      </c>
      <c r="B24" s="32" t="s">
        <v>197</v>
      </c>
      <c r="C24" s="32" t="s">
        <v>411</v>
      </c>
      <c r="D24" s="32" t="s">
        <v>49</v>
      </c>
      <c r="E24" s="32" t="s">
        <v>56</v>
      </c>
      <c r="F24" s="48">
        <v>150</v>
      </c>
      <c r="G24" s="48">
        <v>255</v>
      </c>
      <c r="H24" s="48">
        <v>228963</v>
      </c>
      <c r="I24" s="48">
        <v>229552</v>
      </c>
      <c r="J24" s="32" t="s">
        <v>57</v>
      </c>
      <c r="K24" s="48">
        <v>230436</v>
      </c>
      <c r="L24" s="148" t="s">
        <v>52</v>
      </c>
      <c r="M24" s="151">
        <f t="shared" si="0"/>
        <v>466.75200000000001</v>
      </c>
      <c r="N24" s="90" t="str">
        <f>VLOOKUP(C24,'Trips&amp;Operators'!$C$1:$E$99999,3,FALSE)</f>
        <v>STRICKLAND</v>
      </c>
      <c r="O24" s="114" t="s">
        <v>86</v>
      </c>
      <c r="P24" s="10"/>
      <c r="Q24" s="32"/>
      <c r="R24" s="101" t="str">
        <f>VLOOKUP(C24,'Train Runs'!$A$13:$AE$9997,31,0)</f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S24" s="104" t="str">
        <f>VLOOKUP(C24,'Train Runs'!$A$13:$AE$9997,22,0)</f>
        <v>https://search-rtdc-monitor-bjffxe2xuh6vdkpspy63sjmuny.us-east-1.es.amazonaws.com/_plugin/kibana/#/discover/Steve-Slow-Train-Analysis-(2080s-and-2083s)?_g=(refreshInterval:(display:Off,section:0,value:0),time:(from:'2016-09-07 08:26:30-0600',mode:absolute,to:'2016-09-07 11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24" s="106" t="str">
        <f t="shared" si="1"/>
        <v>"C:\Program Files (x86)\AstroGrep\AstroGrep.exe" /spath="%USERPROFILE%\AppData\Local\Temp\OnboardLogs" /stypes="*4020*201609071*" /stext=" 16:.+((SYSTEM_STATE.+slice.+state.+changed )|(ment ac)|(system.+state.+changed )|(\|lc)|(penalty)|(\[timeout)|(PRM\|1\|D)|(kpr)|(kdp))" /e /r /s</v>
      </c>
      <c r="U24" s="9" t="str">
        <f t="shared" si="2"/>
        <v>4020</v>
      </c>
      <c r="V24" s="37">
        <f t="shared" si="3"/>
        <v>42620.671354166669</v>
      </c>
      <c r="W24" s="51" t="str">
        <f t="shared" si="4"/>
        <v>EC</v>
      </c>
      <c r="X24" s="51" t="str">
        <f t="shared" si="5"/>
        <v>KEEP</v>
      </c>
      <c r="Y24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{"issue":{"subject":"","project_id":79,"tracker_id":40,"status_id":1,"priority_id":2,"assigned_to_id":23,"start_date":"2016-09-07","description":"","custom_fields":[{"id":1,"name":"Subdivision","value":"EC"},{"id":4,"name":"Milepost","value":"23.0436"},{"id":17,"name":"Train ID","value":"147-07"},{"id":16,"name":"Locomotive ID","value":"4020"},{"id":130,"name":"Impact","value":""},{"id":150,"name":"Time of Event (Mountain Time)","value":"10:06:45"},{"id":151,"name":"Denver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</row>
    <row r="25" spans="1:28" ht="15" customHeight="1" x14ac:dyDescent="0.25">
      <c r="A25" s="37">
        <v>42620.696643518517</v>
      </c>
      <c r="B25" s="32" t="s">
        <v>197</v>
      </c>
      <c r="C25" s="32" t="s">
        <v>492</v>
      </c>
      <c r="D25" s="32" t="s">
        <v>49</v>
      </c>
      <c r="E25" s="32" t="s">
        <v>54</v>
      </c>
      <c r="F25" s="48">
        <v>0</v>
      </c>
      <c r="G25" s="48">
        <v>444</v>
      </c>
      <c r="H25" s="48">
        <v>54779</v>
      </c>
      <c r="I25" s="48">
        <v>55997</v>
      </c>
      <c r="J25" s="32" t="s">
        <v>55</v>
      </c>
      <c r="K25" s="48">
        <v>56883</v>
      </c>
      <c r="L25" s="148" t="s">
        <v>52</v>
      </c>
      <c r="M25" s="151">
        <f t="shared" si="0"/>
        <v>467.80799999999999</v>
      </c>
      <c r="N25" s="90" t="str">
        <f>VLOOKUP(C25,'Trips&amp;Operators'!$C$1:$E$99999,3,FALSE)</f>
        <v>BARTLETT</v>
      </c>
      <c r="O25" s="114" t="s">
        <v>233</v>
      </c>
      <c r="P25" s="10" t="s">
        <v>760</v>
      </c>
      <c r="Q25" s="32"/>
      <c r="R25" s="101" t="str">
        <f>VLOOKUP(C25,'Train Runs'!$A$13:$AE$9997,31,0)</f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S25" s="104" t="str">
        <f>VLOOKUP(C25,'Train Runs'!$A$13:$AE$9997,22,0)</f>
        <v>https://search-rtdc-monitor-bjffxe2xuh6vdkpspy63sjmuny.us-east-1.es.amazonaws.com/_plugin/kibana/#/discover/Steve-Slow-Train-Analysis-(2080s-and-2083s)?_g=(refreshInterval:(display:Off,section:0,value:0),time:(from:'2016-09-07 15:24:26-0600',mode:absolute,to:'2016-09-07 17:43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25" s="106" t="str">
        <f t="shared" si="1"/>
        <v>"C:\Program Files (x86)\AstroGrep\AstroGrep.exe" /spath="%USERPROFILE%\AppData\Local\Temp\OnboardLogs" /stypes="*4020*201609072*" /stext=" 22:.+((SYSTEM_STATE.+slice.+state.+changed )|(ment ac)|(system.+state.+changed )|(\|lc)|(penalty)|(\[timeout)|(PRM\|1\|D)|(kpr)|(kdp))" /e /r /s</v>
      </c>
      <c r="U25" s="9" t="str">
        <f t="shared" si="2"/>
        <v>4020</v>
      </c>
      <c r="V25" s="37">
        <f t="shared" si="3"/>
        <v>42620.946643518517</v>
      </c>
      <c r="W25" s="51" t="str">
        <f t="shared" si="4"/>
        <v>EC</v>
      </c>
      <c r="X25" s="51" t="str">
        <f t="shared" si="5"/>
        <v>KEEP</v>
      </c>
      <c r="Y25" s="130" t="str">
        <f t="shared" si="6"/>
        <v>echo {"issue":{"subject":"Premature downgrade at Quebec 2N","project_id":79,"tracker_id":40,"status_id":1,"priority_id":2,"assigned_to_id":23,"start_date":"2016-09-07","description":"","custom_fields":[{"id":1,"name":"Subdivision","value":"EC"},{"id":4,"name":"Milepost","value":"5.6883"},{"id":17,"name":"Train ID","value":"203-07"},{"id":16,"name":"Locomotive ID","value":"4020"},{"id":130,"name":"Impact","value":""},{"id":150,"name":"Time of Event (Mountain Time)","value":"16:43:10"},{"id":151,"name":"Denver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</row>
    <row r="26" spans="1:28" x14ac:dyDescent="0.25">
      <c r="A26" s="37">
        <v>42620.454363425924</v>
      </c>
      <c r="B26" s="32" t="s">
        <v>361</v>
      </c>
      <c r="C26" s="32" t="s">
        <v>424</v>
      </c>
      <c r="D26" s="32" t="s">
        <v>49</v>
      </c>
      <c r="E26" s="32" t="s">
        <v>54</v>
      </c>
      <c r="F26" s="48">
        <v>0</v>
      </c>
      <c r="G26" s="48">
        <v>378</v>
      </c>
      <c r="H26" s="48">
        <v>129132</v>
      </c>
      <c r="I26" s="48">
        <v>128217</v>
      </c>
      <c r="J26" s="32" t="s">
        <v>55</v>
      </c>
      <c r="K26" s="48">
        <v>127587</v>
      </c>
      <c r="L26" s="148" t="s">
        <v>53</v>
      </c>
      <c r="M26" s="151">
        <f t="shared" si="0"/>
        <v>332.64</v>
      </c>
      <c r="N26" s="90" t="str">
        <f>VLOOKUP(C26,'Trips&amp;Operators'!$C$1:$E$99999,3,FALSE)</f>
        <v>SANTIZO</v>
      </c>
      <c r="O26" s="114" t="s">
        <v>86</v>
      </c>
      <c r="P26" s="10" t="s">
        <v>757</v>
      </c>
      <c r="Q26" s="32"/>
      <c r="R26" s="101" t="str">
        <f>VLOOKUP(C26,'Train Runs'!$A$13:$AE$9997,31,0)</f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S26" s="104" t="str">
        <f>VLOOKUP(C26,'Train Runs'!$A$13:$AE$9997,22,0)</f>
        <v>https://search-rtdc-monitor-bjffxe2xuh6vdkpspy63sjmuny.us-east-1.es.amazonaws.com/_plugin/kibana/#/discover/Steve-Slow-Train-Analysis-(2080s-and-2083s)?_g=(refreshInterval:(display:Off,section:0,value:0),time:(from:'2016-09-07 09:24:07-0600',mode:absolute,to:'2016-09-07 12:18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26" s="106" t="str">
        <f t="shared" si="1"/>
        <v>"C:\Program Files (x86)\AstroGrep\AstroGrep.exe" /spath="%USERPROFILE%\AppData\Local\Temp\OnboardLogs" /stypes="*4045*201609071*" /stext=" 16:.+((SYSTEM_STATE.+slice.+state.+changed )|(ment ac)|(system.+state.+changed )|(\|lc)|(penalty)|(\[timeout)|(PRM\|1\|D)|(kpr)|(kdp))" /e /r /s</v>
      </c>
      <c r="U26" s="9" t="str">
        <f t="shared" si="2"/>
        <v>4045</v>
      </c>
      <c r="V26" s="37">
        <f t="shared" si="3"/>
        <v>42620.704363425924</v>
      </c>
      <c r="W26" s="51" t="str">
        <f t="shared" si="4"/>
        <v>EC</v>
      </c>
      <c r="X26" s="51" t="str">
        <f t="shared" si="5"/>
        <v>KEEP</v>
      </c>
      <c r="Y26" s="130" t="str">
        <f t="shared" si="6"/>
        <v>echo {"issue":{"subject":"40th 4S STOP, cleared shortly","project_id":79,"tracker_id":40,"status_id":1,"priority_id":2,"assigned_to_id":23,"start_date":"2016-09-07","description":"","custom_fields":[{"id":1,"name":"Subdivision","value":"EC"},{"id":4,"name":"Milepost","value":"12.7587"},{"id":17,"name":"Train ID","value":"150-07"},{"id":16,"name":"Locomotive ID","value":"4045"},{"id":130,"name":"Impact","value":""},{"id":150,"name":"Time of Event (Mountain Time)","value":"10:54:17"},{"id":151,"name":"Denver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</row>
    <row r="27" spans="1:28" x14ac:dyDescent="0.25">
      <c r="A27" s="37">
        <v>42620.808761574073</v>
      </c>
      <c r="B27" s="32" t="s">
        <v>196</v>
      </c>
      <c r="C27" s="32" t="s">
        <v>528</v>
      </c>
      <c r="D27" s="32" t="s">
        <v>49</v>
      </c>
      <c r="E27" s="32" t="s">
        <v>54</v>
      </c>
      <c r="F27" s="48">
        <v>0</v>
      </c>
      <c r="G27" s="48">
        <v>393</v>
      </c>
      <c r="H27" s="48">
        <v>129328</v>
      </c>
      <c r="I27" s="48">
        <v>128238</v>
      </c>
      <c r="J27" s="32" t="s">
        <v>55</v>
      </c>
      <c r="K27" s="48">
        <v>127587</v>
      </c>
      <c r="L27" s="148" t="s">
        <v>53</v>
      </c>
      <c r="M27" s="151">
        <f t="shared" si="0"/>
        <v>343.72800000000007</v>
      </c>
      <c r="N27" s="90" t="str">
        <f>VLOOKUP(C27,'Trips&amp;Operators'!$C$1:$E$99999,3,FALSE)</f>
        <v>LEVIN</v>
      </c>
      <c r="O27" s="114" t="s">
        <v>86</v>
      </c>
      <c r="P27" s="10" t="s">
        <v>757</v>
      </c>
      <c r="Q27" s="32"/>
      <c r="R27" s="101" t="str">
        <f>VLOOKUP(C27,'Train Runs'!$A$13:$AE$9997,31,0)</f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S27" s="104" t="str">
        <f>VLOOKUP(C27,'Train Runs'!$A$13:$AE$9997,22,0)</f>
        <v>https://search-rtdc-monitor-bjffxe2xuh6vdkpspy63sjmuny.us-east-1.es.amazonaws.com/_plugin/kibana/#/discover/Steve-Slow-Train-Analysis-(2080s-and-2083s)?_g=(refreshInterval:(display:Off,section:0,value:0),time:(from:'2016-09-07 18:01:13-0600',mode:absolute,to:'2016-09-07 20:50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27" s="106" t="str">
        <f t="shared" si="1"/>
        <v>"C:\Program Files (x86)\AstroGrep\AstroGrep.exe" /spath="%USERPROFILE%\AppData\Local\Temp\OnboardLogs" /stypes="*4019*201609080*" /stext=" 01:.+((SYSTEM_STATE.+slice.+state.+changed )|(ment ac)|(system.+state.+changed )|(\|lc)|(penalty)|(\[timeout)|(PRM\|1\|D)|(kpr)|(kdp))" /e /r /s</v>
      </c>
      <c r="U27" s="9" t="str">
        <f t="shared" si="2"/>
        <v>4019</v>
      </c>
      <c r="V27" s="37">
        <f t="shared" si="3"/>
        <v>42621.058761574073</v>
      </c>
      <c r="W27" s="51" t="str">
        <f t="shared" si="4"/>
        <v>EC</v>
      </c>
      <c r="X27" s="51" t="str">
        <f t="shared" si="5"/>
        <v>KEEP</v>
      </c>
      <c r="Y27" s="130" t="str">
        <f t="shared" si="6"/>
        <v>echo {"issue":{"subject":"40th 4S STOP, cleared shortly","project_id":79,"tracker_id":40,"status_id":1,"priority_id":2,"assigned_to_id":23,"start_date":"2016-09-07","description":"","custom_fields":[{"id":1,"name":"Subdivision","value":"EC"},{"id":4,"name":"Milepost","value":"12.7587"},{"id":17,"name":"Train ID","value":"218-07"},{"id":16,"name":"Locomotive ID","value":"4019"},{"id":130,"name":"Impact","value":""},{"id":150,"name":"Time of Event (Mountain Time)","value":"19:24:37"},{"id":151,"name":"Denver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</row>
    <row r="28" spans="1:28" x14ac:dyDescent="0.25">
      <c r="A28" s="37">
        <v>42620.809293981481</v>
      </c>
      <c r="B28" s="32" t="s">
        <v>196</v>
      </c>
      <c r="C28" s="32" t="s">
        <v>528</v>
      </c>
      <c r="D28" s="32" t="s">
        <v>49</v>
      </c>
      <c r="E28" s="32" t="s">
        <v>54</v>
      </c>
      <c r="F28" s="48">
        <v>0</v>
      </c>
      <c r="G28" s="48">
        <v>69</v>
      </c>
      <c r="H28" s="48">
        <v>128136</v>
      </c>
      <c r="I28" s="48">
        <v>128023</v>
      </c>
      <c r="J28" s="32" t="s">
        <v>55</v>
      </c>
      <c r="K28" s="48">
        <v>127587</v>
      </c>
      <c r="L28" s="148" t="s">
        <v>53</v>
      </c>
      <c r="M28" s="151">
        <f t="shared" si="0"/>
        <v>230.208</v>
      </c>
      <c r="N28" s="90" t="str">
        <f>VLOOKUP(C28,'Trips&amp;Operators'!$C$1:$E$99999,3,FALSE)</f>
        <v>LEVIN</v>
      </c>
      <c r="O28" s="114" t="s">
        <v>86</v>
      </c>
      <c r="P28" s="10" t="s">
        <v>757</v>
      </c>
      <c r="Q28" s="32"/>
      <c r="R28" s="101" t="str">
        <f>VLOOKUP(C28,'Train Runs'!$A$13:$AE$9997,31,0)</f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S28" s="104" t="str">
        <f>VLOOKUP(C28,'Train Runs'!$A$13:$AE$9997,22,0)</f>
        <v>https://search-rtdc-monitor-bjffxe2xuh6vdkpspy63sjmuny.us-east-1.es.amazonaws.com/_plugin/kibana/#/discover/Steve-Slow-Train-Analysis-(2080s-and-2083s)?_g=(refreshInterval:(display:Off,section:0,value:0),time:(from:'2016-09-07 18:01:13-0600',mode:absolute,to:'2016-09-07 20:50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28" s="106" t="str">
        <f t="shared" si="1"/>
        <v>"C:\Program Files (x86)\AstroGrep\AstroGrep.exe" /spath="%USERPROFILE%\AppData\Local\Temp\OnboardLogs" /stypes="*4019*201609080*" /stext=" 01:.+((SYSTEM_STATE.+slice.+state.+changed )|(ment ac)|(system.+state.+changed )|(\|lc)|(penalty)|(\[timeout)|(PRM\|1\|D)|(kpr)|(kdp))" /e /r /s</v>
      </c>
      <c r="U28" s="9" t="str">
        <f t="shared" si="2"/>
        <v>4019</v>
      </c>
      <c r="V28" s="37">
        <f t="shared" si="3"/>
        <v>42621.059293981481</v>
      </c>
      <c r="W28" s="51" t="str">
        <f t="shared" si="4"/>
        <v>EC</v>
      </c>
      <c r="X28" s="51" t="str">
        <f t="shared" si="5"/>
        <v>KEEP</v>
      </c>
      <c r="Y28" s="130" t="str">
        <f t="shared" si="6"/>
        <v>echo {"issue":{"subject":"40th 4S STOP, cleared shortly","project_id":79,"tracker_id":40,"status_id":1,"priority_id":2,"assigned_to_id":23,"start_date":"2016-09-07","description":"","custom_fields":[{"id":1,"name":"Subdivision","value":"EC"},{"id":4,"name":"Milepost","value":"12.7587"},{"id":17,"name":"Train ID","value":"218-07"},{"id":16,"name":"Locomotive ID","value":"4019"},{"id":130,"name":"Impact","value":""},{"id":150,"name":"Time of Event (Mountain Time)","value":"19:25:23"},{"id":151,"name":"Denver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</row>
    <row r="29" spans="1:28" x14ac:dyDescent="0.25">
      <c r="A29" s="37">
        <v>42620.855115740742</v>
      </c>
      <c r="B29" s="32" t="s">
        <v>242</v>
      </c>
      <c r="C29" s="32" t="s">
        <v>540</v>
      </c>
      <c r="D29" s="32" t="s">
        <v>49</v>
      </c>
      <c r="E29" s="32" t="s">
        <v>54</v>
      </c>
      <c r="F29" s="48">
        <v>0</v>
      </c>
      <c r="G29" s="48">
        <v>508</v>
      </c>
      <c r="H29" s="48">
        <v>194679</v>
      </c>
      <c r="I29" s="48">
        <v>193208</v>
      </c>
      <c r="J29" s="32" t="s">
        <v>55</v>
      </c>
      <c r="K29" s="48">
        <v>191723</v>
      </c>
      <c r="L29" s="148" t="s">
        <v>53</v>
      </c>
      <c r="M29" s="151">
        <f t="shared" si="0"/>
        <v>784.08</v>
      </c>
      <c r="N29" s="90" t="str">
        <f>VLOOKUP(C29,'Trips&amp;Operators'!$C$1:$E$99999,3,FALSE)</f>
        <v>STAMBAUGH</v>
      </c>
      <c r="O29" s="114" t="s">
        <v>86</v>
      </c>
      <c r="P29" s="10" t="s">
        <v>758</v>
      </c>
      <c r="Q29" s="32"/>
      <c r="R29" s="101" t="str">
        <f>VLOOKUP(C29,'Train Runs'!$A$13:$AE$9997,31,0)</f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S29" s="104" t="str">
        <f>VLOOKUP(C29,'Train Runs'!$A$13:$AE$9997,22,0)</f>
        <v>https://search-rtdc-monitor-bjffxe2xuh6vdkpspy63sjmuny.us-east-1.es.amazonaws.com/_plugin/kibana/#/discover/Steve-Slow-Train-Analysis-(2080s-and-2083s)?_g=(refreshInterval:(display:Off,section:0,value:0),time:(from:'2016-09-07 19:18:49-0600',mode:absolute,to:'2016-09-07 22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29" s="106" t="str">
        <f t="shared" si="1"/>
        <v>"C:\Program Files (x86)\AstroGrep\AstroGrep.exe" /spath="%USERPROFILE%\AppData\Local\Temp\OnboardLogs" /stypes="*4026*201609080*" /stext=" 02:.+((SYSTEM_STATE.+slice.+state.+changed )|(ment ac)|(system.+state.+changed )|(\|lc)|(penalty)|(\[timeout)|(PRM\|1\|D)|(kpr)|(kdp))" /e /r /s</v>
      </c>
      <c r="U29" s="9" t="str">
        <f t="shared" si="2"/>
        <v>4026</v>
      </c>
      <c r="V29" s="37">
        <f t="shared" si="3"/>
        <v>42621.105115740742</v>
      </c>
      <c r="W29" s="51" t="str">
        <f t="shared" si="4"/>
        <v>EC</v>
      </c>
      <c r="X29" s="51" t="str">
        <f t="shared" si="5"/>
        <v>KEEP</v>
      </c>
      <c r="Y29" s="130" t="str">
        <f t="shared" si="6"/>
        <v>echo {"issue":{"subject":"Pena 4S STOP, cleared shortly","project_id":79,"tracker_id":40,"status_id":1,"priority_id":2,"assigned_to_id":23,"start_date":"2016-09-07","description":"","custom_fields":[{"id":1,"name":"Subdivision","value":"EC"},{"id":4,"name":"Milepost","value":"19.1723"},{"id":17,"name":"Train ID","value":"224-07"},{"id":16,"name":"Locomotive ID","value":"4026"},{"id":130,"name":"Impact","value":""},{"id":150,"name":"Time of Event (Mountain Time)","value":"20:31:22"},{"id":151,"name":"Denver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</row>
    <row r="30" spans="1:28" x14ac:dyDescent="0.25">
      <c r="A30" s="37">
        <v>42620.223379629628</v>
      </c>
      <c r="B30" s="32" t="s">
        <v>113</v>
      </c>
      <c r="C30" s="32" t="s">
        <v>354</v>
      </c>
      <c r="D30" s="32" t="s">
        <v>49</v>
      </c>
      <c r="E30" s="32" t="s">
        <v>50</v>
      </c>
      <c r="F30" s="48">
        <v>0</v>
      </c>
      <c r="G30" s="48">
        <v>75</v>
      </c>
      <c r="H30" s="48">
        <v>285</v>
      </c>
      <c r="I30" s="48">
        <v>191</v>
      </c>
      <c r="J30" s="32" t="s">
        <v>51</v>
      </c>
      <c r="K30" s="48">
        <v>1</v>
      </c>
      <c r="L30" s="148" t="s">
        <v>53</v>
      </c>
      <c r="M30" s="151">
        <f t="shared" si="0"/>
        <v>100.32</v>
      </c>
      <c r="N30" s="90" t="str">
        <f>VLOOKUP(C30,'Trips&amp;Operators'!$C$1:$E$99999,3,FALSE)</f>
        <v>HILLS</v>
      </c>
      <c r="O30" s="114" t="s">
        <v>86</v>
      </c>
      <c r="P30" s="10"/>
      <c r="Q30" s="32"/>
      <c r="R30" s="101" t="str">
        <f>VLOOKUP(C30,'Train Runs'!$A$13:$AE$9997,31,0)</f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S30" s="104" t="str">
        <f>VLOOKUP(C30,'Train Runs'!$A$13:$AE$9997,22,0)</f>
        <v>https://search-rtdc-monitor-bjffxe2xuh6vdkpspy63sjmuny.us-east-1.es.amazonaws.com/_plugin/kibana/#/discover/Steve-Slow-Train-Analysis-(2080s-and-2083s)?_g=(refreshInterval:(display:Off,section:0,value:0),time:(from:'2016-09-07 03:29:03-0600',mode:absolute,to:'2016-09-07 06:22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0" s="106" t="str">
        <f t="shared" si="1"/>
        <v>"C:\Program Files (x86)\AstroGrep\AstroGrep.exe" /spath="%USERPROFILE%\AppData\Local\Temp\OnboardLogs" /stypes="*4032*201609071*" /stext=" 11:.+((SYSTEM_STATE.+slice.+state.+changed )|(ment ac)|(system.+state.+changed )|(\|lc)|(penalty)|(\[timeout)|(PRM\|1\|D)|(kpr)|(kdp))" /e /r /s</v>
      </c>
      <c r="U30" s="9" t="str">
        <f t="shared" si="2"/>
        <v>4032</v>
      </c>
      <c r="V30" s="37">
        <f t="shared" si="3"/>
        <v>42620.473379629628</v>
      </c>
      <c r="W30" s="51" t="str">
        <f t="shared" si="4"/>
        <v>EC</v>
      </c>
      <c r="X30" s="51" t="str">
        <f t="shared" si="5"/>
        <v>KEEP</v>
      </c>
      <c r="Y30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{"issue":{"subject":"","project_id":79,"tracker_id":40,"status_id":1,"priority_id":2,"assigned_to_id":23,"start_date":"2016-09-07","description":"","custom_fields":[{"id":1,"name":"Subdivision","value":"EC"},{"id":4,"name":"Milepost","value":"0.0001"},{"id":17,"name":"Train ID","value":"104-07"},{"id":16,"name":"Locomotive ID","value":"4032"},{"id":130,"name":"Impact","value":""},{"id":150,"name":"Time of Event (Mountain Time)","value":"05:21:40"},{"id":151,"name":"Denver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</row>
    <row r="31" spans="1:28" x14ac:dyDescent="0.25">
      <c r="A31" s="37">
        <v>42620.223796296297</v>
      </c>
      <c r="B31" s="32" t="s">
        <v>113</v>
      </c>
      <c r="C31" s="32" t="s">
        <v>354</v>
      </c>
      <c r="D31" s="32" t="s">
        <v>49</v>
      </c>
      <c r="E31" s="32" t="s">
        <v>50</v>
      </c>
      <c r="F31" s="48">
        <v>0</v>
      </c>
      <c r="G31" s="48">
        <v>47</v>
      </c>
      <c r="H31" s="48">
        <v>145</v>
      </c>
      <c r="I31" s="48">
        <v>98</v>
      </c>
      <c r="J31" s="32" t="s">
        <v>51</v>
      </c>
      <c r="K31" s="48">
        <v>1</v>
      </c>
      <c r="L31" s="148" t="s">
        <v>53</v>
      </c>
      <c r="M31" s="151">
        <f t="shared" si="0"/>
        <v>51.216000000000001</v>
      </c>
      <c r="N31" s="90" t="str">
        <f>VLOOKUP(C31,'Trips&amp;Operators'!$C$1:$E$99999,3,FALSE)</f>
        <v>HILLS</v>
      </c>
      <c r="O31" s="114" t="s">
        <v>86</v>
      </c>
      <c r="P31" s="10"/>
      <c r="Q31" s="32"/>
      <c r="R31" s="101" t="str">
        <f>VLOOKUP(C31,'Train Runs'!$A$13:$AE$9997,31,0)</f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S31" s="104" t="str">
        <f>VLOOKUP(C31,'Train Runs'!$A$13:$AE$9997,22,0)</f>
        <v>https://search-rtdc-monitor-bjffxe2xuh6vdkpspy63sjmuny.us-east-1.es.amazonaws.com/_plugin/kibana/#/discover/Steve-Slow-Train-Analysis-(2080s-and-2083s)?_g=(refreshInterval:(display:Off,section:0,value:0),time:(from:'2016-09-07 03:29:03-0600',mode:absolute,to:'2016-09-07 06:22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1" s="106" t="str">
        <f t="shared" si="1"/>
        <v>"C:\Program Files (x86)\AstroGrep\AstroGrep.exe" /spath="%USERPROFILE%\AppData\Local\Temp\OnboardLogs" /stypes="*4032*201609071*" /stext=" 11:.+((SYSTEM_STATE.+slice.+state.+changed )|(ment ac)|(system.+state.+changed )|(\|lc)|(penalty)|(\[timeout)|(PRM\|1\|D)|(kpr)|(kdp))" /e /r /s</v>
      </c>
      <c r="U31" s="9" t="str">
        <f t="shared" si="2"/>
        <v>4032</v>
      </c>
      <c r="V31" s="37">
        <f t="shared" si="3"/>
        <v>42620.473796296297</v>
      </c>
      <c r="W31" s="51" t="str">
        <f t="shared" si="4"/>
        <v>EC</v>
      </c>
      <c r="X31" s="51" t="str">
        <f t="shared" si="5"/>
        <v>KEEP</v>
      </c>
      <c r="Y31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{"issue":{"subject":"","project_id":79,"tracker_id":40,"status_id":1,"priority_id":2,"assigned_to_id":23,"start_date":"2016-09-07","description":"","custom_fields":[{"id":1,"name":"Subdivision","value":"EC"},{"id":4,"name":"Milepost","value":"0.0001"},{"id":17,"name":"Train ID","value":"104-07"},{"id":16,"name":"Locomotive ID","value":"4032"},{"id":130,"name":"Impact","value":""},{"id":150,"name":"Time of Event (Mountain Time)","value":"05:22:16"},{"id":151,"name":"Denver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</row>
    <row r="32" spans="1:28" ht="15" customHeight="1" x14ac:dyDescent="0.25">
      <c r="A32" s="37">
        <v>42620.378807870373</v>
      </c>
      <c r="B32" s="32" t="s">
        <v>113</v>
      </c>
      <c r="C32" s="32" t="s">
        <v>397</v>
      </c>
      <c r="D32" s="32" t="s">
        <v>49</v>
      </c>
      <c r="E32" s="32" t="s">
        <v>50</v>
      </c>
      <c r="F32" s="48">
        <v>0</v>
      </c>
      <c r="G32" s="48">
        <v>78</v>
      </c>
      <c r="H32" s="48">
        <v>283</v>
      </c>
      <c r="I32" s="48">
        <v>211</v>
      </c>
      <c r="J32" s="32" t="s">
        <v>51</v>
      </c>
      <c r="K32" s="48">
        <v>1</v>
      </c>
      <c r="L32" s="148" t="s">
        <v>53</v>
      </c>
      <c r="M32" s="151">
        <f t="shared" si="0"/>
        <v>110.88</v>
      </c>
      <c r="N32" s="90" t="str">
        <f>VLOOKUP(C32,'Trips&amp;Operators'!$C$1:$E$99999,3,FALSE)</f>
        <v>HILLS</v>
      </c>
      <c r="O32" s="114" t="s">
        <v>86</v>
      </c>
      <c r="P32" s="10"/>
      <c r="Q32" s="32"/>
      <c r="R32" s="101" t="str">
        <f>VLOOKUP(C32,'Train Runs'!$A$13:$AE$9997,31,0)</f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S32" s="104" t="str">
        <f>VLOOKUP(C32,'Train Runs'!$A$13:$AE$9997,22,0)</f>
        <v>https://search-rtdc-monitor-bjffxe2xuh6vdkpspy63sjmuny.us-east-1.es.amazonaws.com/_plugin/kibana/#/discover/Steve-Slow-Train-Analysis-(2080s-and-2083s)?_g=(refreshInterval:(display:Off,section:0,value:0),time:(from:'2016-09-07 07:16:45-0600',mode:absolute,to:'2016-09-07 10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2" s="106" t="str">
        <f t="shared" si="1"/>
        <v>"C:\Program Files (x86)\AstroGrep\AstroGrep.exe" /spath="%USERPROFILE%\AppData\Local\Temp\OnboardLogs" /stypes="*4032*201609071*" /stext=" 15:.+((SYSTEM_STATE.+slice.+state.+changed )|(ment ac)|(system.+state.+changed )|(\|lc)|(penalty)|(\[timeout)|(PRM\|1\|D)|(kpr)|(kdp))" /e /r /s</v>
      </c>
      <c r="U32" s="9" t="str">
        <f t="shared" si="2"/>
        <v>4032</v>
      </c>
      <c r="V32" s="37">
        <f t="shared" si="3"/>
        <v>42620.628807870373</v>
      </c>
      <c r="W32" s="51" t="str">
        <f t="shared" si="4"/>
        <v>EC</v>
      </c>
      <c r="X32" s="51" t="str">
        <f t="shared" si="5"/>
        <v>KEEP</v>
      </c>
      <c r="Y32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{"issue":{"subject":"","project_id":79,"tracker_id":40,"status_id":1,"priority_id":2,"assigned_to_id":23,"start_date":"2016-09-07","description":"","custom_fields":[{"id":1,"name":"Subdivision","value":"EC"},{"id":4,"name":"Milepost","value":"0.0001"},{"id":17,"name":"Train ID","value":"132-07"},{"id":16,"name":"Locomotive ID","value":"4032"},{"id":130,"name":"Impact","value":""},{"id":150,"name":"Time of Event (Mountain Time)","value":"09:05:29"},{"id":151,"name":"Denver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</row>
    <row r="33" spans="1:28" x14ac:dyDescent="0.25">
      <c r="A33" s="37">
        <v>42620.470972222225</v>
      </c>
      <c r="B33" s="32" t="s">
        <v>361</v>
      </c>
      <c r="C33" s="32" t="s">
        <v>424</v>
      </c>
      <c r="D33" s="32" t="s">
        <v>49</v>
      </c>
      <c r="E33" s="32" t="s">
        <v>50</v>
      </c>
      <c r="F33" s="48">
        <v>0</v>
      </c>
      <c r="G33" s="48">
        <v>40</v>
      </c>
      <c r="H33" s="48">
        <v>116</v>
      </c>
      <c r="I33" s="48">
        <v>98</v>
      </c>
      <c r="J33" s="32" t="s">
        <v>51</v>
      </c>
      <c r="K33" s="48">
        <v>1</v>
      </c>
      <c r="L33" s="148" t="s">
        <v>53</v>
      </c>
      <c r="M33" s="151">
        <f t="shared" si="0"/>
        <v>51.216000000000001</v>
      </c>
      <c r="N33" s="90" t="str">
        <f>VLOOKUP(C33,'Trips&amp;Operators'!$C$1:$E$99999,3,FALSE)</f>
        <v>SANTIZO</v>
      </c>
      <c r="O33" s="114" t="s">
        <v>86</v>
      </c>
      <c r="P33" s="10"/>
      <c r="Q33" s="32"/>
      <c r="R33" s="101" t="str">
        <f>VLOOKUP(C33,'Train Runs'!$A$13:$AE$9997,31,0)</f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S33" s="104" t="str">
        <f>VLOOKUP(C33,'Train Runs'!$A$13:$AE$9997,22,0)</f>
        <v>https://search-rtdc-monitor-bjffxe2xuh6vdkpspy63sjmuny.us-east-1.es.amazonaws.com/_plugin/kibana/#/discover/Steve-Slow-Train-Analysis-(2080s-and-2083s)?_g=(refreshInterval:(display:Off,section:0,value:0),time:(from:'2016-09-07 09:24:07-0600',mode:absolute,to:'2016-09-07 12:18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33" s="106" t="str">
        <f t="shared" si="1"/>
        <v>"C:\Program Files (x86)\AstroGrep\AstroGrep.exe" /spath="%USERPROFILE%\AppData\Local\Temp\OnboardLogs" /stypes="*4045*201609071*" /stext=" 17:.+((SYSTEM_STATE.+slice.+state.+changed )|(ment ac)|(system.+state.+changed )|(\|lc)|(penalty)|(\[timeout)|(PRM\|1\|D)|(kpr)|(kdp))" /e /r /s</v>
      </c>
      <c r="U33" s="9" t="str">
        <f t="shared" si="2"/>
        <v>4045</v>
      </c>
      <c r="V33" s="37">
        <f t="shared" si="3"/>
        <v>42620.720972222225</v>
      </c>
      <c r="W33" s="51" t="str">
        <f t="shared" si="4"/>
        <v>EC</v>
      </c>
      <c r="X33" s="51" t="str">
        <f t="shared" si="5"/>
        <v>KEEP</v>
      </c>
      <c r="Y33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{"issue":{"subject":"","project_id":79,"tracker_id":40,"status_id":1,"priority_id":2,"assigned_to_id":23,"start_date":"2016-09-07","description":"","custom_fields":[{"id":1,"name":"Subdivision","value":"EC"},{"id":4,"name":"Milepost","value":"0.0001"},{"id":17,"name":"Train ID","value":"150-07"},{"id":16,"name":"Locomotive ID","value":"4045"},{"id":130,"name":"Impact","value":""},{"id":150,"name":"Time of Event (Mountain Time)","value":"11:18:12"},{"id":151,"name":"Denver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</row>
    <row r="34" spans="1:28" ht="15" customHeight="1" x14ac:dyDescent="0.25">
      <c r="A34" s="37">
        <v>42620.680937500001</v>
      </c>
      <c r="B34" s="32" t="s">
        <v>196</v>
      </c>
      <c r="C34" s="32" t="s">
        <v>480</v>
      </c>
      <c r="D34" s="32" t="s">
        <v>49</v>
      </c>
      <c r="E34" s="32" t="s">
        <v>50</v>
      </c>
      <c r="F34" s="48">
        <v>0</v>
      </c>
      <c r="G34" s="48">
        <v>74</v>
      </c>
      <c r="H34" s="48">
        <v>238</v>
      </c>
      <c r="I34" s="48">
        <v>152</v>
      </c>
      <c r="J34" s="32" t="s">
        <v>51</v>
      </c>
      <c r="K34" s="48">
        <v>1</v>
      </c>
      <c r="L34" s="148" t="s">
        <v>53</v>
      </c>
      <c r="M34" s="151">
        <f t="shared" si="0"/>
        <v>79.727999999999994</v>
      </c>
      <c r="N34" s="90" t="str">
        <f>VLOOKUP(C34,'Trips&amp;Operators'!$C$1:$E$99999,3,FALSE)</f>
        <v>BARTLETT</v>
      </c>
      <c r="O34" s="114" t="s">
        <v>86</v>
      </c>
      <c r="P34" s="10"/>
      <c r="Q34" s="32"/>
      <c r="R34" s="101" t="str">
        <f>VLOOKUP(C34,'Train Runs'!$A$13:$AE$9997,31,0)</f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S34" s="104" t="str">
        <f>VLOOKUP(C34,'Train Runs'!$A$13:$AE$9997,22,0)</f>
        <v>https://search-rtdc-monitor-bjffxe2xuh6vdkpspy63sjmuny.us-east-1.es.amazonaws.com/_plugin/kibana/#/discover/Steve-Slow-Train-Analysis-(2080s-and-2083s)?_g=(refreshInterval:(display:Off,section:0,value:0),time:(from:'2016-09-07 14:26:24-0600',mode:absolute,to:'2016-09-07 17:20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34" s="106" t="str">
        <f t="shared" si="1"/>
        <v>"C:\Program Files (x86)\AstroGrep\AstroGrep.exe" /spath="%USERPROFILE%\AppData\Local\Temp\OnboardLogs" /stypes="*4019*201609072*" /stext=" 22:.+((SYSTEM_STATE.+slice.+state.+changed )|(ment ac)|(system.+state.+changed )|(\|lc)|(penalty)|(\[timeout)|(PRM\|1\|D)|(kpr)|(kdp))" /e /r /s</v>
      </c>
      <c r="U34" s="9" t="str">
        <f t="shared" si="2"/>
        <v>4019</v>
      </c>
      <c r="V34" s="37">
        <f t="shared" si="3"/>
        <v>42620.930937500001</v>
      </c>
      <c r="W34" s="51" t="str">
        <f t="shared" si="4"/>
        <v>EC</v>
      </c>
      <c r="X34" s="51" t="str">
        <f t="shared" si="5"/>
        <v>KEEP</v>
      </c>
      <c r="Y34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{"issue":{"subject":"","project_id":79,"tracker_id":40,"status_id":1,"priority_id":2,"assigned_to_id":23,"start_date":"2016-09-07","description":"","custom_fields":[{"id":1,"name":"Subdivision","value":"EC"},{"id":4,"name":"Milepost","value":"0.0001"},{"id":17,"name":"Train ID","value":"190-07"},{"id":16,"name":"Locomotive ID","value":"4019"},{"id":130,"name":"Impact","value":""},{"id":150,"name":"Time of Event (Mountain Time)","value":"16:20:33"},{"id":151,"name":"Denver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</row>
    <row r="35" spans="1:28" x14ac:dyDescent="0.25">
      <c r="A35" s="37">
        <v>42620.717499999999</v>
      </c>
      <c r="B35" s="32" t="s">
        <v>283</v>
      </c>
      <c r="C35" s="32" t="s">
        <v>490</v>
      </c>
      <c r="D35" s="32" t="s">
        <v>49</v>
      </c>
      <c r="E35" s="32" t="s">
        <v>50</v>
      </c>
      <c r="F35" s="48">
        <v>0</v>
      </c>
      <c r="G35" s="48">
        <v>58</v>
      </c>
      <c r="H35" s="48">
        <v>214</v>
      </c>
      <c r="I35" s="48">
        <v>161</v>
      </c>
      <c r="J35" s="32" t="s">
        <v>51</v>
      </c>
      <c r="K35" s="48">
        <v>1</v>
      </c>
      <c r="L35" s="148" t="s">
        <v>53</v>
      </c>
      <c r="M35" s="151">
        <f t="shared" si="0"/>
        <v>84.48</v>
      </c>
      <c r="N35" s="90" t="str">
        <f>VLOOKUP(C35,'Trips&amp;Operators'!$C$1:$E$99999,3,FALSE)</f>
        <v>YOUNG</v>
      </c>
      <c r="O35" s="114" t="s">
        <v>86</v>
      </c>
      <c r="P35" s="10"/>
      <c r="Q35" s="32"/>
      <c r="R35" s="101" t="str">
        <f>VLOOKUP(C35,'Train Runs'!$A$13:$AE$9997,31,0)</f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S35" s="104" t="str">
        <f>VLOOKUP(C35,'Train Runs'!$A$13:$AE$9997,22,0)</f>
        <v>https://search-rtdc-monitor-bjffxe2xuh6vdkpspy63sjmuny.us-east-1.es.amazonaws.com/_plugin/kibana/#/discover/Steve-Slow-Train-Analysis-(2080s-and-2083s)?_g=(refreshInterval:(display:Off,section:0,value:0),time:(from:'2016-09-07 15:17:44-0600',mode:absolute,to:'2016-09-07 17:53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35" s="106" t="str">
        <f t="shared" si="1"/>
        <v>"C:\Program Files (x86)\AstroGrep\AstroGrep.exe" /spath="%USERPROFILE%\AppData\Local\Temp\OnboardLogs" /stypes="*4010*201609072*" /stext=" 23:.+((SYSTEM_STATE.+slice.+state.+changed )|(ment ac)|(system.+state.+changed )|(\|lc)|(penalty)|(\[timeout)|(PRM\|1\|D)|(kpr)|(kdp))" /e /r /s</v>
      </c>
      <c r="U35" s="9" t="str">
        <f t="shared" si="2"/>
        <v>4010</v>
      </c>
      <c r="V35" s="37">
        <f t="shared" si="3"/>
        <v>42620.967499999999</v>
      </c>
      <c r="W35" s="51" t="str">
        <f t="shared" si="4"/>
        <v>EC</v>
      </c>
      <c r="X35" s="51" t="str">
        <f t="shared" si="5"/>
        <v>KEEP</v>
      </c>
      <c r="Y35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{"issue":{"subject":"","project_id":79,"tracker_id":40,"status_id":1,"priority_id":2,"assigned_to_id":23,"start_date":"2016-09-07","description":"","custom_fields":[{"id":1,"name":"Subdivision","value":"EC"},{"id":4,"name":"Milepost","value":"0.0001"},{"id":17,"name":"Train ID","value":"196-07"},{"id":16,"name":"Locomotive ID","value":"4010"},{"id":130,"name":"Impact","value":""},{"id":150,"name":"Time of Event (Mountain Time)","value":"17:13:12"},{"id":151,"name":"Denver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</row>
    <row r="36" spans="1:28" x14ac:dyDescent="0.25">
      <c r="A36" s="37">
        <v>42620.837025462963</v>
      </c>
      <c r="B36" s="32" t="s">
        <v>361</v>
      </c>
      <c r="C36" s="32" t="s">
        <v>533</v>
      </c>
      <c r="D36" s="32" t="s">
        <v>49</v>
      </c>
      <c r="E36" s="32" t="s">
        <v>50</v>
      </c>
      <c r="F36" s="48">
        <v>0</v>
      </c>
      <c r="G36" s="48">
        <v>40</v>
      </c>
      <c r="H36" s="48">
        <v>167</v>
      </c>
      <c r="I36" s="48">
        <v>141</v>
      </c>
      <c r="J36" s="32" t="s">
        <v>51</v>
      </c>
      <c r="K36" s="48">
        <v>1</v>
      </c>
      <c r="L36" s="148" t="s">
        <v>53</v>
      </c>
      <c r="M36" s="151">
        <f t="shared" si="0"/>
        <v>73.92</v>
      </c>
      <c r="N36" s="90" t="str">
        <f>VLOOKUP(C36,'Trips&amp;Operators'!$C$1:$E$99999,3,FALSE)</f>
        <v>COOLAHAN</v>
      </c>
      <c r="O36" s="114" t="s">
        <v>86</v>
      </c>
      <c r="P36" s="10"/>
      <c r="Q36" s="32"/>
      <c r="R36" s="101" t="str">
        <f>VLOOKUP(C36,'Train Runs'!$A$13:$AE$9997,31,0)</f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S36" s="104" t="str">
        <f>VLOOKUP(C36,'Train Runs'!$A$13:$AE$9997,22,0)</f>
        <v>https://search-rtdc-monitor-bjffxe2xuh6vdkpspy63sjmuny.us-east-1.es.amazonaws.com/_plugin/kibana/#/discover/Steve-Slow-Train-Analysis-(2080s-and-2083s)?_g=(refreshInterval:(display:Off,section:0,value:0),time:(from:'2016-09-07 18:20:30-0600',mode:absolute,to:'2016-09-07 21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36" s="106" t="str">
        <f t="shared" si="1"/>
        <v>"C:\Program Files (x86)\AstroGrep\AstroGrep.exe" /spath="%USERPROFILE%\AppData\Local\Temp\OnboardLogs" /stypes="*4045*201609080*" /stext=" 02:.+((SYSTEM_STATE.+slice.+state.+changed )|(ment ac)|(system.+state.+changed )|(\|lc)|(penalty)|(\[timeout)|(PRM\|1\|D)|(kpr)|(kdp))" /e /r /s</v>
      </c>
      <c r="U36" s="9" t="str">
        <f t="shared" si="2"/>
        <v>4045</v>
      </c>
      <c r="V36" s="37">
        <f t="shared" si="3"/>
        <v>42621.087025462963</v>
      </c>
      <c r="W36" s="51" t="str">
        <f t="shared" si="4"/>
        <v>EC</v>
      </c>
      <c r="X36" s="51" t="str">
        <f t="shared" si="5"/>
        <v>KEEP</v>
      </c>
      <c r="Y36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{"issue":{"subject":"","project_id":79,"tracker_id":40,"status_id":1,"priority_id":2,"assigned_to_id":23,"start_date":"2016-09-07","description":"","custom_fields":[{"id":1,"name":"Subdivision","value":"EC"},{"id":4,"name":"Milepost","value":"0.0001"},{"id":17,"name":"Train ID","value":"220-07"},{"id":16,"name":"Locomotive ID","value":"4045"},{"id":130,"name":"Impact","value":""},{"id":150,"name":"Time of Event (Mountain Time)","value":"20:05:19"},{"id":151,"name":"Denver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</row>
    <row r="37" spans="1:28" x14ac:dyDescent="0.25">
      <c r="A37" s="37">
        <v>42621.004664351851</v>
      </c>
      <c r="B37" s="32" t="s">
        <v>282</v>
      </c>
      <c r="C37" s="32" t="s">
        <v>557</v>
      </c>
      <c r="D37" s="32" t="s">
        <v>49</v>
      </c>
      <c r="E37" s="32" t="s">
        <v>50</v>
      </c>
      <c r="F37" s="48">
        <v>0</v>
      </c>
      <c r="G37" s="48">
        <v>52</v>
      </c>
      <c r="H37" s="48">
        <v>174</v>
      </c>
      <c r="I37" s="48">
        <v>132</v>
      </c>
      <c r="J37" s="32" t="s">
        <v>51</v>
      </c>
      <c r="K37" s="48">
        <v>1</v>
      </c>
      <c r="L37" s="148" t="s">
        <v>53</v>
      </c>
      <c r="M37" s="151">
        <f t="shared" si="0"/>
        <v>69.168000000000006</v>
      </c>
      <c r="N37" s="90" t="str">
        <f>VLOOKUP(C37,'Trips&amp;Operators'!$C$1:$E$99999,3,FALSE)</f>
        <v>CUSHING</v>
      </c>
      <c r="O37" s="114" t="s">
        <v>86</v>
      </c>
      <c r="P37" s="10"/>
      <c r="Q37" s="32"/>
      <c r="R37" s="101" t="str">
        <f>VLOOKUP(C37,'Train Runs'!$A$13:$AE$9997,31,0)</f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S37" s="104" t="str">
        <f>VLOOKUP(C37,'Train Runs'!$A$13:$AE$9997,22,0)</f>
        <v>https://search-rtdc-monitor-bjffxe2xuh6vdkpspy63sjmuny.us-east-1.es.amazonaws.com/_plugin/kibana/#/discover/Steve-Slow-Train-Analysis-(2080s-and-2083s)?_g=(refreshInterval:(display:Off,section:0,value:0),time:(from:'2016-09-07 22:19:23-0600',mode:absolute,to:'2016-09-08 01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37" s="106" t="str">
        <f t="shared" si="1"/>
        <v>"C:\Program Files (x86)\AstroGrep\AstroGrep.exe" /spath="%USERPROFILE%\AppData\Local\Temp\OnboardLogs" /stypes="*4041*201609080*" /stext=" 06:.+((SYSTEM_STATE.+slice.+state.+changed )|(ment ac)|(system.+state.+changed )|(\|lc)|(penalty)|(\[timeout)|(PRM\|1\|D)|(kpr)|(kdp))" /e /r /s</v>
      </c>
      <c r="U37" s="9" t="str">
        <f t="shared" si="2"/>
        <v>4041</v>
      </c>
      <c r="V37" s="37">
        <f t="shared" si="3"/>
        <v>42621.254664351851</v>
      </c>
      <c r="W37" s="51" t="str">
        <f t="shared" si="4"/>
        <v>EC</v>
      </c>
      <c r="X37" s="51" t="str">
        <f t="shared" si="5"/>
        <v>KEEP</v>
      </c>
      <c r="Y37" s="130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{"issue":{"subject":"","project_id":79,"tracker_id":40,"status_id":1,"priority_id":2,"assigned_to_id":23,"start_date":"2016-09-08","description":"","custom_fields":[{"id":1,"name":"Subdivision","value":"EC"},{"id":4,"name":"Milepost","value":"0.0001"},{"id":17,"name":"Train ID","value":"236-07"},{"id":16,"name":"Locomotive ID","value":"4041"},{"id":130,"name":"Impact","value":""},{"id":150,"name":"Time of Event (Mountain Time)","value":"00:06:43"},{"id":151,"name":"Denver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</row>
    <row r="38" spans="1:28" ht="15" customHeight="1" x14ac:dyDescent="0.25">
      <c r="A38" s="37">
        <v>42620.920358796298</v>
      </c>
      <c r="B38" s="32" t="s">
        <v>361</v>
      </c>
      <c r="C38" s="32" t="s">
        <v>547</v>
      </c>
      <c r="D38" s="32" t="s">
        <v>49</v>
      </c>
      <c r="E38" s="32" t="s">
        <v>50</v>
      </c>
      <c r="F38" s="48">
        <v>0</v>
      </c>
      <c r="G38" s="48">
        <v>146</v>
      </c>
      <c r="H38" s="48">
        <v>1810</v>
      </c>
      <c r="I38" s="48">
        <v>1645</v>
      </c>
      <c r="J38" s="32" t="s">
        <v>51</v>
      </c>
      <c r="K38" s="48">
        <v>839</v>
      </c>
      <c r="L38" s="148" t="s">
        <v>53</v>
      </c>
      <c r="M38" s="151">
        <f t="shared" si="0"/>
        <v>425.56799999999998</v>
      </c>
      <c r="N38" s="90" t="str">
        <f>VLOOKUP(C38,'Trips&amp;Operators'!$C$1:$E$99999,3,FALSE)</f>
        <v>COOLAHAN</v>
      </c>
      <c r="O38" s="114" t="s">
        <v>86</v>
      </c>
      <c r="P38" s="10"/>
      <c r="Q38" s="32"/>
      <c r="R38" s="101" t="str">
        <f>VLOOKUP(C38,'Train Runs'!$A$13:$AE$9997,31,0)</f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S38" s="104" t="str">
        <f>VLOOKUP(C38,'Train Runs'!$A$13:$AE$9997,22,0)</f>
        <v>https://search-rtdc-monitor-bjffxe2xuh6vdkpspy63sjmuny.us-east-1.es.amazonaws.com/_plugin/kibana/#/discover/Steve-Slow-Train-Analysis-(2080s-and-2083s)?_g=(refreshInterval:(display:Off,section:0,value:0),time:(from:'2016-09-07 20:21:55-0600',mode:absolute,to:'2016-09-07 23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38" s="106" t="str">
        <f t="shared" si="1"/>
        <v>"C:\Program Files (x86)\AstroGrep\AstroGrep.exe" /spath="%USERPROFILE%\AppData\Local\Temp\OnboardLogs" /stypes="*4045*201609080*" /stext=" 04:.+((SYSTEM_STATE.+slice.+state.+changed )|(ment ac)|(system.+state.+changed )|(\|lc)|(penalty)|(\[timeout)|(PRM\|1\|D)|(kpr)|(kdp))" /e /r /s</v>
      </c>
      <c r="U38" s="9" t="str">
        <f t="shared" si="2"/>
        <v>4045</v>
      </c>
      <c r="V38" s="37">
        <f t="shared" si="3"/>
        <v>42621.170358796298</v>
      </c>
      <c r="W38" s="51" t="str">
        <f t="shared" si="4"/>
        <v>EC</v>
      </c>
      <c r="X38" s="51" t="str">
        <f t="shared" si="5"/>
        <v>KEEP</v>
      </c>
      <c r="Y38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{"issue":{"subject":"","project_id":79,"tracker_id":40,"status_id":1,"priority_id":2,"assigned_to_id":23,"start_date":"2016-09-07","description":"","custom_fields":[{"id":1,"name":"Subdivision","value":"EC"},{"id":4,"name":"Milepost","value":"0.0839"},{"id":17,"name":"Train ID","value":"228-07"},{"id":16,"name":"Locomotive ID","value":"4045"},{"id":130,"name":"Impact","value":""},{"id":150,"name":"Time of Event (Mountain Time)","value":"22:05:19"},{"id":151,"name":"Denver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</row>
    <row r="39" spans="1:28" x14ac:dyDescent="0.25">
      <c r="A39" s="37">
        <v>42620.255324074074</v>
      </c>
      <c r="B39" s="32" t="s">
        <v>240</v>
      </c>
      <c r="C39" s="32" t="s">
        <v>363</v>
      </c>
      <c r="D39" s="32" t="s">
        <v>49</v>
      </c>
      <c r="E39" s="32" t="s">
        <v>50</v>
      </c>
      <c r="F39" s="48">
        <v>0</v>
      </c>
      <c r="G39" s="48">
        <v>35</v>
      </c>
      <c r="H39" s="48">
        <v>233381</v>
      </c>
      <c r="I39" s="48">
        <v>233408</v>
      </c>
      <c r="J39" s="32" t="s">
        <v>51</v>
      </c>
      <c r="K39" s="48">
        <v>233491</v>
      </c>
      <c r="L39" s="148" t="s">
        <v>52</v>
      </c>
      <c r="M39" s="151">
        <f t="shared" ref="M39:M61" si="7">CONVERT((I39-K39)/10000,"mi","ft")*IF(L39="Increasing Mileposts (1)",-1,1)</f>
        <v>43.823999999999998</v>
      </c>
      <c r="N39" s="90" t="str">
        <f>VLOOKUP(C39,'Trips&amp;Operators'!$C$1:$E$99999,3,FALSE)</f>
        <v>BRANNON</v>
      </c>
      <c r="O39" s="114" t="s">
        <v>86</v>
      </c>
      <c r="P39" s="10"/>
      <c r="Q39" s="32"/>
      <c r="R39" s="101" t="str">
        <f>VLOOKUP(C39,'Train Runs'!$A$13:$AE$9997,31,0)</f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S39" s="104" t="str">
        <f>VLOOKUP(C39,'Train Runs'!$A$13:$AE$9997,22,0)</f>
        <v>https://search-rtdc-monitor-bjffxe2xuh6vdkpspy63sjmuny.us-east-1.es.amazonaws.com/_plugin/kibana/#/discover/Steve-Slow-Train-Analysis-(2080s-and-2083s)?_g=(refreshInterval:(display:Off,section:0,value:0),time:(from:'2016-09-07 04:25:20-0600',mode:absolute,to:'2016-09-07 07:07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39" s="106" t="str">
        <f t="shared" ref="T39:T61" si="8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/stypes="*4025*201609071*" /stext=" 12:.+((SYSTEM_STATE.+slice.+state.+changed )|(ment ac)|(system.+state.+changed )|(\|lc)|(penalty)|(\[timeout)|(PRM\|1\|D)|(kpr)|(kdp))" /e /r /s</v>
      </c>
      <c r="U39" s="9" t="str">
        <f t="shared" ref="U39:U61" si="9">MID(B39,13,4)</f>
        <v>4025</v>
      </c>
      <c r="V39" s="37">
        <f t="shared" ref="V39:V61" si="10">A39+6/24</f>
        <v>42620.505324074074</v>
      </c>
      <c r="W39" s="51" t="str">
        <f t="shared" ref="W39:W61" si="11">IF(VALUE(LEFT(IF(LEN(C39)=6,"0"&amp;C39,C39),2))&lt;=2,"EC",IF(OR(VALUE(LEFT(IF(LEN(C39)=6,"0"&amp;C39,C39),2))=8,VALUE(LEFT(IF(LEN(C39)=6,"0"&amp;C39,C39),2))=18),"NW","Other"))</f>
        <v>EC</v>
      </c>
      <c r="X39" s="51" t="str">
        <f t="shared" ref="X39:X61" si="12">IF(AND(E39="TRACK WARRANT AUTHORITY",G39&lt;10),"OMIT","KEEP")</f>
        <v>KEEP</v>
      </c>
      <c r="Y39" s="130" t="str">
        <f t="shared" ref="Y39:Y61" si="13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{"issue":{"subject":"","project_id":79,"tracker_id":40,"status_id":1,"priority_id":2,"assigned_to_id":23,"start_date":"2016-09-07","description":"","custom_fields":[{"id":1,"name":"Subdivision","value":"EC"},{"id":4,"name":"Milepost","value":"23.3491"},{"id":17,"name":"Train ID","value":"115-07"},{"id":16,"name":"Locomotive ID","value":"4025"},{"id":130,"name":"Impact","value":""},{"id":150,"name":"Time of Event (Mountain Time)","value":"06:07:40"},{"id":151,"name":"Denver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</row>
    <row r="40" spans="1:28" x14ac:dyDescent="0.25">
      <c r="A40" s="37">
        <v>42620.350046296298</v>
      </c>
      <c r="B40" s="32" t="s">
        <v>197</v>
      </c>
      <c r="C40" s="32" t="s">
        <v>389</v>
      </c>
      <c r="D40" s="32" t="s">
        <v>49</v>
      </c>
      <c r="E40" s="32" t="s">
        <v>50</v>
      </c>
      <c r="F40" s="48">
        <v>0</v>
      </c>
      <c r="G40" s="48">
        <v>55</v>
      </c>
      <c r="H40" s="48">
        <v>233299</v>
      </c>
      <c r="I40" s="48">
        <v>233328</v>
      </c>
      <c r="J40" s="32" t="s">
        <v>51</v>
      </c>
      <c r="K40" s="48">
        <v>233491</v>
      </c>
      <c r="L40" s="148" t="s">
        <v>52</v>
      </c>
      <c r="M40" s="151">
        <f t="shared" si="7"/>
        <v>86.063999999999993</v>
      </c>
      <c r="N40" s="90" t="str">
        <f>VLOOKUP(C40,'Trips&amp;Operators'!$C$1:$E$99999,3,FALSE)</f>
        <v>STRICKLAND</v>
      </c>
      <c r="O40" s="114" t="s">
        <v>86</v>
      </c>
      <c r="P40" s="10"/>
      <c r="Q40" s="32"/>
      <c r="R40" s="101" t="str">
        <f>VLOOKUP(C40,'Train Runs'!$A$13:$AE$9997,31,0)</f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S40" s="104" t="str">
        <f>VLOOKUP(C40,'Train Runs'!$A$13:$AE$9997,22,0)</f>
        <v>https://search-rtdc-monitor-bjffxe2xuh6vdkpspy63sjmuny.us-east-1.es.amazonaws.com/_plugin/kibana/#/discover/Steve-Slow-Train-Analysis-(2080s-and-2083s)?_g=(refreshInterval:(display:Off,section:0,value:0),time:(from:'2016-09-07 06:38:49-0600',mode:absolute,to:'2016-09-07 09:24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40" s="106" t="str">
        <f t="shared" si="8"/>
        <v>"C:\Program Files (x86)\AstroGrep\AstroGrep.exe" /spath="%USERPROFILE%\AppData\Local\Temp\OnboardLogs" /stypes="*4020*201609071*" /stext=" 14:.+((SYSTEM_STATE.+slice.+state.+changed )|(ment ac)|(system.+state.+changed )|(\|lc)|(penalty)|(\[timeout)|(PRM\|1\|D)|(kpr)|(kdp))" /e /r /s</v>
      </c>
      <c r="U40" s="9" t="str">
        <f t="shared" si="9"/>
        <v>4020</v>
      </c>
      <c r="V40" s="37">
        <f t="shared" si="10"/>
        <v>42620.600046296298</v>
      </c>
      <c r="W40" s="51" t="str">
        <f t="shared" si="11"/>
        <v>EC</v>
      </c>
      <c r="X40" s="51" t="str">
        <f t="shared" si="12"/>
        <v>KEEP</v>
      </c>
      <c r="Y40" s="130" t="str">
        <f t="shared" si="13"/>
        <v>echo {"issue":{"subject":"","project_id":79,"tracker_id":40,"status_id":1,"priority_id":2,"assigned_to_id":23,"start_date":"2016-09-07","description":"","custom_fields":[{"id":1,"name":"Subdivision","value":"EC"},{"id":4,"name":"Milepost","value":"23.3491"},{"id":17,"name":"Train ID","value":"133-07"},{"id":16,"name":"Locomotive ID","value":"4020"},{"id":130,"name":"Impact","value":""},{"id":150,"name":"Time of Event (Mountain Time)","value":"08:24:04"},{"id":151,"name":"Denver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</row>
    <row r="41" spans="1:28" x14ac:dyDescent="0.25">
      <c r="A41" s="37">
        <v>42620.568483796298</v>
      </c>
      <c r="B41" s="32" t="s">
        <v>197</v>
      </c>
      <c r="C41" s="32" t="s">
        <v>452</v>
      </c>
      <c r="D41" s="32" t="s">
        <v>49</v>
      </c>
      <c r="E41" s="32" t="s">
        <v>50</v>
      </c>
      <c r="F41" s="48">
        <v>0</v>
      </c>
      <c r="G41" s="48">
        <v>71</v>
      </c>
      <c r="H41" s="48">
        <v>233238</v>
      </c>
      <c r="I41" s="48">
        <v>233298</v>
      </c>
      <c r="J41" s="32" t="s">
        <v>51</v>
      </c>
      <c r="K41" s="48">
        <v>233491</v>
      </c>
      <c r="L41" s="148" t="s">
        <v>52</v>
      </c>
      <c r="M41" s="151">
        <f t="shared" si="7"/>
        <v>101.904</v>
      </c>
      <c r="N41" s="90" t="str">
        <f>VLOOKUP(C41,'Trips&amp;Operators'!$C$1:$E$99999,3,FALSE)</f>
        <v>BARTLETT</v>
      </c>
      <c r="O41" s="114" t="s">
        <v>86</v>
      </c>
      <c r="P41" s="10"/>
      <c r="Q41" s="32"/>
      <c r="R41" s="101" t="str">
        <f>VLOOKUP(C41,'Train Runs'!$A$13:$AE$9997,31,0)</f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S41" s="104" t="str">
        <f>VLOOKUP(C41,'Train Runs'!$A$13:$AE$9997,22,0)</f>
        <v>https://search-rtdc-monitor-bjffxe2xuh6vdkpspy63sjmuny.us-east-1.es.amazonaws.com/_plugin/kibana/#/discover/Steve-Slow-Train-Analysis-(2080s-and-2083s)?_g=(refreshInterval:(display:Off,section:0,value:0),time:(from:'2016-09-07 11:54:31-0600',mode:absolute,to:'2016-09-07 14:38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41" s="106" t="str">
        <f t="shared" si="8"/>
        <v>"C:\Program Files (x86)\AstroGrep\AstroGrep.exe" /spath="%USERPROFILE%\AppData\Local\Temp\OnboardLogs" /stypes="*4020*201609071*" /stext=" 19:.+((SYSTEM_STATE.+slice.+state.+changed )|(ment ac)|(system.+state.+changed )|(\|lc)|(penalty)|(\[timeout)|(PRM\|1\|D)|(kpr)|(kdp))" /e /r /s</v>
      </c>
      <c r="U41" s="9" t="str">
        <f t="shared" si="9"/>
        <v>4020</v>
      </c>
      <c r="V41" s="37">
        <f t="shared" si="10"/>
        <v>42620.818483796298</v>
      </c>
      <c r="W41" s="51" t="str">
        <f t="shared" si="11"/>
        <v>EC</v>
      </c>
      <c r="X41" s="51" t="str">
        <f t="shared" si="12"/>
        <v>KEEP</v>
      </c>
      <c r="Y41" s="130" t="str">
        <f t="shared" si="13"/>
        <v>echo {"issue":{"subject":"","project_id":79,"tracker_id":40,"status_id":1,"priority_id":2,"assigned_to_id":23,"start_date":"2016-09-07","description":"","custom_fields":[{"id":1,"name":"Subdivision","value":"EC"},{"id":4,"name":"Milepost","value":"23.3491"},{"id":17,"name":"Train ID","value":"175-07"},{"id":16,"name":"Locomotive ID","value":"4020"},{"id":130,"name":"Impact","value":""},{"id":150,"name":"Time of Event (Mountain Time)","value":"13:38:37"},{"id":151,"name":"Denver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</row>
    <row r="42" spans="1:28" x14ac:dyDescent="0.25">
      <c r="A42" s="37">
        <v>42620.668356481481</v>
      </c>
      <c r="B42" s="32" t="s">
        <v>222</v>
      </c>
      <c r="C42" s="32" t="s">
        <v>484</v>
      </c>
      <c r="D42" s="32" t="s">
        <v>49</v>
      </c>
      <c r="E42" s="32" t="s">
        <v>56</v>
      </c>
      <c r="F42" s="48">
        <v>150</v>
      </c>
      <c r="G42" s="48">
        <v>316</v>
      </c>
      <c r="H42" s="48">
        <v>56052</v>
      </c>
      <c r="I42" s="48">
        <v>56680</v>
      </c>
      <c r="J42" s="32" t="s">
        <v>57</v>
      </c>
      <c r="K42" s="48">
        <v>57008</v>
      </c>
      <c r="L42" s="148" t="s">
        <v>52</v>
      </c>
      <c r="M42" s="151">
        <f t="shared" si="7"/>
        <v>173.18400000000003</v>
      </c>
      <c r="N42" s="90" t="str">
        <f>VLOOKUP(C42,'Trips&amp;Operators'!$C$1:$E$99999,3,FALSE)</f>
        <v>LEVERE</v>
      </c>
      <c r="O42" s="114" t="s">
        <v>86</v>
      </c>
      <c r="P42" s="10"/>
      <c r="Q42" s="32"/>
      <c r="R42" s="101" t="str">
        <f>VLOOKUP(C42,'Train Runs'!$A$13:$AE$9997,31,0)</f>
        <v>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 &amp; 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</v>
      </c>
      <c r="S42" s="104" t="str">
        <f>VLOOKUP(C42,'Train Runs'!$A$13:$AE$9997,22,0)</f>
        <v>https://search-rtdc-monitor-bjffxe2xuh6vdkpspy63sjmuny.us-east-1.es.amazonaws.com/_plugin/kibana/#/discover/Steve-Slow-Train-Analysis-(2080s-and-2083s)?_g=(refreshInterval:(display:Off,section:0,value:0),time:(from:'2016-09-07 14:40:05-0600',mode:absolute,to:'2016-09-07 17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42" s="106" t="str">
        <f t="shared" si="8"/>
        <v>"C:\Program Files (x86)\AstroGrep\AstroGrep.exe" /spath="%USERPROFILE%\AppData\Local\Temp\OnboardLogs" /stypes="*4044*201609072*" /stext=" 22:.+((SYSTEM_STATE.+slice.+state.+changed )|(ment ac)|(system.+state.+changed )|(\|lc)|(penalty)|(\[timeout)|(PRM\|1\|D)|(kpr)|(kdp))" /e /r /s</v>
      </c>
      <c r="U42" s="9" t="str">
        <f t="shared" si="9"/>
        <v>4044</v>
      </c>
      <c r="V42" s="37">
        <f t="shared" si="10"/>
        <v>42620.918356481481</v>
      </c>
      <c r="W42" s="51" t="str">
        <f t="shared" si="11"/>
        <v>NW</v>
      </c>
      <c r="X42" s="51" t="str">
        <f t="shared" si="12"/>
        <v>KEEP</v>
      </c>
      <c r="Y42" s="130" t="str">
        <f t="shared" si="13"/>
        <v>echo {"issue":{"subject":"","project_id":79,"tracker_id":40,"status_id":1,"priority_id":2,"assigned_to_id":23,"start_date":"2016-09-07","description":"","custom_fields":[{"id":1,"name":"Subdivision","value":"NW"},{"id":4,"name":"Milepost","value":"5.7008"},{"id":17,"name":"Train ID","value":"827-07"},{"id":16,"name":"Locomotive ID","value":"4044"},{"id":130,"name":"Impact","value":""},{"id":150,"name":"Time of Event (Mountain Time)","value":"16:02:26"},{"id":151,"name":"Denver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</row>
    <row r="43" spans="1:28" x14ac:dyDescent="0.25">
      <c r="A43" s="37">
        <v>42620.322013888886</v>
      </c>
      <c r="B43" s="32" t="s">
        <v>92</v>
      </c>
      <c r="C43" s="32" t="s">
        <v>388</v>
      </c>
      <c r="D43" s="32" t="s">
        <v>109</v>
      </c>
      <c r="E43" s="32" t="s">
        <v>56</v>
      </c>
      <c r="F43" s="48">
        <v>150</v>
      </c>
      <c r="G43" s="48">
        <v>203</v>
      </c>
      <c r="H43" s="48">
        <v>56965</v>
      </c>
      <c r="I43" s="48">
        <v>56505</v>
      </c>
      <c r="J43" s="32" t="s">
        <v>57</v>
      </c>
      <c r="K43" s="48">
        <v>59050</v>
      </c>
      <c r="L43" s="148" t="s">
        <v>53</v>
      </c>
      <c r="M43" s="151">
        <f t="shared" si="7"/>
        <v>-1343.76</v>
      </c>
      <c r="N43" s="90" t="str">
        <f>VLOOKUP(C43,'Trips&amp;Operators'!$C$1:$E$99999,3,FALSE)</f>
        <v>GEBRETEKLE</v>
      </c>
      <c r="O43" s="114" t="s">
        <v>86</v>
      </c>
      <c r="P43" s="10"/>
      <c r="Q43" s="32"/>
      <c r="R43" s="101" t="str">
        <f>VLOOKUP(C43,'Train Runs'!$A$13:$AE$9997,31,0)</f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S43" s="104" t="str">
        <f>VLOOKUP(C43,'Train Runs'!$A$13:$AE$9997,22,0)</f>
        <v>https://search-rtdc-monitor-bjffxe2xuh6vdkpspy63sjmuny.us-east-1.es.amazonaws.com/_plugin/kibana/#/discover/Steve-Slow-Train-Analysis-(2080s-and-2083s)?_g=(refreshInterval:(display:Off,section:0,value:0),time:(from:'2016-09-07 06:36:18-0600',mode:absolute,to:'2016-09-07 08:56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43" s="106" t="str">
        <f t="shared" si="8"/>
        <v>"C:\Program Files (x86)\AstroGrep\AstroGrep.exe" /spath="%USERPROFILE%\AppData\Local\Temp\OnboardLogs" /stypes="*4030*201609071*" /stext=" 13:.+((SYSTEM_STATE.+slice.+state.+changed )|(ment ac)|(system.+state.+changed )|(\|lc)|(penalty)|(\[timeout)|(PRM\|1\|D)|(kpr)|(kdp))" /e /r /s</v>
      </c>
      <c r="U43" s="9" t="str">
        <f t="shared" si="9"/>
        <v>4030</v>
      </c>
      <c r="V43" s="37">
        <f t="shared" si="10"/>
        <v>42620.572013888886</v>
      </c>
      <c r="W43" s="51" t="str">
        <f t="shared" si="11"/>
        <v>NW</v>
      </c>
      <c r="X43" s="51" t="str">
        <f t="shared" si="12"/>
        <v>KEEP</v>
      </c>
      <c r="Y43" s="130" t="str">
        <f t="shared" si="13"/>
        <v>echo {"issue":{"subject":"","project_id":79,"tracker_id":40,"status_id":1,"priority_id":2,"assigned_to_id":23,"start_date":"2016-09-07","description":"","custom_fields":[{"id":1,"name":"Subdivision","value":"NW"},{"id":4,"name":"Milepost","value":"5.905"},{"id":17,"name":"Train ID","value":"808-07"},{"id":16,"name":"Locomotive ID","value":"4030"},{"id":130,"name":"Impact","value":""},{"id":150,"name":"Time of Event (Mountain Time)","value":"07:43:42"},{"id":151,"name":"Denver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</row>
    <row r="44" spans="1:28" x14ac:dyDescent="0.25">
      <c r="A44" s="37">
        <v>42620.305972222224</v>
      </c>
      <c r="B44" s="32" t="s">
        <v>220</v>
      </c>
      <c r="C44" s="32" t="s">
        <v>382</v>
      </c>
      <c r="D44" s="32" t="s">
        <v>49</v>
      </c>
      <c r="E44" s="32" t="s">
        <v>54</v>
      </c>
      <c r="F44" s="48">
        <v>0</v>
      </c>
      <c r="G44" s="48">
        <v>287</v>
      </c>
      <c r="H44" s="48">
        <v>20280</v>
      </c>
      <c r="I44" s="48">
        <v>18297</v>
      </c>
      <c r="J44" s="32" t="s">
        <v>55</v>
      </c>
      <c r="K44" s="48">
        <v>19000</v>
      </c>
      <c r="L44" s="148" t="s">
        <v>53</v>
      </c>
      <c r="M44" s="151">
        <f t="shared" si="7"/>
        <v>-371.18400000000003</v>
      </c>
      <c r="N44" s="90" t="str">
        <f>VLOOKUP(C44,'Trips&amp;Operators'!$C$1:$E$99999,3,FALSE)</f>
        <v>STARKS</v>
      </c>
      <c r="O44" s="114" t="s">
        <v>233</v>
      </c>
      <c r="P44" s="10" t="s">
        <v>280</v>
      </c>
      <c r="Q44" s="32"/>
      <c r="R44" s="101" t="str">
        <f>VLOOKUP(C44,'Train Runs'!$A$13:$AE$9997,31,0)</f>
        <v>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 &amp; 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</v>
      </c>
      <c r="S44" s="104" t="str">
        <f>VLOOKUP(C44,'Train Runs'!$A$13:$AE$9997,22,0)</f>
        <v>https://search-rtdc-monitor-bjffxe2xuh6vdkpspy63sjmuny.us-east-1.es.amazonaws.com/_plugin/kibana/#/discover/Steve-Slow-Train-Analysis-(2080s-and-2083s)?_g=(refreshInterval:(display:Off,section:0,value:0),time:(from:'2016-09-07 06:06:32-0600',mode:absolute,to:'2016-09-07 08:26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44" s="106" t="str">
        <f t="shared" si="8"/>
        <v>"C:\Program Files (x86)\AstroGrep\AstroGrep.exe" /spath="%USERPROFILE%\AppData\Local\Temp\OnboardLogs" /stypes="*4043*201609071*" /stext=" 13:.+((SYSTEM_STATE.+slice.+state.+changed )|(ment ac)|(system.+state.+changed )|(\|lc)|(penalty)|(\[timeout)|(PRM\|1\|D)|(kpr)|(kdp))" /e /r /s</v>
      </c>
      <c r="U44" s="9" t="str">
        <f t="shared" si="9"/>
        <v>4043</v>
      </c>
      <c r="V44" s="37">
        <f t="shared" si="10"/>
        <v>42620.555972222224</v>
      </c>
      <c r="W44" s="51" t="str">
        <f t="shared" si="11"/>
        <v>NW</v>
      </c>
      <c r="X44" s="51" t="str">
        <f t="shared" si="12"/>
        <v>KEEP</v>
      </c>
      <c r="Y44" s="130" t="str">
        <f t="shared" si="13"/>
        <v>echo {"issue":{"subject":"Wi-MAX outage","project_id":79,"tracker_id":40,"status_id":1,"priority_id":2,"assigned_to_id":23,"start_date":"2016-09-07","description":"","custom_fields":[{"id":1,"name":"Subdivision","value":"NW"},{"id":4,"name":"Milepost","value":"1.9"},{"id":17,"name":"Train ID","value":"806-07"},{"id":16,"name":"Locomotive ID","value":"4043"},{"id":130,"name":"Impact","value":""},{"id":150,"name":"Time of Event (Mountain Time)","value":"07:20:36"},{"id":151,"name":"Denver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</row>
    <row r="45" spans="1:28" x14ac:dyDescent="0.25">
      <c r="A45" s="37">
        <v>42620.359293981484</v>
      </c>
      <c r="B45" s="32" t="s">
        <v>91</v>
      </c>
      <c r="C45" s="32" t="s">
        <v>396</v>
      </c>
      <c r="D45" s="32" t="s">
        <v>109</v>
      </c>
      <c r="E45" s="32" t="s">
        <v>54</v>
      </c>
      <c r="F45" s="48">
        <v>0</v>
      </c>
      <c r="G45" s="48">
        <v>106</v>
      </c>
      <c r="H45" s="48">
        <v>22296</v>
      </c>
      <c r="I45" s="48">
        <v>22503</v>
      </c>
      <c r="J45" s="32" t="s">
        <v>55</v>
      </c>
      <c r="K45" s="48">
        <v>22206</v>
      </c>
      <c r="L45" s="148" t="s">
        <v>52</v>
      </c>
      <c r="M45" s="151">
        <f t="shared" si="7"/>
        <v>-156.816</v>
      </c>
      <c r="N45" s="90" t="str">
        <f>VLOOKUP(C45,'Trips&amp;Operators'!$C$1:$E$99999,3,FALSE)</f>
        <v>GEBRETEKLE</v>
      </c>
      <c r="O45" s="114" t="s">
        <v>86</v>
      </c>
      <c r="P45" s="10" t="s">
        <v>763</v>
      </c>
      <c r="Q45" s="32"/>
      <c r="R45" s="101" t="str">
        <f>VLOOKUP(C45,'Train Runs'!$A$13:$AE$9997,31,0)</f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S45" s="104" t="str">
        <f>VLOOKUP(C45,'Train Runs'!$A$13:$AE$9997,22,0)</f>
        <v>https://search-rtdc-monitor-bjffxe2xuh6vdkpspy63sjmuny.us-east-1.es.amazonaws.com/_plugin/kibana/#/discover/Steve-Slow-Train-Analysis-(2080s-and-2083s)?_g=(refreshInterval:(display:Off,section:0,value:0),time:(from:'2016-09-07 07:16:38-0600',mode:absolute,to:'2016-09-07 09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45" s="106" t="str">
        <f t="shared" si="8"/>
        <v>"C:\Program Files (x86)\AstroGrep\AstroGrep.exe" /spath="%USERPROFILE%\AppData\Local\Temp\OnboardLogs" /stypes="*4029*201609071*" /stext=" 14:.+((SYSTEM_STATE.+slice.+state.+changed )|(ment ac)|(system.+state.+changed )|(\|lc)|(penalty)|(\[timeout)|(PRM\|1\|D)|(kpr)|(kdp))" /e /r /s</v>
      </c>
      <c r="U45" s="9" t="str">
        <f t="shared" si="9"/>
        <v>4029</v>
      </c>
      <c r="V45" s="37">
        <f t="shared" si="10"/>
        <v>42620.609293981484</v>
      </c>
      <c r="W45" s="51" t="str">
        <f t="shared" si="11"/>
        <v>NW</v>
      </c>
      <c r="X45" s="51" t="str">
        <f t="shared" si="12"/>
        <v>KEEP</v>
      </c>
      <c r="Y45" s="130" t="str">
        <f t="shared" si="13"/>
        <v>echo {"issue":{"subject":"Went active too close to signal","project_id":79,"tracker_id":40,"status_id":1,"priority_id":2,"assigned_to_id":23,"start_date":"2016-09-07","description":"","custom_fields":[{"id":1,"name":"Subdivision","value":"NW"},{"id":4,"name":"Milepost","value":"2.2206"},{"id":17,"name":"Train ID","value":"811-07"},{"id":16,"name":"Locomotive ID","value":"4029"},{"id":130,"name":"Impact","value":""},{"id":150,"name":"Time of Event (Mountain Time)","value":"08:37:23"},{"id":151,"name":"Denver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</row>
    <row r="46" spans="1:28" x14ac:dyDescent="0.25">
      <c r="A46" s="37">
        <v>42620.686666666668</v>
      </c>
      <c r="B46" s="32" t="s">
        <v>91</v>
      </c>
      <c r="C46" s="32" t="s">
        <v>491</v>
      </c>
      <c r="D46" s="32" t="s">
        <v>49</v>
      </c>
      <c r="E46" s="32" t="s">
        <v>278</v>
      </c>
      <c r="F46" s="48">
        <v>0</v>
      </c>
      <c r="G46" s="48">
        <v>548</v>
      </c>
      <c r="H46" s="48">
        <v>26879</v>
      </c>
      <c r="I46" s="48">
        <v>29030</v>
      </c>
      <c r="J46" s="32" t="s">
        <v>279</v>
      </c>
      <c r="K46" s="48">
        <v>29691</v>
      </c>
      <c r="L46" s="148" t="s">
        <v>52</v>
      </c>
      <c r="M46" s="151">
        <f t="shared" si="7"/>
        <v>349.00800000000004</v>
      </c>
      <c r="N46" s="90" t="str">
        <f>VLOOKUP(C46,'Trips&amp;Operators'!$C$1:$E$99999,3,FALSE)</f>
        <v>MOSES</v>
      </c>
      <c r="O46" s="114" t="s">
        <v>233</v>
      </c>
      <c r="P46" s="10" t="s">
        <v>280</v>
      </c>
      <c r="Q46" s="32"/>
      <c r="R46" s="101" t="str">
        <f>VLOOKUP(C46,'Train Runs'!$A$13:$AE$9997,31,0)</f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S46" s="104" t="str">
        <f>VLOOKUP(C46,'Train Runs'!$A$13:$AE$9997,22,0)</f>
        <v>https://search-rtdc-monitor-bjffxe2xuh6vdkpspy63sjmuny.us-east-1.es.amazonaws.com/_plugin/kibana/#/discover/Steve-Slow-Train-Analysis-(2080s-and-2083s)?_g=(refreshInterval:(display:Off,section:0,value:0),time:(from:'2016-09-07 15:17:40-0600',mode:absolute,to:'2016-09-07 17:38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46" s="106" t="str">
        <f t="shared" si="8"/>
        <v>"C:\Program Files (x86)\AstroGrep\AstroGrep.exe" /spath="%USERPROFILE%\AppData\Local\Temp\OnboardLogs" /stypes="*4029*201609072*" /stext=" 22:.+((SYSTEM_STATE.+slice.+state.+changed )|(ment ac)|(system.+state.+changed )|(\|lc)|(penalty)|(\[timeout)|(PRM\|1\|D)|(kpr)|(kdp))" /e /r /s</v>
      </c>
      <c r="U46" s="9" t="str">
        <f t="shared" si="9"/>
        <v>4029</v>
      </c>
      <c r="V46" s="37">
        <f t="shared" si="10"/>
        <v>42620.936666666668</v>
      </c>
      <c r="W46" s="51" t="str">
        <f t="shared" si="11"/>
        <v>NW</v>
      </c>
      <c r="X46" s="51" t="str">
        <f t="shared" si="12"/>
        <v>KEEP</v>
      </c>
      <c r="Y46" s="130" t="str">
        <f t="shared" si="13"/>
        <v>echo {"issue":{"subject":"Wi-MAX outage","project_id":79,"tracker_id":40,"status_id":1,"priority_id":2,"assigned_to_id":23,"start_date":"2016-09-07","description":"","custom_fields":[{"id":1,"name":"Subdivision","value":"NW"},{"id":4,"name":"Milepost","value":"2.9691"},{"id":17,"name":"Train ID","value":"829-07"},{"id":16,"name":"Locomotive ID","value":"4029"},{"id":130,"name":"Impact","value":""},{"id":150,"name":"Time of Event (Mountain Time)","value":"16:28:48"},{"id":151,"name":"Denver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</row>
    <row r="47" spans="1:28" x14ac:dyDescent="0.25">
      <c r="A47" s="37">
        <v>42620.53769675926</v>
      </c>
      <c r="B47" s="32" t="s">
        <v>92</v>
      </c>
      <c r="C47" s="32" t="s">
        <v>449</v>
      </c>
      <c r="D47" s="32" t="s">
        <v>49</v>
      </c>
      <c r="E47" s="32" t="s">
        <v>50</v>
      </c>
      <c r="F47" s="48">
        <v>0</v>
      </c>
      <c r="G47" s="48">
        <v>70</v>
      </c>
      <c r="H47" s="48">
        <v>810</v>
      </c>
      <c r="I47" s="48">
        <v>734</v>
      </c>
      <c r="J47" s="32" t="s">
        <v>51</v>
      </c>
      <c r="K47" s="48">
        <v>575</v>
      </c>
      <c r="L47" s="148" t="s">
        <v>53</v>
      </c>
      <c r="M47" s="151">
        <f t="shared" si="7"/>
        <v>83.951999999999998</v>
      </c>
      <c r="N47" s="90" t="str">
        <f>VLOOKUP(C47,'Trips&amp;Operators'!$C$1:$E$99999,3,FALSE)</f>
        <v>GEBRETEKLE</v>
      </c>
      <c r="O47" s="114" t="s">
        <v>86</v>
      </c>
      <c r="P47" s="10"/>
      <c r="Q47" s="32"/>
      <c r="R47" s="101" t="str">
        <f>VLOOKUP(C47,'Train Runs'!$A$13:$AE$9997,31,0)</f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S47" s="104" t="str">
        <f>VLOOKUP(C47,'Train Runs'!$A$13:$AE$9997,22,0)</f>
        <v>https://search-rtdc-monitor-bjffxe2xuh6vdkpspy63sjmuny.us-east-1.es.amazonaws.com/_plugin/kibana/#/discover/Steve-Slow-Train-Analysis-(2080s-and-2083s)?_g=(refreshInterval:(display:Off,section:0,value:0),time:(from:'2016-09-07 11:37:20-0600',mode:absolute,to:'2016-09-07 13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47" s="106" t="str">
        <f t="shared" si="8"/>
        <v>"C:\Program Files (x86)\AstroGrep\AstroGrep.exe" /spath="%USERPROFILE%\AppData\Local\Temp\OnboardLogs" /stypes="*4030*201609071*" /stext=" 18:.+((SYSTEM_STATE.+slice.+state.+changed )|(ment ac)|(system.+state.+changed )|(\|lc)|(penalty)|(\[timeout)|(PRM\|1\|D)|(kpr)|(kdp))" /e /r /s</v>
      </c>
      <c r="U47" s="9" t="str">
        <f t="shared" si="9"/>
        <v>4030</v>
      </c>
      <c r="V47" s="37">
        <f t="shared" si="10"/>
        <v>42620.78769675926</v>
      </c>
      <c r="W47" s="51" t="str">
        <f t="shared" si="11"/>
        <v>NW</v>
      </c>
      <c r="X47" s="51" t="str">
        <f t="shared" si="12"/>
        <v>KEEP</v>
      </c>
      <c r="Y47" s="130" t="str">
        <f t="shared" si="13"/>
        <v>echo {"issue":{"subject":"","project_id":79,"tracker_id":40,"status_id":1,"priority_id":2,"assigned_to_id":23,"start_date":"2016-09-07","description":"","custom_fields":[{"id":1,"name":"Subdivision","value":"NW"},{"id":4,"name":"Milepost","value":"0.0575"},{"id":17,"name":"Train ID","value":"820-07"},{"id":16,"name":"Locomotive ID","value":"4030"},{"id":130,"name":"Impact","value":""},{"id":150,"name":"Time of Event (Mountain Time)","value":"12:54:17"},{"id":151,"name":"Denver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</row>
    <row r="48" spans="1:28" x14ac:dyDescent="0.25">
      <c r="A48" s="37">
        <v>42620.706377314818</v>
      </c>
      <c r="B48" s="32" t="s">
        <v>92</v>
      </c>
      <c r="C48" s="32" t="s">
        <v>494</v>
      </c>
      <c r="D48" s="32" t="s">
        <v>49</v>
      </c>
      <c r="E48" s="32" t="s">
        <v>50</v>
      </c>
      <c r="F48" s="48">
        <v>0</v>
      </c>
      <c r="G48" s="48">
        <v>43</v>
      </c>
      <c r="H48" s="48">
        <v>712</v>
      </c>
      <c r="I48" s="48">
        <v>677</v>
      </c>
      <c r="J48" s="32" t="s">
        <v>51</v>
      </c>
      <c r="K48" s="48">
        <v>575</v>
      </c>
      <c r="L48" s="148" t="s">
        <v>53</v>
      </c>
      <c r="M48" s="151">
        <f t="shared" si="7"/>
        <v>53.856000000000002</v>
      </c>
      <c r="N48" s="90" t="str">
        <f>VLOOKUP(C48,'Trips&amp;Operators'!$C$1:$E$99999,3,FALSE)</f>
        <v>MOSES</v>
      </c>
      <c r="O48" s="114" t="s">
        <v>86</v>
      </c>
      <c r="P48" s="10"/>
      <c r="Q48" s="32"/>
      <c r="R48" s="101" t="str">
        <f>VLOOKUP(C48,'Train Runs'!$A$13:$AE$9997,31,0)</f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S48" s="104" t="str">
        <f>VLOOKUP(C48,'Train Runs'!$A$13:$AE$9997,22,0)</f>
        <v>https://search-rtdc-monitor-bjffxe2xuh6vdkpspy63sjmuny.us-east-1.es.amazonaws.com/_plugin/kibana/#/discover/Steve-Slow-Train-Analysis-(2080s-and-2083s)?_g=(refreshInterval:(display:Off,section:0,value:0),time:(from:'2016-09-07 15:41:24-0600',mode:absolute,to:'2016-09-07 17:57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48" s="106" t="str">
        <f t="shared" si="8"/>
        <v>"C:\Program Files (x86)\AstroGrep\AstroGrep.exe" /spath="%USERPROFILE%\AppData\Local\Temp\OnboardLogs" /stypes="*4030*201609072*" /stext=" 22:.+((SYSTEM_STATE.+slice.+state.+changed )|(ment ac)|(system.+state.+changed )|(\|lc)|(penalty)|(\[timeout)|(PRM\|1\|D)|(kpr)|(kdp))" /e /r /s</v>
      </c>
      <c r="U48" s="9" t="str">
        <f t="shared" si="9"/>
        <v>4030</v>
      </c>
      <c r="V48" s="37">
        <f t="shared" si="10"/>
        <v>42620.956377314818</v>
      </c>
      <c r="W48" s="51" t="str">
        <f t="shared" si="11"/>
        <v>NW</v>
      </c>
      <c r="X48" s="51" t="str">
        <f t="shared" si="12"/>
        <v>KEEP</v>
      </c>
      <c r="Y48" s="130" t="str">
        <f t="shared" si="13"/>
        <v>echo {"issue":{"subject":"","project_id":79,"tracker_id":40,"status_id":1,"priority_id":2,"assigned_to_id":23,"start_date":"2016-09-07","description":"","custom_fields":[{"id":1,"name":"Subdivision","value":"NW"},{"id":4,"name":"Milepost","value":"0.0575"},{"id":17,"name":"Train ID","value":"830-07"},{"id":16,"name":"Locomotive ID","value":"4030"},{"id":130,"name":"Impact","value":""},{"id":150,"name":"Time of Event (Mountain Time)","value":"16:57:11"},{"id":151,"name":"Denver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</row>
    <row r="49" spans="1:28" x14ac:dyDescent="0.25">
      <c r="A49" s="37">
        <v>42620.871678240743</v>
      </c>
      <c r="B49" s="32" t="s">
        <v>92</v>
      </c>
      <c r="C49" s="32" t="s">
        <v>542</v>
      </c>
      <c r="D49" s="32" t="s">
        <v>49</v>
      </c>
      <c r="E49" s="32" t="s">
        <v>50</v>
      </c>
      <c r="F49" s="48">
        <v>0</v>
      </c>
      <c r="G49" s="48">
        <v>43</v>
      </c>
      <c r="H49" s="48">
        <v>717</v>
      </c>
      <c r="I49" s="48">
        <v>677</v>
      </c>
      <c r="J49" s="32" t="s">
        <v>51</v>
      </c>
      <c r="K49" s="48">
        <v>575</v>
      </c>
      <c r="L49" s="148" t="s">
        <v>53</v>
      </c>
      <c r="M49" s="151">
        <f t="shared" si="7"/>
        <v>53.856000000000002</v>
      </c>
      <c r="N49" s="90" t="str">
        <f>VLOOKUP(C49,'Trips&amp;Operators'!$C$1:$E$99999,3,FALSE)</f>
        <v>MOSES</v>
      </c>
      <c r="O49" s="114" t="s">
        <v>86</v>
      </c>
      <c r="P49" s="10"/>
      <c r="Q49" s="32"/>
      <c r="R49" s="101" t="str">
        <f>VLOOKUP(C49,'Train Runs'!$A$13:$AE$9997,31,0)</f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S49" s="104" t="str">
        <f>VLOOKUP(C49,'Train Runs'!$A$13:$AE$9997,22,0)</f>
        <v>https://search-rtdc-monitor-bjffxe2xuh6vdkpspy63sjmuny.us-east-1.es.amazonaws.com/_plugin/kibana/#/discover/Steve-Slow-Train-Analysis-(2080s-and-2083s)?_g=(refreshInterval:(display:Off,section:0,value:0),time:(from:'2016-09-07 19:37:05-0600',mode:absolute,to:'2016-09-07 21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49" s="106" t="str">
        <f t="shared" si="8"/>
        <v>"C:\Program Files (x86)\AstroGrep\AstroGrep.exe" /spath="%USERPROFILE%\AppData\Local\Temp\OnboardLogs" /stypes="*4030*201609080*" /stext=" 02:.+((SYSTEM_STATE.+slice.+state.+changed )|(ment ac)|(system.+state.+changed )|(\|lc)|(penalty)|(\[timeout)|(PRM\|1\|D)|(kpr)|(kdp))" /e /r /s</v>
      </c>
      <c r="U49" s="9" t="str">
        <f t="shared" si="9"/>
        <v>4030</v>
      </c>
      <c r="V49" s="37">
        <f t="shared" si="10"/>
        <v>42621.121678240743</v>
      </c>
      <c r="W49" s="51" t="str">
        <f t="shared" si="11"/>
        <v>NW</v>
      </c>
      <c r="X49" s="51" t="str">
        <f t="shared" si="12"/>
        <v>KEEP</v>
      </c>
      <c r="Y49" s="130" t="str">
        <f t="shared" si="13"/>
        <v>echo {"issue":{"subject":"","project_id":79,"tracker_id":40,"status_id":1,"priority_id":2,"assigned_to_id":23,"start_date":"2016-09-07","description":"","custom_fields":[{"id":1,"name":"Subdivision","value":"NW"},{"id":4,"name":"Milepost","value":"0.0575"},{"id":17,"name":"Train ID","value":"842-07"},{"id":16,"name":"Locomotive ID","value":"4030"},{"id":130,"name":"Impact","value":""},{"id":150,"name":"Time of Event (Mountain Time)","value":"20:55:13"},{"id":151,"name":"Denver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</row>
    <row r="50" spans="1:28" x14ac:dyDescent="0.25">
      <c r="A50" s="37">
        <v>42620.315416666665</v>
      </c>
      <c r="B50" s="32" t="s">
        <v>91</v>
      </c>
      <c r="C50" s="32" t="s">
        <v>385</v>
      </c>
      <c r="D50" s="32" t="s">
        <v>109</v>
      </c>
      <c r="E50" s="32" t="s">
        <v>50</v>
      </c>
      <c r="F50" s="48">
        <v>0</v>
      </c>
      <c r="G50" s="48">
        <v>14</v>
      </c>
      <c r="H50" s="48">
        <v>59048</v>
      </c>
      <c r="I50" s="48">
        <v>0</v>
      </c>
      <c r="J50" s="32" t="s">
        <v>51</v>
      </c>
      <c r="K50" s="48">
        <v>59048</v>
      </c>
      <c r="L50" s="148" t="s">
        <v>52</v>
      </c>
      <c r="M50" s="151">
        <f t="shared" si="7"/>
        <v>31177.344000000001</v>
      </c>
      <c r="N50" s="90" t="str">
        <f>VLOOKUP(C50,'Trips&amp;Operators'!$C$1:$E$99999,3,FALSE)</f>
        <v>GEBRETEKLE</v>
      </c>
      <c r="O50" s="114" t="s">
        <v>86</v>
      </c>
      <c r="P50" s="10"/>
      <c r="Q50" s="32"/>
      <c r="R50" s="101" t="str">
        <f>VLOOKUP(C50,'Train Runs'!$A$13:$AE$9997,31,0)</f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S50" s="104" t="str">
        <f>VLOOKUP(C50,'Train Runs'!$A$13:$AE$9997,22,0)</f>
        <v>https://search-rtdc-monitor-bjffxe2xuh6vdkpspy63sjmuny.us-east-1.es.amazonaws.com/_plugin/kibana/#/discover/Steve-Slow-Train-Analysis-(2080s-and-2083s)?_g=(refreshInterval:(display:Off,section:0,value:0),time:(from:'2016-09-07 06:17:51-0600',mode:absolute,to:'2016-09-07 08:34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50" s="106" t="str">
        <f t="shared" si="8"/>
        <v>"C:\Program Files (x86)\AstroGrep\AstroGrep.exe" /spath="%USERPROFILE%\AppData\Local\Temp\OnboardLogs" /stypes="*4029*201609071*" /stext=" 13:.+((SYSTEM_STATE.+slice.+state.+changed )|(ment ac)|(system.+state.+changed )|(\|lc)|(penalty)|(\[timeout)|(PRM\|1\|D)|(kpr)|(kdp))" /e /r /s</v>
      </c>
      <c r="U50" s="9" t="str">
        <f t="shared" si="9"/>
        <v>4029</v>
      </c>
      <c r="V50" s="37">
        <f t="shared" si="10"/>
        <v>42620.565416666665</v>
      </c>
      <c r="W50" s="51" t="str">
        <f t="shared" si="11"/>
        <v>NW</v>
      </c>
      <c r="X50" s="51" t="str">
        <f t="shared" si="12"/>
        <v>KEEP</v>
      </c>
      <c r="Y50" s="130" t="str">
        <f t="shared" si="13"/>
        <v>echo {"issue":{"subject":"","project_id":79,"tracker_id":40,"status_id":1,"priority_id":2,"assigned_to_id":23,"start_date":"2016-09-07","description":"","custom_fields":[{"id":1,"name":"Subdivision","value":"NW"},{"id":4,"name":"Milepost","value":"5.9048"},{"id":17,"name":"Train ID","value":"807-07"},{"id":16,"name":"Locomotive ID","value":"4029"},{"id":130,"name":"Impact","value":""},{"id":150,"name":"Time of Event (Mountain Time)","value":"07:34:12"},{"id":151,"name":"Denver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</row>
    <row r="51" spans="1:28" x14ac:dyDescent="0.25">
      <c r="A51" s="37">
        <v>42620.775266203702</v>
      </c>
      <c r="B51" s="32" t="s">
        <v>91</v>
      </c>
      <c r="C51" s="32" t="s">
        <v>517</v>
      </c>
      <c r="D51" s="32" t="s">
        <v>49</v>
      </c>
      <c r="E51" s="32" t="s">
        <v>50</v>
      </c>
      <c r="F51" s="48">
        <v>0</v>
      </c>
      <c r="G51" s="48">
        <v>55</v>
      </c>
      <c r="H51" s="48">
        <v>58886</v>
      </c>
      <c r="I51" s="48">
        <v>58950</v>
      </c>
      <c r="J51" s="32" t="s">
        <v>51</v>
      </c>
      <c r="K51" s="48">
        <v>59048</v>
      </c>
      <c r="L51" s="148" t="s">
        <v>52</v>
      </c>
      <c r="M51" s="151">
        <f t="shared" si="7"/>
        <v>51.744</v>
      </c>
      <c r="N51" s="90" t="str">
        <f>VLOOKUP(C51,'Trips&amp;Operators'!$C$1:$E$99999,3,FALSE)</f>
        <v>MOSES</v>
      </c>
      <c r="O51" s="114" t="s">
        <v>86</v>
      </c>
      <c r="P51" s="10"/>
      <c r="Q51" s="32"/>
      <c r="R51" s="101" t="str">
        <f>VLOOKUP(C51,'Train Runs'!$A$13:$AE$9997,31,0)</f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S51" s="104" t="str">
        <f>VLOOKUP(C51,'Train Runs'!$A$13:$AE$9997,22,0)</f>
        <v>https://search-rtdc-monitor-bjffxe2xuh6vdkpspy63sjmuny.us-east-1.es.amazonaws.com/_plugin/kibana/#/discover/Steve-Slow-Train-Analysis-(2080s-and-2083s)?_g=(refreshInterval:(display:Off,section:0,value:0),time:(from:'2016-09-07 17:17:21-0600',mode:absolute,to:'2016-09-07 19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51" s="106" t="str">
        <f t="shared" si="8"/>
        <v>"C:\Program Files (x86)\AstroGrep\AstroGrep.exe" /spath="%USERPROFILE%\AppData\Local\Temp\OnboardLogs" /stypes="*4029*201609080*" /stext=" 00:.+((SYSTEM_STATE.+slice.+state.+changed )|(ment ac)|(system.+state.+changed )|(\|lc)|(penalty)|(\[timeout)|(PRM\|1\|D)|(kpr)|(kdp))" /e /r /s</v>
      </c>
      <c r="U51" s="9" t="str">
        <f t="shared" si="9"/>
        <v>4029</v>
      </c>
      <c r="V51" s="37">
        <f t="shared" si="10"/>
        <v>42621.025266203702</v>
      </c>
      <c r="W51" s="51" t="str">
        <f t="shared" si="11"/>
        <v>NW</v>
      </c>
      <c r="X51" s="51" t="str">
        <f t="shared" si="12"/>
        <v>KEEP</v>
      </c>
      <c r="Y51" s="130" t="str">
        <f t="shared" si="13"/>
        <v>echo {"issue":{"subject":"","project_id":79,"tracker_id":40,"status_id":1,"priority_id":2,"assigned_to_id":23,"start_date":"2016-09-07","description":"","custom_fields":[{"id":1,"name":"Subdivision","value":"NW"},{"id":4,"name":"Milepost","value":"5.9048"},{"id":17,"name":"Train ID","value":"837-07"},{"id":16,"name":"Locomotive ID","value":"4029"},{"id":130,"name":"Impact","value":""},{"id":150,"name":"Time of Event (Mountain Time)","value":"18:36:23"},{"id":151,"name":"Denver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3"/>
      <c r="AA51" s="53"/>
      <c r="AB51" s="53"/>
    </row>
    <row r="52" spans="1:28" x14ac:dyDescent="0.25">
      <c r="A52" s="37">
        <v>42620.857581018521</v>
      </c>
      <c r="B52" s="32" t="s">
        <v>91</v>
      </c>
      <c r="C52" s="32" t="s">
        <v>539</v>
      </c>
      <c r="D52" s="32" t="s">
        <v>49</v>
      </c>
      <c r="E52" s="32" t="s">
        <v>50</v>
      </c>
      <c r="F52" s="48">
        <v>0</v>
      </c>
      <c r="G52" s="48">
        <v>41</v>
      </c>
      <c r="H52" s="48">
        <v>58933</v>
      </c>
      <c r="I52" s="48">
        <v>58990</v>
      </c>
      <c r="J52" s="32" t="s">
        <v>51</v>
      </c>
      <c r="K52" s="48">
        <v>59048</v>
      </c>
      <c r="L52" s="148" t="s">
        <v>52</v>
      </c>
      <c r="M52" s="151">
        <f t="shared" si="7"/>
        <v>30.623999999999999</v>
      </c>
      <c r="N52" s="90" t="str">
        <f>VLOOKUP(C52,'Trips&amp;Operators'!$C$1:$E$99999,3,FALSE)</f>
        <v>MOSES</v>
      </c>
      <c r="O52" s="114" t="s">
        <v>86</v>
      </c>
      <c r="P52" s="10"/>
      <c r="Q52" s="32"/>
      <c r="R52" s="101" t="str">
        <f>VLOOKUP(C52,'Train Runs'!$A$13:$AE$9997,31,0)</f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S52" s="104" t="str">
        <f>VLOOKUP(C52,'Train Runs'!$A$13:$AE$9997,22,0)</f>
        <v>https://search-rtdc-monitor-bjffxe2xuh6vdkpspy63sjmuny.us-east-1.es.amazonaws.com/_plugin/kibana/#/discover/Steve-Slow-Train-Analysis-(2080s-and-2083s)?_g=(refreshInterval:(display:Off,section:0,value:0),time:(from:'2016-09-07 19:14:52-0600',mode:absolute,to:'2016-09-07 21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52" s="106" t="str">
        <f t="shared" si="8"/>
        <v>"C:\Program Files (x86)\AstroGrep\AstroGrep.exe" /spath="%USERPROFILE%\AppData\Local\Temp\OnboardLogs" /stypes="*4029*201609080*" /stext=" 02:.+((SYSTEM_STATE.+slice.+state.+changed )|(ment ac)|(system.+state.+changed )|(\|lc)|(penalty)|(\[timeout)|(PRM\|1\|D)|(kpr)|(kdp))" /e /r /s</v>
      </c>
      <c r="U52" s="9" t="str">
        <f t="shared" si="9"/>
        <v>4029</v>
      </c>
      <c r="V52" s="37">
        <f t="shared" si="10"/>
        <v>42621.107581018521</v>
      </c>
      <c r="W52" s="51" t="str">
        <f t="shared" si="11"/>
        <v>NW</v>
      </c>
      <c r="X52" s="51" t="str">
        <f t="shared" si="12"/>
        <v>KEEP</v>
      </c>
      <c r="Y52" s="130" t="str">
        <f t="shared" si="13"/>
        <v>echo {"issue":{"subject":"","project_id":79,"tracker_id":40,"status_id":1,"priority_id":2,"assigned_to_id":23,"start_date":"2016-09-07","description":"","custom_fields":[{"id":1,"name":"Subdivision","value":"NW"},{"id":4,"name":"Milepost","value":"5.9048"},{"id":17,"name":"Train ID","value":"843-07"},{"id":16,"name":"Locomotive ID","value":"4029"},{"id":130,"name":"Impact","value":""},{"id":150,"name":"Time of Event (Mountain Time)","value":"20:34:55"},{"id":151,"name":"Denver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3"/>
      <c r="AA52" s="53"/>
      <c r="AB52" s="53"/>
    </row>
    <row r="53" spans="1:28" x14ac:dyDescent="0.25">
      <c r="A53" s="37">
        <v>42620.900902777779</v>
      </c>
      <c r="B53" s="32" t="s">
        <v>91</v>
      </c>
      <c r="C53" s="32" t="s">
        <v>545</v>
      </c>
      <c r="D53" s="32" t="s">
        <v>49</v>
      </c>
      <c r="E53" s="32" t="s">
        <v>50</v>
      </c>
      <c r="F53" s="48">
        <v>0</v>
      </c>
      <c r="G53" s="48">
        <v>20</v>
      </c>
      <c r="H53" s="48">
        <v>58982</v>
      </c>
      <c r="I53" s="48">
        <v>58992</v>
      </c>
      <c r="J53" s="32" t="s">
        <v>51</v>
      </c>
      <c r="K53" s="48">
        <v>59048</v>
      </c>
      <c r="L53" s="148" t="s">
        <v>52</v>
      </c>
      <c r="M53" s="151">
        <f t="shared" si="7"/>
        <v>29.568000000000001</v>
      </c>
      <c r="N53" s="90" t="str">
        <f>VLOOKUP(C53,'Trips&amp;Operators'!$C$1:$E$99999,3,FALSE)</f>
        <v>LEVERE</v>
      </c>
      <c r="O53" s="114" t="s">
        <v>86</v>
      </c>
      <c r="P53" s="10"/>
      <c r="Q53" s="32"/>
      <c r="R53" s="101" t="str">
        <f>VLOOKUP(C53,'Train Runs'!$A$13:$AE$9997,31,0)</f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S53" s="104" t="str">
        <f>VLOOKUP(C53,'Train Runs'!$A$13:$AE$9997,22,0)</f>
        <v>https://search-rtdc-monitor-bjffxe2xuh6vdkpspy63sjmuny.us-east-1.es.amazonaws.com/_plugin/kibana/#/discover/Steve-Slow-Train-Analysis-(2080s-and-2083s)?_g=(refreshInterval:(display:Off,section:0,value:0),time:(from:'2016-09-07 20:05:50-0600',mode:absolute,to:'2016-09-07 22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53" s="106" t="str">
        <f t="shared" si="8"/>
        <v>"C:\Program Files (x86)\AstroGrep\AstroGrep.exe" /spath="%USERPROFILE%\AppData\Local\Temp\OnboardLogs" /stypes="*4029*201609080*" /stext=" 03:.+((SYSTEM_STATE.+slice.+state.+changed )|(ment ac)|(system.+state.+changed )|(\|lc)|(penalty)|(\[timeout)|(PRM\|1\|D)|(kpr)|(kdp))" /e /r /s</v>
      </c>
      <c r="U53" s="9" t="str">
        <f t="shared" si="9"/>
        <v>4029</v>
      </c>
      <c r="V53" s="37">
        <f t="shared" si="10"/>
        <v>42621.150902777779</v>
      </c>
      <c r="W53" s="51" t="str">
        <f t="shared" si="11"/>
        <v>NW</v>
      </c>
      <c r="X53" s="51" t="str">
        <f t="shared" si="12"/>
        <v>KEEP</v>
      </c>
      <c r="Y53" s="130" t="str">
        <f t="shared" si="13"/>
        <v>echo {"issue":{"subject":"","project_id":79,"tracker_id":40,"status_id":1,"priority_id":2,"assigned_to_id":23,"start_date":"2016-09-07","description":"","custom_fields":[{"id":1,"name":"Subdivision","value":"NW"},{"id":4,"name":"Milepost","value":"5.9048"},{"id":17,"name":"Train ID","value":"845-07"},{"id":16,"name":"Locomotive ID","value":"4029"},{"id":130,"name":"Impact","value":""},{"id":150,"name":"Time of Event (Mountain Time)","value":"21:37:18"},{"id":151,"name":"Denver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3"/>
      <c r="AA53" s="53"/>
      <c r="AB53" s="53"/>
    </row>
    <row r="54" spans="1:28" x14ac:dyDescent="0.25">
      <c r="A54" s="37">
        <v>42621.042557870373</v>
      </c>
      <c r="B54" s="32" t="s">
        <v>269</v>
      </c>
      <c r="C54" s="32" t="s">
        <v>565</v>
      </c>
      <c r="D54" s="32" t="s">
        <v>109</v>
      </c>
      <c r="E54" s="32" t="s">
        <v>201</v>
      </c>
      <c r="F54" s="48">
        <v>160</v>
      </c>
      <c r="G54" s="48">
        <v>212</v>
      </c>
      <c r="H54" s="48">
        <v>33257</v>
      </c>
      <c r="I54" s="48">
        <v>33869</v>
      </c>
      <c r="J54" s="32" t="s">
        <v>200</v>
      </c>
      <c r="K54" s="48">
        <v>33137</v>
      </c>
      <c r="L54" s="148" t="s">
        <v>52</v>
      </c>
      <c r="M54" s="151">
        <f t="shared" si="7"/>
        <v>-386.49599999999998</v>
      </c>
      <c r="N54" s="90" t="b">
        <f>VLOOKUP(C54,'Trips&amp;Operators'!$C$1:$E$99999,3,FALSE)</f>
        <v>1</v>
      </c>
      <c r="O54" s="114" t="s">
        <v>86</v>
      </c>
      <c r="P54" s="10"/>
      <c r="Q54" s="32"/>
      <c r="R54" s="101" t="str">
        <f>VLOOKUP(C54,'Train Runs'!$A$13:$AE$9997,31,0)</f>
        <v>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 &amp; aws s3 cp s3://rtdc.mdm.uploadarchive/RTDC4051/2016-09-09/ "%USERPROFILE%\AppData\Local\Temp\OnboardLogs"\RTDC4051\2016-09-09 --recursive &amp; "%USERPROFILE%\Documents\GitHub\mrs-test-scripts\Headless Mode &amp; Sideloading\WalkAndUnGZ.bat" "%USERPROFILE%\AppData\Local\Temp\OnboardLogs"\RTDC4051\2016-09-09</v>
      </c>
      <c r="S54" s="104" t="str">
        <f>VLOOKUP(C54,'Train Runs'!$A$13:$AE$9997,22,0)</f>
        <v>https://search-rtdc-monitor-bjffxe2xuh6vdkpspy63sjmuny.us-east-1.es.amazonaws.com/_plugin/kibana/#/discover/Steve-Slow-Train-Analysis-(2080s-and-2083s)?_g=(refreshInterval:(display:Off,section:0,value:0),time:(from:'2016-09-08 00:50:34-0600',mode:absolute,to:'2016-09-08 04:13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4051%22')),sort:!(Time,asc))</v>
      </c>
      <c r="T54" s="106" t="str">
        <f t="shared" si="8"/>
        <v>"C:\Program Files (x86)\AstroGrep\AstroGrep.exe" /spath="%USERPROFILE%\AppData\Local\Temp\OnboardLogs" /stypes="*4051*201609080*" /stext=" 07:.+((SYSTEM_STATE.+slice.+state.+changed )|(ment ac)|(system.+state.+changed )|(\|lc)|(penalty)|(\[timeout)|(PRM\|1\|D)|(kpr)|(kdp))" /e /r /s</v>
      </c>
      <c r="U54" s="9" t="str">
        <f t="shared" si="9"/>
        <v>4051</v>
      </c>
      <c r="V54" s="37">
        <f t="shared" si="10"/>
        <v>42621.292557870373</v>
      </c>
      <c r="W54" s="51" t="str">
        <f t="shared" si="11"/>
        <v>Other</v>
      </c>
      <c r="X54" s="51" t="str">
        <f t="shared" si="12"/>
        <v>KEEP</v>
      </c>
      <c r="Y54" s="130" t="str">
        <f t="shared" si="13"/>
        <v>echo {"issue":{"subject":"","project_id":79,"tracker_id":40,"status_id":1,"priority_id":2,"assigned_to_id":23,"start_date":"2016-09-08","description":"","custom_fields":[{"id":1,"name":"Subdivision","value":"Other"},{"id":4,"name":"Milepost","value":"3.3137"},{"id":17,"name":"Train ID","value":"311-07"},{"id":16,"name":"Locomotive ID","value":"4051"},{"id":130,"name":"Impact","value":""},{"id":150,"name":"Time of Event (Mountain Time)","value":"01:01:17"},{"id":151,"name":"Denver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3"/>
      <c r="AA54" s="53"/>
      <c r="AB54" s="53"/>
    </row>
    <row r="55" spans="1:28" x14ac:dyDescent="0.25">
      <c r="A55" s="37">
        <v>42621.041898148149</v>
      </c>
      <c r="B55" s="32" t="s">
        <v>269</v>
      </c>
      <c r="C55" s="32" t="s">
        <v>565</v>
      </c>
      <c r="D55" s="32" t="s">
        <v>49</v>
      </c>
      <c r="E55" s="32" t="s">
        <v>201</v>
      </c>
      <c r="F55" s="48">
        <v>290</v>
      </c>
      <c r="G55" s="48">
        <v>343</v>
      </c>
      <c r="H55" s="48">
        <v>31880</v>
      </c>
      <c r="I55" s="48">
        <v>32639</v>
      </c>
      <c r="J55" s="32" t="s">
        <v>200</v>
      </c>
      <c r="K55" s="48">
        <v>33137</v>
      </c>
      <c r="L55" s="148" t="s">
        <v>52</v>
      </c>
      <c r="M55" s="151">
        <f t="shared" si="7"/>
        <v>262.94400000000002</v>
      </c>
      <c r="N55" s="90" t="b">
        <f>VLOOKUP(C55,'Trips&amp;Operators'!$C$1:$E$99999,3,FALSE)</f>
        <v>1</v>
      </c>
      <c r="O55" s="114" t="s">
        <v>86</v>
      </c>
      <c r="P55" s="10"/>
      <c r="Q55" s="32"/>
      <c r="R55" s="101" t="str">
        <f>VLOOKUP(C55,'Train Runs'!$A$13:$AE$9997,31,0)</f>
        <v>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 &amp; aws s3 cp s3://rtdc.mdm.uploadarchive/RTDC4051/2016-09-09/ "%USERPROFILE%\AppData\Local\Temp\OnboardLogs"\RTDC4051\2016-09-09 --recursive &amp; "%USERPROFILE%\Documents\GitHub\mrs-test-scripts\Headless Mode &amp; Sideloading\WalkAndUnGZ.bat" "%USERPROFILE%\AppData\Local\Temp\OnboardLogs"\RTDC4051\2016-09-09</v>
      </c>
      <c r="S55" s="104" t="str">
        <f>VLOOKUP(C55,'Train Runs'!$A$13:$AE$9997,22,0)</f>
        <v>https://search-rtdc-monitor-bjffxe2xuh6vdkpspy63sjmuny.us-east-1.es.amazonaws.com/_plugin/kibana/#/discover/Steve-Slow-Train-Analysis-(2080s-and-2083s)?_g=(refreshInterval:(display:Off,section:0,value:0),time:(from:'2016-09-08 00:50:34-0600',mode:absolute,to:'2016-09-08 04:13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4051%22')),sort:!(Time,asc))</v>
      </c>
      <c r="T55" s="106" t="str">
        <f t="shared" si="8"/>
        <v>"C:\Program Files (x86)\AstroGrep\AstroGrep.exe" /spath="%USERPROFILE%\AppData\Local\Temp\OnboardLogs" /stypes="*4051*201609080*" /stext=" 07:.+((SYSTEM_STATE.+slice.+state.+changed )|(ment ac)|(system.+state.+changed )|(\|lc)|(penalty)|(\[timeout)|(PRM\|1\|D)|(kpr)|(kdp))" /e /r /s</v>
      </c>
      <c r="U55" s="9" t="str">
        <f t="shared" si="9"/>
        <v>4051</v>
      </c>
      <c r="V55" s="37">
        <f t="shared" si="10"/>
        <v>42621.291898148149</v>
      </c>
      <c r="W55" s="51" t="str">
        <f t="shared" si="11"/>
        <v>Other</v>
      </c>
      <c r="X55" s="51" t="str">
        <f t="shared" si="12"/>
        <v>KEEP</v>
      </c>
      <c r="Y55" s="130" t="str">
        <f t="shared" si="13"/>
        <v>echo {"issue":{"subject":"","project_id":79,"tracker_id":40,"status_id":1,"priority_id":2,"assigned_to_id":23,"start_date":"2016-09-08","description":"","custom_fields":[{"id":1,"name":"Subdivision","value":"Other"},{"id":4,"name":"Milepost","value":"3.3137"},{"id":17,"name":"Train ID","value":"311-07"},{"id":16,"name":"Locomotive ID","value":"4051"},{"id":130,"name":"Impact","value":""},{"id":150,"name":"Time of Event (Mountain Time)","value":"01:00:20"},{"id":151,"name":"Denver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3"/>
      <c r="AA55" s="53"/>
      <c r="AB55" s="53"/>
    </row>
    <row r="56" spans="1:28" x14ac:dyDescent="0.25">
      <c r="A56" s="37">
        <v>42620.44427083333</v>
      </c>
      <c r="B56" s="32" t="s">
        <v>285</v>
      </c>
      <c r="C56" s="32" t="s">
        <v>422</v>
      </c>
      <c r="D56" s="32" t="s">
        <v>109</v>
      </c>
      <c r="E56" s="32" t="s">
        <v>56</v>
      </c>
      <c r="F56" s="48">
        <v>150</v>
      </c>
      <c r="G56" s="48">
        <v>200</v>
      </c>
      <c r="H56" s="48">
        <v>5463</v>
      </c>
      <c r="I56" s="48">
        <v>5763</v>
      </c>
      <c r="J56" s="32" t="s">
        <v>57</v>
      </c>
      <c r="K56" s="48">
        <v>0</v>
      </c>
      <c r="L56" s="148" t="s">
        <v>52</v>
      </c>
      <c r="M56" s="151">
        <f t="shared" si="7"/>
        <v>-3042.864</v>
      </c>
      <c r="N56" s="90" t="str">
        <f>VLOOKUP(C56,'Trips&amp;Operators'!$C$1:$E$99999,3,FALSE)</f>
        <v>ARNOLD</v>
      </c>
      <c r="O56" s="114" t="s">
        <v>86</v>
      </c>
      <c r="P56" s="10"/>
      <c r="Q56" s="32"/>
      <c r="R56" s="101" t="str">
        <f>VLOOKUP(C56,'Train Runs'!$A$13:$AE$9997,31,0)</f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S56" s="104" t="str">
        <f>VLOOKUP(C56,'Train Runs'!$A$13:$AE$9997,22,0)</f>
        <v>https://search-rtdc-monitor-bjffxe2xuh6vdkpspy63sjmuny.us-east-1.es.amazonaws.com/_plugin/kibana/#/discover/Steve-Slow-Train-Analysis-(2080s-and-2083s)?_g=(refreshInterval:(display:Off,section:0,value:0),time:(from:'2016-09-07 13:36:07-0600',mode:absolute,to:'2016-09-07 15:46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56" s="106" t="str">
        <f t="shared" si="8"/>
        <v>"C:\Program Files (x86)\AstroGrep\AstroGrep.exe" /spath="%USERPROFILE%\AppData\Local\Temp\OnboardLogs" /stypes="*4042*201609071*" /stext=" 16:.+((SYSTEM_STATE.+slice.+state.+changed )|(ment ac)|(system.+state.+changed )|(\|lc)|(penalty)|(\[timeout)|(PRM\|1\|D)|(kpr)|(kdp))" /e /r /s</v>
      </c>
      <c r="U56" s="9" t="str">
        <f t="shared" si="9"/>
        <v>4042</v>
      </c>
      <c r="V56" s="37">
        <f t="shared" si="10"/>
        <v>42620.69427083333</v>
      </c>
      <c r="W56" s="51" t="str">
        <f t="shared" si="11"/>
        <v>Other</v>
      </c>
      <c r="X56" s="51" t="str">
        <f t="shared" si="12"/>
        <v>KEEP</v>
      </c>
      <c r="Y56" s="130" t="str">
        <f t="shared" si="13"/>
        <v>echo {"issue":{"subject":"","project_id":79,"tracker_id":40,"status_id":1,"priority_id":2,"assigned_to_id":23,"start_date":"2016-09-07","description":"","custom_fields":[{"id":1,"name":"Subdivision","value":"Other"},{"id":4,"name":"Milepost","value":"0"},{"id":17,"name":"Train ID","value":"54-07"},{"id":16,"name":"Locomotive ID","value":"4042"},{"id":130,"name":"Impact","value":""},{"id":150,"name":"Time of Event (Mountain Time)","value":"10:39:45"},{"id":151,"name":"Denver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3"/>
      <c r="AA56" s="53"/>
      <c r="AB56" s="53"/>
    </row>
    <row r="57" spans="1:28" x14ac:dyDescent="0.25">
      <c r="A57" s="37">
        <v>42620.448703703703</v>
      </c>
      <c r="B57" s="32" t="s">
        <v>285</v>
      </c>
      <c r="C57" s="32" t="s">
        <v>422</v>
      </c>
      <c r="D57" s="32" t="s">
        <v>49</v>
      </c>
      <c r="E57" s="32" t="s">
        <v>56</v>
      </c>
      <c r="F57" s="48">
        <v>300</v>
      </c>
      <c r="G57" s="48">
        <v>360</v>
      </c>
      <c r="H57" s="48">
        <v>19759</v>
      </c>
      <c r="I57" s="48">
        <v>20761</v>
      </c>
      <c r="J57" s="32" t="s">
        <v>57</v>
      </c>
      <c r="K57" s="48">
        <v>21299</v>
      </c>
      <c r="L57" s="148" t="s">
        <v>52</v>
      </c>
      <c r="M57" s="151">
        <f t="shared" si="7"/>
        <v>284.06400000000002</v>
      </c>
      <c r="N57" s="90" t="str">
        <f>VLOOKUP(C57,'Trips&amp;Operators'!$C$1:$E$99999,3,FALSE)</f>
        <v>ARNOLD</v>
      </c>
      <c r="O57" s="114" t="s">
        <v>86</v>
      </c>
      <c r="P57" s="10"/>
      <c r="Q57" s="32"/>
      <c r="R57" s="101" t="str">
        <f>VLOOKUP(C57,'Train Runs'!$A$13:$AE$9997,31,0)</f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S57" s="104" t="str">
        <f>VLOOKUP(C57,'Train Runs'!$A$13:$AE$9997,22,0)</f>
        <v>https://search-rtdc-monitor-bjffxe2xuh6vdkpspy63sjmuny.us-east-1.es.amazonaws.com/_plugin/kibana/#/discover/Steve-Slow-Train-Analysis-(2080s-and-2083s)?_g=(refreshInterval:(display:Off,section:0,value:0),time:(from:'2016-09-07 13:36:07-0600',mode:absolute,to:'2016-09-07 15:46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57" s="106" t="str">
        <f t="shared" si="8"/>
        <v>"C:\Program Files (x86)\AstroGrep\AstroGrep.exe" /spath="%USERPROFILE%\AppData\Local\Temp\OnboardLogs" /stypes="*4042*201609071*" /stext=" 16:.+((SYSTEM_STATE.+slice.+state.+changed )|(ment ac)|(system.+state.+changed )|(\|lc)|(penalty)|(\[timeout)|(PRM\|1\|D)|(kpr)|(kdp))" /e /r /s</v>
      </c>
      <c r="U57" s="9" t="str">
        <f t="shared" si="9"/>
        <v>4042</v>
      </c>
      <c r="V57" s="37">
        <f t="shared" si="10"/>
        <v>42620.698703703703</v>
      </c>
      <c r="W57" s="51" t="str">
        <f t="shared" si="11"/>
        <v>Other</v>
      </c>
      <c r="X57" s="51" t="str">
        <f t="shared" si="12"/>
        <v>KEEP</v>
      </c>
      <c r="Y57" s="130" t="str">
        <f t="shared" si="13"/>
        <v>echo {"issue":{"subject":"","project_id":79,"tracker_id":40,"status_id":1,"priority_id":2,"assigned_to_id":23,"start_date":"2016-09-07","description":"","custom_fields":[{"id":1,"name":"Subdivision","value":"Other"},{"id":4,"name":"Milepost","value":"2.1299"},{"id":17,"name":"Train ID","value":"54-07"},{"id":16,"name":"Locomotive ID","value":"4042"},{"id":130,"name":"Impact","value":""},{"id":150,"name":"Time of Event (Mountain Time)","value":"10:46:08"},{"id":151,"name":"Denver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3"/>
      <c r="AA57" s="53"/>
      <c r="AB57" s="53"/>
    </row>
    <row r="58" spans="1:28" x14ac:dyDescent="0.25">
      <c r="A58" s="37">
        <v>42620.53597222222</v>
      </c>
      <c r="B58" s="32" t="s">
        <v>282</v>
      </c>
      <c r="C58" s="32" t="s">
        <v>422</v>
      </c>
      <c r="D58" s="32" t="s">
        <v>49</v>
      </c>
      <c r="E58" s="32" t="s">
        <v>54</v>
      </c>
      <c r="F58" s="48">
        <v>0</v>
      </c>
      <c r="G58" s="48">
        <v>337</v>
      </c>
      <c r="H58" s="48">
        <v>26274</v>
      </c>
      <c r="I58" s="48">
        <v>25400</v>
      </c>
      <c r="J58" s="32" t="s">
        <v>55</v>
      </c>
      <c r="K58" s="48">
        <v>24235</v>
      </c>
      <c r="L58" s="148" t="s">
        <v>53</v>
      </c>
      <c r="M58" s="151">
        <f t="shared" si="7"/>
        <v>615.12</v>
      </c>
      <c r="N58" s="90" t="str">
        <f>VLOOKUP(C58,'Trips&amp;Operators'!$C$1:$E$99999,3,FALSE)</f>
        <v>ARNOLD</v>
      </c>
      <c r="O58" s="114" t="s">
        <v>86</v>
      </c>
      <c r="P58" s="10"/>
      <c r="Q58" s="32"/>
      <c r="R58" s="101" t="str">
        <f>VLOOKUP(C58,'Train Runs'!$A$13:$AE$9997,31,0)</f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S58" s="104" t="str">
        <f>VLOOKUP(C58,'Train Runs'!$A$13:$AE$9997,22,0)</f>
        <v>https://search-rtdc-monitor-bjffxe2xuh6vdkpspy63sjmuny.us-east-1.es.amazonaws.com/_plugin/kibana/#/discover/Steve-Slow-Train-Analysis-(2080s-and-2083s)?_g=(refreshInterval:(display:Off,section:0,value:0),time:(from:'2016-09-07 13:36:07-0600',mode:absolute,to:'2016-09-07 15:46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58" s="106" t="str">
        <f t="shared" si="8"/>
        <v>"C:\Program Files (x86)\AstroGrep\AstroGrep.exe" /spath="%USERPROFILE%\AppData\Local\Temp\OnboardLogs" /stypes="*4041*201609071*" /stext=" 18:.+((SYSTEM_STATE.+slice.+state.+changed )|(ment ac)|(system.+state.+changed )|(\|lc)|(penalty)|(\[timeout)|(PRM\|1\|D)|(kpr)|(kdp))" /e /r /s</v>
      </c>
      <c r="U58" s="9" t="str">
        <f t="shared" si="9"/>
        <v>4041</v>
      </c>
      <c r="V58" s="37">
        <f t="shared" si="10"/>
        <v>42620.78597222222</v>
      </c>
      <c r="W58" s="51" t="str">
        <f t="shared" si="11"/>
        <v>Other</v>
      </c>
      <c r="X58" s="51" t="str">
        <f t="shared" si="12"/>
        <v>KEEP</v>
      </c>
      <c r="Y58" s="130" t="str">
        <f t="shared" si="13"/>
        <v>echo {"issue":{"subject":"","project_id":79,"tracker_id":40,"status_id":1,"priority_id":2,"assigned_to_id":23,"start_date":"2016-09-07","description":"","custom_fields":[{"id":1,"name":"Subdivision","value":"Other"},{"id":4,"name":"Milepost","value":"2.4235"},{"id":17,"name":"Train ID","value":"54-07"},{"id":16,"name":"Locomotive ID","value":"4041"},{"id":130,"name":"Impact","value":""},{"id":150,"name":"Time of Event (Mountain Time)","value":"12:51:48"},{"id":151,"name":"Denver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3"/>
      <c r="AA58" s="53"/>
      <c r="AB58" s="53"/>
    </row>
    <row r="59" spans="1:28" x14ac:dyDescent="0.25">
      <c r="A59" s="37">
        <v>42620.537152777775</v>
      </c>
      <c r="B59" s="32" t="s">
        <v>282</v>
      </c>
      <c r="C59" s="32" t="s">
        <v>422</v>
      </c>
      <c r="D59" s="32" t="s">
        <v>49</v>
      </c>
      <c r="E59" s="32" t="s">
        <v>54</v>
      </c>
      <c r="F59" s="48">
        <v>0</v>
      </c>
      <c r="G59" s="48">
        <v>210</v>
      </c>
      <c r="H59" s="48">
        <v>25002</v>
      </c>
      <c r="I59" s="48">
        <v>24659</v>
      </c>
      <c r="J59" s="32" t="s">
        <v>55</v>
      </c>
      <c r="K59" s="48">
        <v>24235</v>
      </c>
      <c r="L59" s="148" t="s">
        <v>53</v>
      </c>
      <c r="M59" s="151">
        <f t="shared" si="7"/>
        <v>223.87200000000001</v>
      </c>
      <c r="N59" s="90" t="str">
        <f>VLOOKUP(C59,'Trips&amp;Operators'!$C$1:$E$99999,3,FALSE)</f>
        <v>ARNOLD</v>
      </c>
      <c r="O59" s="114" t="s">
        <v>86</v>
      </c>
      <c r="P59" s="10"/>
      <c r="Q59" s="32"/>
      <c r="R59" s="101" t="str">
        <f>VLOOKUP(C59,'Train Runs'!$A$13:$AE$9997,31,0)</f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S59" s="104" t="str">
        <f>VLOOKUP(C59,'Train Runs'!$A$13:$AE$9997,22,0)</f>
        <v>https://search-rtdc-monitor-bjffxe2xuh6vdkpspy63sjmuny.us-east-1.es.amazonaws.com/_plugin/kibana/#/discover/Steve-Slow-Train-Analysis-(2080s-and-2083s)?_g=(refreshInterval:(display:Off,section:0,value:0),time:(from:'2016-09-07 13:36:07-0600',mode:absolute,to:'2016-09-07 15:46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59" s="106" t="str">
        <f t="shared" si="8"/>
        <v>"C:\Program Files (x86)\AstroGrep\AstroGrep.exe" /spath="%USERPROFILE%\AppData\Local\Temp\OnboardLogs" /stypes="*4041*201609071*" /stext=" 18:.+((SYSTEM_STATE.+slice.+state.+changed )|(ment ac)|(system.+state.+changed )|(\|lc)|(penalty)|(\[timeout)|(PRM\|1\|D)|(kpr)|(kdp))" /e /r /s</v>
      </c>
      <c r="U59" s="9" t="str">
        <f t="shared" si="9"/>
        <v>4041</v>
      </c>
      <c r="V59" s="37">
        <f t="shared" si="10"/>
        <v>42620.787152777775</v>
      </c>
      <c r="W59" s="51" t="str">
        <f t="shared" si="11"/>
        <v>Other</v>
      </c>
      <c r="X59" s="51" t="str">
        <f t="shared" si="12"/>
        <v>KEEP</v>
      </c>
      <c r="Y59" s="130" t="str">
        <f t="shared" si="13"/>
        <v>echo {"issue":{"subject":"","project_id":79,"tracker_id":40,"status_id":1,"priority_id":2,"assigned_to_id":23,"start_date":"2016-09-07","description":"","custom_fields":[{"id":1,"name":"Subdivision","value":"Other"},{"id":4,"name":"Milepost","value":"2.4235"},{"id":17,"name":"Train ID","value":"54-07"},{"id":16,"name":"Locomotive ID","value":"4041"},{"id":130,"name":"Impact","value":""},{"id":150,"name":"Time of Event (Mountain Time)","value":"12:53:30"},{"id":151,"name":"Denver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3"/>
      <c r="AA59" s="53"/>
      <c r="AB59" s="53"/>
    </row>
    <row r="60" spans="1:28" x14ac:dyDescent="0.25">
      <c r="A60" s="37">
        <v>42620.462581018517</v>
      </c>
      <c r="B60" s="32" t="s">
        <v>282</v>
      </c>
      <c r="C60" s="32" t="s">
        <v>428</v>
      </c>
      <c r="D60" s="32" t="s">
        <v>49</v>
      </c>
      <c r="E60" s="32" t="s">
        <v>50</v>
      </c>
      <c r="F60" s="48">
        <v>0</v>
      </c>
      <c r="G60" s="48">
        <v>44</v>
      </c>
      <c r="H60" s="48">
        <v>148</v>
      </c>
      <c r="I60" s="48">
        <v>106</v>
      </c>
      <c r="J60" s="32" t="s">
        <v>51</v>
      </c>
      <c r="K60" s="48">
        <v>1</v>
      </c>
      <c r="L60" s="148" t="s">
        <v>53</v>
      </c>
      <c r="M60" s="151">
        <f t="shared" si="7"/>
        <v>55.44</v>
      </c>
      <c r="N60" s="90" t="str">
        <f>VLOOKUP(C60,'Trips&amp;Operators'!$C$1:$E$99999,3,FALSE)</f>
        <v>ARNOLD</v>
      </c>
      <c r="O60" s="114" t="s">
        <v>86</v>
      </c>
      <c r="P60" s="10"/>
      <c r="Q60" s="32"/>
      <c r="R60" s="101" t="str">
        <f>VLOOKUP(C60,'Train Runs'!$A$13:$AE$9997,31,0)</f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S60" s="104" t="str">
        <f>VLOOKUP(C60,'Train Runs'!$A$13:$AE$9997,22,0)</f>
        <v>https://search-rtdc-monitor-bjffxe2xuh6vdkpspy63sjmuny.us-east-1.es.amazonaws.com/_plugin/kibana/#/discover/Steve-Slow-Train-Analysis-(2080s-and-2083s)?_g=(refreshInterval:(display:Off,section:0,value:0),time:(from:'2016-09-07 09:51:36-0600',mode:absolute,to:'2016-09-07 12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60" s="106" t="str">
        <f t="shared" si="8"/>
        <v>"C:\Program Files (x86)\AstroGrep\AstroGrep.exe" /spath="%USERPROFILE%\AppData\Local\Temp\OnboardLogs" /stypes="*4041*201609071*" /stext=" 17:.+((SYSTEM_STATE.+slice.+state.+changed )|(ment ac)|(system.+state.+changed )|(\|lc)|(penalty)|(\[timeout)|(PRM\|1\|D)|(kpr)|(kdp))" /e /r /s</v>
      </c>
      <c r="U60" s="9" t="str">
        <f t="shared" si="9"/>
        <v>4041</v>
      </c>
      <c r="V60" s="37">
        <f t="shared" si="10"/>
        <v>42620.712581018517</v>
      </c>
      <c r="W60" s="51" t="str">
        <f t="shared" si="11"/>
        <v>Other</v>
      </c>
      <c r="X60" s="51" t="str">
        <f t="shared" si="12"/>
        <v>KEEP</v>
      </c>
      <c r="Y60" s="130" t="str">
        <f t="shared" si="13"/>
        <v>echo {"issue":{"subject":"","project_id":79,"tracker_id":40,"status_id":1,"priority_id":2,"assigned_to_id":23,"start_date":"2016-09-07","description":"","custom_fields":[{"id":1,"name":"Subdivision","value":"Other"},{"id":4,"name":"Milepost","value":"0.0001"},{"id":17,"name":"Train ID","value":"55-07"},{"id":16,"name":"Locomotive ID","value":"4041"},{"id":130,"name":"Impact","value":""},{"id":150,"name":"Time of Event (Mountain Time)","value":"11:06:07"},{"id":151,"name":"Denver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3"/>
      <c r="AA60" s="53"/>
      <c r="AB60" s="53"/>
    </row>
    <row r="61" spans="1:28" x14ac:dyDescent="0.25">
      <c r="A61" s="37">
        <v>42620.733217592591</v>
      </c>
      <c r="B61" s="32" t="s">
        <v>282</v>
      </c>
      <c r="C61" s="32" t="s">
        <v>504</v>
      </c>
      <c r="D61" s="32" t="s">
        <v>49</v>
      </c>
      <c r="E61" s="32" t="s">
        <v>50</v>
      </c>
      <c r="F61" s="48">
        <v>0</v>
      </c>
      <c r="G61" s="48">
        <v>15</v>
      </c>
      <c r="H61" s="48">
        <v>874</v>
      </c>
      <c r="I61" s="48">
        <v>867</v>
      </c>
      <c r="J61" s="32" t="s">
        <v>51</v>
      </c>
      <c r="K61" s="48">
        <v>826</v>
      </c>
      <c r="L61" s="148" t="s">
        <v>53</v>
      </c>
      <c r="M61" s="151">
        <f t="shared" si="7"/>
        <v>21.648000000000003</v>
      </c>
      <c r="N61" s="90" t="str">
        <f>VLOOKUP(C61,'Trips&amp;Operators'!$C$1:$E$99999,3,FALSE)</f>
        <v>CUSHING</v>
      </c>
      <c r="O61" s="114" t="s">
        <v>86</v>
      </c>
      <c r="P61" s="10"/>
      <c r="Q61" s="32"/>
      <c r="R61" s="101" t="str">
        <f>VLOOKUP(C61,'Train Runs'!$A$13:$AE$9997,31,0)</f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S61" s="104" t="str">
        <f>VLOOKUP(C61,'Train Runs'!$A$13:$AE$9997,22,0)</f>
        <v>https://search-rtdc-monitor-bjffxe2xuh6vdkpspy63sjmuny.us-east-1.es.amazonaws.com/_plugin/kibana/#/discover/Steve-Slow-Train-Analysis-(2080s-and-2083s)?_g=(refreshInterval:(display:Off,section:0,value:0),time:(from:'2016-09-07 16:20:01-0600',mode:absolute,to:'2016-09-07 18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61" s="106" t="str">
        <f t="shared" si="8"/>
        <v>"C:\Program Files (x86)\AstroGrep\AstroGrep.exe" /spath="%USERPROFILE%\AppData\Local\Temp\OnboardLogs" /stypes="*4041*201609072*" /stext=" 23:.+((SYSTEM_STATE.+slice.+state.+changed )|(ment ac)|(system.+state.+changed )|(\|lc)|(penalty)|(\[timeout)|(PRM\|1\|D)|(kpr)|(kdp))" /e /r /s</v>
      </c>
      <c r="U61" s="9" t="str">
        <f t="shared" si="9"/>
        <v>4041</v>
      </c>
      <c r="V61" s="37">
        <f t="shared" si="10"/>
        <v>42620.983217592591</v>
      </c>
      <c r="W61" s="51" t="str">
        <f t="shared" si="11"/>
        <v>Other</v>
      </c>
      <c r="X61" s="51" t="str">
        <f t="shared" si="12"/>
        <v>KEEP</v>
      </c>
      <c r="Y61" s="130" t="str">
        <f t="shared" si="13"/>
        <v>echo {"issue":{"subject":"","project_id":79,"tracker_id":40,"status_id":1,"priority_id":2,"assigned_to_id":23,"start_date":"2016-09-07","description":"","custom_fields":[{"id":1,"name":"Subdivision","value":"Other"},{"id":4,"name":"Milepost","value":"0.0826"},{"id":17,"name":"Train ID","value":"52-07"},{"id":16,"name":"Locomotive ID","value":"4041"},{"id":130,"name":"Impact","value":""},{"id":150,"name":"Time of Event (Mountain Time)","value":"17:35:50"},{"id":151,"name":"Denver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53"/>
      <c r="AA61" s="53"/>
      <c r="AB61" s="53"/>
    </row>
    <row r="62" spans="1:28" x14ac:dyDescent="0.25">
      <c r="A62" s="37"/>
      <c r="B62" s="32"/>
      <c r="C62" s="32"/>
      <c r="D62" s="32"/>
      <c r="E62" s="32"/>
      <c r="F62" s="48"/>
      <c r="G62" s="48"/>
      <c r="H62" s="48"/>
      <c r="I62" s="48"/>
      <c r="J62" s="32"/>
      <c r="K62" s="48"/>
      <c r="L62" s="148"/>
      <c r="M62" s="151"/>
      <c r="N62" s="90"/>
      <c r="O62" s="114"/>
      <c r="P62" s="10"/>
      <c r="Q62" s="32"/>
      <c r="R62" s="101"/>
      <c r="S62" s="104"/>
      <c r="T62" s="106"/>
      <c r="U62" s="9"/>
      <c r="V62" s="37"/>
      <c r="W62" s="51"/>
      <c r="X62" s="51"/>
      <c r="Y62" s="130"/>
      <c r="Z62" s="53"/>
      <c r="AA62" s="53"/>
      <c r="AB62" s="53"/>
    </row>
    <row r="63" spans="1:28" x14ac:dyDescent="0.25">
      <c r="A63" s="37"/>
      <c r="B63" s="32"/>
      <c r="C63" s="32"/>
      <c r="D63" s="32"/>
      <c r="E63" s="32"/>
      <c r="F63" s="48"/>
      <c r="G63" s="48"/>
      <c r="H63" s="48"/>
      <c r="I63" s="48"/>
      <c r="J63" s="32"/>
      <c r="K63" s="48"/>
      <c r="L63" s="148"/>
      <c r="M63" s="151"/>
      <c r="N63" s="90"/>
      <c r="O63" s="114"/>
      <c r="P63" s="10"/>
      <c r="Q63" s="32"/>
      <c r="R63" s="101"/>
      <c r="S63" s="104"/>
      <c r="T63" s="106"/>
      <c r="U63" s="9"/>
      <c r="V63" s="37"/>
      <c r="W63" s="51"/>
      <c r="X63" s="51"/>
      <c r="Y63" s="130"/>
      <c r="Z63" s="53"/>
      <c r="AA63" s="53"/>
      <c r="AB63" s="53"/>
    </row>
    <row r="64" spans="1:28" x14ac:dyDescent="0.25">
      <c r="A64" s="37"/>
      <c r="B64" s="32"/>
      <c r="C64" s="32"/>
      <c r="D64" s="32"/>
      <c r="E64" s="32"/>
      <c r="F64" s="48"/>
      <c r="G64" s="48"/>
      <c r="H64" s="48"/>
      <c r="I64" s="48"/>
      <c r="J64" s="32"/>
      <c r="K64" s="48"/>
      <c r="L64" s="148"/>
      <c r="M64" s="151"/>
      <c r="N64" s="90"/>
      <c r="O64" s="114"/>
      <c r="P64" s="10"/>
      <c r="Q64" s="32"/>
      <c r="R64" s="101"/>
      <c r="S64" s="104"/>
      <c r="T64" s="106"/>
      <c r="U64" s="9"/>
      <c r="V64" s="37"/>
      <c r="W64" s="51"/>
      <c r="X64" s="51"/>
      <c r="Y64" s="130"/>
      <c r="Z64" s="53"/>
      <c r="AA64" s="53"/>
      <c r="AB64" s="53"/>
    </row>
    <row r="65" spans="1:28" x14ac:dyDescent="0.25">
      <c r="A65" s="37"/>
      <c r="B65" s="32"/>
      <c r="C65" s="32"/>
      <c r="D65" s="32"/>
      <c r="E65" s="32"/>
      <c r="F65" s="48"/>
      <c r="G65" s="48"/>
      <c r="H65" s="48"/>
      <c r="I65" s="48"/>
      <c r="J65" s="32"/>
      <c r="K65" s="48"/>
      <c r="L65" s="148"/>
      <c r="M65" s="151"/>
      <c r="N65" s="90"/>
      <c r="O65" s="114"/>
      <c r="P65" s="10"/>
      <c r="Q65" s="32"/>
      <c r="R65" s="101"/>
      <c r="S65" s="104"/>
      <c r="T65" s="106"/>
      <c r="U65" s="9"/>
      <c r="V65" s="37"/>
      <c r="W65" s="51"/>
      <c r="X65" s="51"/>
      <c r="Y65" s="130"/>
      <c r="Z65" s="53"/>
      <c r="AA65" s="53"/>
      <c r="AB65" s="53"/>
    </row>
    <row r="66" spans="1:28" x14ac:dyDescent="0.25">
      <c r="A66" s="37"/>
      <c r="B66" s="32"/>
      <c r="C66" s="32"/>
      <c r="D66" s="32"/>
      <c r="E66" s="32"/>
      <c r="F66" s="48"/>
      <c r="G66" s="48"/>
      <c r="H66" s="48"/>
      <c r="I66" s="48"/>
      <c r="J66" s="32"/>
      <c r="K66" s="48"/>
      <c r="L66" s="148"/>
      <c r="M66" s="151"/>
      <c r="N66" s="90"/>
      <c r="O66" s="114"/>
      <c r="P66" s="10"/>
      <c r="Q66" s="32"/>
      <c r="R66" s="101"/>
      <c r="S66" s="104"/>
      <c r="T66" s="106"/>
      <c r="U66" s="9"/>
      <c r="V66" s="37"/>
      <c r="W66" s="51"/>
      <c r="X66" s="51"/>
      <c r="Y66" s="130"/>
      <c r="Z66" s="53"/>
      <c r="AA66" s="53"/>
      <c r="AB66" s="53"/>
    </row>
    <row r="67" spans="1:28" x14ac:dyDescent="0.25">
      <c r="A67" s="37"/>
      <c r="B67" s="32"/>
      <c r="C67" s="32"/>
      <c r="D67" s="32"/>
      <c r="E67" s="32"/>
      <c r="F67" s="48"/>
      <c r="G67" s="48"/>
      <c r="H67" s="48"/>
      <c r="I67" s="48"/>
      <c r="J67" s="32"/>
      <c r="K67" s="48"/>
      <c r="L67" s="148"/>
      <c r="M67" s="151"/>
      <c r="N67" s="90"/>
      <c r="O67" s="114"/>
      <c r="P67" s="10"/>
      <c r="Q67" s="32"/>
      <c r="R67" s="101"/>
      <c r="S67" s="104"/>
      <c r="T67" s="106"/>
      <c r="U67" s="9"/>
      <c r="V67" s="37"/>
      <c r="W67" s="51"/>
      <c r="X67" s="51"/>
      <c r="Y67" s="130"/>
      <c r="Z67" s="53"/>
      <c r="AA67" s="53"/>
      <c r="AB67" s="53"/>
    </row>
    <row r="68" spans="1:28" x14ac:dyDescent="0.25">
      <c r="A68" s="37"/>
      <c r="B68" s="32"/>
      <c r="C68" s="32"/>
      <c r="D68" s="32"/>
      <c r="E68" s="32"/>
      <c r="F68" s="48"/>
      <c r="G68" s="48"/>
      <c r="H68" s="48"/>
      <c r="I68" s="48"/>
      <c r="J68" s="32"/>
      <c r="K68" s="48"/>
      <c r="L68" s="148"/>
      <c r="M68" s="151"/>
      <c r="N68" s="90"/>
      <c r="O68" s="114"/>
      <c r="P68" s="10"/>
      <c r="Q68" s="32"/>
      <c r="R68" s="101"/>
      <c r="S68" s="104"/>
      <c r="T68" s="106"/>
      <c r="U68" s="9"/>
      <c r="V68" s="37"/>
      <c r="W68" s="51"/>
      <c r="X68" s="51"/>
      <c r="Y68" s="130"/>
      <c r="Z68" s="53"/>
      <c r="AA68" s="53"/>
      <c r="AB68" s="53"/>
    </row>
    <row r="69" spans="1:28" x14ac:dyDescent="0.25">
      <c r="A69" s="37"/>
      <c r="B69" s="32"/>
      <c r="C69" s="32"/>
      <c r="D69" s="32"/>
      <c r="E69" s="32"/>
      <c r="F69" s="48"/>
      <c r="G69" s="48"/>
      <c r="H69" s="48"/>
      <c r="I69" s="48"/>
      <c r="J69" s="32"/>
      <c r="K69" s="48"/>
      <c r="L69" s="148"/>
      <c r="M69" s="151"/>
      <c r="N69" s="90"/>
      <c r="O69" s="114"/>
      <c r="P69" s="10"/>
      <c r="Q69" s="32"/>
      <c r="R69" s="101"/>
      <c r="S69" s="104"/>
      <c r="T69" s="106"/>
      <c r="U69" s="9"/>
      <c r="V69" s="37"/>
      <c r="W69" s="51"/>
      <c r="X69" s="51"/>
      <c r="Y69" s="130"/>
      <c r="Z69" s="53"/>
      <c r="AA69" s="53"/>
      <c r="AB69" s="53"/>
    </row>
    <row r="70" spans="1:28" x14ac:dyDescent="0.25">
      <c r="A70" s="37"/>
      <c r="B70" s="32"/>
      <c r="C70" s="32"/>
      <c r="D70" s="32"/>
      <c r="E70" s="32"/>
      <c r="F70" s="48"/>
      <c r="G70" s="48"/>
      <c r="H70" s="48"/>
      <c r="I70" s="48"/>
      <c r="J70" s="32"/>
      <c r="K70" s="48"/>
      <c r="L70" s="148"/>
      <c r="M70" s="151"/>
      <c r="N70" s="90"/>
      <c r="O70" s="114"/>
      <c r="P70" s="10"/>
      <c r="Q70" s="32"/>
      <c r="R70" s="101"/>
      <c r="S70" s="104"/>
      <c r="T70" s="106"/>
      <c r="U70" s="9"/>
      <c r="V70" s="37"/>
      <c r="W70" s="51"/>
      <c r="X70" s="51"/>
      <c r="Y70" s="130"/>
      <c r="Z70" s="53"/>
      <c r="AA70" s="53"/>
      <c r="AB70" s="53"/>
    </row>
    <row r="71" spans="1:28" x14ac:dyDescent="0.25">
      <c r="A71" s="37"/>
      <c r="B71" s="32"/>
      <c r="C71" s="32"/>
      <c r="D71" s="32"/>
      <c r="E71" s="32"/>
      <c r="F71" s="48"/>
      <c r="G71" s="48"/>
      <c r="H71" s="48"/>
      <c r="I71" s="48"/>
      <c r="J71" s="32"/>
      <c r="K71" s="48"/>
      <c r="L71" s="148"/>
      <c r="M71" s="151"/>
      <c r="N71" s="90"/>
      <c r="O71" s="114"/>
      <c r="P71" s="10"/>
      <c r="Q71" s="32"/>
      <c r="R71" s="101"/>
      <c r="S71" s="104"/>
      <c r="T71" s="106"/>
      <c r="U71" s="9"/>
      <c r="V71" s="37"/>
      <c r="W71" s="51"/>
      <c r="X71" s="51"/>
      <c r="Y71" s="130"/>
      <c r="Z71" s="53"/>
      <c r="AA71" s="53"/>
      <c r="AB71" s="53"/>
    </row>
    <row r="72" spans="1:28" x14ac:dyDescent="0.25">
      <c r="B72" s="22"/>
      <c r="C72" s="22"/>
      <c r="D72" s="22"/>
      <c r="E72" s="22"/>
      <c r="J72" s="22"/>
    </row>
  </sheetData>
  <autoFilter ref="A6:AB67"/>
  <sortState ref="A7:X83">
    <sortCondition ref="W7:W83"/>
    <sortCondition ref="E7:E83"/>
    <sortCondition ref="K7:K83"/>
    <sortCondition ref="C7:C83"/>
    <sortCondition ref="F7:F83"/>
  </sortState>
  <mergeCells count="1">
    <mergeCell ref="A5:O5"/>
  </mergeCells>
  <conditionalFormatting sqref="O6:P6 R6 O7:O1048576">
    <cfRule type="cellIs" dxfId="2" priority="14" operator="equal">
      <formula>"Y"</formula>
    </cfRule>
  </conditionalFormatting>
  <conditionalFormatting sqref="A7:P71">
    <cfRule type="expression" dxfId="1" priority="7">
      <formula>$O7="Y"</formula>
    </cfRule>
  </conditionalFormatting>
  <conditionalFormatting sqref="O2:O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AB7:AB52</xm:sqref>
        </x14:dataValidation>
        <x14:dataValidation type="list" allowBlank="1" showInputMessage="1" showErrorMessage="1">
          <x14:formula1>
            <xm:f>'Redmine List Values'!$A$2:$A$7</xm:f>
          </x14:formula1>
          <xm:sqref>AA7:AA52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69"/>
  <sheetViews>
    <sheetView workbookViewId="0">
      <selection activeCell="A3" sqref="A3"/>
    </sheetView>
  </sheetViews>
  <sheetFormatPr defaultRowHeight="15" x14ac:dyDescent="0.25"/>
  <cols>
    <col min="1" max="1" width="9.140625" style="107"/>
    <col min="2" max="2" width="9.140625" style="2" customWidth="1"/>
    <col min="3" max="3" width="8" style="113" bestFit="1" customWidth="1"/>
    <col min="4" max="4" width="9.85546875" style="109" bestFit="1" customWidth="1"/>
    <col min="5" max="5" width="45.140625" bestFit="1" customWidth="1"/>
    <col min="6" max="6" width="18.140625" customWidth="1"/>
    <col min="7" max="7" width="17" customWidth="1"/>
    <col min="8" max="8" width="14.140625" customWidth="1"/>
    <col min="9" max="10" width="9.140625" customWidth="1"/>
  </cols>
  <sheetData>
    <row r="1" spans="1:11" s="22" customFormat="1" x14ac:dyDescent="0.25">
      <c r="A1" s="107"/>
      <c r="B1" s="180" t="str">
        <f>"Trips that did not appear in PTC Data "&amp;TEXT(Variables!$A$2,"YYYY-mm-dd")</f>
        <v>Trips that did not appear in PTC Data 2016-09-07</v>
      </c>
      <c r="C1" s="180"/>
      <c r="D1" s="180"/>
      <c r="E1" s="180"/>
      <c r="F1" s="180"/>
    </row>
    <row r="2" spans="1:11" s="25" customFormat="1" ht="45" x14ac:dyDescent="0.25">
      <c r="A2" s="144" t="s">
        <v>207</v>
      </c>
      <c r="B2" s="121" t="s">
        <v>64</v>
      </c>
      <c r="C2" s="110" t="s">
        <v>65</v>
      </c>
      <c r="D2" s="111" t="s">
        <v>66</v>
      </c>
      <c r="E2" s="25" t="s">
        <v>62</v>
      </c>
      <c r="F2" s="25" t="s">
        <v>63</v>
      </c>
      <c r="G2" s="25" t="s">
        <v>67</v>
      </c>
      <c r="H2" s="30" t="s">
        <v>68</v>
      </c>
      <c r="I2" s="30" t="s">
        <v>119</v>
      </c>
    </row>
    <row r="3" spans="1:11" x14ac:dyDescent="0.25">
      <c r="B3" s="2" t="str">
        <f>A3&amp;"-"&amp;IF(DAY(Variables!$A$2)&lt;10,0,"")&amp;DAY(Variables!$A$2)</f>
        <v>-07</v>
      </c>
      <c r="C3" s="112"/>
      <c r="D3" s="112"/>
      <c r="E3" s="32"/>
      <c r="F3" s="23" t="e">
        <f>VLOOKUP(B3,'Trips&amp;Operators'!$C$2:$E$10000,3,FALSE)</f>
        <v>#N/A</v>
      </c>
      <c r="G3" s="23" t="e">
        <f>VLOOKUP(B3,'Trips&amp;Operators'!$C$1:$F$10000,4,FALSE)</f>
        <v>#N/A</v>
      </c>
      <c r="H3" s="31" t="e">
        <f>VLOOKUP(B3,'Trips&amp;Operators'!$C$1:$H$10000,5,FALSE)</f>
        <v>#N/A</v>
      </c>
      <c r="I3" s="51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3" s="22"/>
      <c r="K3" s="22"/>
    </row>
    <row r="4" spans="1:11" x14ac:dyDescent="0.25">
      <c r="B4" s="2" t="str">
        <f>A4&amp;"-"&amp;IF(DAY(Variables!$A$2)&lt;10,0,"")&amp;DAY(Variables!$A$2)</f>
        <v>-07</v>
      </c>
      <c r="C4" s="112"/>
      <c r="D4" s="112"/>
      <c r="E4" s="32"/>
      <c r="F4" s="23" t="e">
        <f>VLOOKUP(B4,'Trips&amp;Operators'!$C$2:$E$10000,3,FALSE)</f>
        <v>#N/A</v>
      </c>
      <c r="G4" s="23" t="e">
        <f>VLOOKUP(B4,'Trips&amp;Operators'!$C$1:$F$10000,4,FALSE)</f>
        <v>#N/A</v>
      </c>
      <c r="H4" s="31" t="e">
        <f>VLOOKUP(B4,'Trips&amp;Operators'!$C$1:$H$10000,5,FALSE)</f>
        <v>#N/A</v>
      </c>
      <c r="I4" s="5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4" s="22"/>
      <c r="K4" s="22"/>
    </row>
    <row r="5" spans="1:11" x14ac:dyDescent="0.25">
      <c r="B5" s="2" t="str">
        <f>A5&amp;"-"&amp;IF(DAY(Variables!$A$2)&lt;10,0,"")&amp;DAY(Variables!$A$2)</f>
        <v>-07</v>
      </c>
      <c r="C5" s="112"/>
      <c r="D5" s="112"/>
      <c r="E5" s="32"/>
      <c r="F5" s="23" t="e">
        <f>VLOOKUP(B5,'Trips&amp;Operators'!$C$2:$E$10000,3,FALSE)</f>
        <v>#N/A</v>
      </c>
      <c r="G5" s="23" t="e">
        <f>VLOOKUP(B5,'Trips&amp;Operators'!$C$1:$F$10000,4,FALSE)</f>
        <v>#N/A</v>
      </c>
      <c r="H5" s="31" t="e">
        <f>VLOOKUP(B5,'Trips&amp;Operators'!$C$1:$H$10000,5,FALSE)</f>
        <v>#N/A</v>
      </c>
      <c r="I5" s="5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5" s="22"/>
      <c r="K5" s="22"/>
    </row>
    <row r="6" spans="1:11" x14ac:dyDescent="0.25">
      <c r="B6" s="2" t="str">
        <f>A6&amp;"-"&amp;IF(DAY(Variables!$A$2)&lt;10,0,"")&amp;DAY(Variables!$A$2)</f>
        <v>-07</v>
      </c>
      <c r="C6" s="112"/>
      <c r="D6" s="112"/>
      <c r="E6" s="32"/>
      <c r="F6" s="23" t="e">
        <f>VLOOKUP(B6,'Trips&amp;Operators'!$C$2:$E$10000,3,FALSE)</f>
        <v>#N/A</v>
      </c>
      <c r="G6" s="23" t="e">
        <f>VLOOKUP(B6,'Trips&amp;Operators'!$C$1:$F$10000,4,FALSE)</f>
        <v>#N/A</v>
      </c>
      <c r="H6" s="31" t="e">
        <f>VLOOKUP(B6,'Trips&amp;Operators'!$C$1:$H$10000,5,FALSE)</f>
        <v>#N/A</v>
      </c>
      <c r="I6" s="5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6" s="22"/>
      <c r="K6" s="22"/>
    </row>
    <row r="7" spans="1:11" x14ac:dyDescent="0.25">
      <c r="B7" s="2" t="str">
        <f>A7&amp;"-"&amp;IF(DAY(Variables!$A$2)&lt;10,0,"")&amp;DAY(Variables!$A$2)</f>
        <v>-07</v>
      </c>
      <c r="C7" s="112"/>
      <c r="D7" s="112"/>
      <c r="E7" s="32"/>
      <c r="F7" s="23" t="e">
        <f>VLOOKUP(B7,'Trips&amp;Operators'!$C$2:$E$10000,3,FALSE)</f>
        <v>#N/A</v>
      </c>
      <c r="G7" s="23" t="e">
        <f>VLOOKUP(B7,'Trips&amp;Operators'!$C$1:$F$10000,4,FALSE)</f>
        <v>#N/A</v>
      </c>
      <c r="H7" s="31" t="e">
        <f>VLOOKUP(B7,'Trips&amp;Operators'!$C$1:$H$10000,5,FALSE)</f>
        <v>#N/A</v>
      </c>
      <c r="I7" s="5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7" s="22"/>
      <c r="K7" s="22"/>
    </row>
    <row r="8" spans="1:11" x14ac:dyDescent="0.25">
      <c r="C8" s="107"/>
      <c r="D8" s="107"/>
      <c r="I8" s="22"/>
      <c r="J8" s="22"/>
      <c r="K8" s="22"/>
    </row>
    <row r="9" spans="1:11" x14ac:dyDescent="0.25">
      <c r="C9" s="107"/>
      <c r="D9" s="107"/>
      <c r="I9" s="22"/>
      <c r="J9" s="22"/>
      <c r="K9" s="22"/>
    </row>
    <row r="10" spans="1:11" x14ac:dyDescent="0.25">
      <c r="C10" s="107"/>
      <c r="D10" s="107"/>
      <c r="I10" s="22"/>
      <c r="J10" s="22"/>
      <c r="K10" s="22"/>
    </row>
    <row r="11" spans="1:11" x14ac:dyDescent="0.25">
      <c r="C11" s="107"/>
      <c r="D11" s="107"/>
      <c r="I11" s="22"/>
      <c r="J11" s="22"/>
      <c r="K11" s="22"/>
    </row>
    <row r="12" spans="1:11" x14ac:dyDescent="0.25">
      <c r="C12" s="107"/>
      <c r="D12" s="107"/>
      <c r="I12" s="22"/>
      <c r="J12" s="22"/>
      <c r="K12" s="22"/>
    </row>
    <row r="13" spans="1:11" x14ac:dyDescent="0.25">
      <c r="C13" s="107"/>
      <c r="D13" s="107"/>
      <c r="I13" s="22"/>
      <c r="J13" s="22"/>
      <c r="K13" s="22"/>
    </row>
    <row r="14" spans="1:11" x14ac:dyDescent="0.25">
      <c r="C14" s="107"/>
      <c r="D14" s="107"/>
      <c r="I14" s="22"/>
      <c r="J14" s="22"/>
      <c r="K14" s="22"/>
    </row>
    <row r="15" spans="1:11" x14ac:dyDescent="0.25">
      <c r="C15" s="107"/>
      <c r="D15" s="107"/>
      <c r="I15" s="22"/>
      <c r="J15" s="22"/>
      <c r="K15" s="22"/>
    </row>
    <row r="16" spans="1:11" x14ac:dyDescent="0.25">
      <c r="C16" s="107"/>
      <c r="D16" s="107"/>
      <c r="I16" s="22"/>
      <c r="J16" s="22"/>
      <c r="K16" s="22"/>
    </row>
    <row r="17" spans="3:11" x14ac:dyDescent="0.25">
      <c r="C17" s="107"/>
      <c r="D17" s="107"/>
      <c r="I17" s="22"/>
      <c r="J17" s="22"/>
      <c r="K17" s="22"/>
    </row>
    <row r="18" spans="3:11" x14ac:dyDescent="0.25">
      <c r="C18" s="107"/>
      <c r="D18" s="107"/>
      <c r="I18" s="22"/>
      <c r="J18" s="22"/>
      <c r="K18" s="22"/>
    </row>
    <row r="19" spans="3:11" x14ac:dyDescent="0.25">
      <c r="C19" s="107"/>
      <c r="D19" s="107"/>
      <c r="I19" s="22"/>
      <c r="J19" s="22"/>
      <c r="K19" s="22"/>
    </row>
    <row r="20" spans="3:11" x14ac:dyDescent="0.25">
      <c r="C20" s="107"/>
      <c r="D20" s="107"/>
      <c r="I20" s="22"/>
      <c r="J20" s="22"/>
      <c r="K20" s="22"/>
    </row>
    <row r="21" spans="3:11" x14ac:dyDescent="0.25">
      <c r="C21" s="107"/>
      <c r="D21" s="107"/>
      <c r="I21" s="22"/>
      <c r="J21" s="22"/>
      <c r="K21" s="22"/>
    </row>
    <row r="22" spans="3:11" x14ac:dyDescent="0.25">
      <c r="C22" s="107"/>
      <c r="D22" s="107"/>
      <c r="I22" s="22"/>
      <c r="J22" s="22"/>
      <c r="K22" s="22"/>
    </row>
    <row r="23" spans="3:11" x14ac:dyDescent="0.25">
      <c r="C23" s="107"/>
      <c r="D23" s="107"/>
      <c r="I23" s="22"/>
      <c r="J23" s="22"/>
      <c r="K23" s="22"/>
    </row>
    <row r="24" spans="3:11" x14ac:dyDescent="0.25">
      <c r="C24" s="107"/>
      <c r="D24" s="107"/>
      <c r="I24" s="22"/>
      <c r="J24" s="22"/>
      <c r="K24" s="22"/>
    </row>
    <row r="25" spans="3:11" x14ac:dyDescent="0.25">
      <c r="C25" s="107"/>
      <c r="D25" s="107"/>
      <c r="I25" s="22"/>
      <c r="J25" s="22"/>
      <c r="K25" s="22"/>
    </row>
    <row r="26" spans="3:11" x14ac:dyDescent="0.25">
      <c r="C26" s="107"/>
      <c r="D26" s="107"/>
      <c r="I26" s="22"/>
      <c r="J26" s="22"/>
      <c r="K26" s="22"/>
    </row>
    <row r="27" spans="3:11" x14ac:dyDescent="0.25">
      <c r="C27" s="107"/>
      <c r="D27" s="107"/>
      <c r="I27" s="22"/>
      <c r="J27" s="22"/>
      <c r="K27" s="22"/>
    </row>
    <row r="28" spans="3:11" x14ac:dyDescent="0.25">
      <c r="C28" s="107"/>
      <c r="D28" s="107"/>
      <c r="I28" s="22"/>
      <c r="J28" s="22"/>
      <c r="K28" s="22"/>
    </row>
    <row r="29" spans="3:11" x14ac:dyDescent="0.25">
      <c r="C29" s="107"/>
      <c r="D29" s="107"/>
      <c r="I29" s="22"/>
      <c r="J29" s="22"/>
      <c r="K29" s="22"/>
    </row>
    <row r="30" spans="3:11" x14ac:dyDescent="0.25">
      <c r="C30" s="107"/>
      <c r="D30" s="107"/>
      <c r="I30" s="22"/>
      <c r="J30" s="22"/>
      <c r="K30" s="22"/>
    </row>
    <row r="31" spans="3:11" x14ac:dyDescent="0.25">
      <c r="C31" s="107"/>
      <c r="D31" s="107"/>
      <c r="I31" s="22"/>
      <c r="J31" s="22"/>
      <c r="K31" s="22"/>
    </row>
    <row r="32" spans="3:11" x14ac:dyDescent="0.25">
      <c r="C32" s="107"/>
      <c r="D32" s="107"/>
      <c r="I32" s="22"/>
      <c r="J32" s="22"/>
      <c r="K32" s="22"/>
    </row>
    <row r="33" spans="3:11" x14ac:dyDescent="0.25">
      <c r="C33" s="107"/>
      <c r="D33" s="107"/>
      <c r="I33" s="22"/>
      <c r="J33" s="22"/>
      <c r="K33" s="22"/>
    </row>
    <row r="34" spans="3:11" x14ac:dyDescent="0.25">
      <c r="C34" s="107"/>
      <c r="D34" s="107"/>
      <c r="I34" s="22"/>
      <c r="J34" s="22"/>
      <c r="K34" s="22"/>
    </row>
    <row r="35" spans="3:11" x14ac:dyDescent="0.25">
      <c r="C35" s="107"/>
      <c r="D35" s="107"/>
      <c r="I35" s="22"/>
      <c r="J35" s="22"/>
      <c r="K35" s="22"/>
    </row>
    <row r="36" spans="3:11" x14ac:dyDescent="0.25">
      <c r="C36" s="107"/>
      <c r="D36" s="107"/>
      <c r="I36" s="22"/>
      <c r="J36" s="22"/>
      <c r="K36" s="22"/>
    </row>
    <row r="37" spans="3:11" x14ac:dyDescent="0.25">
      <c r="C37" s="107"/>
      <c r="D37" s="107"/>
      <c r="I37" s="22"/>
      <c r="J37" s="22"/>
      <c r="K37" s="22"/>
    </row>
    <row r="38" spans="3:11" x14ac:dyDescent="0.25">
      <c r="C38" s="107"/>
      <c r="D38" s="107"/>
      <c r="I38" s="22"/>
      <c r="J38" s="22"/>
      <c r="K38" s="22"/>
    </row>
    <row r="39" spans="3:11" x14ac:dyDescent="0.25">
      <c r="C39" s="107"/>
      <c r="D39" s="107"/>
      <c r="I39" s="22"/>
      <c r="J39" s="22"/>
      <c r="K39" s="22"/>
    </row>
    <row r="40" spans="3:11" x14ac:dyDescent="0.25">
      <c r="C40" s="107"/>
      <c r="D40" s="107"/>
      <c r="I40" s="22"/>
      <c r="J40" s="22"/>
      <c r="K40" s="22"/>
    </row>
    <row r="41" spans="3:11" x14ac:dyDescent="0.25">
      <c r="C41" s="107"/>
      <c r="D41" s="107"/>
      <c r="I41" s="22"/>
      <c r="J41" s="22"/>
      <c r="K41" s="22"/>
    </row>
    <row r="42" spans="3:11" x14ac:dyDescent="0.25">
      <c r="C42" s="107"/>
      <c r="D42" s="107"/>
      <c r="I42" s="22"/>
      <c r="J42" s="22"/>
      <c r="K42" s="22"/>
    </row>
    <row r="43" spans="3:11" x14ac:dyDescent="0.25">
      <c r="C43" s="107"/>
      <c r="D43" s="107"/>
      <c r="I43" s="22"/>
      <c r="J43" s="22"/>
      <c r="K43" s="22"/>
    </row>
    <row r="44" spans="3:11" x14ac:dyDescent="0.25">
      <c r="C44" s="107"/>
      <c r="D44" s="107"/>
      <c r="I44" s="22"/>
      <c r="J44" s="22"/>
      <c r="K44" s="22"/>
    </row>
    <row r="45" spans="3:11" x14ac:dyDescent="0.25">
      <c r="C45" s="107"/>
      <c r="D45" s="107"/>
      <c r="I45" s="22"/>
      <c r="J45" s="22"/>
      <c r="K45" s="22"/>
    </row>
    <row r="46" spans="3:11" x14ac:dyDescent="0.25">
      <c r="C46" s="107"/>
      <c r="D46" s="107"/>
      <c r="I46" s="22"/>
      <c r="J46" s="22"/>
      <c r="K46" s="22"/>
    </row>
    <row r="47" spans="3:11" x14ac:dyDescent="0.25">
      <c r="C47" s="107"/>
      <c r="D47" s="107"/>
      <c r="I47" s="22"/>
      <c r="J47" s="22"/>
      <c r="K47" s="22"/>
    </row>
    <row r="48" spans="3:11" x14ac:dyDescent="0.25">
      <c r="C48" s="107"/>
      <c r="D48" s="107"/>
      <c r="I48" s="22"/>
      <c r="J48" s="22"/>
      <c r="K48" s="22"/>
    </row>
    <row r="49" spans="3:11" x14ac:dyDescent="0.25">
      <c r="C49" s="107"/>
      <c r="D49" s="107"/>
      <c r="I49" s="22"/>
      <c r="J49" s="22"/>
      <c r="K49" s="22"/>
    </row>
    <row r="50" spans="3:11" x14ac:dyDescent="0.25">
      <c r="C50" s="107"/>
      <c r="D50" s="107"/>
      <c r="I50" s="22"/>
      <c r="J50" s="22"/>
      <c r="K50" s="22"/>
    </row>
    <row r="51" spans="3:11" x14ac:dyDescent="0.25">
      <c r="C51" s="107"/>
      <c r="D51" s="107"/>
      <c r="I51" s="22"/>
      <c r="J51" s="22"/>
      <c r="K51" s="22"/>
    </row>
    <row r="52" spans="3:11" x14ac:dyDescent="0.25">
      <c r="C52" s="107"/>
      <c r="D52" s="107"/>
      <c r="I52" s="22"/>
      <c r="J52" s="22"/>
      <c r="K52" s="22"/>
    </row>
    <row r="53" spans="3:11" x14ac:dyDescent="0.25">
      <c r="C53" s="107"/>
      <c r="D53" s="107"/>
      <c r="I53" s="22"/>
      <c r="J53" s="22"/>
      <c r="K53" s="22"/>
    </row>
    <row r="54" spans="3:11" x14ac:dyDescent="0.25">
      <c r="C54" s="107"/>
      <c r="D54" s="107"/>
      <c r="I54" s="22"/>
      <c r="J54" s="22"/>
      <c r="K54" s="22"/>
    </row>
    <row r="55" spans="3:11" x14ac:dyDescent="0.25">
      <c r="C55" s="107"/>
      <c r="D55" s="107"/>
      <c r="I55" s="22"/>
      <c r="J55" s="22"/>
      <c r="K55" s="22"/>
    </row>
    <row r="56" spans="3:11" x14ac:dyDescent="0.25">
      <c r="C56" s="107"/>
      <c r="D56" s="107"/>
      <c r="I56" s="22"/>
      <c r="J56" s="22"/>
      <c r="K56" s="22"/>
    </row>
    <row r="57" spans="3:11" x14ac:dyDescent="0.25">
      <c r="C57" s="107"/>
      <c r="D57" s="107"/>
      <c r="I57" s="22"/>
      <c r="J57" s="22"/>
      <c r="K57" s="22"/>
    </row>
    <row r="58" spans="3:11" x14ac:dyDescent="0.25">
      <c r="C58" s="107"/>
      <c r="D58" s="107"/>
      <c r="I58" s="22"/>
      <c r="J58" s="22"/>
      <c r="K58" s="22"/>
    </row>
    <row r="59" spans="3:11" x14ac:dyDescent="0.25">
      <c r="C59" s="107"/>
      <c r="D59" s="107"/>
      <c r="I59" s="22"/>
      <c r="J59" s="22"/>
      <c r="K59" s="22"/>
    </row>
    <row r="60" spans="3:11" x14ac:dyDescent="0.25">
      <c r="C60" s="107"/>
      <c r="D60" s="107"/>
      <c r="I60" s="22"/>
      <c r="J60" s="22"/>
      <c r="K60" s="22"/>
    </row>
    <row r="61" spans="3:11" x14ac:dyDescent="0.25">
      <c r="C61" s="107"/>
      <c r="D61" s="107"/>
      <c r="I61" s="22"/>
      <c r="J61" s="22"/>
      <c r="K61" s="22"/>
    </row>
    <row r="62" spans="3:11" x14ac:dyDescent="0.25">
      <c r="C62" s="107"/>
      <c r="D62" s="107"/>
      <c r="I62" s="22"/>
      <c r="J62" s="22"/>
      <c r="K62" s="22"/>
    </row>
    <row r="63" spans="3:11" x14ac:dyDescent="0.25">
      <c r="C63" s="107"/>
      <c r="D63" s="107"/>
      <c r="I63" s="22"/>
      <c r="J63" s="22"/>
      <c r="K63" s="22"/>
    </row>
    <row r="64" spans="3:11" x14ac:dyDescent="0.25">
      <c r="C64" s="107"/>
      <c r="D64" s="107"/>
      <c r="I64" s="22"/>
      <c r="J64" s="22"/>
      <c r="K64" s="22"/>
    </row>
    <row r="65" spans="3:11" x14ac:dyDescent="0.25">
      <c r="C65" s="107"/>
      <c r="D65" s="107"/>
      <c r="I65" s="22"/>
      <c r="J65" s="22"/>
      <c r="K65" s="22"/>
    </row>
    <row r="66" spans="3:11" x14ac:dyDescent="0.25">
      <c r="C66" s="107"/>
      <c r="D66" s="107"/>
      <c r="I66" s="22"/>
      <c r="J66" s="22"/>
      <c r="K66" s="22"/>
    </row>
    <row r="67" spans="3:11" x14ac:dyDescent="0.25">
      <c r="C67" s="107"/>
      <c r="D67" s="107"/>
      <c r="I67" s="22"/>
      <c r="J67" s="22"/>
      <c r="K67" s="22"/>
    </row>
    <row r="68" spans="3:11" x14ac:dyDescent="0.25">
      <c r="C68" s="107"/>
      <c r="D68" s="107"/>
      <c r="I68" s="22"/>
      <c r="J68" s="22"/>
      <c r="K68" s="22"/>
    </row>
    <row r="69" spans="3:11" x14ac:dyDescent="0.25">
      <c r="I69" s="22"/>
      <c r="J69" s="22"/>
      <c r="K69" s="22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5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2" bestFit="1" customWidth="1"/>
    <col min="7" max="7" width="18.28515625" style="8" bestFit="1" customWidth="1"/>
  </cols>
  <sheetData>
    <row r="1" spans="1:7" s="22" customFormat="1" x14ac:dyDescent="0.25">
      <c r="A1" s="8" t="s">
        <v>273</v>
      </c>
      <c r="B1" s="22" t="s">
        <v>274</v>
      </c>
      <c r="C1" s="22" t="s">
        <v>0</v>
      </c>
      <c r="D1" s="22" t="s">
        <v>275</v>
      </c>
      <c r="E1" s="22" t="s">
        <v>276</v>
      </c>
      <c r="F1" s="22" t="str">
        <f>B1</f>
        <v>Source</v>
      </c>
      <c r="G1" s="8" t="str">
        <f>A1</f>
        <v>Time (US/Mountain)</v>
      </c>
    </row>
    <row r="2" spans="1:7" x14ac:dyDescent="0.25">
      <c r="A2" s="8">
        <v>42620.031307870369</v>
      </c>
      <c r="B2" s="22" t="s">
        <v>142</v>
      </c>
      <c r="C2" s="22" t="s">
        <v>291</v>
      </c>
      <c r="D2" s="22">
        <v>2260000</v>
      </c>
      <c r="E2" s="22" t="s">
        <v>158</v>
      </c>
      <c r="F2" s="22" t="str">
        <f t="shared" ref="F2:F65" si="0">B2</f>
        <v>rtdc.l.rtdc.4038:itc</v>
      </c>
      <c r="G2" s="8">
        <f t="shared" ref="G2:G65" si="1">A2</f>
        <v>42620.031307870369</v>
      </c>
    </row>
    <row r="3" spans="1:7" x14ac:dyDescent="0.25">
      <c r="A3" s="8">
        <v>42620.032523148147</v>
      </c>
      <c r="B3" s="22" t="s">
        <v>142</v>
      </c>
      <c r="C3" s="22" t="s">
        <v>291</v>
      </c>
      <c r="D3" s="22">
        <v>2260000</v>
      </c>
      <c r="E3" s="22" t="s">
        <v>158</v>
      </c>
      <c r="F3" s="22" t="str">
        <f t="shared" si="0"/>
        <v>rtdc.l.rtdc.4038:itc</v>
      </c>
      <c r="G3" s="8">
        <f t="shared" si="1"/>
        <v>42620.032523148147</v>
      </c>
    </row>
    <row r="4" spans="1:7" x14ac:dyDescent="0.25">
      <c r="A4" s="8">
        <v>42620.036365740743</v>
      </c>
      <c r="B4" s="22" t="s">
        <v>221</v>
      </c>
      <c r="C4" s="22" t="s">
        <v>292</v>
      </c>
      <c r="D4" s="22">
        <v>2230000</v>
      </c>
      <c r="E4" s="22" t="s">
        <v>290</v>
      </c>
      <c r="F4" s="22" t="str">
        <f t="shared" si="0"/>
        <v>rtdc.l.rtdc.4001:itc</v>
      </c>
      <c r="G4" s="8">
        <f t="shared" si="1"/>
        <v>42620.036365740743</v>
      </c>
    </row>
    <row r="5" spans="1:7" x14ac:dyDescent="0.25">
      <c r="A5" s="8">
        <v>42620.037245370368</v>
      </c>
      <c r="B5" s="22" t="s">
        <v>269</v>
      </c>
      <c r="C5" s="22" t="s">
        <v>293</v>
      </c>
      <c r="D5" s="22">
        <v>630000</v>
      </c>
      <c r="E5" s="22" t="b">
        <v>1</v>
      </c>
      <c r="F5" s="22" t="str">
        <f t="shared" si="0"/>
        <v>rtdc.l.rtdc.4051:itc</v>
      </c>
      <c r="G5" s="8">
        <f t="shared" si="1"/>
        <v>42620.037245370368</v>
      </c>
    </row>
    <row r="6" spans="1:7" x14ac:dyDescent="0.25">
      <c r="A6" s="8">
        <v>42620.046793981484</v>
      </c>
      <c r="B6" s="22" t="s">
        <v>91</v>
      </c>
      <c r="C6" s="22" t="s">
        <v>294</v>
      </c>
      <c r="D6" s="22">
        <v>1290000</v>
      </c>
      <c r="E6" s="22" t="s">
        <v>245</v>
      </c>
      <c r="F6" s="22" t="str">
        <f t="shared" si="0"/>
        <v>rtdc.l.rtdc.4029:itc</v>
      </c>
      <c r="G6" s="8">
        <f t="shared" si="1"/>
        <v>42620.046793981484</v>
      </c>
    </row>
    <row r="7" spans="1:7" x14ac:dyDescent="0.25">
      <c r="A7" s="8">
        <v>42620.057013888887</v>
      </c>
      <c r="B7" s="22" t="s">
        <v>272</v>
      </c>
      <c r="C7" s="22" t="s">
        <v>295</v>
      </c>
      <c r="D7" s="22">
        <v>630000</v>
      </c>
      <c r="E7" s="22" t="b">
        <v>1</v>
      </c>
      <c r="F7" s="22" t="str">
        <f t="shared" si="0"/>
        <v>rtdc.l.rtdc.4052:itc</v>
      </c>
      <c r="G7" s="8">
        <f t="shared" si="1"/>
        <v>42620.057013888887</v>
      </c>
    </row>
    <row r="8" spans="1:7" x14ac:dyDescent="0.25">
      <c r="A8" s="8">
        <v>42620.058171296296</v>
      </c>
      <c r="B8" s="22" t="s">
        <v>272</v>
      </c>
      <c r="C8" s="22" t="s">
        <v>295</v>
      </c>
      <c r="D8" s="22">
        <v>630000</v>
      </c>
      <c r="E8" s="22" t="b">
        <v>1</v>
      </c>
      <c r="F8" s="22" t="str">
        <f t="shared" si="0"/>
        <v>rtdc.l.rtdc.4052:itc</v>
      </c>
      <c r="G8" s="8">
        <f t="shared" si="1"/>
        <v>42620.058171296296</v>
      </c>
    </row>
    <row r="9" spans="1:7" ht="15.75" thickBot="1" x14ac:dyDescent="0.3">
      <c r="A9" s="26">
        <v>42620.059189814812</v>
      </c>
      <c r="B9" s="22" t="s">
        <v>272</v>
      </c>
      <c r="C9" s="22" t="s">
        <v>293</v>
      </c>
      <c r="D9" s="22">
        <v>630000</v>
      </c>
      <c r="E9" s="22" t="b">
        <v>1</v>
      </c>
      <c r="F9" s="22" t="str">
        <f t="shared" si="0"/>
        <v>rtdc.l.rtdc.4052:itc</v>
      </c>
      <c r="G9" s="8">
        <f t="shared" si="1"/>
        <v>42620.059189814812</v>
      </c>
    </row>
    <row r="10" spans="1:7" x14ac:dyDescent="0.25">
      <c r="A10" s="8">
        <v>42620.059652777774</v>
      </c>
      <c r="B10" s="22" t="s">
        <v>282</v>
      </c>
      <c r="C10" s="22" t="s">
        <v>296</v>
      </c>
      <c r="D10" s="22">
        <v>1800000</v>
      </c>
      <c r="E10" s="22" t="s">
        <v>148</v>
      </c>
      <c r="F10" s="22" t="str">
        <f t="shared" si="0"/>
        <v>rtdc.l.rtdc.4041:itc</v>
      </c>
      <c r="G10" s="8">
        <f t="shared" si="1"/>
        <v>42620.059652777774</v>
      </c>
    </row>
    <row r="11" spans="1:7" x14ac:dyDescent="0.25">
      <c r="A11" s="8">
        <v>42620.060312499998</v>
      </c>
      <c r="B11" s="22" t="s">
        <v>272</v>
      </c>
      <c r="C11" s="22" t="s">
        <v>295</v>
      </c>
      <c r="D11" s="22">
        <v>630000</v>
      </c>
      <c r="E11" s="22" t="b">
        <v>1</v>
      </c>
      <c r="F11" s="22" t="str">
        <f t="shared" si="0"/>
        <v>rtdc.l.rtdc.4052:itc</v>
      </c>
      <c r="G11" s="8">
        <f t="shared" si="1"/>
        <v>42620.060312499998</v>
      </c>
    </row>
    <row r="12" spans="1:7" x14ac:dyDescent="0.25">
      <c r="A12" s="8">
        <v>42620.066527777781</v>
      </c>
      <c r="B12" s="22" t="s">
        <v>150</v>
      </c>
      <c r="C12" s="22" t="s">
        <v>297</v>
      </c>
      <c r="D12" s="22">
        <v>2230000</v>
      </c>
      <c r="E12" s="22" t="s">
        <v>290</v>
      </c>
      <c r="F12" s="22" t="str">
        <f t="shared" si="0"/>
        <v>rtdc.l.rtdc.4002:itc</v>
      </c>
      <c r="G12" s="8">
        <f t="shared" si="1"/>
        <v>42620.066527777781</v>
      </c>
    </row>
    <row r="13" spans="1:7" x14ac:dyDescent="0.25">
      <c r="A13" s="8">
        <v>42620.078194444446</v>
      </c>
      <c r="B13" s="22" t="s">
        <v>269</v>
      </c>
      <c r="C13" s="22" t="s">
        <v>293</v>
      </c>
      <c r="D13" s="22">
        <v>630000</v>
      </c>
      <c r="E13" s="22" t="b">
        <v>1</v>
      </c>
      <c r="F13" s="22" t="str">
        <f t="shared" si="0"/>
        <v>rtdc.l.rtdc.4051:itc</v>
      </c>
      <c r="G13" s="8">
        <f t="shared" si="1"/>
        <v>42620.078194444446</v>
      </c>
    </row>
    <row r="14" spans="1:7" x14ac:dyDescent="0.25">
      <c r="A14" s="8">
        <v>42620.092060185183</v>
      </c>
      <c r="B14" s="22" t="s">
        <v>285</v>
      </c>
      <c r="C14" s="22" t="s">
        <v>298</v>
      </c>
      <c r="D14" s="22">
        <v>1800000</v>
      </c>
      <c r="E14" s="22" t="s">
        <v>148</v>
      </c>
      <c r="F14" s="22" t="str">
        <f t="shared" si="0"/>
        <v>rtdc.l.rtdc.4042:itc</v>
      </c>
      <c r="G14" s="8">
        <f t="shared" si="1"/>
        <v>42620.092060185183</v>
      </c>
    </row>
    <row r="15" spans="1:7" x14ac:dyDescent="0.25">
      <c r="A15" s="8">
        <v>42620.103078703702</v>
      </c>
      <c r="B15" s="22" t="s">
        <v>272</v>
      </c>
      <c r="C15" s="22" t="s">
        <v>295</v>
      </c>
      <c r="D15" s="22">
        <v>630000</v>
      </c>
      <c r="E15" s="22" t="b">
        <v>1</v>
      </c>
      <c r="F15" s="22" t="str">
        <f t="shared" si="0"/>
        <v>rtdc.l.rtdc.4052:itc</v>
      </c>
      <c r="G15" s="8">
        <f t="shared" si="1"/>
        <v>42620.103078703702</v>
      </c>
    </row>
    <row r="16" spans="1:7" x14ac:dyDescent="0.25">
      <c r="A16" s="8">
        <v>42620.120625000003</v>
      </c>
      <c r="B16" s="22" t="s">
        <v>269</v>
      </c>
      <c r="C16" s="22" t="s">
        <v>293</v>
      </c>
      <c r="D16" s="22">
        <v>630000</v>
      </c>
      <c r="E16" s="22" t="b">
        <v>1</v>
      </c>
      <c r="F16" s="22" t="str">
        <f t="shared" si="0"/>
        <v>rtdc.l.rtdc.4051:itc</v>
      </c>
      <c r="G16" s="8">
        <f t="shared" si="1"/>
        <v>42620.120625000003</v>
      </c>
    </row>
    <row r="17" spans="1:7" x14ac:dyDescent="0.25">
      <c r="A17" s="8">
        <v>42620.122037037036</v>
      </c>
      <c r="B17" s="22" t="s">
        <v>269</v>
      </c>
      <c r="C17" s="22" t="s">
        <v>293</v>
      </c>
      <c r="D17" s="22">
        <v>630000</v>
      </c>
      <c r="E17" s="22" t="b">
        <v>1</v>
      </c>
      <c r="F17" s="22" t="str">
        <f t="shared" si="0"/>
        <v>rtdc.l.rtdc.4051:itc</v>
      </c>
      <c r="G17" s="8">
        <f t="shared" si="1"/>
        <v>42620.122037037036</v>
      </c>
    </row>
    <row r="18" spans="1:7" x14ac:dyDescent="0.25">
      <c r="A18" s="8">
        <v>42620.131319444445</v>
      </c>
      <c r="B18" s="22" t="s">
        <v>147</v>
      </c>
      <c r="C18" s="22" t="s">
        <v>346</v>
      </c>
      <c r="D18" s="22">
        <v>2010000</v>
      </c>
      <c r="E18" s="22" t="s">
        <v>347</v>
      </c>
      <c r="F18" s="22" t="str">
        <f t="shared" si="0"/>
        <v>rtdc.l.rtdc.4009:itc</v>
      </c>
      <c r="G18" s="8">
        <f t="shared" si="1"/>
        <v>42620.131319444445</v>
      </c>
    </row>
    <row r="19" spans="1:7" x14ac:dyDescent="0.25">
      <c r="A19" s="8">
        <v>42620.138368055559</v>
      </c>
      <c r="B19" s="22" t="s">
        <v>272</v>
      </c>
      <c r="C19" s="22" t="s">
        <v>295</v>
      </c>
      <c r="D19" s="22">
        <v>630000</v>
      </c>
      <c r="E19" s="22" t="b">
        <v>1</v>
      </c>
      <c r="F19" s="22" t="str">
        <f t="shared" si="0"/>
        <v>rtdc.l.rtdc.4052:itc</v>
      </c>
      <c r="G19" s="8">
        <f t="shared" si="1"/>
        <v>42620.138368055559</v>
      </c>
    </row>
    <row r="20" spans="1:7" x14ac:dyDescent="0.25">
      <c r="A20" s="8">
        <v>42620.149988425925</v>
      </c>
      <c r="B20" s="22" t="s">
        <v>240</v>
      </c>
      <c r="C20" s="22" t="s">
        <v>348</v>
      </c>
      <c r="D20" s="22">
        <v>2220000</v>
      </c>
      <c r="E20" s="22" t="s">
        <v>213</v>
      </c>
      <c r="F20" s="22" t="str">
        <f t="shared" si="0"/>
        <v>rtdc.l.rtdc.4025:itc</v>
      </c>
      <c r="G20" s="8">
        <f t="shared" si="1"/>
        <v>42620.149988425925</v>
      </c>
    </row>
    <row r="21" spans="1:7" x14ac:dyDescent="0.25">
      <c r="A21" s="8">
        <v>42620.169895833336</v>
      </c>
      <c r="B21" s="22" t="s">
        <v>90</v>
      </c>
      <c r="C21" s="22" t="s">
        <v>349</v>
      </c>
      <c r="D21" s="22">
        <v>2010000</v>
      </c>
      <c r="E21" s="22" t="s">
        <v>347</v>
      </c>
      <c r="F21" s="22" t="str">
        <f t="shared" si="0"/>
        <v>rtdc.l.rtdc.4013:itc</v>
      </c>
      <c r="G21" s="8">
        <f t="shared" si="1"/>
        <v>42620.169895833336</v>
      </c>
    </row>
    <row r="22" spans="1:7" x14ac:dyDescent="0.25">
      <c r="A22" s="28">
        <v>42620.17359953704</v>
      </c>
      <c r="B22" s="22" t="s">
        <v>197</v>
      </c>
      <c r="C22" s="22" t="s">
        <v>350</v>
      </c>
      <c r="D22" s="22">
        <v>1340000</v>
      </c>
      <c r="E22" s="22" t="s">
        <v>351</v>
      </c>
      <c r="F22" s="22" t="str">
        <f t="shared" si="0"/>
        <v>rtdc.l.rtdc.4020:itc</v>
      </c>
      <c r="G22" s="8">
        <f t="shared" si="1"/>
        <v>42620.17359953704</v>
      </c>
    </row>
    <row r="23" spans="1:7" x14ac:dyDescent="0.25">
      <c r="A23" s="8">
        <v>42620.185208333336</v>
      </c>
      <c r="B23" s="22" t="s">
        <v>352</v>
      </c>
      <c r="C23" s="22" t="s">
        <v>353</v>
      </c>
      <c r="D23" s="22">
        <v>1360000</v>
      </c>
      <c r="E23" s="22" t="s">
        <v>284</v>
      </c>
      <c r="F23" s="22" t="str">
        <f t="shared" si="0"/>
        <v>rtdc.l.rtdc.4046:itc</v>
      </c>
      <c r="G23" s="8">
        <f t="shared" si="1"/>
        <v>42620.185208333336</v>
      </c>
    </row>
    <row r="24" spans="1:7" x14ac:dyDescent="0.25">
      <c r="A24" s="8">
        <v>42620.187824074077</v>
      </c>
      <c r="B24" s="22" t="s">
        <v>113</v>
      </c>
      <c r="C24" s="22" t="s">
        <v>354</v>
      </c>
      <c r="D24" s="22">
        <v>2220000</v>
      </c>
      <c r="E24" s="22" t="s">
        <v>213</v>
      </c>
      <c r="F24" s="22" t="str">
        <f t="shared" si="0"/>
        <v>rtdc.l.rtdc.4032:itc</v>
      </c>
      <c r="G24" s="8">
        <f t="shared" si="1"/>
        <v>42620.187824074077</v>
      </c>
    </row>
    <row r="25" spans="1:7" x14ac:dyDescent="0.25">
      <c r="A25" s="8">
        <v>42620.193518518521</v>
      </c>
      <c r="B25" s="22" t="s">
        <v>208</v>
      </c>
      <c r="C25" s="22" t="s">
        <v>355</v>
      </c>
      <c r="D25" s="22">
        <v>2030000</v>
      </c>
      <c r="E25" s="22" t="s">
        <v>234</v>
      </c>
      <c r="F25" s="22" t="str">
        <f t="shared" si="0"/>
        <v>rtdc.l.rtdc.4011:itc</v>
      </c>
      <c r="G25" s="8">
        <f t="shared" si="1"/>
        <v>42620.193518518521</v>
      </c>
    </row>
    <row r="26" spans="1:7" x14ac:dyDescent="0.25">
      <c r="A26" s="8">
        <v>42620.195300925923</v>
      </c>
      <c r="B26" s="22" t="s">
        <v>208</v>
      </c>
      <c r="C26" s="22" t="s">
        <v>355</v>
      </c>
      <c r="D26" s="22">
        <v>2030000</v>
      </c>
      <c r="E26" s="22" t="s">
        <v>234</v>
      </c>
      <c r="F26" s="22" t="str">
        <f t="shared" si="0"/>
        <v>rtdc.l.rtdc.4011:itc</v>
      </c>
      <c r="G26" s="8">
        <f t="shared" si="1"/>
        <v>42620.195300925923</v>
      </c>
    </row>
    <row r="27" spans="1:7" x14ac:dyDescent="0.25">
      <c r="A27" s="8">
        <v>42620.207951388889</v>
      </c>
      <c r="B27" s="22" t="s">
        <v>147</v>
      </c>
      <c r="C27" s="22" t="s">
        <v>356</v>
      </c>
      <c r="D27" s="22">
        <v>900000</v>
      </c>
      <c r="E27" s="22" t="s">
        <v>271</v>
      </c>
      <c r="F27" s="22" t="str">
        <f t="shared" si="0"/>
        <v>rtdc.l.rtdc.4009:itc</v>
      </c>
      <c r="G27" s="8">
        <f t="shared" si="1"/>
        <v>42620.207951388889</v>
      </c>
    </row>
    <row r="28" spans="1:7" x14ac:dyDescent="0.25">
      <c r="A28" s="8">
        <v>42620.208749999998</v>
      </c>
      <c r="B28" s="22" t="s">
        <v>196</v>
      </c>
      <c r="C28" s="22" t="s">
        <v>357</v>
      </c>
      <c r="D28" s="22">
        <v>1340000</v>
      </c>
      <c r="E28" s="22" t="s">
        <v>351</v>
      </c>
      <c r="F28" s="22" t="str">
        <f t="shared" si="0"/>
        <v>rtdc.l.rtdc.4019:itc</v>
      </c>
      <c r="G28" s="8">
        <f t="shared" si="1"/>
        <v>42620.208749999998</v>
      </c>
    </row>
    <row r="29" spans="1:7" x14ac:dyDescent="0.25">
      <c r="A29" s="8">
        <v>42620.211030092592</v>
      </c>
      <c r="B29" s="22" t="s">
        <v>196</v>
      </c>
      <c r="C29" s="22" t="s">
        <v>357</v>
      </c>
      <c r="D29" s="22">
        <v>1340000</v>
      </c>
      <c r="E29" s="22" t="s">
        <v>351</v>
      </c>
      <c r="F29" s="22" t="str">
        <f t="shared" si="0"/>
        <v>rtdc.l.rtdc.4019:itc</v>
      </c>
      <c r="G29" s="8">
        <f t="shared" si="1"/>
        <v>42620.211030092592</v>
      </c>
    </row>
    <row r="30" spans="1:7" x14ac:dyDescent="0.25">
      <c r="A30" s="8">
        <v>42620.213645833333</v>
      </c>
      <c r="B30" s="22" t="s">
        <v>110</v>
      </c>
      <c r="C30" s="22" t="s">
        <v>358</v>
      </c>
      <c r="D30" s="22">
        <v>2010000</v>
      </c>
      <c r="E30" s="22" t="s">
        <v>347</v>
      </c>
      <c r="F30" s="22" t="str">
        <f t="shared" si="0"/>
        <v>rtdc.l.rtdc.4014:itc</v>
      </c>
      <c r="G30" s="8">
        <f t="shared" si="1"/>
        <v>42620.213645833333</v>
      </c>
    </row>
    <row r="31" spans="1:7" x14ac:dyDescent="0.25">
      <c r="A31" s="8">
        <v>42620.214421296296</v>
      </c>
      <c r="B31" s="22" t="s">
        <v>220</v>
      </c>
      <c r="C31" s="22" t="s">
        <v>359</v>
      </c>
      <c r="D31" s="22">
        <v>1110000</v>
      </c>
      <c r="E31" s="22" t="s">
        <v>241</v>
      </c>
      <c r="F31" s="22" t="str">
        <f t="shared" si="0"/>
        <v>rtdc.l.rtdc.4043:itc</v>
      </c>
      <c r="G31" s="8">
        <f t="shared" si="1"/>
        <v>42620.214421296296</v>
      </c>
    </row>
    <row r="32" spans="1:7" x14ac:dyDescent="0.25">
      <c r="A32" s="8">
        <v>42620.214999999997</v>
      </c>
      <c r="B32" s="22" t="s">
        <v>220</v>
      </c>
      <c r="C32" s="22" t="s">
        <v>360</v>
      </c>
      <c r="D32" s="22">
        <v>1110000</v>
      </c>
      <c r="E32" s="22" t="s">
        <v>241</v>
      </c>
      <c r="F32" s="22" t="str">
        <f t="shared" si="0"/>
        <v>rtdc.l.rtdc.4043:itc</v>
      </c>
      <c r="G32" s="8">
        <f t="shared" si="1"/>
        <v>42620.214999999997</v>
      </c>
    </row>
    <row r="33" spans="1:7" x14ac:dyDescent="0.25">
      <c r="A33" s="8">
        <v>42620.216724537036</v>
      </c>
      <c r="B33" s="22" t="s">
        <v>361</v>
      </c>
      <c r="C33" s="22" t="s">
        <v>362</v>
      </c>
      <c r="D33" s="22">
        <v>1360000</v>
      </c>
      <c r="E33" s="22" t="s">
        <v>284</v>
      </c>
      <c r="F33" s="22" t="str">
        <f t="shared" si="0"/>
        <v>rtdc.l.rtdc.4045:itc</v>
      </c>
      <c r="G33" s="8">
        <f t="shared" si="1"/>
        <v>42620.216724537036</v>
      </c>
    </row>
    <row r="34" spans="1:7" x14ac:dyDescent="0.25">
      <c r="A34" s="8">
        <v>42620.226493055554</v>
      </c>
      <c r="B34" s="22" t="s">
        <v>240</v>
      </c>
      <c r="C34" s="22" t="s">
        <v>363</v>
      </c>
      <c r="D34" s="22">
        <v>1190000</v>
      </c>
      <c r="E34" s="22" t="s">
        <v>270</v>
      </c>
      <c r="F34" s="22" t="str">
        <f t="shared" si="0"/>
        <v>rtdc.l.rtdc.4025:itc</v>
      </c>
      <c r="G34" s="8">
        <f t="shared" si="1"/>
        <v>42620.226493055554</v>
      </c>
    </row>
    <row r="35" spans="1:7" x14ac:dyDescent="0.25">
      <c r="A35" s="8">
        <v>42620.229097222225</v>
      </c>
      <c r="B35" s="22" t="s">
        <v>268</v>
      </c>
      <c r="C35" s="22" t="s">
        <v>364</v>
      </c>
      <c r="D35" s="22">
        <v>2030000</v>
      </c>
      <c r="E35" s="22" t="s">
        <v>234</v>
      </c>
      <c r="F35" s="22" t="str">
        <f t="shared" si="0"/>
        <v>rtdc.l.rtdc.4012:itc</v>
      </c>
      <c r="G35" s="8">
        <f t="shared" si="1"/>
        <v>42620.229097222225</v>
      </c>
    </row>
    <row r="36" spans="1:7" x14ac:dyDescent="0.25">
      <c r="A36" s="8">
        <v>42620.233854166669</v>
      </c>
      <c r="B36" s="22" t="s">
        <v>112</v>
      </c>
      <c r="C36" s="22" t="s">
        <v>365</v>
      </c>
      <c r="D36" s="22">
        <v>2220000</v>
      </c>
      <c r="E36" s="22" t="s">
        <v>213</v>
      </c>
      <c r="F36" s="22" t="str">
        <f t="shared" si="0"/>
        <v>rtdc.l.rtdc.4031:itc</v>
      </c>
      <c r="G36" s="8">
        <f t="shared" si="1"/>
        <v>42620.233854166669</v>
      </c>
    </row>
    <row r="37" spans="1:7" x14ac:dyDescent="0.25">
      <c r="A37" s="8">
        <v>42620.238402777781</v>
      </c>
      <c r="B37" s="22" t="s">
        <v>283</v>
      </c>
      <c r="C37" s="22" t="s">
        <v>366</v>
      </c>
      <c r="D37" s="22">
        <v>900000</v>
      </c>
      <c r="E37" s="22" t="s">
        <v>271</v>
      </c>
      <c r="F37" s="22" t="str">
        <f t="shared" si="0"/>
        <v>rtdc.l.rtdc.4010:itc</v>
      </c>
      <c r="G37" s="8">
        <f t="shared" si="1"/>
        <v>42620.238402777781</v>
      </c>
    </row>
    <row r="38" spans="1:7" x14ac:dyDescent="0.25">
      <c r="A38" s="8">
        <v>42620.242662037039</v>
      </c>
      <c r="B38" s="22" t="s">
        <v>222</v>
      </c>
      <c r="C38" s="22" t="s">
        <v>359</v>
      </c>
      <c r="D38" s="22">
        <v>1110000</v>
      </c>
      <c r="E38" s="22" t="s">
        <v>241</v>
      </c>
      <c r="F38" s="22" t="str">
        <f t="shared" si="0"/>
        <v>rtdc.l.rtdc.4044:itc</v>
      </c>
      <c r="G38" s="8">
        <f t="shared" si="1"/>
        <v>42620.242662037039</v>
      </c>
    </row>
    <row r="39" spans="1:7" x14ac:dyDescent="0.25">
      <c r="A39" s="8">
        <v>42620.24722222222</v>
      </c>
      <c r="B39" s="22" t="s">
        <v>197</v>
      </c>
      <c r="C39" s="22" t="s">
        <v>367</v>
      </c>
      <c r="D39" s="22">
        <v>1760000</v>
      </c>
      <c r="E39" s="22" t="s">
        <v>368</v>
      </c>
      <c r="F39" s="22" t="str">
        <f t="shared" si="0"/>
        <v>rtdc.l.rtdc.4020:itc</v>
      </c>
      <c r="G39" s="8">
        <f t="shared" si="1"/>
        <v>42620.24722222222</v>
      </c>
    </row>
    <row r="40" spans="1:7" x14ac:dyDescent="0.25">
      <c r="A40" s="8">
        <v>42620.251122685186</v>
      </c>
      <c r="B40" s="27" t="s">
        <v>90</v>
      </c>
      <c r="C40" s="22" t="s">
        <v>369</v>
      </c>
      <c r="D40" s="22">
        <v>2010000</v>
      </c>
      <c r="E40" s="22" t="s">
        <v>347</v>
      </c>
      <c r="F40" s="22" t="str">
        <f t="shared" si="0"/>
        <v>rtdc.l.rtdc.4013:itc</v>
      </c>
      <c r="G40" s="8">
        <f t="shared" si="1"/>
        <v>42620.251122685186</v>
      </c>
    </row>
    <row r="41" spans="1:7" x14ac:dyDescent="0.25">
      <c r="A41" s="8">
        <v>42620.253865740742</v>
      </c>
      <c r="B41" s="22" t="s">
        <v>352</v>
      </c>
      <c r="C41" s="22" t="s">
        <v>370</v>
      </c>
      <c r="D41" s="22">
        <v>1360000</v>
      </c>
      <c r="E41" s="22" t="s">
        <v>284</v>
      </c>
      <c r="F41" s="22" t="str">
        <f t="shared" si="0"/>
        <v>rtdc.l.rtdc.4046:itc</v>
      </c>
      <c r="G41" s="8">
        <f t="shared" si="1"/>
        <v>42620.253865740742</v>
      </c>
    </row>
    <row r="42" spans="1:7" x14ac:dyDescent="0.25">
      <c r="A42" s="8">
        <v>42620.254953703705</v>
      </c>
      <c r="B42" s="22" t="s">
        <v>220</v>
      </c>
      <c r="C42" s="22" t="s">
        <v>371</v>
      </c>
      <c r="D42" s="22">
        <v>1110000</v>
      </c>
      <c r="E42" s="22" t="s">
        <v>241</v>
      </c>
      <c r="F42" s="22" t="str">
        <f t="shared" si="0"/>
        <v>rtdc.l.rtdc.4043:itc</v>
      </c>
      <c r="G42" s="8">
        <f t="shared" si="1"/>
        <v>42620.254953703705</v>
      </c>
    </row>
    <row r="43" spans="1:7" x14ac:dyDescent="0.25">
      <c r="A43" s="8">
        <v>42620.2578125</v>
      </c>
      <c r="B43" s="22" t="s">
        <v>91</v>
      </c>
      <c r="C43" s="22" t="s">
        <v>372</v>
      </c>
      <c r="D43" s="22">
        <v>1100000</v>
      </c>
      <c r="E43" s="22" t="s">
        <v>281</v>
      </c>
      <c r="F43" s="22" t="str">
        <f t="shared" si="0"/>
        <v>rtdc.l.rtdc.4029:itc</v>
      </c>
      <c r="G43" s="8">
        <f t="shared" si="1"/>
        <v>42620.2578125</v>
      </c>
    </row>
    <row r="44" spans="1:7" x14ac:dyDescent="0.25">
      <c r="A44" s="8">
        <v>42620.264004629629</v>
      </c>
      <c r="B44" s="22" t="s">
        <v>242</v>
      </c>
      <c r="C44" s="22" t="s">
        <v>373</v>
      </c>
      <c r="D44" s="22">
        <v>1190000</v>
      </c>
      <c r="E44" s="22" t="s">
        <v>270</v>
      </c>
      <c r="F44" s="22" t="str">
        <f t="shared" si="0"/>
        <v>rtdc.l.rtdc.4026:itc</v>
      </c>
      <c r="G44" s="8">
        <f t="shared" si="1"/>
        <v>42620.264004629629</v>
      </c>
    </row>
    <row r="45" spans="1:7" x14ac:dyDescent="0.25">
      <c r="A45" s="8">
        <v>42620.26662037037</v>
      </c>
      <c r="B45" s="22" t="s">
        <v>208</v>
      </c>
      <c r="C45" s="22" t="s">
        <v>374</v>
      </c>
      <c r="D45" s="22">
        <v>2030000</v>
      </c>
      <c r="E45" s="22" t="s">
        <v>234</v>
      </c>
      <c r="F45" s="22" t="str">
        <f t="shared" si="0"/>
        <v>rtdc.l.rtdc.4011:itc</v>
      </c>
      <c r="G45" s="8">
        <f t="shared" si="1"/>
        <v>42620.26662037037</v>
      </c>
    </row>
    <row r="46" spans="1:7" x14ac:dyDescent="0.25">
      <c r="A46" s="8">
        <v>42620.273715277777</v>
      </c>
      <c r="B46" s="22" t="s">
        <v>113</v>
      </c>
      <c r="C46" s="22" t="s">
        <v>375</v>
      </c>
      <c r="D46" s="22">
        <v>2220000</v>
      </c>
      <c r="E46" s="22" t="s">
        <v>213</v>
      </c>
      <c r="F46" s="22" t="str">
        <f t="shared" si="0"/>
        <v>rtdc.l.rtdc.4032:itc</v>
      </c>
      <c r="G46" s="8">
        <f t="shared" si="1"/>
        <v>42620.273715277777</v>
      </c>
    </row>
    <row r="47" spans="1:7" x14ac:dyDescent="0.25">
      <c r="A47" s="8">
        <v>42620.276261574072</v>
      </c>
      <c r="B47" s="22" t="s">
        <v>92</v>
      </c>
      <c r="C47" s="22" t="s">
        <v>376</v>
      </c>
      <c r="D47" s="22">
        <v>1100000</v>
      </c>
      <c r="E47" s="22" t="s">
        <v>281</v>
      </c>
      <c r="F47" s="22" t="str">
        <f t="shared" si="0"/>
        <v>rtdc.l.rtdc.4030:itc</v>
      </c>
      <c r="G47" s="8">
        <f t="shared" si="1"/>
        <v>42620.276261574072</v>
      </c>
    </row>
    <row r="48" spans="1:7" x14ac:dyDescent="0.25">
      <c r="A48" s="8">
        <v>42620.279537037037</v>
      </c>
      <c r="B48" s="22" t="s">
        <v>147</v>
      </c>
      <c r="C48" s="22" t="s">
        <v>377</v>
      </c>
      <c r="D48" s="22">
        <v>900000</v>
      </c>
      <c r="E48" s="22" t="s">
        <v>271</v>
      </c>
      <c r="F48" s="22" t="str">
        <f t="shared" si="0"/>
        <v>rtdc.l.rtdc.4009:itc</v>
      </c>
      <c r="G48" s="8">
        <f t="shared" si="1"/>
        <v>42620.279537037037</v>
      </c>
    </row>
    <row r="49" spans="1:7" x14ac:dyDescent="0.25">
      <c r="A49" s="8">
        <v>42620.282812500001</v>
      </c>
      <c r="B49" s="22" t="s">
        <v>222</v>
      </c>
      <c r="C49" s="22" t="s">
        <v>378</v>
      </c>
      <c r="D49" s="22">
        <v>1110000</v>
      </c>
      <c r="E49" s="22" t="s">
        <v>241</v>
      </c>
      <c r="F49" s="22" t="str">
        <f t="shared" si="0"/>
        <v>rtdc.l.rtdc.4044:itc</v>
      </c>
      <c r="G49" s="8">
        <f t="shared" si="1"/>
        <v>42620.282812500001</v>
      </c>
    </row>
    <row r="50" spans="1:7" x14ac:dyDescent="0.25">
      <c r="A50" s="8">
        <v>42620.286493055559</v>
      </c>
      <c r="B50" s="22" t="s">
        <v>196</v>
      </c>
      <c r="C50" s="22" t="s">
        <v>379</v>
      </c>
      <c r="D50" s="22">
        <v>1760000</v>
      </c>
      <c r="E50" s="22" t="s">
        <v>368</v>
      </c>
      <c r="F50" s="22" t="str">
        <f t="shared" si="0"/>
        <v>rtdc.l.rtdc.4019:itc</v>
      </c>
      <c r="G50" s="8">
        <f t="shared" si="1"/>
        <v>42620.286493055559</v>
      </c>
    </row>
    <row r="51" spans="1:7" x14ac:dyDescent="0.25">
      <c r="A51" s="8">
        <v>42620.287303240744</v>
      </c>
      <c r="B51" s="22" t="s">
        <v>361</v>
      </c>
      <c r="C51" s="22" t="s">
        <v>380</v>
      </c>
      <c r="D51" s="22">
        <v>1360000</v>
      </c>
      <c r="E51" s="22" t="s">
        <v>284</v>
      </c>
      <c r="F51" s="22" t="str">
        <f t="shared" si="0"/>
        <v>rtdc.l.rtdc.4045:itc</v>
      </c>
      <c r="G51" s="8">
        <f t="shared" si="1"/>
        <v>42620.287303240744</v>
      </c>
    </row>
    <row r="52" spans="1:7" x14ac:dyDescent="0.25">
      <c r="A52" s="8">
        <v>42620.288414351853</v>
      </c>
      <c r="B52" s="22" t="s">
        <v>110</v>
      </c>
      <c r="C52" s="22" t="s">
        <v>381</v>
      </c>
      <c r="D52" s="22">
        <v>2010000</v>
      </c>
      <c r="E52" s="22" t="s">
        <v>347</v>
      </c>
      <c r="F52" s="22" t="str">
        <f t="shared" si="0"/>
        <v>rtdc.l.rtdc.4014:itc</v>
      </c>
      <c r="G52" s="8">
        <f t="shared" si="1"/>
        <v>42620.288414351853</v>
      </c>
    </row>
    <row r="53" spans="1:7" x14ac:dyDescent="0.25">
      <c r="A53" s="8">
        <v>42620.296712962961</v>
      </c>
      <c r="B53" s="22" t="s">
        <v>220</v>
      </c>
      <c r="C53" s="22" t="s">
        <v>382</v>
      </c>
      <c r="D53" s="22">
        <v>1110000</v>
      </c>
      <c r="E53" s="22" t="s">
        <v>241</v>
      </c>
      <c r="F53" s="22" t="str">
        <f t="shared" si="0"/>
        <v>rtdc.l.rtdc.4043:itc</v>
      </c>
      <c r="G53" s="8">
        <f t="shared" si="1"/>
        <v>42620.296712962961</v>
      </c>
    </row>
    <row r="54" spans="1:7" x14ac:dyDescent="0.25">
      <c r="A54" s="8">
        <v>42620.297951388886</v>
      </c>
      <c r="B54" s="22" t="s">
        <v>240</v>
      </c>
      <c r="C54" s="22" t="s">
        <v>383</v>
      </c>
      <c r="D54" s="22">
        <v>1190000</v>
      </c>
      <c r="E54" s="22" t="s">
        <v>270</v>
      </c>
      <c r="F54" s="22" t="str">
        <f t="shared" si="0"/>
        <v>rtdc.l.rtdc.4025:itc</v>
      </c>
      <c r="G54" s="8">
        <f t="shared" si="1"/>
        <v>42620.297951388886</v>
      </c>
    </row>
    <row r="55" spans="1:7" x14ac:dyDescent="0.25">
      <c r="A55" s="8">
        <v>42620.301990740743</v>
      </c>
      <c r="B55" s="22" t="s">
        <v>268</v>
      </c>
      <c r="C55" s="22" t="s">
        <v>384</v>
      </c>
      <c r="D55" s="22">
        <v>2030000</v>
      </c>
      <c r="E55" s="22" t="s">
        <v>234</v>
      </c>
      <c r="F55" s="22" t="str">
        <f t="shared" si="0"/>
        <v>rtdc.l.rtdc.4012:itc</v>
      </c>
      <c r="G55" s="8">
        <f t="shared" si="1"/>
        <v>42620.301990740743</v>
      </c>
    </row>
    <row r="56" spans="1:7" x14ac:dyDescent="0.25">
      <c r="A56" s="8">
        <v>42620.303101851852</v>
      </c>
      <c r="B56" s="22" t="s">
        <v>268</v>
      </c>
      <c r="C56" s="22" t="s">
        <v>384</v>
      </c>
      <c r="D56" s="22">
        <v>2030000</v>
      </c>
      <c r="E56" s="22" t="s">
        <v>234</v>
      </c>
      <c r="F56" s="22" t="str">
        <f t="shared" si="0"/>
        <v>rtdc.l.rtdc.4012:itc</v>
      </c>
      <c r="G56" s="8">
        <f t="shared" si="1"/>
        <v>42620.303101851852</v>
      </c>
    </row>
    <row r="57" spans="1:7" x14ac:dyDescent="0.25">
      <c r="A57" s="8">
        <v>42620.304398148146</v>
      </c>
      <c r="B57" s="22" t="s">
        <v>91</v>
      </c>
      <c r="C57" s="22" t="s">
        <v>385</v>
      </c>
      <c r="D57" s="22">
        <v>1100000</v>
      </c>
      <c r="E57" s="22" t="s">
        <v>281</v>
      </c>
      <c r="F57" s="22" t="str">
        <f t="shared" si="0"/>
        <v>rtdc.l.rtdc.4029:itc</v>
      </c>
      <c r="G57" s="8">
        <f t="shared" si="1"/>
        <v>42620.304398148146</v>
      </c>
    </row>
    <row r="58" spans="1:7" x14ac:dyDescent="0.25">
      <c r="A58" s="8">
        <v>42620.308483796296</v>
      </c>
      <c r="B58" s="22" t="s">
        <v>112</v>
      </c>
      <c r="C58" s="22" t="s">
        <v>386</v>
      </c>
      <c r="D58" s="22">
        <v>2220000</v>
      </c>
      <c r="E58" s="22" t="s">
        <v>213</v>
      </c>
      <c r="F58" s="22" t="str">
        <f t="shared" si="0"/>
        <v>rtdc.l.rtdc.4031:itc</v>
      </c>
      <c r="G58" s="8">
        <f t="shared" si="1"/>
        <v>42620.308483796296</v>
      </c>
    </row>
    <row r="59" spans="1:7" x14ac:dyDescent="0.25">
      <c r="A59" s="8">
        <v>42620.312303240738</v>
      </c>
      <c r="B59" s="22" t="s">
        <v>222</v>
      </c>
      <c r="C59" s="22" t="s">
        <v>387</v>
      </c>
      <c r="D59" s="22">
        <v>1110000</v>
      </c>
      <c r="E59" s="22" t="s">
        <v>241</v>
      </c>
      <c r="F59" s="22" t="str">
        <f t="shared" si="0"/>
        <v>rtdc.l.rtdc.4044:itc</v>
      </c>
      <c r="G59" s="8">
        <f t="shared" si="1"/>
        <v>42620.312303240738</v>
      </c>
    </row>
    <row r="60" spans="1:7" x14ac:dyDescent="0.25">
      <c r="A60" s="8">
        <v>42620.31726851852</v>
      </c>
      <c r="B60" s="22" t="s">
        <v>92</v>
      </c>
      <c r="C60" s="22" t="s">
        <v>388</v>
      </c>
      <c r="D60" s="22">
        <v>1100000</v>
      </c>
      <c r="E60" s="22" t="s">
        <v>281</v>
      </c>
      <c r="F60" s="22" t="str">
        <f t="shared" si="0"/>
        <v>rtdc.l.rtdc.4030:itc</v>
      </c>
      <c r="G60" s="8">
        <f t="shared" si="1"/>
        <v>42620.31726851852</v>
      </c>
    </row>
    <row r="61" spans="1:7" x14ac:dyDescent="0.25">
      <c r="A61" s="8">
        <v>42620.319247685184</v>
      </c>
      <c r="B61" s="22" t="s">
        <v>197</v>
      </c>
      <c r="C61" s="22" t="s">
        <v>389</v>
      </c>
      <c r="D61" s="22">
        <v>1760000</v>
      </c>
      <c r="E61" s="22" t="s">
        <v>368</v>
      </c>
      <c r="F61" s="22" t="str">
        <f t="shared" si="0"/>
        <v>rtdc.l.rtdc.4020:itc</v>
      </c>
      <c r="G61" s="8">
        <f t="shared" si="1"/>
        <v>42620.319247685184</v>
      </c>
    </row>
    <row r="62" spans="1:7" x14ac:dyDescent="0.25">
      <c r="A62" s="8">
        <v>42620.319768518515</v>
      </c>
      <c r="B62" s="22" t="s">
        <v>283</v>
      </c>
      <c r="C62" s="22" t="s">
        <v>390</v>
      </c>
      <c r="D62" s="22">
        <v>900000</v>
      </c>
      <c r="E62" s="22" t="s">
        <v>271</v>
      </c>
      <c r="F62" s="22" t="str">
        <f t="shared" si="0"/>
        <v>rtdc.l.rtdc.4010:itc</v>
      </c>
      <c r="G62" s="8">
        <f t="shared" si="1"/>
        <v>42620.319768518515</v>
      </c>
    </row>
    <row r="63" spans="1:7" x14ac:dyDescent="0.25">
      <c r="A63" s="8">
        <v>42620.323425925926</v>
      </c>
      <c r="B63" s="22" t="s">
        <v>90</v>
      </c>
      <c r="C63" s="22" t="s">
        <v>391</v>
      </c>
      <c r="D63" s="22">
        <v>2010000</v>
      </c>
      <c r="E63" s="22" t="s">
        <v>347</v>
      </c>
      <c r="F63" s="22" t="str">
        <f t="shared" si="0"/>
        <v>rtdc.l.rtdc.4013:itc</v>
      </c>
      <c r="G63" s="8">
        <f t="shared" si="1"/>
        <v>42620.323425925926</v>
      </c>
    </row>
    <row r="64" spans="1:7" x14ac:dyDescent="0.25">
      <c r="A64" s="28">
        <v>42620.327303240738</v>
      </c>
      <c r="B64" s="22" t="s">
        <v>352</v>
      </c>
      <c r="C64" s="22" t="s">
        <v>392</v>
      </c>
      <c r="D64" s="22">
        <v>1360000</v>
      </c>
      <c r="E64" s="22" t="s">
        <v>284</v>
      </c>
      <c r="F64" s="22" t="str">
        <f t="shared" si="0"/>
        <v>rtdc.l.rtdc.4046:itc</v>
      </c>
      <c r="G64" s="8">
        <f t="shared" si="1"/>
        <v>42620.327303240738</v>
      </c>
    </row>
    <row r="65" spans="1:7" x14ac:dyDescent="0.25">
      <c r="A65" s="8">
        <v>42620.337627314817</v>
      </c>
      <c r="B65" s="22" t="s">
        <v>242</v>
      </c>
      <c r="C65" s="22" t="s">
        <v>393</v>
      </c>
      <c r="D65" s="22">
        <v>1190000</v>
      </c>
      <c r="E65" s="22" t="s">
        <v>270</v>
      </c>
      <c r="F65" s="22" t="str">
        <f t="shared" si="0"/>
        <v>rtdc.l.rtdc.4026:itc</v>
      </c>
      <c r="G65" s="8">
        <f t="shared" si="1"/>
        <v>42620.337627314817</v>
      </c>
    </row>
    <row r="66" spans="1:7" x14ac:dyDescent="0.25">
      <c r="A66" s="8">
        <v>42620.337824074071</v>
      </c>
      <c r="B66" s="22" t="s">
        <v>220</v>
      </c>
      <c r="C66" s="22" t="s">
        <v>394</v>
      </c>
      <c r="D66" s="22">
        <v>1110000</v>
      </c>
      <c r="E66" s="22" t="s">
        <v>241</v>
      </c>
      <c r="F66" s="22" t="str">
        <f t="shared" ref="F66:F129" si="2">B66</f>
        <v>rtdc.l.rtdc.4043:itc</v>
      </c>
      <c r="G66" s="8">
        <f t="shared" ref="G66:G129" si="3">A66</f>
        <v>42620.337824074071</v>
      </c>
    </row>
    <row r="67" spans="1:7" x14ac:dyDescent="0.25">
      <c r="A67" s="8">
        <v>42620.340624999997</v>
      </c>
      <c r="B67" s="22" t="s">
        <v>208</v>
      </c>
      <c r="C67" s="22" t="s">
        <v>395</v>
      </c>
      <c r="D67" s="22">
        <v>2030000</v>
      </c>
      <c r="E67" s="22" t="s">
        <v>234</v>
      </c>
      <c r="F67" s="22" t="str">
        <f t="shared" si="2"/>
        <v>rtdc.l.rtdc.4011:itc</v>
      </c>
      <c r="G67" s="8">
        <f t="shared" si="3"/>
        <v>42620.340624999997</v>
      </c>
    </row>
    <row r="68" spans="1:7" x14ac:dyDescent="0.25">
      <c r="A68" s="8">
        <v>42620.345370370371</v>
      </c>
      <c r="B68" s="22" t="s">
        <v>91</v>
      </c>
      <c r="C68" s="22" t="s">
        <v>396</v>
      </c>
      <c r="D68" s="22">
        <v>1100000</v>
      </c>
      <c r="E68" s="22" t="s">
        <v>281</v>
      </c>
      <c r="F68" s="22" t="str">
        <f t="shared" si="2"/>
        <v>rtdc.l.rtdc.4029:itc</v>
      </c>
      <c r="G68" s="8">
        <f t="shared" si="3"/>
        <v>42620.345370370371</v>
      </c>
    </row>
    <row r="69" spans="1:7" x14ac:dyDescent="0.25">
      <c r="A69" s="8">
        <v>42620.345578703702</v>
      </c>
      <c r="B69" s="22" t="s">
        <v>113</v>
      </c>
      <c r="C69" s="22" t="s">
        <v>397</v>
      </c>
      <c r="D69" s="22">
        <v>2220000</v>
      </c>
      <c r="E69" s="22" t="s">
        <v>213</v>
      </c>
      <c r="F69" s="22" t="str">
        <f t="shared" si="2"/>
        <v>rtdc.l.rtdc.4032:itc</v>
      </c>
      <c r="G69" s="8">
        <f t="shared" si="3"/>
        <v>42620.345578703702</v>
      </c>
    </row>
    <row r="70" spans="1:7" x14ac:dyDescent="0.25">
      <c r="A70" s="8">
        <v>42620.353125000001</v>
      </c>
      <c r="B70" s="22" t="s">
        <v>147</v>
      </c>
      <c r="C70" s="22" t="s">
        <v>398</v>
      </c>
      <c r="D70" s="22">
        <v>900000</v>
      </c>
      <c r="E70" s="22" t="s">
        <v>271</v>
      </c>
      <c r="F70" s="22" t="str">
        <f t="shared" si="2"/>
        <v>rtdc.l.rtdc.4009:itc</v>
      </c>
      <c r="G70" s="8">
        <f t="shared" si="3"/>
        <v>42620.353125000001</v>
      </c>
    </row>
    <row r="71" spans="1:7" x14ac:dyDescent="0.25">
      <c r="A71" s="8">
        <v>42620.356574074074</v>
      </c>
      <c r="B71" s="22" t="s">
        <v>222</v>
      </c>
      <c r="C71" s="22" t="s">
        <v>399</v>
      </c>
      <c r="D71" s="22">
        <v>1110000</v>
      </c>
      <c r="E71" s="22" t="s">
        <v>241</v>
      </c>
      <c r="F71" s="22" t="str">
        <f t="shared" si="2"/>
        <v>rtdc.l.rtdc.4044:itc</v>
      </c>
      <c r="G71" s="8">
        <f t="shared" si="3"/>
        <v>42620.356574074074</v>
      </c>
    </row>
    <row r="72" spans="1:7" x14ac:dyDescent="0.25">
      <c r="A72" s="8">
        <v>42620.357997685183</v>
      </c>
      <c r="B72" s="22" t="s">
        <v>91</v>
      </c>
      <c r="C72" s="22" t="s">
        <v>396</v>
      </c>
      <c r="D72" s="22">
        <v>1100000</v>
      </c>
      <c r="E72" s="22" t="s">
        <v>281</v>
      </c>
      <c r="F72" s="22" t="str">
        <f t="shared" si="2"/>
        <v>rtdc.l.rtdc.4029:itc</v>
      </c>
      <c r="G72" s="8">
        <f t="shared" si="3"/>
        <v>42620.357997685183</v>
      </c>
    </row>
    <row r="73" spans="1:7" x14ac:dyDescent="0.25">
      <c r="A73" s="8">
        <v>42620.358425925922</v>
      </c>
      <c r="B73" s="22" t="s">
        <v>196</v>
      </c>
      <c r="C73" s="22" t="s">
        <v>400</v>
      </c>
      <c r="D73" s="22">
        <v>1760000</v>
      </c>
      <c r="E73" s="22" t="s">
        <v>368</v>
      </c>
      <c r="F73" s="22" t="str">
        <f t="shared" si="2"/>
        <v>rtdc.l.rtdc.4019:itc</v>
      </c>
      <c r="G73" s="8">
        <f t="shared" si="3"/>
        <v>42620.358425925922</v>
      </c>
    </row>
    <row r="74" spans="1:7" x14ac:dyDescent="0.25">
      <c r="A74" s="8">
        <v>42620.359988425924</v>
      </c>
      <c r="B74" s="22" t="s">
        <v>361</v>
      </c>
      <c r="C74" s="22" t="s">
        <v>401</v>
      </c>
      <c r="D74" s="22">
        <v>1360000</v>
      </c>
      <c r="E74" s="22" t="s">
        <v>284</v>
      </c>
      <c r="F74" s="22" t="str">
        <f t="shared" si="2"/>
        <v>rtdc.l.rtdc.4045:itc</v>
      </c>
      <c r="G74" s="8">
        <f t="shared" si="3"/>
        <v>42620.359988425924</v>
      </c>
    </row>
    <row r="75" spans="1:7" x14ac:dyDescent="0.25">
      <c r="A75" s="8">
        <v>42620.360555555555</v>
      </c>
      <c r="B75" s="22" t="s">
        <v>110</v>
      </c>
      <c r="C75" s="22" t="s">
        <v>402</v>
      </c>
      <c r="D75" s="22">
        <v>2010000</v>
      </c>
      <c r="E75" s="22" t="s">
        <v>347</v>
      </c>
      <c r="F75" s="22" t="str">
        <f t="shared" si="2"/>
        <v>rtdc.l.rtdc.4014:itc</v>
      </c>
      <c r="G75" s="8">
        <f t="shared" si="3"/>
        <v>42620.360555555555</v>
      </c>
    </row>
    <row r="76" spans="1:7" x14ac:dyDescent="0.25">
      <c r="A76" s="8">
        <v>42620.367210648146</v>
      </c>
      <c r="B76" s="22" t="s">
        <v>92</v>
      </c>
      <c r="C76" s="22" t="s">
        <v>403</v>
      </c>
      <c r="D76" s="22">
        <v>1100000</v>
      </c>
      <c r="E76" s="22" t="s">
        <v>281</v>
      </c>
      <c r="F76" s="22" t="str">
        <f t="shared" si="2"/>
        <v>rtdc.l.rtdc.4030:itc</v>
      </c>
      <c r="G76" s="8">
        <f t="shared" si="3"/>
        <v>42620.367210648146</v>
      </c>
    </row>
    <row r="77" spans="1:7" x14ac:dyDescent="0.25">
      <c r="A77" s="8">
        <v>42620.372418981482</v>
      </c>
      <c r="B77" s="22" t="s">
        <v>240</v>
      </c>
      <c r="C77" s="22" t="s">
        <v>404</v>
      </c>
      <c r="D77" s="22">
        <v>1190000</v>
      </c>
      <c r="E77" s="22" t="s">
        <v>270</v>
      </c>
      <c r="F77" s="22" t="str">
        <f t="shared" si="2"/>
        <v>rtdc.l.rtdc.4025:itc</v>
      </c>
      <c r="G77" s="8">
        <f t="shared" si="3"/>
        <v>42620.372418981482</v>
      </c>
    </row>
    <row r="78" spans="1:7" x14ac:dyDescent="0.25">
      <c r="A78" s="8">
        <v>42620.375775462962</v>
      </c>
      <c r="B78" s="22" t="s">
        <v>268</v>
      </c>
      <c r="C78" s="22" t="s">
        <v>405</v>
      </c>
      <c r="D78" s="22">
        <v>2030000</v>
      </c>
      <c r="E78" s="22" t="s">
        <v>234</v>
      </c>
      <c r="F78" s="22" t="str">
        <f t="shared" si="2"/>
        <v>rtdc.l.rtdc.4012:itc</v>
      </c>
      <c r="G78" s="8">
        <f t="shared" si="3"/>
        <v>42620.375775462962</v>
      </c>
    </row>
    <row r="79" spans="1:7" x14ac:dyDescent="0.25">
      <c r="A79" s="8">
        <v>42620.376435185186</v>
      </c>
      <c r="B79" s="22" t="s">
        <v>282</v>
      </c>
      <c r="C79" s="22" t="s">
        <v>406</v>
      </c>
      <c r="D79" s="22">
        <v>860000</v>
      </c>
      <c r="E79" s="22" t="s">
        <v>407</v>
      </c>
      <c r="F79" s="22" t="str">
        <f t="shared" si="2"/>
        <v>rtdc.l.rtdc.4041:itc</v>
      </c>
      <c r="G79" s="8">
        <f t="shared" si="3"/>
        <v>42620.376435185186</v>
      </c>
    </row>
    <row r="80" spans="1:7" x14ac:dyDescent="0.25">
      <c r="A80" s="8">
        <v>42620.382581018515</v>
      </c>
      <c r="B80" s="22" t="s">
        <v>112</v>
      </c>
      <c r="C80" s="22" t="s">
        <v>408</v>
      </c>
      <c r="D80" s="22">
        <v>2220000</v>
      </c>
      <c r="E80" s="22" t="s">
        <v>213</v>
      </c>
      <c r="F80" s="22" t="str">
        <f t="shared" si="2"/>
        <v>rtdc.l.rtdc.4031:itc</v>
      </c>
      <c r="G80" s="8">
        <f t="shared" si="3"/>
        <v>42620.382581018515</v>
      </c>
    </row>
    <row r="81" spans="1:7" x14ac:dyDescent="0.25">
      <c r="A81" s="8">
        <v>42620.38453703704</v>
      </c>
      <c r="B81" s="22" t="s">
        <v>283</v>
      </c>
      <c r="C81" s="22" t="s">
        <v>409</v>
      </c>
      <c r="D81" s="22">
        <v>900000</v>
      </c>
      <c r="E81" s="22" t="s">
        <v>271</v>
      </c>
      <c r="F81" s="22" t="str">
        <f t="shared" si="2"/>
        <v>rtdc.l.rtdc.4010:itc</v>
      </c>
      <c r="G81" s="8">
        <f t="shared" si="3"/>
        <v>42620.38453703704</v>
      </c>
    </row>
    <row r="82" spans="1:7" x14ac:dyDescent="0.25">
      <c r="A82" s="8">
        <v>42620.388275462959</v>
      </c>
      <c r="B82" s="22" t="s">
        <v>91</v>
      </c>
      <c r="C82" s="22" t="s">
        <v>410</v>
      </c>
      <c r="D82" s="22">
        <v>1100000</v>
      </c>
      <c r="E82" s="22" t="s">
        <v>281</v>
      </c>
      <c r="F82" s="22" t="str">
        <f t="shared" si="2"/>
        <v>rtdc.l.rtdc.4029:itc</v>
      </c>
      <c r="G82" s="8">
        <f t="shared" si="3"/>
        <v>42620.388275462959</v>
      </c>
    </row>
    <row r="83" spans="1:7" x14ac:dyDescent="0.25">
      <c r="A83" s="8">
        <v>42620.394062500003</v>
      </c>
      <c r="B83" s="22" t="s">
        <v>197</v>
      </c>
      <c r="C83" s="22" t="s">
        <v>411</v>
      </c>
      <c r="D83" s="22">
        <v>1760000</v>
      </c>
      <c r="E83" s="22" t="s">
        <v>368</v>
      </c>
      <c r="F83" s="22" t="str">
        <f t="shared" si="2"/>
        <v>rtdc.l.rtdc.4020:itc</v>
      </c>
      <c r="G83" s="8">
        <f t="shared" si="3"/>
        <v>42620.394062500003</v>
      </c>
    </row>
    <row r="84" spans="1:7" x14ac:dyDescent="0.25">
      <c r="A84" s="8">
        <v>42620.395613425928</v>
      </c>
      <c r="B84" s="22" t="s">
        <v>90</v>
      </c>
      <c r="C84" s="22" t="s">
        <v>412</v>
      </c>
      <c r="D84" s="22">
        <v>2010000</v>
      </c>
      <c r="E84" s="22" t="s">
        <v>347</v>
      </c>
      <c r="F84" s="22" t="str">
        <f t="shared" si="2"/>
        <v>rtdc.l.rtdc.4013:itc</v>
      </c>
      <c r="G84" s="8">
        <f t="shared" si="3"/>
        <v>42620.395613425928</v>
      </c>
    </row>
    <row r="85" spans="1:7" x14ac:dyDescent="0.25">
      <c r="A85" s="8">
        <v>42620.399733796294</v>
      </c>
      <c r="B85" s="22" t="s">
        <v>285</v>
      </c>
      <c r="C85" s="22" t="s">
        <v>406</v>
      </c>
      <c r="D85" s="22">
        <v>860000</v>
      </c>
      <c r="E85" s="22" t="s">
        <v>407</v>
      </c>
      <c r="F85" s="22" t="str">
        <f t="shared" si="2"/>
        <v>rtdc.l.rtdc.4042:itc</v>
      </c>
      <c r="G85" s="8">
        <f t="shared" si="3"/>
        <v>42620.399733796294</v>
      </c>
    </row>
    <row r="86" spans="1:7" x14ac:dyDescent="0.25">
      <c r="A86" s="8">
        <v>42620.400393518517</v>
      </c>
      <c r="B86" s="22" t="s">
        <v>285</v>
      </c>
      <c r="C86" s="22" t="s">
        <v>413</v>
      </c>
      <c r="D86" s="22">
        <v>860000</v>
      </c>
      <c r="E86" s="22" t="s">
        <v>407</v>
      </c>
      <c r="F86" s="22" t="str">
        <f t="shared" si="2"/>
        <v>rtdc.l.rtdc.4042:itc</v>
      </c>
      <c r="G86" s="8">
        <f t="shared" si="3"/>
        <v>42620.400393518517</v>
      </c>
    </row>
    <row r="87" spans="1:7" x14ac:dyDescent="0.25">
      <c r="A87" s="8">
        <v>42620.40047453704</v>
      </c>
      <c r="B87" s="22" t="s">
        <v>92</v>
      </c>
      <c r="C87" s="22" t="s">
        <v>414</v>
      </c>
      <c r="D87" s="22">
        <v>1100000</v>
      </c>
      <c r="E87" s="22" t="s">
        <v>281</v>
      </c>
      <c r="F87" s="22" t="str">
        <f t="shared" si="2"/>
        <v>rtdc.l.rtdc.4030:itc</v>
      </c>
      <c r="G87" s="8">
        <f t="shared" si="3"/>
        <v>42620.40047453704</v>
      </c>
    </row>
    <row r="88" spans="1:7" x14ac:dyDescent="0.25">
      <c r="A88" s="8">
        <v>42620.404282407406</v>
      </c>
      <c r="B88" s="22" t="s">
        <v>352</v>
      </c>
      <c r="C88" s="22" t="s">
        <v>415</v>
      </c>
      <c r="D88" s="22">
        <v>1360000</v>
      </c>
      <c r="E88" s="22" t="s">
        <v>284</v>
      </c>
      <c r="F88" s="22" t="str">
        <f t="shared" si="2"/>
        <v>rtdc.l.rtdc.4046:itc</v>
      </c>
      <c r="G88" s="8">
        <f t="shared" si="3"/>
        <v>42620.404282407406</v>
      </c>
    </row>
    <row r="89" spans="1:7" x14ac:dyDescent="0.25">
      <c r="A89" s="8">
        <v>42620.406678240739</v>
      </c>
      <c r="B89" s="22" t="s">
        <v>242</v>
      </c>
      <c r="C89" s="22" t="s">
        <v>416</v>
      </c>
      <c r="D89" s="22">
        <v>1190000</v>
      </c>
      <c r="E89" s="22" t="s">
        <v>270</v>
      </c>
      <c r="F89" s="22" t="str">
        <f t="shared" si="2"/>
        <v>rtdc.l.rtdc.4026:itc</v>
      </c>
      <c r="G89" s="8">
        <f t="shared" si="3"/>
        <v>42620.406678240739</v>
      </c>
    </row>
    <row r="90" spans="1:7" x14ac:dyDescent="0.25">
      <c r="A90" s="8">
        <v>42620.412418981483</v>
      </c>
      <c r="B90" s="22" t="s">
        <v>208</v>
      </c>
      <c r="C90" s="22" t="s">
        <v>417</v>
      </c>
      <c r="D90" s="22">
        <v>2030000</v>
      </c>
      <c r="E90" s="22" t="s">
        <v>234</v>
      </c>
      <c r="F90" s="22" t="str">
        <f t="shared" si="2"/>
        <v>rtdc.l.rtdc.4011:itc</v>
      </c>
      <c r="G90" s="8">
        <f t="shared" si="3"/>
        <v>42620.412418981483</v>
      </c>
    </row>
    <row r="91" spans="1:7" x14ac:dyDescent="0.25">
      <c r="A91" s="8">
        <v>42620.416446759256</v>
      </c>
      <c r="B91" s="22" t="s">
        <v>113</v>
      </c>
      <c r="C91" s="22" t="s">
        <v>418</v>
      </c>
      <c r="D91" s="22">
        <v>2220000</v>
      </c>
      <c r="E91" s="22" t="s">
        <v>213</v>
      </c>
      <c r="F91" s="22" t="str">
        <f t="shared" si="2"/>
        <v>rtdc.l.rtdc.4032:itc</v>
      </c>
      <c r="G91" s="8">
        <f t="shared" si="3"/>
        <v>42620.416446759256</v>
      </c>
    </row>
    <row r="92" spans="1:7" x14ac:dyDescent="0.25">
      <c r="A92" s="8">
        <v>42620.426018518519</v>
      </c>
      <c r="B92" s="22" t="s">
        <v>147</v>
      </c>
      <c r="C92" s="22" t="s">
        <v>419</v>
      </c>
      <c r="D92" s="22">
        <v>900000</v>
      </c>
      <c r="E92" s="22" t="s">
        <v>271</v>
      </c>
      <c r="F92" s="22" t="str">
        <f t="shared" si="2"/>
        <v>rtdc.l.rtdc.4009:itc</v>
      </c>
      <c r="G92" s="8">
        <f t="shared" si="3"/>
        <v>42620.426018518519</v>
      </c>
    </row>
    <row r="93" spans="1:7" x14ac:dyDescent="0.25">
      <c r="A93" s="8">
        <v>42620.42690972222</v>
      </c>
      <c r="B93" s="22" t="s">
        <v>91</v>
      </c>
      <c r="C93" s="22" t="s">
        <v>420</v>
      </c>
      <c r="D93" s="22">
        <v>1100000</v>
      </c>
      <c r="E93" s="22" t="s">
        <v>281</v>
      </c>
      <c r="F93" s="22" t="str">
        <f t="shared" si="2"/>
        <v>rtdc.l.rtdc.4029:itc</v>
      </c>
      <c r="G93" s="8">
        <f t="shared" si="3"/>
        <v>42620.42690972222</v>
      </c>
    </row>
    <row r="94" spans="1:7" x14ac:dyDescent="0.25">
      <c r="A94" s="8">
        <v>42620.43136574074</v>
      </c>
      <c r="B94" s="22" t="s">
        <v>196</v>
      </c>
      <c r="C94" s="22" t="s">
        <v>421</v>
      </c>
      <c r="D94" s="22">
        <v>1760000</v>
      </c>
      <c r="E94" s="22" t="s">
        <v>368</v>
      </c>
      <c r="F94" s="22" t="str">
        <f t="shared" si="2"/>
        <v>rtdc.l.rtdc.4019:itc</v>
      </c>
      <c r="G94" s="8">
        <f t="shared" si="3"/>
        <v>42620.43136574074</v>
      </c>
    </row>
    <row r="95" spans="1:7" x14ac:dyDescent="0.25">
      <c r="A95" s="8">
        <v>42620.432650462964</v>
      </c>
      <c r="B95" s="22" t="s">
        <v>285</v>
      </c>
      <c r="C95" s="22" t="s">
        <v>422</v>
      </c>
      <c r="D95" s="22">
        <v>860000</v>
      </c>
      <c r="E95" s="22" t="s">
        <v>407</v>
      </c>
      <c r="F95" s="22" t="str">
        <f t="shared" si="2"/>
        <v>rtdc.l.rtdc.4042:itc</v>
      </c>
      <c r="G95" s="8">
        <f t="shared" si="3"/>
        <v>42620.432650462964</v>
      </c>
    </row>
    <row r="96" spans="1:7" x14ac:dyDescent="0.25">
      <c r="A96" s="8">
        <v>42620.432696759257</v>
      </c>
      <c r="B96" s="22" t="s">
        <v>110</v>
      </c>
      <c r="C96" s="22" t="s">
        <v>423</v>
      </c>
      <c r="D96" s="22">
        <v>1110000</v>
      </c>
      <c r="E96" s="22" t="s">
        <v>241</v>
      </c>
      <c r="F96" s="22" t="str">
        <f t="shared" si="2"/>
        <v>rtdc.l.rtdc.4014:itc</v>
      </c>
      <c r="G96" s="8">
        <f t="shared" si="3"/>
        <v>42620.432696759257</v>
      </c>
    </row>
    <row r="97" spans="1:7" x14ac:dyDescent="0.25">
      <c r="A97" s="8">
        <v>42620.433761574073</v>
      </c>
      <c r="B97" s="22" t="s">
        <v>361</v>
      </c>
      <c r="C97" s="22" t="s">
        <v>424</v>
      </c>
      <c r="D97" s="22">
        <v>1360000</v>
      </c>
      <c r="E97" s="22" t="s">
        <v>284</v>
      </c>
      <c r="F97" s="22" t="str">
        <f t="shared" si="2"/>
        <v>rtdc.l.rtdc.4045:itc</v>
      </c>
      <c r="G97" s="8">
        <f t="shared" si="3"/>
        <v>42620.433761574073</v>
      </c>
    </row>
    <row r="98" spans="1:7" x14ac:dyDescent="0.25">
      <c r="A98" s="8">
        <v>42620.435046296298</v>
      </c>
      <c r="B98" s="22" t="s">
        <v>285</v>
      </c>
      <c r="C98" s="22" t="s">
        <v>422</v>
      </c>
      <c r="D98" s="22">
        <v>860000</v>
      </c>
      <c r="E98" s="22" t="s">
        <v>407</v>
      </c>
      <c r="F98" s="22" t="str">
        <f t="shared" si="2"/>
        <v>rtdc.l.rtdc.4042:itc</v>
      </c>
      <c r="G98" s="8">
        <f t="shared" si="3"/>
        <v>42620.435046296298</v>
      </c>
    </row>
    <row r="99" spans="1:7" x14ac:dyDescent="0.25">
      <c r="A99" s="8">
        <v>42620.442858796298</v>
      </c>
      <c r="B99" s="22" t="s">
        <v>92</v>
      </c>
      <c r="C99" s="22" t="s">
        <v>425</v>
      </c>
      <c r="D99" s="22">
        <v>1100000</v>
      </c>
      <c r="E99" s="22" t="s">
        <v>281</v>
      </c>
      <c r="F99" s="22" t="str">
        <f t="shared" si="2"/>
        <v>rtdc.l.rtdc.4030:itc</v>
      </c>
      <c r="G99" s="8">
        <f t="shared" si="3"/>
        <v>42620.442858796298</v>
      </c>
    </row>
    <row r="100" spans="1:7" x14ac:dyDescent="0.25">
      <c r="A100" s="8">
        <v>42620.444733796299</v>
      </c>
      <c r="B100" s="22" t="s">
        <v>240</v>
      </c>
      <c r="C100" s="22" t="s">
        <v>426</v>
      </c>
      <c r="D100" s="22">
        <v>1190000</v>
      </c>
      <c r="E100" s="22" t="s">
        <v>270</v>
      </c>
      <c r="F100" s="22" t="str">
        <f t="shared" si="2"/>
        <v>rtdc.l.rtdc.4025:itc</v>
      </c>
      <c r="G100" s="8">
        <f t="shared" si="3"/>
        <v>42620.444733796299</v>
      </c>
    </row>
    <row r="101" spans="1:7" x14ac:dyDescent="0.25">
      <c r="A101" s="8">
        <v>42620.448321759257</v>
      </c>
      <c r="B101" s="22" t="s">
        <v>268</v>
      </c>
      <c r="C101" s="22" t="s">
        <v>427</v>
      </c>
      <c r="D101" s="22">
        <v>2030000</v>
      </c>
      <c r="E101" s="22" t="s">
        <v>234</v>
      </c>
      <c r="F101" s="22" t="str">
        <f t="shared" si="2"/>
        <v>rtdc.l.rtdc.4012:itc</v>
      </c>
      <c r="G101" s="8">
        <f t="shared" si="3"/>
        <v>42620.448321759257</v>
      </c>
    </row>
    <row r="102" spans="1:7" x14ac:dyDescent="0.25">
      <c r="A102" s="8">
        <v>42620.453796296293</v>
      </c>
      <c r="B102" s="22" t="s">
        <v>282</v>
      </c>
      <c r="C102" s="22" t="s">
        <v>428</v>
      </c>
      <c r="D102" s="22">
        <v>860000</v>
      </c>
      <c r="E102" s="22" t="s">
        <v>407</v>
      </c>
      <c r="F102" s="22" t="str">
        <f t="shared" si="2"/>
        <v>rtdc.l.rtdc.4041:itc</v>
      </c>
      <c r="G102" s="8">
        <f t="shared" si="3"/>
        <v>42620.453796296293</v>
      </c>
    </row>
    <row r="103" spans="1:7" x14ac:dyDescent="0.25">
      <c r="A103" s="8">
        <v>42620.454456018517</v>
      </c>
      <c r="B103" s="22" t="s">
        <v>112</v>
      </c>
      <c r="C103" s="22" t="s">
        <v>429</v>
      </c>
      <c r="D103" s="22">
        <v>2250000</v>
      </c>
      <c r="E103" s="22" t="s">
        <v>286</v>
      </c>
      <c r="F103" s="22" t="str">
        <f t="shared" si="2"/>
        <v>rtdc.l.rtdc.4031:itc</v>
      </c>
      <c r="G103" s="8">
        <f t="shared" si="3"/>
        <v>42620.454456018517</v>
      </c>
    </row>
    <row r="104" spans="1:7" x14ac:dyDescent="0.25">
      <c r="A104" s="8">
        <v>42620.465624999997</v>
      </c>
      <c r="B104" s="22" t="s">
        <v>197</v>
      </c>
      <c r="C104" s="22" t="s">
        <v>430</v>
      </c>
      <c r="D104" s="22">
        <v>1280000</v>
      </c>
      <c r="E104" s="22" t="s">
        <v>243</v>
      </c>
      <c r="F104" s="22" t="str">
        <f t="shared" si="2"/>
        <v>rtdc.l.rtdc.4020:itc</v>
      </c>
      <c r="G104" s="8">
        <f t="shared" si="3"/>
        <v>42620.465624999997</v>
      </c>
    </row>
    <row r="105" spans="1:7" x14ac:dyDescent="0.25">
      <c r="A105" s="8">
        <v>42620.465671296297</v>
      </c>
      <c r="B105" s="22" t="s">
        <v>283</v>
      </c>
      <c r="C105" s="22" t="s">
        <v>431</v>
      </c>
      <c r="D105" s="22">
        <v>900000</v>
      </c>
      <c r="E105" s="22" t="s">
        <v>271</v>
      </c>
      <c r="F105" s="22" t="str">
        <f t="shared" si="2"/>
        <v>rtdc.l.rtdc.4010:itc</v>
      </c>
      <c r="G105" s="8">
        <f t="shared" si="3"/>
        <v>42620.465671296297</v>
      </c>
    </row>
    <row r="106" spans="1:7" x14ac:dyDescent="0.25">
      <c r="A106" s="8">
        <v>42620.471238425926</v>
      </c>
      <c r="B106" s="22" t="s">
        <v>91</v>
      </c>
      <c r="C106" s="22" t="s">
        <v>432</v>
      </c>
      <c r="D106" s="22">
        <v>1100000</v>
      </c>
      <c r="E106" s="22" t="s">
        <v>281</v>
      </c>
      <c r="F106" s="22" t="str">
        <f t="shared" si="2"/>
        <v>rtdc.l.rtdc.4029:itc</v>
      </c>
      <c r="G106" s="8">
        <f t="shared" si="3"/>
        <v>42620.471238425926</v>
      </c>
    </row>
    <row r="107" spans="1:7" x14ac:dyDescent="0.25">
      <c r="A107" s="8">
        <v>42620.472962962966</v>
      </c>
      <c r="B107" s="22" t="s">
        <v>90</v>
      </c>
      <c r="C107" s="22" t="s">
        <v>433</v>
      </c>
      <c r="D107" s="22">
        <v>1110000</v>
      </c>
      <c r="E107" s="22" t="s">
        <v>241</v>
      </c>
      <c r="F107" s="22" t="str">
        <f t="shared" si="2"/>
        <v>rtdc.l.rtdc.4013:itc</v>
      </c>
      <c r="G107" s="8">
        <f t="shared" si="3"/>
        <v>42620.472962962966</v>
      </c>
    </row>
    <row r="108" spans="1:7" x14ac:dyDescent="0.25">
      <c r="A108" s="8">
        <v>42620.474606481483</v>
      </c>
      <c r="B108" s="22" t="s">
        <v>352</v>
      </c>
      <c r="C108" s="22" t="s">
        <v>434</v>
      </c>
      <c r="D108" s="22">
        <v>1540000</v>
      </c>
      <c r="E108" s="22" t="s">
        <v>277</v>
      </c>
      <c r="F108" s="22" t="str">
        <f t="shared" si="2"/>
        <v>rtdc.l.rtdc.4046:itc</v>
      </c>
      <c r="G108" s="8">
        <f t="shared" si="3"/>
        <v>42620.474606481483</v>
      </c>
    </row>
    <row r="109" spans="1:7" x14ac:dyDescent="0.25">
      <c r="A109" s="8">
        <v>42620.479756944442</v>
      </c>
      <c r="B109" s="22" t="s">
        <v>242</v>
      </c>
      <c r="C109" s="22" t="s">
        <v>435</v>
      </c>
      <c r="D109" s="22">
        <v>1190000</v>
      </c>
      <c r="E109" s="22" t="s">
        <v>270</v>
      </c>
      <c r="F109" s="22" t="str">
        <f t="shared" si="2"/>
        <v>rtdc.l.rtdc.4026:itc</v>
      </c>
      <c r="G109" s="8">
        <f t="shared" si="3"/>
        <v>42620.479756944442</v>
      </c>
    </row>
    <row r="110" spans="1:7" x14ac:dyDescent="0.25">
      <c r="A110" s="8">
        <v>42620.48542824074</v>
      </c>
      <c r="B110" s="22" t="s">
        <v>92</v>
      </c>
      <c r="C110" s="22" t="s">
        <v>436</v>
      </c>
      <c r="D110" s="22">
        <v>1100000</v>
      </c>
      <c r="E110" s="22" t="s">
        <v>281</v>
      </c>
      <c r="F110" s="22" t="str">
        <f t="shared" si="2"/>
        <v>rtdc.l.rtdc.4030:itc</v>
      </c>
      <c r="G110" s="8">
        <f t="shared" si="3"/>
        <v>42620.48542824074</v>
      </c>
    </row>
    <row r="111" spans="1:7" x14ac:dyDescent="0.25">
      <c r="A111" s="8">
        <v>42620.48709490741</v>
      </c>
      <c r="B111" s="22" t="s">
        <v>208</v>
      </c>
      <c r="C111" s="22" t="s">
        <v>437</v>
      </c>
      <c r="D111" s="22">
        <v>2100000</v>
      </c>
      <c r="E111" s="22" t="s">
        <v>135</v>
      </c>
      <c r="F111" s="22" t="str">
        <f t="shared" si="2"/>
        <v>rtdc.l.rtdc.4011:itc</v>
      </c>
      <c r="G111" s="8">
        <f t="shared" si="3"/>
        <v>42620.48709490741</v>
      </c>
    </row>
    <row r="112" spans="1:7" x14ac:dyDescent="0.25">
      <c r="A112" s="8">
        <v>42620.49114583333</v>
      </c>
      <c r="B112" s="22" t="s">
        <v>113</v>
      </c>
      <c r="C112" s="22" t="s">
        <v>438</v>
      </c>
      <c r="D112" s="22">
        <v>2250000</v>
      </c>
      <c r="E112" s="22" t="s">
        <v>286</v>
      </c>
      <c r="F112" s="22" t="str">
        <f t="shared" si="2"/>
        <v>rtdc.l.rtdc.4032:itc</v>
      </c>
      <c r="G112" s="8">
        <f t="shared" si="3"/>
        <v>42620.49114583333</v>
      </c>
    </row>
    <row r="113" spans="1:7" x14ac:dyDescent="0.25">
      <c r="A113" s="8">
        <v>42620.49486111111</v>
      </c>
      <c r="B113" s="22" t="s">
        <v>285</v>
      </c>
      <c r="C113" s="22" t="s">
        <v>422</v>
      </c>
      <c r="D113" s="22">
        <v>860000</v>
      </c>
      <c r="E113" s="22" t="s">
        <v>407</v>
      </c>
      <c r="F113" s="22" t="str">
        <f t="shared" si="2"/>
        <v>rtdc.l.rtdc.4042:itc</v>
      </c>
      <c r="G113" s="8">
        <f t="shared" si="3"/>
        <v>42620.49486111111</v>
      </c>
    </row>
    <row r="114" spans="1:7" x14ac:dyDescent="0.25">
      <c r="A114" s="8">
        <v>42620.496377314812</v>
      </c>
      <c r="B114" s="22" t="s">
        <v>147</v>
      </c>
      <c r="C114" s="22" t="s">
        <v>439</v>
      </c>
      <c r="D114" s="22">
        <v>1140000</v>
      </c>
      <c r="E114" s="22" t="s">
        <v>244</v>
      </c>
      <c r="F114" s="22" t="str">
        <f t="shared" si="2"/>
        <v>rtdc.l.rtdc.4009:itc</v>
      </c>
      <c r="G114" s="8">
        <f t="shared" si="3"/>
        <v>42620.496377314812</v>
      </c>
    </row>
    <row r="115" spans="1:7" x14ac:dyDescent="0.25">
      <c r="A115" s="8">
        <v>42620.498217592591</v>
      </c>
      <c r="B115" s="22" t="s">
        <v>196</v>
      </c>
      <c r="C115" s="22" t="s">
        <v>440</v>
      </c>
      <c r="D115" s="22">
        <v>1280000</v>
      </c>
      <c r="E115" s="22" t="s">
        <v>243</v>
      </c>
      <c r="F115" s="22" t="str">
        <f t="shared" si="2"/>
        <v>rtdc.l.rtdc.4019:itc</v>
      </c>
      <c r="G115" s="8">
        <f t="shared" si="3"/>
        <v>42620.498217592591</v>
      </c>
    </row>
    <row r="116" spans="1:7" x14ac:dyDescent="0.25">
      <c r="A116" s="8">
        <v>42620.506574074076</v>
      </c>
      <c r="B116" s="22" t="s">
        <v>282</v>
      </c>
      <c r="C116" s="22" t="s">
        <v>422</v>
      </c>
      <c r="D116" s="22">
        <v>860000</v>
      </c>
      <c r="E116" s="22" t="s">
        <v>407</v>
      </c>
      <c r="F116" s="22" t="str">
        <f t="shared" si="2"/>
        <v>rtdc.l.rtdc.4041:itc</v>
      </c>
      <c r="G116" s="8">
        <f t="shared" si="3"/>
        <v>42620.506574074076</v>
      </c>
    </row>
    <row r="117" spans="1:7" x14ac:dyDescent="0.25">
      <c r="A117" s="8">
        <v>42620.508414351854</v>
      </c>
      <c r="B117" s="22" t="s">
        <v>282</v>
      </c>
      <c r="C117" s="22" t="s">
        <v>422</v>
      </c>
      <c r="D117" s="22">
        <v>860000</v>
      </c>
      <c r="E117" s="22" t="s">
        <v>407</v>
      </c>
      <c r="F117" s="22" t="str">
        <f t="shared" si="2"/>
        <v>rtdc.l.rtdc.4041:itc</v>
      </c>
      <c r="G117" s="8">
        <f t="shared" si="3"/>
        <v>42620.508414351854</v>
      </c>
    </row>
    <row r="118" spans="1:7" x14ac:dyDescent="0.25">
      <c r="A118" s="8">
        <v>42620.50885416667</v>
      </c>
      <c r="B118" s="22" t="s">
        <v>110</v>
      </c>
      <c r="C118" s="22" t="s">
        <v>441</v>
      </c>
      <c r="D118" s="22">
        <v>2280000</v>
      </c>
      <c r="E118" s="22" t="s">
        <v>442</v>
      </c>
      <c r="F118" s="22" t="str">
        <f t="shared" si="2"/>
        <v>rtdc.l.rtdc.4014:itc</v>
      </c>
      <c r="G118" s="8">
        <f t="shared" si="3"/>
        <v>42620.50885416667</v>
      </c>
    </row>
    <row r="119" spans="1:7" x14ac:dyDescent="0.25">
      <c r="A119" s="8">
        <v>42620.50953703704</v>
      </c>
      <c r="B119" s="22" t="s">
        <v>282</v>
      </c>
      <c r="C119" s="22" t="s">
        <v>422</v>
      </c>
      <c r="D119" s="22">
        <v>860000</v>
      </c>
      <c r="E119" s="22" t="s">
        <v>407</v>
      </c>
      <c r="F119" s="22" t="str">
        <f t="shared" si="2"/>
        <v>rtdc.l.rtdc.4041:itc</v>
      </c>
      <c r="G119" s="8">
        <f t="shared" si="3"/>
        <v>42620.50953703704</v>
      </c>
    </row>
    <row r="120" spans="1:7" x14ac:dyDescent="0.25">
      <c r="A120" s="8">
        <v>42620.513414351852</v>
      </c>
      <c r="B120" s="22" t="s">
        <v>91</v>
      </c>
      <c r="C120" s="22" t="s">
        <v>443</v>
      </c>
      <c r="D120" s="22">
        <v>1100000</v>
      </c>
      <c r="E120" s="22" t="s">
        <v>281</v>
      </c>
      <c r="F120" s="22" t="str">
        <f t="shared" si="2"/>
        <v>rtdc.l.rtdc.4029:itc</v>
      </c>
      <c r="G120" s="8">
        <f t="shared" si="3"/>
        <v>42620.513414351852</v>
      </c>
    </row>
    <row r="121" spans="1:7" x14ac:dyDescent="0.25">
      <c r="A121" s="8">
        <v>42620.515405092592</v>
      </c>
      <c r="B121" s="22" t="s">
        <v>240</v>
      </c>
      <c r="C121" s="22" t="s">
        <v>444</v>
      </c>
      <c r="D121" s="22">
        <v>1780000</v>
      </c>
      <c r="E121" s="22" t="s">
        <v>445</v>
      </c>
      <c r="F121" s="22" t="str">
        <f t="shared" si="2"/>
        <v>rtdc.l.rtdc.4025:itc</v>
      </c>
      <c r="G121" s="8">
        <f t="shared" si="3"/>
        <v>42620.515405092592</v>
      </c>
    </row>
    <row r="122" spans="1:7" x14ac:dyDescent="0.25">
      <c r="A122" s="8">
        <v>42620.516145833331</v>
      </c>
      <c r="B122" s="27" t="s">
        <v>361</v>
      </c>
      <c r="C122" s="22" t="s">
        <v>446</v>
      </c>
      <c r="D122" s="22">
        <v>1540000</v>
      </c>
      <c r="E122" s="22" t="s">
        <v>277</v>
      </c>
      <c r="F122" s="22" t="str">
        <f t="shared" si="2"/>
        <v>rtdc.l.rtdc.4045:itc</v>
      </c>
      <c r="G122" s="8">
        <f t="shared" si="3"/>
        <v>42620.516145833331</v>
      </c>
    </row>
    <row r="123" spans="1:7" x14ac:dyDescent="0.25">
      <c r="A123" s="8">
        <v>42620.520810185182</v>
      </c>
      <c r="B123" s="22" t="s">
        <v>285</v>
      </c>
      <c r="C123" s="22" t="s">
        <v>422</v>
      </c>
      <c r="D123" s="22">
        <v>860000</v>
      </c>
      <c r="E123" s="22" t="s">
        <v>407</v>
      </c>
      <c r="F123" s="22" t="str">
        <f t="shared" si="2"/>
        <v>rtdc.l.rtdc.4042:itc</v>
      </c>
      <c r="G123" s="8">
        <f t="shared" si="3"/>
        <v>42620.520810185182</v>
      </c>
    </row>
    <row r="124" spans="1:7" x14ac:dyDescent="0.25">
      <c r="A124" s="8">
        <v>42620.521874999999</v>
      </c>
      <c r="B124" s="22" t="s">
        <v>285</v>
      </c>
      <c r="C124" s="22" t="s">
        <v>422</v>
      </c>
      <c r="D124" s="22">
        <v>860000</v>
      </c>
      <c r="E124" s="22" t="s">
        <v>407</v>
      </c>
      <c r="F124" s="22" t="str">
        <f t="shared" si="2"/>
        <v>rtdc.l.rtdc.4042:itc</v>
      </c>
      <c r="G124" s="8">
        <f t="shared" si="3"/>
        <v>42620.521874999999</v>
      </c>
    </row>
    <row r="125" spans="1:7" x14ac:dyDescent="0.25">
      <c r="A125" s="8">
        <v>42620.525069444448</v>
      </c>
      <c r="B125" s="22" t="s">
        <v>268</v>
      </c>
      <c r="C125" s="22" t="s">
        <v>447</v>
      </c>
      <c r="D125" s="22">
        <v>2100000</v>
      </c>
      <c r="E125" s="22" t="s">
        <v>135</v>
      </c>
      <c r="F125" s="22" t="str">
        <f t="shared" si="2"/>
        <v>rtdc.l.rtdc.4012:itc</v>
      </c>
      <c r="G125" s="8">
        <f t="shared" si="3"/>
        <v>42620.525069444448</v>
      </c>
    </row>
    <row r="126" spans="1:7" x14ac:dyDescent="0.25">
      <c r="A126" s="8">
        <v>42620.525879629633</v>
      </c>
      <c r="B126" s="22" t="s">
        <v>112</v>
      </c>
      <c r="C126" s="22" t="s">
        <v>448</v>
      </c>
      <c r="D126" s="22">
        <v>2250000</v>
      </c>
      <c r="E126" s="22" t="s">
        <v>286</v>
      </c>
      <c r="F126" s="22" t="str">
        <f t="shared" si="2"/>
        <v>rtdc.l.rtdc.4031:itc</v>
      </c>
      <c r="G126" s="8">
        <f t="shared" si="3"/>
        <v>42620.525879629633</v>
      </c>
    </row>
    <row r="127" spans="1:7" x14ac:dyDescent="0.25">
      <c r="A127" s="8">
        <v>42620.526331018518</v>
      </c>
      <c r="B127" s="22" t="s">
        <v>92</v>
      </c>
      <c r="C127" s="22" t="s">
        <v>449</v>
      </c>
      <c r="D127" s="22">
        <v>1100000</v>
      </c>
      <c r="E127" s="22" t="s">
        <v>281</v>
      </c>
      <c r="F127" s="22" t="str">
        <f t="shared" si="2"/>
        <v>rtdc.l.rtdc.4030:itc</v>
      </c>
      <c r="G127" s="8">
        <f t="shared" si="3"/>
        <v>42620.526331018518</v>
      </c>
    </row>
    <row r="128" spans="1:7" x14ac:dyDescent="0.25">
      <c r="A128" s="8">
        <v>42620.529953703706</v>
      </c>
      <c r="B128" s="22" t="s">
        <v>283</v>
      </c>
      <c r="C128" s="22" t="s">
        <v>450</v>
      </c>
      <c r="D128" s="22">
        <v>1140000</v>
      </c>
      <c r="E128" s="22" t="s">
        <v>244</v>
      </c>
      <c r="F128" s="22" t="str">
        <f t="shared" si="2"/>
        <v>rtdc.l.rtdc.4010:itc</v>
      </c>
      <c r="G128" s="8">
        <f t="shared" si="3"/>
        <v>42620.529953703706</v>
      </c>
    </row>
    <row r="129" spans="1:7" x14ac:dyDescent="0.25">
      <c r="A129" s="8">
        <v>42620.531192129631</v>
      </c>
      <c r="B129" s="22" t="s">
        <v>282</v>
      </c>
      <c r="C129" s="22" t="s">
        <v>451</v>
      </c>
      <c r="D129" s="22">
        <v>860000</v>
      </c>
      <c r="E129" s="22" t="s">
        <v>407</v>
      </c>
      <c r="F129" s="22" t="str">
        <f t="shared" si="2"/>
        <v>rtdc.l.rtdc.4041:itc</v>
      </c>
      <c r="G129" s="8">
        <f t="shared" si="3"/>
        <v>42620.531192129631</v>
      </c>
    </row>
    <row r="130" spans="1:7" x14ac:dyDescent="0.25">
      <c r="A130" s="8">
        <v>42620.531875000001</v>
      </c>
      <c r="B130" s="22" t="s">
        <v>282</v>
      </c>
      <c r="C130" s="22" t="s">
        <v>422</v>
      </c>
      <c r="D130" s="22">
        <v>860000</v>
      </c>
      <c r="E130" s="22" t="s">
        <v>407</v>
      </c>
      <c r="F130" s="22" t="str">
        <f t="shared" ref="F130:F193" si="4">B130</f>
        <v>rtdc.l.rtdc.4041:itc</v>
      </c>
      <c r="G130" s="8">
        <f t="shared" ref="G130:G193" si="5">A130</f>
        <v>42620.531875000001</v>
      </c>
    </row>
    <row r="131" spans="1:7" x14ac:dyDescent="0.25">
      <c r="A131" s="8">
        <v>42620.53324074074</v>
      </c>
      <c r="B131" s="22" t="s">
        <v>282</v>
      </c>
      <c r="C131" s="22" t="s">
        <v>422</v>
      </c>
      <c r="D131" s="22">
        <v>860000</v>
      </c>
      <c r="E131" s="22" t="s">
        <v>407</v>
      </c>
      <c r="F131" s="22" t="str">
        <f t="shared" si="4"/>
        <v>rtdc.l.rtdc.4041:itc</v>
      </c>
      <c r="G131" s="8">
        <f t="shared" si="5"/>
        <v>42620.53324074074</v>
      </c>
    </row>
    <row r="132" spans="1:7" x14ac:dyDescent="0.25">
      <c r="A132" s="8">
        <v>42620.538553240738</v>
      </c>
      <c r="B132" s="22" t="s">
        <v>197</v>
      </c>
      <c r="C132" s="22" t="s">
        <v>452</v>
      </c>
      <c r="D132" s="22">
        <v>1280000</v>
      </c>
      <c r="E132" s="22" t="s">
        <v>243</v>
      </c>
      <c r="F132" s="22" t="str">
        <f t="shared" si="4"/>
        <v>rtdc.l.rtdc.4020:itc</v>
      </c>
      <c r="G132" s="8">
        <f t="shared" si="5"/>
        <v>42620.538553240738</v>
      </c>
    </row>
    <row r="133" spans="1:7" x14ac:dyDescent="0.25">
      <c r="A133" s="8">
        <v>42620.543449074074</v>
      </c>
      <c r="B133" s="22" t="s">
        <v>90</v>
      </c>
      <c r="C133" s="22" t="s">
        <v>453</v>
      </c>
      <c r="D133" s="22">
        <v>2280000</v>
      </c>
      <c r="E133" s="22" t="s">
        <v>442</v>
      </c>
      <c r="F133" s="22" t="str">
        <f t="shared" si="4"/>
        <v>rtdc.l.rtdc.4013:itc</v>
      </c>
      <c r="G133" s="8">
        <f t="shared" si="5"/>
        <v>42620.543449074074</v>
      </c>
    </row>
    <row r="134" spans="1:7" x14ac:dyDescent="0.25">
      <c r="A134" s="8">
        <v>42620.54928240741</v>
      </c>
      <c r="B134" s="22" t="s">
        <v>352</v>
      </c>
      <c r="C134" s="22" t="s">
        <v>454</v>
      </c>
      <c r="D134" s="22">
        <v>1540000</v>
      </c>
      <c r="E134" s="22" t="s">
        <v>277</v>
      </c>
      <c r="F134" s="22" t="str">
        <f t="shared" si="4"/>
        <v>rtdc.l.rtdc.4046:itc</v>
      </c>
      <c r="G134" s="8">
        <f t="shared" si="5"/>
        <v>42620.54928240741</v>
      </c>
    </row>
    <row r="135" spans="1:7" x14ac:dyDescent="0.25">
      <c r="A135" s="8">
        <v>42620.552256944444</v>
      </c>
      <c r="B135" s="22" t="s">
        <v>91</v>
      </c>
      <c r="C135" s="22" t="s">
        <v>455</v>
      </c>
      <c r="D135" s="22">
        <v>2040000</v>
      </c>
      <c r="E135" s="22" t="s">
        <v>456</v>
      </c>
      <c r="F135" s="22" t="str">
        <f t="shared" si="4"/>
        <v>rtdc.l.rtdc.4029:itc</v>
      </c>
      <c r="G135" s="8">
        <f t="shared" si="5"/>
        <v>42620.552256944444</v>
      </c>
    </row>
    <row r="136" spans="1:7" x14ac:dyDescent="0.25">
      <c r="A136" s="8">
        <v>42620.557615740741</v>
      </c>
      <c r="B136" s="22" t="s">
        <v>242</v>
      </c>
      <c r="C136" s="22" t="s">
        <v>457</v>
      </c>
      <c r="D136" s="22">
        <v>1780000</v>
      </c>
      <c r="E136" s="22" t="s">
        <v>445</v>
      </c>
      <c r="F136" s="22" t="str">
        <f t="shared" si="4"/>
        <v>rtdc.l.rtdc.4026:itc</v>
      </c>
      <c r="G136" s="8">
        <f t="shared" si="5"/>
        <v>42620.557615740741</v>
      </c>
    </row>
    <row r="137" spans="1:7" x14ac:dyDescent="0.25">
      <c r="A137" s="8">
        <v>42620.557708333334</v>
      </c>
      <c r="B137" s="22" t="s">
        <v>208</v>
      </c>
      <c r="C137" s="22" t="s">
        <v>458</v>
      </c>
      <c r="D137" s="22">
        <v>2100000</v>
      </c>
      <c r="E137" s="22" t="s">
        <v>135</v>
      </c>
      <c r="F137" s="22" t="str">
        <f t="shared" si="4"/>
        <v>rtdc.l.rtdc.4011:itc</v>
      </c>
      <c r="G137" s="8">
        <f t="shared" si="5"/>
        <v>42620.557708333334</v>
      </c>
    </row>
    <row r="138" spans="1:7" x14ac:dyDescent="0.25">
      <c r="A138" s="8">
        <v>42620.563946759263</v>
      </c>
      <c r="B138" s="22" t="s">
        <v>113</v>
      </c>
      <c r="C138" s="22" t="s">
        <v>459</v>
      </c>
      <c r="D138" s="22">
        <v>2250000</v>
      </c>
      <c r="E138" s="22" t="s">
        <v>286</v>
      </c>
      <c r="F138" s="22" t="str">
        <f t="shared" si="4"/>
        <v>rtdc.l.rtdc.4032:itc</v>
      </c>
      <c r="G138" s="8">
        <f t="shared" si="5"/>
        <v>42620.563946759263</v>
      </c>
    </row>
    <row r="139" spans="1:7" x14ac:dyDescent="0.25">
      <c r="A139" s="8">
        <v>42620.569398148145</v>
      </c>
      <c r="B139" s="22" t="s">
        <v>147</v>
      </c>
      <c r="C139" s="22" t="s">
        <v>460</v>
      </c>
      <c r="D139" s="22">
        <v>1140000</v>
      </c>
      <c r="E139" s="22" t="s">
        <v>244</v>
      </c>
      <c r="F139" s="22" t="str">
        <f t="shared" si="4"/>
        <v>rtdc.l.rtdc.4009:itc</v>
      </c>
      <c r="G139" s="8">
        <f t="shared" si="5"/>
        <v>42620.569398148145</v>
      </c>
    </row>
    <row r="140" spans="1:7" x14ac:dyDescent="0.25">
      <c r="A140" s="8">
        <v>42620.570960648147</v>
      </c>
      <c r="B140" s="22" t="s">
        <v>196</v>
      </c>
      <c r="C140" s="22" t="s">
        <v>461</v>
      </c>
      <c r="D140" s="22">
        <v>1280000</v>
      </c>
      <c r="E140" s="22" t="s">
        <v>243</v>
      </c>
      <c r="F140" s="22" t="str">
        <f t="shared" si="4"/>
        <v>rtdc.l.rtdc.4019:itc</v>
      </c>
      <c r="G140" s="8">
        <f t="shared" si="5"/>
        <v>42620.570960648147</v>
      </c>
    </row>
    <row r="141" spans="1:7" x14ac:dyDescent="0.25">
      <c r="A141" s="8">
        <v>42620.576979166668</v>
      </c>
      <c r="B141" s="22" t="s">
        <v>92</v>
      </c>
      <c r="C141" s="22" t="s">
        <v>462</v>
      </c>
      <c r="D141" s="22">
        <v>2040000</v>
      </c>
      <c r="E141" s="22" t="s">
        <v>456</v>
      </c>
      <c r="F141" s="22" t="str">
        <f t="shared" si="4"/>
        <v>rtdc.l.rtdc.4030:itc</v>
      </c>
      <c r="G141" s="8">
        <f t="shared" si="5"/>
        <v>42620.576979166668</v>
      </c>
    </row>
    <row r="142" spans="1:7" x14ac:dyDescent="0.25">
      <c r="A142" s="8">
        <v>42620.579722222225</v>
      </c>
      <c r="B142" s="22" t="s">
        <v>110</v>
      </c>
      <c r="C142" s="22" t="s">
        <v>463</v>
      </c>
      <c r="D142" s="22">
        <v>2280000</v>
      </c>
      <c r="E142" s="22" t="s">
        <v>442</v>
      </c>
      <c r="F142" s="22" t="str">
        <f t="shared" si="4"/>
        <v>rtdc.l.rtdc.4014:itc</v>
      </c>
      <c r="G142" s="8">
        <f t="shared" si="5"/>
        <v>42620.579722222225</v>
      </c>
    </row>
    <row r="143" spans="1:7" x14ac:dyDescent="0.25">
      <c r="A143" s="8">
        <v>42620.585034722222</v>
      </c>
      <c r="B143" s="22" t="s">
        <v>361</v>
      </c>
      <c r="C143" s="22" t="s">
        <v>464</v>
      </c>
      <c r="D143" s="22">
        <v>1540000</v>
      </c>
      <c r="E143" s="22" t="s">
        <v>277</v>
      </c>
      <c r="F143" s="22" t="str">
        <f t="shared" si="4"/>
        <v>rtdc.l.rtdc.4045:itc</v>
      </c>
      <c r="G143" s="8">
        <f t="shared" si="5"/>
        <v>42620.585034722222</v>
      </c>
    </row>
    <row r="144" spans="1:7" x14ac:dyDescent="0.25">
      <c r="A144" s="8">
        <v>42620.585960648146</v>
      </c>
      <c r="B144" s="22" t="s">
        <v>361</v>
      </c>
      <c r="C144" s="22" t="s">
        <v>464</v>
      </c>
      <c r="D144" s="22">
        <v>1540000</v>
      </c>
      <c r="E144" s="22" t="s">
        <v>277</v>
      </c>
      <c r="F144" s="22" t="str">
        <f t="shared" si="4"/>
        <v>rtdc.l.rtdc.4045:itc</v>
      </c>
      <c r="G144" s="8">
        <f t="shared" si="5"/>
        <v>42620.585960648146</v>
      </c>
    </row>
    <row r="145" spans="1:7" x14ac:dyDescent="0.25">
      <c r="A145" s="8">
        <v>42620.590219907404</v>
      </c>
      <c r="B145" s="22" t="s">
        <v>240</v>
      </c>
      <c r="C145" s="22" t="s">
        <v>465</v>
      </c>
      <c r="D145" s="22">
        <v>1780000</v>
      </c>
      <c r="E145" s="22" t="s">
        <v>445</v>
      </c>
      <c r="F145" s="22" t="str">
        <f t="shared" si="4"/>
        <v>rtdc.l.rtdc.4025:itc</v>
      </c>
      <c r="G145" s="8">
        <f t="shared" si="5"/>
        <v>42620.590219907404</v>
      </c>
    </row>
    <row r="146" spans="1:7" x14ac:dyDescent="0.25">
      <c r="A146" s="8">
        <v>42620.595763888887</v>
      </c>
      <c r="B146" s="22" t="s">
        <v>268</v>
      </c>
      <c r="C146" s="22" t="s">
        <v>466</v>
      </c>
      <c r="D146" s="22">
        <v>2100000</v>
      </c>
      <c r="E146" s="22" t="s">
        <v>135</v>
      </c>
      <c r="F146" s="22" t="str">
        <f t="shared" si="4"/>
        <v>rtdc.l.rtdc.4012:itc</v>
      </c>
      <c r="G146" s="8">
        <f t="shared" si="5"/>
        <v>42620.595763888887</v>
      </c>
    </row>
    <row r="147" spans="1:7" x14ac:dyDescent="0.25">
      <c r="A147" s="8">
        <v>42620.598495370374</v>
      </c>
      <c r="B147" s="22" t="s">
        <v>91</v>
      </c>
      <c r="C147" s="22" t="s">
        <v>467</v>
      </c>
      <c r="D147" s="22">
        <v>2040000</v>
      </c>
      <c r="E147" s="22" t="s">
        <v>456</v>
      </c>
      <c r="F147" s="22" t="str">
        <f t="shared" si="4"/>
        <v>rtdc.l.rtdc.4029:itc</v>
      </c>
      <c r="G147" s="8">
        <f t="shared" si="5"/>
        <v>42620.598495370374</v>
      </c>
    </row>
    <row r="148" spans="1:7" x14ac:dyDescent="0.25">
      <c r="A148" s="8">
        <v>42620.598935185182</v>
      </c>
      <c r="B148" s="22" t="s">
        <v>285</v>
      </c>
      <c r="C148" s="22" t="s">
        <v>422</v>
      </c>
      <c r="D148" s="22">
        <v>860000</v>
      </c>
      <c r="E148" s="22" t="s">
        <v>407</v>
      </c>
      <c r="F148" s="22" t="str">
        <f t="shared" si="4"/>
        <v>rtdc.l.rtdc.4042:itc</v>
      </c>
      <c r="G148" s="8">
        <f t="shared" si="5"/>
        <v>42620.598935185182</v>
      </c>
    </row>
    <row r="149" spans="1:7" x14ac:dyDescent="0.25">
      <c r="A149" s="8">
        <v>42620.60015046296</v>
      </c>
      <c r="B149" s="22" t="s">
        <v>112</v>
      </c>
      <c r="C149" s="22" t="s">
        <v>468</v>
      </c>
      <c r="D149" s="22">
        <v>2250000</v>
      </c>
      <c r="E149" s="22" t="s">
        <v>286</v>
      </c>
      <c r="F149" s="22" t="str">
        <f t="shared" si="4"/>
        <v>rtdc.l.rtdc.4031:itc</v>
      </c>
      <c r="G149" s="8">
        <f t="shared" si="5"/>
        <v>42620.60015046296</v>
      </c>
    </row>
    <row r="150" spans="1:7" x14ac:dyDescent="0.25">
      <c r="A150" s="8">
        <v>42620.607592592591</v>
      </c>
      <c r="B150" s="22" t="s">
        <v>283</v>
      </c>
      <c r="C150" s="22" t="s">
        <v>469</v>
      </c>
      <c r="D150" s="22">
        <v>1140000</v>
      </c>
      <c r="E150" s="22" t="s">
        <v>244</v>
      </c>
      <c r="F150" s="22" t="str">
        <f t="shared" si="4"/>
        <v>rtdc.l.rtdc.4010:itc</v>
      </c>
      <c r="G150" s="8">
        <f t="shared" si="5"/>
        <v>42620.607592592591</v>
      </c>
    </row>
    <row r="151" spans="1:7" x14ac:dyDescent="0.25">
      <c r="A151" s="8">
        <v>42620.608020833337</v>
      </c>
      <c r="B151" s="22" t="s">
        <v>282</v>
      </c>
      <c r="C151" s="22" t="s">
        <v>422</v>
      </c>
      <c r="D151" s="22">
        <v>860000</v>
      </c>
      <c r="E151" s="22" t="s">
        <v>407</v>
      </c>
      <c r="F151" s="22" t="str">
        <f t="shared" si="4"/>
        <v>rtdc.l.rtdc.4041:itc</v>
      </c>
      <c r="G151" s="8">
        <f t="shared" si="5"/>
        <v>42620.608020833337</v>
      </c>
    </row>
    <row r="152" spans="1:7" x14ac:dyDescent="0.25">
      <c r="A152" s="8">
        <v>42620.608865740738</v>
      </c>
      <c r="B152" s="22" t="s">
        <v>282</v>
      </c>
      <c r="C152" s="22" t="s">
        <v>422</v>
      </c>
      <c r="D152" s="22">
        <v>860000</v>
      </c>
      <c r="E152" s="22" t="s">
        <v>407</v>
      </c>
      <c r="F152" s="22" t="str">
        <f t="shared" si="4"/>
        <v>rtdc.l.rtdc.4041:itc</v>
      </c>
      <c r="G152" s="8">
        <f t="shared" si="5"/>
        <v>42620.608865740738</v>
      </c>
    </row>
    <row r="153" spans="1:7" x14ac:dyDescent="0.25">
      <c r="A153" s="8">
        <v>42620.612222222226</v>
      </c>
      <c r="B153" s="22" t="s">
        <v>197</v>
      </c>
      <c r="C153" s="22" t="s">
        <v>470</v>
      </c>
      <c r="D153" s="22">
        <v>1280000</v>
      </c>
      <c r="E153" s="22" t="s">
        <v>243</v>
      </c>
      <c r="F153" s="22" t="str">
        <f t="shared" si="4"/>
        <v>rtdc.l.rtdc.4020:itc</v>
      </c>
      <c r="G153" s="8">
        <f t="shared" si="5"/>
        <v>42620.612222222226</v>
      </c>
    </row>
    <row r="154" spans="1:7" x14ac:dyDescent="0.25">
      <c r="A154" s="8">
        <v>42620.612256944441</v>
      </c>
      <c r="B154" s="22" t="s">
        <v>92</v>
      </c>
      <c r="C154" s="22" t="s">
        <v>471</v>
      </c>
      <c r="D154" s="22">
        <v>2040000</v>
      </c>
      <c r="E154" s="22" t="s">
        <v>456</v>
      </c>
      <c r="F154" s="22" t="str">
        <f t="shared" si="4"/>
        <v>rtdc.l.rtdc.4030:itc</v>
      </c>
      <c r="G154" s="8">
        <f t="shared" si="5"/>
        <v>42620.612256944441</v>
      </c>
    </row>
    <row r="155" spans="1:7" x14ac:dyDescent="0.25">
      <c r="A155" s="8">
        <v>42620.618402777778</v>
      </c>
      <c r="B155" s="22" t="s">
        <v>90</v>
      </c>
      <c r="C155" s="22" t="s">
        <v>472</v>
      </c>
      <c r="D155" s="22">
        <v>2280000</v>
      </c>
      <c r="E155" s="22" t="s">
        <v>442</v>
      </c>
      <c r="F155" s="22" t="str">
        <f t="shared" si="4"/>
        <v>rtdc.l.rtdc.4013:itc</v>
      </c>
      <c r="G155" s="8">
        <f t="shared" si="5"/>
        <v>42620.618402777778</v>
      </c>
    </row>
    <row r="156" spans="1:7" x14ac:dyDescent="0.25">
      <c r="A156" s="8">
        <v>42620.622673611113</v>
      </c>
      <c r="B156" s="22" t="s">
        <v>352</v>
      </c>
      <c r="C156" s="22" t="s">
        <v>473</v>
      </c>
      <c r="D156" s="22">
        <v>1540000</v>
      </c>
      <c r="E156" s="22" t="s">
        <v>277</v>
      </c>
      <c r="F156" s="22" t="str">
        <f t="shared" si="4"/>
        <v>rtdc.l.rtdc.4046:itc</v>
      </c>
      <c r="G156" s="8">
        <f t="shared" si="5"/>
        <v>42620.622673611113</v>
      </c>
    </row>
    <row r="157" spans="1:7" x14ac:dyDescent="0.25">
      <c r="A157" s="8">
        <v>42620.630115740743</v>
      </c>
      <c r="B157" s="22" t="s">
        <v>242</v>
      </c>
      <c r="C157" s="22" t="s">
        <v>474</v>
      </c>
      <c r="D157" s="22">
        <v>1780000</v>
      </c>
      <c r="E157" s="22" t="s">
        <v>445</v>
      </c>
      <c r="F157" s="22" t="str">
        <f t="shared" si="4"/>
        <v>rtdc.l.rtdc.4026:itc</v>
      </c>
      <c r="G157" s="8">
        <f t="shared" si="5"/>
        <v>42620.630115740743</v>
      </c>
    </row>
    <row r="158" spans="1:7" x14ac:dyDescent="0.25">
      <c r="A158" s="8">
        <v>42620.632268518515</v>
      </c>
      <c r="B158" s="22" t="s">
        <v>208</v>
      </c>
      <c r="C158" s="22" t="s">
        <v>475</v>
      </c>
      <c r="D158" s="22">
        <v>2100000</v>
      </c>
      <c r="E158" s="22" t="s">
        <v>135</v>
      </c>
      <c r="F158" s="22" t="str">
        <f t="shared" si="4"/>
        <v>rtdc.l.rtdc.4011:itc</v>
      </c>
      <c r="G158" s="8">
        <f t="shared" si="5"/>
        <v>42620.632268518515</v>
      </c>
    </row>
    <row r="159" spans="1:7" x14ac:dyDescent="0.25">
      <c r="A159" s="8">
        <v>42620.635648148149</v>
      </c>
      <c r="B159" s="22" t="s">
        <v>91</v>
      </c>
      <c r="C159" s="22" t="s">
        <v>476</v>
      </c>
      <c r="D159" s="22">
        <v>2040000</v>
      </c>
      <c r="E159" s="22" t="s">
        <v>456</v>
      </c>
      <c r="F159" s="22" t="str">
        <f t="shared" si="4"/>
        <v>rtdc.l.rtdc.4029:itc</v>
      </c>
      <c r="G159" s="8">
        <f t="shared" si="5"/>
        <v>42620.635648148149</v>
      </c>
    </row>
    <row r="160" spans="1:7" x14ac:dyDescent="0.25">
      <c r="A160" s="8">
        <v>42620.636597222219</v>
      </c>
      <c r="B160" s="22" t="s">
        <v>113</v>
      </c>
      <c r="C160" s="22" t="s">
        <v>477</v>
      </c>
      <c r="D160" s="22">
        <v>2250000</v>
      </c>
      <c r="E160" s="22" t="s">
        <v>286</v>
      </c>
      <c r="F160" s="22" t="str">
        <f t="shared" si="4"/>
        <v>rtdc.l.rtdc.4032:itc</v>
      </c>
      <c r="G160" s="8">
        <f t="shared" si="5"/>
        <v>42620.636597222219</v>
      </c>
    </row>
    <row r="161" spans="1:7" x14ac:dyDescent="0.25">
      <c r="A161" s="8">
        <v>42620.643622685187</v>
      </c>
      <c r="B161" s="22" t="s">
        <v>220</v>
      </c>
      <c r="C161" s="22" t="s">
        <v>478</v>
      </c>
      <c r="D161" s="22">
        <v>1180000</v>
      </c>
      <c r="E161" s="22" t="s">
        <v>479</v>
      </c>
      <c r="F161" s="22" t="str">
        <f t="shared" si="4"/>
        <v>rtdc.l.rtdc.4043:itc</v>
      </c>
      <c r="G161" s="8">
        <f t="shared" si="5"/>
        <v>42620.643622685187</v>
      </c>
    </row>
    <row r="162" spans="1:7" x14ac:dyDescent="0.25">
      <c r="A162" s="8">
        <v>42620.64366898148</v>
      </c>
      <c r="B162" s="22" t="s">
        <v>196</v>
      </c>
      <c r="C162" s="22" t="s">
        <v>480</v>
      </c>
      <c r="D162" s="22">
        <v>1280000</v>
      </c>
      <c r="E162" s="22" t="s">
        <v>243</v>
      </c>
      <c r="F162" s="22" t="str">
        <f t="shared" si="4"/>
        <v>rtdc.l.rtdc.4019:itc</v>
      </c>
      <c r="G162" s="8">
        <f t="shared" si="5"/>
        <v>42620.64366898148</v>
      </c>
    </row>
    <row r="163" spans="1:7" x14ac:dyDescent="0.25">
      <c r="A163" s="8">
        <v>42620.643946759257</v>
      </c>
      <c r="B163" s="22" t="s">
        <v>147</v>
      </c>
      <c r="C163" s="22" t="s">
        <v>481</v>
      </c>
      <c r="D163" s="22">
        <v>1140000</v>
      </c>
      <c r="E163" s="22" t="s">
        <v>244</v>
      </c>
      <c r="F163" s="22" t="str">
        <f t="shared" si="4"/>
        <v>rtdc.l.rtdc.4009:itc</v>
      </c>
      <c r="G163" s="8">
        <f t="shared" si="5"/>
        <v>42620.643946759257</v>
      </c>
    </row>
    <row r="164" spans="1:7" x14ac:dyDescent="0.25">
      <c r="A164" s="8">
        <v>42620.652650462966</v>
      </c>
      <c r="B164" s="22" t="s">
        <v>92</v>
      </c>
      <c r="C164" s="22" t="s">
        <v>482</v>
      </c>
      <c r="D164" s="22">
        <v>2040000</v>
      </c>
      <c r="E164" s="22" t="s">
        <v>456</v>
      </c>
      <c r="F164" s="22" t="str">
        <f t="shared" si="4"/>
        <v>rtdc.l.rtdc.4030:itc</v>
      </c>
      <c r="G164" s="8">
        <f t="shared" si="5"/>
        <v>42620.652650462966</v>
      </c>
    </row>
    <row r="165" spans="1:7" x14ac:dyDescent="0.25">
      <c r="A165" s="8">
        <v>42620.652719907404</v>
      </c>
      <c r="B165" s="22" t="s">
        <v>110</v>
      </c>
      <c r="C165" s="22" t="s">
        <v>483</v>
      </c>
      <c r="D165" s="22">
        <v>2280000</v>
      </c>
      <c r="E165" s="22" t="s">
        <v>442</v>
      </c>
      <c r="F165" s="22" t="str">
        <f t="shared" si="4"/>
        <v>rtdc.l.rtdc.4014:itc</v>
      </c>
      <c r="G165" s="8">
        <f t="shared" si="5"/>
        <v>42620.652719907404</v>
      </c>
    </row>
    <row r="166" spans="1:7" x14ac:dyDescent="0.25">
      <c r="A166" s="8">
        <v>42620.653321759259</v>
      </c>
      <c r="B166" s="22" t="s">
        <v>222</v>
      </c>
      <c r="C166" s="22" t="s">
        <v>484</v>
      </c>
      <c r="D166" s="22">
        <v>1180000</v>
      </c>
      <c r="E166" s="22" t="s">
        <v>479</v>
      </c>
      <c r="F166" s="22" t="str">
        <f t="shared" si="4"/>
        <v>rtdc.l.rtdc.4044:itc</v>
      </c>
      <c r="G166" s="8">
        <f t="shared" si="5"/>
        <v>42620.653321759259</v>
      </c>
    </row>
    <row r="167" spans="1:7" x14ac:dyDescent="0.25">
      <c r="A167" s="8">
        <v>42620.661932870367</v>
      </c>
      <c r="B167" s="22" t="s">
        <v>361</v>
      </c>
      <c r="C167" s="22" t="s">
        <v>485</v>
      </c>
      <c r="D167" s="22">
        <v>1540000</v>
      </c>
      <c r="E167" s="22" t="s">
        <v>277</v>
      </c>
      <c r="F167" s="22" t="str">
        <f t="shared" si="4"/>
        <v>rtdc.l.rtdc.4045:itc</v>
      </c>
      <c r="G167" s="8">
        <f t="shared" si="5"/>
        <v>42620.661932870367</v>
      </c>
    </row>
    <row r="168" spans="1:7" x14ac:dyDescent="0.25">
      <c r="A168" s="8">
        <v>42620.66333333333</v>
      </c>
      <c r="B168" s="22" t="s">
        <v>240</v>
      </c>
      <c r="C168" s="22" t="s">
        <v>486</v>
      </c>
      <c r="D168" s="22">
        <v>1780000</v>
      </c>
      <c r="E168" s="22" t="s">
        <v>445</v>
      </c>
      <c r="F168" s="22" t="str">
        <f t="shared" si="4"/>
        <v>rtdc.l.rtdc.4025:itc</v>
      </c>
      <c r="G168" s="8">
        <f t="shared" si="5"/>
        <v>42620.66333333333</v>
      </c>
    </row>
    <row r="169" spans="1:7" x14ac:dyDescent="0.25">
      <c r="A169" s="8">
        <v>42620.669363425928</v>
      </c>
      <c r="B169" s="22" t="s">
        <v>268</v>
      </c>
      <c r="C169" s="22" t="s">
        <v>487</v>
      </c>
      <c r="D169" s="22">
        <v>2100000</v>
      </c>
      <c r="E169" s="22" t="s">
        <v>135</v>
      </c>
      <c r="F169" s="22" t="str">
        <f t="shared" si="4"/>
        <v>rtdc.l.rtdc.4012:itc</v>
      </c>
      <c r="G169" s="8">
        <f t="shared" si="5"/>
        <v>42620.669363425928</v>
      </c>
    </row>
    <row r="170" spans="1:7" x14ac:dyDescent="0.25">
      <c r="A170" s="8">
        <v>42620.672407407408</v>
      </c>
      <c r="B170" s="22" t="s">
        <v>220</v>
      </c>
      <c r="C170" s="22" t="s">
        <v>488</v>
      </c>
      <c r="D170" s="22">
        <v>1180000</v>
      </c>
      <c r="E170" s="22" t="s">
        <v>479</v>
      </c>
      <c r="F170" s="22" t="str">
        <f t="shared" si="4"/>
        <v>rtdc.l.rtdc.4043:itc</v>
      </c>
      <c r="G170" s="8">
        <f t="shared" si="5"/>
        <v>42620.672407407408</v>
      </c>
    </row>
    <row r="171" spans="1:7" x14ac:dyDescent="0.25">
      <c r="A171" s="8">
        <v>42620.672453703701</v>
      </c>
      <c r="B171" s="22" t="s">
        <v>112</v>
      </c>
      <c r="C171" s="22" t="s">
        <v>489</v>
      </c>
      <c r="D171" s="22">
        <v>2250000</v>
      </c>
      <c r="E171" s="22" t="s">
        <v>286</v>
      </c>
      <c r="F171" s="22" t="str">
        <f t="shared" si="4"/>
        <v>rtdc.l.rtdc.4031:itc</v>
      </c>
      <c r="G171" s="8">
        <f t="shared" si="5"/>
        <v>42620.672453703701</v>
      </c>
    </row>
    <row r="172" spans="1:7" x14ac:dyDescent="0.25">
      <c r="A172" s="8">
        <v>42620.679363425923</v>
      </c>
      <c r="B172" s="22" t="s">
        <v>283</v>
      </c>
      <c r="C172" s="22" t="s">
        <v>490</v>
      </c>
      <c r="D172" s="22">
        <v>1140000</v>
      </c>
      <c r="E172" s="22" t="s">
        <v>244</v>
      </c>
      <c r="F172" s="22" t="str">
        <f t="shared" si="4"/>
        <v>rtdc.l.rtdc.4010:itc</v>
      </c>
      <c r="G172" s="8">
        <f t="shared" si="5"/>
        <v>42620.679363425923</v>
      </c>
    </row>
    <row r="173" spans="1:7" x14ac:dyDescent="0.25">
      <c r="A173" s="8">
        <v>42620.679467592592</v>
      </c>
      <c r="B173" s="22" t="s">
        <v>91</v>
      </c>
      <c r="C173" s="22" t="s">
        <v>491</v>
      </c>
      <c r="D173" s="22">
        <v>2040000</v>
      </c>
      <c r="E173" s="22" t="s">
        <v>456</v>
      </c>
      <c r="F173" s="22" t="str">
        <f t="shared" si="4"/>
        <v>rtdc.l.rtdc.4029:itc</v>
      </c>
      <c r="G173" s="8">
        <f t="shared" si="5"/>
        <v>42620.679467592592</v>
      </c>
    </row>
    <row r="174" spans="1:7" x14ac:dyDescent="0.25">
      <c r="A174" s="8">
        <v>42620.684120370373</v>
      </c>
      <c r="B174" s="22" t="s">
        <v>197</v>
      </c>
      <c r="C174" s="22" t="s">
        <v>492</v>
      </c>
      <c r="D174" s="22">
        <v>1280000</v>
      </c>
      <c r="E174" s="22" t="s">
        <v>243</v>
      </c>
      <c r="F174" s="22" t="str">
        <f t="shared" si="4"/>
        <v>rtdc.l.rtdc.4020:itc</v>
      </c>
      <c r="G174" s="8">
        <f t="shared" si="5"/>
        <v>42620.684120370373</v>
      </c>
    </row>
    <row r="175" spans="1:7" x14ac:dyDescent="0.25">
      <c r="A175" s="8">
        <v>42620.691261574073</v>
      </c>
      <c r="B175" s="22" t="s">
        <v>90</v>
      </c>
      <c r="C175" s="22" t="s">
        <v>493</v>
      </c>
      <c r="D175" s="22">
        <v>1770000</v>
      </c>
      <c r="E175" s="22" t="s">
        <v>235</v>
      </c>
      <c r="F175" s="22" t="str">
        <f t="shared" si="4"/>
        <v>rtdc.l.rtdc.4013:itc</v>
      </c>
      <c r="G175" s="8">
        <f t="shared" si="5"/>
        <v>42620.691261574073</v>
      </c>
    </row>
    <row r="176" spans="1:7" x14ac:dyDescent="0.25">
      <c r="A176" s="8">
        <v>42620.695844907408</v>
      </c>
      <c r="B176" s="22" t="s">
        <v>92</v>
      </c>
      <c r="C176" s="22" t="s">
        <v>494</v>
      </c>
      <c r="D176" s="22">
        <v>2040000</v>
      </c>
      <c r="E176" s="22" t="s">
        <v>456</v>
      </c>
      <c r="F176" s="22" t="str">
        <f t="shared" si="4"/>
        <v>rtdc.l.rtdc.4030:itc</v>
      </c>
      <c r="G176" s="8">
        <f t="shared" si="5"/>
        <v>42620.695844907408</v>
      </c>
    </row>
    <row r="177" spans="1:7" x14ac:dyDescent="0.25">
      <c r="A177" s="8">
        <v>42620.696296296293</v>
      </c>
      <c r="B177" s="22" t="s">
        <v>352</v>
      </c>
      <c r="C177" s="22" t="s">
        <v>495</v>
      </c>
      <c r="D177" s="22">
        <v>1540000</v>
      </c>
      <c r="E177" s="22" t="s">
        <v>277</v>
      </c>
      <c r="F177" s="22" t="str">
        <f t="shared" si="4"/>
        <v>rtdc.l.rtdc.4046:itc</v>
      </c>
      <c r="G177" s="8">
        <f t="shared" si="5"/>
        <v>42620.696296296293</v>
      </c>
    </row>
    <row r="178" spans="1:7" x14ac:dyDescent="0.25">
      <c r="A178" s="8">
        <v>42620.698599537034</v>
      </c>
      <c r="B178" s="22" t="s">
        <v>222</v>
      </c>
      <c r="C178" s="22" t="s">
        <v>496</v>
      </c>
      <c r="D178" s="22">
        <v>1180000</v>
      </c>
      <c r="E178" s="22" t="s">
        <v>479</v>
      </c>
      <c r="F178" s="22" t="str">
        <f t="shared" si="4"/>
        <v>rtdc.l.rtdc.4044:itc</v>
      </c>
      <c r="G178" s="8">
        <f t="shared" si="5"/>
        <v>42620.698599537034</v>
      </c>
    </row>
    <row r="179" spans="1:7" x14ac:dyDescent="0.25">
      <c r="A179" s="8">
        <v>42620.702048611114</v>
      </c>
      <c r="B179" s="22" t="s">
        <v>242</v>
      </c>
      <c r="C179" s="22" t="s">
        <v>497</v>
      </c>
      <c r="D179" s="22">
        <v>1780000</v>
      </c>
      <c r="E179" s="22" t="s">
        <v>445</v>
      </c>
      <c r="F179" s="22" t="str">
        <f t="shared" si="4"/>
        <v>rtdc.l.rtdc.4026:itc</v>
      </c>
      <c r="G179" s="8">
        <f t="shared" si="5"/>
        <v>42620.702048611114</v>
      </c>
    </row>
    <row r="180" spans="1:7" x14ac:dyDescent="0.25">
      <c r="A180" s="8">
        <v>42620.70416666667</v>
      </c>
      <c r="B180" s="22" t="s">
        <v>208</v>
      </c>
      <c r="C180" s="22" t="s">
        <v>498</v>
      </c>
      <c r="D180" s="22">
        <v>2100000</v>
      </c>
      <c r="E180" s="22" t="s">
        <v>135</v>
      </c>
      <c r="F180" s="22" t="str">
        <f t="shared" si="4"/>
        <v>rtdc.l.rtdc.4011:itc</v>
      </c>
      <c r="G180" s="8">
        <f t="shared" si="5"/>
        <v>42620.70416666667</v>
      </c>
    </row>
    <row r="181" spans="1:7" x14ac:dyDescent="0.25">
      <c r="A181" s="8">
        <v>42620.708356481482</v>
      </c>
      <c r="B181" s="22" t="s">
        <v>352</v>
      </c>
      <c r="C181" s="22" t="s">
        <v>495</v>
      </c>
      <c r="D181" s="22">
        <v>1540000</v>
      </c>
      <c r="E181" s="22" t="s">
        <v>277</v>
      </c>
      <c r="F181" s="22" t="str">
        <f t="shared" si="4"/>
        <v>rtdc.l.rtdc.4046:itc</v>
      </c>
      <c r="G181" s="8">
        <f t="shared" si="5"/>
        <v>42620.708356481482</v>
      </c>
    </row>
    <row r="182" spans="1:7" x14ac:dyDescent="0.25">
      <c r="A182" s="8">
        <v>42620.709085648145</v>
      </c>
      <c r="B182" s="22" t="s">
        <v>113</v>
      </c>
      <c r="C182" s="22" t="s">
        <v>499</v>
      </c>
      <c r="D182" s="22">
        <v>2250000</v>
      </c>
      <c r="E182" s="22" t="s">
        <v>286</v>
      </c>
      <c r="F182" s="22" t="str">
        <f t="shared" si="4"/>
        <v>rtdc.l.rtdc.4032:itc</v>
      </c>
      <c r="G182" s="8">
        <f t="shared" si="5"/>
        <v>42620.709085648145</v>
      </c>
    </row>
    <row r="183" spans="1:7" x14ac:dyDescent="0.25">
      <c r="A183" s="8">
        <v>42620.709652777776</v>
      </c>
      <c r="B183" s="22" t="s">
        <v>283</v>
      </c>
      <c r="C183" s="22" t="s">
        <v>490</v>
      </c>
      <c r="D183" s="22">
        <v>1140000</v>
      </c>
      <c r="E183" s="22" t="s">
        <v>244</v>
      </c>
      <c r="F183" s="22" t="str">
        <f t="shared" si="4"/>
        <v>rtdc.l.rtdc.4010:itc</v>
      </c>
      <c r="G183" s="8">
        <f t="shared" si="5"/>
        <v>42620.709652777776</v>
      </c>
    </row>
    <row r="184" spans="1:7" x14ac:dyDescent="0.25">
      <c r="A184" s="8">
        <v>42620.714074074072</v>
      </c>
      <c r="B184" s="22" t="s">
        <v>220</v>
      </c>
      <c r="C184" s="22" t="s">
        <v>500</v>
      </c>
      <c r="D184" s="22">
        <v>1180000</v>
      </c>
      <c r="E184" s="22" t="s">
        <v>479</v>
      </c>
      <c r="F184" s="22" t="str">
        <f t="shared" si="4"/>
        <v>rtdc.l.rtdc.4043:itc</v>
      </c>
      <c r="G184" s="8">
        <f t="shared" si="5"/>
        <v>42620.714074074072</v>
      </c>
    </row>
    <row r="185" spans="1:7" x14ac:dyDescent="0.25">
      <c r="A185" s="8">
        <v>42620.719317129631</v>
      </c>
      <c r="B185" s="22" t="s">
        <v>90</v>
      </c>
      <c r="C185" s="22" t="s">
        <v>493</v>
      </c>
      <c r="D185" s="22">
        <v>1770000</v>
      </c>
      <c r="E185" s="22" t="s">
        <v>235</v>
      </c>
      <c r="F185" s="22" t="str">
        <f t="shared" si="4"/>
        <v>rtdc.l.rtdc.4013:itc</v>
      </c>
      <c r="G185" s="8">
        <f t="shared" si="5"/>
        <v>42620.719317129631</v>
      </c>
    </row>
    <row r="186" spans="1:7" x14ac:dyDescent="0.25">
      <c r="A186" s="8">
        <v>42620.720231481479</v>
      </c>
      <c r="B186" s="22" t="s">
        <v>196</v>
      </c>
      <c r="C186" s="22" t="s">
        <v>501</v>
      </c>
      <c r="D186" s="22">
        <v>1280000</v>
      </c>
      <c r="E186" s="22" t="s">
        <v>243</v>
      </c>
      <c r="F186" s="22" t="str">
        <f t="shared" si="4"/>
        <v>rtdc.l.rtdc.4019:itc</v>
      </c>
      <c r="G186" s="8">
        <f t="shared" si="5"/>
        <v>42620.720231481479</v>
      </c>
    </row>
    <row r="187" spans="1:7" x14ac:dyDescent="0.25">
      <c r="A187" s="8">
        <v>42620.721377314818</v>
      </c>
      <c r="B187" s="22" t="s">
        <v>91</v>
      </c>
      <c r="C187" s="22" t="s">
        <v>502</v>
      </c>
      <c r="D187" s="22">
        <v>2040000</v>
      </c>
      <c r="E187" s="22" t="s">
        <v>456</v>
      </c>
      <c r="F187" s="22" t="str">
        <f t="shared" si="4"/>
        <v>rtdc.l.rtdc.4029:itc</v>
      </c>
      <c r="G187" s="8">
        <f t="shared" si="5"/>
        <v>42620.721377314818</v>
      </c>
    </row>
    <row r="188" spans="1:7" x14ac:dyDescent="0.25">
      <c r="A188" s="8">
        <v>42620.722222222219</v>
      </c>
      <c r="B188" s="22" t="s">
        <v>147</v>
      </c>
      <c r="C188" s="22" t="s">
        <v>503</v>
      </c>
      <c r="D188" s="22">
        <v>1480000</v>
      </c>
      <c r="E188" s="22" t="s">
        <v>287</v>
      </c>
      <c r="F188" s="22" t="str">
        <f t="shared" si="4"/>
        <v>rtdc.l.rtdc.4009:itc</v>
      </c>
      <c r="G188" s="8">
        <f t="shared" si="5"/>
        <v>42620.722222222219</v>
      </c>
    </row>
    <row r="189" spans="1:7" x14ac:dyDescent="0.25">
      <c r="A189" s="8">
        <v>42620.722824074073</v>
      </c>
      <c r="B189" s="22" t="s">
        <v>282</v>
      </c>
      <c r="C189" s="22" t="s">
        <v>504</v>
      </c>
      <c r="D189" s="22">
        <v>1200000</v>
      </c>
      <c r="E189" s="22" t="s">
        <v>505</v>
      </c>
      <c r="F189" s="22" t="str">
        <f t="shared" si="4"/>
        <v>rtdc.l.rtdc.4041:itc</v>
      </c>
      <c r="G189" s="8">
        <f t="shared" si="5"/>
        <v>42620.722824074073</v>
      </c>
    </row>
    <row r="190" spans="1:7" x14ac:dyDescent="0.25">
      <c r="A190" s="8">
        <v>42620.728958333333</v>
      </c>
      <c r="B190" s="22" t="s">
        <v>110</v>
      </c>
      <c r="C190" s="22" t="s">
        <v>506</v>
      </c>
      <c r="D190" s="22">
        <v>1740000</v>
      </c>
      <c r="E190" s="22" t="s">
        <v>289</v>
      </c>
      <c r="F190" s="22" t="str">
        <f t="shared" si="4"/>
        <v>rtdc.l.rtdc.4014:itc</v>
      </c>
      <c r="G190" s="8">
        <f t="shared" si="5"/>
        <v>42620.728958333333</v>
      </c>
    </row>
    <row r="191" spans="1:7" x14ac:dyDescent="0.25">
      <c r="A191" s="8">
        <v>42620.734803240739</v>
      </c>
      <c r="B191" s="22" t="s">
        <v>361</v>
      </c>
      <c r="C191" s="22" t="s">
        <v>507</v>
      </c>
      <c r="D191" s="22">
        <v>1540000</v>
      </c>
      <c r="E191" s="22" t="s">
        <v>277</v>
      </c>
      <c r="F191" s="22" t="str">
        <f t="shared" si="4"/>
        <v>rtdc.l.rtdc.4045:itc</v>
      </c>
      <c r="G191" s="8">
        <f t="shared" si="5"/>
        <v>42620.734803240739</v>
      </c>
    </row>
    <row r="192" spans="1:7" x14ac:dyDescent="0.25">
      <c r="A192" s="8">
        <v>42620.736307870371</v>
      </c>
      <c r="B192" s="22" t="s">
        <v>92</v>
      </c>
      <c r="C192" s="22" t="s">
        <v>508</v>
      </c>
      <c r="D192" s="22">
        <v>2040000</v>
      </c>
      <c r="E192" s="22" t="s">
        <v>456</v>
      </c>
      <c r="F192" s="22" t="str">
        <f t="shared" si="4"/>
        <v>rtdc.l.rtdc.4030:itc</v>
      </c>
      <c r="G192" s="8">
        <f t="shared" si="5"/>
        <v>42620.736307870371</v>
      </c>
    </row>
    <row r="193" spans="1:7" x14ac:dyDescent="0.25">
      <c r="A193" s="8">
        <v>42620.738078703704</v>
      </c>
      <c r="B193" s="22" t="s">
        <v>240</v>
      </c>
      <c r="C193" s="22" t="s">
        <v>509</v>
      </c>
      <c r="D193" s="22">
        <v>2000000</v>
      </c>
      <c r="E193" s="22" t="s">
        <v>137</v>
      </c>
      <c r="F193" s="22" t="str">
        <f t="shared" si="4"/>
        <v>rtdc.l.rtdc.4025:itc</v>
      </c>
      <c r="G193" s="8">
        <f t="shared" si="5"/>
        <v>42620.738078703704</v>
      </c>
    </row>
    <row r="194" spans="1:7" x14ac:dyDescent="0.25">
      <c r="A194" s="8">
        <v>42620.739363425928</v>
      </c>
      <c r="B194" s="22" t="s">
        <v>222</v>
      </c>
      <c r="C194" s="22" t="s">
        <v>510</v>
      </c>
      <c r="D194" s="22">
        <v>1180000</v>
      </c>
      <c r="E194" s="22" t="s">
        <v>479</v>
      </c>
      <c r="F194" s="22" t="str">
        <f t="shared" ref="F194:F235" si="6">B194</f>
        <v>rtdc.l.rtdc.4044:itc</v>
      </c>
      <c r="G194" s="8">
        <f t="shared" ref="G194:G235" si="7">A194</f>
        <v>42620.739363425928</v>
      </c>
    </row>
    <row r="195" spans="1:7" x14ac:dyDescent="0.25">
      <c r="A195" s="8">
        <v>42620.741331018522</v>
      </c>
      <c r="B195" s="22" t="s">
        <v>268</v>
      </c>
      <c r="C195" s="22" t="s">
        <v>511</v>
      </c>
      <c r="D195" s="22">
        <v>2100000</v>
      </c>
      <c r="E195" s="22" t="s">
        <v>135</v>
      </c>
      <c r="F195" s="22" t="str">
        <f t="shared" si="6"/>
        <v>rtdc.l.rtdc.4012:itc</v>
      </c>
      <c r="G195" s="8">
        <f t="shared" si="7"/>
        <v>42620.741331018522</v>
      </c>
    </row>
    <row r="196" spans="1:7" x14ac:dyDescent="0.25">
      <c r="A196" s="8">
        <v>42620.747048611112</v>
      </c>
      <c r="B196" s="22" t="s">
        <v>112</v>
      </c>
      <c r="C196" s="22" t="s">
        <v>512</v>
      </c>
      <c r="D196" s="22">
        <v>1780000</v>
      </c>
      <c r="E196" s="22" t="s">
        <v>445</v>
      </c>
      <c r="F196" s="22" t="str">
        <f t="shared" si="6"/>
        <v>rtdc.l.rtdc.4031:itc</v>
      </c>
      <c r="G196" s="8">
        <f t="shared" si="7"/>
        <v>42620.747048611112</v>
      </c>
    </row>
    <row r="197" spans="1:7" x14ac:dyDescent="0.25">
      <c r="A197" s="8">
        <v>42620.747581018521</v>
      </c>
      <c r="B197" s="22" t="s">
        <v>157</v>
      </c>
      <c r="C197" s="22" t="s">
        <v>513</v>
      </c>
      <c r="D197" s="22">
        <v>1290000</v>
      </c>
      <c r="E197" s="22" t="s">
        <v>245</v>
      </c>
      <c r="F197" s="22" t="str">
        <f t="shared" si="6"/>
        <v>rtdc.l.rtdc.4004:itc</v>
      </c>
      <c r="G197" s="8">
        <f t="shared" si="7"/>
        <v>42620.747581018521</v>
      </c>
    </row>
    <row r="198" spans="1:7" x14ac:dyDescent="0.25">
      <c r="A198" s="8">
        <v>42620.754236111112</v>
      </c>
      <c r="B198" s="22" t="s">
        <v>283</v>
      </c>
      <c r="C198" s="22" t="s">
        <v>514</v>
      </c>
      <c r="D198" s="22">
        <v>1480000</v>
      </c>
      <c r="E198" s="22" t="s">
        <v>287</v>
      </c>
      <c r="F198" s="22" t="str">
        <f t="shared" si="6"/>
        <v>rtdc.l.rtdc.4010:itc</v>
      </c>
      <c r="G198" s="8">
        <f t="shared" si="7"/>
        <v>42620.754236111112</v>
      </c>
    </row>
    <row r="199" spans="1:7" x14ac:dyDescent="0.25">
      <c r="A199" s="8">
        <v>42620.755740740744</v>
      </c>
      <c r="B199" s="22" t="s">
        <v>220</v>
      </c>
      <c r="C199" s="22" t="s">
        <v>515</v>
      </c>
      <c r="D199" s="22">
        <v>1180000</v>
      </c>
      <c r="E199" s="22" t="s">
        <v>479</v>
      </c>
      <c r="F199" s="22" t="str">
        <f t="shared" si="6"/>
        <v>rtdc.l.rtdc.4043:itc</v>
      </c>
      <c r="G199" s="8">
        <f t="shared" si="7"/>
        <v>42620.755740740744</v>
      </c>
    </row>
    <row r="200" spans="1:7" x14ac:dyDescent="0.25">
      <c r="A200" s="8">
        <v>42620.757534722223</v>
      </c>
      <c r="B200" s="22" t="s">
        <v>197</v>
      </c>
      <c r="C200" s="22" t="s">
        <v>516</v>
      </c>
      <c r="D200" s="22">
        <v>1300000</v>
      </c>
      <c r="E200" s="22" t="s">
        <v>136</v>
      </c>
      <c r="F200" s="22" t="str">
        <f t="shared" si="6"/>
        <v>rtdc.l.rtdc.4020:itc</v>
      </c>
      <c r="G200" s="8">
        <f t="shared" si="7"/>
        <v>42620.757534722223</v>
      </c>
    </row>
    <row r="201" spans="1:7" x14ac:dyDescent="0.25">
      <c r="A201" s="8">
        <v>42620.762453703705</v>
      </c>
      <c r="B201" s="22" t="s">
        <v>91</v>
      </c>
      <c r="C201" s="22" t="s">
        <v>517</v>
      </c>
      <c r="D201" s="22">
        <v>2040000</v>
      </c>
      <c r="E201" s="22" t="s">
        <v>456</v>
      </c>
      <c r="F201" s="22" t="str">
        <f t="shared" si="6"/>
        <v>rtdc.l.rtdc.4029:itc</v>
      </c>
      <c r="G201" s="8">
        <f t="shared" si="7"/>
        <v>42620.762453703705</v>
      </c>
    </row>
    <row r="202" spans="1:7" x14ac:dyDescent="0.25">
      <c r="A202" s="28">
        <v>42620.762662037036</v>
      </c>
      <c r="B202" s="22" t="s">
        <v>90</v>
      </c>
      <c r="C202" s="22" t="s">
        <v>518</v>
      </c>
      <c r="D202" s="22">
        <v>1740000</v>
      </c>
      <c r="E202" s="22" t="s">
        <v>289</v>
      </c>
      <c r="F202" s="22" t="str">
        <f t="shared" si="6"/>
        <v>rtdc.l.rtdc.4013:itc</v>
      </c>
      <c r="G202" s="8">
        <f t="shared" si="7"/>
        <v>42620.762662037036</v>
      </c>
    </row>
    <row r="203" spans="1:7" x14ac:dyDescent="0.25">
      <c r="A203" s="8">
        <v>42620.767060185186</v>
      </c>
      <c r="B203" s="22" t="s">
        <v>352</v>
      </c>
      <c r="C203" s="22" t="s">
        <v>519</v>
      </c>
      <c r="D203" s="22">
        <v>1290000</v>
      </c>
      <c r="E203" s="22" t="s">
        <v>245</v>
      </c>
      <c r="F203" s="22" t="str">
        <f t="shared" si="6"/>
        <v>rtdc.l.rtdc.4046:itc</v>
      </c>
      <c r="G203" s="8">
        <f t="shared" si="7"/>
        <v>42620.767060185186</v>
      </c>
    </row>
    <row r="204" spans="1:7" x14ac:dyDescent="0.25">
      <c r="A204" s="8">
        <v>42620.769537037035</v>
      </c>
      <c r="B204" s="22" t="s">
        <v>520</v>
      </c>
      <c r="C204" s="22" t="s">
        <v>521</v>
      </c>
      <c r="D204" s="22">
        <v>1540000</v>
      </c>
      <c r="E204" s="22" t="s">
        <v>277</v>
      </c>
      <c r="F204" s="22" t="str">
        <f t="shared" si="6"/>
        <v>rtdc.l.rtdc.4003:itc</v>
      </c>
      <c r="G204" s="8">
        <f t="shared" si="7"/>
        <v>42620.769537037035</v>
      </c>
    </row>
    <row r="205" spans="1:7" x14ac:dyDescent="0.25">
      <c r="A205" s="8">
        <v>42620.774305555555</v>
      </c>
      <c r="B205" s="22" t="s">
        <v>242</v>
      </c>
      <c r="C205" s="22" t="s">
        <v>522</v>
      </c>
      <c r="D205" s="22">
        <v>2000000</v>
      </c>
      <c r="E205" s="22" t="s">
        <v>137</v>
      </c>
      <c r="F205" s="22" t="str">
        <f t="shared" si="6"/>
        <v>rtdc.l.rtdc.4026:itc</v>
      </c>
      <c r="G205" s="8">
        <f t="shared" si="7"/>
        <v>42620.774305555555</v>
      </c>
    </row>
    <row r="206" spans="1:7" x14ac:dyDescent="0.25">
      <c r="A206" s="8">
        <v>42620.777256944442</v>
      </c>
      <c r="B206" s="22" t="s">
        <v>92</v>
      </c>
      <c r="C206" s="22" t="s">
        <v>523</v>
      </c>
      <c r="D206" s="22">
        <v>2040000</v>
      </c>
      <c r="E206" s="22" t="s">
        <v>456</v>
      </c>
      <c r="F206" s="22" t="str">
        <f t="shared" si="6"/>
        <v>rtdc.l.rtdc.4030:itc</v>
      </c>
      <c r="G206" s="8">
        <f t="shared" si="7"/>
        <v>42620.777256944442</v>
      </c>
    </row>
    <row r="207" spans="1:7" x14ac:dyDescent="0.25">
      <c r="A207" s="8">
        <v>42620.777916666666</v>
      </c>
      <c r="B207" s="22" t="s">
        <v>208</v>
      </c>
      <c r="C207" s="22" t="s">
        <v>524</v>
      </c>
      <c r="D207" s="22">
        <v>2100000</v>
      </c>
      <c r="E207" s="22" t="s">
        <v>135</v>
      </c>
      <c r="F207" s="22" t="str">
        <f t="shared" si="6"/>
        <v>rtdc.l.rtdc.4011:itc</v>
      </c>
      <c r="G207" s="8">
        <f t="shared" si="7"/>
        <v>42620.777916666666</v>
      </c>
    </row>
    <row r="208" spans="1:7" x14ac:dyDescent="0.25">
      <c r="A208" s="8">
        <v>42620.780787037038</v>
      </c>
      <c r="B208" s="22" t="s">
        <v>222</v>
      </c>
      <c r="C208" s="22" t="s">
        <v>525</v>
      </c>
      <c r="D208" s="22">
        <v>1180000</v>
      </c>
      <c r="E208" s="22" t="s">
        <v>479</v>
      </c>
      <c r="F208" s="22" t="str">
        <f t="shared" si="6"/>
        <v>rtdc.l.rtdc.4044:itc</v>
      </c>
      <c r="G208" s="8">
        <f t="shared" si="7"/>
        <v>42620.780787037038</v>
      </c>
    </row>
    <row r="209" spans="1:7" x14ac:dyDescent="0.25">
      <c r="A209" s="8">
        <v>42620.785937499997</v>
      </c>
      <c r="B209" s="22" t="s">
        <v>113</v>
      </c>
      <c r="C209" s="22" t="s">
        <v>526</v>
      </c>
      <c r="D209" s="22">
        <v>1780000</v>
      </c>
      <c r="E209" s="22" t="s">
        <v>445</v>
      </c>
      <c r="F209" s="22" t="str">
        <f t="shared" si="6"/>
        <v>rtdc.l.rtdc.4032:itc</v>
      </c>
      <c r="G209" s="8">
        <f t="shared" si="7"/>
        <v>42620.785937499997</v>
      </c>
    </row>
    <row r="210" spans="1:7" x14ac:dyDescent="0.25">
      <c r="A210" s="8">
        <v>42620.788206018522</v>
      </c>
      <c r="B210" s="22" t="s">
        <v>147</v>
      </c>
      <c r="C210" s="22" t="s">
        <v>527</v>
      </c>
      <c r="D210" s="22">
        <v>2260000</v>
      </c>
      <c r="E210" s="22" t="s">
        <v>158</v>
      </c>
      <c r="F210" s="22" t="str">
        <f t="shared" si="6"/>
        <v>rtdc.l.rtdc.4009:itc</v>
      </c>
      <c r="G210" s="8">
        <f t="shared" si="7"/>
        <v>42620.788206018522</v>
      </c>
    </row>
    <row r="211" spans="1:7" x14ac:dyDescent="0.25">
      <c r="A211" s="8">
        <v>42620.793182870373</v>
      </c>
      <c r="B211" s="22" t="s">
        <v>196</v>
      </c>
      <c r="C211" s="22" t="s">
        <v>528</v>
      </c>
      <c r="D211" s="22">
        <v>1300000</v>
      </c>
      <c r="E211" s="22" t="s">
        <v>136</v>
      </c>
      <c r="F211" s="22" t="str">
        <f t="shared" si="6"/>
        <v>rtdc.l.rtdc.4019:itc</v>
      </c>
      <c r="G211" s="8">
        <f t="shared" si="7"/>
        <v>42620.793182870373</v>
      </c>
    </row>
    <row r="212" spans="1:7" x14ac:dyDescent="0.25">
      <c r="A212" s="8">
        <v>42620.798090277778</v>
      </c>
      <c r="B212" s="22" t="s">
        <v>220</v>
      </c>
      <c r="C212" s="22" t="s">
        <v>529</v>
      </c>
      <c r="D212" s="22">
        <v>1180000</v>
      </c>
      <c r="E212" s="22" t="s">
        <v>479</v>
      </c>
      <c r="F212" s="22" t="str">
        <f t="shared" si="6"/>
        <v>rtdc.l.rtdc.4043:itc</v>
      </c>
      <c r="G212" s="8">
        <f t="shared" si="7"/>
        <v>42620.798090277778</v>
      </c>
    </row>
    <row r="213" spans="1:7" x14ac:dyDescent="0.25">
      <c r="A213" s="8">
        <v>42620.803900462961</v>
      </c>
      <c r="B213" s="22" t="s">
        <v>91</v>
      </c>
      <c r="C213" s="22" t="s">
        <v>530</v>
      </c>
      <c r="D213" s="22">
        <v>2040000</v>
      </c>
      <c r="E213" s="22" t="s">
        <v>456</v>
      </c>
      <c r="F213" s="22" t="str">
        <f t="shared" si="6"/>
        <v>rtdc.l.rtdc.4029:itc</v>
      </c>
      <c r="G213" s="8">
        <f t="shared" si="7"/>
        <v>42620.803900462961</v>
      </c>
    </row>
    <row r="214" spans="1:7" x14ac:dyDescent="0.25">
      <c r="A214" s="8">
        <v>42620.805150462962</v>
      </c>
      <c r="B214" s="22" t="s">
        <v>142</v>
      </c>
      <c r="C214" s="22" t="s">
        <v>531</v>
      </c>
      <c r="D214" s="22">
        <v>1740000</v>
      </c>
      <c r="E214" s="22" t="s">
        <v>289</v>
      </c>
      <c r="F214" s="22" t="str">
        <f t="shared" si="6"/>
        <v>rtdc.l.rtdc.4038:itc</v>
      </c>
      <c r="G214" s="8">
        <f t="shared" si="7"/>
        <v>42620.805150462962</v>
      </c>
    </row>
    <row r="215" spans="1:7" x14ac:dyDescent="0.25">
      <c r="A215" s="8">
        <v>42620.806469907409</v>
      </c>
      <c r="B215" s="22" t="s">
        <v>240</v>
      </c>
      <c r="C215" s="22" t="s">
        <v>532</v>
      </c>
      <c r="D215" s="22">
        <v>2000000</v>
      </c>
      <c r="E215" s="22" t="s">
        <v>137</v>
      </c>
      <c r="F215" s="22" t="str">
        <f t="shared" si="6"/>
        <v>rtdc.l.rtdc.4025:itc</v>
      </c>
      <c r="G215" s="8">
        <f t="shared" si="7"/>
        <v>42620.806469907409</v>
      </c>
    </row>
    <row r="216" spans="1:7" x14ac:dyDescent="0.25">
      <c r="A216" s="8">
        <v>42620.806631944448</v>
      </c>
      <c r="B216" s="22" t="s">
        <v>361</v>
      </c>
      <c r="C216" s="22" t="s">
        <v>533</v>
      </c>
      <c r="D216" s="22">
        <v>1290000</v>
      </c>
      <c r="E216" s="22" t="s">
        <v>245</v>
      </c>
      <c r="F216" s="22" t="str">
        <f t="shared" si="6"/>
        <v>rtdc.l.rtdc.4045:itc</v>
      </c>
      <c r="G216" s="8">
        <f t="shared" si="7"/>
        <v>42620.806631944448</v>
      </c>
    </row>
    <row r="217" spans="1:7" x14ac:dyDescent="0.25">
      <c r="A217" s="8">
        <v>42620.819004629629</v>
      </c>
      <c r="B217" s="22" t="s">
        <v>92</v>
      </c>
      <c r="C217" s="22" t="s">
        <v>534</v>
      </c>
      <c r="D217" s="22">
        <v>2040000</v>
      </c>
      <c r="E217" s="22" t="s">
        <v>456</v>
      </c>
      <c r="F217" s="22" t="str">
        <f t="shared" si="6"/>
        <v>rtdc.l.rtdc.4030:itc</v>
      </c>
      <c r="G217" s="8">
        <f t="shared" si="7"/>
        <v>42620.819004629629</v>
      </c>
    </row>
    <row r="218" spans="1:7" x14ac:dyDescent="0.25">
      <c r="A218" s="8">
        <v>42620.8203587963</v>
      </c>
      <c r="B218" s="22" t="s">
        <v>112</v>
      </c>
      <c r="C218" s="22" t="s">
        <v>535</v>
      </c>
      <c r="D218" s="22">
        <v>1780000</v>
      </c>
      <c r="E218" s="22" t="s">
        <v>445</v>
      </c>
      <c r="F218" s="22" t="str">
        <f t="shared" si="6"/>
        <v>rtdc.l.rtdc.4031:itc</v>
      </c>
      <c r="G218" s="8">
        <f t="shared" si="7"/>
        <v>42620.8203587963</v>
      </c>
    </row>
    <row r="219" spans="1:7" x14ac:dyDescent="0.25">
      <c r="A219" s="8">
        <v>42620.826423611114</v>
      </c>
      <c r="B219" s="22" t="s">
        <v>283</v>
      </c>
      <c r="C219" s="22" t="s">
        <v>536</v>
      </c>
      <c r="D219" s="22">
        <v>2260000</v>
      </c>
      <c r="E219" s="22" t="s">
        <v>158</v>
      </c>
      <c r="F219" s="22" t="str">
        <f t="shared" si="6"/>
        <v>rtdc.l.rtdc.4010:itc</v>
      </c>
      <c r="G219" s="8">
        <f t="shared" si="7"/>
        <v>42620.826423611114</v>
      </c>
    </row>
    <row r="220" spans="1:7" x14ac:dyDescent="0.25">
      <c r="A220" s="8">
        <v>42620.828773148147</v>
      </c>
      <c r="B220" s="22" t="s">
        <v>197</v>
      </c>
      <c r="C220" s="22" t="s">
        <v>537</v>
      </c>
      <c r="D220" s="22">
        <v>1300000</v>
      </c>
      <c r="E220" s="22" t="s">
        <v>136</v>
      </c>
      <c r="F220" s="22" t="str">
        <f t="shared" si="6"/>
        <v>rtdc.l.rtdc.4020:itc</v>
      </c>
      <c r="G220" s="8">
        <f t="shared" si="7"/>
        <v>42620.828773148147</v>
      </c>
    </row>
    <row r="221" spans="1:7" x14ac:dyDescent="0.25">
      <c r="A221" s="8">
        <v>42620.835717592592</v>
      </c>
      <c r="B221" s="22" t="s">
        <v>288</v>
      </c>
      <c r="C221" s="22" t="s">
        <v>538</v>
      </c>
      <c r="D221" s="22">
        <v>1200000</v>
      </c>
      <c r="E221" s="22" t="s">
        <v>505</v>
      </c>
      <c r="F221" s="22" t="str">
        <f t="shared" si="6"/>
        <v>rtdc.l.rtdc.4022:itc</v>
      </c>
      <c r="G221" s="8">
        <f t="shared" si="7"/>
        <v>42620.835717592592</v>
      </c>
    </row>
    <row r="222" spans="1:7" x14ac:dyDescent="0.25">
      <c r="A222" s="8">
        <v>42620.844236111108</v>
      </c>
      <c r="B222" s="22" t="s">
        <v>91</v>
      </c>
      <c r="C222" s="22" t="s">
        <v>539</v>
      </c>
      <c r="D222" s="22">
        <v>2040000</v>
      </c>
      <c r="E222" s="22" t="s">
        <v>456</v>
      </c>
      <c r="F222" s="22" t="str">
        <f t="shared" si="6"/>
        <v>rtdc.l.rtdc.4029:itc</v>
      </c>
      <c r="G222" s="8">
        <f t="shared" si="7"/>
        <v>42620.844236111108</v>
      </c>
    </row>
    <row r="223" spans="1:7" x14ac:dyDescent="0.25">
      <c r="A223" s="8">
        <v>42620.846851851849</v>
      </c>
      <c r="B223" s="22" t="s">
        <v>242</v>
      </c>
      <c r="C223" s="22" t="s">
        <v>540</v>
      </c>
      <c r="D223" s="22">
        <v>2000000</v>
      </c>
      <c r="E223" s="22" t="s">
        <v>137</v>
      </c>
      <c r="F223" s="22" t="str">
        <f t="shared" si="6"/>
        <v>rtdc.l.rtdc.4026:itc</v>
      </c>
      <c r="G223" s="8">
        <f t="shared" si="7"/>
        <v>42620.846851851849</v>
      </c>
    </row>
    <row r="224" spans="1:7" x14ac:dyDescent="0.25">
      <c r="A224" s="8">
        <v>42620.853229166663</v>
      </c>
      <c r="B224" t="s">
        <v>352</v>
      </c>
      <c r="C224" t="s">
        <v>541</v>
      </c>
      <c r="D224">
        <v>1290000</v>
      </c>
      <c r="E224" t="s">
        <v>245</v>
      </c>
      <c r="F224" s="22" t="str">
        <f t="shared" si="6"/>
        <v>rtdc.l.rtdc.4046:itc</v>
      </c>
      <c r="G224" s="8">
        <f t="shared" si="7"/>
        <v>42620.853229166663</v>
      </c>
    </row>
    <row r="225" spans="1:7" x14ac:dyDescent="0.25">
      <c r="A225" s="8">
        <v>42620.859432870369</v>
      </c>
      <c r="B225" t="s">
        <v>92</v>
      </c>
      <c r="C225" t="s">
        <v>542</v>
      </c>
      <c r="D225">
        <v>2040000</v>
      </c>
      <c r="E225" t="s">
        <v>456</v>
      </c>
      <c r="F225" s="22" t="str">
        <f t="shared" si="6"/>
        <v>rtdc.l.rtdc.4030:itc</v>
      </c>
      <c r="G225" s="8">
        <f t="shared" si="7"/>
        <v>42620.859432870369</v>
      </c>
    </row>
    <row r="226" spans="1:7" x14ac:dyDescent="0.25">
      <c r="A226" s="8">
        <v>42620.86273148148</v>
      </c>
      <c r="B226" t="s">
        <v>196</v>
      </c>
      <c r="C226" t="s">
        <v>543</v>
      </c>
      <c r="D226">
        <v>1300000</v>
      </c>
      <c r="E226" t="s">
        <v>136</v>
      </c>
      <c r="F226" s="22" t="str">
        <f t="shared" si="6"/>
        <v>rtdc.l.rtdc.4019:itc</v>
      </c>
      <c r="G226" s="8">
        <f t="shared" si="7"/>
        <v>42620.86273148148</v>
      </c>
    </row>
    <row r="227" spans="1:7" x14ac:dyDescent="0.25">
      <c r="A227" s="8">
        <v>42620.869768518518</v>
      </c>
      <c r="B227" t="s">
        <v>147</v>
      </c>
      <c r="C227" t="s">
        <v>544</v>
      </c>
      <c r="D227">
        <v>2260000</v>
      </c>
      <c r="E227" t="s">
        <v>158</v>
      </c>
      <c r="F227" s="22" t="str">
        <f t="shared" si="6"/>
        <v>rtdc.l.rtdc.4009:itc</v>
      </c>
      <c r="G227" s="8">
        <f t="shared" si="7"/>
        <v>42620.869768518518</v>
      </c>
    </row>
    <row r="228" spans="1:7" x14ac:dyDescent="0.25">
      <c r="A228" s="8">
        <v>42620.879733796297</v>
      </c>
      <c r="B228" t="s">
        <v>91</v>
      </c>
      <c r="C228" t="s">
        <v>545</v>
      </c>
      <c r="D228">
        <v>1180000</v>
      </c>
      <c r="E228" t="s">
        <v>479</v>
      </c>
      <c r="F228" s="22" t="str">
        <f t="shared" si="6"/>
        <v>rtdc.l.rtdc.4029:itc</v>
      </c>
      <c r="G228" s="8">
        <f t="shared" si="7"/>
        <v>42620.879733796297</v>
      </c>
    </row>
    <row r="229" spans="1:7" x14ac:dyDescent="0.25">
      <c r="A229" s="8">
        <v>42620.887789351851</v>
      </c>
      <c r="B229" t="s">
        <v>240</v>
      </c>
      <c r="C229" t="s">
        <v>546</v>
      </c>
      <c r="D229">
        <v>2000000</v>
      </c>
      <c r="E229" t="s">
        <v>137</v>
      </c>
      <c r="F229" s="22" t="str">
        <f t="shared" si="6"/>
        <v>rtdc.l.rtdc.4025:itc</v>
      </c>
      <c r="G229" s="8">
        <f t="shared" si="7"/>
        <v>42620.887789351851</v>
      </c>
    </row>
    <row r="230" spans="1:7" x14ac:dyDescent="0.25">
      <c r="A230" s="8">
        <v>42620.890821759262</v>
      </c>
      <c r="B230" t="s">
        <v>361</v>
      </c>
      <c r="C230" t="s">
        <v>547</v>
      </c>
      <c r="D230">
        <v>1290000</v>
      </c>
      <c r="E230" t="s">
        <v>245</v>
      </c>
      <c r="F230" s="22" t="str">
        <f t="shared" si="6"/>
        <v>rtdc.l.rtdc.4045:itc</v>
      </c>
      <c r="G230" s="8">
        <f t="shared" si="7"/>
        <v>42620.890821759262</v>
      </c>
    </row>
    <row r="231" spans="1:7" x14ac:dyDescent="0.25">
      <c r="A231" s="8">
        <v>42620.902488425927</v>
      </c>
      <c r="B231" t="s">
        <v>92</v>
      </c>
      <c r="C231" t="s">
        <v>548</v>
      </c>
      <c r="D231">
        <v>1180000</v>
      </c>
      <c r="E231" t="s">
        <v>479</v>
      </c>
      <c r="F231" s="22" t="str">
        <f t="shared" si="6"/>
        <v>rtdc.l.rtdc.4030:itc</v>
      </c>
      <c r="G231" s="8">
        <f t="shared" si="7"/>
        <v>42620.902488425927</v>
      </c>
    </row>
    <row r="232" spans="1:7" x14ac:dyDescent="0.25">
      <c r="A232" s="8">
        <v>42620.910729166666</v>
      </c>
      <c r="B232" t="s">
        <v>283</v>
      </c>
      <c r="C232" t="s">
        <v>549</v>
      </c>
      <c r="D232">
        <v>2260000</v>
      </c>
      <c r="E232" t="s">
        <v>158</v>
      </c>
      <c r="F232" s="22" t="str">
        <f t="shared" si="6"/>
        <v>rtdc.l.rtdc.4010:itc</v>
      </c>
      <c r="G232" s="8">
        <f t="shared" si="7"/>
        <v>42620.910729166666</v>
      </c>
    </row>
    <row r="233" spans="1:7" x14ac:dyDescent="0.25">
      <c r="A233" s="8">
        <v>42620.913668981484</v>
      </c>
      <c r="B233" t="s">
        <v>197</v>
      </c>
      <c r="C233" t="s">
        <v>550</v>
      </c>
      <c r="D233">
        <v>1300000</v>
      </c>
      <c r="E233" t="s">
        <v>136</v>
      </c>
      <c r="F233" s="22" t="str">
        <f t="shared" si="6"/>
        <v>rtdc.l.rtdc.4020:itc</v>
      </c>
      <c r="G233" s="8">
        <f t="shared" si="7"/>
        <v>42620.913668981484</v>
      </c>
    </row>
    <row r="234" spans="1:7" x14ac:dyDescent="0.25">
      <c r="A234" s="8">
        <v>42620.925752314812</v>
      </c>
      <c r="B234" t="s">
        <v>91</v>
      </c>
      <c r="C234" t="s">
        <v>551</v>
      </c>
      <c r="D234">
        <v>1180000</v>
      </c>
      <c r="E234" t="s">
        <v>479</v>
      </c>
      <c r="F234" s="22" t="str">
        <f t="shared" si="6"/>
        <v>rtdc.l.rtdc.4029:itc</v>
      </c>
      <c r="G234" s="8">
        <f t="shared" si="7"/>
        <v>42620.925752314812</v>
      </c>
    </row>
    <row r="235" spans="1:7" x14ac:dyDescent="0.25">
      <c r="A235" s="8">
        <v>42620.932013888887</v>
      </c>
      <c r="B235" t="s">
        <v>242</v>
      </c>
      <c r="C235" t="s">
        <v>552</v>
      </c>
      <c r="D235">
        <v>2000000</v>
      </c>
      <c r="E235" t="s">
        <v>137</v>
      </c>
      <c r="F235" s="22" t="str">
        <f t="shared" si="6"/>
        <v>rtdc.l.rtdc.4026:itc</v>
      </c>
      <c r="G235" s="8">
        <f t="shared" si="7"/>
        <v>42620.932013888887</v>
      </c>
    </row>
    <row r="236" spans="1:7" x14ac:dyDescent="0.25">
      <c r="A236" s="8">
        <v>42620.933483796296</v>
      </c>
      <c r="B236" t="s">
        <v>242</v>
      </c>
      <c r="C236" t="s">
        <v>552</v>
      </c>
      <c r="D236">
        <v>2000000</v>
      </c>
      <c r="E236" t="s">
        <v>137</v>
      </c>
      <c r="F236" s="22" t="str">
        <f t="shared" ref="F236:F265" si="8">B236</f>
        <v>rtdc.l.rtdc.4026:itc</v>
      </c>
      <c r="G236" s="8">
        <f t="shared" ref="G236:G265" si="9">A236</f>
        <v>42620.933483796296</v>
      </c>
    </row>
    <row r="237" spans="1:7" x14ac:dyDescent="0.25">
      <c r="A237" s="8">
        <v>42620.935787037037</v>
      </c>
      <c r="B237" t="s">
        <v>285</v>
      </c>
      <c r="C237" t="s">
        <v>553</v>
      </c>
      <c r="D237">
        <v>1290000</v>
      </c>
      <c r="E237" t="s">
        <v>245</v>
      </c>
      <c r="F237" s="22" t="str">
        <f t="shared" si="8"/>
        <v>rtdc.l.rtdc.4042:itc</v>
      </c>
      <c r="G237" s="8">
        <f t="shared" si="9"/>
        <v>42620.935787037037</v>
      </c>
    </row>
    <row r="238" spans="1:7" x14ac:dyDescent="0.25">
      <c r="A238" s="8">
        <v>42620.937060185184</v>
      </c>
      <c r="B238" t="s">
        <v>285</v>
      </c>
      <c r="C238" t="s">
        <v>553</v>
      </c>
      <c r="D238">
        <v>1290000</v>
      </c>
      <c r="E238" t="s">
        <v>245</v>
      </c>
      <c r="F238" s="22" t="str">
        <f t="shared" si="8"/>
        <v>rtdc.l.rtdc.4042:itc</v>
      </c>
      <c r="G238" s="8">
        <f t="shared" si="9"/>
        <v>42620.937060185184</v>
      </c>
    </row>
    <row r="239" spans="1:7" x14ac:dyDescent="0.25">
      <c r="A239" s="8">
        <v>42620.944189814814</v>
      </c>
      <c r="B239" t="s">
        <v>92</v>
      </c>
      <c r="C239" t="s">
        <v>554</v>
      </c>
      <c r="D239">
        <v>1180000</v>
      </c>
      <c r="E239" t="s">
        <v>479</v>
      </c>
      <c r="F239" s="22" t="str">
        <f t="shared" si="8"/>
        <v>rtdc.l.rtdc.4030:itc</v>
      </c>
      <c r="G239" s="8">
        <f t="shared" si="9"/>
        <v>42620.944189814814</v>
      </c>
    </row>
    <row r="240" spans="1:7" x14ac:dyDescent="0.25">
      <c r="A240" s="8">
        <v>42620.949236111112</v>
      </c>
      <c r="B240" t="s">
        <v>196</v>
      </c>
      <c r="C240" t="s">
        <v>555</v>
      </c>
      <c r="D240">
        <v>1300000</v>
      </c>
      <c r="E240" t="s">
        <v>136</v>
      </c>
      <c r="F240" s="22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147</v>
      </c>
      <c r="C241" t="s">
        <v>556</v>
      </c>
      <c r="D241">
        <v>2260000</v>
      </c>
      <c r="E241" t="s">
        <v>158</v>
      </c>
      <c r="F241" s="22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282</v>
      </c>
      <c r="C242" t="s">
        <v>557</v>
      </c>
      <c r="D242">
        <v>1200000</v>
      </c>
      <c r="E242" t="s">
        <v>505</v>
      </c>
      <c r="F242" s="22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240</v>
      </c>
      <c r="C243" t="s">
        <v>558</v>
      </c>
      <c r="D243">
        <v>2000000</v>
      </c>
      <c r="E243" t="s">
        <v>137</v>
      </c>
      <c r="F243" s="22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197</v>
      </c>
      <c r="C244" t="s">
        <v>559</v>
      </c>
      <c r="D244">
        <v>1300000</v>
      </c>
      <c r="E244" t="s">
        <v>136</v>
      </c>
      <c r="F244" s="22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283</v>
      </c>
      <c r="C245" t="s">
        <v>560</v>
      </c>
      <c r="D245">
        <v>2260000</v>
      </c>
      <c r="E245" t="s">
        <v>158</v>
      </c>
      <c r="F245" s="22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242</v>
      </c>
      <c r="C246" t="s">
        <v>561</v>
      </c>
      <c r="D246">
        <v>2000000</v>
      </c>
      <c r="E246" t="s">
        <v>137</v>
      </c>
      <c r="F246" s="22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285</v>
      </c>
      <c r="C247" t="s">
        <v>562</v>
      </c>
      <c r="D247">
        <v>1290000</v>
      </c>
      <c r="E247" t="s">
        <v>245</v>
      </c>
      <c r="F247" s="22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147</v>
      </c>
      <c r="C248" t="s">
        <v>563</v>
      </c>
      <c r="D248">
        <v>2260000</v>
      </c>
      <c r="E248" t="s">
        <v>158</v>
      </c>
      <c r="F248" s="22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147</v>
      </c>
      <c r="C249" t="s">
        <v>563</v>
      </c>
      <c r="D249">
        <v>2260000</v>
      </c>
      <c r="E249" t="s">
        <v>158</v>
      </c>
      <c r="F249" s="22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196</v>
      </c>
      <c r="C250" t="s">
        <v>564</v>
      </c>
      <c r="D250">
        <v>1300000</v>
      </c>
      <c r="E250" t="s">
        <v>136</v>
      </c>
      <c r="F250" s="22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147</v>
      </c>
      <c r="C251" t="s">
        <v>563</v>
      </c>
      <c r="D251">
        <v>2260000</v>
      </c>
      <c r="E251" t="s">
        <v>158</v>
      </c>
      <c r="F251" s="22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269</v>
      </c>
      <c r="C252" t="s">
        <v>565</v>
      </c>
      <c r="D252">
        <v>630000</v>
      </c>
      <c r="E252" t="b">
        <v>1</v>
      </c>
      <c r="F252" s="22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240</v>
      </c>
      <c r="C253" t="s">
        <v>561</v>
      </c>
      <c r="D253">
        <v>2000000</v>
      </c>
      <c r="E253" t="s">
        <v>137</v>
      </c>
      <c r="F253" s="22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282</v>
      </c>
      <c r="C254" t="s">
        <v>566</v>
      </c>
      <c r="D254">
        <v>1290000</v>
      </c>
      <c r="E254" t="s">
        <v>245</v>
      </c>
      <c r="F254" s="22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272</v>
      </c>
      <c r="C255" t="s">
        <v>567</v>
      </c>
      <c r="D255">
        <v>630000</v>
      </c>
      <c r="E255" t="b">
        <v>1</v>
      </c>
      <c r="F255" s="22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269</v>
      </c>
      <c r="C256" t="s">
        <v>565</v>
      </c>
      <c r="D256">
        <v>630000</v>
      </c>
      <c r="E256" t="b">
        <v>1</v>
      </c>
      <c r="F256" s="22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352</v>
      </c>
      <c r="C257" t="s">
        <v>568</v>
      </c>
      <c r="D257">
        <v>1290000</v>
      </c>
      <c r="E257" t="s">
        <v>245</v>
      </c>
      <c r="F257" s="22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272</v>
      </c>
      <c r="C258" t="s">
        <v>567</v>
      </c>
      <c r="D258">
        <v>630000</v>
      </c>
      <c r="E258" t="b">
        <v>1</v>
      </c>
      <c r="F258" s="22" t="str">
        <f t="shared" si="8"/>
        <v>rtdc.l.rtdc.4052:itc</v>
      </c>
      <c r="G258" s="8">
        <f t="shared" si="9"/>
        <v>42621.100474537037</v>
      </c>
    </row>
    <row r="259" spans="1:7" x14ac:dyDescent="0.25">
      <c r="F259" s="22">
        <f t="shared" si="8"/>
        <v>0</v>
      </c>
      <c r="G259" s="8">
        <f t="shared" si="9"/>
        <v>0</v>
      </c>
    </row>
    <row r="260" spans="1:7" x14ac:dyDescent="0.25">
      <c r="F260" s="22">
        <f t="shared" si="8"/>
        <v>0</v>
      </c>
      <c r="G260" s="8">
        <f t="shared" si="9"/>
        <v>0</v>
      </c>
    </row>
    <row r="261" spans="1:7" x14ac:dyDescent="0.25">
      <c r="F261" s="22">
        <f t="shared" si="8"/>
        <v>0</v>
      </c>
      <c r="G261" s="8">
        <f t="shared" si="9"/>
        <v>0</v>
      </c>
    </row>
    <row r="262" spans="1:7" x14ac:dyDescent="0.25">
      <c r="F262" s="22">
        <f t="shared" si="8"/>
        <v>0</v>
      </c>
      <c r="G262" s="8">
        <f t="shared" si="9"/>
        <v>0</v>
      </c>
    </row>
    <row r="263" spans="1:7" x14ac:dyDescent="0.25">
      <c r="F263" s="22">
        <f t="shared" si="8"/>
        <v>0</v>
      </c>
      <c r="G263" s="8">
        <f t="shared" si="9"/>
        <v>0</v>
      </c>
    </row>
    <row r="264" spans="1:7" x14ac:dyDescent="0.25">
      <c r="F264" s="22">
        <f t="shared" si="8"/>
        <v>0</v>
      </c>
      <c r="G264" s="8">
        <f t="shared" si="9"/>
        <v>0</v>
      </c>
    </row>
    <row r="265" spans="1:7" x14ac:dyDescent="0.25">
      <c r="F265" s="22">
        <f t="shared" si="8"/>
        <v>0</v>
      </c>
      <c r="G265" s="8">
        <f t="shared" si="9"/>
        <v>0</v>
      </c>
    </row>
    <row r="266" spans="1:7" x14ac:dyDescent="0.25">
      <c r="F266" s="22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2">
        <f t="shared" si="10"/>
        <v>0</v>
      </c>
      <c r="G267" s="8">
        <f t="shared" si="11"/>
        <v>0</v>
      </c>
    </row>
    <row r="268" spans="1:7" x14ac:dyDescent="0.25">
      <c r="F268" s="22">
        <f t="shared" si="10"/>
        <v>0</v>
      </c>
      <c r="G268" s="8">
        <f t="shared" si="11"/>
        <v>0</v>
      </c>
    </row>
    <row r="269" spans="1:7" x14ac:dyDescent="0.25">
      <c r="F269" s="22">
        <f t="shared" si="10"/>
        <v>0</v>
      </c>
      <c r="G269" s="8">
        <f t="shared" si="11"/>
        <v>0</v>
      </c>
    </row>
    <row r="270" spans="1:7" x14ac:dyDescent="0.25">
      <c r="F270" s="22">
        <f t="shared" si="10"/>
        <v>0</v>
      </c>
      <c r="G270" s="8">
        <f t="shared" si="11"/>
        <v>0</v>
      </c>
    </row>
    <row r="271" spans="1:7" x14ac:dyDescent="0.25">
      <c r="F271" s="22">
        <f t="shared" si="10"/>
        <v>0</v>
      </c>
      <c r="G271" s="8">
        <f t="shared" si="11"/>
        <v>0</v>
      </c>
    </row>
    <row r="272" spans="1:7" x14ac:dyDescent="0.25">
      <c r="F272" s="22">
        <f t="shared" si="10"/>
        <v>0</v>
      </c>
      <c r="G272" s="8">
        <f t="shared" si="11"/>
        <v>0</v>
      </c>
    </row>
    <row r="273" spans="6:7" x14ac:dyDescent="0.25">
      <c r="F273" s="22">
        <f t="shared" si="10"/>
        <v>0</v>
      </c>
      <c r="G273" s="8">
        <f t="shared" si="11"/>
        <v>0</v>
      </c>
    </row>
    <row r="274" spans="6:7" x14ac:dyDescent="0.25">
      <c r="F274" s="22">
        <f t="shared" si="10"/>
        <v>0</v>
      </c>
      <c r="G274" s="8">
        <f t="shared" si="11"/>
        <v>0</v>
      </c>
    </row>
    <row r="275" spans="6:7" x14ac:dyDescent="0.25">
      <c r="F275" s="22">
        <f t="shared" si="10"/>
        <v>0</v>
      </c>
      <c r="G275" s="8">
        <f t="shared" si="11"/>
        <v>0</v>
      </c>
    </row>
    <row r="276" spans="6:7" x14ac:dyDescent="0.25">
      <c r="F276" s="22">
        <f t="shared" si="10"/>
        <v>0</v>
      </c>
      <c r="G276" s="8">
        <f t="shared" si="11"/>
        <v>0</v>
      </c>
    </row>
    <row r="277" spans="6:7" x14ac:dyDescent="0.25">
      <c r="F277" s="22">
        <f t="shared" si="10"/>
        <v>0</v>
      </c>
      <c r="G277" s="8">
        <f t="shared" si="11"/>
        <v>0</v>
      </c>
    </row>
    <row r="278" spans="6:7" x14ac:dyDescent="0.25">
      <c r="F278" s="22">
        <f t="shared" si="10"/>
        <v>0</v>
      </c>
      <c r="G278" s="8">
        <f t="shared" si="11"/>
        <v>0</v>
      </c>
    </row>
    <row r="279" spans="6:7" x14ac:dyDescent="0.25">
      <c r="F279" s="22">
        <f t="shared" si="10"/>
        <v>0</v>
      </c>
      <c r="G279" s="8">
        <f t="shared" si="11"/>
        <v>0</v>
      </c>
    </row>
    <row r="280" spans="6:7" x14ac:dyDescent="0.25">
      <c r="F280" s="22">
        <f t="shared" si="10"/>
        <v>0</v>
      </c>
      <c r="G280" s="8">
        <f t="shared" si="11"/>
        <v>0</v>
      </c>
    </row>
    <row r="281" spans="6:7" x14ac:dyDescent="0.25">
      <c r="F281" s="22">
        <f t="shared" si="10"/>
        <v>0</v>
      </c>
      <c r="G281" s="8">
        <f t="shared" si="11"/>
        <v>0</v>
      </c>
    </row>
    <row r="282" spans="6:7" x14ac:dyDescent="0.25">
      <c r="F282" s="22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2">
        <f t="shared" si="12"/>
        <v>0</v>
      </c>
      <c r="G283" s="8">
        <f t="shared" si="13"/>
        <v>0</v>
      </c>
    </row>
    <row r="284" spans="6:7" x14ac:dyDescent="0.25">
      <c r="F284" s="22">
        <f t="shared" si="12"/>
        <v>0</v>
      </c>
      <c r="G284" s="8">
        <f t="shared" si="13"/>
        <v>0</v>
      </c>
    </row>
    <row r="285" spans="6:7" x14ac:dyDescent="0.25">
      <c r="F285" s="22">
        <f t="shared" si="12"/>
        <v>0</v>
      </c>
      <c r="G285" s="8">
        <f t="shared" si="13"/>
        <v>0</v>
      </c>
    </row>
    <row r="286" spans="6:7" x14ac:dyDescent="0.25">
      <c r="F286" s="22">
        <f t="shared" si="12"/>
        <v>0</v>
      </c>
      <c r="G286" s="8">
        <f t="shared" si="13"/>
        <v>0</v>
      </c>
    </row>
    <row r="287" spans="6:7" x14ac:dyDescent="0.25">
      <c r="F287" s="22">
        <f t="shared" si="12"/>
        <v>0</v>
      </c>
      <c r="G287" s="8">
        <f t="shared" si="13"/>
        <v>0</v>
      </c>
    </row>
    <row r="288" spans="6:7" x14ac:dyDescent="0.25">
      <c r="F288" s="22">
        <f t="shared" si="12"/>
        <v>0</v>
      </c>
      <c r="G288" s="8">
        <f t="shared" si="13"/>
        <v>0</v>
      </c>
    </row>
    <row r="289" spans="6:7" x14ac:dyDescent="0.25">
      <c r="F289" s="22">
        <f t="shared" si="12"/>
        <v>0</v>
      </c>
      <c r="G289" s="8">
        <f t="shared" si="13"/>
        <v>0</v>
      </c>
    </row>
    <row r="290" spans="6:7" x14ac:dyDescent="0.25">
      <c r="F290" s="22">
        <f t="shared" si="12"/>
        <v>0</v>
      </c>
      <c r="G290" s="8">
        <f t="shared" si="13"/>
        <v>0</v>
      </c>
    </row>
    <row r="291" spans="6:7" x14ac:dyDescent="0.25">
      <c r="F291" s="22">
        <f t="shared" si="12"/>
        <v>0</v>
      </c>
      <c r="G291" s="8">
        <f t="shared" si="13"/>
        <v>0</v>
      </c>
    </row>
    <row r="292" spans="6:7" x14ac:dyDescent="0.25">
      <c r="F292" s="22">
        <f t="shared" si="12"/>
        <v>0</v>
      </c>
      <c r="G292" s="8">
        <f t="shared" si="13"/>
        <v>0</v>
      </c>
    </row>
    <row r="293" spans="6:7" x14ac:dyDescent="0.25">
      <c r="F293" s="22">
        <f t="shared" si="12"/>
        <v>0</v>
      </c>
      <c r="G293" s="8">
        <f t="shared" si="13"/>
        <v>0</v>
      </c>
    </row>
    <row r="294" spans="6:7" x14ac:dyDescent="0.25">
      <c r="F294" s="22">
        <f t="shared" si="12"/>
        <v>0</v>
      </c>
      <c r="G294" s="8">
        <f t="shared" si="13"/>
        <v>0</v>
      </c>
    </row>
    <row r="295" spans="6:7" x14ac:dyDescent="0.25">
      <c r="F295" s="22">
        <f t="shared" si="12"/>
        <v>0</v>
      </c>
      <c r="G295" s="8">
        <f t="shared" si="13"/>
        <v>0</v>
      </c>
    </row>
    <row r="296" spans="6:7" x14ac:dyDescent="0.25">
      <c r="F296" s="22">
        <f t="shared" si="12"/>
        <v>0</v>
      </c>
      <c r="G296" s="8">
        <f t="shared" si="13"/>
        <v>0</v>
      </c>
    </row>
    <row r="297" spans="6:7" x14ac:dyDescent="0.25">
      <c r="F297" s="22">
        <f t="shared" si="12"/>
        <v>0</v>
      </c>
      <c r="G297" s="8">
        <f t="shared" si="13"/>
        <v>0</v>
      </c>
    </row>
    <row r="298" spans="6:7" x14ac:dyDescent="0.25">
      <c r="F298" s="22">
        <f t="shared" si="12"/>
        <v>0</v>
      </c>
      <c r="G298" s="8">
        <f t="shared" si="13"/>
        <v>0</v>
      </c>
    </row>
    <row r="299" spans="6:7" x14ac:dyDescent="0.25">
      <c r="F299" s="22">
        <f t="shared" si="12"/>
        <v>0</v>
      </c>
      <c r="G299" s="8">
        <f t="shared" si="13"/>
        <v>0</v>
      </c>
    </row>
    <row r="300" spans="6:7" x14ac:dyDescent="0.25">
      <c r="F300" s="22">
        <f t="shared" si="12"/>
        <v>0</v>
      </c>
      <c r="G300" s="8">
        <f t="shared" si="13"/>
        <v>0</v>
      </c>
    </row>
    <row r="301" spans="6:7" x14ac:dyDescent="0.25">
      <c r="F301" s="22">
        <f t="shared" si="12"/>
        <v>0</v>
      </c>
      <c r="G301" s="8">
        <f t="shared" si="13"/>
        <v>0</v>
      </c>
    </row>
    <row r="302" spans="6:7" x14ac:dyDescent="0.25">
      <c r="F302" s="22">
        <f t="shared" si="12"/>
        <v>0</v>
      </c>
      <c r="G302" s="8">
        <f t="shared" si="13"/>
        <v>0</v>
      </c>
    </row>
    <row r="303" spans="6:7" x14ac:dyDescent="0.25">
      <c r="F303" s="22">
        <f t="shared" si="12"/>
        <v>0</v>
      </c>
      <c r="G303" s="8">
        <f t="shared" si="13"/>
        <v>0</v>
      </c>
    </row>
    <row r="304" spans="6:7" x14ac:dyDescent="0.25">
      <c r="F304" s="22">
        <f t="shared" si="12"/>
        <v>0</v>
      </c>
      <c r="G304" s="8">
        <f t="shared" si="13"/>
        <v>0</v>
      </c>
    </row>
    <row r="305" spans="6:7" x14ac:dyDescent="0.25">
      <c r="F305" s="22">
        <f t="shared" si="12"/>
        <v>0</v>
      </c>
      <c r="G305" s="8">
        <f t="shared" si="13"/>
        <v>0</v>
      </c>
    </row>
    <row r="306" spans="6:7" x14ac:dyDescent="0.25">
      <c r="F306" s="22">
        <f t="shared" si="12"/>
        <v>0</v>
      </c>
      <c r="G306" s="8">
        <f t="shared" si="13"/>
        <v>0</v>
      </c>
    </row>
    <row r="307" spans="6:7" x14ac:dyDescent="0.25">
      <c r="F307" s="22">
        <f t="shared" si="12"/>
        <v>0</v>
      </c>
      <c r="G307" s="8">
        <f t="shared" si="13"/>
        <v>0</v>
      </c>
    </row>
    <row r="308" spans="6:7" x14ac:dyDescent="0.25">
      <c r="F308" s="22">
        <f t="shared" si="12"/>
        <v>0</v>
      </c>
      <c r="G308" s="8">
        <f t="shared" si="13"/>
        <v>0</v>
      </c>
    </row>
    <row r="309" spans="6:7" x14ac:dyDescent="0.25">
      <c r="F309" s="22">
        <f t="shared" si="12"/>
        <v>0</v>
      </c>
      <c r="G309" s="8">
        <f t="shared" si="13"/>
        <v>0</v>
      </c>
    </row>
    <row r="310" spans="6:7" x14ac:dyDescent="0.25">
      <c r="F310" s="22">
        <f t="shared" si="12"/>
        <v>0</v>
      </c>
      <c r="G310" s="8">
        <f t="shared" si="13"/>
        <v>0</v>
      </c>
    </row>
    <row r="311" spans="6:7" x14ac:dyDescent="0.25">
      <c r="F311" s="22">
        <f t="shared" si="12"/>
        <v>0</v>
      </c>
      <c r="G311" s="8">
        <f t="shared" si="13"/>
        <v>0</v>
      </c>
    </row>
    <row r="312" spans="6:7" x14ac:dyDescent="0.25">
      <c r="F312" s="22">
        <f t="shared" si="12"/>
        <v>0</v>
      </c>
      <c r="G312" s="8">
        <f t="shared" si="13"/>
        <v>0</v>
      </c>
    </row>
    <row r="313" spans="6:7" x14ac:dyDescent="0.25">
      <c r="F313" s="22">
        <f t="shared" si="12"/>
        <v>0</v>
      </c>
      <c r="G313" s="8">
        <f t="shared" si="13"/>
        <v>0</v>
      </c>
    </row>
    <row r="314" spans="6:7" x14ac:dyDescent="0.25">
      <c r="F314" s="22">
        <f t="shared" si="12"/>
        <v>0</v>
      </c>
      <c r="G314" s="8">
        <f t="shared" si="13"/>
        <v>0</v>
      </c>
    </row>
    <row r="315" spans="6:7" x14ac:dyDescent="0.25">
      <c r="F315" s="22">
        <f t="shared" si="12"/>
        <v>0</v>
      </c>
      <c r="G315" s="8">
        <f t="shared" si="13"/>
        <v>0</v>
      </c>
    </row>
    <row r="316" spans="6:7" x14ac:dyDescent="0.25">
      <c r="F316" s="22">
        <f t="shared" si="12"/>
        <v>0</v>
      </c>
      <c r="G316" s="8">
        <f t="shared" si="13"/>
        <v>0</v>
      </c>
    </row>
    <row r="317" spans="6:7" x14ac:dyDescent="0.25">
      <c r="F317" s="22">
        <f t="shared" si="12"/>
        <v>0</v>
      </c>
      <c r="G317" s="8">
        <f t="shared" si="13"/>
        <v>0</v>
      </c>
    </row>
    <row r="318" spans="6:7" x14ac:dyDescent="0.25">
      <c r="F318" s="22">
        <f t="shared" si="12"/>
        <v>0</v>
      </c>
      <c r="G318" s="8">
        <f t="shared" si="13"/>
        <v>0</v>
      </c>
    </row>
    <row r="319" spans="6:7" x14ac:dyDescent="0.25">
      <c r="F319" s="22">
        <f t="shared" si="12"/>
        <v>0</v>
      </c>
      <c r="G319" s="8">
        <f t="shared" si="13"/>
        <v>0</v>
      </c>
    </row>
    <row r="320" spans="6:7" x14ac:dyDescent="0.25">
      <c r="F320" s="22">
        <f t="shared" si="12"/>
        <v>0</v>
      </c>
      <c r="G320" s="8">
        <f t="shared" si="13"/>
        <v>0</v>
      </c>
    </row>
    <row r="321" spans="6:7" x14ac:dyDescent="0.25">
      <c r="F321" s="22">
        <f t="shared" si="12"/>
        <v>0</v>
      </c>
      <c r="G321" s="8">
        <f t="shared" si="13"/>
        <v>0</v>
      </c>
    </row>
    <row r="322" spans="6:7" x14ac:dyDescent="0.25">
      <c r="F322" s="22">
        <f t="shared" si="12"/>
        <v>0</v>
      </c>
      <c r="G322" s="8">
        <f t="shared" si="13"/>
        <v>0</v>
      </c>
    </row>
    <row r="323" spans="6:7" x14ac:dyDescent="0.25">
      <c r="F323" s="22">
        <f t="shared" si="12"/>
        <v>0</v>
      </c>
      <c r="G323" s="8">
        <f t="shared" si="13"/>
        <v>0</v>
      </c>
    </row>
    <row r="324" spans="6:7" x14ac:dyDescent="0.25">
      <c r="F324" s="22">
        <f t="shared" si="12"/>
        <v>0</v>
      </c>
      <c r="G324" s="8">
        <f t="shared" si="13"/>
        <v>0</v>
      </c>
    </row>
    <row r="325" spans="6:7" x14ac:dyDescent="0.25">
      <c r="F325" s="22">
        <f t="shared" si="12"/>
        <v>0</v>
      </c>
      <c r="G325" s="8">
        <f t="shared" si="13"/>
        <v>0</v>
      </c>
    </row>
    <row r="326" spans="6:7" x14ac:dyDescent="0.25">
      <c r="F326" s="22">
        <f t="shared" si="12"/>
        <v>0</v>
      </c>
      <c r="G326" s="8">
        <f t="shared" si="13"/>
        <v>0</v>
      </c>
    </row>
    <row r="327" spans="6:7" x14ac:dyDescent="0.25">
      <c r="F327" s="22">
        <f t="shared" si="12"/>
        <v>0</v>
      </c>
      <c r="G327" s="8">
        <f t="shared" si="13"/>
        <v>0</v>
      </c>
    </row>
    <row r="328" spans="6:7" x14ac:dyDescent="0.25">
      <c r="F328" s="22">
        <f t="shared" si="12"/>
        <v>0</v>
      </c>
      <c r="G328" s="8">
        <f t="shared" si="13"/>
        <v>0</v>
      </c>
    </row>
    <row r="329" spans="6:7" x14ac:dyDescent="0.25">
      <c r="F329" s="22">
        <f t="shared" si="12"/>
        <v>0</v>
      </c>
      <c r="G329" s="8">
        <f t="shared" si="13"/>
        <v>0</v>
      </c>
    </row>
    <row r="330" spans="6:7" x14ac:dyDescent="0.25">
      <c r="F330" s="22">
        <f t="shared" si="12"/>
        <v>0</v>
      </c>
      <c r="G330" s="8">
        <f t="shared" si="13"/>
        <v>0</v>
      </c>
    </row>
    <row r="331" spans="6:7" x14ac:dyDescent="0.25">
      <c r="F331" s="22">
        <f t="shared" si="12"/>
        <v>0</v>
      </c>
      <c r="G331" s="8">
        <f t="shared" si="13"/>
        <v>0</v>
      </c>
    </row>
    <row r="332" spans="6:7" x14ac:dyDescent="0.25">
      <c r="F332" s="22">
        <f t="shared" si="12"/>
        <v>0</v>
      </c>
      <c r="G332" s="8">
        <f t="shared" si="13"/>
        <v>0</v>
      </c>
    </row>
    <row r="333" spans="6:7" x14ac:dyDescent="0.25">
      <c r="F333" s="22">
        <f t="shared" si="12"/>
        <v>0</v>
      </c>
      <c r="G333" s="8">
        <f t="shared" si="13"/>
        <v>0</v>
      </c>
    </row>
    <row r="334" spans="6:7" x14ac:dyDescent="0.25">
      <c r="F334" s="22">
        <f t="shared" si="12"/>
        <v>0</v>
      </c>
      <c r="G334" s="8">
        <f t="shared" si="13"/>
        <v>0</v>
      </c>
    </row>
    <row r="335" spans="6:7" x14ac:dyDescent="0.25">
      <c r="F335" s="22">
        <f t="shared" si="12"/>
        <v>0</v>
      </c>
      <c r="G335" s="8">
        <f t="shared" si="13"/>
        <v>0</v>
      </c>
    </row>
    <row r="336" spans="6:7" x14ac:dyDescent="0.25">
      <c r="F336" s="22">
        <f t="shared" si="12"/>
        <v>0</v>
      </c>
      <c r="G336" s="8">
        <f t="shared" si="13"/>
        <v>0</v>
      </c>
    </row>
    <row r="337" spans="6:7" x14ac:dyDescent="0.25">
      <c r="F337" s="22">
        <f t="shared" si="12"/>
        <v>0</v>
      </c>
      <c r="G337" s="8">
        <f t="shared" si="13"/>
        <v>0</v>
      </c>
    </row>
    <row r="338" spans="6:7" x14ac:dyDescent="0.25">
      <c r="F338" s="22">
        <f t="shared" si="12"/>
        <v>0</v>
      </c>
      <c r="G338" s="8">
        <f t="shared" si="13"/>
        <v>0</v>
      </c>
    </row>
    <row r="339" spans="6:7" x14ac:dyDescent="0.25">
      <c r="F339" s="22">
        <f t="shared" si="12"/>
        <v>0</v>
      </c>
      <c r="G339" s="8">
        <f t="shared" si="13"/>
        <v>0</v>
      </c>
    </row>
    <row r="340" spans="6:7" x14ac:dyDescent="0.25">
      <c r="F340" s="22">
        <f t="shared" si="12"/>
        <v>0</v>
      </c>
      <c r="G340" s="8">
        <f t="shared" si="13"/>
        <v>0</v>
      </c>
    </row>
    <row r="341" spans="6:7" x14ac:dyDescent="0.25">
      <c r="F341" s="22">
        <f t="shared" si="12"/>
        <v>0</v>
      </c>
      <c r="G341" s="8">
        <f t="shared" si="13"/>
        <v>0</v>
      </c>
    </row>
    <row r="342" spans="6:7" x14ac:dyDescent="0.25">
      <c r="F342" s="22">
        <f t="shared" si="12"/>
        <v>0</v>
      </c>
      <c r="G342" s="8">
        <f t="shared" si="13"/>
        <v>0</v>
      </c>
    </row>
    <row r="343" spans="6:7" x14ac:dyDescent="0.25">
      <c r="F343" s="22">
        <f t="shared" si="12"/>
        <v>0</v>
      </c>
      <c r="G343" s="8">
        <f t="shared" si="13"/>
        <v>0</v>
      </c>
    </row>
    <row r="344" spans="6:7" x14ac:dyDescent="0.25">
      <c r="F344" s="22">
        <f t="shared" si="12"/>
        <v>0</v>
      </c>
      <c r="G344" s="8">
        <f t="shared" si="13"/>
        <v>0</v>
      </c>
    </row>
    <row r="345" spans="6:7" x14ac:dyDescent="0.25">
      <c r="F345" s="22">
        <f t="shared" si="12"/>
        <v>0</v>
      </c>
      <c r="G345" s="8">
        <f t="shared" si="13"/>
        <v>0</v>
      </c>
    </row>
    <row r="346" spans="6:7" x14ac:dyDescent="0.25">
      <c r="F346" s="22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2">
        <f t="shared" si="14"/>
        <v>0</v>
      </c>
      <c r="G347" s="8">
        <f t="shared" si="15"/>
        <v>0</v>
      </c>
    </row>
    <row r="348" spans="6:7" x14ac:dyDescent="0.25">
      <c r="F348" s="22">
        <f t="shared" si="14"/>
        <v>0</v>
      </c>
      <c r="G348" s="8">
        <f t="shared" si="15"/>
        <v>0</v>
      </c>
    </row>
    <row r="349" spans="6:7" x14ac:dyDescent="0.25">
      <c r="F349" s="22">
        <f t="shared" si="14"/>
        <v>0</v>
      </c>
      <c r="G349" s="8">
        <f t="shared" si="15"/>
        <v>0</v>
      </c>
    </row>
    <row r="350" spans="6:7" x14ac:dyDescent="0.25">
      <c r="F350" s="22">
        <f t="shared" si="14"/>
        <v>0</v>
      </c>
      <c r="G350" s="8">
        <f t="shared" si="15"/>
        <v>0</v>
      </c>
    </row>
    <row r="351" spans="6:7" x14ac:dyDescent="0.25">
      <c r="F351" s="22">
        <f t="shared" si="14"/>
        <v>0</v>
      </c>
      <c r="G351" s="8">
        <f t="shared" si="15"/>
        <v>0</v>
      </c>
    </row>
    <row r="352" spans="6:7" x14ac:dyDescent="0.25">
      <c r="F352" s="22">
        <f t="shared" si="14"/>
        <v>0</v>
      </c>
      <c r="G352" s="8">
        <f t="shared" si="15"/>
        <v>0</v>
      </c>
    </row>
    <row r="353" spans="6:7" x14ac:dyDescent="0.25">
      <c r="F353" s="22">
        <f t="shared" si="14"/>
        <v>0</v>
      </c>
      <c r="G353" s="8">
        <f t="shared" si="15"/>
        <v>0</v>
      </c>
    </row>
    <row r="354" spans="6:7" x14ac:dyDescent="0.25">
      <c r="F354" s="22">
        <f t="shared" si="14"/>
        <v>0</v>
      </c>
      <c r="G354" s="8">
        <f t="shared" si="15"/>
        <v>0</v>
      </c>
    </row>
    <row r="355" spans="6:7" x14ac:dyDescent="0.25">
      <c r="F355" s="22">
        <f t="shared" si="14"/>
        <v>0</v>
      </c>
      <c r="G355" s="8">
        <f t="shared" si="15"/>
        <v>0</v>
      </c>
    </row>
    <row r="356" spans="6:7" x14ac:dyDescent="0.25">
      <c r="F356" s="22">
        <f t="shared" si="14"/>
        <v>0</v>
      </c>
      <c r="G356" s="8">
        <f t="shared" si="15"/>
        <v>0</v>
      </c>
    </row>
    <row r="357" spans="6:7" x14ac:dyDescent="0.25">
      <c r="F357" s="22">
        <f t="shared" si="14"/>
        <v>0</v>
      </c>
      <c r="G357" s="8">
        <f t="shared" si="15"/>
        <v>0</v>
      </c>
    </row>
    <row r="358" spans="6:7" x14ac:dyDescent="0.25">
      <c r="F358" s="22">
        <f t="shared" si="14"/>
        <v>0</v>
      </c>
      <c r="G358" s="8">
        <f t="shared" si="15"/>
        <v>0</v>
      </c>
    </row>
    <row r="359" spans="6:7" x14ac:dyDescent="0.25">
      <c r="F359" s="22">
        <f t="shared" si="14"/>
        <v>0</v>
      </c>
      <c r="G359" s="8">
        <f t="shared" si="15"/>
        <v>0</v>
      </c>
    </row>
    <row r="360" spans="6:7" x14ac:dyDescent="0.25">
      <c r="F360" s="22">
        <f t="shared" si="14"/>
        <v>0</v>
      </c>
      <c r="G360" s="8">
        <f t="shared" si="15"/>
        <v>0</v>
      </c>
    </row>
    <row r="361" spans="6:7" x14ac:dyDescent="0.25">
      <c r="F361" s="22">
        <f t="shared" si="14"/>
        <v>0</v>
      </c>
      <c r="G361" s="8">
        <f t="shared" si="15"/>
        <v>0</v>
      </c>
    </row>
    <row r="362" spans="6:7" x14ac:dyDescent="0.25">
      <c r="F362" s="22">
        <f t="shared" si="14"/>
        <v>0</v>
      </c>
      <c r="G362" s="8">
        <f t="shared" si="15"/>
        <v>0</v>
      </c>
    </row>
    <row r="363" spans="6:7" x14ac:dyDescent="0.25">
      <c r="F363" s="22">
        <f t="shared" si="14"/>
        <v>0</v>
      </c>
      <c r="G363" s="8">
        <f t="shared" si="15"/>
        <v>0</v>
      </c>
    </row>
    <row r="364" spans="6:7" x14ac:dyDescent="0.25">
      <c r="F364" s="22">
        <f t="shared" si="14"/>
        <v>0</v>
      </c>
      <c r="G364" s="8">
        <f t="shared" si="15"/>
        <v>0</v>
      </c>
    </row>
    <row r="365" spans="6:7" x14ac:dyDescent="0.25">
      <c r="F365" s="22">
        <f t="shared" si="14"/>
        <v>0</v>
      </c>
      <c r="G365" s="8">
        <f t="shared" si="15"/>
        <v>0</v>
      </c>
    </row>
    <row r="366" spans="6:7" x14ac:dyDescent="0.25">
      <c r="F366" s="22">
        <f t="shared" si="14"/>
        <v>0</v>
      </c>
      <c r="G366" s="8">
        <f t="shared" si="15"/>
        <v>0</v>
      </c>
    </row>
    <row r="367" spans="6:7" x14ac:dyDescent="0.25">
      <c r="F367" s="22">
        <f t="shared" si="14"/>
        <v>0</v>
      </c>
      <c r="G367" s="8">
        <f t="shared" si="15"/>
        <v>0</v>
      </c>
    </row>
    <row r="368" spans="6:7" x14ac:dyDescent="0.25">
      <c r="F368" s="22">
        <f t="shared" si="14"/>
        <v>0</v>
      </c>
      <c r="G368" s="8">
        <f t="shared" si="15"/>
        <v>0</v>
      </c>
    </row>
    <row r="369" spans="6:7" x14ac:dyDescent="0.25">
      <c r="F369" s="22">
        <f t="shared" si="14"/>
        <v>0</v>
      </c>
      <c r="G369" s="8">
        <f t="shared" si="15"/>
        <v>0</v>
      </c>
    </row>
    <row r="370" spans="6:7" x14ac:dyDescent="0.25">
      <c r="F370" s="22">
        <f t="shared" si="14"/>
        <v>0</v>
      </c>
      <c r="G370" s="8">
        <f t="shared" si="15"/>
        <v>0</v>
      </c>
    </row>
    <row r="371" spans="6:7" x14ac:dyDescent="0.25">
      <c r="F371" s="22">
        <f t="shared" si="14"/>
        <v>0</v>
      </c>
      <c r="G371" s="8">
        <f t="shared" si="15"/>
        <v>0</v>
      </c>
    </row>
    <row r="372" spans="6:7" x14ac:dyDescent="0.25">
      <c r="F372" s="22">
        <f t="shared" si="14"/>
        <v>0</v>
      </c>
      <c r="G372" s="8">
        <f t="shared" si="15"/>
        <v>0</v>
      </c>
    </row>
    <row r="373" spans="6:7" x14ac:dyDescent="0.25">
      <c r="F373" s="22">
        <f t="shared" si="14"/>
        <v>0</v>
      </c>
      <c r="G373" s="8">
        <f t="shared" si="15"/>
        <v>0</v>
      </c>
    </row>
    <row r="374" spans="6:7" x14ac:dyDescent="0.25">
      <c r="F374" s="22">
        <f t="shared" si="14"/>
        <v>0</v>
      </c>
      <c r="G374" s="8">
        <f t="shared" si="15"/>
        <v>0</v>
      </c>
    </row>
    <row r="375" spans="6:7" x14ac:dyDescent="0.25">
      <c r="F375" s="22">
        <f t="shared" si="14"/>
        <v>0</v>
      </c>
      <c r="G375" s="8">
        <f t="shared" si="15"/>
        <v>0</v>
      </c>
    </row>
    <row r="376" spans="6:7" x14ac:dyDescent="0.25">
      <c r="F376" s="22">
        <f t="shared" si="14"/>
        <v>0</v>
      </c>
      <c r="G376" s="8">
        <f t="shared" si="15"/>
        <v>0</v>
      </c>
    </row>
    <row r="377" spans="6:7" x14ac:dyDescent="0.25">
      <c r="F377" s="22">
        <f t="shared" si="14"/>
        <v>0</v>
      </c>
      <c r="G377" s="8">
        <f t="shared" si="15"/>
        <v>0</v>
      </c>
    </row>
    <row r="378" spans="6:7" x14ac:dyDescent="0.25">
      <c r="F378" s="22">
        <f t="shared" si="14"/>
        <v>0</v>
      </c>
      <c r="G378" s="8">
        <f t="shared" si="15"/>
        <v>0</v>
      </c>
    </row>
    <row r="379" spans="6:7" x14ac:dyDescent="0.25">
      <c r="F379" s="22">
        <f t="shared" si="14"/>
        <v>0</v>
      </c>
      <c r="G379" s="8">
        <f t="shared" si="15"/>
        <v>0</v>
      </c>
    </row>
    <row r="380" spans="6:7" x14ac:dyDescent="0.25">
      <c r="F380" s="22">
        <f t="shared" si="14"/>
        <v>0</v>
      </c>
      <c r="G380" s="8">
        <f t="shared" si="15"/>
        <v>0</v>
      </c>
    </row>
    <row r="381" spans="6:7" x14ac:dyDescent="0.25">
      <c r="F381" s="22">
        <f t="shared" si="14"/>
        <v>0</v>
      </c>
      <c r="G381" s="8">
        <f t="shared" si="15"/>
        <v>0</v>
      </c>
    </row>
    <row r="382" spans="6:7" x14ac:dyDescent="0.25">
      <c r="F382" s="22">
        <f t="shared" si="14"/>
        <v>0</v>
      </c>
      <c r="G382" s="8">
        <f t="shared" si="15"/>
        <v>0</v>
      </c>
    </row>
    <row r="383" spans="6:7" x14ac:dyDescent="0.25">
      <c r="F383" s="22">
        <f t="shared" si="14"/>
        <v>0</v>
      </c>
      <c r="G383" s="8">
        <f t="shared" si="15"/>
        <v>0</v>
      </c>
    </row>
    <row r="384" spans="6:7" x14ac:dyDescent="0.25">
      <c r="F384" s="22">
        <f t="shared" si="14"/>
        <v>0</v>
      </c>
      <c r="G384" s="8">
        <f t="shared" si="15"/>
        <v>0</v>
      </c>
    </row>
    <row r="385" spans="6:7" x14ac:dyDescent="0.25">
      <c r="F385" s="22">
        <f t="shared" si="14"/>
        <v>0</v>
      </c>
      <c r="G385" s="8">
        <f t="shared" si="15"/>
        <v>0</v>
      </c>
    </row>
    <row r="386" spans="6:7" x14ac:dyDescent="0.25">
      <c r="F386" s="22">
        <f t="shared" si="14"/>
        <v>0</v>
      </c>
      <c r="G386" s="8">
        <f t="shared" si="15"/>
        <v>0</v>
      </c>
    </row>
    <row r="387" spans="6:7" x14ac:dyDescent="0.25">
      <c r="F387" s="22">
        <f t="shared" si="14"/>
        <v>0</v>
      </c>
      <c r="G387" s="8">
        <f t="shared" si="15"/>
        <v>0</v>
      </c>
    </row>
    <row r="388" spans="6:7" x14ac:dyDescent="0.25">
      <c r="F388" s="22">
        <f t="shared" si="14"/>
        <v>0</v>
      </c>
      <c r="G388" s="8">
        <f t="shared" si="15"/>
        <v>0</v>
      </c>
    </row>
    <row r="389" spans="6:7" x14ac:dyDescent="0.25">
      <c r="F389" s="22">
        <f t="shared" si="14"/>
        <v>0</v>
      </c>
      <c r="G389" s="8">
        <f t="shared" si="15"/>
        <v>0</v>
      </c>
    </row>
    <row r="390" spans="6:7" x14ac:dyDescent="0.25">
      <c r="F390" s="22">
        <f t="shared" si="14"/>
        <v>0</v>
      </c>
      <c r="G390" s="8">
        <f t="shared" si="15"/>
        <v>0</v>
      </c>
    </row>
    <row r="391" spans="6:7" x14ac:dyDescent="0.25">
      <c r="F391" s="22">
        <f t="shared" si="14"/>
        <v>0</v>
      </c>
      <c r="G391" s="8">
        <f t="shared" si="15"/>
        <v>0</v>
      </c>
    </row>
    <row r="392" spans="6:7" x14ac:dyDescent="0.25">
      <c r="F392" s="22">
        <f t="shared" si="14"/>
        <v>0</v>
      </c>
      <c r="G392" s="8">
        <f t="shared" si="15"/>
        <v>0</v>
      </c>
    </row>
    <row r="393" spans="6:7" x14ac:dyDescent="0.25">
      <c r="F393" s="22">
        <f t="shared" si="14"/>
        <v>0</v>
      </c>
      <c r="G393" s="8">
        <f t="shared" si="15"/>
        <v>0</v>
      </c>
    </row>
    <row r="394" spans="6:7" x14ac:dyDescent="0.25">
      <c r="F394" s="22">
        <f t="shared" si="14"/>
        <v>0</v>
      </c>
      <c r="G394" s="8">
        <f t="shared" si="15"/>
        <v>0</v>
      </c>
    </row>
    <row r="395" spans="6:7" x14ac:dyDescent="0.25">
      <c r="F395" s="22">
        <f t="shared" si="14"/>
        <v>0</v>
      </c>
      <c r="G395" s="8">
        <f t="shared" si="15"/>
        <v>0</v>
      </c>
    </row>
    <row r="396" spans="6:7" x14ac:dyDescent="0.25">
      <c r="F396" s="22">
        <f t="shared" si="14"/>
        <v>0</v>
      </c>
      <c r="G396" s="8">
        <f t="shared" si="15"/>
        <v>0</v>
      </c>
    </row>
    <row r="397" spans="6:7" x14ac:dyDescent="0.25">
      <c r="F397" s="22">
        <f t="shared" si="14"/>
        <v>0</v>
      </c>
      <c r="G397" s="8">
        <f t="shared" si="15"/>
        <v>0</v>
      </c>
    </row>
    <row r="398" spans="6:7" x14ac:dyDescent="0.25">
      <c r="F398" s="22">
        <f t="shared" si="14"/>
        <v>0</v>
      </c>
      <c r="G398" s="8">
        <f t="shared" si="15"/>
        <v>0</v>
      </c>
    </row>
    <row r="399" spans="6:7" x14ac:dyDescent="0.25">
      <c r="F399" s="22">
        <f t="shared" si="14"/>
        <v>0</v>
      </c>
      <c r="G399" s="8">
        <f t="shared" si="15"/>
        <v>0</v>
      </c>
    </row>
    <row r="400" spans="6:7" x14ac:dyDescent="0.25">
      <c r="F400" s="22">
        <f t="shared" si="14"/>
        <v>0</v>
      </c>
      <c r="G400" s="8">
        <f t="shared" si="15"/>
        <v>0</v>
      </c>
    </row>
    <row r="401" spans="6:7" x14ac:dyDescent="0.25">
      <c r="F401" s="22">
        <f t="shared" si="14"/>
        <v>0</v>
      </c>
      <c r="G401" s="8">
        <f t="shared" si="15"/>
        <v>0</v>
      </c>
    </row>
    <row r="402" spans="6:7" x14ac:dyDescent="0.25">
      <c r="F402" s="22">
        <f t="shared" si="14"/>
        <v>0</v>
      </c>
      <c r="G402" s="8">
        <f t="shared" si="15"/>
        <v>0</v>
      </c>
    </row>
    <row r="403" spans="6:7" x14ac:dyDescent="0.25">
      <c r="F403" s="22">
        <f t="shared" si="14"/>
        <v>0</v>
      </c>
      <c r="G403" s="8">
        <f t="shared" si="15"/>
        <v>0</v>
      </c>
    </row>
    <row r="404" spans="6:7" x14ac:dyDescent="0.25">
      <c r="F404" s="22">
        <f t="shared" si="14"/>
        <v>0</v>
      </c>
      <c r="G404" s="8">
        <f t="shared" si="15"/>
        <v>0</v>
      </c>
    </row>
    <row r="405" spans="6:7" x14ac:dyDescent="0.25">
      <c r="F405" s="22">
        <f t="shared" si="14"/>
        <v>0</v>
      </c>
      <c r="G405" s="8">
        <f t="shared" si="15"/>
        <v>0</v>
      </c>
    </row>
    <row r="406" spans="6:7" x14ac:dyDescent="0.25">
      <c r="F406" s="22">
        <f t="shared" si="14"/>
        <v>0</v>
      </c>
      <c r="G406" s="8">
        <f t="shared" si="15"/>
        <v>0</v>
      </c>
    </row>
    <row r="407" spans="6:7" x14ac:dyDescent="0.25">
      <c r="F407" s="22">
        <f t="shared" si="14"/>
        <v>0</v>
      </c>
      <c r="G407" s="8">
        <f t="shared" si="15"/>
        <v>0</v>
      </c>
    </row>
    <row r="408" spans="6:7" x14ac:dyDescent="0.25">
      <c r="F408" s="22">
        <f t="shared" si="14"/>
        <v>0</v>
      </c>
      <c r="G408" s="8">
        <f t="shared" si="15"/>
        <v>0</v>
      </c>
    </row>
    <row r="409" spans="6:7" x14ac:dyDescent="0.25">
      <c r="F409" s="22">
        <f t="shared" si="14"/>
        <v>0</v>
      </c>
      <c r="G409" s="8">
        <f t="shared" si="15"/>
        <v>0</v>
      </c>
    </row>
    <row r="410" spans="6:7" x14ac:dyDescent="0.25">
      <c r="F410" s="22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2">
        <f t="shared" si="16"/>
        <v>0</v>
      </c>
      <c r="G411" s="8">
        <f t="shared" si="17"/>
        <v>0</v>
      </c>
    </row>
    <row r="412" spans="6:7" x14ac:dyDescent="0.25">
      <c r="F412" s="22">
        <f t="shared" si="16"/>
        <v>0</v>
      </c>
      <c r="G412" s="8">
        <f t="shared" si="17"/>
        <v>0</v>
      </c>
    </row>
    <row r="413" spans="6:7" x14ac:dyDescent="0.25">
      <c r="F413" s="22">
        <f t="shared" si="16"/>
        <v>0</v>
      </c>
      <c r="G413" s="8">
        <f t="shared" si="17"/>
        <v>0</v>
      </c>
    </row>
    <row r="414" spans="6:7" x14ac:dyDescent="0.25">
      <c r="F414" s="22">
        <f t="shared" si="16"/>
        <v>0</v>
      </c>
      <c r="G414" s="8">
        <f t="shared" si="17"/>
        <v>0</v>
      </c>
    </row>
    <row r="415" spans="6:7" x14ac:dyDescent="0.25">
      <c r="F415" s="22">
        <f t="shared" si="16"/>
        <v>0</v>
      </c>
      <c r="G415" s="8">
        <f t="shared" si="17"/>
        <v>0</v>
      </c>
    </row>
    <row r="416" spans="6:7" x14ac:dyDescent="0.25">
      <c r="F416" s="22">
        <f t="shared" si="16"/>
        <v>0</v>
      </c>
      <c r="G416" s="8">
        <f t="shared" si="17"/>
        <v>0</v>
      </c>
    </row>
    <row r="417" spans="6:7" x14ac:dyDescent="0.25">
      <c r="F417" s="22">
        <f t="shared" si="16"/>
        <v>0</v>
      </c>
      <c r="G417" s="8">
        <f t="shared" si="17"/>
        <v>0</v>
      </c>
    </row>
    <row r="418" spans="6:7" x14ac:dyDescent="0.25">
      <c r="F418" s="22">
        <f t="shared" si="16"/>
        <v>0</v>
      </c>
      <c r="G418" s="8">
        <f t="shared" si="17"/>
        <v>0</v>
      </c>
    </row>
    <row r="419" spans="6:7" x14ac:dyDescent="0.25">
      <c r="F419" s="22">
        <f t="shared" si="16"/>
        <v>0</v>
      </c>
      <c r="G419" s="8">
        <f t="shared" si="17"/>
        <v>0</v>
      </c>
    </row>
    <row r="420" spans="6:7" x14ac:dyDescent="0.25">
      <c r="F420" s="22">
        <f t="shared" si="16"/>
        <v>0</v>
      </c>
      <c r="G420" s="8">
        <f t="shared" si="17"/>
        <v>0</v>
      </c>
    </row>
    <row r="421" spans="6:7" x14ac:dyDescent="0.25">
      <c r="F421" s="22">
        <f t="shared" si="16"/>
        <v>0</v>
      </c>
      <c r="G421" s="8">
        <f t="shared" si="17"/>
        <v>0</v>
      </c>
    </row>
    <row r="422" spans="6:7" x14ac:dyDescent="0.25">
      <c r="F422" s="22">
        <f t="shared" si="16"/>
        <v>0</v>
      </c>
      <c r="G422" s="8">
        <f t="shared" si="17"/>
        <v>0</v>
      </c>
    </row>
    <row r="423" spans="6:7" x14ac:dyDescent="0.25">
      <c r="F423" s="22">
        <f t="shared" si="16"/>
        <v>0</v>
      </c>
      <c r="G423" s="8">
        <f t="shared" si="17"/>
        <v>0</v>
      </c>
    </row>
    <row r="424" spans="6:7" x14ac:dyDescent="0.25">
      <c r="F424" s="22">
        <f t="shared" si="16"/>
        <v>0</v>
      </c>
      <c r="G424" s="8">
        <f t="shared" si="17"/>
        <v>0</v>
      </c>
    </row>
    <row r="425" spans="6:7" x14ac:dyDescent="0.25">
      <c r="F425" s="22">
        <f t="shared" si="16"/>
        <v>0</v>
      </c>
      <c r="G425" s="8">
        <f t="shared" si="17"/>
        <v>0</v>
      </c>
    </row>
    <row r="426" spans="6:7" x14ac:dyDescent="0.25">
      <c r="F426" s="22">
        <f t="shared" si="16"/>
        <v>0</v>
      </c>
      <c r="G426" s="8">
        <f t="shared" si="17"/>
        <v>0</v>
      </c>
    </row>
    <row r="427" spans="6:7" x14ac:dyDescent="0.25">
      <c r="F427" s="22">
        <f t="shared" si="16"/>
        <v>0</v>
      </c>
      <c r="G427" s="8">
        <f t="shared" si="17"/>
        <v>0</v>
      </c>
    </row>
    <row r="428" spans="6:7" x14ac:dyDescent="0.25">
      <c r="F428" s="22">
        <f t="shared" si="16"/>
        <v>0</v>
      </c>
      <c r="G428" s="8">
        <f t="shared" si="17"/>
        <v>0</v>
      </c>
    </row>
    <row r="429" spans="6:7" x14ac:dyDescent="0.25">
      <c r="F429" s="22">
        <f t="shared" si="16"/>
        <v>0</v>
      </c>
      <c r="G429" s="8">
        <f t="shared" si="17"/>
        <v>0</v>
      </c>
    </row>
    <row r="430" spans="6:7" x14ac:dyDescent="0.25">
      <c r="F430" s="22">
        <f t="shared" si="16"/>
        <v>0</v>
      </c>
      <c r="G430" s="8">
        <f t="shared" si="17"/>
        <v>0</v>
      </c>
    </row>
    <row r="431" spans="6:7" x14ac:dyDescent="0.25">
      <c r="F431" s="22">
        <f t="shared" si="16"/>
        <v>0</v>
      </c>
      <c r="G431" s="8">
        <f t="shared" si="17"/>
        <v>0</v>
      </c>
    </row>
    <row r="432" spans="6:7" x14ac:dyDescent="0.25">
      <c r="F432" s="22">
        <f t="shared" si="16"/>
        <v>0</v>
      </c>
      <c r="G432" s="8">
        <f t="shared" si="17"/>
        <v>0</v>
      </c>
    </row>
    <row r="433" spans="6:7" x14ac:dyDescent="0.25">
      <c r="F433" s="22">
        <f t="shared" si="16"/>
        <v>0</v>
      </c>
      <c r="G433" s="8">
        <f t="shared" si="17"/>
        <v>0</v>
      </c>
    </row>
    <row r="434" spans="6:7" x14ac:dyDescent="0.25">
      <c r="F434" s="22">
        <f t="shared" si="16"/>
        <v>0</v>
      </c>
      <c r="G434" s="8">
        <f t="shared" si="17"/>
        <v>0</v>
      </c>
    </row>
    <row r="435" spans="6:7" x14ac:dyDescent="0.25">
      <c r="F435" s="22">
        <f t="shared" si="16"/>
        <v>0</v>
      </c>
      <c r="G435" s="8">
        <f t="shared" si="17"/>
        <v>0</v>
      </c>
    </row>
    <row r="436" spans="6:7" x14ac:dyDescent="0.25">
      <c r="F436" s="22">
        <f t="shared" si="16"/>
        <v>0</v>
      </c>
      <c r="G436" s="8">
        <f t="shared" si="17"/>
        <v>0</v>
      </c>
    </row>
    <row r="437" spans="6:7" x14ac:dyDescent="0.25">
      <c r="F437" s="22">
        <f t="shared" si="16"/>
        <v>0</v>
      </c>
      <c r="G437" s="8">
        <f t="shared" si="17"/>
        <v>0</v>
      </c>
    </row>
    <row r="438" spans="6:7" x14ac:dyDescent="0.25">
      <c r="F438" s="22">
        <f t="shared" si="16"/>
        <v>0</v>
      </c>
      <c r="G438" s="8">
        <f t="shared" si="17"/>
        <v>0</v>
      </c>
    </row>
    <row r="439" spans="6:7" x14ac:dyDescent="0.25">
      <c r="F439" s="22">
        <f t="shared" si="16"/>
        <v>0</v>
      </c>
      <c r="G439" s="8">
        <f t="shared" si="17"/>
        <v>0</v>
      </c>
    </row>
    <row r="440" spans="6:7" x14ac:dyDescent="0.25">
      <c r="F440" s="22">
        <f t="shared" si="16"/>
        <v>0</v>
      </c>
      <c r="G440" s="8">
        <f t="shared" si="17"/>
        <v>0</v>
      </c>
    </row>
    <row r="441" spans="6:7" x14ac:dyDescent="0.25">
      <c r="F441" s="22">
        <f t="shared" si="16"/>
        <v>0</v>
      </c>
      <c r="G441" s="8">
        <f t="shared" si="17"/>
        <v>0</v>
      </c>
    </row>
    <row r="442" spans="6:7" x14ac:dyDescent="0.25">
      <c r="F442" s="22">
        <f t="shared" si="16"/>
        <v>0</v>
      </c>
      <c r="G442" s="8">
        <f t="shared" si="17"/>
        <v>0</v>
      </c>
    </row>
    <row r="443" spans="6:7" x14ac:dyDescent="0.25">
      <c r="F443" s="22">
        <f t="shared" si="16"/>
        <v>0</v>
      </c>
      <c r="G443" s="8">
        <f t="shared" si="17"/>
        <v>0</v>
      </c>
    </row>
    <row r="444" spans="6:7" x14ac:dyDescent="0.25">
      <c r="F444" s="22">
        <f t="shared" si="16"/>
        <v>0</v>
      </c>
      <c r="G444" s="8">
        <f t="shared" si="17"/>
        <v>0</v>
      </c>
    </row>
    <row r="445" spans="6:7" x14ac:dyDescent="0.25">
      <c r="F445" s="22">
        <f t="shared" si="16"/>
        <v>0</v>
      </c>
      <c r="G445" s="8">
        <f t="shared" si="17"/>
        <v>0</v>
      </c>
    </row>
    <row r="446" spans="6:7" x14ac:dyDescent="0.25">
      <c r="F446" s="22">
        <f t="shared" si="16"/>
        <v>0</v>
      </c>
      <c r="G446" s="8">
        <f t="shared" si="17"/>
        <v>0</v>
      </c>
    </row>
    <row r="447" spans="6:7" x14ac:dyDescent="0.25">
      <c r="F447" s="22">
        <f t="shared" si="16"/>
        <v>0</v>
      </c>
      <c r="G447" s="8">
        <f t="shared" si="17"/>
        <v>0</v>
      </c>
    </row>
    <row r="448" spans="6:7" x14ac:dyDescent="0.25">
      <c r="F448" s="22">
        <f t="shared" si="16"/>
        <v>0</v>
      </c>
      <c r="G448" s="8">
        <f t="shared" si="17"/>
        <v>0</v>
      </c>
    </row>
    <row r="449" spans="6:7" x14ac:dyDescent="0.25">
      <c r="F449" s="22">
        <f t="shared" si="16"/>
        <v>0</v>
      </c>
      <c r="G449" s="8">
        <f t="shared" si="17"/>
        <v>0</v>
      </c>
    </row>
    <row r="450" spans="6:7" x14ac:dyDescent="0.25">
      <c r="F450" s="22">
        <f t="shared" si="16"/>
        <v>0</v>
      </c>
      <c r="G450" s="8">
        <f t="shared" si="17"/>
        <v>0</v>
      </c>
    </row>
    <row r="451" spans="6:7" x14ac:dyDescent="0.25">
      <c r="F451" s="22">
        <f t="shared" si="16"/>
        <v>0</v>
      </c>
      <c r="G451" s="8">
        <f t="shared" si="17"/>
        <v>0</v>
      </c>
    </row>
    <row r="452" spans="6:7" x14ac:dyDescent="0.25">
      <c r="F452" s="22">
        <f t="shared" si="16"/>
        <v>0</v>
      </c>
      <c r="G452" s="8">
        <f t="shared" si="17"/>
        <v>0</v>
      </c>
    </row>
    <row r="453" spans="6:7" x14ac:dyDescent="0.25">
      <c r="F453" s="22">
        <f t="shared" si="16"/>
        <v>0</v>
      </c>
      <c r="G453" s="8">
        <f t="shared" si="17"/>
        <v>0</v>
      </c>
    </row>
    <row r="454" spans="6:7" x14ac:dyDescent="0.25">
      <c r="F454" s="22">
        <f t="shared" si="16"/>
        <v>0</v>
      </c>
      <c r="G454" s="8">
        <f t="shared" si="17"/>
        <v>0</v>
      </c>
    </row>
    <row r="455" spans="6:7" x14ac:dyDescent="0.25">
      <c r="F455" s="22">
        <f t="shared" si="16"/>
        <v>0</v>
      </c>
      <c r="G455" s="8">
        <f t="shared" si="17"/>
        <v>0</v>
      </c>
    </row>
    <row r="456" spans="6:7" x14ac:dyDescent="0.25">
      <c r="F456" s="22">
        <f t="shared" si="16"/>
        <v>0</v>
      </c>
      <c r="G456" s="8">
        <f t="shared" si="17"/>
        <v>0</v>
      </c>
    </row>
    <row r="457" spans="6:7" x14ac:dyDescent="0.25">
      <c r="F457" s="22">
        <f t="shared" si="16"/>
        <v>0</v>
      </c>
      <c r="G457" s="8">
        <f t="shared" si="17"/>
        <v>0</v>
      </c>
    </row>
    <row r="458" spans="6:7" x14ac:dyDescent="0.25">
      <c r="F458" s="22">
        <f t="shared" si="16"/>
        <v>0</v>
      </c>
      <c r="G458" s="8">
        <f t="shared" si="17"/>
        <v>0</v>
      </c>
    </row>
    <row r="459" spans="6:7" x14ac:dyDescent="0.25">
      <c r="F459" s="22">
        <f t="shared" si="16"/>
        <v>0</v>
      </c>
      <c r="G459" s="8">
        <f t="shared" si="17"/>
        <v>0</v>
      </c>
    </row>
    <row r="460" spans="6:7" x14ac:dyDescent="0.25">
      <c r="F460" s="22">
        <f t="shared" si="16"/>
        <v>0</v>
      </c>
      <c r="G460" s="8">
        <f t="shared" si="17"/>
        <v>0</v>
      </c>
    </row>
    <row r="461" spans="6:7" x14ac:dyDescent="0.25">
      <c r="F461" s="22">
        <f t="shared" si="16"/>
        <v>0</v>
      </c>
      <c r="G461" s="8">
        <f t="shared" si="17"/>
        <v>0</v>
      </c>
    </row>
    <row r="462" spans="6:7" x14ac:dyDescent="0.25">
      <c r="F462" s="22">
        <f t="shared" si="16"/>
        <v>0</v>
      </c>
      <c r="G462" s="8">
        <f t="shared" si="17"/>
        <v>0</v>
      </c>
    </row>
    <row r="463" spans="6:7" x14ac:dyDescent="0.25">
      <c r="F463" s="22">
        <f t="shared" si="16"/>
        <v>0</v>
      </c>
      <c r="G463" s="8">
        <f t="shared" si="17"/>
        <v>0</v>
      </c>
    </row>
    <row r="464" spans="6:7" x14ac:dyDescent="0.25">
      <c r="F464" s="22">
        <f t="shared" si="16"/>
        <v>0</v>
      </c>
      <c r="G464" s="8">
        <f t="shared" si="17"/>
        <v>0</v>
      </c>
    </row>
    <row r="465" spans="6:7" x14ac:dyDescent="0.25">
      <c r="F465" s="22">
        <f t="shared" si="16"/>
        <v>0</v>
      </c>
      <c r="G465" s="8">
        <f t="shared" si="17"/>
        <v>0</v>
      </c>
    </row>
    <row r="466" spans="6:7" x14ac:dyDescent="0.25">
      <c r="F466" s="22">
        <f t="shared" si="16"/>
        <v>0</v>
      </c>
      <c r="G466" s="8">
        <f t="shared" si="17"/>
        <v>0</v>
      </c>
    </row>
    <row r="467" spans="6:7" x14ac:dyDescent="0.25">
      <c r="F467" s="22">
        <f t="shared" si="16"/>
        <v>0</v>
      </c>
      <c r="G467" s="8">
        <f t="shared" si="17"/>
        <v>0</v>
      </c>
    </row>
    <row r="468" spans="6:7" x14ac:dyDescent="0.25">
      <c r="F468" s="22">
        <f t="shared" si="16"/>
        <v>0</v>
      </c>
      <c r="G468" s="8">
        <f t="shared" si="17"/>
        <v>0</v>
      </c>
    </row>
    <row r="469" spans="6:7" x14ac:dyDescent="0.25">
      <c r="F469" s="22">
        <f t="shared" si="16"/>
        <v>0</v>
      </c>
      <c r="G469" s="8">
        <f t="shared" si="17"/>
        <v>0</v>
      </c>
    </row>
    <row r="470" spans="6:7" x14ac:dyDescent="0.25">
      <c r="F470" s="22">
        <f t="shared" si="16"/>
        <v>0</v>
      </c>
      <c r="G470" s="8">
        <f t="shared" si="17"/>
        <v>0</v>
      </c>
    </row>
    <row r="471" spans="6:7" x14ac:dyDescent="0.25">
      <c r="F471" s="22">
        <f t="shared" si="16"/>
        <v>0</v>
      </c>
      <c r="G471" s="8">
        <f t="shared" si="17"/>
        <v>0</v>
      </c>
    </row>
    <row r="472" spans="6:7" x14ac:dyDescent="0.25">
      <c r="F472" s="22">
        <f t="shared" si="16"/>
        <v>0</v>
      </c>
      <c r="G472" s="8">
        <f t="shared" si="17"/>
        <v>0</v>
      </c>
    </row>
    <row r="473" spans="6:7" x14ac:dyDescent="0.25">
      <c r="F473" s="22">
        <f t="shared" si="16"/>
        <v>0</v>
      </c>
      <c r="G473" s="8">
        <f t="shared" si="17"/>
        <v>0</v>
      </c>
    </row>
    <row r="474" spans="6:7" x14ac:dyDescent="0.25">
      <c r="F474" s="22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2">
        <f t="shared" si="18"/>
        <v>0</v>
      </c>
      <c r="G475" s="8">
        <f t="shared" si="19"/>
        <v>0</v>
      </c>
    </row>
    <row r="476" spans="6:7" x14ac:dyDescent="0.25">
      <c r="F476" s="22">
        <f t="shared" si="18"/>
        <v>0</v>
      </c>
      <c r="G476" s="8">
        <f t="shared" si="19"/>
        <v>0</v>
      </c>
    </row>
    <row r="477" spans="6:7" x14ac:dyDescent="0.25">
      <c r="F477" s="22">
        <f t="shared" si="18"/>
        <v>0</v>
      </c>
      <c r="G477" s="8">
        <f t="shared" si="19"/>
        <v>0</v>
      </c>
    </row>
    <row r="478" spans="6:7" x14ac:dyDescent="0.25">
      <c r="F478" s="22">
        <f t="shared" si="18"/>
        <v>0</v>
      </c>
      <c r="G478" s="8">
        <f t="shared" si="19"/>
        <v>0</v>
      </c>
    </row>
    <row r="479" spans="6:7" x14ac:dyDescent="0.25">
      <c r="F479" s="22">
        <f t="shared" si="18"/>
        <v>0</v>
      </c>
      <c r="G479" s="8">
        <f t="shared" si="19"/>
        <v>0</v>
      </c>
    </row>
    <row r="480" spans="6:7" x14ac:dyDescent="0.25">
      <c r="F480" s="22">
        <f t="shared" si="18"/>
        <v>0</v>
      </c>
      <c r="G480" s="8">
        <f t="shared" si="19"/>
        <v>0</v>
      </c>
    </row>
    <row r="481" spans="6:7" x14ac:dyDescent="0.25">
      <c r="F481" s="22">
        <f t="shared" si="18"/>
        <v>0</v>
      </c>
      <c r="G481" s="8">
        <f t="shared" si="19"/>
        <v>0</v>
      </c>
    </row>
    <row r="482" spans="6:7" x14ac:dyDescent="0.25">
      <c r="F482" s="22">
        <f t="shared" si="18"/>
        <v>0</v>
      </c>
      <c r="G482" s="8">
        <f t="shared" si="19"/>
        <v>0</v>
      </c>
    </row>
    <row r="483" spans="6:7" x14ac:dyDescent="0.25">
      <c r="F483" s="22">
        <f t="shared" si="18"/>
        <v>0</v>
      </c>
      <c r="G483" s="8">
        <f t="shared" si="19"/>
        <v>0</v>
      </c>
    </row>
    <row r="484" spans="6:7" x14ac:dyDescent="0.25">
      <c r="F484" s="22">
        <f t="shared" si="18"/>
        <v>0</v>
      </c>
      <c r="G484" s="8">
        <f t="shared" si="19"/>
        <v>0</v>
      </c>
    </row>
    <row r="485" spans="6:7" x14ac:dyDescent="0.25">
      <c r="F485" s="22">
        <f t="shared" si="18"/>
        <v>0</v>
      </c>
      <c r="G485" s="8">
        <f t="shared" si="19"/>
        <v>0</v>
      </c>
    </row>
    <row r="486" spans="6:7" x14ac:dyDescent="0.25">
      <c r="F486" s="22">
        <f t="shared" si="18"/>
        <v>0</v>
      </c>
      <c r="G486" s="8">
        <f t="shared" si="19"/>
        <v>0</v>
      </c>
    </row>
    <row r="487" spans="6:7" x14ac:dyDescent="0.25">
      <c r="F487" s="22">
        <f t="shared" si="18"/>
        <v>0</v>
      </c>
      <c r="G487" s="8">
        <f t="shared" si="19"/>
        <v>0</v>
      </c>
    </row>
    <row r="488" spans="6:7" x14ac:dyDescent="0.25">
      <c r="F488" s="22">
        <f t="shared" si="18"/>
        <v>0</v>
      </c>
      <c r="G488" s="8">
        <f t="shared" si="19"/>
        <v>0</v>
      </c>
    </row>
    <row r="489" spans="6:7" x14ac:dyDescent="0.25">
      <c r="F489" s="22">
        <f t="shared" si="18"/>
        <v>0</v>
      </c>
      <c r="G489" s="8">
        <f t="shared" si="19"/>
        <v>0</v>
      </c>
    </row>
    <row r="490" spans="6:7" x14ac:dyDescent="0.25">
      <c r="F490" s="22">
        <f t="shared" si="18"/>
        <v>0</v>
      </c>
      <c r="G490" s="8">
        <f t="shared" si="19"/>
        <v>0</v>
      </c>
    </row>
    <row r="491" spans="6:7" x14ac:dyDescent="0.25">
      <c r="F491" s="22">
        <f t="shared" si="18"/>
        <v>0</v>
      </c>
      <c r="G491" s="8">
        <f t="shared" si="19"/>
        <v>0</v>
      </c>
    </row>
    <row r="492" spans="6:7" x14ac:dyDescent="0.25">
      <c r="F492" s="22">
        <f t="shared" si="18"/>
        <v>0</v>
      </c>
      <c r="G492" s="8">
        <f t="shared" si="19"/>
        <v>0</v>
      </c>
    </row>
    <row r="493" spans="6:7" x14ac:dyDescent="0.25">
      <c r="F493" s="22">
        <f t="shared" si="18"/>
        <v>0</v>
      </c>
      <c r="G493" s="8">
        <f t="shared" si="19"/>
        <v>0</v>
      </c>
    </row>
    <row r="494" spans="6:7" x14ac:dyDescent="0.25">
      <c r="F494" s="22">
        <f t="shared" si="18"/>
        <v>0</v>
      </c>
      <c r="G494" s="8">
        <f t="shared" si="19"/>
        <v>0</v>
      </c>
    </row>
    <row r="495" spans="6:7" x14ac:dyDescent="0.25">
      <c r="F495" s="22">
        <f t="shared" si="18"/>
        <v>0</v>
      </c>
      <c r="G495" s="8">
        <f t="shared" si="19"/>
        <v>0</v>
      </c>
    </row>
    <row r="496" spans="6:7" x14ac:dyDescent="0.25">
      <c r="F496" s="22">
        <f t="shared" si="18"/>
        <v>0</v>
      </c>
      <c r="G496" s="8">
        <f t="shared" si="19"/>
        <v>0</v>
      </c>
    </row>
    <row r="497" spans="6:7" x14ac:dyDescent="0.25">
      <c r="F497" s="22">
        <f t="shared" si="18"/>
        <v>0</v>
      </c>
      <c r="G497" s="8">
        <f t="shared" si="19"/>
        <v>0</v>
      </c>
    </row>
    <row r="498" spans="6:7" x14ac:dyDescent="0.25">
      <c r="F498" s="22">
        <f t="shared" si="18"/>
        <v>0</v>
      </c>
      <c r="G498" s="8">
        <f t="shared" si="19"/>
        <v>0</v>
      </c>
    </row>
    <row r="499" spans="6:7" x14ac:dyDescent="0.25">
      <c r="F499" s="22">
        <f t="shared" si="18"/>
        <v>0</v>
      </c>
      <c r="G499" s="8">
        <f t="shared" si="19"/>
        <v>0</v>
      </c>
    </row>
    <row r="500" spans="6:7" x14ac:dyDescent="0.25">
      <c r="F500" s="22">
        <f t="shared" si="18"/>
        <v>0</v>
      </c>
      <c r="G500" s="8">
        <f t="shared" si="19"/>
        <v>0</v>
      </c>
    </row>
    <row r="501" spans="6:7" x14ac:dyDescent="0.25">
      <c r="F501" s="22">
        <f t="shared" si="18"/>
        <v>0</v>
      </c>
      <c r="G501" s="8">
        <f t="shared" si="19"/>
        <v>0</v>
      </c>
    </row>
    <row r="502" spans="6:7" x14ac:dyDescent="0.25">
      <c r="F502" s="22">
        <f t="shared" si="18"/>
        <v>0</v>
      </c>
      <c r="G502" s="8">
        <f t="shared" si="19"/>
        <v>0</v>
      </c>
    </row>
    <row r="503" spans="6:7" x14ac:dyDescent="0.25">
      <c r="F503" s="22">
        <f t="shared" si="18"/>
        <v>0</v>
      </c>
      <c r="G503" s="8">
        <f t="shared" si="19"/>
        <v>0</v>
      </c>
    </row>
    <row r="504" spans="6:7" x14ac:dyDescent="0.25">
      <c r="F504" s="22">
        <f t="shared" si="18"/>
        <v>0</v>
      </c>
      <c r="G504" s="8">
        <f t="shared" si="19"/>
        <v>0</v>
      </c>
    </row>
    <row r="505" spans="6:7" x14ac:dyDescent="0.25">
      <c r="F505" s="22">
        <f t="shared" si="18"/>
        <v>0</v>
      </c>
      <c r="G505" s="8">
        <f t="shared" si="19"/>
        <v>0</v>
      </c>
    </row>
    <row r="506" spans="6:7" x14ac:dyDescent="0.25">
      <c r="F506" s="22">
        <f t="shared" si="18"/>
        <v>0</v>
      </c>
      <c r="G506" s="8">
        <f t="shared" si="19"/>
        <v>0</v>
      </c>
    </row>
    <row r="507" spans="6:7" x14ac:dyDescent="0.25">
      <c r="F507" s="22">
        <f t="shared" si="18"/>
        <v>0</v>
      </c>
      <c r="G507" s="8">
        <f t="shared" si="19"/>
        <v>0</v>
      </c>
    </row>
    <row r="508" spans="6:7" x14ac:dyDescent="0.25">
      <c r="F508" s="22">
        <f t="shared" si="18"/>
        <v>0</v>
      </c>
      <c r="G508" s="8">
        <f t="shared" si="19"/>
        <v>0</v>
      </c>
    </row>
    <row r="509" spans="6:7" x14ac:dyDescent="0.25">
      <c r="F509" s="22">
        <f t="shared" si="18"/>
        <v>0</v>
      </c>
      <c r="G509" s="8">
        <f t="shared" si="19"/>
        <v>0</v>
      </c>
    </row>
    <row r="510" spans="6:7" x14ac:dyDescent="0.25">
      <c r="F510" s="22">
        <f t="shared" si="18"/>
        <v>0</v>
      </c>
      <c r="G510" s="8">
        <f t="shared" si="19"/>
        <v>0</v>
      </c>
    </row>
    <row r="511" spans="6:7" x14ac:dyDescent="0.25">
      <c r="F511" s="22">
        <f t="shared" si="18"/>
        <v>0</v>
      </c>
      <c r="G511" s="8">
        <f t="shared" si="19"/>
        <v>0</v>
      </c>
    </row>
    <row r="512" spans="6:7" x14ac:dyDescent="0.25">
      <c r="F512" s="22">
        <f t="shared" si="18"/>
        <v>0</v>
      </c>
      <c r="G512" s="8">
        <f t="shared" si="19"/>
        <v>0</v>
      </c>
    </row>
    <row r="513" spans="6:7" x14ac:dyDescent="0.25">
      <c r="F513" s="22">
        <f t="shared" si="18"/>
        <v>0</v>
      </c>
      <c r="G513" s="8">
        <f t="shared" si="19"/>
        <v>0</v>
      </c>
    </row>
    <row r="514" spans="6:7" x14ac:dyDescent="0.25">
      <c r="F514" s="22">
        <f t="shared" si="18"/>
        <v>0</v>
      </c>
      <c r="G514" s="8">
        <f t="shared" si="19"/>
        <v>0</v>
      </c>
    </row>
    <row r="515" spans="6:7" x14ac:dyDescent="0.25">
      <c r="F515" s="22">
        <f t="shared" si="18"/>
        <v>0</v>
      </c>
      <c r="G515" s="8">
        <f t="shared" si="19"/>
        <v>0</v>
      </c>
    </row>
    <row r="516" spans="6:7" x14ac:dyDescent="0.25">
      <c r="F516" s="22">
        <f t="shared" si="18"/>
        <v>0</v>
      </c>
      <c r="G516" s="8">
        <f t="shared" si="19"/>
        <v>0</v>
      </c>
    </row>
    <row r="517" spans="6:7" x14ac:dyDescent="0.25">
      <c r="F517" s="22">
        <f t="shared" si="18"/>
        <v>0</v>
      </c>
      <c r="G517" s="8">
        <f t="shared" si="19"/>
        <v>0</v>
      </c>
    </row>
    <row r="518" spans="6:7" x14ac:dyDescent="0.25">
      <c r="F518" s="22">
        <f t="shared" si="18"/>
        <v>0</v>
      </c>
      <c r="G518" s="8">
        <f t="shared" si="19"/>
        <v>0</v>
      </c>
    </row>
    <row r="519" spans="6:7" x14ac:dyDescent="0.25">
      <c r="F519" s="22">
        <f t="shared" si="18"/>
        <v>0</v>
      </c>
      <c r="G519" s="8">
        <f t="shared" si="19"/>
        <v>0</v>
      </c>
    </row>
    <row r="520" spans="6:7" x14ac:dyDescent="0.25">
      <c r="F520" s="22">
        <f t="shared" si="18"/>
        <v>0</v>
      </c>
      <c r="G520" s="8">
        <f t="shared" si="19"/>
        <v>0</v>
      </c>
    </row>
    <row r="521" spans="6:7" x14ac:dyDescent="0.25">
      <c r="F521" s="22">
        <f t="shared" si="18"/>
        <v>0</v>
      </c>
      <c r="G521" s="8">
        <f t="shared" si="19"/>
        <v>0</v>
      </c>
    </row>
    <row r="522" spans="6:7" x14ac:dyDescent="0.25">
      <c r="F522" s="22">
        <f t="shared" si="18"/>
        <v>0</v>
      </c>
      <c r="G522" s="8">
        <f t="shared" si="19"/>
        <v>0</v>
      </c>
    </row>
    <row r="523" spans="6:7" x14ac:dyDescent="0.25">
      <c r="F523" s="22">
        <f t="shared" si="18"/>
        <v>0</v>
      </c>
      <c r="G523" s="8">
        <f t="shared" si="19"/>
        <v>0</v>
      </c>
    </row>
    <row r="524" spans="6:7" x14ac:dyDescent="0.25">
      <c r="F524" s="22">
        <f t="shared" si="18"/>
        <v>0</v>
      </c>
      <c r="G524" s="8">
        <f t="shared" si="19"/>
        <v>0</v>
      </c>
    </row>
    <row r="525" spans="6:7" x14ac:dyDescent="0.25">
      <c r="F525" s="22">
        <f t="shared" si="18"/>
        <v>0</v>
      </c>
      <c r="G525" s="8">
        <f t="shared" si="19"/>
        <v>0</v>
      </c>
    </row>
    <row r="526" spans="6:7" x14ac:dyDescent="0.25">
      <c r="F526" s="22">
        <f t="shared" si="18"/>
        <v>0</v>
      </c>
      <c r="G526" s="8">
        <f t="shared" si="19"/>
        <v>0</v>
      </c>
    </row>
    <row r="527" spans="6:7" x14ac:dyDescent="0.25">
      <c r="F527" s="22">
        <f t="shared" si="18"/>
        <v>0</v>
      </c>
      <c r="G527" s="8">
        <f t="shared" si="19"/>
        <v>0</v>
      </c>
    </row>
    <row r="528" spans="6:7" x14ac:dyDescent="0.25">
      <c r="F528" s="22">
        <f t="shared" si="18"/>
        <v>0</v>
      </c>
      <c r="G528" s="8">
        <f t="shared" si="19"/>
        <v>0</v>
      </c>
    </row>
    <row r="529" spans="6:7" x14ac:dyDescent="0.25">
      <c r="F529" s="22">
        <f t="shared" si="18"/>
        <v>0</v>
      </c>
      <c r="G529" s="8">
        <f t="shared" si="19"/>
        <v>0</v>
      </c>
    </row>
    <row r="530" spans="6:7" x14ac:dyDescent="0.25">
      <c r="F530" s="22">
        <f t="shared" si="18"/>
        <v>0</v>
      </c>
      <c r="G530" s="8">
        <f t="shared" si="19"/>
        <v>0</v>
      </c>
    </row>
    <row r="531" spans="6:7" x14ac:dyDescent="0.25">
      <c r="F531" s="22">
        <f t="shared" si="18"/>
        <v>0</v>
      </c>
      <c r="G531" s="8">
        <f t="shared" si="19"/>
        <v>0</v>
      </c>
    </row>
    <row r="532" spans="6:7" x14ac:dyDescent="0.25">
      <c r="F532" s="22">
        <f t="shared" si="18"/>
        <v>0</v>
      </c>
      <c r="G532" s="8">
        <f t="shared" si="19"/>
        <v>0</v>
      </c>
    </row>
    <row r="533" spans="6:7" x14ac:dyDescent="0.25">
      <c r="F533" s="22">
        <f t="shared" si="18"/>
        <v>0</v>
      </c>
      <c r="G533" s="8">
        <f t="shared" si="19"/>
        <v>0</v>
      </c>
    </row>
    <row r="534" spans="6:7" x14ac:dyDescent="0.25">
      <c r="F534" s="22">
        <f t="shared" si="18"/>
        <v>0</v>
      </c>
      <c r="G534" s="8">
        <f t="shared" si="19"/>
        <v>0</v>
      </c>
    </row>
    <row r="535" spans="6:7" x14ac:dyDescent="0.25">
      <c r="F535" s="22">
        <f t="shared" si="18"/>
        <v>0</v>
      </c>
      <c r="G535" s="8">
        <f t="shared" si="19"/>
        <v>0</v>
      </c>
    </row>
    <row r="536" spans="6:7" x14ac:dyDescent="0.25">
      <c r="F536" s="22">
        <f t="shared" si="18"/>
        <v>0</v>
      </c>
      <c r="G536" s="8">
        <f t="shared" si="19"/>
        <v>0</v>
      </c>
    </row>
    <row r="537" spans="6:7" x14ac:dyDescent="0.25">
      <c r="F537" s="22">
        <f t="shared" si="18"/>
        <v>0</v>
      </c>
      <c r="G537" s="8">
        <f t="shared" si="19"/>
        <v>0</v>
      </c>
    </row>
    <row r="538" spans="6:7" x14ac:dyDescent="0.25">
      <c r="F538" s="22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2">
        <f t="shared" si="20"/>
        <v>0</v>
      </c>
      <c r="G539" s="8">
        <f t="shared" si="21"/>
        <v>0</v>
      </c>
    </row>
    <row r="540" spans="6:7" x14ac:dyDescent="0.25">
      <c r="F540" s="22">
        <f t="shared" si="20"/>
        <v>0</v>
      </c>
      <c r="G540" s="8">
        <f t="shared" si="21"/>
        <v>0</v>
      </c>
    </row>
    <row r="541" spans="6:7" x14ac:dyDescent="0.25">
      <c r="F541" s="22">
        <f t="shared" si="20"/>
        <v>0</v>
      </c>
      <c r="G541" s="8">
        <f t="shared" si="21"/>
        <v>0</v>
      </c>
    </row>
    <row r="542" spans="6:7" x14ac:dyDescent="0.25">
      <c r="F542" s="22">
        <f t="shared" si="20"/>
        <v>0</v>
      </c>
      <c r="G542" s="8">
        <f t="shared" si="21"/>
        <v>0</v>
      </c>
    </row>
    <row r="543" spans="6:7" x14ac:dyDescent="0.25">
      <c r="F543" s="22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/>
  </sheetPr>
  <dimension ref="A1:P32"/>
  <sheetViews>
    <sheetView zoomScaleNormal="100" workbookViewId="0">
      <selection activeCell="E16" sqref="E16"/>
    </sheetView>
  </sheetViews>
  <sheetFormatPr defaultRowHeight="15" x14ac:dyDescent="0.25"/>
  <cols>
    <col min="1" max="1" width="14.85546875" style="153" customWidth="1"/>
    <col min="2" max="2" width="11" style="153" bestFit="1" customWidth="1"/>
    <col min="3" max="3" width="9.5703125" style="153" bestFit="1" customWidth="1"/>
    <col min="4" max="4" width="21.5703125" style="152" bestFit="1" customWidth="1"/>
    <col min="5" max="5" width="9" style="153" bestFit="1" customWidth="1"/>
    <col min="6" max="6" width="18.28515625" style="153" bestFit="1" customWidth="1"/>
    <col min="7" max="7" width="7" style="153" bestFit="1" customWidth="1"/>
    <col min="8" max="8" width="14.5703125" style="153" bestFit="1" customWidth="1"/>
    <col min="9" max="9" width="16.42578125" style="153" bestFit="1" customWidth="1"/>
    <col min="10" max="10" width="8.7109375" style="153" bestFit="1" customWidth="1"/>
    <col min="11" max="11" width="13.7109375" style="153" bestFit="1" customWidth="1"/>
    <col min="12" max="12" width="12.28515625" style="153" bestFit="1" customWidth="1"/>
    <col min="13" max="13" width="11" style="153" bestFit="1" customWidth="1"/>
    <col min="14" max="14" width="8.5703125" style="153" bestFit="1" customWidth="1"/>
    <col min="15" max="15" width="12.140625" style="153" bestFit="1" customWidth="1"/>
    <col min="16" max="16" width="11" style="153" bestFit="1" customWidth="1"/>
    <col min="17" max="16384" width="9.140625" style="108"/>
  </cols>
  <sheetData>
    <row r="1" spans="1:16" s="156" customFormat="1" x14ac:dyDescent="0.25">
      <c r="A1" s="155" t="s">
        <v>744</v>
      </c>
      <c r="B1" s="155" t="s">
        <v>747</v>
      </c>
      <c r="C1" s="155" t="s">
        <v>740</v>
      </c>
      <c r="D1" s="154" t="s">
        <v>766</v>
      </c>
      <c r="E1" s="155" t="s">
        <v>741</v>
      </c>
      <c r="F1" s="155" t="s">
        <v>739</v>
      </c>
      <c r="G1" s="155" t="s">
        <v>737</v>
      </c>
      <c r="H1" s="155" t="s">
        <v>750</v>
      </c>
      <c r="I1" s="155" t="s">
        <v>751</v>
      </c>
      <c r="J1" s="155" t="s">
        <v>745</v>
      </c>
      <c r="K1" s="155" t="s">
        <v>743</v>
      </c>
      <c r="L1" s="155" t="s">
        <v>738</v>
      </c>
      <c r="M1" s="155" t="s">
        <v>748</v>
      </c>
      <c r="N1" s="155" t="s">
        <v>742</v>
      </c>
      <c r="O1" s="155" t="s">
        <v>749</v>
      </c>
      <c r="P1" s="155" t="s">
        <v>746</v>
      </c>
    </row>
    <row r="2" spans="1:16" x14ac:dyDescent="0.25">
      <c r="A2" s="153">
        <v>63.25</v>
      </c>
      <c r="B2" s="153">
        <v>0.6</v>
      </c>
      <c r="C2" s="153">
        <v>54.58</v>
      </c>
      <c r="D2" s="152">
        <v>42620</v>
      </c>
      <c r="E2" s="153">
        <v>0.73</v>
      </c>
      <c r="F2" s="153" t="s">
        <v>752</v>
      </c>
      <c r="G2" s="153">
        <v>279.10000000000002</v>
      </c>
      <c r="H2" s="153">
        <v>0</v>
      </c>
      <c r="I2" s="153">
        <v>0</v>
      </c>
      <c r="J2" s="153">
        <v>1012.76</v>
      </c>
      <c r="K2" s="153" t="s">
        <v>569</v>
      </c>
      <c r="L2" s="153">
        <v>63.25</v>
      </c>
      <c r="M2" s="153">
        <v>1473228000</v>
      </c>
      <c r="N2" s="153">
        <v>6.45</v>
      </c>
      <c r="O2" s="153">
        <v>331</v>
      </c>
      <c r="P2" s="153">
        <v>3.22</v>
      </c>
    </row>
    <row r="3" spans="1:16" x14ac:dyDescent="0.25">
      <c r="A3" s="153">
        <v>62.38</v>
      </c>
      <c r="B3" s="153">
        <v>0.51</v>
      </c>
      <c r="C3" s="153">
        <v>53.89</v>
      </c>
      <c r="D3" s="152">
        <v>42620.041666666664</v>
      </c>
      <c r="E3" s="153">
        <v>0.74</v>
      </c>
      <c r="F3" s="153" t="s">
        <v>752</v>
      </c>
      <c r="G3" s="153">
        <v>280.14</v>
      </c>
      <c r="H3" s="153">
        <v>0</v>
      </c>
      <c r="I3" s="153">
        <v>0</v>
      </c>
      <c r="J3" s="153">
        <v>1012.58</v>
      </c>
      <c r="K3" s="153" t="s">
        <v>570</v>
      </c>
      <c r="L3" s="153">
        <v>62.38</v>
      </c>
      <c r="M3" s="153">
        <v>1473231600</v>
      </c>
      <c r="N3" s="153">
        <v>6.54</v>
      </c>
      <c r="O3" s="153">
        <v>333</v>
      </c>
      <c r="P3" s="153">
        <v>2.63</v>
      </c>
    </row>
    <row r="4" spans="1:16" x14ac:dyDescent="0.25">
      <c r="A4" s="153">
        <v>61.59</v>
      </c>
      <c r="B4" s="153">
        <v>0.42</v>
      </c>
      <c r="C4" s="153">
        <v>53.2</v>
      </c>
      <c r="D4" s="152">
        <v>42620.083333333336</v>
      </c>
      <c r="E4" s="153">
        <v>0.74</v>
      </c>
      <c r="F4" s="153" t="s">
        <v>752</v>
      </c>
      <c r="G4" s="153">
        <v>281.19</v>
      </c>
      <c r="H4" s="153">
        <v>0</v>
      </c>
      <c r="I4" s="153">
        <v>0</v>
      </c>
      <c r="J4" s="153">
        <v>1012.42</v>
      </c>
      <c r="K4" s="153" t="s">
        <v>570</v>
      </c>
      <c r="L4" s="153">
        <v>61.59</v>
      </c>
      <c r="M4" s="153">
        <v>1473235200</v>
      </c>
      <c r="N4" s="153">
        <v>6.87</v>
      </c>
      <c r="O4" s="153">
        <v>291</v>
      </c>
      <c r="P4" s="153">
        <v>1.08</v>
      </c>
    </row>
    <row r="5" spans="1:16" x14ac:dyDescent="0.25">
      <c r="A5" s="153">
        <v>60.32</v>
      </c>
      <c r="B5" s="153">
        <v>0.36</v>
      </c>
      <c r="C5" s="153">
        <v>51.79</v>
      </c>
      <c r="D5" s="152">
        <v>42620.125</v>
      </c>
      <c r="E5" s="153">
        <v>0.73</v>
      </c>
      <c r="F5" s="153" t="s">
        <v>752</v>
      </c>
      <c r="G5" s="153">
        <v>282.23</v>
      </c>
      <c r="H5" s="153">
        <v>0</v>
      </c>
      <c r="I5" s="153">
        <v>0</v>
      </c>
      <c r="J5" s="153">
        <v>1012.29</v>
      </c>
      <c r="K5" s="153" t="s">
        <v>570</v>
      </c>
      <c r="L5" s="153">
        <v>60.32</v>
      </c>
      <c r="M5" s="153">
        <v>1473238800</v>
      </c>
      <c r="N5" s="153">
        <v>6.79</v>
      </c>
      <c r="O5" s="153">
        <v>269</v>
      </c>
      <c r="P5" s="153">
        <v>1.23</v>
      </c>
    </row>
    <row r="6" spans="1:16" x14ac:dyDescent="0.25">
      <c r="A6" s="153">
        <v>59.9</v>
      </c>
      <c r="B6" s="153">
        <v>0.34</v>
      </c>
      <c r="C6" s="153">
        <v>51.25</v>
      </c>
      <c r="D6" s="152">
        <v>42620.166666666664</v>
      </c>
      <c r="E6" s="153">
        <v>0.73</v>
      </c>
      <c r="F6" s="153" t="s">
        <v>752</v>
      </c>
      <c r="G6" s="153">
        <v>281.25</v>
      </c>
      <c r="H6" s="153">
        <v>0</v>
      </c>
      <c r="I6" s="153">
        <v>0</v>
      </c>
      <c r="J6" s="153">
        <v>1012.56</v>
      </c>
      <c r="K6" s="153" t="s">
        <v>570</v>
      </c>
      <c r="L6" s="153">
        <v>59.9</v>
      </c>
      <c r="M6" s="153">
        <v>1473242400</v>
      </c>
      <c r="N6" s="153">
        <v>7.66</v>
      </c>
      <c r="O6" s="153">
        <v>270</v>
      </c>
      <c r="P6" s="153">
        <v>1.54</v>
      </c>
    </row>
    <row r="7" spans="1:16" x14ac:dyDescent="0.25">
      <c r="A7" s="153">
        <v>57.08</v>
      </c>
      <c r="B7" s="153">
        <v>0.38</v>
      </c>
      <c r="C7" s="153">
        <v>48.28</v>
      </c>
      <c r="D7" s="152">
        <v>42620.208333333336</v>
      </c>
      <c r="E7" s="153">
        <v>0.72</v>
      </c>
      <c r="F7" s="153" t="s">
        <v>752</v>
      </c>
      <c r="G7" s="153">
        <v>279.49</v>
      </c>
      <c r="H7" s="153">
        <v>0</v>
      </c>
      <c r="I7" s="153">
        <v>0</v>
      </c>
      <c r="J7" s="153">
        <v>1012.99</v>
      </c>
      <c r="K7" s="153" t="s">
        <v>570</v>
      </c>
      <c r="L7" s="153">
        <v>57.08</v>
      </c>
      <c r="M7" s="153">
        <v>1473246000</v>
      </c>
      <c r="N7" s="153">
        <v>8.31</v>
      </c>
      <c r="O7" s="153">
        <v>247</v>
      </c>
      <c r="P7" s="153">
        <v>1.64</v>
      </c>
    </row>
    <row r="8" spans="1:16" x14ac:dyDescent="0.25">
      <c r="A8" s="153">
        <v>57.16</v>
      </c>
      <c r="B8" s="153">
        <v>0.41</v>
      </c>
      <c r="C8" s="153">
        <v>47.58</v>
      </c>
      <c r="D8" s="152">
        <v>42620.25</v>
      </c>
      <c r="E8" s="153">
        <v>0.7</v>
      </c>
      <c r="F8" s="153" t="s">
        <v>752</v>
      </c>
      <c r="G8" s="153">
        <v>278.45999999999998</v>
      </c>
      <c r="H8" s="153">
        <v>0</v>
      </c>
      <c r="I8" s="153">
        <v>0</v>
      </c>
      <c r="J8" s="153">
        <v>1013.3</v>
      </c>
      <c r="K8" s="153" t="s">
        <v>570</v>
      </c>
      <c r="L8" s="153">
        <v>57.16</v>
      </c>
      <c r="M8" s="153">
        <v>1473249600</v>
      </c>
      <c r="N8" s="153">
        <v>7.8</v>
      </c>
      <c r="O8" s="153">
        <v>221</v>
      </c>
      <c r="P8" s="153">
        <v>1.18</v>
      </c>
    </row>
    <row r="9" spans="1:16" x14ac:dyDescent="0.25">
      <c r="A9" s="153">
        <v>57.43</v>
      </c>
      <c r="B9" s="153">
        <v>0.4</v>
      </c>
      <c r="C9" s="153">
        <v>46.61</v>
      </c>
      <c r="D9" s="152">
        <v>42620.291666666664</v>
      </c>
      <c r="E9" s="153">
        <v>0.67</v>
      </c>
      <c r="F9" s="153" t="s">
        <v>753</v>
      </c>
      <c r="G9" s="153">
        <v>279.02999999999997</v>
      </c>
      <c r="H9" s="153">
        <v>0</v>
      </c>
      <c r="I9" s="153">
        <v>0</v>
      </c>
      <c r="J9" s="153">
        <v>1013.27</v>
      </c>
      <c r="K9" s="153" t="s">
        <v>570</v>
      </c>
      <c r="L9" s="153">
        <v>57.43</v>
      </c>
      <c r="M9" s="153">
        <v>1473253200</v>
      </c>
      <c r="N9" s="153">
        <v>7.4</v>
      </c>
      <c r="O9" s="153">
        <v>246</v>
      </c>
      <c r="P9" s="153">
        <v>1.61</v>
      </c>
    </row>
    <row r="10" spans="1:16" x14ac:dyDescent="0.25">
      <c r="A10" s="153">
        <v>61.69</v>
      </c>
      <c r="B10" s="153">
        <v>0.42</v>
      </c>
      <c r="C10" s="153">
        <v>48.22</v>
      </c>
      <c r="D10" s="152">
        <v>42620.333333333336</v>
      </c>
      <c r="E10" s="153">
        <v>0.61</v>
      </c>
      <c r="F10" s="153" t="s">
        <v>753</v>
      </c>
      <c r="G10" s="153">
        <v>280.31</v>
      </c>
      <c r="H10" s="153">
        <v>0</v>
      </c>
      <c r="I10" s="153">
        <v>0</v>
      </c>
      <c r="J10" s="153">
        <v>1013.08</v>
      </c>
      <c r="K10" s="153" t="s">
        <v>570</v>
      </c>
      <c r="L10" s="153">
        <v>61.69</v>
      </c>
      <c r="M10" s="153">
        <v>1473256800</v>
      </c>
      <c r="N10" s="153">
        <v>7.55</v>
      </c>
      <c r="O10" s="153">
        <v>218</v>
      </c>
      <c r="P10" s="153">
        <v>1.4</v>
      </c>
    </row>
    <row r="11" spans="1:16" x14ac:dyDescent="0.25">
      <c r="A11" s="153">
        <v>66.489999999999995</v>
      </c>
      <c r="B11" s="153">
        <v>0.42</v>
      </c>
      <c r="C11" s="153">
        <v>49.95</v>
      </c>
      <c r="D11" s="152">
        <v>42620.375</v>
      </c>
      <c r="E11" s="153">
        <v>0.55000000000000004</v>
      </c>
      <c r="F11" s="153" t="s">
        <v>753</v>
      </c>
      <c r="G11" s="153">
        <v>281.19</v>
      </c>
      <c r="H11" s="153">
        <v>0</v>
      </c>
      <c r="I11" s="153">
        <v>0</v>
      </c>
      <c r="J11" s="153">
        <v>1012.83</v>
      </c>
      <c r="K11" s="153" t="s">
        <v>570</v>
      </c>
      <c r="L11" s="153">
        <v>66.489999999999995</v>
      </c>
      <c r="M11" s="153">
        <v>1473260400</v>
      </c>
      <c r="N11" s="153">
        <v>7.85</v>
      </c>
      <c r="O11" s="153">
        <v>187</v>
      </c>
      <c r="P11" s="153">
        <v>1.53</v>
      </c>
    </row>
    <row r="12" spans="1:16" x14ac:dyDescent="0.25">
      <c r="A12" s="153">
        <v>70.650000000000006</v>
      </c>
      <c r="B12" s="153">
        <v>0.4</v>
      </c>
      <c r="C12" s="153">
        <v>48.28</v>
      </c>
      <c r="D12" s="152">
        <v>42620.416666666664</v>
      </c>
      <c r="E12" s="153">
        <v>0.45</v>
      </c>
      <c r="F12" s="153" t="s">
        <v>753</v>
      </c>
      <c r="G12" s="153">
        <v>281.16000000000003</v>
      </c>
      <c r="H12" s="153">
        <v>0</v>
      </c>
      <c r="I12" s="153">
        <v>0</v>
      </c>
      <c r="J12" s="153">
        <v>1012.55</v>
      </c>
      <c r="K12" s="153" t="s">
        <v>570</v>
      </c>
      <c r="L12" s="153">
        <v>70.650000000000006</v>
      </c>
      <c r="M12" s="153">
        <v>1473264000</v>
      </c>
      <c r="N12" s="153">
        <v>8.14</v>
      </c>
      <c r="O12" s="153">
        <v>223</v>
      </c>
      <c r="P12" s="153">
        <v>1.79</v>
      </c>
    </row>
    <row r="13" spans="1:16" x14ac:dyDescent="0.25">
      <c r="A13" s="153">
        <v>74.430000000000007</v>
      </c>
      <c r="B13" s="153">
        <v>0.4</v>
      </c>
      <c r="C13" s="153">
        <v>47.95</v>
      </c>
      <c r="D13" s="152">
        <v>42620.458333333336</v>
      </c>
      <c r="E13" s="153">
        <v>0.39</v>
      </c>
      <c r="F13" s="153" t="s">
        <v>753</v>
      </c>
      <c r="G13" s="153">
        <v>280.72000000000003</v>
      </c>
      <c r="H13" s="153">
        <v>0</v>
      </c>
      <c r="I13" s="153">
        <v>0</v>
      </c>
      <c r="J13" s="153">
        <v>1012.16</v>
      </c>
      <c r="K13" s="153" t="s">
        <v>570</v>
      </c>
      <c r="L13" s="153">
        <v>74.430000000000007</v>
      </c>
      <c r="M13" s="153">
        <v>1473267600</v>
      </c>
      <c r="N13" s="153">
        <v>6.61</v>
      </c>
      <c r="O13" s="153">
        <v>212</v>
      </c>
      <c r="P13" s="153">
        <v>0.83</v>
      </c>
    </row>
    <row r="14" spans="1:16" x14ac:dyDescent="0.25">
      <c r="A14" s="153">
        <v>78.569999999999993</v>
      </c>
      <c r="B14" s="153">
        <v>0.41</v>
      </c>
      <c r="C14" s="153">
        <v>44.93</v>
      </c>
      <c r="D14" s="152">
        <v>42620.5</v>
      </c>
      <c r="E14" s="153">
        <v>0.3</v>
      </c>
      <c r="F14" s="153" t="s">
        <v>753</v>
      </c>
      <c r="G14" s="153">
        <v>280.19</v>
      </c>
      <c r="H14" s="153">
        <v>0</v>
      </c>
      <c r="I14" s="153">
        <v>0</v>
      </c>
      <c r="J14" s="153">
        <v>1011.71</v>
      </c>
      <c r="K14" s="153" t="s">
        <v>570</v>
      </c>
      <c r="L14" s="153">
        <v>78.569999999999993</v>
      </c>
      <c r="M14" s="153">
        <v>1473271200</v>
      </c>
      <c r="N14" s="153">
        <v>6.75</v>
      </c>
      <c r="O14" s="153">
        <v>48</v>
      </c>
      <c r="P14" s="153">
        <v>0.47</v>
      </c>
    </row>
    <row r="15" spans="1:16" x14ac:dyDescent="0.25">
      <c r="A15" s="153">
        <v>80.33</v>
      </c>
      <c r="B15" s="153">
        <v>0.43</v>
      </c>
      <c r="C15" s="153">
        <v>42.71</v>
      </c>
      <c r="D15" s="152">
        <v>42620.541666666664</v>
      </c>
      <c r="E15" s="153">
        <v>0.25</v>
      </c>
      <c r="F15" s="153" t="s">
        <v>753</v>
      </c>
      <c r="G15" s="153">
        <v>279.60000000000002</v>
      </c>
      <c r="H15" s="153">
        <v>0</v>
      </c>
      <c r="I15" s="153">
        <v>0</v>
      </c>
      <c r="J15" s="153">
        <v>1011.16</v>
      </c>
      <c r="K15" s="153" t="s">
        <v>570</v>
      </c>
      <c r="L15" s="153">
        <v>82.3</v>
      </c>
      <c r="M15" s="153">
        <v>1473274800</v>
      </c>
      <c r="N15" s="153">
        <v>6.85</v>
      </c>
      <c r="O15" s="153">
        <v>56</v>
      </c>
      <c r="P15" s="153">
        <v>1.43</v>
      </c>
    </row>
    <row r="16" spans="1:16" x14ac:dyDescent="0.25">
      <c r="A16" s="153">
        <v>81.16</v>
      </c>
      <c r="B16" s="153">
        <v>0.42</v>
      </c>
      <c r="C16" s="153">
        <v>38.6</v>
      </c>
      <c r="D16" s="152">
        <v>42620.583333333336</v>
      </c>
      <c r="E16" s="153">
        <v>0.2</v>
      </c>
      <c r="F16" s="153" t="s">
        <v>753</v>
      </c>
      <c r="G16" s="153">
        <v>278.93</v>
      </c>
      <c r="H16" s="153">
        <v>0</v>
      </c>
      <c r="I16" s="153">
        <v>0</v>
      </c>
      <c r="J16" s="153">
        <v>1010.54</v>
      </c>
      <c r="K16" s="153" t="s">
        <v>570</v>
      </c>
      <c r="L16" s="153">
        <v>83.83</v>
      </c>
      <c r="M16" s="153">
        <v>1473278400</v>
      </c>
      <c r="N16" s="153">
        <v>6.9</v>
      </c>
      <c r="O16" s="153">
        <v>71</v>
      </c>
      <c r="P16" s="153">
        <v>2.1</v>
      </c>
    </row>
    <row r="17" spans="1:16" x14ac:dyDescent="0.25">
      <c r="A17" s="153">
        <v>81.92</v>
      </c>
      <c r="B17" s="153">
        <v>0.4</v>
      </c>
      <c r="C17" s="153">
        <v>36.549999999999997</v>
      </c>
      <c r="D17" s="152">
        <v>42620.625</v>
      </c>
      <c r="E17" s="153">
        <v>0.18</v>
      </c>
      <c r="F17" s="153" t="s">
        <v>753</v>
      </c>
      <c r="G17" s="153">
        <v>278.43</v>
      </c>
      <c r="H17" s="153">
        <v>0</v>
      </c>
      <c r="I17" s="153">
        <v>0</v>
      </c>
      <c r="J17" s="153">
        <v>1010.05</v>
      </c>
      <c r="K17" s="153" t="s">
        <v>570</v>
      </c>
      <c r="L17" s="153">
        <v>84.96</v>
      </c>
      <c r="M17" s="153">
        <v>1473282000</v>
      </c>
      <c r="N17" s="153">
        <v>6.93</v>
      </c>
      <c r="O17" s="153">
        <v>75</v>
      </c>
      <c r="P17" s="153">
        <v>3.28</v>
      </c>
    </row>
    <row r="18" spans="1:16" x14ac:dyDescent="0.25">
      <c r="A18" s="153">
        <v>83.02</v>
      </c>
      <c r="B18" s="153">
        <v>0.37</v>
      </c>
      <c r="C18" s="153">
        <v>36.51</v>
      </c>
      <c r="D18" s="152">
        <v>42620.666666666664</v>
      </c>
      <c r="E18" s="153">
        <v>0.17</v>
      </c>
      <c r="F18" s="153" t="s">
        <v>753</v>
      </c>
      <c r="G18" s="153">
        <v>278.29000000000002</v>
      </c>
      <c r="H18" s="153">
        <v>0</v>
      </c>
      <c r="I18" s="153">
        <v>0</v>
      </c>
      <c r="J18" s="153">
        <v>1009.7</v>
      </c>
      <c r="K18" s="153" t="s">
        <v>570</v>
      </c>
      <c r="L18" s="153">
        <v>86.4</v>
      </c>
      <c r="M18" s="153">
        <v>1473285600</v>
      </c>
      <c r="N18" s="153">
        <v>6.97</v>
      </c>
      <c r="O18" s="153">
        <v>71</v>
      </c>
      <c r="P18" s="153">
        <v>3.62</v>
      </c>
    </row>
    <row r="19" spans="1:16" x14ac:dyDescent="0.25">
      <c r="A19" s="153">
        <v>82.31</v>
      </c>
      <c r="B19" s="153">
        <v>0.32</v>
      </c>
      <c r="C19" s="153">
        <v>36.840000000000003</v>
      </c>
      <c r="D19" s="152">
        <v>42620.708333333336</v>
      </c>
      <c r="E19" s="153">
        <v>0.18</v>
      </c>
      <c r="F19" s="153" t="s">
        <v>753</v>
      </c>
      <c r="G19" s="153">
        <v>278.32</v>
      </c>
      <c r="H19" s="153">
        <v>0</v>
      </c>
      <c r="I19" s="153">
        <v>0</v>
      </c>
      <c r="J19" s="153">
        <v>1009.55</v>
      </c>
      <c r="K19" s="153" t="s">
        <v>570</v>
      </c>
      <c r="L19" s="153">
        <v>85.47</v>
      </c>
      <c r="M19" s="153">
        <v>1473289200</v>
      </c>
      <c r="N19" s="153">
        <v>7.09</v>
      </c>
      <c r="O19" s="153">
        <v>70</v>
      </c>
      <c r="P19" s="153">
        <v>3.9</v>
      </c>
    </row>
    <row r="20" spans="1:16" x14ac:dyDescent="0.25">
      <c r="A20" s="153">
        <v>80.66</v>
      </c>
      <c r="B20" s="153">
        <v>0.34</v>
      </c>
      <c r="C20" s="153">
        <v>36.74</v>
      </c>
      <c r="D20" s="152">
        <v>42620.75</v>
      </c>
      <c r="E20" s="153">
        <v>0.19</v>
      </c>
      <c r="F20" s="153" t="s">
        <v>753</v>
      </c>
      <c r="G20" s="153">
        <v>278.24</v>
      </c>
      <c r="H20" s="153">
        <v>0</v>
      </c>
      <c r="I20" s="153">
        <v>0</v>
      </c>
      <c r="J20" s="153">
        <v>1009.74</v>
      </c>
      <c r="K20" s="153" t="s">
        <v>570</v>
      </c>
      <c r="L20" s="153">
        <v>83.21</v>
      </c>
      <c r="M20" s="153">
        <v>1473292800</v>
      </c>
      <c r="N20" s="153">
        <v>7.32</v>
      </c>
      <c r="O20" s="153">
        <v>69</v>
      </c>
      <c r="P20" s="153">
        <v>3.88</v>
      </c>
    </row>
    <row r="21" spans="1:16" x14ac:dyDescent="0.25">
      <c r="A21" s="153">
        <v>79.25</v>
      </c>
      <c r="B21" s="153">
        <v>0.47</v>
      </c>
      <c r="C21" s="153">
        <v>36.15</v>
      </c>
      <c r="D21" s="152">
        <v>42620.791666666664</v>
      </c>
      <c r="E21" s="153">
        <v>0.21</v>
      </c>
      <c r="F21" s="153" t="s">
        <v>753</v>
      </c>
      <c r="G21" s="153">
        <v>277.7</v>
      </c>
      <c r="H21" s="153">
        <v>0</v>
      </c>
      <c r="I21" s="153">
        <v>0</v>
      </c>
      <c r="J21" s="153">
        <v>1010.6</v>
      </c>
      <c r="K21" s="153" t="s">
        <v>570</v>
      </c>
      <c r="L21" s="153">
        <v>79.25</v>
      </c>
      <c r="M21" s="153">
        <v>1473296400</v>
      </c>
      <c r="N21" s="153">
        <v>6.34</v>
      </c>
      <c r="O21" s="153">
        <v>73</v>
      </c>
      <c r="P21" s="153">
        <v>3.32</v>
      </c>
    </row>
    <row r="22" spans="1:16" x14ac:dyDescent="0.25">
      <c r="A22" s="153">
        <v>74.02</v>
      </c>
      <c r="B22" s="153">
        <v>0.6</v>
      </c>
      <c r="C22" s="153">
        <v>38.06</v>
      </c>
      <c r="D22" s="152">
        <v>42620.833333333336</v>
      </c>
      <c r="E22" s="153">
        <v>0.27</v>
      </c>
      <c r="F22" s="153" t="s">
        <v>752</v>
      </c>
      <c r="G22" s="153">
        <v>277.05</v>
      </c>
      <c r="H22" s="153">
        <v>0</v>
      </c>
      <c r="I22" s="153">
        <v>0</v>
      </c>
      <c r="J22" s="153">
        <v>1011.7</v>
      </c>
      <c r="K22" s="153" t="s">
        <v>569</v>
      </c>
      <c r="L22" s="153">
        <v>74.02</v>
      </c>
      <c r="M22" s="153">
        <v>1473300000</v>
      </c>
      <c r="N22" s="153">
        <v>7.02</v>
      </c>
      <c r="O22" s="153">
        <v>38</v>
      </c>
      <c r="P22" s="153">
        <v>2.38</v>
      </c>
    </row>
    <row r="23" spans="1:16" x14ac:dyDescent="0.25">
      <c r="A23" s="153">
        <v>70.92</v>
      </c>
      <c r="B23" s="153">
        <v>0.63</v>
      </c>
      <c r="C23" s="153">
        <v>38.630000000000003</v>
      </c>
      <c r="D23" s="152">
        <v>42620.875</v>
      </c>
      <c r="E23" s="153">
        <v>0.31</v>
      </c>
      <c r="F23" s="153" t="s">
        <v>752</v>
      </c>
      <c r="G23" s="153">
        <v>276.94</v>
      </c>
      <c r="H23" s="153">
        <v>0</v>
      </c>
      <c r="I23" s="153">
        <v>0</v>
      </c>
      <c r="J23" s="153">
        <v>1012.7</v>
      </c>
      <c r="K23" s="153" t="s">
        <v>569</v>
      </c>
      <c r="L23" s="153">
        <v>70.92</v>
      </c>
      <c r="M23" s="153">
        <v>1473303600</v>
      </c>
      <c r="N23" s="153">
        <v>7.88</v>
      </c>
      <c r="O23" s="153">
        <v>6</v>
      </c>
      <c r="P23" s="153">
        <v>2.19</v>
      </c>
    </row>
    <row r="24" spans="1:16" x14ac:dyDescent="0.25">
      <c r="A24" s="153">
        <v>68.55</v>
      </c>
      <c r="B24" s="153">
        <v>0.57999999999999996</v>
      </c>
      <c r="C24" s="153">
        <v>38.58</v>
      </c>
      <c r="D24" s="152">
        <v>42620.916666666664</v>
      </c>
      <c r="E24" s="153">
        <v>0.33</v>
      </c>
      <c r="F24" s="153" t="s">
        <v>752</v>
      </c>
      <c r="G24" s="153">
        <v>278.02</v>
      </c>
      <c r="H24" s="153">
        <v>0</v>
      </c>
      <c r="I24" s="153">
        <v>0</v>
      </c>
      <c r="J24" s="153">
        <v>1013.41</v>
      </c>
      <c r="K24" s="153" t="s">
        <v>570</v>
      </c>
      <c r="L24" s="153">
        <v>68.55</v>
      </c>
      <c r="M24" s="153">
        <v>1473307200</v>
      </c>
      <c r="N24" s="153">
        <v>8.59</v>
      </c>
      <c r="O24" s="153">
        <v>340</v>
      </c>
      <c r="P24" s="153">
        <v>2.72</v>
      </c>
    </row>
    <row r="25" spans="1:16" x14ac:dyDescent="0.25">
      <c r="A25" s="153">
        <v>66.84</v>
      </c>
      <c r="B25" s="153">
        <v>0.46</v>
      </c>
      <c r="C25" s="153">
        <v>39.76</v>
      </c>
      <c r="D25" s="152">
        <v>42620.958333333336</v>
      </c>
      <c r="E25" s="153">
        <v>0.37</v>
      </c>
      <c r="F25" s="153" t="s">
        <v>752</v>
      </c>
      <c r="G25" s="153">
        <v>279.64</v>
      </c>
      <c r="H25" s="153">
        <v>0</v>
      </c>
      <c r="I25" s="153">
        <v>0</v>
      </c>
      <c r="J25" s="153">
        <v>1013.99</v>
      </c>
      <c r="K25" s="153" t="s">
        <v>570</v>
      </c>
      <c r="L25" s="153">
        <v>66.84</v>
      </c>
      <c r="M25" s="153">
        <v>1473310800</v>
      </c>
      <c r="N25" s="153">
        <v>8.85</v>
      </c>
      <c r="O25" s="153">
        <v>333</v>
      </c>
      <c r="P25" s="153">
        <v>2.4900000000000002</v>
      </c>
    </row>
    <row r="26" spans="1:16" x14ac:dyDescent="0.25">
      <c r="A26" s="153">
        <v>64.36</v>
      </c>
      <c r="B26" s="153">
        <v>0.28999999999999998</v>
      </c>
      <c r="C26" s="153">
        <v>39.96</v>
      </c>
      <c r="D26" s="152">
        <v>42621</v>
      </c>
      <c r="E26" s="153">
        <v>0.41</v>
      </c>
      <c r="F26" s="153" t="s">
        <v>752</v>
      </c>
      <c r="G26" s="153">
        <v>280.62</v>
      </c>
      <c r="H26" s="153">
        <v>0</v>
      </c>
      <c r="I26" s="153">
        <v>0</v>
      </c>
      <c r="J26" s="153">
        <v>1014.5</v>
      </c>
      <c r="K26" s="153" t="s">
        <v>570</v>
      </c>
      <c r="L26" s="153">
        <v>64.36</v>
      </c>
      <c r="M26" s="153">
        <v>1473314400</v>
      </c>
      <c r="N26" s="153">
        <v>8.9</v>
      </c>
      <c r="O26" s="153">
        <v>333</v>
      </c>
      <c r="P26" s="153">
        <v>2.44</v>
      </c>
    </row>
    <row r="27" spans="1:16" x14ac:dyDescent="0.25">
      <c r="A27" s="153">
        <v>62.31</v>
      </c>
      <c r="B27" s="153">
        <v>0.23</v>
      </c>
      <c r="C27" s="153">
        <v>40.31</v>
      </c>
      <c r="D27" s="152">
        <v>42621.041666666664</v>
      </c>
      <c r="E27" s="153">
        <v>0.44</v>
      </c>
      <c r="F27" s="153" t="s">
        <v>754</v>
      </c>
      <c r="G27" s="153">
        <v>279.91000000000003</v>
      </c>
      <c r="H27" s="153">
        <v>0</v>
      </c>
      <c r="I27" s="153">
        <v>0</v>
      </c>
      <c r="J27" s="153">
        <v>1015.04</v>
      </c>
      <c r="K27" s="153" t="s">
        <v>755</v>
      </c>
      <c r="L27" s="153">
        <v>62.31</v>
      </c>
      <c r="M27" s="153">
        <v>1473318000</v>
      </c>
      <c r="N27" s="153">
        <v>9.06</v>
      </c>
      <c r="O27" s="153">
        <v>318</v>
      </c>
      <c r="P27" s="153">
        <v>2.2400000000000002</v>
      </c>
    </row>
    <row r="28" spans="1:16" x14ac:dyDescent="0.25">
      <c r="A28" s="153">
        <v>60.07</v>
      </c>
      <c r="B28" s="153">
        <v>0.16</v>
      </c>
      <c r="C28" s="153">
        <v>40.950000000000003</v>
      </c>
      <c r="D28" s="152">
        <v>42621.083333333336</v>
      </c>
      <c r="E28" s="153">
        <v>0.49</v>
      </c>
      <c r="F28" s="153" t="s">
        <v>754</v>
      </c>
      <c r="G28" s="153">
        <v>279.2</v>
      </c>
      <c r="H28" s="153">
        <v>0</v>
      </c>
      <c r="I28" s="153">
        <v>0</v>
      </c>
      <c r="J28" s="153">
        <v>1015.55</v>
      </c>
      <c r="K28" s="153" t="s">
        <v>755</v>
      </c>
      <c r="L28" s="153">
        <v>60.07</v>
      </c>
      <c r="M28" s="153">
        <v>1473321600</v>
      </c>
      <c r="N28" s="153">
        <v>9.1</v>
      </c>
      <c r="O28" s="153">
        <v>271</v>
      </c>
      <c r="P28" s="153">
        <v>1.59</v>
      </c>
    </row>
    <row r="29" spans="1:16" x14ac:dyDescent="0.25">
      <c r="A29" s="153">
        <v>58.81</v>
      </c>
      <c r="B29" s="153">
        <v>0.13</v>
      </c>
      <c r="C29" s="153">
        <v>41.69</v>
      </c>
      <c r="D29" s="152">
        <v>42621.125</v>
      </c>
      <c r="E29" s="153">
        <v>0.53</v>
      </c>
      <c r="F29" s="153" t="s">
        <v>754</v>
      </c>
      <c r="G29" s="153">
        <v>278.49</v>
      </c>
      <c r="H29" s="153">
        <v>0</v>
      </c>
      <c r="I29" s="153">
        <v>0</v>
      </c>
      <c r="J29" s="153">
        <v>1016.04</v>
      </c>
      <c r="K29" s="153" t="s">
        <v>755</v>
      </c>
      <c r="L29" s="153">
        <v>58.81</v>
      </c>
      <c r="M29" s="153">
        <v>1473325200</v>
      </c>
      <c r="N29" s="153">
        <v>9.09</v>
      </c>
      <c r="O29" s="153">
        <v>237</v>
      </c>
      <c r="P29" s="153">
        <v>2.21</v>
      </c>
    </row>
    <row r="32" spans="1:16" x14ac:dyDescent="0.25">
      <c r="A32" s="153" t="s">
        <v>756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3" t="s">
        <v>25</v>
      </c>
      <c r="C1" s="71" t="s">
        <v>114</v>
      </c>
      <c r="D1" s="72" t="s">
        <v>115</v>
      </c>
      <c r="J1" s="33" t="s">
        <v>116</v>
      </c>
      <c r="K1" s="33" t="s">
        <v>72</v>
      </c>
      <c r="L1" s="33" t="s">
        <v>73</v>
      </c>
      <c r="O1" s="75" t="s">
        <v>117</v>
      </c>
    </row>
    <row r="2" spans="1:16" ht="15.75" thickBot="1" x14ac:dyDescent="0.3">
      <c r="A2" s="14">
        <v>42620</v>
      </c>
      <c r="B2" s="4"/>
      <c r="C2" s="73">
        <v>50</v>
      </c>
      <c r="D2" s="74">
        <v>25</v>
      </c>
      <c r="F2" t="s">
        <v>138</v>
      </c>
      <c r="J2" s="33"/>
      <c r="K2" s="33" t="s">
        <v>72</v>
      </c>
      <c r="L2" s="33" t="s">
        <v>73</v>
      </c>
    </row>
    <row r="3" spans="1:16" x14ac:dyDescent="0.25">
      <c r="F3" t="s">
        <v>58</v>
      </c>
      <c r="J3" s="34" t="s">
        <v>74</v>
      </c>
      <c r="K3" s="35">
        <v>2.7052</v>
      </c>
      <c r="L3" s="35">
        <v>2.7349999999999999</v>
      </c>
      <c r="M3" s="107">
        <f t="shared" ref="M3:M14" si="0">AVERAGE(K3:L3)</f>
        <v>2.7201</v>
      </c>
      <c r="O3" t="s">
        <v>118</v>
      </c>
      <c r="P3" s="68">
        <f>AVERAGE(1.0714,1.1016)</f>
        <v>1.0865</v>
      </c>
    </row>
    <row r="4" spans="1:16" x14ac:dyDescent="0.25">
      <c r="F4" t="s">
        <v>59</v>
      </c>
      <c r="J4" s="34" t="s">
        <v>75</v>
      </c>
      <c r="K4" s="35">
        <v>3.0830000000000002</v>
      </c>
      <c r="L4" s="35">
        <v>3.097</v>
      </c>
      <c r="M4" s="107">
        <f t="shared" si="0"/>
        <v>3.09</v>
      </c>
    </row>
    <row r="5" spans="1:16" x14ac:dyDescent="0.25">
      <c r="J5" s="34" t="s">
        <v>76</v>
      </c>
      <c r="K5" s="35">
        <v>3.3136000000000001</v>
      </c>
      <c r="L5" s="35">
        <v>3.3256999999999999</v>
      </c>
      <c r="M5" s="107">
        <f t="shared" si="0"/>
        <v>3.3196500000000002</v>
      </c>
    </row>
    <row r="6" spans="1:16" x14ac:dyDescent="0.25">
      <c r="F6" t="s">
        <v>139</v>
      </c>
      <c r="J6" s="34" t="s">
        <v>77</v>
      </c>
      <c r="K6" s="35">
        <v>4.2778999999999998</v>
      </c>
      <c r="L6" s="35">
        <v>4.2961</v>
      </c>
      <c r="M6" s="107">
        <f t="shared" si="0"/>
        <v>4.2869999999999999</v>
      </c>
    </row>
    <row r="7" spans="1:16" x14ac:dyDescent="0.25">
      <c r="F7" t="s">
        <v>140</v>
      </c>
      <c r="J7" s="34" t="s">
        <v>78</v>
      </c>
      <c r="K7" s="35">
        <v>4.7865000000000002</v>
      </c>
      <c r="L7" s="35">
        <v>4.8048000000000002</v>
      </c>
      <c r="M7" s="107">
        <f t="shared" si="0"/>
        <v>4.7956500000000002</v>
      </c>
    </row>
    <row r="8" spans="1:16" x14ac:dyDescent="0.25">
      <c r="F8" t="s">
        <v>141</v>
      </c>
      <c r="J8" s="34" t="s">
        <v>79</v>
      </c>
      <c r="K8" s="35">
        <v>5.3155000000000001</v>
      </c>
      <c r="L8" s="35">
        <v>5.3277000000000001</v>
      </c>
      <c r="M8" s="107">
        <f t="shared" si="0"/>
        <v>5.3216000000000001</v>
      </c>
    </row>
    <row r="9" spans="1:16" x14ac:dyDescent="0.25">
      <c r="J9" s="34" t="s">
        <v>80</v>
      </c>
      <c r="K9" s="35">
        <v>5.8117000000000001</v>
      </c>
      <c r="L9" s="35">
        <v>5.8300999999999998</v>
      </c>
      <c r="M9" s="107">
        <f t="shared" si="0"/>
        <v>5.8209</v>
      </c>
    </row>
    <row r="10" spans="1:16" x14ac:dyDescent="0.25">
      <c r="J10" s="34" t="s">
        <v>81</v>
      </c>
      <c r="K10" s="35">
        <v>5.8783000000000003</v>
      </c>
      <c r="L10" s="35">
        <v>5.8903999999999996</v>
      </c>
      <c r="M10" s="107">
        <f t="shared" si="0"/>
        <v>5.8843499999999995</v>
      </c>
    </row>
    <row r="11" spans="1:16" x14ac:dyDescent="0.25">
      <c r="J11" s="34" t="s">
        <v>82</v>
      </c>
      <c r="K11" s="35">
        <v>6.3068</v>
      </c>
      <c r="L11" s="35">
        <v>6.3308999999999997</v>
      </c>
      <c r="M11" s="107">
        <f t="shared" si="0"/>
        <v>6.3188499999999994</v>
      </c>
    </row>
    <row r="12" spans="1:16" x14ac:dyDescent="0.25">
      <c r="J12" s="34" t="s">
        <v>83</v>
      </c>
      <c r="K12" s="35">
        <v>7.8349000000000002</v>
      </c>
      <c r="L12" s="35">
        <v>7.8468999999999998</v>
      </c>
      <c r="M12" s="107">
        <f t="shared" si="0"/>
        <v>7.8408999999999995</v>
      </c>
    </row>
    <row r="13" spans="1:16" x14ac:dyDescent="0.25">
      <c r="J13" s="34" t="s">
        <v>84</v>
      </c>
      <c r="K13" s="35">
        <v>10.373799999999999</v>
      </c>
      <c r="L13" s="35">
        <v>10.38</v>
      </c>
      <c r="M13" s="107">
        <f t="shared" si="0"/>
        <v>10.376899999999999</v>
      </c>
    </row>
    <row r="14" spans="1:16" x14ac:dyDescent="0.25">
      <c r="J14" s="34" t="s">
        <v>85</v>
      </c>
      <c r="K14" s="35">
        <v>10.8954</v>
      </c>
      <c r="L14" s="35">
        <v>10.913500000000001</v>
      </c>
      <c r="M14" s="107">
        <f t="shared" si="0"/>
        <v>10.904450000000001</v>
      </c>
    </row>
    <row r="15" spans="1:16" x14ac:dyDescent="0.25">
      <c r="J15" s="34"/>
      <c r="K15" s="35"/>
      <c r="L15" s="35"/>
    </row>
    <row r="16" spans="1:16" x14ac:dyDescent="0.25">
      <c r="J16" s="34"/>
      <c r="K16" s="35"/>
      <c r="L16" s="35"/>
    </row>
    <row r="17" spans="10:13" x14ac:dyDescent="0.25">
      <c r="J17" s="34"/>
      <c r="K17" s="35"/>
      <c r="L17" s="35"/>
    </row>
    <row r="18" spans="10:13" x14ac:dyDescent="0.25">
      <c r="J18" s="34" t="s">
        <v>96</v>
      </c>
      <c r="K18" s="35"/>
      <c r="L18" s="35"/>
      <c r="M18" s="68" t="str">
        <f>"""C:\Program Files (x86)\AstroGrep\AstroGrep.exe"""</f>
        <v>"C:\Program Files (x86)\AstroGrep\AstroGrep.exe"</v>
      </c>
    </row>
    <row r="19" spans="10:13" x14ac:dyDescent="0.25">
      <c r="J19" s="34" t="s">
        <v>97</v>
      </c>
      <c r="K19" s="35"/>
      <c r="L19" s="35"/>
      <c r="M19" s="68" t="s">
        <v>128</v>
      </c>
    </row>
    <row r="20" spans="10:13" x14ac:dyDescent="0.25">
      <c r="J20" t="s">
        <v>98</v>
      </c>
      <c r="M20" s="68" t="s">
        <v>151</v>
      </c>
    </row>
    <row r="21" spans="10:13" x14ac:dyDescent="0.25">
      <c r="J21" s="22" t="s">
        <v>101</v>
      </c>
      <c r="K21" s="22" t="s">
        <v>102</v>
      </c>
      <c r="M21" s="68" t="s">
        <v>102</v>
      </c>
    </row>
    <row r="22" spans="10:13" x14ac:dyDescent="0.25">
      <c r="J22" s="22" t="s">
        <v>103</v>
      </c>
      <c r="K22" s="22" t="s">
        <v>104</v>
      </c>
      <c r="M22" s="68" t="s">
        <v>127</v>
      </c>
    </row>
    <row r="23" spans="10:13" x14ac:dyDescent="0.25">
      <c r="J23" s="30" t="s">
        <v>106</v>
      </c>
      <c r="K23" s="22"/>
      <c r="M23" s="107">
        <v>-6</v>
      </c>
    </row>
    <row r="24" spans="10:13" x14ac:dyDescent="0.25">
      <c r="J24" s="22" t="s">
        <v>124</v>
      </c>
      <c r="K24" s="22"/>
      <c r="M24" s="68" t="s">
        <v>126</v>
      </c>
    </row>
    <row r="25" spans="10:13" x14ac:dyDescent="0.25">
      <c r="J25" t="s">
        <v>198</v>
      </c>
      <c r="M25" s="68" t="b">
        <v>1</v>
      </c>
    </row>
    <row r="26" spans="10:13" x14ac:dyDescent="0.25">
      <c r="J26" t="s">
        <v>199</v>
      </c>
      <c r="M26" s="68" t="str">
        <f>"C:\Users\stu\Documents\GitHub\eaglep3-reporting\EC\"&amp;TEXT(A2,"yyyy-mm-dd")&amp;"-refined-times.txt"</f>
        <v>C:\Users\stu\Documents\GitHub\eaglep3-reporting\EC\2016-09-07-refined-times.txt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/>
  </sheetViews>
  <sheetFormatPr defaultRowHeight="15" x14ac:dyDescent="0.25"/>
  <cols>
    <col min="1" max="1" width="32.85546875" style="124" bestFit="1" customWidth="1"/>
    <col min="2" max="7" width="9.140625" style="124"/>
    <col min="8" max="8" width="17.7109375" style="124" bestFit="1" customWidth="1"/>
    <col min="9" max="9" width="9.140625" style="126"/>
    <col min="10" max="16384" width="9.140625" style="124"/>
  </cols>
  <sheetData>
    <row r="1" spans="1:11" x14ac:dyDescent="0.25">
      <c r="A1" s="123" t="s">
        <v>163</v>
      </c>
      <c r="B1" s="123" t="s">
        <v>164</v>
      </c>
      <c r="C1" s="124" t="s">
        <v>165</v>
      </c>
      <c r="H1" t="s">
        <v>159</v>
      </c>
      <c r="I1" s="125" t="s">
        <v>161</v>
      </c>
      <c r="J1"/>
    </row>
    <row r="2" spans="1:11" x14ac:dyDescent="0.25">
      <c r="A2" s="124" t="s">
        <v>166</v>
      </c>
      <c r="B2" s="124" t="s">
        <v>167</v>
      </c>
      <c r="C2" s="124" t="s">
        <v>168</v>
      </c>
      <c r="H2" t="s">
        <v>160</v>
      </c>
      <c r="I2" s="107" t="s">
        <v>162</v>
      </c>
      <c r="J2"/>
    </row>
    <row r="3" spans="1:11" x14ac:dyDescent="0.25">
      <c r="A3" s="124" t="s">
        <v>169</v>
      </c>
      <c r="B3" s="124" t="s">
        <v>170</v>
      </c>
      <c r="C3" s="124" t="s">
        <v>171</v>
      </c>
      <c r="H3" t="s">
        <v>186</v>
      </c>
      <c r="I3" s="107">
        <v>1</v>
      </c>
      <c r="J3"/>
      <c r="K3" s="68"/>
    </row>
    <row r="4" spans="1:11" x14ac:dyDescent="0.25">
      <c r="A4" s="124" t="s">
        <v>172</v>
      </c>
      <c r="C4" s="124" t="s">
        <v>173</v>
      </c>
      <c r="H4" t="s">
        <v>187</v>
      </c>
      <c r="I4" s="107">
        <v>2</v>
      </c>
      <c r="J4"/>
      <c r="K4" s="68"/>
    </row>
    <row r="5" spans="1:11" x14ac:dyDescent="0.25">
      <c r="A5" s="124" t="s">
        <v>174</v>
      </c>
      <c r="C5" s="124" t="s">
        <v>175</v>
      </c>
      <c r="H5" t="s">
        <v>188</v>
      </c>
      <c r="I5" s="107">
        <v>23</v>
      </c>
      <c r="J5"/>
      <c r="K5" s="68"/>
    </row>
    <row r="6" spans="1:11" x14ac:dyDescent="0.25">
      <c r="A6" s="124" t="s">
        <v>176</v>
      </c>
      <c r="C6" s="124" t="s">
        <v>177</v>
      </c>
      <c r="H6" s="127" t="s">
        <v>189</v>
      </c>
      <c r="I6" s="128" t="s">
        <v>167</v>
      </c>
    </row>
    <row r="7" spans="1:11" x14ac:dyDescent="0.25">
      <c r="A7" s="124" t="s">
        <v>178</v>
      </c>
      <c r="C7" s="124" t="s">
        <v>179</v>
      </c>
    </row>
    <row r="8" spans="1:11" x14ac:dyDescent="0.25">
      <c r="C8" s="124" t="s">
        <v>180</v>
      </c>
    </row>
    <row r="9" spans="1:11" x14ac:dyDescent="0.25">
      <c r="C9" s="124" t="s">
        <v>181</v>
      </c>
    </row>
    <row r="10" spans="1:11" x14ac:dyDescent="0.25">
      <c r="C10" s="124" t="s">
        <v>182</v>
      </c>
    </row>
    <row r="11" spans="1:11" x14ac:dyDescent="0.25">
      <c r="C11" s="124" t="s">
        <v>183</v>
      </c>
    </row>
    <row r="12" spans="1:11" x14ac:dyDescent="0.25">
      <c r="C12" s="124" t="s">
        <v>184</v>
      </c>
    </row>
    <row r="13" spans="1:11" x14ac:dyDescent="0.25">
      <c r="C13" s="124" t="s">
        <v>185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2016-09-09T15:21:21Z</dcterms:modified>
</cp:coreProperties>
</file>